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drawings/drawing9.xml" ContentType="application/vnd.openxmlformats-officedocument.drawing+xml"/>
  <Override PartName="/xl/ctrlProps/ctrlProp2.xml" ContentType="application/vnd.ms-excel.controlproperties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drawings/drawing10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drawings/drawing11.xml" ContentType="application/vnd.openxmlformats-officedocument.drawing+xml"/>
  <Override PartName="/xl/comments1.xml" ContentType="application/vnd.openxmlformats-officedocument.spreadsheetml.comments+xml"/>
  <Override PartName="/xl/charts/chart79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rgentina\Clientes\Operaciones\ORACLE\2016\Presentación-Adicionales\Países\Argentina\trabajo\"/>
    </mc:Choice>
  </mc:AlternateContent>
  <bookViews>
    <workbookView xWindow="240" yWindow="855" windowWidth="15480" windowHeight="7350" tabRatio="834" firstSheet="1" activeTab="4"/>
  </bookViews>
  <sheets>
    <sheet name="radar1" sheetId="511" r:id="rId1"/>
    <sheet name="TI COPIA" sheetId="510" r:id="rId2"/>
    <sheet name="Ficha técnica" sheetId="42" r:id="rId3"/>
    <sheet name="DetalleDimension" sheetId="15" r:id="rId4"/>
    <sheet name="Dimensiones" sheetId="33" r:id="rId5"/>
    <sheet name="Confianza" sheetId="91" r:id="rId6"/>
    <sheet name="Sintesis" sheetId="32" r:id="rId7"/>
    <sheet name="Evolucion Sintesis" sheetId="90" r:id="rId8"/>
    <sheet name="Tabla" sheetId="221" r:id="rId9"/>
    <sheet name="Demo" sheetId="222" r:id="rId10"/>
    <sheet name="Motivo" sheetId="116" r:id="rId11"/>
    <sheet name="INVESTIGACION" sheetId="484" r:id="rId12"/>
    <sheet name="Indice" sheetId="37" r:id="rId13"/>
    <sheet name="Indice3" sheetId="348" r:id="rId14"/>
    <sheet name="Hoja1" sheetId="512" r:id="rId15"/>
    <sheet name="Indice2" sheetId="347" r:id="rId16"/>
    <sheet name="Radar" sheetId="75" r:id="rId17"/>
    <sheet name="Instrucciones USO" sheetId="250" r:id="rId18"/>
    <sheet name="Hoja2" sheetId="251" r:id="rId19"/>
    <sheet name="Adicionales" sheetId="509" r:id="rId20"/>
    <sheet name="Hoja3" sheetId="513" r:id="rId21"/>
  </sheets>
  <functionGroups builtInGroupCount="18"/>
  <externalReferences>
    <externalReference r:id="rId22"/>
  </externalReferences>
  <definedNames>
    <definedName name="_xlnm._FilterDatabase" localSheetId="5" hidden="1">Confianza!$C$2:$H$41</definedName>
    <definedName name="Borrar1" localSheetId="9">Demo!$B$2:$E$31</definedName>
    <definedName name="Camaraderia">Dimensiones!$B$94:$L$114</definedName>
    <definedName name="Camaraderia2">DetalleDimension!$A$58:$G$68</definedName>
    <definedName name="CHIST">Tabla!$E$3:$F$7</definedName>
    <definedName name="conneg">Confianza!$C$57:$H$66</definedName>
    <definedName name="ConNEG1">Confianza!$C$87:$H$88</definedName>
    <definedName name="conpos">Confianza!$C$45:$H$54</definedName>
    <definedName name="ConPOS1">Confianza!$C$45:$H$54</definedName>
    <definedName name="Credibilidad">Dimensiones!$B$2:$L$22</definedName>
    <definedName name="Credibilidad2">DetalleDimension!$A$3:$G$17</definedName>
    <definedName name="demo1">Tabla!$B$18:$I$35</definedName>
    <definedName name="demo10">Tabla!$B$288:$I$305</definedName>
    <definedName name="demo11">Tabla!$B$318:$I$335</definedName>
    <definedName name="demo12">Tabla!$B$348:$I$365</definedName>
    <definedName name="demo13">Tabla!$B$378:$I$395</definedName>
    <definedName name="demo14">Tabla!$B$408:$I$425</definedName>
    <definedName name="demo15">Tabla!$B$438:$I$455</definedName>
    <definedName name="demo16">Tabla!$B$468:$I$485</definedName>
    <definedName name="demo17">Tabla!$B$498:$I$515</definedName>
    <definedName name="demo18">Tabla!$B$528:$I$545</definedName>
    <definedName name="demo19">Tabla!$B$558:$I$575</definedName>
    <definedName name="demo2">Tabla!$B$48:$I$65</definedName>
    <definedName name="demo20">Tabla!$B$588:$I$605</definedName>
    <definedName name="demo21">Tabla!$B$618:$I$635</definedName>
    <definedName name="demo22">Tabla!$B$648:$I$665</definedName>
    <definedName name="demo23">Tabla!$B$678:$I$695</definedName>
    <definedName name="demo24">Tabla!$B$708:$I$725</definedName>
    <definedName name="demo25">Tabla!$B$738:$I$755</definedName>
    <definedName name="demo26">Tabla!$B$768:$I$785</definedName>
    <definedName name="demo27">Tabla!$B$798:$I$815</definedName>
    <definedName name="demo28">Tabla!$B$828:$I$845</definedName>
    <definedName name="demo29">Tabla!$B$858:$I$875</definedName>
    <definedName name="demo3">Tabla!$B$78:$I$95</definedName>
    <definedName name="demo30">Tabla!$B$888:$I$905</definedName>
    <definedName name="demo4">Tabla!$B$108:$I$125</definedName>
    <definedName name="demo5">Tabla!$B$138:$I$155</definedName>
    <definedName name="demo6">Tabla!$B$168:$I$185</definedName>
    <definedName name="demo7">Tabla!$B$198:$I$215</definedName>
    <definedName name="demo8">Tabla!$B$228:$I$245</definedName>
    <definedName name="demo9">Tabla!$B$258:$I$275</definedName>
    <definedName name="DemoG1">Demo!$B$34:$D$54</definedName>
    <definedName name="DemoG10">Demo!$B$232:$D$252</definedName>
    <definedName name="DemoG11">Demo!$B$254:$D$274</definedName>
    <definedName name="DemoG12">Demo!$B$276:$D$296</definedName>
    <definedName name="DemoG13">Demo!$B$298:$D$318</definedName>
    <definedName name="DemoG14">Demo!$B$320:$D$340</definedName>
    <definedName name="DemoG15">Demo!$B$342:$D$362</definedName>
    <definedName name="DemoG16">Demo!$B$364:$D$384</definedName>
    <definedName name="DemoG17">Demo!$B$386:$D$406</definedName>
    <definedName name="DemoG18">Demo!$B$408:$D$428</definedName>
    <definedName name="DemoG19">Demo!$B$430:$D$450</definedName>
    <definedName name="DemoG2">Demo!$B$56:$D$76</definedName>
    <definedName name="DemoG20">Demo!$B$452:$D$472</definedName>
    <definedName name="DemoG21">Demo!$B$474:$D$494</definedName>
    <definedName name="DemoG22">Demo!$B$496:$D$516</definedName>
    <definedName name="DemoG23">Demo!$B$518:$D$538</definedName>
    <definedName name="DemoG24">Demo!$B$540:$D$560</definedName>
    <definedName name="DemoG25">Demo!$B$562:$D$582</definedName>
    <definedName name="DemoG26">Demo!$B$584:$D$604</definedName>
    <definedName name="DemoG27">Demo!$B$606:$D$626</definedName>
    <definedName name="DemoG28">Demo!$B$628:$D$648</definedName>
    <definedName name="DemoG29">Demo!$B$650:$D$670</definedName>
    <definedName name="DemoG3">Demo!$B$78:$D$98</definedName>
    <definedName name="DemoG30">Demo!$B$672:$D$692</definedName>
    <definedName name="DemoG4">Demo!$B$100:$D$120</definedName>
    <definedName name="DemoG5">Demo!$B$122:$D$142</definedName>
    <definedName name="DemoG6">Demo!$B$144:$D$164</definedName>
    <definedName name="DemoG7">Demo!$B$166:$D$186</definedName>
    <definedName name="DemoG8">Demo!$B$188:$D$208</definedName>
    <definedName name="DemoG9">Demo!$B$210:$D$230</definedName>
    <definedName name="dimensiones_evol">Dimensiones!$C$194:$L$210</definedName>
    <definedName name="dimensiones_ult">Dimensiones!$B$123:$L$157</definedName>
    <definedName name="ficha">'Ficha técnica'!$A$2:$K$8</definedName>
    <definedName name="gráfico">Sintesis!$F$1:$L$18</definedName>
    <definedName name="grafico2">'Evolucion Sintesis'!$F$1:$M$20</definedName>
    <definedName name="Imparcialidad">Dimensiones!$B$48:$L$68</definedName>
    <definedName name="Imparcialidad2">DetalleDimension!$A$34:$G$46</definedName>
    <definedName name="indicadores_globales_evol">Dimensiones!$C$221:$L$235</definedName>
    <definedName name="indicadorglobal">Dimensiones!$B$161:$L$189</definedName>
    <definedName name="INVESTIGACION">INVESTIGACION!$C$16:$O$48</definedName>
    <definedName name="motivo" localSheetId="11">INVESTIGACION!$C$16:$O$48</definedName>
    <definedName name="motivo">Motivo!$C$16:$O$48</definedName>
    <definedName name="Orgullo">Dimensiones!$B$71:$L$91</definedName>
    <definedName name="Orgullo2">DetalleDimension!$A$48:$G$56</definedName>
    <definedName name="radar" localSheetId="19">#REF!</definedName>
    <definedName name="radar">radar1!$A$7:$M$35</definedName>
    <definedName name="Respeto">Dimensiones!$B$25:$L$44</definedName>
    <definedName name="Respeto2">DetalleDimension!$A$19:$G$32</definedName>
    <definedName name="SHIST">Tabla!$G$3:$H$7</definedName>
  </definedNames>
  <calcPr calcId="171027"/>
</workbook>
</file>

<file path=xl/calcChain.xml><?xml version="1.0" encoding="utf-8"?>
<calcChain xmlns="http://schemas.openxmlformats.org/spreadsheetml/2006/main">
  <c r="D16" i="513" l="1"/>
  <c r="E16" i="513"/>
  <c r="F16" i="513"/>
  <c r="G16" i="513"/>
  <c r="C16" i="513"/>
  <c r="M12" i="513"/>
  <c r="J5" i="42" l="1"/>
  <c r="K5" i="42" l="1"/>
  <c r="D31" i="222" l="1"/>
  <c r="D30" i="222"/>
  <c r="D29" i="222"/>
  <c r="D28" i="222"/>
  <c r="D27" i="222"/>
  <c r="D26" i="222"/>
  <c r="D25" i="222"/>
  <c r="D24" i="222"/>
  <c r="D23" i="222"/>
  <c r="D22" i="222"/>
  <c r="D21" i="222"/>
  <c r="D20" i="222"/>
  <c r="D19" i="222"/>
  <c r="D18" i="222"/>
  <c r="D17" i="222"/>
  <c r="D16" i="222"/>
  <c r="D15" i="222"/>
  <c r="D14" i="222"/>
  <c r="D13" i="222"/>
  <c r="D12" i="222"/>
  <c r="D11" i="222"/>
  <c r="D10" i="222"/>
  <c r="D9" i="222"/>
  <c r="D8" i="222"/>
  <c r="D7" i="222"/>
  <c r="D6" i="222"/>
  <c r="D5" i="222"/>
  <c r="D4" i="222"/>
  <c r="D3" i="222"/>
  <c r="D2" i="222"/>
  <c r="Q3" i="116" l="1"/>
  <c r="R1" i="116"/>
  <c r="S1" i="116"/>
  <c r="T1" i="116"/>
  <c r="U1" i="116"/>
  <c r="V1" i="116"/>
  <c r="Q1" i="116"/>
  <c r="R19" i="15" l="1"/>
  <c r="S19" i="15"/>
  <c r="T19" i="15"/>
  <c r="Q19" i="15"/>
  <c r="R15" i="15"/>
  <c r="S15" i="15"/>
  <c r="T15" i="15"/>
  <c r="Q15" i="15"/>
  <c r="R11" i="15"/>
  <c r="S11" i="15"/>
  <c r="T11" i="15"/>
  <c r="Q11" i="15"/>
  <c r="R7" i="15"/>
  <c r="S7" i="15"/>
  <c r="T7" i="15"/>
  <c r="Q7" i="15"/>
  <c r="R3" i="15"/>
  <c r="S3" i="15"/>
  <c r="T3" i="15"/>
  <c r="Q3" i="15"/>
  <c r="A1" i="484" l="1"/>
  <c r="R1" i="15" l="1"/>
  <c r="Q1" i="15"/>
  <c r="K389" i="221" l="1"/>
  <c r="D359" i="221" l="1"/>
  <c r="E359" i="221"/>
  <c r="E85" i="15" l="1"/>
  <c r="H83" i="15" l="1"/>
  <c r="H82" i="15"/>
  <c r="H81" i="15"/>
  <c r="H80" i="15"/>
  <c r="H79" i="15"/>
  <c r="H78" i="15"/>
  <c r="H77" i="15"/>
  <c r="H76" i="15"/>
  <c r="H75" i="15"/>
  <c r="H74" i="15"/>
  <c r="H73" i="15"/>
  <c r="H71" i="15"/>
  <c r="H70" i="15"/>
  <c r="H68" i="15"/>
  <c r="H67" i="15"/>
  <c r="H66" i="15"/>
  <c r="H65" i="15"/>
  <c r="H64" i="15"/>
  <c r="H63" i="15"/>
  <c r="H62" i="15"/>
  <c r="H61" i="15"/>
  <c r="H60" i="15"/>
  <c r="H59" i="15"/>
  <c r="H56" i="15"/>
  <c r="H55" i="15"/>
  <c r="H54" i="15"/>
  <c r="H53" i="15"/>
  <c r="H52" i="15"/>
  <c r="H51" i="15"/>
  <c r="H50" i="15"/>
  <c r="H49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U7" i="15" l="1"/>
  <c r="U3" i="15"/>
  <c r="U11" i="15"/>
  <c r="U15" i="15"/>
  <c r="U19" i="15"/>
  <c r="T1" i="15"/>
  <c r="G1" i="15"/>
  <c r="S1" i="15" s="1"/>
  <c r="A7" i="484" l="1"/>
  <c r="A6" i="484"/>
  <c r="I56" i="37" l="1"/>
  <c r="C56" i="37"/>
  <c r="G55" i="37"/>
  <c r="I54" i="37"/>
  <c r="C54" i="37"/>
  <c r="G53" i="37"/>
  <c r="I52" i="37"/>
  <c r="C52" i="37"/>
  <c r="I51" i="37"/>
  <c r="C51" i="37"/>
  <c r="I50" i="37"/>
  <c r="C50" i="37"/>
  <c r="I49" i="37"/>
  <c r="C49" i="37"/>
  <c r="I48" i="37"/>
  <c r="C48" i="37"/>
  <c r="I47" i="37"/>
  <c r="C47" i="37"/>
  <c r="I46" i="37"/>
  <c r="C46" i="37"/>
  <c r="I45" i="37"/>
  <c r="C45" i="37"/>
  <c r="I44" i="37"/>
  <c r="C44" i="37"/>
  <c r="I43" i="37"/>
  <c r="C43" i="37"/>
  <c r="I42" i="37"/>
  <c r="C42" i="37"/>
  <c r="I41" i="37"/>
  <c r="C41" i="37"/>
  <c r="G34" i="37"/>
  <c r="G33" i="37"/>
  <c r="G32" i="37"/>
  <c r="G31" i="37"/>
  <c r="G30" i="37"/>
  <c r="G29" i="37"/>
  <c r="G28" i="37"/>
  <c r="G27" i="37"/>
  <c r="G26" i="37"/>
  <c r="G25" i="37"/>
  <c r="G14" i="37"/>
  <c r="G13" i="37"/>
  <c r="G12" i="37"/>
  <c r="G11" i="37"/>
  <c r="G10" i="37"/>
  <c r="G9" i="37"/>
  <c r="G8" i="37"/>
  <c r="G7" i="37"/>
  <c r="G6" i="37"/>
  <c r="G5" i="37"/>
  <c r="G4" i="37"/>
  <c r="G3" i="37"/>
  <c r="Q16" i="15" l="1"/>
  <c r="Q12" i="15"/>
  <c r="Q8" i="15"/>
  <c r="Q4" i="15"/>
  <c r="T31" i="15" l="1"/>
  <c r="S31" i="15"/>
  <c r="R31" i="15"/>
  <c r="Q31" i="15"/>
  <c r="Q30" i="15"/>
  <c r="G39" i="37" l="1"/>
  <c r="G36" i="37"/>
  <c r="G38" i="37"/>
  <c r="R18" i="15"/>
  <c r="I16" i="90" s="1"/>
  <c r="R17" i="15"/>
  <c r="I15" i="90" s="1"/>
  <c r="S21" i="15"/>
  <c r="J19" i="90" s="1"/>
  <c r="S20" i="15"/>
  <c r="J18" i="90" s="1"/>
  <c r="S10" i="15"/>
  <c r="J8" i="90" s="1"/>
  <c r="S6" i="15"/>
  <c r="J4" i="90" s="1"/>
  <c r="S5" i="15"/>
  <c r="J3" i="90" s="1"/>
  <c r="S4" i="15"/>
  <c r="J2" i="90" s="1"/>
  <c r="T4" i="15"/>
  <c r="U4" i="15"/>
  <c r="T5" i="15"/>
  <c r="U5" i="15"/>
  <c r="T6" i="15"/>
  <c r="U6" i="15"/>
  <c r="A7" i="116" l="1"/>
  <c r="L47" i="116" l="1"/>
  <c r="K7" i="116"/>
  <c r="G910" i="221"/>
  <c r="F910" i="221"/>
  <c r="E910" i="221"/>
  <c r="D910" i="221"/>
  <c r="C910" i="221"/>
  <c r="J880" i="221"/>
  <c r="I880" i="221"/>
  <c r="H880" i="221"/>
  <c r="G880" i="221"/>
  <c r="F880" i="221"/>
  <c r="E880" i="221"/>
  <c r="D880" i="221"/>
  <c r="C880" i="221"/>
  <c r="J850" i="221"/>
  <c r="I850" i="221"/>
  <c r="H850" i="221"/>
  <c r="G850" i="221"/>
  <c r="F850" i="221"/>
  <c r="E850" i="221"/>
  <c r="D850" i="221"/>
  <c r="C850" i="221"/>
  <c r="J820" i="221"/>
  <c r="I820" i="221"/>
  <c r="H820" i="221"/>
  <c r="G820" i="221"/>
  <c r="F820" i="221"/>
  <c r="E820" i="221"/>
  <c r="D820" i="221"/>
  <c r="C820" i="221"/>
  <c r="J790" i="221"/>
  <c r="I790" i="221"/>
  <c r="H790" i="221"/>
  <c r="G790" i="221"/>
  <c r="F790" i="221"/>
  <c r="E790" i="221"/>
  <c r="D790" i="221"/>
  <c r="C790" i="221"/>
  <c r="J760" i="221"/>
  <c r="I760" i="221"/>
  <c r="H760" i="221"/>
  <c r="G760" i="221"/>
  <c r="F760" i="221"/>
  <c r="E760" i="221"/>
  <c r="D760" i="221"/>
  <c r="C760" i="221"/>
  <c r="J730" i="221"/>
  <c r="I730" i="221"/>
  <c r="H730" i="221"/>
  <c r="G730" i="221"/>
  <c r="F730" i="221"/>
  <c r="E730" i="221"/>
  <c r="D730" i="221"/>
  <c r="C730" i="221"/>
  <c r="J700" i="221"/>
  <c r="I700" i="221"/>
  <c r="H700" i="221"/>
  <c r="G700" i="221"/>
  <c r="F700" i="221"/>
  <c r="E700" i="221"/>
  <c r="D700" i="221"/>
  <c r="C700" i="221"/>
  <c r="J670" i="221"/>
  <c r="I670" i="221"/>
  <c r="H670" i="221"/>
  <c r="G670" i="221"/>
  <c r="F670" i="221"/>
  <c r="E670" i="221"/>
  <c r="D670" i="221"/>
  <c r="C670" i="221"/>
  <c r="J640" i="221"/>
  <c r="I640" i="221"/>
  <c r="H640" i="221"/>
  <c r="G640" i="221"/>
  <c r="F640" i="221"/>
  <c r="E640" i="221"/>
  <c r="D640" i="221"/>
  <c r="C640" i="221"/>
  <c r="J610" i="221"/>
  <c r="I610" i="221"/>
  <c r="H610" i="221"/>
  <c r="G610" i="221"/>
  <c r="F610" i="221"/>
  <c r="E610" i="221"/>
  <c r="D610" i="221"/>
  <c r="C610" i="221"/>
  <c r="J580" i="221"/>
  <c r="I580" i="221"/>
  <c r="H580" i="221"/>
  <c r="G580" i="221"/>
  <c r="F580" i="221"/>
  <c r="E580" i="221"/>
  <c r="D580" i="221"/>
  <c r="C580" i="221"/>
  <c r="J550" i="221"/>
  <c r="I550" i="221"/>
  <c r="H550" i="221"/>
  <c r="G550" i="221"/>
  <c r="F550" i="221"/>
  <c r="E550" i="221"/>
  <c r="D550" i="221"/>
  <c r="C550" i="221"/>
  <c r="J520" i="221"/>
  <c r="I520" i="221"/>
  <c r="H520" i="221"/>
  <c r="G520" i="221"/>
  <c r="F520" i="221"/>
  <c r="E520" i="221"/>
  <c r="D520" i="221"/>
  <c r="C520" i="221"/>
  <c r="J490" i="221"/>
  <c r="I490" i="221"/>
  <c r="H490" i="221"/>
  <c r="G490" i="221"/>
  <c r="F490" i="221"/>
  <c r="E490" i="221"/>
  <c r="D490" i="221"/>
  <c r="C490" i="221"/>
  <c r="J460" i="221"/>
  <c r="I460" i="221"/>
  <c r="H460" i="221"/>
  <c r="G460" i="221"/>
  <c r="F460" i="221"/>
  <c r="E460" i="221"/>
  <c r="D460" i="221"/>
  <c r="C460" i="221"/>
  <c r="J430" i="221"/>
  <c r="I430" i="221"/>
  <c r="H430" i="221"/>
  <c r="G430" i="221"/>
  <c r="F430" i="221"/>
  <c r="E430" i="221"/>
  <c r="D430" i="221"/>
  <c r="C430" i="221"/>
  <c r="J400" i="221"/>
  <c r="I400" i="221"/>
  <c r="H400" i="221"/>
  <c r="G400" i="221"/>
  <c r="F400" i="221"/>
  <c r="E400" i="221"/>
  <c r="D400" i="221"/>
  <c r="C400" i="221"/>
  <c r="J370" i="221"/>
  <c r="I370" i="221"/>
  <c r="H370" i="221"/>
  <c r="G370" i="221"/>
  <c r="F370" i="221"/>
  <c r="E370" i="221"/>
  <c r="D370" i="221"/>
  <c r="C370" i="221"/>
  <c r="J340" i="221"/>
  <c r="I340" i="221"/>
  <c r="H340" i="221"/>
  <c r="G340" i="221"/>
  <c r="F340" i="221"/>
  <c r="E340" i="221"/>
  <c r="D340" i="221"/>
  <c r="C340" i="221"/>
  <c r="J310" i="221"/>
  <c r="I310" i="221"/>
  <c r="H310" i="221"/>
  <c r="G310" i="221"/>
  <c r="F310" i="221"/>
  <c r="E310" i="221"/>
  <c r="D310" i="221"/>
  <c r="C310" i="221"/>
  <c r="J280" i="221"/>
  <c r="I280" i="221"/>
  <c r="H280" i="221"/>
  <c r="G280" i="221"/>
  <c r="F280" i="221"/>
  <c r="E280" i="221"/>
  <c r="D280" i="221"/>
  <c r="C280" i="221"/>
  <c r="J250" i="221"/>
  <c r="I250" i="221"/>
  <c r="H250" i="221"/>
  <c r="G250" i="221"/>
  <c r="F250" i="221"/>
  <c r="E250" i="221"/>
  <c r="D250" i="221"/>
  <c r="C250" i="221"/>
  <c r="J220" i="221"/>
  <c r="I220" i="221"/>
  <c r="H220" i="221"/>
  <c r="G220" i="221"/>
  <c r="F220" i="221"/>
  <c r="E220" i="221"/>
  <c r="D220" i="221"/>
  <c r="C220" i="221"/>
  <c r="J190" i="221"/>
  <c r="I190" i="221"/>
  <c r="H190" i="221"/>
  <c r="G190" i="221"/>
  <c r="F190" i="221"/>
  <c r="E190" i="221"/>
  <c r="D190" i="221"/>
  <c r="C190" i="221"/>
  <c r="J160" i="221"/>
  <c r="I160" i="221"/>
  <c r="H160" i="221"/>
  <c r="G160" i="221"/>
  <c r="F160" i="221"/>
  <c r="E160" i="221"/>
  <c r="D160" i="221"/>
  <c r="C160" i="221"/>
  <c r="J130" i="221"/>
  <c r="I130" i="221"/>
  <c r="H130" i="221"/>
  <c r="G130" i="221"/>
  <c r="F130" i="221"/>
  <c r="E130" i="221"/>
  <c r="D130" i="221"/>
  <c r="C130" i="221"/>
  <c r="J100" i="221"/>
  <c r="I100" i="221"/>
  <c r="H100" i="221"/>
  <c r="G100" i="221"/>
  <c r="F100" i="221"/>
  <c r="E100" i="221"/>
  <c r="D100" i="221"/>
  <c r="C100" i="221"/>
  <c r="J70" i="221"/>
  <c r="I70" i="221"/>
  <c r="H70" i="221"/>
  <c r="G70" i="221"/>
  <c r="F70" i="221"/>
  <c r="E70" i="221"/>
  <c r="D70" i="221"/>
  <c r="C70" i="221"/>
  <c r="J40" i="221"/>
  <c r="I40" i="221"/>
  <c r="H40" i="221"/>
  <c r="G40" i="221"/>
  <c r="F40" i="221"/>
  <c r="E40" i="221"/>
  <c r="D40" i="221"/>
  <c r="C40" i="221"/>
  <c r="G911" i="221" l="1"/>
  <c r="F911" i="221"/>
  <c r="E911" i="221"/>
  <c r="D911" i="221"/>
  <c r="C911" i="221"/>
  <c r="J881" i="221"/>
  <c r="I881" i="221"/>
  <c r="H881" i="221"/>
  <c r="G881" i="221"/>
  <c r="F881" i="221"/>
  <c r="E881" i="221"/>
  <c r="D881" i="221"/>
  <c r="C881" i="221"/>
  <c r="J851" i="221"/>
  <c r="I851" i="221"/>
  <c r="H851" i="221"/>
  <c r="G851" i="221"/>
  <c r="F851" i="221"/>
  <c r="E851" i="221"/>
  <c r="D851" i="221"/>
  <c r="C851" i="221"/>
  <c r="J821" i="221"/>
  <c r="I821" i="221"/>
  <c r="H821" i="221"/>
  <c r="G821" i="221"/>
  <c r="F821" i="221"/>
  <c r="E821" i="221"/>
  <c r="D821" i="221"/>
  <c r="C821" i="221"/>
  <c r="J791" i="221"/>
  <c r="I791" i="221"/>
  <c r="H791" i="221"/>
  <c r="G791" i="221"/>
  <c r="F791" i="221"/>
  <c r="E791" i="221"/>
  <c r="D791" i="221"/>
  <c r="C791" i="221"/>
  <c r="J761" i="221"/>
  <c r="I761" i="221"/>
  <c r="H761" i="221"/>
  <c r="G761" i="221"/>
  <c r="F761" i="221"/>
  <c r="E761" i="221"/>
  <c r="D761" i="221"/>
  <c r="C761" i="221"/>
  <c r="J731" i="221"/>
  <c r="I731" i="221"/>
  <c r="H731" i="221"/>
  <c r="G731" i="221"/>
  <c r="F731" i="221"/>
  <c r="E731" i="221"/>
  <c r="D731" i="221"/>
  <c r="C731" i="221"/>
  <c r="J701" i="221"/>
  <c r="I701" i="221"/>
  <c r="H701" i="221"/>
  <c r="G701" i="221"/>
  <c r="F701" i="221"/>
  <c r="E701" i="221"/>
  <c r="D701" i="221"/>
  <c r="C701" i="221"/>
  <c r="J671" i="221"/>
  <c r="I671" i="221"/>
  <c r="H671" i="221"/>
  <c r="G671" i="221"/>
  <c r="F671" i="221"/>
  <c r="E671" i="221"/>
  <c r="D671" i="221"/>
  <c r="C671" i="221"/>
  <c r="J641" i="221"/>
  <c r="I641" i="221"/>
  <c r="H641" i="221"/>
  <c r="G641" i="221"/>
  <c r="F641" i="221"/>
  <c r="E641" i="221"/>
  <c r="D641" i="221"/>
  <c r="C641" i="221"/>
  <c r="J611" i="221"/>
  <c r="I611" i="221"/>
  <c r="H611" i="221"/>
  <c r="G611" i="221"/>
  <c r="F611" i="221"/>
  <c r="E611" i="221"/>
  <c r="D611" i="221"/>
  <c r="C611" i="221"/>
  <c r="J581" i="221"/>
  <c r="I581" i="221"/>
  <c r="H581" i="221"/>
  <c r="G581" i="221"/>
  <c r="F581" i="221"/>
  <c r="E581" i="221"/>
  <c r="D581" i="221"/>
  <c r="C581" i="221"/>
  <c r="J551" i="221"/>
  <c r="I551" i="221"/>
  <c r="H551" i="221"/>
  <c r="G551" i="221"/>
  <c r="F551" i="221"/>
  <c r="E551" i="221"/>
  <c r="D551" i="221"/>
  <c r="C551" i="221"/>
  <c r="J521" i="221"/>
  <c r="I521" i="221"/>
  <c r="H521" i="221"/>
  <c r="G521" i="221"/>
  <c r="F521" i="221"/>
  <c r="E521" i="221"/>
  <c r="D521" i="221"/>
  <c r="C521" i="221"/>
  <c r="J491" i="221"/>
  <c r="I491" i="221"/>
  <c r="H491" i="221"/>
  <c r="G491" i="221"/>
  <c r="F491" i="221"/>
  <c r="E491" i="221"/>
  <c r="D491" i="221"/>
  <c r="C491" i="221"/>
  <c r="J461" i="221"/>
  <c r="I461" i="221"/>
  <c r="H461" i="221"/>
  <c r="G461" i="221"/>
  <c r="F461" i="221"/>
  <c r="E461" i="221"/>
  <c r="D461" i="221"/>
  <c r="C461" i="221"/>
  <c r="J431" i="221"/>
  <c r="I431" i="221"/>
  <c r="H431" i="221"/>
  <c r="G431" i="221"/>
  <c r="F431" i="221"/>
  <c r="E431" i="221"/>
  <c r="D431" i="221"/>
  <c r="C431" i="221"/>
  <c r="J401" i="221"/>
  <c r="I401" i="221"/>
  <c r="H401" i="221"/>
  <c r="G401" i="221"/>
  <c r="F401" i="221"/>
  <c r="E401" i="221"/>
  <c r="D401" i="221"/>
  <c r="C401" i="221"/>
  <c r="J371" i="221"/>
  <c r="I371" i="221"/>
  <c r="H371" i="221"/>
  <c r="G371" i="221"/>
  <c r="F371" i="221"/>
  <c r="E371" i="221"/>
  <c r="D371" i="221"/>
  <c r="C371" i="221"/>
  <c r="J341" i="221"/>
  <c r="I341" i="221"/>
  <c r="H341" i="221"/>
  <c r="G341" i="221"/>
  <c r="F341" i="221"/>
  <c r="E341" i="221"/>
  <c r="D341" i="221"/>
  <c r="C341" i="221"/>
  <c r="J311" i="221"/>
  <c r="I311" i="221"/>
  <c r="H311" i="221"/>
  <c r="G311" i="221"/>
  <c r="F311" i="221"/>
  <c r="E311" i="221"/>
  <c r="D311" i="221"/>
  <c r="C311" i="221"/>
  <c r="J281" i="221"/>
  <c r="I281" i="221"/>
  <c r="H281" i="221"/>
  <c r="G281" i="221"/>
  <c r="F281" i="221"/>
  <c r="E281" i="221"/>
  <c r="D281" i="221"/>
  <c r="C281" i="221"/>
  <c r="J251" i="221"/>
  <c r="I251" i="221"/>
  <c r="H251" i="221"/>
  <c r="G251" i="221"/>
  <c r="F251" i="221"/>
  <c r="E251" i="221"/>
  <c r="D251" i="221"/>
  <c r="C251" i="221"/>
  <c r="J221" i="221"/>
  <c r="I221" i="221"/>
  <c r="H221" i="221"/>
  <c r="G221" i="221"/>
  <c r="F221" i="221"/>
  <c r="E221" i="221"/>
  <c r="D221" i="221"/>
  <c r="C221" i="221"/>
  <c r="J191" i="221"/>
  <c r="I191" i="221"/>
  <c r="H191" i="221"/>
  <c r="G191" i="221"/>
  <c r="F191" i="221"/>
  <c r="E191" i="221"/>
  <c r="D191" i="221"/>
  <c r="C191" i="221"/>
  <c r="J161" i="221"/>
  <c r="I161" i="221"/>
  <c r="H161" i="221"/>
  <c r="G161" i="221"/>
  <c r="F161" i="221"/>
  <c r="E161" i="221"/>
  <c r="D161" i="221"/>
  <c r="C161" i="221"/>
  <c r="J131" i="221"/>
  <c r="I131" i="221"/>
  <c r="H131" i="221"/>
  <c r="G131" i="221"/>
  <c r="F131" i="221"/>
  <c r="E131" i="221"/>
  <c r="D131" i="221"/>
  <c r="C131" i="221"/>
  <c r="J101" i="221"/>
  <c r="I101" i="221"/>
  <c r="H101" i="221"/>
  <c r="G101" i="221"/>
  <c r="F101" i="221"/>
  <c r="E101" i="221"/>
  <c r="D101" i="221"/>
  <c r="C101" i="221"/>
  <c r="J71" i="221"/>
  <c r="I71" i="221"/>
  <c r="H71" i="221"/>
  <c r="G71" i="221"/>
  <c r="F71" i="221"/>
  <c r="E71" i="221"/>
  <c r="D71" i="221"/>
  <c r="C71" i="221"/>
  <c r="C41" i="221"/>
  <c r="G31" i="222" l="1"/>
  <c r="G30" i="222"/>
  <c r="G29" i="222"/>
  <c r="G28" i="222"/>
  <c r="G27" i="222"/>
  <c r="G26" i="222"/>
  <c r="G25" i="222"/>
  <c r="G24" i="222"/>
  <c r="G23" i="222"/>
  <c r="G22" i="222"/>
  <c r="G21" i="222"/>
  <c r="G20" i="222"/>
  <c r="G19" i="222"/>
  <c r="G18" i="222"/>
  <c r="G17" i="222"/>
  <c r="G16" i="222"/>
  <c r="G15" i="222"/>
  <c r="G14" i="222"/>
  <c r="G13" i="222"/>
  <c r="G12" i="222"/>
  <c r="G51" i="37" s="1"/>
  <c r="G11" i="222"/>
  <c r="G50" i="37" s="1"/>
  <c r="G10" i="222"/>
  <c r="G49" i="37" s="1"/>
  <c r="G9" i="222"/>
  <c r="G48" i="37" s="1"/>
  <c r="G8" i="222"/>
  <c r="G47" i="37" s="1"/>
  <c r="G7" i="222"/>
  <c r="G46" i="37" s="1"/>
  <c r="G6" i="222"/>
  <c r="G45" i="37" s="1"/>
  <c r="G5" i="222"/>
  <c r="G4" i="222"/>
  <c r="G3" i="222"/>
  <c r="G43" i="37" s="1"/>
  <c r="G2" i="222"/>
  <c r="G42" i="37" l="1"/>
  <c r="G56" i="37"/>
  <c r="G44" i="37"/>
  <c r="G41" i="37"/>
  <c r="G52" i="37"/>
  <c r="G54" i="37"/>
  <c r="J899" i="221"/>
  <c r="I899" i="221"/>
  <c r="H899" i="221"/>
  <c r="G899" i="221"/>
  <c r="F899" i="221"/>
  <c r="E899" i="221"/>
  <c r="D899" i="221"/>
  <c r="C899" i="221"/>
  <c r="J869" i="221"/>
  <c r="I869" i="221"/>
  <c r="H869" i="221"/>
  <c r="G869" i="221"/>
  <c r="F869" i="221"/>
  <c r="E869" i="221"/>
  <c r="D869" i="221"/>
  <c r="C869" i="221"/>
  <c r="J839" i="221"/>
  <c r="I839" i="221"/>
  <c r="H839" i="221"/>
  <c r="G839" i="221"/>
  <c r="F839" i="221"/>
  <c r="E839" i="221"/>
  <c r="D839" i="221"/>
  <c r="C839" i="221"/>
  <c r="J809" i="221"/>
  <c r="I809" i="221"/>
  <c r="H809" i="221"/>
  <c r="G809" i="221"/>
  <c r="F809" i="221"/>
  <c r="E809" i="221"/>
  <c r="D809" i="221"/>
  <c r="C809" i="221"/>
  <c r="J779" i="221"/>
  <c r="I779" i="221"/>
  <c r="H779" i="221"/>
  <c r="G779" i="221"/>
  <c r="F779" i="221"/>
  <c r="E779" i="221"/>
  <c r="D779" i="221"/>
  <c r="C779" i="221"/>
  <c r="J749" i="221"/>
  <c r="I749" i="221"/>
  <c r="H749" i="221"/>
  <c r="G749" i="221"/>
  <c r="F749" i="221"/>
  <c r="E749" i="221"/>
  <c r="D749" i="221"/>
  <c r="C749" i="221"/>
  <c r="J719" i="221"/>
  <c r="I719" i="221"/>
  <c r="H719" i="221"/>
  <c r="G719" i="221"/>
  <c r="F719" i="221"/>
  <c r="E719" i="221"/>
  <c r="D719" i="221"/>
  <c r="C719" i="221"/>
  <c r="J689" i="221"/>
  <c r="I689" i="221"/>
  <c r="H689" i="221"/>
  <c r="G689" i="221"/>
  <c r="F689" i="221"/>
  <c r="E689" i="221"/>
  <c r="D689" i="221"/>
  <c r="C689" i="221"/>
  <c r="J659" i="221"/>
  <c r="I659" i="221"/>
  <c r="H659" i="221"/>
  <c r="G659" i="221"/>
  <c r="F659" i="221"/>
  <c r="E659" i="221"/>
  <c r="D659" i="221"/>
  <c r="C659" i="221"/>
  <c r="J629" i="221"/>
  <c r="I629" i="221"/>
  <c r="H629" i="221"/>
  <c r="G629" i="221"/>
  <c r="F629" i="221"/>
  <c r="E629" i="221"/>
  <c r="D629" i="221"/>
  <c r="C629" i="221"/>
  <c r="J599" i="221"/>
  <c r="I599" i="221"/>
  <c r="H599" i="221"/>
  <c r="G599" i="221"/>
  <c r="F599" i="221"/>
  <c r="E599" i="221"/>
  <c r="D599" i="221"/>
  <c r="C599" i="221"/>
  <c r="J569" i="221"/>
  <c r="I569" i="221"/>
  <c r="H569" i="221"/>
  <c r="G569" i="221"/>
  <c r="F569" i="221"/>
  <c r="E569" i="221"/>
  <c r="D569" i="221"/>
  <c r="C569" i="221"/>
  <c r="J539" i="221"/>
  <c r="I539" i="221"/>
  <c r="H539" i="221"/>
  <c r="G539" i="221"/>
  <c r="F539" i="221"/>
  <c r="E539" i="221"/>
  <c r="D539" i="221"/>
  <c r="C539" i="221"/>
  <c r="J509" i="221"/>
  <c r="I509" i="221"/>
  <c r="H509" i="221"/>
  <c r="G509" i="221"/>
  <c r="F509" i="221"/>
  <c r="E509" i="221"/>
  <c r="D509" i="221"/>
  <c r="C509" i="221"/>
  <c r="J479" i="221"/>
  <c r="I479" i="221"/>
  <c r="H479" i="221"/>
  <c r="G479" i="221"/>
  <c r="F479" i="221"/>
  <c r="E479" i="221"/>
  <c r="D479" i="221"/>
  <c r="C479" i="221"/>
  <c r="J449" i="221"/>
  <c r="I449" i="221"/>
  <c r="H449" i="221"/>
  <c r="G449" i="221"/>
  <c r="F449" i="221"/>
  <c r="E449" i="221"/>
  <c r="D449" i="221"/>
  <c r="C449" i="221"/>
  <c r="J419" i="221"/>
  <c r="I419" i="221"/>
  <c r="H419" i="221"/>
  <c r="G419" i="221"/>
  <c r="F419" i="221"/>
  <c r="E419" i="221"/>
  <c r="D419" i="221"/>
  <c r="C419" i="221"/>
  <c r="J389" i="221"/>
  <c r="I389" i="221"/>
  <c r="H389" i="221"/>
  <c r="G389" i="221"/>
  <c r="F389" i="221"/>
  <c r="E389" i="221"/>
  <c r="D389" i="221"/>
  <c r="C389" i="221"/>
  <c r="J359" i="221"/>
  <c r="I359" i="221"/>
  <c r="H359" i="221"/>
  <c r="G359" i="221"/>
  <c r="F359" i="221"/>
  <c r="C359" i="221"/>
  <c r="J329" i="221"/>
  <c r="I329" i="221"/>
  <c r="H329" i="221"/>
  <c r="G329" i="221"/>
  <c r="F329" i="221"/>
  <c r="E329" i="221"/>
  <c r="D329" i="221"/>
  <c r="C329" i="221"/>
  <c r="J299" i="221"/>
  <c r="I299" i="221"/>
  <c r="H299" i="221"/>
  <c r="G299" i="221"/>
  <c r="F299" i="221"/>
  <c r="E299" i="221"/>
  <c r="D299" i="221"/>
  <c r="C299" i="221"/>
  <c r="J269" i="221"/>
  <c r="I269" i="221"/>
  <c r="H269" i="221"/>
  <c r="G269" i="221"/>
  <c r="F269" i="221"/>
  <c r="E269" i="221"/>
  <c r="D269" i="221"/>
  <c r="C269" i="221"/>
  <c r="J239" i="221"/>
  <c r="I239" i="221"/>
  <c r="H239" i="221"/>
  <c r="G239" i="221"/>
  <c r="F239" i="221"/>
  <c r="E239" i="221"/>
  <c r="D239" i="221"/>
  <c r="C239" i="221"/>
  <c r="J209" i="221"/>
  <c r="I209" i="221"/>
  <c r="H209" i="221"/>
  <c r="G209" i="221"/>
  <c r="F209" i="221"/>
  <c r="E209" i="221"/>
  <c r="D209" i="221"/>
  <c r="C209" i="221"/>
  <c r="J179" i="221"/>
  <c r="I179" i="221"/>
  <c r="H179" i="221"/>
  <c r="G179" i="221"/>
  <c r="F179" i="221"/>
  <c r="E179" i="221"/>
  <c r="D179" i="221"/>
  <c r="C179" i="221"/>
  <c r="J149" i="221"/>
  <c r="I149" i="221"/>
  <c r="H149" i="221"/>
  <c r="G149" i="221"/>
  <c r="F149" i="221"/>
  <c r="E149" i="221"/>
  <c r="D149" i="221"/>
  <c r="C149" i="221"/>
  <c r="J119" i="221"/>
  <c r="I119" i="221"/>
  <c r="H119" i="221"/>
  <c r="G119" i="221"/>
  <c r="F119" i="221"/>
  <c r="E119" i="221"/>
  <c r="D119" i="221"/>
  <c r="C119" i="221"/>
  <c r="J89" i="221"/>
  <c r="I89" i="221"/>
  <c r="H89" i="221"/>
  <c r="G89" i="221"/>
  <c r="F89" i="221"/>
  <c r="E89" i="221"/>
  <c r="D89" i="221"/>
  <c r="C89" i="221"/>
  <c r="J59" i="221"/>
  <c r="I59" i="221"/>
  <c r="H59" i="221"/>
  <c r="G59" i="221"/>
  <c r="F59" i="221"/>
  <c r="E59" i="221"/>
  <c r="D59" i="221"/>
  <c r="C59" i="221"/>
  <c r="J29" i="221" l="1"/>
  <c r="I29" i="221"/>
  <c r="H29" i="221"/>
  <c r="G29" i="221"/>
  <c r="F29" i="221"/>
  <c r="E29" i="221"/>
  <c r="D29" i="221"/>
  <c r="C29" i="221"/>
  <c r="J41" i="221"/>
  <c r="I41" i="221"/>
  <c r="H41" i="221"/>
  <c r="G41" i="221"/>
  <c r="F41" i="221"/>
  <c r="E41" i="221"/>
  <c r="D41" i="221"/>
  <c r="A59" i="221" l="1"/>
  <c r="A89" i="221" s="1"/>
  <c r="A119" i="221" s="1"/>
  <c r="A149" i="221" s="1"/>
  <c r="A179" i="221" s="1"/>
  <c r="A209" i="221" s="1"/>
  <c r="A239" i="221" s="1"/>
  <c r="A269" i="221" s="1"/>
  <c r="A299" i="221" s="1"/>
  <c r="A329" i="221" s="1"/>
  <c r="A359" i="221" s="1"/>
  <c r="A389" i="221" s="1"/>
  <c r="A419" i="221" s="1"/>
  <c r="A449" i="221" s="1"/>
  <c r="A479" i="221" s="1"/>
  <c r="A509" i="221" s="1"/>
  <c r="A539" i="221" s="1"/>
  <c r="A569" i="221" s="1"/>
  <c r="A599" i="221" s="1"/>
  <c r="A629" i="221" s="1"/>
  <c r="A659" i="221" s="1"/>
  <c r="A689" i="221" s="1"/>
  <c r="A719" i="221" s="1"/>
  <c r="A749" i="221" s="1"/>
  <c r="A779" i="221" s="1"/>
  <c r="A809" i="221" s="1"/>
  <c r="A839" i="221" s="1"/>
  <c r="A869" i="221" s="1"/>
  <c r="A899" i="221" s="1"/>
  <c r="R8" i="15" l="1"/>
  <c r="I6" i="90" s="1"/>
  <c r="R9" i="15"/>
  <c r="I7" i="90" s="1"/>
  <c r="R10" i="15"/>
  <c r="I8" i="90" s="1"/>
  <c r="S9" i="15"/>
  <c r="J7" i="90" s="1"/>
  <c r="S8" i="15"/>
  <c r="J6" i="90" s="1"/>
  <c r="Q9" i="15"/>
  <c r="Q10" i="15"/>
  <c r="T8" i="15" l="1"/>
  <c r="U8" i="15"/>
  <c r="Q24" i="15" l="1"/>
  <c r="I3" i="91" l="1"/>
  <c r="I4" i="91"/>
  <c r="I5" i="91"/>
  <c r="I6" i="91"/>
  <c r="I7" i="91"/>
  <c r="I8" i="91"/>
  <c r="I9" i="91"/>
  <c r="I10" i="91"/>
  <c r="I11" i="91"/>
  <c r="I12" i="91"/>
  <c r="I13" i="91"/>
  <c r="I14" i="91"/>
  <c r="I15" i="91"/>
  <c r="I16" i="91"/>
  <c r="I17" i="91"/>
  <c r="I18" i="91"/>
  <c r="I19" i="91"/>
  <c r="I20" i="91"/>
  <c r="I21" i="91"/>
  <c r="I22" i="91"/>
  <c r="I23" i="91"/>
  <c r="I24" i="91"/>
  <c r="I25" i="91"/>
  <c r="I26" i="91"/>
  <c r="I27" i="91"/>
  <c r="I28" i="91"/>
  <c r="I29" i="91"/>
  <c r="I30" i="91"/>
  <c r="I31" i="91"/>
  <c r="I32" i="91"/>
  <c r="I33" i="91"/>
  <c r="I34" i="91"/>
  <c r="I35" i="91"/>
  <c r="I36" i="91"/>
  <c r="I37" i="91"/>
  <c r="I38" i="91"/>
  <c r="I39" i="91"/>
  <c r="I40" i="91"/>
  <c r="I41" i="91"/>
  <c r="G58" i="15"/>
  <c r="F58" i="15"/>
  <c r="E58" i="15"/>
  <c r="G48" i="15"/>
  <c r="F48" i="15"/>
  <c r="E48" i="15"/>
  <c r="G34" i="15"/>
  <c r="F34" i="15"/>
  <c r="E34" i="15"/>
  <c r="G19" i="15"/>
  <c r="F19" i="15"/>
  <c r="E19" i="15"/>
  <c r="Q6" i="15"/>
  <c r="H4" i="90" s="1"/>
  <c r="Q5" i="15"/>
  <c r="H3" i="90" s="1"/>
  <c r="R4" i="15"/>
  <c r="I2" i="90" s="1"/>
  <c r="H2" i="90"/>
  <c r="A6" i="116"/>
  <c r="T32" i="15"/>
  <c r="S32" i="15"/>
  <c r="R32" i="15"/>
  <c r="Q32" i="15"/>
  <c r="U2" i="15"/>
  <c r="T30" i="15"/>
  <c r="S30" i="15"/>
  <c r="R30" i="15"/>
  <c r="W43" i="15"/>
  <c r="A46" i="91"/>
  <c r="A47" i="91" s="1"/>
  <c r="A48" i="91" s="1"/>
  <c r="A49" i="91" s="1"/>
  <c r="A50" i="91" s="1"/>
  <c r="A51" i="91" s="1"/>
  <c r="A52" i="91" s="1"/>
  <c r="A53" i="91" s="1"/>
  <c r="A54" i="91" s="1"/>
  <c r="A58" i="91"/>
  <c r="A59" i="91" s="1"/>
  <c r="A60" i="91" s="1"/>
  <c r="A61" i="91" s="1"/>
  <c r="A62" i="91" s="1"/>
  <c r="A63" i="91" s="1"/>
  <c r="A64" i="91" s="1"/>
  <c r="A65" i="91" s="1"/>
  <c r="A66" i="91" s="1"/>
  <c r="D43" i="91"/>
  <c r="E43" i="91" s="1"/>
  <c r="F43" i="91" s="1"/>
  <c r="G56" i="91"/>
  <c r="C84" i="15"/>
  <c r="U22" i="15"/>
  <c r="T22" i="15"/>
  <c r="S22" i="15"/>
  <c r="J20" i="90" s="1"/>
  <c r="R22" i="15"/>
  <c r="I20" i="90" s="1"/>
  <c r="Q22" i="15"/>
  <c r="H20" i="90" s="1"/>
  <c r="U21" i="15"/>
  <c r="T21" i="15"/>
  <c r="R21" i="15"/>
  <c r="I19" i="90" s="1"/>
  <c r="Q21" i="15"/>
  <c r="H19" i="90" s="1"/>
  <c r="U20" i="15"/>
  <c r="T20" i="15"/>
  <c r="R20" i="15"/>
  <c r="I18" i="90" s="1"/>
  <c r="Q20" i="15"/>
  <c r="H18" i="90" s="1"/>
  <c r="T28" i="15"/>
  <c r="S28" i="15"/>
  <c r="R28" i="15"/>
  <c r="Q28" i="15"/>
  <c r="U18" i="15"/>
  <c r="T18" i="15"/>
  <c r="S18" i="15"/>
  <c r="J16" i="90" s="1"/>
  <c r="Q18" i="15"/>
  <c r="H16" i="90" s="1"/>
  <c r="K16" i="90" s="1"/>
  <c r="U17" i="15"/>
  <c r="T17" i="15"/>
  <c r="S17" i="15"/>
  <c r="J15" i="90" s="1"/>
  <c r="Q17" i="15"/>
  <c r="H15" i="90" s="1"/>
  <c r="K15" i="90" s="1"/>
  <c r="U16" i="15"/>
  <c r="T16" i="15"/>
  <c r="S16" i="15"/>
  <c r="J14" i="90" s="1"/>
  <c r="R16" i="15"/>
  <c r="I14" i="90" s="1"/>
  <c r="H14" i="90"/>
  <c r="T27" i="15"/>
  <c r="S27" i="15"/>
  <c r="R27" i="15"/>
  <c r="Q27" i="15"/>
  <c r="U14" i="15"/>
  <c r="T14" i="15"/>
  <c r="S14" i="15"/>
  <c r="J12" i="90" s="1"/>
  <c r="R14" i="15"/>
  <c r="I12" i="90" s="1"/>
  <c r="Q14" i="15"/>
  <c r="H12" i="90" s="1"/>
  <c r="U13" i="15"/>
  <c r="T13" i="15"/>
  <c r="S13" i="15"/>
  <c r="J11" i="90" s="1"/>
  <c r="R13" i="15"/>
  <c r="I11" i="90" s="1"/>
  <c r="Q13" i="15"/>
  <c r="H11" i="90" s="1"/>
  <c r="U12" i="15"/>
  <c r="T12" i="15"/>
  <c r="S12" i="15"/>
  <c r="J10" i="90" s="1"/>
  <c r="R12" i="15"/>
  <c r="I10" i="90" s="1"/>
  <c r="H10" i="90"/>
  <c r="T26" i="15"/>
  <c r="S26" i="15"/>
  <c r="R26" i="15"/>
  <c r="Q26" i="15"/>
  <c r="U10" i="15"/>
  <c r="T10" i="15"/>
  <c r="H8" i="90"/>
  <c r="K8" i="90" s="1"/>
  <c r="U9" i="15"/>
  <c r="T9" i="15"/>
  <c r="H7" i="90"/>
  <c r="K7" i="90" s="1"/>
  <c r="H6" i="90"/>
  <c r="K6" i="90" s="1"/>
  <c r="T25" i="15"/>
  <c r="S25" i="15"/>
  <c r="R25" i="15"/>
  <c r="Q25" i="15"/>
  <c r="R6" i="15"/>
  <c r="I4" i="90" s="1"/>
  <c r="R5" i="15"/>
  <c r="I3" i="90" s="1"/>
  <c r="T24" i="15"/>
  <c r="S24" i="15"/>
  <c r="R24" i="15"/>
  <c r="T2" i="15"/>
  <c r="T29" i="15" s="1"/>
  <c r="S2" i="15"/>
  <c r="S29" i="15" s="1"/>
  <c r="R2" i="15"/>
  <c r="Q2" i="15"/>
  <c r="R37" i="42"/>
  <c r="O37" i="42"/>
  <c r="R34" i="42"/>
  <c r="O34" i="42"/>
  <c r="N47" i="42" s="1"/>
  <c r="U33" i="42"/>
  <c r="R33" i="42"/>
  <c r="O33" i="42"/>
  <c r="N46" i="42" s="1"/>
  <c r="O30" i="42"/>
  <c r="A6" i="42" s="1"/>
  <c r="R25" i="42"/>
  <c r="O21" i="42"/>
  <c r="O22" i="42" s="1"/>
  <c r="O20" i="42"/>
  <c r="O23" i="42" s="1"/>
  <c r="H2" i="91"/>
  <c r="H56" i="91" s="1"/>
  <c r="G44" i="91"/>
  <c r="K3" i="90" l="1"/>
  <c r="K4" i="90"/>
  <c r="M4" i="90" s="1"/>
  <c r="K10" i="90"/>
  <c r="M10" i="90" s="1"/>
  <c r="K12" i="90"/>
  <c r="M12" i="90" s="1"/>
  <c r="K18" i="90"/>
  <c r="K19" i="90"/>
  <c r="M19" i="90" s="1"/>
  <c r="L46" i="116"/>
  <c r="K6" i="116"/>
  <c r="K14" i="90"/>
  <c r="M14" i="90" s="1"/>
  <c r="K11" i="90"/>
  <c r="M11" i="90" s="1"/>
  <c r="K20" i="90"/>
  <c r="M20" i="90" s="1"/>
  <c r="L2" i="90"/>
  <c r="K2" i="90"/>
  <c r="W34" i="15"/>
  <c r="W44" i="15"/>
  <c r="W39" i="15"/>
  <c r="W38" i="15"/>
  <c r="W37" i="15"/>
  <c r="W36" i="15"/>
  <c r="W35" i="15"/>
  <c r="W42" i="15"/>
  <c r="H19" i="15"/>
  <c r="H34" i="15"/>
  <c r="H48" i="15"/>
  <c r="H58" i="15"/>
  <c r="B1" i="221"/>
  <c r="B2" i="221"/>
  <c r="K1" i="90"/>
  <c r="O24" i="42"/>
  <c r="O25" i="42" s="1"/>
  <c r="R38" i="42"/>
  <c r="R39" i="42" s="1"/>
  <c r="R40" i="42" s="1"/>
  <c r="R41" i="42" s="1"/>
  <c r="N48" i="42"/>
  <c r="H44" i="91"/>
  <c r="M6" i="90"/>
  <c r="H1" i="90"/>
  <c r="S23" i="15"/>
  <c r="Q23" i="15"/>
  <c r="T23" i="15"/>
  <c r="R23" i="15"/>
  <c r="Q29" i="15"/>
  <c r="O38" i="42"/>
  <c r="O39" i="42" s="1"/>
  <c r="O40" i="42" s="1"/>
  <c r="O41" i="42" s="1"/>
  <c r="K6" i="42" s="1"/>
  <c r="J1" i="90"/>
  <c r="A31" i="91"/>
  <c r="W41" i="15"/>
  <c r="I1" i="90"/>
  <c r="A41" i="91"/>
  <c r="B40" i="91"/>
  <c r="B36" i="91"/>
  <c r="A38" i="91"/>
  <c r="A39" i="91"/>
  <c r="B34" i="91"/>
  <c r="A36" i="91"/>
  <c r="B33" i="91"/>
  <c r="B39" i="91"/>
  <c r="B37" i="91"/>
  <c r="A35" i="91"/>
  <c r="B32" i="91"/>
  <c r="A32" i="91"/>
  <c r="B41" i="91"/>
  <c r="A40" i="91"/>
  <c r="B38" i="91"/>
  <c r="A37" i="91"/>
  <c r="B35" i="91"/>
  <c r="A34" i="91"/>
  <c r="B28" i="91"/>
  <c r="B31" i="91"/>
  <c r="A33" i="91"/>
  <c r="B29" i="91"/>
  <c r="A30" i="91"/>
  <c r="A27" i="91"/>
  <c r="A25" i="91"/>
  <c r="B22" i="91"/>
  <c r="B21" i="91"/>
  <c r="A28" i="91"/>
  <c r="B25" i="91"/>
  <c r="B23" i="91"/>
  <c r="A18" i="91"/>
  <c r="B19" i="91"/>
  <c r="A17" i="91"/>
  <c r="B26" i="91"/>
  <c r="A24" i="91"/>
  <c r="B13" i="91"/>
  <c r="B15" i="91"/>
  <c r="A12" i="91"/>
  <c r="B30" i="91"/>
  <c r="A29" i="91"/>
  <c r="B27" i="91"/>
  <c r="A26" i="91"/>
  <c r="B24" i="91"/>
  <c r="A23" i="91"/>
  <c r="A20" i="91"/>
  <c r="A21" i="91"/>
  <c r="B18" i="91"/>
  <c r="B16" i="91"/>
  <c r="A14" i="91"/>
  <c r="A8" i="91"/>
  <c r="A11" i="91"/>
  <c r="B6" i="91"/>
  <c r="A15" i="91"/>
  <c r="B9" i="91"/>
  <c r="B3" i="91"/>
  <c r="A6" i="91"/>
  <c r="A22" i="91"/>
  <c r="B20" i="91"/>
  <c r="A19" i="91"/>
  <c r="B17" i="91"/>
  <c r="A16" i="91"/>
  <c r="B14" i="91"/>
  <c r="B12" i="91"/>
  <c r="B10" i="91"/>
  <c r="A13" i="91"/>
  <c r="B11" i="91"/>
  <c r="A10" i="91"/>
  <c r="B8" i="91"/>
  <c r="A7" i="91"/>
  <c r="B4" i="91"/>
  <c r="A3" i="91"/>
  <c r="A5" i="91"/>
  <c r="A4" i="91"/>
  <c r="A9" i="91"/>
  <c r="B7" i="91"/>
  <c r="B5" i="91"/>
  <c r="R29" i="15"/>
  <c r="L20" i="90"/>
  <c r="L19" i="90"/>
  <c r="L18" i="90"/>
  <c r="M18" i="90"/>
  <c r="M16" i="90"/>
  <c r="L16" i="90"/>
  <c r="M15" i="90"/>
  <c r="L15" i="90"/>
  <c r="L14" i="90"/>
  <c r="L12" i="90"/>
  <c r="L11" i="90"/>
  <c r="L10" i="90"/>
  <c r="M8" i="90"/>
  <c r="L8" i="90"/>
  <c r="L7" i="90"/>
  <c r="M7" i="90"/>
  <c r="L4" i="90"/>
  <c r="M3" i="90"/>
  <c r="L3" i="90"/>
  <c r="M2" i="90"/>
  <c r="L6" i="90"/>
  <c r="N2" i="221" l="1"/>
  <c r="S7" i="116"/>
  <c r="T7" i="116"/>
  <c r="V7" i="116"/>
  <c r="S6" i="116"/>
  <c r="U6" i="116"/>
  <c r="R6" i="116"/>
  <c r="U7" i="116"/>
  <c r="R7" i="116"/>
  <c r="T6" i="116"/>
  <c r="V6" i="116"/>
  <c r="M4" i="221"/>
  <c r="O2" i="221"/>
  <c r="H5" i="116"/>
  <c r="M3" i="221"/>
  <c r="F4" i="484"/>
  <c r="C4" i="484"/>
  <c r="E3" i="484"/>
  <c r="B3" i="484"/>
  <c r="D2" i="484"/>
  <c r="E4" i="484"/>
  <c r="B4" i="484"/>
  <c r="D3" i="484"/>
  <c r="F2" i="484"/>
  <c r="C2" i="484"/>
  <c r="D4" i="484"/>
  <c r="F3" i="484"/>
  <c r="C3" i="484"/>
  <c r="E2" i="484"/>
  <c r="B2" i="484"/>
  <c r="B5" i="116"/>
  <c r="D5" i="116"/>
  <c r="F5" i="116"/>
  <c r="C5" i="116"/>
  <c r="E5" i="116"/>
  <c r="I3" i="116"/>
  <c r="F4" i="116"/>
  <c r="E4" i="116"/>
  <c r="C4" i="116"/>
  <c r="D4" i="116"/>
  <c r="B4" i="116"/>
  <c r="G5" i="116"/>
  <c r="H3" i="116"/>
  <c r="I5" i="116"/>
  <c r="H5" i="484"/>
  <c r="F5" i="484"/>
  <c r="D5" i="484"/>
  <c r="B5" i="484"/>
  <c r="H4" i="484"/>
  <c r="H3" i="484"/>
  <c r="H2" i="484"/>
  <c r="I5" i="484"/>
  <c r="G5" i="484"/>
  <c r="E5" i="484"/>
  <c r="C5" i="484"/>
  <c r="I4" i="484"/>
  <c r="G4" i="484"/>
  <c r="I3" i="484"/>
  <c r="G3" i="484"/>
  <c r="I2" i="484"/>
  <c r="G2" i="484"/>
  <c r="B2" i="116"/>
  <c r="C3" i="116"/>
  <c r="H2" i="116"/>
  <c r="G4" i="116"/>
  <c r="F3" i="116"/>
  <c r="G3" i="116"/>
  <c r="I2" i="116"/>
  <c r="H4" i="116"/>
  <c r="B3" i="116"/>
  <c r="C2" i="116"/>
  <c r="D2" i="116"/>
  <c r="D3" i="116"/>
  <c r="F2" i="116"/>
  <c r="I4" i="116"/>
  <c r="G2" i="116"/>
  <c r="E2" i="116"/>
  <c r="E3" i="116"/>
  <c r="C66" i="91"/>
  <c r="C62" i="91"/>
  <c r="C58" i="91"/>
  <c r="E66" i="91"/>
  <c r="F65" i="91"/>
  <c r="G64" i="91"/>
  <c r="H63" i="91"/>
  <c r="D63" i="91"/>
  <c r="E62" i="91"/>
  <c r="F61" i="91"/>
  <c r="G60" i="91"/>
  <c r="H59" i="91"/>
  <c r="D59" i="91"/>
  <c r="E58" i="91"/>
  <c r="F57" i="91"/>
  <c r="C60" i="91"/>
  <c r="H65" i="91"/>
  <c r="E64" i="91"/>
  <c r="G62" i="91"/>
  <c r="D61" i="91"/>
  <c r="F59" i="91"/>
  <c r="H57" i="91"/>
  <c r="C63" i="91"/>
  <c r="C59" i="91"/>
  <c r="G65" i="91"/>
  <c r="D64" i="91"/>
  <c r="F62" i="91"/>
  <c r="H60" i="91"/>
  <c r="E59" i="91"/>
  <c r="G57" i="91"/>
  <c r="C65" i="91"/>
  <c r="C61" i="91"/>
  <c r="H66" i="91"/>
  <c r="D66" i="91"/>
  <c r="E65" i="91"/>
  <c r="F64" i="91"/>
  <c r="G63" i="91"/>
  <c r="H62" i="91"/>
  <c r="D62" i="91"/>
  <c r="E61" i="91"/>
  <c r="F60" i="91"/>
  <c r="G59" i="91"/>
  <c r="H58" i="91"/>
  <c r="D58" i="91"/>
  <c r="E57" i="91"/>
  <c r="C64" i="91"/>
  <c r="G66" i="91"/>
  <c r="D65" i="91"/>
  <c r="F63" i="91"/>
  <c r="H61" i="91"/>
  <c r="E60" i="91"/>
  <c r="G58" i="91"/>
  <c r="D57" i="91"/>
  <c r="F66" i="91"/>
  <c r="H64" i="91"/>
  <c r="E63" i="91"/>
  <c r="G61" i="91"/>
  <c r="D60" i="91"/>
  <c r="F58" i="91"/>
  <c r="C57" i="91"/>
  <c r="H54" i="91"/>
  <c r="D54" i="91"/>
  <c r="E53" i="91"/>
  <c r="F52" i="91"/>
  <c r="G51" i="91"/>
  <c r="H50" i="91"/>
  <c r="D50" i="91"/>
  <c r="E49" i="91"/>
  <c r="F48" i="91"/>
  <c r="G47" i="91"/>
  <c r="H46" i="91"/>
  <c r="D46" i="91"/>
  <c r="E45" i="91"/>
  <c r="C52" i="91"/>
  <c r="C48" i="91"/>
  <c r="C46" i="91"/>
  <c r="E54" i="91"/>
  <c r="G52" i="91"/>
  <c r="D51" i="91"/>
  <c r="F49" i="91"/>
  <c r="H47" i="91"/>
  <c r="E46" i="91"/>
  <c r="C53" i="91"/>
  <c r="C45" i="91"/>
  <c r="G54" i="91"/>
  <c r="H53" i="91"/>
  <c r="D53" i="91"/>
  <c r="E52" i="91"/>
  <c r="F51" i="91"/>
  <c r="G50" i="91"/>
  <c r="H49" i="91"/>
  <c r="D49" i="91"/>
  <c r="E48" i="91"/>
  <c r="F47" i="91"/>
  <c r="G46" i="91"/>
  <c r="H45" i="91"/>
  <c r="D45" i="91"/>
  <c r="C51" i="91"/>
  <c r="C47" i="91"/>
  <c r="F54" i="91"/>
  <c r="G53" i="91"/>
  <c r="H52" i="91"/>
  <c r="D52" i="91"/>
  <c r="E51" i="91"/>
  <c r="F50" i="91"/>
  <c r="G49" i="91"/>
  <c r="H48" i="91"/>
  <c r="D48" i="91"/>
  <c r="E47" i="91"/>
  <c r="F46" i="91"/>
  <c r="G45" i="91"/>
  <c r="C54" i="91"/>
  <c r="C50" i="91"/>
  <c r="F53" i="91"/>
  <c r="H51" i="91"/>
  <c r="E50" i="91"/>
  <c r="G48" i="91"/>
  <c r="D47" i="91"/>
  <c r="F45" i="91"/>
  <c r="C49" i="91"/>
  <c r="M1" i="90"/>
  <c r="L1" i="90"/>
  <c r="E7" i="116" l="1"/>
  <c r="O7" i="116" s="1"/>
  <c r="C7" i="116"/>
  <c r="M7" i="116" s="1"/>
  <c r="C6" i="484"/>
  <c r="C7" i="484"/>
  <c r="G6" i="484"/>
  <c r="G7" i="484"/>
  <c r="B6" i="484"/>
  <c r="D46" i="484"/>
  <c r="F6" i="484"/>
  <c r="B7" i="484"/>
  <c r="F7" i="484"/>
  <c r="E6" i="484"/>
  <c r="I6" i="484"/>
  <c r="E7" i="484"/>
  <c r="I7" i="484"/>
  <c r="D6" i="484"/>
  <c r="H6" i="484"/>
  <c r="D7" i="484"/>
  <c r="H7" i="484"/>
  <c r="E6" i="116"/>
  <c r="O6" i="116" s="1"/>
  <c r="B6" i="116"/>
  <c r="L6" i="116" s="1"/>
  <c r="D6" i="116"/>
  <c r="N6" i="116" s="1"/>
  <c r="D48" i="116"/>
  <c r="C6" i="116"/>
  <c r="M6" i="116" s="1"/>
  <c r="H6" i="116"/>
  <c r="F6" i="116"/>
  <c r="P6" i="116" s="1"/>
  <c r="G7" i="116"/>
  <c r="I6" i="116"/>
  <c r="G6" i="116"/>
  <c r="B7" i="116"/>
  <c r="L7" i="116" s="1"/>
  <c r="D7" i="116"/>
  <c r="N7" i="116" s="1"/>
  <c r="H7" i="116"/>
  <c r="I7" i="116"/>
  <c r="F7" i="116"/>
  <c r="P7" i="116" s="1"/>
</calcChain>
</file>

<file path=xl/comments1.xml><?xml version="1.0" encoding="utf-8"?>
<comments xmlns="http://schemas.openxmlformats.org/spreadsheetml/2006/main">
  <authors>
    <author>Khris Olivero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Khris Olivero:</t>
        </r>
        <r>
          <rPr>
            <sz val="9"/>
            <color indexed="81"/>
            <rFont val="Tahoma"/>
            <family val="2"/>
          </rPr>
          <t xml:space="preserve">
no se toca</t>
        </r>
      </text>
    </comment>
  </commentList>
</comments>
</file>

<file path=xl/sharedStrings.xml><?xml version="1.0" encoding="utf-8"?>
<sst xmlns="http://schemas.openxmlformats.org/spreadsheetml/2006/main" count="6714" uniqueCount="940">
  <si>
    <t>La oportunidad de crecer y desarrollarme profesionalmente</t>
  </si>
  <si>
    <t>Otro motivo</t>
  </si>
  <si>
    <t>Cantidad de Respuestas</t>
  </si>
  <si>
    <t>CREDIBILIDAD</t>
  </si>
  <si>
    <t>Los jefes me mantienen informado acerca de temas y cambios importantes.</t>
  </si>
  <si>
    <t>Los jefes comunican claramente sus expectativas.</t>
  </si>
  <si>
    <t>Puedo hacer cualquier pregunta razonable a los jefes y recibir una respuesta directa.</t>
  </si>
  <si>
    <t>Los jefes son accesibles y es fácil hablar con ellos.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</si>
  <si>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</si>
  <si>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</si>
  <si>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</si>
  <si>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Los jefes confían en que la gente hace un buen trabajo sin tener que supervisarla continuamente.</t>
  </si>
  <si>
    <t>Aquí nos dan la autonomía necesaria para realizar nuestro trabajo en forma adecuada.</t>
  </si>
  <si>
    <t>Los jefes tienen una visión clara de hacia dónde va la organización y cómo lograrlo.</t>
  </si>
  <si>
    <t>Los jefes cumplen con sus promesas.</t>
  </si>
  <si>
    <t>Los jefes hacen lo que dicen.</t>
  </si>
  <si>
    <t>Creo que aquí habría un despido masivo sólo como última opción.</t>
  </si>
  <si>
    <t>Los jefes conducen el negocio honesta y éticamente.</t>
  </si>
  <si>
    <t>RESPETO</t>
  </si>
  <si>
    <t>Me ofrecen capacitación u otras formas de desarrollo para crecer laboralmente.</t>
  </si>
  <si>
    <t>Me dan los recursos y equipos para hacer mi trabajo.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</si>
  <si>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</si>
  <si>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</si>
  <si>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</si>
  <si>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</si>
  <si>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</si>
  <si>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</si>
  <si>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</si>
  <si>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</si>
  <si>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</si>
  <si>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</si>
  <si>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</si>
  <si>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IMPARCIALIDAD</t>
  </si>
  <si>
    <t>Aquí el personal recibe un pago adecuado por su trabajo.</t>
  </si>
  <si>
    <t>Siento que recibo una parte justa de las ganancias de esta organización.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</si>
  <si>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</si>
  <si>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</si>
  <si>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</si>
  <si>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</si>
  <si>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</si>
  <si>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</si>
  <si>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</si>
  <si>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</si>
  <si>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</si>
  <si>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Si soy tratado injustamente, creo que tendré la oportunidad de ser escuchado y de recibir un trato justo.</t>
  </si>
  <si>
    <t>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</si>
  <si>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</si>
  <si>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</si>
  <si>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</si>
  <si>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</si>
  <si>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</si>
  <si>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</si>
  <si>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</si>
  <si>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</si>
  <si>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CAMARADERÍA</t>
  </si>
  <si>
    <t>Puedo ser yo mismo en mi lugar de trabajo.</t>
  </si>
  <si>
    <t>Aquí celebramos acontecimientos especiales.</t>
  </si>
  <si>
    <t>Aquí las personas se preocupan por los demás.</t>
  </si>
  <si>
    <t>Este es un lugar amigable para trabajar.</t>
  </si>
  <si>
    <t>Resulta entretenido trabajar aquí.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</si>
  <si>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</si>
  <si>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</si>
  <si>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</si>
  <si>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</si>
  <si>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</si>
  <si>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Gptw</t>
  </si>
  <si>
    <t>Teniendo en cuenta todo, yo diría que este es un excelente lugar para trabajar.</t>
  </si>
  <si>
    <t>Sub-dimensión</t>
  </si>
  <si>
    <t>Nº</t>
  </si>
  <si>
    <t>Sentencia</t>
  </si>
  <si>
    <t>Comunicación</t>
  </si>
  <si>
    <t>Información</t>
  </si>
  <si>
    <t>Accesibilidad</t>
  </si>
  <si>
    <t>Competencia</t>
  </si>
  <si>
    <t>Coordinación</t>
  </si>
  <si>
    <t>Delegación</t>
  </si>
  <si>
    <t>Visión</t>
  </si>
  <si>
    <t>Integridad</t>
  </si>
  <si>
    <t>Confiabilidad</t>
  </si>
  <si>
    <t>Honestidad</t>
  </si>
  <si>
    <t>Respaldo</t>
  </si>
  <si>
    <t>Valoración Profesional</t>
  </si>
  <si>
    <t>Valoración Personal</t>
  </si>
  <si>
    <t>Participación</t>
  </si>
  <si>
    <t>Involucrar</t>
  </si>
  <si>
    <t>Cuidado de las Personas</t>
  </si>
  <si>
    <t>Ambiente de Trabajo</t>
  </si>
  <si>
    <t>Vida Personal</t>
  </si>
  <si>
    <t>Equidad</t>
  </si>
  <si>
    <t>Remuneración</t>
  </si>
  <si>
    <t>Trato</t>
  </si>
  <si>
    <t>Ausencia de Favoritismo</t>
  </si>
  <si>
    <t>Justicia</t>
  </si>
  <si>
    <t>Discriminación</t>
  </si>
  <si>
    <t>Apelación</t>
  </si>
  <si>
    <t>Trabajo Personal</t>
  </si>
  <si>
    <t>Equipo</t>
  </si>
  <si>
    <t>Empresa</t>
  </si>
  <si>
    <t>Relaciones Interpersonales</t>
  </si>
  <si>
    <t>Hospitalidad</t>
  </si>
  <si>
    <t>Bienestar</t>
  </si>
  <si>
    <t>Bienvenida</t>
  </si>
  <si>
    <t>Sentido de Pertenencia</t>
  </si>
  <si>
    <t>Pregunta General</t>
  </si>
  <si>
    <t>ADICIONAL</t>
  </si>
  <si>
    <t>Dimensión</t>
  </si>
  <si>
    <t>Sub-Dimensión</t>
  </si>
  <si>
    <t/>
  </si>
  <si>
    <t>Ficha técnica</t>
  </si>
  <si>
    <t>Resultados Generales</t>
  </si>
  <si>
    <t>Indicadores globales – Ambiente de trabajo</t>
  </si>
  <si>
    <t>Resultados CONFIANZA – _x000B_Dimensión Credibilidad</t>
  </si>
  <si>
    <t>Resultados CONFIANZA – _x000B_Dimensión Respeto</t>
  </si>
  <si>
    <t>Resultados CONFIANZA – _x000B_Dimensión Imparcialidad</t>
  </si>
  <si>
    <t>Resultados _x000B_Dimensión Orgullo</t>
  </si>
  <si>
    <t>Resultados _x000B_Dimensión Camaradería</t>
  </si>
  <si>
    <t>Síntesis de dimensiones y sub-dimensiones</t>
  </si>
  <si>
    <t>Fortalezas Confianza</t>
  </si>
  <si>
    <t>Oportunidad de Mejora Confianza</t>
  </si>
  <si>
    <t>credibilidad2</t>
  </si>
  <si>
    <t>respeto2</t>
  </si>
  <si>
    <t>imparcialidad2</t>
  </si>
  <si>
    <t>orgullo2</t>
  </si>
  <si>
    <t>camaraderia2</t>
  </si>
  <si>
    <t>gráfico</t>
  </si>
  <si>
    <t>Imparcialidad</t>
  </si>
  <si>
    <t>Credibilidad</t>
  </si>
  <si>
    <t>Respeto</t>
  </si>
  <si>
    <t>Título</t>
  </si>
  <si>
    <t>Referencia</t>
  </si>
  <si>
    <t>Alto</t>
  </si>
  <si>
    <t>Ancho</t>
  </si>
  <si>
    <t>Dato</t>
  </si>
  <si>
    <t>Objeto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</si>
  <si>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</si>
  <si>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</si>
  <si>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</si>
  <si>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</si>
  <si>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</si>
  <si>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</si>
  <si>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</si>
  <si>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</si>
  <si>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</si>
  <si>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</si>
  <si>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</si>
  <si>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</si>
  <si>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Cuadrado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</si>
  <si>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</si>
  <si>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</si>
  <si>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</si>
  <si>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</si>
  <si>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</si>
  <si>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</si>
  <si>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</si>
  <si>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</si>
  <si>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</si>
  <si>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</si>
  <si>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ficha</t>
  </si>
  <si>
    <t>PROM. GENERAL</t>
  </si>
  <si>
    <t>Demo4</t>
  </si>
  <si>
    <t>Demo2</t>
  </si>
  <si>
    <t>Demo3</t>
  </si>
  <si>
    <t>Demo1</t>
  </si>
  <si>
    <t>Demo5</t>
  </si>
  <si>
    <t>Promedio General</t>
  </si>
  <si>
    <t>ACTUAL</t>
  </si>
  <si>
    <t>ANTERIOR</t>
  </si>
  <si>
    <t>Base Actual</t>
  </si>
  <si>
    <t>DemoG1</t>
  </si>
  <si>
    <t>DemoG2</t>
  </si>
  <si>
    <t>DemoG3</t>
  </si>
  <si>
    <t>DemoG4</t>
  </si>
  <si>
    <t>DemoG5</t>
  </si>
  <si>
    <t>DemoG6</t>
  </si>
  <si>
    <t>DemoG7</t>
  </si>
  <si>
    <t>DemoG8</t>
  </si>
  <si>
    <t>DemoG9</t>
  </si>
  <si>
    <t>DemoG10</t>
  </si>
  <si>
    <t>DemoG11</t>
  </si>
  <si>
    <t>DemoG12</t>
  </si>
  <si>
    <t>DemoG13</t>
  </si>
  <si>
    <t>DemoG14</t>
  </si>
  <si>
    <t>CONTROL</t>
  </si>
  <si>
    <t>x</t>
  </si>
  <si>
    <t>Si tiene año de comparación poner "x" --&gt;</t>
  </si>
  <si>
    <t>Percepción General</t>
  </si>
  <si>
    <t>Promedio Confianza</t>
  </si>
  <si>
    <t>Masculino</t>
  </si>
  <si>
    <t>Femenino</t>
  </si>
  <si>
    <t>La remuneración y los beneficios que me brinda la empresa</t>
  </si>
  <si>
    <t>El saber que el despido es un recurso de última instancia</t>
  </si>
  <si>
    <t>General</t>
  </si>
  <si>
    <t>El hecho de que puedo armonizar el trabajo con mi vida personal</t>
  </si>
  <si>
    <t>“Comente brevemente aquello que considera EXCEPCIONAL_x000D_ de su empresa y que la convierte en un excelente lugar para trabajar”</t>
  </si>
  <si>
    <t>“Comente brevemente aquello que considera que, a su juicio, debería MODIFICARSE_x000D_para hacer de su empresa un lugar aún mejor ”</t>
  </si>
  <si>
    <t>Resultados por Dimensión</t>
  </si>
  <si>
    <t xml:space="preserve">CONFIANZA: Fortalezas y Oportunidades de Mejora </t>
  </si>
  <si>
    <t>Resultados por Dimensiones Evolutivo</t>
  </si>
  <si>
    <t>Resultados por Dimensiones</t>
  </si>
  <si>
    <t>Indicadores globales –Ambiente de trabajo_x000B_Evolución</t>
  </si>
  <si>
    <t>RADAR</t>
  </si>
  <si>
    <t>Motivo permanecia</t>
  </si>
  <si>
    <t>Resultados por demografías Resultados 2011</t>
  </si>
  <si>
    <t>dimensiones_ult</t>
  </si>
  <si>
    <t>dimensiones_evol</t>
  </si>
  <si>
    <t>Orgullo</t>
  </si>
  <si>
    <t>Camaraderia</t>
  </si>
  <si>
    <t>indicadorglobal</t>
  </si>
  <si>
    <t>indicadores_globales_evol</t>
  </si>
  <si>
    <t>grafico2</t>
  </si>
  <si>
    <t>conpos</t>
  </si>
  <si>
    <t>conneg</t>
  </si>
  <si>
    <t>VER</t>
  </si>
  <si>
    <t>35 a 44 años</t>
  </si>
  <si>
    <t>&lt;&lt;&lt;&lt;&lt;&lt;&lt;&lt;&lt;&lt;&lt;</t>
  </si>
  <si>
    <t>a</t>
  </si>
  <si>
    <t>a1</t>
  </si>
  <si>
    <t>a2</t>
  </si>
  <si>
    <t>a3</t>
  </si>
  <si>
    <t>a4</t>
  </si>
  <si>
    <t>a5</t>
  </si>
  <si>
    <t>a6</t>
  </si>
  <si>
    <t>a7</t>
  </si>
  <si>
    <t>a8</t>
  </si>
  <si>
    <t>motivo</t>
  </si>
  <si>
    <t>radar</t>
  </si>
  <si>
    <t>DemoG15</t>
  </si>
  <si>
    <t>DemoG16</t>
  </si>
  <si>
    <t>DemoG17</t>
  </si>
  <si>
    <t>DemoG18</t>
  </si>
  <si>
    <t>DemoG19</t>
  </si>
  <si>
    <t>DemoG20</t>
  </si>
  <si>
    <t>Datos de participación</t>
  </si>
  <si>
    <t>Población encuestada</t>
  </si>
  <si>
    <t>Tasa de Respuesta</t>
  </si>
  <si>
    <t>Cierre de encuesta</t>
  </si>
  <si>
    <t>Tipo de encuesta</t>
  </si>
  <si>
    <t>1)</t>
  </si>
  <si>
    <t>Actualizar los datos con el nuevo TI realizar el siguiente comando.</t>
  </si>
  <si>
    <t>2)</t>
  </si>
  <si>
    <t>Actualizar / controlar los datos en las siguientes solapas.</t>
  </si>
  <si>
    <t>Solapa</t>
  </si>
  <si>
    <t>Ficha Técnica</t>
  </si>
  <si>
    <t>Actualizar datos</t>
  </si>
  <si>
    <t>DetalleDimension</t>
  </si>
  <si>
    <t>Celda F3</t>
  </si>
  <si>
    <t>Actualizar el nombre del rótulo según como quieran que se vea en el informe</t>
  </si>
  <si>
    <t>Celda G3</t>
  </si>
  <si>
    <t>Celda H3</t>
  </si>
  <si>
    <t>Dimensiones</t>
  </si>
  <si>
    <t>En los primeros 7 gráficos controlar que los datos no se superpongan</t>
  </si>
  <si>
    <t>ültimos 2 gráficos ver de actualizar los datos del evolutivo en la solapa anterior "Dimensiones"</t>
  </si>
  <si>
    <t>uno en los siguientes rangos M35:Q39</t>
  </si>
  <si>
    <t>uno en los siguientes rangos M42:Q44</t>
  </si>
  <si>
    <t>Sintesis</t>
  </si>
  <si>
    <t>No hay que controlar</t>
  </si>
  <si>
    <t>Evolución sintesis</t>
  </si>
  <si>
    <t>Tabla</t>
  </si>
  <si>
    <t>Controlar que hayan 7 máximo por tabla</t>
  </si>
  <si>
    <t>Puede haber un total de 20 tablas</t>
  </si>
  <si>
    <t>En el caso que uno necesite realizar más de 20 tablas o bien realizar tablas a medida realizar los siguientes pasos</t>
  </si>
  <si>
    <t>Duplicar la hoja de TI COPIA que se genera al correr el primer comando SHIFT+CTRL+P o bien importar/copiar la hoja del TI dentro de libro "TI - informe (SH).xlsm"</t>
  </si>
  <si>
    <t>Ojo siempre dejar la columna del Total y cada demografía tiene que estar separada por una columna en BLANCO</t>
  </si>
  <si>
    <t xml:space="preserve">Luego seleccionar la hoja del TI copiado o modificado y correr el siguiente comando SHIFT+CTRL+B </t>
  </si>
  <si>
    <t>Lo que hace la macro es copiar la solapa "Demo" y "Tabla" actualiza los datos con del TI que uno seleccionó</t>
  </si>
  <si>
    <t>Demo</t>
  </si>
  <si>
    <t>Chequear que los rótulos de los gráficos del torta no estén superpuestos</t>
  </si>
  <si>
    <t>Motivo</t>
  </si>
  <si>
    <r>
      <t xml:space="preserve">Cambiar el número de Celda A1 hasta que coincida con los datos de </t>
    </r>
    <r>
      <rPr>
        <b/>
        <sz val="11"/>
        <color theme="1"/>
        <rFont val="Calibri"/>
        <family val="2"/>
        <scheme val="minor"/>
      </rPr>
      <t>Motivo</t>
    </r>
  </si>
  <si>
    <t>Radar</t>
  </si>
  <si>
    <t>NO SE MODIFICAN</t>
  </si>
  <si>
    <t>Hoja2</t>
  </si>
  <si>
    <t>radar1</t>
  </si>
  <si>
    <t>Fijarse que los rectangulos se fijen cerca del gráfico y que coincidan los colores según el área al que correspondan.</t>
  </si>
  <si>
    <t>Indice</t>
  </si>
  <si>
    <t xml:space="preserve">Las filas que figuran en </t>
  </si>
  <si>
    <t>corresponden a los charts / slides de template en powerpoint que NO se modifican</t>
  </si>
  <si>
    <t xml:space="preserve">Actualizar los campos que figuran en </t>
  </si>
  <si>
    <t>Hay que controlar que la palabra coincida con el nombre del título que figura en la celda de al lado</t>
  </si>
  <si>
    <t>ej: en el siguiente ejemplo lo que se modifica es donde dice "DemoG4" se va cambiando el número hasta que coincidan lo que figura en rojo</t>
  </si>
  <si>
    <r>
      <t>Porcentaje de Participación por Demografías</t>
    </r>
    <r>
      <rPr>
        <b/>
        <sz val="11"/>
        <color rgb="FFFF0000"/>
        <rFont val="Calibri"/>
        <family val="2"/>
        <scheme val="minor"/>
      </rPr>
      <t>_x000B_Cargo</t>
    </r>
  </si>
  <si>
    <t>Cargo</t>
  </si>
  <si>
    <t>Importante en la celda C87 tiene que coincidir con el gráfico de torta de Feedback, en la celda de abajo es con la tabla de Feedback</t>
  </si>
  <si>
    <t>Finalizado el control correr la macro  que prepara el .pptx con el siguiente comando</t>
  </si>
  <si>
    <t>SHIFT+CTRL+M</t>
  </si>
  <si>
    <t>DemoG21</t>
  </si>
  <si>
    <t>DemoG22</t>
  </si>
  <si>
    <t>DemoG23</t>
  </si>
  <si>
    <t>DemoG24</t>
  </si>
  <si>
    <t>DemoG25</t>
  </si>
  <si>
    <t>DemoG26</t>
  </si>
  <si>
    <t>DemoG27</t>
  </si>
  <si>
    <t>DemoG28</t>
  </si>
  <si>
    <t>DemoG29</t>
  </si>
  <si>
    <t>DemoG30</t>
  </si>
  <si>
    <t>CTRL+P</t>
  </si>
  <si>
    <t>Argentina</t>
  </si>
  <si>
    <t>Demo6</t>
  </si>
  <si>
    <t>Online</t>
  </si>
  <si>
    <t>Edad</t>
  </si>
  <si>
    <t>Género</t>
  </si>
  <si>
    <t>Freeform 5</t>
  </si>
  <si>
    <t>Freeform 6</t>
  </si>
  <si>
    <t>Freeform 7</t>
  </si>
  <si>
    <t>Freeform 8</t>
  </si>
  <si>
    <t>Freeform 9</t>
  </si>
  <si>
    <t>Freeform 10</t>
  </si>
  <si>
    <t>Freeform 11</t>
  </si>
  <si>
    <t>Freeform 12</t>
  </si>
  <si>
    <t>Freeform 13</t>
  </si>
  <si>
    <t>Freeform 14</t>
  </si>
  <si>
    <t>Freeform 15</t>
  </si>
  <si>
    <t>Freeform 16</t>
  </si>
  <si>
    <t>Freeform 17</t>
  </si>
  <si>
    <t>Freeform 18</t>
  </si>
  <si>
    <t>Freeform 19</t>
  </si>
  <si>
    <t>Freeform 20</t>
  </si>
  <si>
    <t>Freeform 21</t>
  </si>
  <si>
    <t>Freeform 22</t>
  </si>
  <si>
    <t>1 Title</t>
  </si>
  <si>
    <t>9 Rectángulo</t>
  </si>
  <si>
    <t>1 Picture</t>
  </si>
  <si>
    <t>Picture 2</t>
  </si>
  <si>
    <t>5 Slide Number Placeholder</t>
  </si>
  <si>
    <t>8 Title</t>
  </si>
  <si>
    <t>TextBox 16</t>
  </si>
  <si>
    <t>TextBox 30</t>
  </si>
  <si>
    <t>1 Título</t>
  </si>
  <si>
    <t>15 TextBox</t>
  </si>
  <si>
    <t>TextBox 6</t>
  </si>
  <si>
    <t>7 Title</t>
  </si>
  <si>
    <t>14 TextBox</t>
  </si>
  <si>
    <t>16 TextBox</t>
  </si>
  <si>
    <t>19 TextBox</t>
  </si>
  <si>
    <t>3 Subtítulo</t>
  </si>
  <si>
    <t>Rectangle 1</t>
  </si>
  <si>
    <t>Picture 5</t>
  </si>
  <si>
    <t>Rectangle 4</t>
  </si>
  <si>
    <t>11 Rectangle</t>
  </si>
  <si>
    <t>Rectangle 6</t>
  </si>
  <si>
    <t>14 Rectangle</t>
  </si>
  <si>
    <t>10 Título</t>
  </si>
  <si>
    <t>3 Título</t>
  </si>
  <si>
    <t>TextBox 2</t>
  </si>
  <si>
    <t>TextBox 28</t>
  </si>
  <si>
    <t>Rectangle 29</t>
  </si>
  <si>
    <t>Straight Connector 3</t>
  </si>
  <si>
    <t>TextBox 26</t>
  </si>
  <si>
    <t>TextBox 12</t>
  </si>
  <si>
    <t>Straight Connector 13</t>
  </si>
  <si>
    <t>Straight Connector 14</t>
  </si>
  <si>
    <t>Rectangle 15</t>
  </si>
  <si>
    <t>Rectangle 16</t>
  </si>
  <si>
    <t>Text Box 5</t>
  </si>
  <si>
    <t>Subtitle 2</t>
  </si>
  <si>
    <t>TextBox 27</t>
  </si>
  <si>
    <t>Rectangle 28</t>
  </si>
  <si>
    <t>Straight Connector 29</t>
  </si>
  <si>
    <t>TextBox 31</t>
  </si>
  <si>
    <t>Rectangle 34</t>
  </si>
  <si>
    <t>Rectangle 35</t>
  </si>
  <si>
    <t>31 Rectángulo</t>
  </si>
  <si>
    <t>Straight Connector 2</t>
  </si>
  <si>
    <t>Straight Connector 27</t>
  </si>
  <si>
    <t>Straight Connector 30</t>
  </si>
  <si>
    <t>Straight Connector 31</t>
  </si>
  <si>
    <t>Straight Connector 25</t>
  </si>
  <si>
    <t>Straight Connector 26</t>
  </si>
  <si>
    <t>Rectangle 11</t>
  </si>
  <si>
    <t>Rectangle 2</t>
  </si>
  <si>
    <t>20 Title</t>
  </si>
  <si>
    <t>3 Tabla</t>
  </si>
  <si>
    <t>44 CuadroTexto</t>
  </si>
  <si>
    <t>15 Content Placeholder</t>
  </si>
  <si>
    <t>12 Título</t>
  </si>
  <si>
    <t>Subtitle 14</t>
  </si>
  <si>
    <t>Group 5</t>
  </si>
  <si>
    <t>Text Box 760</t>
  </si>
  <si>
    <t>Text Box 761</t>
  </si>
  <si>
    <t>Picture 29</t>
  </si>
  <si>
    <t>Picture 27</t>
  </si>
  <si>
    <t>1 Grupo</t>
  </si>
  <si>
    <t>13 Group</t>
  </si>
  <si>
    <t>TextBox 101</t>
  </si>
  <si>
    <t>TextBox 15</t>
  </si>
  <si>
    <t>TextBox 18</t>
  </si>
  <si>
    <t>TextBox 21</t>
  </si>
  <si>
    <t>TextBox 8</t>
  </si>
  <si>
    <t>TextBox 10</t>
  </si>
  <si>
    <t>TextBox 14</t>
  </si>
  <si>
    <t>Rectangle 17</t>
  </si>
  <si>
    <t>1 TextBox</t>
  </si>
  <si>
    <t>Title 7</t>
  </si>
  <si>
    <t>12 TextBox</t>
  </si>
  <si>
    <t>13 TextBox</t>
  </si>
  <si>
    <t>2 Título</t>
  </si>
  <si>
    <t>Rectangle 13</t>
  </si>
  <si>
    <t>TextBox 3</t>
  </si>
  <si>
    <t>Text Box 3</t>
  </si>
  <si>
    <t>Picture 4</t>
  </si>
  <si>
    <t>Slide Number Placeholder 3</t>
  </si>
  <si>
    <t>Picture 7</t>
  </si>
  <si>
    <t>Content Placeholder 2</t>
  </si>
  <si>
    <t>4 Picture</t>
  </si>
  <si>
    <t>5 Picture</t>
  </si>
  <si>
    <t>Herramienta</t>
  </si>
  <si>
    <t>Benchmarks</t>
  </si>
  <si>
    <t>Porcentaje de Participación por Demografías</t>
  </si>
  <si>
    <t>Representa el promedio de las dimensiones Credibilidad, Respeto _x000D_e Imparcialidad.</t>
  </si>
  <si>
    <t>Representa el promedio aritmético de las 58 sentencias que conforman el Modelo©.</t>
  </si>
  <si>
    <t>Sentencia 58: “Teniendo en cuenta todo, yo diría que este es un excelente lugar para trabajar”</t>
  </si>
  <si>
    <t>Dimensión que evalúa el Respaldo, la Participación y _x000D_el Cuidado de las personas._x000D_</t>
  </si>
  <si>
    <t>Dimensión que evalúa la _x000D_Equidad, la Ausencia de favoritismo y la Justicia.</t>
  </si>
  <si>
    <t>Expresa la forma en que los empleados se relacionan con su Trabajo, con su Equipo y con la Institución.</t>
  </si>
  <si>
    <t>Evalúa la calidad de las Relaciones Interpersonales, _x000D_la Hospitalidad y el Sentido de pertenencia.</t>
  </si>
  <si>
    <t>Camaradería</t>
  </si>
  <si>
    <t>Comentarios de los colaboradores_x000B_Temas más recurrentes – Evolución año anterior_x000B_</t>
  </si>
  <si>
    <t>2013</t>
  </si>
  <si>
    <t>2014</t>
  </si>
  <si>
    <t>Cantidad de Comentarios: 000_x000D_Tasa de Respuesta: 00%</t>
  </si>
  <si>
    <t>ACTUALIZAR</t>
  </si>
  <si>
    <t>“Comente brevemente aquello que considera que, a su juicio, debería MODIFICARSE  _x000D_para hacer de su empresa un lugar aún mejor ”</t>
  </si>
  <si>
    <t>La Credibilidad evalúa la medida en que los jefes comunican adecuadamente acerca de los planes de la compañía, cuando son reconocidos por su habilidad para coordinar y delegar las tareas, y cuando su comportamiento demuestra integridad.</t>
  </si>
  <si>
    <t>Resultados Confianza - Dimensión Credibilidad_x000B_</t>
  </si>
  <si>
    <t>Evolución año anterior y comparación con Benchmarks</t>
  </si>
  <si>
    <t>Indica una diferencia significativa  positiva mayor a los 5 puntos porcentuales respecto al año anterior.</t>
  </si>
  <si>
    <t>Indica una diferencia significativa  negativa mayor a los 5 puntos porcentuales respecto al año anterior.</t>
  </si>
  <si>
    <t>Resultados Confianza - Dimensión Respeto</t>
  </si>
  <si>
    <t>Resultados Confianza - Dimensión Imparcialidad</t>
  </si>
  <si>
    <t>Resultados Dimensión Orgullo</t>
  </si>
  <si>
    <t>Evalúa el sentido de compañerismo del colaborador en su ambiente de trabajo, analizando la calidad de la hospitalidad, de las conmemoraciones y celebraciones, y del sentido de pertenencia.</t>
  </si>
  <si>
    <t>Resultados Dimensión Camaradería</t>
  </si>
  <si>
    <t>PROMEDIO GENERAL</t>
  </si>
  <si>
    <t>xx</t>
  </si>
  <si>
    <t>Nota: Se muestran las primeras 10 sentencias con diferencias significativas mayores a los 5 puntos porcentuales respecto al Promedio General.</t>
  </si>
  <si>
    <t xml:space="preserve">Sub-dimensión </t>
  </si>
  <si>
    <t xml:space="preserve">N°    Sentencia                                                                                           2014   2014 - PG  </t>
  </si>
  <si>
    <t xml:space="preserve">Dimensión </t>
  </si>
  <si>
    <t>Oportunidades de Mejora Confianza</t>
  </si>
  <si>
    <t xml:space="preserve">N°    Sentencia                                                                                        2014    2014 - PG  </t>
  </si>
  <si>
    <t>Promedio y Percepción Gral</t>
  </si>
  <si>
    <t>Jornada Laboral</t>
  </si>
  <si>
    <t>BASE</t>
  </si>
  <si>
    <t>**</t>
  </si>
  <si>
    <t>Promedio CREDIBILIDAD</t>
  </si>
  <si>
    <t>Promedio RESPETO</t>
  </si>
  <si>
    <t>Promedio IMPARCIALIDAD</t>
  </si>
  <si>
    <t>Promedio ORGULLO</t>
  </si>
  <si>
    <t>Promedio CAMARADERÍA</t>
  </si>
  <si>
    <t>Demo7</t>
  </si>
  <si>
    <t>Demo8</t>
  </si>
  <si>
    <t>Demo9</t>
  </si>
  <si>
    <t>Demo10</t>
  </si>
  <si>
    <t>Demo11</t>
  </si>
  <si>
    <t>Demo12</t>
  </si>
  <si>
    <t>Demo13</t>
  </si>
  <si>
    <t>Demo14</t>
  </si>
  <si>
    <t>Demo15</t>
  </si>
  <si>
    <t>Demo16</t>
  </si>
  <si>
    <t>Demo17</t>
  </si>
  <si>
    <t>Demo18</t>
  </si>
  <si>
    <t>Demo19</t>
  </si>
  <si>
    <t>Demo20</t>
  </si>
  <si>
    <t>Demo21</t>
  </si>
  <si>
    <t>Demo22</t>
  </si>
  <si>
    <t>Demo23</t>
  </si>
  <si>
    <t>Demo24</t>
  </si>
  <si>
    <t>Demo25</t>
  </si>
  <si>
    <t>Demo26</t>
  </si>
  <si>
    <t>Demo27</t>
  </si>
  <si>
    <t>Demo28</t>
  </si>
  <si>
    <t>Demo29</t>
  </si>
  <si>
    <t>Demo30</t>
  </si>
  <si>
    <t>Resultados por Cargo</t>
  </si>
  <si>
    <t>Resultados por Edad</t>
  </si>
  <si>
    <t>Resultados por Género</t>
  </si>
  <si>
    <t>Resultados por Nivel de Estudios</t>
  </si>
  <si>
    <t>Resultados por Antigüedad</t>
  </si>
  <si>
    <t>Resultados por Localidad</t>
  </si>
  <si>
    <t>Resultados por Gerencias</t>
  </si>
  <si>
    <t>Resultados por Jornada Laboral</t>
  </si>
  <si>
    <t>Porcentaje de Participación por Demografías Cantidad de Reuniones de Devolución (Feedback)</t>
  </si>
  <si>
    <t>Resultados por Cantidad de reuniones de Devolución (Feedback) Evolución Promedio General</t>
  </si>
  <si>
    <t>ETIQUETA</t>
  </si>
  <si>
    <t>Comparación con año anterior y Benchmark</t>
  </si>
  <si>
    <t>5 Subtítulo</t>
  </si>
  <si>
    <t>AutoShape 3</t>
  </si>
  <si>
    <t>6 Rectángulo</t>
  </si>
  <si>
    <t>Title 4</t>
  </si>
  <si>
    <t>Group 7</t>
  </si>
  <si>
    <t>Rectangle 65</t>
  </si>
  <si>
    <t>Rectangle 97</t>
  </si>
  <si>
    <t>Group 56</t>
  </si>
  <si>
    <t>Rectangle 66</t>
  </si>
  <si>
    <t>Rectangle 118</t>
  </si>
  <si>
    <t>Rectangle 9</t>
  </si>
  <si>
    <t>37 Picture</t>
  </si>
  <si>
    <t>TextBox 1</t>
  </si>
  <si>
    <t>TextBox 9</t>
  </si>
  <si>
    <t>TextBox 11</t>
  </si>
  <si>
    <t>Group 15</t>
  </si>
  <si>
    <t>Group 22</t>
  </si>
  <si>
    <t>Group 26</t>
  </si>
  <si>
    <t>TextBox 29</t>
  </si>
  <si>
    <t>3 Picture</t>
  </si>
  <si>
    <t>14 Subtítulo</t>
  </si>
  <si>
    <t>11 Picture</t>
  </si>
  <si>
    <t>7 Table</t>
  </si>
  <si>
    <t>Rectangle 19</t>
  </si>
  <si>
    <t>9 Chart</t>
  </si>
  <si>
    <t>6 Rectangle</t>
  </si>
  <si>
    <t>6 Título</t>
  </si>
  <si>
    <t>7 Marcador de contenido</t>
  </si>
  <si>
    <t>TextBox 32</t>
  </si>
  <si>
    <t>TextBox 38</t>
  </si>
  <si>
    <t>TextBox 40</t>
  </si>
  <si>
    <t>TextBox 41</t>
  </si>
  <si>
    <t>TextBox 42</t>
  </si>
  <si>
    <t>TextBox 46</t>
  </si>
  <si>
    <t>TextBox 47</t>
  </si>
  <si>
    <t>13 Marcador de contenido</t>
  </si>
  <si>
    <t>2 Group</t>
  </si>
  <si>
    <t>8 Rectangle</t>
  </si>
  <si>
    <t>18 Rectangle</t>
  </si>
  <si>
    <t>Straight Connector 7</t>
  </si>
  <si>
    <t>Straight Connector 11</t>
  </si>
  <si>
    <t>21 TextBox</t>
  </si>
  <si>
    <t>24 TextBox</t>
  </si>
  <si>
    <t>28 Rectangle</t>
  </si>
  <si>
    <t>Imagen 4</t>
  </si>
  <si>
    <t>Table 14</t>
  </si>
  <si>
    <t>4 Rectangle</t>
  </si>
  <si>
    <t>21 Content Placeholder</t>
  </si>
  <si>
    <t>12 Title</t>
  </si>
  <si>
    <t>20 Rectangle</t>
  </si>
  <si>
    <t>Uruguay</t>
  </si>
  <si>
    <t>Paraguay</t>
  </si>
  <si>
    <t>Bolivia</t>
  </si>
  <si>
    <t>3 Rectangle</t>
  </si>
  <si>
    <t>17 Rectangle</t>
  </si>
  <si>
    <t>79%</t>
  </si>
  <si>
    <t>95%</t>
  </si>
  <si>
    <t>+/- 2,75</t>
  </si>
  <si>
    <t>Tasa de respuesta</t>
  </si>
  <si>
    <t>86%</t>
  </si>
  <si>
    <t>Información cuantitativa_x000D__x000D_El formulario recoge información_x000D_cuantitativa acerca de la percepción de_x000D_los colaboradores  sobre_x000D_comportamientos observables en base_x000D_a las relaciones que se establecen en la_x000D_organización._x000D_Esta información es analizada y_x000D_procesada en función de variables_x000D_previamente determinadas como son_x000D_las de Cargo, Edad y Antigüedad, entre_x000D_otras.</t>
  </si>
  <si>
    <t>Información cualitativa_x000D__x000D_Las dos preguntas abiertas que contiene el formulario brindan información cualitativa acerca de los aspectos que los colaboradores consideran excepcionales y aquellos que deberían modificarse en la organización._x000D_Esta información permite obtener un entendimiento más profundo de las temáticas que subyacen en la organización en relación al clima. Se encuentra integrada al análisis a nivel consolidado.</t>
  </si>
  <si>
    <t>La encuesta Trust Index© contiene 58 afirmaciones en una escala Likert (1 a 5) que presenta las siguientes opciones:_x000D_</t>
  </si>
  <si>
    <t>Para calcular la favorabilidad de cada sentencia, se toman en cuenta las respuestas 4 y 5 que indican “frecuentemente es verdad” y “casi siempre es verdad”, y se computan como proporción del número total de respuestas válidas para esa sentencia, excluyendo las respuestas en blanco. _x000D_El margen de error al que se hace referencia en los resultados está expresado en porcentaje de error para un 95% de confianza estadística. _x000D_Cuando hay menos de 6 respuestas en una demografía NO se muestran los datos para no vulnerar el anonimato.</t>
  </si>
  <si>
    <t>Trust Index©: Metodología utilizada</t>
  </si>
  <si>
    <t>1 = Casi siempre es falso_x000D__x000D_2 = Frecuentemente es falso_x000D__x000D_3 = A veces es falso / a veces es verdad_x000D__x000D_4 = Frecuentemente es verdad _x000D__x000D_5 = Casi siempre es verdad</t>
  </si>
  <si>
    <t xml:space="preserve">escala Likert </t>
  </si>
  <si>
    <t>_x000D_Las Mejores Empresas para Trabajar 2014_x000D_Mercado 2013-2014</t>
  </si>
  <si>
    <t>Evolución Promedio General</t>
  </si>
  <si>
    <t>Año 2015</t>
  </si>
  <si>
    <t>El principal motivo por el que permanezco en esta empresa es</t>
  </si>
  <si>
    <t>Si soy tratado injustamente, creo que, tendré la oportunidad de ser escuchado y de recibir un trato justo.</t>
  </si>
  <si>
    <t>Comentarios de los colaboradores_x000B_Temas más recurrentes_x000B_</t>
  </si>
  <si>
    <t>2015</t>
  </si>
  <si>
    <t>8 TextBox</t>
  </si>
  <si>
    <t>Menos de 25 años</t>
  </si>
  <si>
    <t>25 a 34 años</t>
  </si>
  <si>
    <t>45 a 54 años</t>
  </si>
  <si>
    <t>55 años o más</t>
  </si>
  <si>
    <t>Más de 10 años</t>
  </si>
  <si>
    <t>Para mi el crecimiento y desarrollo laboral es principalmente…</t>
  </si>
  <si>
    <t>-</t>
  </si>
  <si>
    <t>En esta empresa se pueden cumplir mis aspiraciones profesionales</t>
  </si>
  <si>
    <t>En mi posición se aprovechan mis conocimientos y habilidades</t>
  </si>
  <si>
    <t>Se evalúa mi desempeño con criterios claros y objetivos.</t>
  </si>
  <si>
    <t>Mi desempeño se evalúa en forma justa.</t>
  </si>
  <si>
    <t>Los jefes me orientan en cómo puedo mejorar mi trabajo.</t>
  </si>
  <si>
    <t>Trabajando en esta empresa me estoy desarrollando profesionalmente</t>
  </si>
  <si>
    <t>4 Título</t>
  </si>
  <si>
    <t>57 Triángulo rectángulo</t>
  </si>
  <si>
    <t>58 Triángulo rectángulo</t>
  </si>
  <si>
    <t>1 Imagen</t>
  </si>
  <si>
    <t>4 Marcador de contenido</t>
  </si>
  <si>
    <t>37 Imagen</t>
  </si>
  <si>
    <t>5 Marcador de número de diapositiva</t>
  </si>
  <si>
    <t>8 Título</t>
  </si>
  <si>
    <t>23 Subtítulo</t>
  </si>
  <si>
    <t>3 Imagen</t>
  </si>
  <si>
    <t>9 CuadroTexto</t>
  </si>
  <si>
    <t>15 CuadroTexto</t>
  </si>
  <si>
    <t>11 Imagen</t>
  </si>
  <si>
    <t>7 Tabla</t>
  </si>
  <si>
    <t>9 Gráfico</t>
  </si>
  <si>
    <t>7 Título</t>
  </si>
  <si>
    <t>5 Título</t>
  </si>
  <si>
    <t>7 Subtítulo</t>
  </si>
  <si>
    <t>2 Grupo</t>
  </si>
  <si>
    <t>2 Marcador de contenido</t>
  </si>
  <si>
    <t>720 Subtítulo</t>
  </si>
  <si>
    <t>8 Rectángulo</t>
  </si>
  <si>
    <t>18 Rectángulo</t>
  </si>
  <si>
    <t>12 Subtítulo</t>
  </si>
  <si>
    <t>14 CuadroTexto</t>
  </si>
  <si>
    <t>16 CuadroTexto</t>
  </si>
  <si>
    <t>19 CuadroTexto</t>
  </si>
  <si>
    <t>21 CuadroTexto</t>
  </si>
  <si>
    <t>24 CuadroTexto</t>
  </si>
  <si>
    <t>21 Marcador de contenido</t>
  </si>
  <si>
    <t>20 Rectángulo</t>
  </si>
  <si>
    <t>11 Rectángulo</t>
  </si>
  <si>
    <t>14 Rectángulo</t>
  </si>
  <si>
    <t>20 Título</t>
  </si>
  <si>
    <t>15 Marcador de contenido</t>
  </si>
  <si>
    <t>13 Grupo</t>
  </si>
  <si>
    <t>1 CuadroTexto</t>
  </si>
  <si>
    <t>1 Triángulo isósceles</t>
  </si>
  <si>
    <t>12 CuadroTexto</t>
  </si>
  <si>
    <t>13 CuadroTexto</t>
  </si>
  <si>
    <t>8 CuadroTexto</t>
  </si>
  <si>
    <t>Title 1</t>
  </si>
  <si>
    <t>44 Imagen</t>
  </si>
  <si>
    <t>2 Rectángulo</t>
  </si>
  <si>
    <t>3 Marcador de número de diapositiva</t>
  </si>
  <si>
    <t>4 Imagen</t>
  </si>
  <si>
    <t>5 Imagen</t>
  </si>
  <si>
    <t>Porcentaje de Participación por Demografías Tiempo de Permanencia</t>
  </si>
  <si>
    <t>Resultados por Tiempo de Permanencia Promedio General</t>
  </si>
  <si>
    <t>INVESTIGACION</t>
  </si>
  <si>
    <t xml:space="preserve">Acciones que más favorecen el crecimiento y desarrollo laboral </t>
  </si>
  <si>
    <t xml:space="preserve">Crecimiento y Desarrollo Laboral </t>
  </si>
  <si>
    <t>Subtitle 3</t>
  </si>
  <si>
    <t>Picture 3</t>
  </si>
  <si>
    <t>Informe de Resultados Trust Index©</t>
  </si>
  <si>
    <t>Estudio del ambiente laboral</t>
  </si>
  <si>
    <t>Fecha</t>
  </si>
  <si>
    <t>Contenido</t>
  </si>
  <si>
    <t>Quiénes somos</t>
  </si>
  <si>
    <t>Beneficios</t>
  </si>
  <si>
    <t>Nuestro abordaje</t>
  </si>
  <si>
    <t>Nuestro Modelo</t>
  </si>
  <si>
    <t>Benchmark</t>
  </si>
  <si>
    <t>Resultados _x000D_Trust Index©</t>
  </si>
  <si>
    <t>Próximos pasos</t>
  </si>
  <si>
    <t>Objetivos del Informe</t>
  </si>
  <si>
    <t>El nivel de confianza y la calidad de las relaciones en la organización</t>
  </si>
  <si>
    <t>Evaluar</t>
  </si>
  <si>
    <t xml:space="preserve">Las experiencias de los colaboradores en la organización con aquéllas de los Mejores Lugares para Trabajar y con el Mercado </t>
  </si>
  <si>
    <t>Comparar</t>
  </si>
  <si>
    <t>Los cambios experimentados en las percepciones de los colaboradores</t>
  </si>
  <si>
    <t>Las diferentes tendencias según los cortes demográficos</t>
  </si>
  <si>
    <t xml:space="preserve">	Great Place to Work® es una firma global de investigación, consultoría y formación que ayuda a las organizaciones a identificar, crear y sostener excelentes lugares para trabajar a través del desarrollo de culturas de confianza. Great Place to Work trabaja con empresas, organizaciones sin fines de lucro y entidades gubernamentales en más de 45 países en los cinco continentes</t>
  </si>
  <si>
    <t>¿Quién es Great Place to Work®?</t>
  </si>
  <si>
    <t xml:space="preserve">Nuestra misión es “construir una sociedad mejor ayudando a las organizaciones a transformar sus ambientes de trabajo”. </t>
  </si>
  <si>
    <t>6</t>
  </si>
  <si>
    <t xml:space="preserve">Estadísticas globales </t>
  </si>
  <si>
    <t>Cada año realizamos el estudio de clima más grande del mundo</t>
  </si>
  <si>
    <t>Más de _x000D_7.200 empresas participan en nuestros rankings en más de 45 países_x000D_</t>
  </si>
  <si>
    <t>Más de  5 millones de personas contestan nuestra encuesta Trust Index©</t>
  </si>
  <si>
    <t xml:space="preserve">Publicamos 47 _x000D_listas nacionales, 3 regionales y una mundial </t>
  </si>
  <si>
    <t>Nuevas oficinas</t>
  </si>
  <si>
    <t>Hungría</t>
  </si>
  <si>
    <t>Qatar</t>
  </si>
  <si>
    <t>Singapur</t>
  </si>
  <si>
    <t>Beneficios de ser un excelente lugar para trabajar</t>
  </si>
  <si>
    <t>Comparativo anualizado del retorno del mercado de valores 1997-2013</t>
  </si>
  <si>
    <t>Fuente: Russell Investment Group</t>
  </si>
  <si>
    <t>Comparativo acumulado del retorno del mercado de valores</t>
  </si>
  <si>
    <t>Más confianza, más compromiso</t>
  </si>
  <si>
    <t xml:space="preserve">Fuente: Datos de Great Place to Work® en Argentina 2014 </t>
  </si>
  <si>
    <t>Motivos de permanencia vs. percepción general</t>
  </si>
  <si>
    <t>¿Por qué y cómo se quedan los colaboradores?</t>
  </si>
  <si>
    <t>Crecer y _x000D_desarrollarme_x000D_profesionalmente</t>
  </si>
  <si>
    <t>89%</t>
  </si>
  <si>
    <t>54%</t>
  </si>
  <si>
    <t>Armonizar el_x000D_trabajo con mi_x000D_vida personal</t>
  </si>
  <si>
    <t>La remuneración y los beneficios_x000D_74%</t>
  </si>
  <si>
    <t>El despido como recurso de última instancia_x000D_50%</t>
  </si>
  <si>
    <t>Fuente: Las Mejores Empresas para Trabajar en la Argentina, edición  2014_x000D_</t>
  </si>
  <si>
    <t xml:space="preserve">¿En qué medida los LÍDERES se apropian de las políticas y prácticas de la organización generando una cultura de CONFIANZA a través de las relaciones que establecen con los colaboradores?_x000D__x000D_ </t>
  </si>
  <si>
    <t>Nivel de Confianza</t>
  </si>
  <si>
    <t>Great Place to Work® ha desarrollado y validado mundialmente un modelo para el entendimiento y estudio del  clima organizacional a partir de la construcción, reconocimiento e interacción de las tres relaciones existentes en cualquier lugar de trabajo:_x000D__x000D_La relación entre los empleados y sus jefes. _x000D_La relación entre los empleados y su trabajo. _x000D_La relación entre los empleados y sus compañeros de trabajo._x000D_</t>
  </si>
  <si>
    <t>Perspectiva del Colaborador</t>
  </si>
  <si>
    <t>Modelo Great Place to Work®</t>
  </si>
  <si>
    <t xml:space="preserve">Modelo© Great Place to Work®: </t>
  </si>
  <si>
    <t>¿Qué evalúa?</t>
  </si>
  <si>
    <t>Presentación de resultados</t>
  </si>
  <si>
    <t>El presente informe contiene los resultados de la evaluación Trust Index© realizada en la organización y permite abordar el análisis sobre el clima organizacional a partir de dos visiones particulares:_x000D_</t>
  </si>
  <si>
    <t>Mirada interna_x000D__x000D_Permite analizar:_x000D_El nivel de confianza y la calidad de las relaciones en la organización_x000D_Los cambios experimentados en las percepciones de los colaboradores_x000D_Las diferentes tendencias según los cortes demográficos</t>
  </si>
  <si>
    <t>Mirada externa_x000D__x000D_Permite comparar las experiencias de los colaboradores en la organización con aquéllas de Las Mejores Empresas para Trabajar</t>
  </si>
  <si>
    <t>Características del benchmark 2014</t>
  </si>
  <si>
    <t>Las Mejores Empresas para Trabajar en la Argentina 2014_x000D_Cada año Great Place to Work® selecciona a Las Mejores Empresas para Trabajar en más de 45 países alrededor del mundo a través de  un riguroso proceso de evaluación y análisis de las opiniones de los empleados y de la cultura organizacional._x000D__x000D_Mercado 2014_x000D_El Mercado abarca la totalidad de las empresas que utilizaron la metodología de Great Place to Work® durante el período 2013- 2014 para medir su clima organizacional sin haber alcanzado los estándares de excelencia del Instituto._x000D_</t>
  </si>
  <si>
    <t>Las Mejores Empresas para Trabajar en la Argentina 2014</t>
  </si>
  <si>
    <t>185</t>
  </si>
  <si>
    <t>Cantidad de_x000D_empresas</t>
  </si>
  <si>
    <t>40</t>
  </si>
  <si>
    <t>Colaboradores Encuestados</t>
  </si>
  <si>
    <t>96.700</t>
  </si>
  <si>
    <t>62.000</t>
  </si>
  <si>
    <t>Nivel de confianza</t>
  </si>
  <si>
    <t>Margen de error</t>
  </si>
  <si>
    <t>+/- 1,70</t>
  </si>
  <si>
    <t>Ranking 2014</t>
  </si>
  <si>
    <t>Las Mejores Empresas para Trabajar en la Argentina 2014_x000D_</t>
  </si>
  <si>
    <t>Categoría: Más de 1000 empleados</t>
  </si>
  <si>
    <t>Categoría: 251 a 1000 empleados</t>
  </si>
  <si>
    <t>Categoría: Hasta 250 empleados</t>
  </si>
  <si>
    <t>Características del Benchmark</t>
  </si>
  <si>
    <t>Las Mejores / Mercado</t>
  </si>
  <si>
    <t>Para la elaboración de este informe se considera la siguiente información obtenida a través del formulario Trust Index© que completan los colaboradores:_x000D_</t>
  </si>
  <si>
    <t>Fuentes de Información</t>
  </si>
  <si>
    <t>_x000D__x000D_Encuesta con 58 sentencias Trust Index©_x000D_2 preguntas abiertas _x000D_</t>
  </si>
  <si>
    <t>XX1</t>
  </si>
  <si>
    <t>XX2</t>
  </si>
  <si>
    <t>Indicadores Globales</t>
  </si>
  <si>
    <t>Ambiente de trabajo</t>
  </si>
  <si>
    <t>Evolución XXXX - 2015</t>
  </si>
  <si>
    <t>Indicadores globales</t>
  </si>
  <si>
    <t>Dimensión que_x000D_evalúa la_x000D_Comunicación,_x000D_Competencia e_x000D_Integridad de _x000D_los jefes.</t>
  </si>
  <si>
    <t>Evolución XXXX-2015</t>
  </si>
  <si>
    <t>Resultados por sentencia - Dimensión Credibilidad_x000B_</t>
  </si>
  <si>
    <t>Los colaboradores se sienten respetados cuando perciben que son respaldados por la organización en el desarrollo de sus actividades, cuando sienten que pueden participar en decisiones que los afectan y cuando se sienten cuidados por sus empleadores.</t>
  </si>
  <si>
    <t>Resultados por sentencia - Dimensión Respeto_x000B_</t>
  </si>
  <si>
    <t>La Imparcialidad se manifiesta en la equidad en la asignación de esfuerzos y retribuciones, objetividad al premiar y promover a las personas. Justicia, entendiendo por tal la ausencia de discriminación y la posibilidad de apelación ante situaciones consideradas como injustas.</t>
  </si>
  <si>
    <t>Resultados por sentencia - Dimensión Imparcialidad_x000B_</t>
  </si>
  <si>
    <t>Expresa la forma en que los colaboradores se relacionan con su trabajo. Las personas pueden sentir orgullo por la tarea que desempeñan, por el equipo que conforman y por la institución para la cual trabajan.</t>
  </si>
  <si>
    <t>Resultados por sentencia - Dimensión Orgullo_x000B_</t>
  </si>
  <si>
    <t>Resultados por sentencia - Dimensión Camaradería_x000B_</t>
  </si>
  <si>
    <t xml:space="preserve">N°    Sentencia                                                                                        2015    2015 - PG  </t>
  </si>
  <si>
    <t xml:space="preserve">Resultados por demografías </t>
  </si>
  <si>
    <t>Cantidad de Reuniones de Devolución (Feedback)</t>
  </si>
  <si>
    <t>Resultados por Cantidad de Reuniones de Devolución (Feedback)</t>
  </si>
  <si>
    <t>Tiempo de Permanencia</t>
  </si>
  <si>
    <t>Resultados por Tiempo de Permanencia</t>
  </si>
  <si>
    <t>Motivo de Permanencia</t>
  </si>
  <si>
    <t>Relación Motivo de Permanencia vs Percepción y Promedio General</t>
  </si>
  <si>
    <t>Referencias:_x000D_El ANGULO de las secciones representa el porcentaje de encuestados que respondió a cada motivo._x000D_El RADIO de las secciones representa la correspondiente percepción general de clima.</t>
  </si>
  <si>
    <t>Investigación Great Place to Work® 2015 _x000B_</t>
  </si>
  <si>
    <t>Cuáles de las siguientes acciones cree que favorecen más su crecimiento y desarrollo profesional?</t>
  </si>
  <si>
    <t>Total respondentes: XXX</t>
  </si>
  <si>
    <t>91</t>
  </si>
  <si>
    <t>Crecimiento y Desarrollo Laboral_x000B_Resultados por sentencia</t>
  </si>
  <si>
    <t>92</t>
  </si>
  <si>
    <t>Interpretando sus resultados</t>
  </si>
  <si>
    <t>Para interpretar sus resultados, recomendamos que relea y analice el material presentado en el siguiente orden: _x000D__x000D_Tasa de respuesta consolidada y por áreas para analizar la participacion de los colaboradores._x000D_Indicadores generales y cuál ha sido la evolución de los mismos. _x000D_Resultados por dimensiones y subdimensiones, poniendo atención a sus fortalezas y oportunidades de mejora así como también a la evolución de estas dimensiones._x000D_Recorra los resultados por los diferentes cortes demográficos y las tendencias que ellos presentan._x000D_Vea los principales motivos por los cuales los colaboradores permanecen en la organización y su relación con la Percepción y el Promedio General._x000D_Repase los temas que presentan  mayor recurrencia entre los comentarios de los colaboradores, y compárelos con las fortalezas y oportunidades de mejora identificadas. _x000D__x000D_El análisis de la información presentada, indica sus FORTALEZAS y ÁREAS DE MEJORA en las cuales concentrar sus esfuerzos para la mejora del clima en los próximos meses. _x000D_</t>
  </si>
  <si>
    <t>Definiendo Acciones</t>
  </si>
  <si>
    <t>La segunda etapa en el ciclo de transformación contempla:_x000D__x000D_Profundizar el grado de análisis y comprensión del diagnóstico Trust Index© mediante la aplicación de herramientas cuantitativas que nos brindan resultados de la distribución de respuestas y del impacto de sentencias en la Percepción General._x000D_Contemplar la necesidad de realizar Grupos Focales para obtener mayor información cualitativa._x000D_Definir los focos de acción que toda la organización deberá trabajar en los próximos meses tendientes a la mejora del clima._x000D_Profundizar el grado de análisis y comprensión del diagnóstico Trust Index© de cada sector mediante reportes específicos que indiquen las principales fortalezas y oportunidades de mejora del sector. _x000D_Definir un plan de acción para cada sector tendiente a la mejora del clima considerando los focos de acción definidos para toda la organización._x000D_Planificar actividades de seguimiento y control de planes de acción y grado de avance ._x000D__x000D_Las definiciones presentadas permiten focalizar sus esfuerzos en la mejora del clima generando un impacto positivo en cada sector, y por lo tanto, en  toda la organización._x000D_</t>
  </si>
  <si>
    <t>Ciclo de transformación</t>
  </si>
  <si>
    <t>Material  Anexo</t>
  </si>
  <si>
    <t>96</t>
  </si>
  <si>
    <t>Trust Index© : ¿Cómo se interpretan los datos?</t>
  </si>
  <si>
    <t>98</t>
  </si>
  <si>
    <t>Listado de Comentarios</t>
  </si>
  <si>
    <t>Great Place to Work® en Argentina _x000D__x000D_Av. Callao 1046, Piso 2º_x000D_(C1023AAQ) Ciudad de Buenos Aires – Argentina_x000D_Tel./Fax: (54-11) 5235-5066 _x000D_ar_informacion@greatplacetowork.com_x000D__x000D_www.greatplacetowork.com.ar_x000D__x000D__x000D_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</si>
  <si>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</si>
  <si>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</si>
  <si>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</si>
  <si>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</si>
  <si>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</si>
  <si>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</si>
  <si>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</si>
  <si>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</si>
  <si>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</si>
  <si>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Antigüedad en la Empresa</t>
  </si>
  <si>
    <t>Jornada Completa</t>
  </si>
  <si>
    <t>Jornada Parcial</t>
  </si>
  <si>
    <t>Más de dos</t>
  </si>
  <si>
    <t>Dos</t>
  </si>
  <si>
    <t>Una</t>
  </si>
  <si>
    <t>Ninguna</t>
  </si>
  <si>
    <t>LAD Consulting</t>
  </si>
  <si>
    <t>LAD Education</t>
  </si>
  <si>
    <t>LAD Customer Services</t>
  </si>
  <si>
    <t>LAD Finance</t>
  </si>
  <si>
    <t>Los jefes me mantienen informado acerca de temas y cambios importantes</t>
  </si>
  <si>
    <t>A las personas aquí se les da bastante responsabilidad.</t>
  </si>
  <si>
    <t>Siento que recibo una parte justa de las ganancias de esta organización</t>
  </si>
  <si>
    <t>Conozco y comprendo la Visión y Estrategia de Oracle Latinoamérica.</t>
  </si>
  <si>
    <t>Los Valores de Oracle LAD son la guía de mi comportamiento en el trabajo.</t>
  </si>
  <si>
    <t>Mi jefe y yo hemos acordado mis objetivos alineados con la estrategia de Oracle LAD.</t>
  </si>
  <si>
    <t>Comprendo la contribución de las otras áreas a los objetivos estratégicos de Oracle Latinoamérica.</t>
  </si>
  <si>
    <t>En el área que me desempeño estamos comprometidos con la satisfacción de nuestros clientes.</t>
  </si>
  <si>
    <t>La gerencia me comunicó los resultados de la encuesta anterior.</t>
  </si>
  <si>
    <t>La gerencia me comunicó los planes de acción elaborados para mejorar nuestro ambiente de trabajo basado en el feedback de la encuesta anterior.</t>
  </si>
  <si>
    <t>Nuestra Visión, Valores e Iniciativas Estratégicas están transformando la cultura de Oracle Latinoamérica, convirtiéndola en un mejor lugar para trabajar.</t>
  </si>
  <si>
    <t>Mi jefe contribuye positivamente a que nuestra empresa sea el mejor lugar para trabajar en la Industria de IT.</t>
  </si>
  <si>
    <t>Tengo un "development plan" que ha sido revisado con mi jefe.</t>
  </si>
  <si>
    <t>Sentencias</t>
  </si>
  <si>
    <t>LAD Facilities</t>
  </si>
  <si>
    <t>LAD HR</t>
  </si>
  <si>
    <t>LAD Customer Care</t>
  </si>
  <si>
    <t>LAD Legal</t>
  </si>
  <si>
    <t>LAD LMS</t>
  </si>
  <si>
    <t>BMK</t>
  </si>
  <si>
    <t>Informe de Resultados TI 2016.pptx</t>
  </si>
  <si>
    <t>G:\Argentina\Operaciones\Material Campaña 2016\Uruguay\Templates</t>
  </si>
  <si>
    <t>G:\Argentina\Operaciones\Material Campaña 2016\Paraguay\Templates</t>
  </si>
  <si>
    <t>G:\Argentina\Operaciones\Material Campaña 2016\Bolivia\Templates</t>
  </si>
  <si>
    <t>Informe de Resultados TI 2016 - 10 Mejores.pptx</t>
  </si>
  <si>
    <t>G:\Argentina\Operaciones\Material Campaña 2016\Argentina\Templates</t>
  </si>
  <si>
    <t>Prom. Gral. Cons</t>
  </si>
  <si>
    <t>Percepción Gral.</t>
  </si>
  <si>
    <t>Cons.</t>
  </si>
  <si>
    <t>Mi jefe comunica de forma clara sus expectativas </t>
  </si>
  <si>
    <t>Puedo hacer cualquier pregunta razonable a mi jefe y recibir una respuesta directa </t>
  </si>
  <si>
    <t>Mi jefe reconoce el esfuerzo y trabajo adicional </t>
  </si>
  <si>
    <t>Mi jefe es accesible y es fácil hablar con él </t>
  </si>
  <si>
    <t>Mi jefe reconoce que pueden cometerse "errores involuntarios" al hacer el trabajo </t>
  </si>
  <si>
    <t>Mi jefe incentiva, considera y responde de forma genuina a nuestras sugerencias e ideas</t>
  </si>
  <si>
    <t>Mi jefe me mantiene informado sobre asuntos y cambios importantes </t>
  </si>
  <si>
    <t>CopyRight © 2016 Great Place to Work ® Institute Inc.</t>
  </si>
  <si>
    <t>Leyenda:</t>
  </si>
  <si>
    <t>Mi jefe confía en que la gente hace un buen trabajo sin tener que supervisarla de forma continua</t>
  </si>
  <si>
    <t>Mi jefe involucra a las personas en las decisiones que afectan sus actividades o su ambiente de trabajo</t>
  </si>
  <si>
    <t>Los valores se muestran sin decimales.</t>
  </si>
  <si>
    <t>Promedio por Dimensión: Representa el porcentaje de respuestas con valores 4 y 5 para el total de preguntas efectivamente respondidas que la componen.</t>
  </si>
  <si>
    <t>Mi jefe cumple sus promesas </t>
  </si>
  <si>
    <t>Mi jefe hace lo que dice </t>
  </si>
  <si>
    <t>Mi jefe conduce el negocio de forma competente </t>
  </si>
  <si>
    <t>PERC.</t>
  </si>
  <si>
    <t>PROM.</t>
  </si>
  <si>
    <t>Cantidad de Reuniones de Feedback en FY16</t>
  </si>
  <si>
    <t>Cloud Services</t>
  </si>
  <si>
    <t>Development</t>
  </si>
  <si>
    <t>GBU´s/IBU´S- Bob Weiler´s / Dontatelli´s Org</t>
  </si>
  <si>
    <t>Global G&amp;A/Manufacturing (SSC &amp; Others)</t>
  </si>
  <si>
    <t>Global IT</t>
  </si>
  <si>
    <t>Global Sales CEO Office</t>
  </si>
  <si>
    <t>Product Support</t>
  </si>
  <si>
    <t>Lob1</t>
  </si>
  <si>
    <t>Eduardo Lopez´s Org (excl. Consulting)</t>
  </si>
  <si>
    <t>LAD Deal Management</t>
  </si>
  <si>
    <t>LAD Finance &amp; Operations (Cheryl McDowell´s)</t>
  </si>
  <si>
    <t>Lob2</t>
  </si>
  <si>
    <t>LAD Licenses &amp; Systems</t>
  </si>
  <si>
    <t>LAD Marketing</t>
  </si>
  <si>
    <t>LAD Recruiting</t>
  </si>
  <si>
    <t>LAD Support</t>
  </si>
  <si>
    <t>Lob3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</si>
  <si>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</si>
  <si>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</si>
  <si>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</si>
  <si>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Arquitect-Screven´s Org</t>
  </si>
  <si>
    <t>Development-All Others</t>
  </si>
  <si>
    <t>Development-Fusion Middleware (Singh Inderjeet´s Org)</t>
  </si>
  <si>
    <t>Coverage Infraestructure (Donatelli´s Org)</t>
  </si>
  <si>
    <t>GBU-All Others</t>
  </si>
  <si>
    <t>GBU-Mike Webster´s Org</t>
  </si>
  <si>
    <t>GBU-Suriano Douglas´s Org</t>
  </si>
  <si>
    <t>GBU´s/IBU´S</t>
  </si>
  <si>
    <t>Finance - Controller Group (Augusto Serrano Villate´s Org)</t>
  </si>
  <si>
    <t>Safra Catz Org-All Others</t>
  </si>
  <si>
    <t>IT - O´Shea´s org</t>
  </si>
  <si>
    <t>IT- All Others</t>
  </si>
  <si>
    <t>Worldwide Alliances &amp; Channel (Penny Philpot´s Org)</t>
  </si>
  <si>
    <t>Worldwide Operations (Jennifer Birk´s Org)</t>
  </si>
  <si>
    <t>Product Support-All Others</t>
  </si>
  <si>
    <t>Product Support-System Disk (Deborah Smith´s Org)</t>
  </si>
  <si>
    <t>LAD Arquitecture</t>
  </si>
  <si>
    <t>LAD Customer Success</t>
  </si>
  <si>
    <t>LAD Pre-Sales Apps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</si>
  <si>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</si>
  <si>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</si>
  <si>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</si>
  <si>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</si>
  <si>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</si>
  <si>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Services-Lopes´s Org</t>
  </si>
  <si>
    <t>Customer Services-Martinez´s Org</t>
  </si>
  <si>
    <t>Customer Services-Operations</t>
  </si>
  <si>
    <t>Customer Services-Perez´s org</t>
  </si>
  <si>
    <t>Deal Management-(Rafael Lara´Org)</t>
  </si>
  <si>
    <t>Education - Oracle University</t>
  </si>
  <si>
    <t>Facilities</t>
  </si>
  <si>
    <t>Finance - McDowell´s org</t>
  </si>
  <si>
    <t>LAD HR - Carolina Florez´s Org</t>
  </si>
  <si>
    <t>Legal</t>
  </si>
  <si>
    <t>LAD Systems Pre-Sales</t>
  </si>
  <si>
    <t>LAD Systems Sales</t>
  </si>
  <si>
    <t>Licenses - Customer Experience</t>
  </si>
  <si>
    <t>Licenses - DB &amp; MDW</t>
  </si>
  <si>
    <t>Licenses - Innovate</t>
  </si>
  <si>
    <t>Licenses - LAD Alliances</t>
  </si>
  <si>
    <t>Licenses - Oracle Direct</t>
  </si>
  <si>
    <t>Licenses - PreSales Tech</t>
  </si>
  <si>
    <t>Licenses - Public Sector</t>
  </si>
  <si>
    <t>Licenses- All Others</t>
  </si>
  <si>
    <t>Licenses - Operation Efficiency (ERP/EPM-HCM)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</si>
  <si>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</si>
  <si>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</si>
  <si>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</si>
  <si>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</si>
  <si>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</si>
  <si>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</si>
  <si>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</si>
  <si>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</si>
  <si>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Región Global</t>
  </si>
  <si>
    <t>Región LAD</t>
  </si>
  <si>
    <t>Año 2016</t>
  </si>
  <si>
    <t>Promedios</t>
  </si>
  <si>
    <t>Región</t>
  </si>
  <si>
    <r>
      <t xml:space="preserve">ORACLE
</t>
    </r>
    <r>
      <rPr>
        <b/>
        <sz val="16"/>
        <color theme="1" tint="0.499984740745262"/>
        <rFont val="Arial"/>
        <family val="2"/>
      </rPr>
      <t>Argentina</t>
    </r>
  </si>
  <si>
    <t>BMK Mejores Empresas Argentina 2015</t>
  </si>
  <si>
    <t>Dif. Argentina FY17 - FY16</t>
  </si>
  <si>
    <t xml:space="preserve">Dif. Argentina FY17 - BMK </t>
  </si>
  <si>
    <t>Adicionales</t>
  </si>
  <si>
    <t>100 a 86%</t>
  </si>
  <si>
    <t>60 a 45%</t>
  </si>
  <si>
    <r>
      <t xml:space="preserve">CopyRight </t>
    </r>
    <r>
      <rPr>
        <b/>
        <vertAlign val="superscript"/>
        <sz val="8"/>
        <color rgb="FF800000"/>
        <rFont val="Arial"/>
        <family val="2"/>
      </rPr>
      <t>©</t>
    </r>
    <r>
      <rPr>
        <b/>
        <sz val="8"/>
        <color rgb="FF800000"/>
        <rFont val="Arial"/>
        <family val="2"/>
      </rPr>
      <t xml:space="preserve"> 2016 Great Place to Work </t>
    </r>
    <r>
      <rPr>
        <b/>
        <vertAlign val="superscript"/>
        <sz val="8"/>
        <color rgb="FF800000"/>
        <rFont val="Arial"/>
        <family val="2"/>
      </rPr>
      <t>®</t>
    </r>
    <r>
      <rPr>
        <b/>
        <sz val="8"/>
        <color rgb="FF800000"/>
        <rFont val="Arial"/>
        <family val="2"/>
      </rPr>
      <t xml:space="preserve"> Institute Inc.</t>
    </r>
  </si>
  <si>
    <t>85 a 61%</t>
  </si>
  <si>
    <t>44 a 0%</t>
  </si>
  <si>
    <t>ORACLE-Argentina FY16_2015.xlsx</t>
  </si>
  <si>
    <t>On Demand Global Operations</t>
  </si>
  <si>
    <t>GBUs / IBUs</t>
  </si>
  <si>
    <t>LAD IT</t>
  </si>
  <si>
    <t>Global Alliances</t>
  </si>
  <si>
    <t>LAD Recruting</t>
  </si>
  <si>
    <t>On Demand Global Operations - Delivery</t>
  </si>
  <si>
    <t>On Demand Global Operations - Bearzi´s org</t>
  </si>
  <si>
    <t>Global - Screven´s org</t>
  </si>
  <si>
    <t>Development - All Others</t>
  </si>
  <si>
    <t>IT - All Others</t>
  </si>
  <si>
    <t>Global Alliances - (Baker, Borellis, Ott, Philpot &amp; Smyers´ org)</t>
  </si>
  <si>
    <t>Product Support - All Others</t>
  </si>
  <si>
    <t>Licenses - Architects</t>
  </si>
  <si>
    <t>Customer Care</t>
  </si>
  <si>
    <t>Customer Success</t>
  </si>
  <si>
    <t>Licenses - PreSales Apps</t>
  </si>
  <si>
    <t>Consulting - All Others</t>
  </si>
  <si>
    <t>Consulting - Delivery</t>
  </si>
  <si>
    <t>Consulting - Sales</t>
  </si>
  <si>
    <t>Customer Services - ACS Sales</t>
  </si>
  <si>
    <t>Customer Services - All Others</t>
  </si>
  <si>
    <t>Customer Services - Lopes´s org</t>
  </si>
  <si>
    <t>Customer Services - Martinez´s org</t>
  </si>
  <si>
    <t>Customer Services - Operations</t>
  </si>
  <si>
    <t>Customer Services - Perez´s org</t>
  </si>
  <si>
    <t>Ruben Garcia´s org</t>
  </si>
  <si>
    <t>HR</t>
  </si>
  <si>
    <t>PreVentas</t>
  </si>
  <si>
    <t>Sales</t>
  </si>
  <si>
    <t>Licenses - All Others</t>
  </si>
  <si>
    <t>Licenses - LAD ERP/EPM</t>
  </si>
  <si>
    <t>Marketing - Borst´s org</t>
  </si>
  <si>
    <t>GLOBAL</t>
  </si>
  <si>
    <t>LAD</t>
  </si>
  <si>
    <t>La oportunidad de crecer y desarrollarme profesional-mente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</si>
</sst>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\ _€_-;\-* #,##0.00\ _€_-;_-* &quot;-&quot;??\ _€_-;_-@_-"/>
    <numFmt numFmtId="164" formatCode="0.00000"/>
    <numFmt numFmtId="165" formatCode="0.000"/>
    <numFmt numFmtId="166" formatCode="_-* #,##0.00_-;\-* #,##0.00_-;_-* &quot;-&quot;??_-;_-@_-"/>
    <numFmt numFmtId="167" formatCode="&quot;R$ &quot;#,##0_);\(&quot;R$ &quot;#,##0\)"/>
    <numFmt numFmtId="168" formatCode="0.0%"/>
  </numFmts>
  <fonts count="1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000000"/>
      <name val="HelveticaNeueLT Std Lt"/>
      <family val="2"/>
    </font>
    <font>
      <sz val="10"/>
      <name val="HelveticaNeueLT Std Lt"/>
      <family val="2"/>
    </font>
    <font>
      <sz val="11"/>
      <color rgb="FF000000"/>
      <name val="Calibri"/>
      <family val="2"/>
    </font>
    <font>
      <sz val="11"/>
      <color theme="1"/>
      <name val="HelveticaNeueLT Std Lt"/>
      <family val="2"/>
    </font>
    <font>
      <sz val="18"/>
      <name val="Futura XBlk BT"/>
      <family val="2"/>
    </font>
    <font>
      <b/>
      <sz val="11"/>
      <color rgb="FFFF0000"/>
      <name val="Calibri"/>
      <family val="2"/>
      <scheme val="minor"/>
    </font>
    <font>
      <sz val="10"/>
      <color theme="1"/>
      <name val="HelveticaNeueLT Std Lt"/>
      <family val="2"/>
    </font>
    <font>
      <sz val="18"/>
      <color theme="0"/>
      <name val="HelveticaNeueLT Std Lt"/>
      <family val="2"/>
    </font>
    <font>
      <b/>
      <sz val="16"/>
      <color theme="1"/>
      <name val="HelveticaNeueLT Std Lt"/>
      <family val="2"/>
    </font>
    <font>
      <sz val="10"/>
      <color rgb="FF000000"/>
      <name val="HelveticaNeueLT Std Lt"/>
      <family val="2"/>
    </font>
    <font>
      <sz val="10"/>
      <color rgb="FF3D3D3D"/>
      <name val="HelveticaNeueLT Std Lt"/>
      <family val="2"/>
    </font>
    <font>
      <b/>
      <sz val="10"/>
      <color rgb="FF3D3D3D"/>
      <name val="HelveticaNeueLT Std Lt"/>
      <family val="2"/>
    </font>
    <font>
      <sz val="11"/>
      <color theme="0"/>
      <name val="HelveticaNeueLT Std Lt"/>
      <family val="2"/>
    </font>
    <font>
      <sz val="11"/>
      <name val="HelveticaNeueLT Std Lt"/>
      <family val="2"/>
    </font>
    <font>
      <sz val="11"/>
      <color rgb="FFFF0000"/>
      <name val="HelveticaNeueLT Std Lt"/>
      <family val="2"/>
    </font>
    <font>
      <b/>
      <i/>
      <sz val="18"/>
      <name val="HelveticaNeueLT Std Lt"/>
      <family val="2"/>
    </font>
    <font>
      <b/>
      <sz val="10"/>
      <name val="HelveticaNeueLT Std Lt"/>
      <family val="2"/>
    </font>
    <font>
      <sz val="15"/>
      <color indexed="20"/>
      <name val="HelveticaNeueLT Std Lt"/>
      <family val="2"/>
    </font>
    <font>
      <b/>
      <sz val="10"/>
      <color indexed="20"/>
      <name val="HelveticaNeueLT Std Lt"/>
      <family val="2"/>
    </font>
    <font>
      <sz val="20"/>
      <name val="HelveticaNeueLT Std Lt"/>
      <family val="2"/>
    </font>
    <font>
      <sz val="12"/>
      <name val="HelveticaNeueLT Std Lt"/>
      <family val="2"/>
    </font>
    <font>
      <b/>
      <sz val="20"/>
      <name val="HelveticaNeueLT Std Lt"/>
      <family val="2"/>
    </font>
    <font>
      <b/>
      <sz val="10.5"/>
      <color theme="1"/>
      <name val="HelveticaNeueLT Std Lt"/>
      <family val="2"/>
    </font>
    <font>
      <sz val="10"/>
      <color theme="0"/>
      <name val="HelveticaNeueLT Std Lt"/>
      <family val="2"/>
    </font>
    <font>
      <sz val="10.5"/>
      <color theme="1"/>
      <name val="HelveticaNeueLT Std Lt"/>
      <family val="2"/>
    </font>
    <font>
      <b/>
      <sz val="10.5"/>
      <color rgb="FF000000"/>
      <name val="HelveticaNeueLT Std Lt"/>
      <family val="2"/>
    </font>
    <font>
      <b/>
      <sz val="10.5"/>
      <color rgb="FF424142"/>
      <name val="HelveticaNeueLT Std Lt"/>
      <family val="2"/>
    </font>
    <font>
      <sz val="9"/>
      <color rgb="FF000000"/>
      <name val="HelveticaNeueLT Std"/>
      <family val="2"/>
    </font>
    <font>
      <sz val="9"/>
      <color rgb="FF3D3D3D"/>
      <name val="HelveticaNeueLT Std"/>
      <family val="2"/>
    </font>
    <font>
      <sz val="11"/>
      <color rgb="FF000000"/>
      <name val="HelveticaNeueLT Std"/>
      <family val="2"/>
    </font>
    <font>
      <sz val="9"/>
      <color theme="1" tint="0.249977111117893"/>
      <name val="HelveticaNeueLT Std"/>
      <family val="2"/>
    </font>
    <font>
      <b/>
      <sz val="10"/>
      <color rgb="FF000000"/>
      <name val="HelveticaNeueLT Std"/>
      <family val="2"/>
    </font>
    <font>
      <b/>
      <sz val="11"/>
      <color rgb="FF005172"/>
      <name val="HelveticaNeueLT Std"/>
      <family val="2"/>
    </font>
    <font>
      <sz val="10"/>
      <color theme="1" tint="0.14999847407452621"/>
      <name val="HelveticaNeueLT Std"/>
      <family val="2"/>
    </font>
    <font>
      <sz val="10"/>
      <name val="HelveticaNeueLT Std"/>
      <family val="2"/>
    </font>
    <font>
      <b/>
      <sz val="11"/>
      <color rgb="FFE19909"/>
      <name val="HelveticaNeueLT Std"/>
      <family val="2"/>
    </font>
    <font>
      <b/>
      <sz val="10"/>
      <color rgb="FF005172"/>
      <name val="HelveticaNeueLT Std"/>
      <family val="2"/>
    </font>
    <font>
      <b/>
      <sz val="11"/>
      <color rgb="FFAA272F"/>
      <name val="HelveticaNeueLT Std"/>
      <family val="2"/>
    </font>
    <font>
      <sz val="11"/>
      <color theme="1" tint="0.249977111117893"/>
      <name val="HelveticaNeueLT Std"/>
      <family val="2"/>
    </font>
    <font>
      <b/>
      <sz val="13"/>
      <color rgb="FF000000"/>
      <name val="HelveticaNeueLT Std Lt"/>
      <family val="2"/>
    </font>
    <font>
      <b/>
      <sz val="13"/>
      <color rgb="FF3D3D3D"/>
      <name val="HelveticaNeueLT Std Lt"/>
      <family val="2"/>
    </font>
    <font>
      <b/>
      <sz val="13"/>
      <color theme="0"/>
      <name val="HelveticaNeueLT Std Lt"/>
      <family val="2"/>
    </font>
    <font>
      <sz val="16"/>
      <color theme="1"/>
      <name val="HelveticaNeueLT Std Lt"/>
      <family val="2"/>
    </font>
    <font>
      <sz val="10"/>
      <color rgb="FF000000"/>
      <name val="HelveticaNeueLT Std"/>
      <family val="2"/>
    </font>
    <font>
      <sz val="12"/>
      <color theme="1"/>
      <name val="HelveticaNeueLT Std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1"/>
      <color theme="1"/>
      <name val="HelveticaNeueLT Std"/>
      <family val="2"/>
    </font>
    <font>
      <sz val="11"/>
      <color theme="0"/>
      <name val="HelveticaNeueLT Std"/>
      <family val="2"/>
    </font>
    <font>
      <sz val="11"/>
      <color theme="1" tint="4.9989318521683403E-2"/>
      <name val="HelveticaNeueLT Std"/>
      <family val="2"/>
    </font>
    <font>
      <b/>
      <sz val="10.5"/>
      <color theme="1"/>
      <name val="HelveticaNeueLT Std"/>
      <family val="2"/>
    </font>
    <font>
      <sz val="12"/>
      <color theme="1" tint="0.249977111117893"/>
      <name val="HelveticaNeueLT Std"/>
      <family val="2"/>
    </font>
    <font>
      <b/>
      <sz val="10.5"/>
      <name val="HelveticaNeueLT Std Lt"/>
      <family val="2"/>
    </font>
    <font>
      <b/>
      <sz val="8"/>
      <color theme="1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0"/>
      <color theme="1" tint="4.9989318521683403E-2"/>
      <name val="HelveticaNeueLT Std"/>
      <family val="2"/>
    </font>
    <font>
      <sz val="14"/>
      <color theme="1"/>
      <name val="HelveticaNeueLT Std Lt"/>
      <family val="2"/>
    </font>
    <font>
      <b/>
      <sz val="11"/>
      <name val="HelveticaNeueLT Std Lt"/>
      <family val="2"/>
    </font>
    <font>
      <b/>
      <sz val="10"/>
      <color theme="1"/>
      <name val="HelveticaNeueLT Std Lt"/>
      <family val="2"/>
    </font>
    <font>
      <b/>
      <sz val="9"/>
      <color theme="1"/>
      <name val="HelveticaNeueLT Std Lt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0"/>
      <color theme="0"/>
      <name val="HelveticaNeueLT Std Lt"/>
      <family val="2"/>
    </font>
    <font>
      <sz val="18"/>
      <color theme="0"/>
      <name val="HelveticaNeueLT Std"/>
      <family val="2"/>
    </font>
    <font>
      <sz val="12"/>
      <name val="HelveticaNeueLT Std"/>
      <family val="2"/>
    </font>
    <font>
      <sz val="16"/>
      <color theme="1"/>
      <name val="HelveticaNeueLT Std"/>
      <family val="2"/>
    </font>
    <font>
      <b/>
      <sz val="16"/>
      <name val="Arial"/>
      <family val="1"/>
    </font>
    <font>
      <sz val="8"/>
      <color theme="1"/>
      <name val="HelveticaNeueLT Std L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HelveticaNeueLT Std Lt"/>
      <family val="2"/>
    </font>
    <font>
      <b/>
      <sz val="11"/>
      <color theme="0"/>
      <name val="HelveticaNeueLT Std Lt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3D3D3D"/>
      <name val="HelveticaNeueLT Std"/>
      <family val="2"/>
    </font>
    <font>
      <sz val="7"/>
      <color rgb="FF000000"/>
      <name val="Verdana"/>
      <family val="2"/>
    </font>
    <font>
      <b/>
      <sz val="16"/>
      <color theme="1" tint="0.499984740745262"/>
      <name val="Arial"/>
      <family val="2"/>
    </font>
    <font>
      <b/>
      <sz val="8"/>
      <color indexed="8"/>
      <name val="Arial"/>
      <family val="2"/>
    </font>
    <font>
      <sz val="4"/>
      <color rgb="FF000000"/>
      <name val="Verdana"/>
      <family val="2"/>
    </font>
    <font>
      <sz val="10"/>
      <color theme="1"/>
      <name val="Calibri"/>
      <family val="2"/>
      <scheme val="minor"/>
    </font>
    <font>
      <b/>
      <sz val="8"/>
      <color rgb="FF800000"/>
      <name val="Arial"/>
      <family val="2"/>
    </font>
    <font>
      <b/>
      <vertAlign val="superscript"/>
      <sz val="8"/>
      <color rgb="FF800000"/>
      <name val="Arial"/>
      <family val="2"/>
    </font>
    <font>
      <b/>
      <sz val="11"/>
      <color theme="3" tint="0.39997558519241921"/>
      <name val="Calibri"/>
      <family val="2"/>
      <scheme val="minor"/>
    </font>
  </fonts>
  <fills count="7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E48F"/>
        <bgColor indexed="64"/>
      </patternFill>
    </fill>
    <fill>
      <patternFill patternType="solid">
        <fgColor rgb="FFE69298"/>
        <bgColor indexed="64"/>
      </patternFill>
    </fill>
    <fill>
      <patternFill patternType="solid">
        <fgColor rgb="FF009FDE"/>
        <bgColor indexed="64"/>
      </patternFill>
    </fill>
    <fill>
      <patternFill patternType="solid">
        <fgColor rgb="FFBDE575"/>
        <bgColor indexed="64"/>
      </patternFill>
    </fill>
    <fill>
      <patternFill patternType="solid">
        <fgColor rgb="FFC34D8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9A8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D6D7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E"/>
        <bgColor indexed="64"/>
      </patternFill>
    </fill>
  </fills>
  <borders count="1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/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/>
      <right/>
      <top/>
      <bottom style="medium">
        <color rgb="FF005172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theme="1" tint="0.499984740745262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9D232C"/>
      </bottom>
      <diagonal/>
    </border>
    <border>
      <left/>
      <right/>
      <top/>
      <bottom style="medium">
        <color rgb="FF61881A"/>
      </bottom>
      <diagonal/>
    </border>
    <border>
      <left/>
      <right/>
      <top/>
      <bottom style="medium">
        <color rgb="FF792951"/>
      </bottom>
      <diagonal/>
    </border>
    <border>
      <left/>
      <right/>
      <top style="medium">
        <color rgb="FF658D1B"/>
      </top>
      <bottom style="medium">
        <color rgb="FF632523"/>
      </bottom>
      <diagonal/>
    </border>
    <border>
      <left/>
      <right/>
      <top style="medium">
        <color rgb="FFAA272F"/>
      </top>
      <bottom style="medium">
        <color rgb="FF005172"/>
      </bottom>
      <diagonal/>
    </border>
    <border>
      <left/>
      <right/>
      <top/>
      <bottom style="medium">
        <color rgb="FFF0AA0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medium">
        <color rgb="FF61881A"/>
      </top>
      <bottom/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9D232C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medium">
        <color rgb="FF808080"/>
      </top>
      <bottom style="thin">
        <color rgb="FF808080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medium">
        <color rgb="FF808080"/>
      </right>
      <top/>
      <bottom style="thin">
        <color theme="0" tint="-0.499984740745262"/>
      </bottom>
      <diagonal/>
    </border>
    <border>
      <left style="medium">
        <color rgb="FF808080"/>
      </left>
      <right/>
      <top/>
      <bottom style="thin">
        <color rgb="FF808080"/>
      </bottom>
      <diagonal/>
    </border>
    <border>
      <left style="medium">
        <color rgb="FF808080"/>
      </left>
      <right/>
      <top style="thin">
        <color rgb="FF808080"/>
      </top>
      <bottom style="medium">
        <color rgb="FF808080"/>
      </bottom>
      <diagonal/>
    </border>
    <border>
      <left/>
      <right/>
      <top style="thin">
        <color rgb="FF808080"/>
      </top>
      <bottom style="medium">
        <color rgb="FF808080"/>
      </bottom>
      <diagonal/>
    </border>
    <border>
      <left/>
      <right/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medium">
        <color rgb="FFAA272F"/>
      </left>
      <right/>
      <top style="medium">
        <color rgb="FFAA272F"/>
      </top>
      <bottom style="medium">
        <color rgb="FFAA272F"/>
      </bottom>
      <diagonal/>
    </border>
    <border>
      <left/>
      <right style="medium">
        <color rgb="FFAA272F"/>
      </right>
      <top style="medium">
        <color rgb="FFAA272F"/>
      </top>
      <bottom style="medium">
        <color rgb="FFAA272F"/>
      </bottom>
      <diagonal/>
    </border>
    <border>
      <left style="medium">
        <color rgb="FFAA272F"/>
      </left>
      <right/>
      <top style="medium">
        <color theme="0"/>
      </top>
      <bottom/>
      <diagonal/>
    </border>
    <border>
      <left style="medium">
        <color rgb="FFAA272F"/>
      </left>
      <right/>
      <top/>
      <bottom/>
      <diagonal/>
    </border>
    <border>
      <left style="medium">
        <color rgb="FFAA272F"/>
      </left>
      <right/>
      <top/>
      <bottom style="medium">
        <color rgb="FFAA272F"/>
      </bottom>
      <diagonal/>
    </border>
    <border>
      <left/>
      <right style="medium">
        <color rgb="FFAA272F"/>
      </right>
      <top/>
      <bottom style="medium">
        <color rgb="FFAA272F"/>
      </bottom>
      <diagonal/>
    </border>
    <border>
      <left/>
      <right style="medium">
        <color rgb="FFAA272F"/>
      </right>
      <top style="medium">
        <color rgb="FFAA272F"/>
      </top>
      <bottom/>
      <diagonal/>
    </border>
    <border>
      <left/>
      <right style="medium">
        <color rgb="FFAA272F"/>
      </right>
      <top/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thin">
        <color rgb="FF808080"/>
      </bottom>
      <diagonal/>
    </border>
    <border>
      <left style="medium">
        <color rgb="FF808080"/>
      </left>
      <right style="medium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rgb="FF808080"/>
      </left>
      <right style="medium">
        <color rgb="FF808080"/>
      </right>
      <top/>
      <bottom/>
      <diagonal/>
    </border>
    <border>
      <left style="medium">
        <color rgb="FF808080"/>
      </left>
      <right style="medium">
        <color rgb="FF808080"/>
      </right>
      <top style="thin">
        <color rgb="FF808080"/>
      </top>
      <bottom style="medium">
        <color rgb="FF808080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rgb="FF808080"/>
      </bottom>
      <diagonal/>
    </border>
    <border>
      <left/>
      <right/>
      <top style="thin">
        <color theme="0" tint="-0.499984740745262"/>
      </top>
      <bottom style="medium">
        <color rgb="FF808080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808080"/>
      </bottom>
      <diagonal/>
    </border>
    <border>
      <left style="thin">
        <color theme="0" tint="-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theme="0" tint="-0.499984740745262"/>
      </right>
      <top style="thin">
        <color rgb="FF808080"/>
      </top>
      <bottom style="thin">
        <color rgb="FF808080"/>
      </bottom>
      <diagonal/>
    </border>
    <border>
      <left style="thin">
        <color theme="0" tint="-0.499984740745262"/>
      </left>
      <right style="thin">
        <color rgb="FF808080"/>
      </right>
      <top style="thin">
        <color rgb="FF808080"/>
      </top>
      <bottom style="thin">
        <color theme="0" tint="-0.499984740745262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0" tint="-0.499984740745262"/>
      </bottom>
      <diagonal/>
    </border>
    <border>
      <left style="thin">
        <color rgb="FF808080"/>
      </left>
      <right style="thin">
        <color theme="0" tint="-0.499984740745262"/>
      </right>
      <top style="thin">
        <color rgb="FF808080"/>
      </top>
      <bottom style="thin">
        <color theme="0" tint="-0.499984740745262"/>
      </bottom>
      <diagonal/>
    </border>
    <border>
      <left/>
      <right style="thin">
        <color rgb="FF808080"/>
      </right>
      <top/>
      <bottom/>
      <diagonal/>
    </border>
    <border>
      <left style="thin">
        <color theme="1" tint="0.499984740745262"/>
      </left>
      <right style="medium">
        <color indexed="23"/>
      </right>
      <top style="thin">
        <color theme="1" tint="0.499984740745262"/>
      </top>
      <bottom style="thin">
        <color rgb="FF808080"/>
      </bottom>
      <diagonal/>
    </border>
    <border>
      <left/>
      <right style="thin">
        <color rgb="FF808080"/>
      </right>
      <top style="thin">
        <color theme="0" tint="-0.499984740745262"/>
      </top>
      <bottom style="thin">
        <color rgb="FF808080"/>
      </bottom>
      <diagonal/>
    </border>
    <border>
      <left style="thin">
        <color rgb="FF808080"/>
      </left>
      <right/>
      <top style="thin">
        <color theme="0" tint="-0.499984740745262"/>
      </top>
      <bottom style="thin">
        <color rgb="FF808080"/>
      </bottom>
      <diagonal/>
    </border>
    <border>
      <left style="thin">
        <color theme="1" tint="0.499984740745262"/>
      </left>
      <right style="medium">
        <color indexed="23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medium">
        <color indexed="23"/>
      </right>
      <top/>
      <bottom/>
      <diagonal/>
    </border>
    <border>
      <left style="thin">
        <color rgb="FF808080"/>
      </left>
      <right style="thin">
        <color indexed="23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medium">
        <color indexed="23"/>
      </right>
      <top style="thin">
        <color rgb="FF808080"/>
      </top>
      <bottom style="thin">
        <color theme="1" tint="0.499984740745262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</borders>
  <cellStyleXfs count="5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1" fillId="0" borderId="0"/>
    <xf numFmtId="0" fontId="2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0" fontId="27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74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0" fillId="45" borderId="35" xfId="0" applyFill="1" applyBorder="1" applyAlignment="1">
      <alignment horizontal="center" vertical="center" wrapText="1"/>
    </xf>
    <xf numFmtId="0" fontId="0" fillId="45" borderId="36" xfId="0" applyFill="1" applyBorder="1" applyAlignment="1">
      <alignment horizontal="center" vertical="center"/>
    </xf>
    <xf numFmtId="0" fontId="0" fillId="45" borderId="37" xfId="0" applyFill="1" applyBorder="1" applyAlignment="1">
      <alignment horizontal="center" vertical="center"/>
    </xf>
    <xf numFmtId="0" fontId="0" fillId="38" borderId="0" xfId="0" applyFill="1" applyAlignment="1">
      <alignment horizontal="center"/>
    </xf>
    <xf numFmtId="0" fontId="0" fillId="38" borderId="0" xfId="0" applyFill="1"/>
    <xf numFmtId="1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38" xfId="0" applyBorder="1" applyAlignment="1">
      <alignment horizontal="left" vertical="center"/>
    </xf>
    <xf numFmtId="0" fontId="0" fillId="0" borderId="40" xfId="0" applyBorder="1" applyAlignment="1">
      <alignment horizontal="left" vertical="center"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1" fillId="0" borderId="0" xfId="44"/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0" fillId="58" borderId="0" xfId="0" applyFill="1"/>
    <xf numFmtId="0" fontId="0" fillId="0" borderId="41" xfId="0" applyBorder="1" applyAlignment="1">
      <alignment vertical="center"/>
    </xf>
    <xf numFmtId="0" fontId="26" fillId="0" borderId="0" xfId="0" applyFont="1"/>
    <xf numFmtId="0" fontId="0" fillId="0" borderId="44" xfId="0" applyBorder="1" applyAlignment="1">
      <alignment horizontal="left" vertical="center" wrapText="1"/>
    </xf>
    <xf numFmtId="0" fontId="0" fillId="0" borderId="44" xfId="0" applyBorder="1" applyAlignment="1">
      <alignment horizontal="left" vertical="center"/>
    </xf>
    <xf numFmtId="0" fontId="0" fillId="0" borderId="44" xfId="0" applyBorder="1" applyAlignment="1">
      <alignment vertical="center"/>
    </xf>
    <xf numFmtId="0" fontId="0" fillId="0" borderId="44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/>
    <xf numFmtId="0" fontId="0" fillId="0" borderId="57" xfId="0" applyBorder="1" applyAlignment="1">
      <alignment horizontal="left" vertical="center" wrapText="1"/>
    </xf>
    <xf numFmtId="0" fontId="0" fillId="0" borderId="58" xfId="0" applyBorder="1" applyAlignment="1">
      <alignment horizontal="left" vertical="center"/>
    </xf>
    <xf numFmtId="0" fontId="0" fillId="0" borderId="59" xfId="0" applyBorder="1" applyAlignment="1">
      <alignment vertical="center"/>
    </xf>
    <xf numFmtId="0" fontId="0" fillId="0" borderId="59" xfId="0" applyBorder="1" applyAlignment="1">
      <alignment horizontal="center" vertical="center" wrapText="1"/>
    </xf>
    <xf numFmtId="0" fontId="0" fillId="40" borderId="35" xfId="0" applyFill="1" applyBorder="1" applyAlignment="1">
      <alignment horizontal="center" vertical="center" wrapText="1"/>
    </xf>
    <xf numFmtId="0" fontId="0" fillId="40" borderId="36" xfId="0" applyFill="1" applyBorder="1" applyAlignment="1">
      <alignment horizontal="center" vertical="center"/>
    </xf>
    <xf numFmtId="0" fontId="0" fillId="40" borderId="37" xfId="0" applyFill="1" applyBorder="1" applyAlignment="1">
      <alignment horizontal="center" vertical="center"/>
    </xf>
    <xf numFmtId="0" fontId="0" fillId="40" borderId="37" xfId="0" applyFill="1" applyBorder="1" applyAlignment="1">
      <alignment horizontal="center" vertical="center" wrapText="1"/>
    </xf>
    <xf numFmtId="0" fontId="16" fillId="0" borderId="0" xfId="0" applyFont="1"/>
    <xf numFmtId="0" fontId="28" fillId="0" borderId="0" xfId="0" applyFont="1"/>
    <xf numFmtId="0" fontId="21" fillId="0" borderId="0" xfId="49"/>
    <xf numFmtId="0" fontId="21" fillId="0" borderId="0" xfId="49" applyAlignment="1">
      <alignment horizontal="center"/>
    </xf>
    <xf numFmtId="0" fontId="30" fillId="47" borderId="42" xfId="0" applyFont="1" applyFill="1" applyBorder="1" applyAlignment="1">
      <alignment horizontal="center" vertical="center" wrapText="1"/>
    </xf>
    <xf numFmtId="0" fontId="31" fillId="38" borderId="0" xfId="0" applyFont="1" applyFill="1" applyAlignment="1">
      <alignment horizontal="center" vertical="center"/>
    </xf>
    <xf numFmtId="0" fontId="26" fillId="0" borderId="0" xfId="0" applyFont="1" applyAlignment="1" applyProtection="1">
      <alignment vertical="center"/>
    </xf>
    <xf numFmtId="0" fontId="26" fillId="0" borderId="0" xfId="0" applyFont="1" applyAlignment="1" applyProtection="1">
      <alignment horizontal="center" vertical="center"/>
    </xf>
    <xf numFmtId="0" fontId="23" fillId="34" borderId="14" xfId="0" applyFont="1" applyFill="1" applyBorder="1" applyAlignment="1">
      <alignment horizontal="left" vertical="center"/>
    </xf>
    <xf numFmtId="0" fontId="23" fillId="34" borderId="14" xfId="0" applyFont="1" applyFill="1" applyBorder="1" applyAlignment="1">
      <alignment vertical="center"/>
    </xf>
    <xf numFmtId="0" fontId="23" fillId="34" borderId="0" xfId="0" applyFont="1" applyFill="1" applyBorder="1" applyAlignment="1">
      <alignment vertical="center"/>
    </xf>
    <xf numFmtId="0" fontId="26" fillId="0" borderId="0" xfId="0" applyFont="1" applyAlignment="1">
      <alignment vertical="center" wrapText="1"/>
    </xf>
    <xf numFmtId="0" fontId="26" fillId="0" borderId="0" xfId="0" applyFont="1" applyAlignment="1" applyProtection="1">
      <alignment vertical="center" wrapText="1"/>
    </xf>
    <xf numFmtId="0" fontId="26" fillId="0" borderId="0" xfId="0" applyFont="1" applyAlignment="1" applyProtection="1">
      <alignment horizontal="center" vertical="center" wrapText="1"/>
    </xf>
    <xf numFmtId="0" fontId="26" fillId="40" borderId="23" xfId="0" applyFont="1" applyFill="1" applyBorder="1" applyAlignment="1" applyProtection="1">
      <alignment vertical="center"/>
    </xf>
    <xf numFmtId="0" fontId="26" fillId="0" borderId="53" xfId="0" applyFont="1" applyBorder="1" applyAlignment="1">
      <alignment vertical="center"/>
    </xf>
    <xf numFmtId="0" fontId="26" fillId="0" borderId="54" xfId="0" applyFont="1" applyBorder="1" applyAlignment="1">
      <alignment vertical="center"/>
    </xf>
    <xf numFmtId="0" fontId="26" fillId="48" borderId="52" xfId="0" applyFont="1" applyFill="1" applyBorder="1" applyAlignment="1" applyProtection="1">
      <alignment vertical="center"/>
    </xf>
    <xf numFmtId="0" fontId="34" fillId="33" borderId="0" xfId="0" applyFont="1" applyFill="1" applyBorder="1" applyAlignment="1">
      <alignment horizontal="center" vertical="center"/>
    </xf>
    <xf numFmtId="0" fontId="26" fillId="48" borderId="18" xfId="0" applyFont="1" applyFill="1" applyBorder="1" applyAlignment="1" applyProtection="1">
      <alignment vertical="center"/>
    </xf>
    <xf numFmtId="0" fontId="26" fillId="48" borderId="25" xfId="0" applyFont="1" applyFill="1" applyBorder="1" applyAlignment="1" applyProtection="1">
      <alignment vertical="center"/>
    </xf>
    <xf numFmtId="0" fontId="35" fillId="41" borderId="23" xfId="0" applyFont="1" applyFill="1" applyBorder="1" applyAlignment="1" applyProtection="1">
      <alignment vertical="center"/>
    </xf>
    <xf numFmtId="0" fontId="26" fillId="49" borderId="18" xfId="0" applyFont="1" applyFill="1" applyBorder="1" applyAlignment="1" applyProtection="1">
      <alignment vertical="center"/>
    </xf>
    <xf numFmtId="0" fontId="34" fillId="0" borderId="14" xfId="0" applyFont="1" applyFill="1" applyBorder="1" applyAlignment="1">
      <alignment horizontal="center" vertical="center"/>
    </xf>
    <xf numFmtId="0" fontId="26" fillId="49" borderId="25" xfId="0" applyFont="1" applyFill="1" applyBorder="1" applyAlignment="1" applyProtection="1">
      <alignment vertical="center"/>
    </xf>
    <xf numFmtId="0" fontId="35" fillId="42" borderId="23" xfId="0" applyFont="1" applyFill="1" applyBorder="1" applyAlignment="1" applyProtection="1">
      <alignment vertical="center"/>
    </xf>
    <xf numFmtId="0" fontId="26" fillId="50" borderId="21" xfId="0" applyFont="1" applyFill="1" applyBorder="1" applyAlignment="1" applyProtection="1">
      <alignment vertical="center"/>
    </xf>
    <xf numFmtId="0" fontId="26" fillId="50" borderId="18" xfId="0" applyFont="1" applyFill="1" applyBorder="1" applyAlignment="1" applyProtection="1">
      <alignment vertical="center"/>
    </xf>
    <xf numFmtId="0" fontId="26" fillId="50" borderId="25" xfId="0" applyFont="1" applyFill="1" applyBorder="1" applyAlignment="1" applyProtection="1">
      <alignment vertical="center"/>
    </xf>
    <xf numFmtId="0" fontId="26" fillId="43" borderId="23" xfId="0" applyFont="1" applyFill="1" applyBorder="1" applyAlignment="1" applyProtection="1">
      <alignment vertical="center"/>
    </xf>
    <xf numFmtId="0" fontId="26" fillId="51" borderId="21" xfId="0" applyFont="1" applyFill="1" applyBorder="1" applyAlignment="1" applyProtection="1">
      <alignment vertical="center"/>
    </xf>
    <xf numFmtId="0" fontId="26" fillId="51" borderId="18" xfId="0" applyFont="1" applyFill="1" applyBorder="1" applyAlignment="1" applyProtection="1">
      <alignment vertical="center"/>
    </xf>
    <xf numFmtId="0" fontId="23" fillId="34" borderId="0" xfId="0" applyFont="1" applyFill="1" applyBorder="1" applyAlignment="1">
      <alignment horizontal="center" vertical="center"/>
    </xf>
    <xf numFmtId="0" fontId="26" fillId="51" borderId="25" xfId="0" applyFont="1" applyFill="1" applyBorder="1" applyAlignment="1" applyProtection="1">
      <alignment vertical="center"/>
    </xf>
    <xf numFmtId="0" fontId="35" fillId="44" borderId="23" xfId="0" applyFont="1" applyFill="1" applyBorder="1" applyAlignment="1" applyProtection="1">
      <alignment vertical="center"/>
    </xf>
    <xf numFmtId="0" fontId="26" fillId="52" borderId="21" xfId="0" applyFont="1" applyFill="1" applyBorder="1" applyAlignment="1" applyProtection="1">
      <alignment vertical="center"/>
    </xf>
    <xf numFmtId="0" fontId="26" fillId="52" borderId="18" xfId="0" applyFont="1" applyFill="1" applyBorder="1" applyAlignment="1" applyProtection="1">
      <alignment vertical="center"/>
    </xf>
    <xf numFmtId="0" fontId="26" fillId="52" borderId="19" xfId="0" applyFont="1" applyFill="1" applyBorder="1" applyAlignment="1" applyProtection="1">
      <alignment vertical="center"/>
    </xf>
    <xf numFmtId="0" fontId="26" fillId="0" borderId="32" xfId="0" applyFont="1" applyBorder="1" applyAlignment="1" applyProtection="1">
      <alignment vertical="center"/>
    </xf>
    <xf numFmtId="0" fontId="26" fillId="0" borderId="29" xfId="0" applyFont="1" applyBorder="1" applyAlignment="1" applyProtection="1">
      <alignment vertical="center"/>
    </xf>
    <xf numFmtId="0" fontId="23" fillId="34" borderId="0" xfId="0" applyFont="1" applyFill="1" applyBorder="1" applyAlignment="1">
      <alignment horizontal="left" vertical="center"/>
    </xf>
    <xf numFmtId="0" fontId="26" fillId="0" borderId="50" xfId="0" applyFont="1" applyBorder="1" applyAlignment="1" applyProtection="1">
      <alignment vertical="center"/>
    </xf>
    <xf numFmtId="0" fontId="26" fillId="40" borderId="32" xfId="0" applyFont="1" applyFill="1" applyBorder="1" applyAlignment="1" applyProtection="1">
      <alignment vertical="center"/>
    </xf>
    <xf numFmtId="0" fontId="34" fillId="0" borderId="11" xfId="0" applyFont="1" applyFill="1" applyBorder="1" applyAlignment="1">
      <alignment horizontal="center" vertical="center"/>
    </xf>
    <xf numFmtId="0" fontId="35" fillId="41" borderId="32" xfId="0" applyFont="1" applyFill="1" applyBorder="1" applyAlignment="1" applyProtection="1">
      <alignment vertical="center"/>
    </xf>
    <xf numFmtId="0" fontId="35" fillId="42" borderId="32" xfId="0" applyFont="1" applyFill="1" applyBorder="1" applyAlignment="1" applyProtection="1">
      <alignment vertical="center"/>
    </xf>
    <xf numFmtId="0" fontId="26" fillId="43" borderId="32" xfId="0" applyFont="1" applyFill="1" applyBorder="1" applyAlignment="1" applyProtection="1">
      <alignment vertical="center"/>
    </xf>
    <xf numFmtId="0" fontId="35" fillId="44" borderId="32" xfId="0" applyFont="1" applyFill="1" applyBorder="1" applyAlignment="1" applyProtection="1">
      <alignment vertical="center"/>
    </xf>
    <xf numFmtId="0" fontId="26" fillId="0" borderId="51" xfId="0" applyFont="1" applyBorder="1" applyAlignment="1" applyProtection="1">
      <alignment vertical="center"/>
    </xf>
    <xf numFmtId="0" fontId="23" fillId="34" borderId="10" xfId="0" applyFont="1" applyFill="1" applyBorder="1" applyAlignment="1">
      <alignment horizontal="left" vertical="center"/>
    </xf>
    <xf numFmtId="0" fontId="23" fillId="37" borderId="14" xfId="0" applyFont="1" applyFill="1" applyBorder="1" applyAlignment="1">
      <alignment horizontal="center" vertical="center"/>
    </xf>
    <xf numFmtId="0" fontId="32" fillId="37" borderId="11" xfId="0" applyFont="1" applyFill="1" applyBorder="1" applyAlignment="1">
      <alignment horizontal="center" vertical="center" wrapText="1"/>
    </xf>
    <xf numFmtId="0" fontId="33" fillId="37" borderId="11" xfId="0" applyFont="1" applyFill="1" applyBorder="1" applyAlignment="1">
      <alignment horizontal="left" vertical="center" wrapText="1"/>
    </xf>
    <xf numFmtId="0" fontId="23" fillId="34" borderId="14" xfId="0" applyFont="1" applyFill="1" applyBorder="1" applyAlignment="1">
      <alignment horizontal="center" vertical="center"/>
    </xf>
    <xf numFmtId="0" fontId="33" fillId="37" borderId="13" xfId="0" applyFont="1" applyFill="1" applyBorder="1" applyAlignment="1">
      <alignment horizontal="left" vertical="center" wrapText="1"/>
    </xf>
    <xf numFmtId="0" fontId="26" fillId="0" borderId="0" xfId="0" applyFont="1" applyAlignment="1">
      <alignment vertical="center" textRotation="90"/>
    </xf>
    <xf numFmtId="0" fontId="37" fillId="0" borderId="0" xfId="0" applyFont="1" applyAlignment="1">
      <alignment vertical="center"/>
    </xf>
    <xf numFmtId="0" fontId="26" fillId="0" borderId="0" xfId="0" applyFont="1" applyAlignment="1">
      <alignment horizontal="center"/>
    </xf>
    <xf numFmtId="0" fontId="38" fillId="0" borderId="0" xfId="0" applyFont="1"/>
    <xf numFmtId="0" fontId="26" fillId="0" borderId="38" xfId="0" applyFont="1" applyBorder="1"/>
    <xf numFmtId="0" fontId="26" fillId="0" borderId="38" xfId="0" applyFont="1" applyBorder="1" applyAlignment="1">
      <alignment horizontal="right"/>
    </xf>
    <xf numFmtId="9" fontId="26" fillId="0" borderId="38" xfId="0" applyNumberFormat="1" applyFont="1" applyBorder="1" applyAlignment="1">
      <alignment horizontal="right"/>
    </xf>
    <xf numFmtId="9" fontId="26" fillId="0" borderId="38" xfId="0" applyNumberFormat="1" applyFont="1" applyBorder="1"/>
    <xf numFmtId="0" fontId="39" fillId="0" borderId="38" xfId="0" applyFont="1" applyBorder="1"/>
    <xf numFmtId="164" fontId="26" fillId="0" borderId="38" xfId="0" applyNumberFormat="1" applyFont="1" applyBorder="1"/>
    <xf numFmtId="0" fontId="39" fillId="36" borderId="38" xfId="0" applyFont="1" applyFill="1" applyBorder="1"/>
    <xf numFmtId="1" fontId="39" fillId="36" borderId="38" xfId="0" applyNumberFormat="1" applyFont="1" applyFill="1" applyBorder="1"/>
    <xf numFmtId="0" fontId="26" fillId="36" borderId="32" xfId="0" applyFont="1" applyFill="1" applyBorder="1"/>
    <xf numFmtId="1" fontId="26" fillId="36" borderId="34" xfId="0" applyNumberFormat="1" applyFont="1" applyFill="1" applyBorder="1"/>
    <xf numFmtId="165" fontId="26" fillId="36" borderId="34" xfId="0" applyNumberFormat="1" applyFont="1" applyFill="1" applyBorder="1"/>
    <xf numFmtId="10" fontId="39" fillId="36" borderId="38" xfId="0" applyNumberFormat="1" applyFont="1" applyFill="1" applyBorder="1"/>
    <xf numFmtId="0" fontId="40" fillId="46" borderId="28" xfId="0" applyFont="1" applyFill="1" applyBorder="1" applyAlignment="1">
      <alignment horizontal="center"/>
    </xf>
    <xf numFmtId="0" fontId="26" fillId="0" borderId="39" xfId="0" applyFont="1" applyBorder="1" applyAlignment="1">
      <alignment horizontal="center"/>
    </xf>
    <xf numFmtId="1" fontId="41" fillId="0" borderId="31" xfId="0" applyNumberFormat="1" applyFont="1" applyBorder="1" applyAlignment="1">
      <alignment horizontal="center"/>
    </xf>
    <xf numFmtId="0" fontId="26" fillId="0" borderId="43" xfId="0" applyFont="1" applyBorder="1"/>
    <xf numFmtId="0" fontId="26" fillId="0" borderId="44" xfId="0" applyFont="1" applyBorder="1"/>
    <xf numFmtId="0" fontId="26" fillId="0" borderId="0" xfId="0" applyFont="1" applyBorder="1"/>
    <xf numFmtId="0" fontId="26" fillId="37" borderId="0" xfId="0" applyFont="1" applyFill="1"/>
    <xf numFmtId="0" fontId="26" fillId="39" borderId="0" xfId="0" applyFont="1" applyFill="1" applyBorder="1" applyAlignment="1">
      <alignment horizontal="center"/>
    </xf>
    <xf numFmtId="0" fontId="26" fillId="0" borderId="0" xfId="0" applyFont="1" applyBorder="1" applyAlignment="1">
      <alignment horizontal="center" vertical="center"/>
    </xf>
    <xf numFmtId="0" fontId="42" fillId="0" borderId="0" xfId="0" applyFont="1" applyFill="1" applyAlignment="1">
      <alignment horizontal="center" vertical="center"/>
    </xf>
    <xf numFmtId="0" fontId="43" fillId="0" borderId="0" xfId="0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36" fillId="0" borderId="14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3" fontId="24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/>
    <xf numFmtId="0" fontId="54" fillId="53" borderId="45" xfId="0" applyFont="1" applyFill="1" applyBorder="1" applyAlignment="1">
      <alignment horizontal="left" vertical="center" wrapText="1"/>
    </xf>
    <xf numFmtId="0" fontId="54" fillId="53" borderId="46" xfId="0" applyFont="1" applyFill="1" applyBorder="1" applyAlignment="1">
      <alignment horizontal="left" vertical="center" wrapText="1"/>
    </xf>
    <xf numFmtId="0" fontId="54" fillId="53" borderId="46" xfId="0" applyFont="1" applyFill="1" applyBorder="1" applyAlignment="1">
      <alignment horizontal="center" vertical="center" wrapText="1"/>
    </xf>
    <xf numFmtId="0" fontId="54" fillId="53" borderId="47" xfId="0" applyFont="1" applyFill="1" applyBorder="1" applyAlignment="1">
      <alignment horizontal="center" vertical="center" wrapText="1"/>
    </xf>
    <xf numFmtId="0" fontId="55" fillId="37" borderId="0" xfId="0" applyFont="1" applyFill="1" applyBorder="1" applyAlignment="1" applyProtection="1">
      <alignment vertical="center"/>
    </xf>
    <xf numFmtId="0" fontId="56" fillId="37" borderId="0" xfId="0" applyFont="1" applyFill="1" applyBorder="1" applyAlignment="1">
      <alignment horizontal="center" vertical="center" wrapText="1"/>
    </xf>
    <xf numFmtId="0" fontId="56" fillId="37" borderId="0" xfId="0" applyFont="1" applyFill="1" applyBorder="1" applyAlignment="1">
      <alignment horizontal="left" vertical="center" wrapText="1"/>
    </xf>
    <xf numFmtId="0" fontId="57" fillId="0" borderId="0" xfId="0" applyFont="1" applyFill="1" applyBorder="1" applyAlignment="1">
      <alignment horizontal="center" vertical="center"/>
    </xf>
    <xf numFmtId="0" fontId="57" fillId="37" borderId="0" xfId="0" applyFont="1" applyFill="1" applyBorder="1" applyAlignment="1">
      <alignment horizontal="center" vertical="center" wrapText="1"/>
    </xf>
    <xf numFmtId="0" fontId="58" fillId="37" borderId="0" xfId="0" applyFont="1" applyFill="1" applyBorder="1" applyAlignment="1" applyProtection="1">
      <alignment vertical="center"/>
    </xf>
    <xf numFmtId="0" fontId="57" fillId="37" borderId="0" xfId="0" applyFont="1" applyFill="1" applyBorder="1" applyAlignment="1">
      <alignment horizontal="center" vertical="center"/>
    </xf>
    <xf numFmtId="0" fontId="59" fillId="37" borderId="0" xfId="0" applyFont="1" applyFill="1" applyBorder="1" applyAlignment="1">
      <alignment horizontal="left" vertical="center" wrapText="1"/>
    </xf>
    <xf numFmtId="0" fontId="60" fillId="37" borderId="0" xfId="0" applyFont="1" applyFill="1" applyBorder="1" applyAlignment="1" applyProtection="1">
      <alignment vertical="center"/>
    </xf>
    <xf numFmtId="0" fontId="42" fillId="0" borderId="0" xfId="0" applyFont="1" applyFill="1" applyAlignment="1"/>
    <xf numFmtId="0" fontId="26" fillId="0" borderId="0" xfId="0" applyFont="1" applyFill="1"/>
    <xf numFmtId="0" fontId="26" fillId="0" borderId="0" xfId="0" applyFont="1" applyFill="1" applyAlignment="1">
      <alignment wrapText="1"/>
    </xf>
    <xf numFmtId="0" fontId="36" fillId="0" borderId="0" xfId="0" applyFont="1" applyFill="1" applyBorder="1" applyAlignment="1">
      <alignment horizontal="center" vertical="center"/>
    </xf>
    <xf numFmtId="0" fontId="36" fillId="0" borderId="71" xfId="0" applyFont="1" applyFill="1" applyBorder="1" applyAlignment="1">
      <alignment horizontal="center" vertical="center"/>
    </xf>
    <xf numFmtId="0" fontId="36" fillId="0" borderId="72" xfId="0" applyFont="1" applyFill="1" applyBorder="1" applyAlignment="1">
      <alignment horizontal="center" vertical="center"/>
    </xf>
    <xf numFmtId="0" fontId="36" fillId="0" borderId="73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Alignment="1">
      <alignment vertical="center"/>
    </xf>
    <xf numFmtId="0" fontId="18" fillId="0" borderId="0" xfId="0" applyFont="1" applyFill="1" applyAlignment="1"/>
    <xf numFmtId="0" fontId="0" fillId="0" borderId="0" xfId="0" applyFont="1" applyFill="1"/>
    <xf numFmtId="0" fontId="0" fillId="0" borderId="0" xfId="0" applyFill="1" applyAlignment="1">
      <alignment wrapText="1"/>
    </xf>
    <xf numFmtId="0" fontId="62" fillId="34" borderId="0" xfId="0" applyFont="1" applyFill="1" applyBorder="1" applyAlignment="1">
      <alignment horizontal="center" vertical="center"/>
    </xf>
    <xf numFmtId="0" fontId="62" fillId="37" borderId="14" xfId="0" applyFont="1" applyFill="1" applyBorder="1" applyAlignment="1">
      <alignment horizontal="center" vertical="center" wrapText="1"/>
    </xf>
    <xf numFmtId="0" fontId="62" fillId="37" borderId="55" xfId="0" applyFont="1" applyFill="1" applyBorder="1" applyAlignment="1">
      <alignment horizontal="center" vertical="center" wrapText="1"/>
    </xf>
    <xf numFmtId="0" fontId="63" fillId="0" borderId="14" xfId="0" applyFont="1" applyFill="1" applyBorder="1" applyAlignment="1">
      <alignment horizontal="center" vertical="center"/>
    </xf>
    <xf numFmtId="0" fontId="62" fillId="34" borderId="14" xfId="0" applyFont="1" applyFill="1" applyBorder="1" applyAlignment="1">
      <alignment horizontal="center" vertical="center"/>
    </xf>
    <xf numFmtId="0" fontId="64" fillId="59" borderId="56" xfId="0" applyFont="1" applyFill="1" applyBorder="1" applyAlignment="1">
      <alignment horizontal="center" vertical="center" wrapText="1"/>
    </xf>
    <xf numFmtId="0" fontId="26" fillId="68" borderId="0" xfId="0" applyFont="1" applyFill="1"/>
    <xf numFmtId="0" fontId="23" fillId="68" borderId="14" xfId="0" applyFont="1" applyFill="1" applyBorder="1" applyAlignment="1">
      <alignment horizontal="center" vertical="center" wrapText="1"/>
    </xf>
    <xf numFmtId="0" fontId="65" fillId="0" borderId="0" xfId="0" applyFont="1"/>
    <xf numFmtId="0" fontId="26" fillId="0" borderId="0" xfId="0" applyFont="1" applyFill="1" applyAlignment="1">
      <alignment horizontal="left"/>
    </xf>
    <xf numFmtId="0" fontId="26" fillId="0" borderId="0" xfId="0" applyFont="1" applyFill="1" applyAlignment="1">
      <alignment horizontal="center" wrapText="1"/>
    </xf>
    <xf numFmtId="0" fontId="26" fillId="0" borderId="0" xfId="0" applyFont="1" applyFill="1" applyAlignment="1">
      <alignment horizontal="center"/>
    </xf>
    <xf numFmtId="0" fontId="26" fillId="0" borderId="0" xfId="0" applyFont="1" applyFill="1" applyAlignment="1"/>
    <xf numFmtId="0" fontId="26" fillId="0" borderId="0" xfId="0" applyFont="1" applyFill="1" applyBorder="1"/>
    <xf numFmtId="0" fontId="26" fillId="0" borderId="0" xfId="0" applyFont="1" applyFill="1" applyBorder="1" applyAlignment="1">
      <alignment horizontal="center" wrapText="1"/>
    </xf>
    <xf numFmtId="0" fontId="26" fillId="0" borderId="0" xfId="0" applyFont="1" applyFill="1" applyBorder="1" applyAlignment="1">
      <alignment horizontal="center"/>
    </xf>
    <xf numFmtId="0" fontId="29" fillId="0" borderId="0" xfId="0" applyFont="1" applyFill="1" applyAlignment="1">
      <alignment horizontal="left"/>
    </xf>
    <xf numFmtId="0" fontId="45" fillId="0" borderId="0" xfId="0" applyFont="1" applyFill="1"/>
    <xf numFmtId="0" fontId="46" fillId="0" borderId="0" xfId="0" applyFont="1" applyFill="1" applyBorder="1" applyAlignment="1">
      <alignment horizontal="center" vertical="top" wrapText="1"/>
    </xf>
    <xf numFmtId="0" fontId="29" fillId="0" borderId="0" xfId="0" applyFont="1" applyFill="1"/>
    <xf numFmtId="0" fontId="29" fillId="0" borderId="0" xfId="0" applyFont="1" applyFill="1" applyAlignment="1"/>
    <xf numFmtId="0" fontId="47" fillId="0" borderId="0" xfId="0" applyFont="1" applyFill="1" applyAlignment="1">
      <alignment horizontal="left" vertical="center" wrapText="1"/>
    </xf>
    <xf numFmtId="0" fontId="48" fillId="0" borderId="0" xfId="0" applyFont="1" applyFill="1" applyAlignment="1">
      <alignment horizontal="right" vertical="center" wrapText="1"/>
    </xf>
    <xf numFmtId="0" fontId="45" fillId="0" borderId="0" xfId="0" applyFont="1" applyFill="1" applyAlignment="1">
      <alignment horizontal="center" vertical="center" wrapText="1"/>
    </xf>
    <xf numFmtId="0" fontId="47" fillId="0" borderId="0" xfId="0" applyFont="1" applyFill="1" applyAlignment="1">
      <alignment vertical="center" wrapText="1"/>
    </xf>
    <xf numFmtId="0" fontId="47" fillId="0" borderId="0" xfId="0" applyFont="1" applyFill="1" applyAlignment="1">
      <alignment vertical="center"/>
    </xf>
    <xf numFmtId="0" fontId="49" fillId="0" borderId="73" xfId="0" applyFont="1" applyFill="1" applyBorder="1" applyAlignment="1">
      <alignment horizontal="left" vertical="center"/>
    </xf>
    <xf numFmtId="0" fontId="49" fillId="0" borderId="0" xfId="0" applyFont="1" applyFill="1" applyBorder="1" applyAlignment="1">
      <alignment horizontal="left" vertical="center"/>
    </xf>
    <xf numFmtId="0" fontId="49" fillId="0" borderId="72" xfId="0" applyFont="1" applyFill="1" applyBorder="1" applyAlignment="1">
      <alignment horizontal="left" vertical="center"/>
    </xf>
    <xf numFmtId="0" fontId="49" fillId="0" borderId="71" xfId="0" applyFont="1" applyFill="1" applyBorder="1" applyAlignment="1">
      <alignment horizontal="left" vertical="center"/>
    </xf>
    <xf numFmtId="3" fontId="26" fillId="0" borderId="0" xfId="0" applyNumberFormat="1" applyFont="1" applyFill="1" applyAlignment="1"/>
    <xf numFmtId="0" fontId="29" fillId="0" borderId="0" xfId="0" applyFont="1" applyFill="1" applyBorder="1" applyAlignment="1">
      <alignment horizontal="center" wrapText="1"/>
    </xf>
    <xf numFmtId="0" fontId="29" fillId="0" borderId="0" xfId="0" applyFont="1" applyFill="1" applyAlignment="1">
      <alignment horizontal="center"/>
    </xf>
    <xf numFmtId="3" fontId="26" fillId="0" borderId="0" xfId="0" applyNumberFormat="1" applyFont="1" applyFill="1"/>
    <xf numFmtId="0" fontId="68" fillId="68" borderId="75" xfId="0" applyFont="1" applyFill="1" applyBorder="1" applyAlignment="1">
      <alignment horizontal="left" vertical="center" wrapText="1"/>
    </xf>
    <xf numFmtId="0" fontId="69" fillId="68" borderId="75" xfId="0" applyFont="1" applyFill="1" applyBorder="1" applyAlignment="1">
      <alignment horizontal="left" vertical="center" wrapText="1"/>
    </xf>
    <xf numFmtId="0" fontId="68" fillId="68" borderId="74" xfId="0" applyFont="1" applyFill="1" applyBorder="1" applyAlignment="1">
      <alignment horizontal="left" vertical="center" wrapText="1"/>
    </xf>
    <xf numFmtId="0" fontId="69" fillId="68" borderId="74" xfId="0" applyFont="1" applyFill="1" applyBorder="1" applyAlignment="1">
      <alignment horizontal="left" vertical="center" wrapText="1"/>
    </xf>
    <xf numFmtId="0" fontId="68" fillId="68" borderId="0" xfId="0" applyFont="1" applyFill="1" applyBorder="1" applyAlignment="1">
      <alignment horizontal="left" vertical="center" wrapText="1"/>
    </xf>
    <xf numFmtId="0" fontId="69" fillId="68" borderId="0" xfId="0" applyFont="1" applyFill="1" applyBorder="1" applyAlignment="1">
      <alignment horizontal="left" vertical="center" wrapText="1"/>
    </xf>
    <xf numFmtId="0" fontId="66" fillId="63" borderId="65" xfId="0" applyFont="1" applyFill="1" applyBorder="1" applyAlignment="1">
      <alignment horizontal="center" vertical="center" wrapText="1"/>
    </xf>
    <xf numFmtId="0" fontId="71" fillId="61" borderId="0" xfId="0" applyFont="1" applyFill="1" applyBorder="1" applyAlignment="1">
      <alignment horizontal="left" vertical="center"/>
    </xf>
    <xf numFmtId="0" fontId="71" fillId="61" borderId="0" xfId="0" applyFont="1" applyFill="1" applyBorder="1" applyAlignment="1">
      <alignment horizontal="center" vertical="center"/>
    </xf>
    <xf numFmtId="0" fontId="71" fillId="61" borderId="0" xfId="0" applyFont="1" applyFill="1" applyBorder="1" applyAlignment="1">
      <alignment horizontal="center" vertical="center" wrapText="1"/>
    </xf>
    <xf numFmtId="0" fontId="71" fillId="61" borderId="65" xfId="0" applyFont="1" applyFill="1" applyBorder="1" applyAlignment="1">
      <alignment horizontal="left" vertical="center"/>
    </xf>
    <xf numFmtId="0" fontId="71" fillId="61" borderId="65" xfId="0" applyFont="1" applyFill="1" applyBorder="1" applyAlignment="1">
      <alignment horizontal="center" vertical="center"/>
    </xf>
    <xf numFmtId="0" fontId="0" fillId="0" borderId="0" xfId="0" applyFill="1" applyAlignment="1"/>
    <xf numFmtId="0" fontId="0" fillId="0" borderId="0" xfId="0" applyFont="1" applyFill="1" applyAlignment="1">
      <alignment wrapText="1"/>
    </xf>
    <xf numFmtId="0" fontId="26" fillId="0" borderId="0" xfId="0" applyFont="1" applyFill="1" applyBorder="1" applyAlignment="1">
      <alignment horizontal="left"/>
    </xf>
    <xf numFmtId="0" fontId="45" fillId="0" borderId="0" xfId="0" applyFont="1" applyFill="1" applyBorder="1"/>
    <xf numFmtId="0" fontId="29" fillId="0" borderId="0" xfId="0" applyFont="1" applyFill="1" applyBorder="1" applyAlignment="1">
      <alignment horizontal="left"/>
    </xf>
    <xf numFmtId="0" fontId="47" fillId="0" borderId="0" xfId="0" applyFont="1" applyFill="1" applyBorder="1" applyAlignment="1">
      <alignment horizontal="left" vertical="center" wrapText="1"/>
    </xf>
    <xf numFmtId="0" fontId="48" fillId="0" borderId="0" xfId="0" applyFont="1" applyFill="1" applyBorder="1" applyAlignment="1">
      <alignment horizontal="right" vertical="center" wrapText="1"/>
    </xf>
    <xf numFmtId="0" fontId="45" fillId="0" borderId="0" xfId="0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vertical="center" wrapText="1"/>
    </xf>
    <xf numFmtId="0" fontId="36" fillId="0" borderId="0" xfId="0" applyFont="1" applyFill="1" applyBorder="1" applyAlignment="1">
      <alignment horizontal="center" vertical="center" wrapText="1"/>
    </xf>
    <xf numFmtId="0" fontId="29" fillId="0" borderId="0" xfId="0" applyFont="1" applyFill="1" applyBorder="1"/>
    <xf numFmtId="0" fontId="26" fillId="0" borderId="0" xfId="0" applyFont="1" applyFill="1" applyBorder="1" applyAlignment="1"/>
    <xf numFmtId="3" fontId="26" fillId="0" borderId="0" xfId="0" applyNumberFormat="1" applyFont="1" applyFill="1" applyBorder="1" applyAlignment="1"/>
    <xf numFmtId="0" fontId="29" fillId="0" borderId="0" xfId="0" applyFont="1" applyFill="1" applyBorder="1" applyAlignment="1"/>
    <xf numFmtId="0" fontId="47" fillId="0" borderId="0" xfId="0" applyFont="1" applyFill="1" applyBorder="1" applyAlignment="1">
      <alignment vertical="center"/>
    </xf>
    <xf numFmtId="0" fontId="48" fillId="0" borderId="0" xfId="0" applyFont="1" applyFill="1" applyBorder="1" applyAlignment="1">
      <alignment horizontal="right"/>
    </xf>
    <xf numFmtId="3" fontId="26" fillId="0" borderId="0" xfId="0" applyNumberFormat="1" applyFont="1" applyFill="1" applyBorder="1" applyAlignment="1">
      <alignment horizontal="center"/>
    </xf>
    <xf numFmtId="3" fontId="26" fillId="0" borderId="0" xfId="0" applyNumberFormat="1" applyFont="1" applyFill="1" applyBorder="1"/>
    <xf numFmtId="0" fontId="29" fillId="0" borderId="0" xfId="0" applyFont="1" applyFill="1" applyBorder="1" applyAlignment="1">
      <alignment horizontal="center"/>
    </xf>
    <xf numFmtId="1" fontId="70" fillId="67" borderId="0" xfId="0" applyNumberFormat="1" applyFont="1" applyFill="1" applyBorder="1" applyAlignment="1">
      <alignment horizontal="center" vertical="center"/>
    </xf>
    <xf numFmtId="1" fontId="70" fillId="67" borderId="63" xfId="0" applyNumberFormat="1" applyFont="1" applyFill="1" applyBorder="1" applyAlignment="1">
      <alignment horizontal="center" vertical="center"/>
    </xf>
    <xf numFmtId="1" fontId="70" fillId="67" borderId="65" xfId="0" applyNumberFormat="1" applyFont="1" applyFill="1" applyBorder="1" applyAlignment="1">
      <alignment horizontal="center" vertical="center"/>
    </xf>
    <xf numFmtId="1" fontId="62" fillId="34" borderId="0" xfId="0" applyNumberFormat="1" applyFont="1" applyFill="1" applyBorder="1" applyAlignment="1">
      <alignment horizontal="center" vertical="center"/>
    </xf>
    <xf numFmtId="1" fontId="71" fillId="61" borderId="65" xfId="0" applyNumberFormat="1" applyFont="1" applyFill="1" applyBorder="1" applyAlignment="1">
      <alignment horizontal="center" vertical="center"/>
    </xf>
    <xf numFmtId="1" fontId="67" fillId="67" borderId="65" xfId="0" applyNumberFormat="1" applyFont="1" applyFill="1" applyBorder="1" applyAlignment="1">
      <alignment horizontal="center" vertical="center"/>
    </xf>
    <xf numFmtId="1" fontId="71" fillId="61" borderId="0" xfId="0" applyNumberFormat="1" applyFont="1" applyFill="1" applyBorder="1" applyAlignment="1">
      <alignment horizontal="center" vertical="center"/>
    </xf>
    <xf numFmtId="1" fontId="26" fillId="40" borderId="24" xfId="0" applyNumberFormat="1" applyFont="1" applyFill="1" applyBorder="1" applyAlignment="1" applyProtection="1">
      <alignment horizontal="center" vertical="center"/>
    </xf>
    <xf numFmtId="1" fontId="26" fillId="48" borderId="22" xfId="0" applyNumberFormat="1" applyFont="1" applyFill="1" applyBorder="1" applyAlignment="1" applyProtection="1">
      <alignment horizontal="center" vertical="center"/>
    </xf>
    <xf numFmtId="1" fontId="26" fillId="48" borderId="17" xfId="0" applyNumberFormat="1" applyFont="1" applyFill="1" applyBorder="1" applyAlignment="1" applyProtection="1">
      <alignment horizontal="center" vertical="center"/>
    </xf>
    <xf numFmtId="1" fontId="26" fillId="48" borderId="26" xfId="0" applyNumberFormat="1" applyFont="1" applyFill="1" applyBorder="1" applyAlignment="1" applyProtection="1">
      <alignment horizontal="center" vertical="center"/>
    </xf>
    <xf numFmtId="1" fontId="35" fillId="41" borderId="24" xfId="0" applyNumberFormat="1" applyFont="1" applyFill="1" applyBorder="1" applyAlignment="1" applyProtection="1">
      <alignment horizontal="center" vertical="center"/>
    </xf>
    <xf numFmtId="1" fontId="26" fillId="49" borderId="22" xfId="0" applyNumberFormat="1" applyFont="1" applyFill="1" applyBorder="1" applyAlignment="1" applyProtection="1">
      <alignment horizontal="center" vertical="center"/>
    </xf>
    <xf numFmtId="1" fontId="26" fillId="49" borderId="17" xfId="0" applyNumberFormat="1" applyFont="1" applyFill="1" applyBorder="1" applyAlignment="1" applyProtection="1">
      <alignment horizontal="center" vertical="center"/>
    </xf>
    <xf numFmtId="1" fontId="26" fillId="49" borderId="26" xfId="0" applyNumberFormat="1" applyFont="1" applyFill="1" applyBorder="1" applyAlignment="1" applyProtection="1">
      <alignment horizontal="center" vertical="center"/>
    </xf>
    <xf numFmtId="1" fontId="35" fillId="42" borderId="24" xfId="0" applyNumberFormat="1" applyFont="1" applyFill="1" applyBorder="1" applyAlignment="1" applyProtection="1">
      <alignment horizontal="center" vertical="center"/>
    </xf>
    <xf numFmtId="1" fontId="26" fillId="50" borderId="22" xfId="0" applyNumberFormat="1" applyFont="1" applyFill="1" applyBorder="1" applyAlignment="1" applyProtection="1">
      <alignment horizontal="center" vertical="center"/>
    </xf>
    <xf numFmtId="1" fontId="26" fillId="50" borderId="17" xfId="0" applyNumberFormat="1" applyFont="1" applyFill="1" applyBorder="1" applyAlignment="1" applyProtection="1">
      <alignment horizontal="center" vertical="center"/>
    </xf>
    <xf numFmtId="1" fontId="26" fillId="50" borderId="26" xfId="0" applyNumberFormat="1" applyFont="1" applyFill="1" applyBorder="1" applyAlignment="1" applyProtection="1">
      <alignment horizontal="center" vertical="center"/>
    </xf>
    <xf numFmtId="1" fontId="26" fillId="43" borderId="24" xfId="0" applyNumberFormat="1" applyFont="1" applyFill="1" applyBorder="1" applyAlignment="1" applyProtection="1">
      <alignment horizontal="center" vertical="center"/>
    </xf>
    <xf numFmtId="1" fontId="26" fillId="51" borderId="22" xfId="0" applyNumberFormat="1" applyFont="1" applyFill="1" applyBorder="1" applyAlignment="1" applyProtection="1">
      <alignment horizontal="center" vertical="center"/>
    </xf>
    <xf numFmtId="1" fontId="26" fillId="51" borderId="17" xfId="0" applyNumberFormat="1" applyFont="1" applyFill="1" applyBorder="1" applyAlignment="1" applyProtection="1">
      <alignment horizontal="center" vertical="center"/>
    </xf>
    <xf numFmtId="1" fontId="26" fillId="51" borderId="26" xfId="0" applyNumberFormat="1" applyFont="1" applyFill="1" applyBorder="1" applyAlignment="1" applyProtection="1">
      <alignment horizontal="center" vertical="center"/>
    </xf>
    <xf numFmtId="1" fontId="35" fillId="44" borderId="24" xfId="0" applyNumberFormat="1" applyFont="1" applyFill="1" applyBorder="1" applyAlignment="1" applyProtection="1">
      <alignment horizontal="center" vertical="center"/>
    </xf>
    <xf numFmtId="1" fontId="26" fillId="52" borderId="22" xfId="0" applyNumberFormat="1" applyFont="1" applyFill="1" applyBorder="1" applyAlignment="1" applyProtection="1">
      <alignment horizontal="center" vertical="center"/>
    </xf>
    <xf numFmtId="1" fontId="26" fillId="52" borderId="17" xfId="0" applyNumberFormat="1" applyFont="1" applyFill="1" applyBorder="1" applyAlignment="1" applyProtection="1">
      <alignment horizontal="center" vertical="center"/>
    </xf>
    <xf numFmtId="1" fontId="26" fillId="52" borderId="20" xfId="0" applyNumberFormat="1" applyFont="1" applyFill="1" applyBorder="1" applyAlignment="1" applyProtection="1">
      <alignment horizontal="center" vertical="center"/>
    </xf>
    <xf numFmtId="1" fontId="26" fillId="0" borderId="0" xfId="0" applyNumberFormat="1" applyFont="1" applyAlignment="1" applyProtection="1">
      <alignment horizontal="center" vertical="center" wrapText="1"/>
    </xf>
    <xf numFmtId="1" fontId="26" fillId="0" borderId="33" xfId="0" applyNumberFormat="1" applyFont="1" applyFill="1" applyBorder="1" applyAlignment="1" applyProtection="1">
      <alignment horizontal="center" vertical="center"/>
    </xf>
    <xf numFmtId="1" fontId="26" fillId="0" borderId="33" xfId="0" applyNumberFormat="1" applyFont="1" applyBorder="1" applyAlignment="1" applyProtection="1">
      <alignment horizontal="center" vertical="center"/>
    </xf>
    <xf numFmtId="1" fontId="26" fillId="0" borderId="30" xfId="0" applyNumberFormat="1" applyFont="1" applyBorder="1" applyAlignment="1" applyProtection="1">
      <alignment horizontal="center" vertical="center"/>
    </xf>
    <xf numFmtId="1" fontId="26" fillId="40" borderId="34" xfId="0" applyNumberFormat="1" applyFont="1" applyFill="1" applyBorder="1" applyAlignment="1" applyProtection="1">
      <alignment horizontal="center" vertical="center"/>
    </xf>
    <xf numFmtId="1" fontId="35" fillId="41" borderId="34" xfId="0" applyNumberFormat="1" applyFont="1" applyFill="1" applyBorder="1" applyAlignment="1" applyProtection="1">
      <alignment horizontal="center" vertical="center"/>
    </xf>
    <xf numFmtId="1" fontId="35" fillId="42" borderId="34" xfId="0" applyNumberFormat="1" applyFont="1" applyFill="1" applyBorder="1" applyAlignment="1" applyProtection="1">
      <alignment horizontal="center" vertical="center"/>
    </xf>
    <xf numFmtId="1" fontId="26" fillId="43" borderId="34" xfId="0" applyNumberFormat="1" applyFont="1" applyFill="1" applyBorder="1" applyAlignment="1" applyProtection="1">
      <alignment horizontal="center" vertical="center"/>
    </xf>
    <xf numFmtId="1" fontId="35" fillId="44" borderId="34" xfId="0" applyNumberFormat="1" applyFont="1" applyFill="1" applyBorder="1" applyAlignment="1" applyProtection="1">
      <alignment horizontal="center" vertical="center"/>
    </xf>
    <xf numFmtId="1" fontId="26" fillId="0" borderId="39" xfId="0" applyNumberFormat="1" applyFont="1" applyBorder="1" applyAlignment="1">
      <alignment horizontal="center" vertical="center"/>
    </xf>
    <xf numFmtId="1" fontId="26" fillId="0" borderId="34" xfId="0" applyNumberFormat="1" applyFont="1" applyBorder="1" applyAlignment="1" applyProtection="1">
      <alignment horizontal="center" vertical="center" wrapText="1"/>
    </xf>
    <xf numFmtId="1" fontId="36" fillId="37" borderId="34" xfId="0" applyNumberFormat="1" applyFont="1" applyFill="1" applyBorder="1" applyAlignment="1" applyProtection="1">
      <alignment horizontal="center" vertical="center"/>
    </xf>
    <xf numFmtId="1" fontId="36" fillId="37" borderId="31" xfId="0" applyNumberFormat="1" applyFont="1" applyFill="1" applyBorder="1" applyAlignment="1" applyProtection="1">
      <alignment horizontal="center" vertical="center"/>
    </xf>
    <xf numFmtId="1" fontId="71" fillId="61" borderId="65" xfId="0" applyNumberFormat="1" applyFont="1" applyFill="1" applyBorder="1" applyAlignment="1">
      <alignment horizontal="center" vertical="center" wrapText="1"/>
    </xf>
    <xf numFmtId="1" fontId="71" fillId="61" borderId="0" xfId="0" applyNumberFormat="1" applyFont="1" applyFill="1" applyBorder="1" applyAlignment="1">
      <alignment horizontal="center" vertical="center" wrapText="1"/>
    </xf>
    <xf numFmtId="1" fontId="68" fillId="68" borderId="0" xfId="0" applyNumberFormat="1" applyFont="1" applyFill="1" applyBorder="1" applyAlignment="1">
      <alignment horizontal="center" vertical="center"/>
    </xf>
    <xf numFmtId="1" fontId="68" fillId="68" borderId="0" xfId="0" applyNumberFormat="1" applyFont="1" applyFill="1" applyBorder="1" applyAlignment="1">
      <alignment horizontal="center" vertical="center" wrapText="1"/>
    </xf>
    <xf numFmtId="1" fontId="23" fillId="68" borderId="14" xfId="0" applyNumberFormat="1" applyFont="1" applyFill="1" applyBorder="1" applyAlignment="1">
      <alignment horizontal="center" vertical="center" wrapText="1"/>
    </xf>
    <xf numFmtId="1" fontId="26" fillId="0" borderId="0" xfId="0" applyNumberFormat="1" applyFont="1" applyAlignment="1">
      <alignment vertical="center"/>
    </xf>
    <xf numFmtId="1" fontId="26" fillId="0" borderId="0" xfId="0" applyNumberFormat="1" applyFont="1" applyAlignment="1" applyProtection="1">
      <alignment vertical="center"/>
    </xf>
    <xf numFmtId="1" fontId="26" fillId="0" borderId="0" xfId="0" applyNumberFormat="1" applyFont="1" applyAlignment="1" applyProtection="1">
      <alignment horizontal="center" vertical="center"/>
    </xf>
    <xf numFmtId="1" fontId="26" fillId="0" borderId="28" xfId="0" applyNumberFormat="1" applyFont="1" applyBorder="1" applyAlignment="1" applyProtection="1">
      <alignment horizontal="center" vertical="center" wrapText="1"/>
    </xf>
    <xf numFmtId="1" fontId="26" fillId="40" borderId="33" xfId="0" applyNumberFormat="1" applyFont="1" applyFill="1" applyBorder="1" applyAlignment="1" applyProtection="1">
      <alignment horizontal="center" vertical="center"/>
    </xf>
    <xf numFmtId="1" fontId="35" fillId="41" borderId="33" xfId="0" applyNumberFormat="1" applyFont="1" applyFill="1" applyBorder="1" applyAlignment="1" applyProtection="1">
      <alignment horizontal="center" vertical="center"/>
    </xf>
    <xf numFmtId="1" fontId="35" fillId="42" borderId="33" xfId="0" applyNumberFormat="1" applyFont="1" applyFill="1" applyBorder="1" applyAlignment="1" applyProtection="1">
      <alignment horizontal="center" vertical="center"/>
    </xf>
    <xf numFmtId="1" fontId="26" fillId="43" borderId="33" xfId="0" applyNumberFormat="1" applyFont="1" applyFill="1" applyBorder="1" applyAlignment="1" applyProtection="1">
      <alignment horizontal="center" vertical="center"/>
    </xf>
    <xf numFmtId="1" fontId="35" fillId="44" borderId="33" xfId="0" applyNumberFormat="1" applyFont="1" applyFill="1" applyBorder="1" applyAlignment="1" applyProtection="1">
      <alignment horizontal="center" vertical="center"/>
    </xf>
    <xf numFmtId="1" fontId="26" fillId="0" borderId="0" xfId="0" applyNumberFormat="1" applyFont="1" applyBorder="1" applyAlignment="1">
      <alignment horizontal="center" vertical="center"/>
    </xf>
    <xf numFmtId="1" fontId="26" fillId="0" borderId="0" xfId="0" applyNumberFormat="1" applyFont="1" applyBorder="1" applyAlignment="1" applyProtection="1">
      <alignment horizontal="center" vertical="center"/>
    </xf>
    <xf numFmtId="0" fontId="36" fillId="0" borderId="0" xfId="0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center" vertical="center"/>
    </xf>
    <xf numFmtId="1" fontId="26" fillId="0" borderId="0" xfId="0" applyNumberFormat="1" applyFont="1" applyAlignment="1">
      <alignment horizontal="center" vertical="center"/>
    </xf>
    <xf numFmtId="1" fontId="70" fillId="69" borderId="0" xfId="0" applyNumberFormat="1" applyFont="1" applyFill="1" applyBorder="1" applyAlignment="1">
      <alignment horizontal="center" vertical="center"/>
    </xf>
    <xf numFmtId="1" fontId="70" fillId="69" borderId="63" xfId="0" applyNumberFormat="1" applyFont="1" applyFill="1" applyBorder="1" applyAlignment="1">
      <alignment horizontal="center" vertical="center"/>
    </xf>
    <xf numFmtId="1" fontId="70" fillId="69" borderId="65" xfId="0" applyNumberFormat="1" applyFont="1" applyFill="1" applyBorder="1" applyAlignment="1">
      <alignment horizontal="center" vertical="center"/>
    </xf>
    <xf numFmtId="0" fontId="73" fillId="0" borderId="0" xfId="0" applyFont="1" applyFill="1" applyAlignment="1">
      <alignment horizontal="center" vertical="center" wrapText="1"/>
    </xf>
    <xf numFmtId="0" fontId="61" fillId="0" borderId="77" xfId="0" applyFont="1" applyFill="1" applyBorder="1" applyAlignment="1">
      <alignment wrapText="1"/>
    </xf>
    <xf numFmtId="0" fontId="61" fillId="0" borderId="78" xfId="0" applyFont="1" applyFill="1" applyBorder="1" applyAlignment="1">
      <alignment wrapText="1"/>
    </xf>
    <xf numFmtId="0" fontId="61" fillId="0" borderId="79" xfId="0" applyFont="1" applyFill="1" applyBorder="1" applyAlignment="1">
      <alignment wrapText="1"/>
    </xf>
    <xf numFmtId="0" fontId="61" fillId="0" borderId="76" xfId="0" applyFont="1" applyFill="1" applyBorder="1" applyAlignment="1">
      <alignment wrapText="1"/>
    </xf>
    <xf numFmtId="0" fontId="74" fillId="0" borderId="0" xfId="0" applyFont="1" applyFill="1" applyBorder="1" applyAlignment="1">
      <alignment horizontal="center" vertical="center" wrapText="1"/>
    </xf>
    <xf numFmtId="0" fontId="74" fillId="0" borderId="67" xfId="0" applyFont="1" applyFill="1" applyBorder="1" applyAlignment="1">
      <alignment horizontal="center" vertical="center" wrapText="1"/>
    </xf>
    <xf numFmtId="0" fontId="74" fillId="0" borderId="77" xfId="0" applyFont="1" applyFill="1" applyBorder="1" applyAlignment="1">
      <alignment wrapText="1"/>
    </xf>
    <xf numFmtId="0" fontId="74" fillId="0" borderId="0" xfId="0" applyFont="1" applyFill="1" applyBorder="1" applyAlignment="1">
      <alignment horizontal="center" wrapText="1"/>
    </xf>
    <xf numFmtId="0" fontId="74" fillId="0" borderId="68" xfId="0" applyFont="1" applyFill="1" applyBorder="1" applyAlignment="1">
      <alignment horizontal="center" vertical="center" wrapText="1"/>
    </xf>
    <xf numFmtId="0" fontId="74" fillId="0" borderId="78" xfId="0" applyFont="1" applyFill="1" applyBorder="1" applyAlignment="1">
      <alignment wrapText="1"/>
    </xf>
    <xf numFmtId="0" fontId="74" fillId="0" borderId="48" xfId="0" applyFont="1" applyFill="1" applyBorder="1" applyAlignment="1">
      <alignment horizontal="center" vertical="center" wrapText="1"/>
    </xf>
    <xf numFmtId="0" fontId="74" fillId="0" borderId="79" xfId="0" applyFont="1" applyFill="1" applyBorder="1" applyAlignment="1">
      <alignment wrapText="1"/>
    </xf>
    <xf numFmtId="0" fontId="74" fillId="0" borderId="69" xfId="0" applyFont="1" applyFill="1" applyBorder="1" applyAlignment="1">
      <alignment horizontal="center" vertical="center" wrapText="1"/>
    </xf>
    <xf numFmtId="0" fontId="74" fillId="0" borderId="76" xfId="0" applyFont="1" applyFill="1" applyBorder="1" applyAlignment="1">
      <alignment wrapText="1"/>
    </xf>
    <xf numFmtId="0" fontId="74" fillId="0" borderId="70" xfId="0" applyFont="1" applyFill="1" applyBorder="1" applyAlignment="1">
      <alignment horizontal="center" vertical="center" wrapText="1"/>
    </xf>
    <xf numFmtId="0" fontId="61" fillId="0" borderId="0" xfId="0" applyFont="1" applyFill="1" applyBorder="1" applyAlignment="1">
      <alignment horizontal="left" vertical="center" wrapText="1"/>
    </xf>
    <xf numFmtId="0" fontId="61" fillId="0" borderId="67" xfId="0" applyFont="1" applyFill="1" applyBorder="1" applyAlignment="1">
      <alignment horizontal="left" vertical="center" wrapText="1"/>
    </xf>
    <xf numFmtId="0" fontId="61" fillId="0" borderId="68" xfId="0" applyFont="1" applyFill="1" applyBorder="1" applyAlignment="1">
      <alignment horizontal="left" vertical="center" wrapText="1"/>
    </xf>
    <xf numFmtId="0" fontId="61" fillId="0" borderId="48" xfId="0" applyFont="1" applyFill="1" applyBorder="1" applyAlignment="1">
      <alignment horizontal="left" vertical="center" wrapText="1"/>
    </xf>
    <xf numFmtId="0" fontId="61" fillId="0" borderId="69" xfId="0" applyFont="1" applyFill="1" applyBorder="1" applyAlignment="1">
      <alignment horizontal="left" vertical="center" wrapText="1"/>
    </xf>
    <xf numFmtId="0" fontId="61" fillId="0" borderId="70" xfId="0" applyFont="1" applyFill="1" applyBorder="1" applyAlignment="1">
      <alignment horizontal="left" vertical="center" wrapText="1"/>
    </xf>
    <xf numFmtId="0" fontId="72" fillId="0" borderId="0" xfId="0" applyFont="1" applyFill="1" applyBorder="1" applyAlignment="1">
      <alignment horizontal="left" vertical="center" wrapText="1"/>
    </xf>
    <xf numFmtId="0" fontId="72" fillId="0" borderId="0" xfId="0" applyFont="1" applyFill="1" applyBorder="1" applyAlignment="1">
      <alignment horizontal="center" vertical="center" wrapText="1"/>
    </xf>
    <xf numFmtId="1" fontId="43" fillId="68" borderId="75" xfId="0" applyNumberFormat="1" applyFont="1" applyFill="1" applyBorder="1" applyAlignment="1">
      <alignment horizontal="center" vertical="center"/>
    </xf>
    <xf numFmtId="1" fontId="43" fillId="68" borderId="75" xfId="0" applyNumberFormat="1" applyFont="1" applyFill="1" applyBorder="1" applyAlignment="1">
      <alignment horizontal="center" vertical="center" wrapText="1"/>
    </xf>
    <xf numFmtId="1" fontId="43" fillId="68" borderId="74" xfId="0" applyNumberFormat="1" applyFont="1" applyFill="1" applyBorder="1" applyAlignment="1">
      <alignment horizontal="center" vertical="center"/>
    </xf>
    <xf numFmtId="1" fontId="43" fillId="68" borderId="74" xfId="0" applyNumberFormat="1" applyFont="1" applyFill="1" applyBorder="1" applyAlignment="1">
      <alignment horizontal="center" vertical="center" wrapText="1"/>
    </xf>
    <xf numFmtId="1" fontId="70" fillId="69" borderId="80" xfId="0" applyNumberFormat="1" applyFont="1" applyFill="1" applyBorder="1" applyAlignment="1">
      <alignment horizontal="center" vertical="center"/>
    </xf>
    <xf numFmtId="0" fontId="52" fillId="65" borderId="80" xfId="0" applyFont="1" applyFill="1" applyBorder="1" applyAlignment="1">
      <alignment horizontal="center" vertical="center" wrapText="1"/>
    </xf>
    <xf numFmtId="1" fontId="70" fillId="67" borderId="8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/>
    </xf>
    <xf numFmtId="1" fontId="24" fillId="0" borderId="0" xfId="0" applyNumberFormat="1" applyFont="1" applyFill="1" applyBorder="1" applyAlignment="1">
      <alignment horizontal="center" vertical="center"/>
    </xf>
    <xf numFmtId="1" fontId="26" fillId="0" borderId="27" xfId="0" applyNumberFormat="1" applyFont="1" applyFill="1" applyBorder="1" applyAlignment="1">
      <alignment horizontal="center" wrapText="1"/>
    </xf>
    <xf numFmtId="1" fontId="26" fillId="0" borderId="30" xfId="0" applyNumberFormat="1" applyFont="1" applyFill="1" applyBorder="1" applyAlignment="1">
      <alignment horizontal="center" wrapText="1"/>
    </xf>
    <xf numFmtId="0" fontId="73" fillId="0" borderId="0" xfId="0" applyFont="1" applyFill="1" applyBorder="1" applyAlignment="1">
      <alignment horizontal="center" vertical="center" wrapText="1"/>
    </xf>
    <xf numFmtId="1" fontId="36" fillId="0" borderId="0" xfId="0" applyNumberFormat="1" applyFont="1" applyFill="1" applyBorder="1" applyAlignment="1">
      <alignment horizontal="center" vertical="center" wrapText="1"/>
    </xf>
    <xf numFmtId="0" fontId="77" fillId="0" borderId="83" xfId="0" applyFont="1" applyBorder="1" applyAlignment="1">
      <alignment horizontal="center" vertical="center" textRotation="90" wrapText="1"/>
    </xf>
    <xf numFmtId="0" fontId="78" fillId="34" borderId="11" xfId="0" applyFont="1" applyFill="1" applyBorder="1" applyAlignment="1">
      <alignment horizontal="right" vertical="center"/>
    </xf>
    <xf numFmtId="0" fontId="79" fillId="34" borderId="81" xfId="0" applyFont="1" applyFill="1" applyBorder="1" applyAlignment="1">
      <alignment horizontal="right" vertical="center"/>
    </xf>
    <xf numFmtId="0" fontId="79" fillId="34" borderId="8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80" fillId="0" borderId="83" xfId="0" applyFont="1" applyBorder="1" applyAlignment="1">
      <alignment horizontal="center" vertical="center" wrapText="1"/>
    </xf>
    <xf numFmtId="0" fontId="80" fillId="0" borderId="83" xfId="0" applyFont="1" applyBorder="1" applyAlignment="1">
      <alignment horizontal="left"/>
    </xf>
    <xf numFmtId="1" fontId="79" fillId="34" borderId="83" xfId="0" applyNumberFormat="1" applyFont="1" applyFill="1" applyBorder="1" applyAlignment="1">
      <alignment horizontal="center" vertical="center"/>
    </xf>
    <xf numFmtId="1" fontId="79" fillId="33" borderId="83" xfId="0" applyNumberFormat="1" applyFont="1" applyFill="1" applyBorder="1" applyAlignment="1">
      <alignment horizontal="center" vertical="center"/>
    </xf>
    <xf numFmtId="1" fontId="79" fillId="60" borderId="83" xfId="0" applyNumberFormat="1" applyFont="1" applyFill="1" applyBorder="1" applyAlignment="1">
      <alignment horizontal="center" vertical="center"/>
    </xf>
    <xf numFmtId="1" fontId="79" fillId="71" borderId="83" xfId="0" applyNumberFormat="1" applyFont="1" applyFill="1" applyBorder="1" applyAlignment="1">
      <alignment horizontal="center" vertical="center" wrapText="1"/>
    </xf>
    <xf numFmtId="0" fontId="79" fillId="71" borderId="83" xfId="0" applyFont="1" applyFill="1" applyBorder="1" applyAlignment="1">
      <alignment horizontal="center" vertical="center" wrapText="1"/>
    </xf>
    <xf numFmtId="1" fontId="79" fillId="72" borderId="83" xfId="0" applyNumberFormat="1" applyFont="1" applyFill="1" applyBorder="1" applyAlignment="1">
      <alignment horizontal="center" vertical="center"/>
    </xf>
    <xf numFmtId="0" fontId="76" fillId="34" borderId="84" xfId="0" applyFont="1" applyFill="1" applyBorder="1" applyAlignment="1">
      <alignment horizontal="center" vertical="center" wrapText="1"/>
    </xf>
    <xf numFmtId="1" fontId="63" fillId="0" borderId="14" xfId="0" applyNumberFormat="1" applyFont="1" applyFill="1" applyBorder="1" applyAlignment="1">
      <alignment horizontal="center" vertical="center"/>
    </xf>
    <xf numFmtId="0" fontId="81" fillId="73" borderId="0" xfId="0" applyFont="1" applyFill="1"/>
    <xf numFmtId="1" fontId="0" fillId="0" borderId="0" xfId="0" applyNumberFormat="1" applyAlignment="1">
      <alignment horizontal="center"/>
    </xf>
    <xf numFmtId="0" fontId="0" fillId="74" borderId="0" xfId="0" applyFill="1"/>
    <xf numFmtId="0" fontId="75" fillId="0" borderId="50" xfId="0" applyFont="1" applyFill="1" applyBorder="1" applyAlignment="1">
      <alignment horizontal="left" vertical="center"/>
    </xf>
    <xf numFmtId="0" fontId="48" fillId="0" borderId="29" xfId="0" applyFont="1" applyFill="1" applyBorder="1" applyAlignment="1">
      <alignment horizontal="left"/>
    </xf>
    <xf numFmtId="0" fontId="45" fillId="0" borderId="0" xfId="0" applyFont="1" applyFill="1" applyAlignment="1">
      <alignment horizontal="left"/>
    </xf>
    <xf numFmtId="0" fontId="82" fillId="0" borderId="0" xfId="0" applyFont="1" applyFill="1" applyBorder="1" applyAlignment="1">
      <alignment horizontal="center" vertical="center" wrapText="1"/>
    </xf>
    <xf numFmtId="0" fontId="0" fillId="41" borderId="87" xfId="0" applyFill="1" applyBorder="1"/>
    <xf numFmtId="0" fontId="0" fillId="75" borderId="87" xfId="0" applyFill="1" applyBorder="1"/>
    <xf numFmtId="0" fontId="83" fillId="0" borderId="0" xfId="0" applyFont="1" applyAlignment="1">
      <alignment horizontal="left" vertical="center"/>
    </xf>
    <xf numFmtId="0" fontId="84" fillId="0" borderId="0" xfId="0" applyFont="1" applyFill="1" applyBorder="1" applyAlignment="1">
      <alignment horizontal="center" vertical="center"/>
    </xf>
    <xf numFmtId="0" fontId="84" fillId="0" borderId="73" xfId="0" applyFont="1" applyFill="1" applyBorder="1" applyAlignment="1">
      <alignment horizontal="center" vertical="center"/>
    </xf>
    <xf numFmtId="0" fontId="85" fillId="0" borderId="0" xfId="0" applyFont="1" applyFill="1" applyAlignment="1">
      <alignment horizontal="center" vertical="center" wrapText="1"/>
    </xf>
    <xf numFmtId="0" fontId="86" fillId="0" borderId="0" xfId="0" applyFont="1" applyFill="1" applyAlignment="1">
      <alignment horizontal="center" vertical="center" wrapText="1"/>
    </xf>
    <xf numFmtId="0" fontId="79" fillId="34" borderId="81" xfId="0" applyFont="1" applyFill="1" applyBorder="1" applyAlignment="1">
      <alignment horizontal="center" vertical="center" wrapText="1"/>
    </xf>
    <xf numFmtId="1" fontId="79" fillId="33" borderId="81" xfId="0" applyNumberFormat="1" applyFont="1" applyFill="1" applyBorder="1" applyAlignment="1">
      <alignment horizontal="center" vertical="center"/>
    </xf>
    <xf numFmtId="1" fontId="79" fillId="71" borderId="81" xfId="0" applyNumberFormat="1" applyFont="1" applyFill="1" applyBorder="1" applyAlignment="1">
      <alignment horizontal="center" vertical="center" wrapText="1"/>
    </xf>
    <xf numFmtId="0" fontId="89" fillId="59" borderId="88" xfId="0" applyFont="1" applyFill="1" applyBorder="1" applyAlignment="1">
      <alignment horizontal="center" vertical="center" wrapText="1"/>
    </xf>
    <xf numFmtId="0" fontId="89" fillId="59" borderId="56" xfId="0" applyFont="1" applyFill="1" applyBorder="1" applyAlignment="1">
      <alignment horizontal="center" vertical="center" wrapText="1"/>
    </xf>
    <xf numFmtId="0" fontId="89" fillId="59" borderId="89" xfId="0" applyFont="1" applyFill="1" applyBorder="1" applyAlignment="1">
      <alignment horizontal="center" vertical="center" wrapText="1"/>
    </xf>
    <xf numFmtId="0" fontId="32" fillId="37" borderId="90" xfId="0" applyFont="1" applyFill="1" applyBorder="1" applyAlignment="1">
      <alignment horizontal="center" vertical="center" wrapText="1"/>
    </xf>
    <xf numFmtId="0" fontId="33" fillId="37" borderId="91" xfId="0" applyFont="1" applyFill="1" applyBorder="1" applyAlignment="1">
      <alignment horizontal="left" vertical="center" wrapText="1"/>
    </xf>
    <xf numFmtId="1" fontId="34" fillId="0" borderId="92" xfId="0" applyNumberFormat="1" applyFont="1" applyFill="1" applyBorder="1" applyAlignment="1">
      <alignment horizontal="center" vertical="center"/>
    </xf>
    <xf numFmtId="1" fontId="34" fillId="0" borderId="93" xfId="0" applyNumberFormat="1" applyFont="1" applyFill="1" applyBorder="1" applyAlignment="1">
      <alignment horizontal="center" vertical="center"/>
    </xf>
    <xf numFmtId="0" fontId="32" fillId="37" borderId="94" xfId="0" applyFont="1" applyFill="1" applyBorder="1" applyAlignment="1">
      <alignment horizontal="center" vertical="center" wrapText="1"/>
    </xf>
    <xf numFmtId="0" fontId="32" fillId="37" borderId="95" xfId="0" applyFont="1" applyFill="1" applyBorder="1" applyAlignment="1">
      <alignment horizontal="center" vertical="center" wrapText="1"/>
    </xf>
    <xf numFmtId="0" fontId="33" fillId="37" borderId="96" xfId="0" applyFont="1" applyFill="1" applyBorder="1" applyAlignment="1">
      <alignment horizontal="left" vertical="center" wrapText="1"/>
    </xf>
    <xf numFmtId="1" fontId="34" fillId="0" borderId="97" xfId="0" applyNumberFormat="1" applyFont="1" applyFill="1" applyBorder="1" applyAlignment="1">
      <alignment horizontal="center" vertical="center"/>
    </xf>
    <xf numFmtId="1" fontId="34" fillId="0" borderId="98" xfId="0" applyNumberFormat="1" applyFont="1" applyFill="1" applyBorder="1" applyAlignment="1">
      <alignment horizontal="center" vertical="center"/>
    </xf>
    <xf numFmtId="0" fontId="23" fillId="37" borderId="0" xfId="0" applyFont="1" applyFill="1" applyBorder="1" applyAlignment="1">
      <alignment horizontal="center" vertical="center"/>
    </xf>
    <xf numFmtId="0" fontId="90" fillId="41" borderId="99" xfId="0" applyFont="1" applyFill="1" applyBorder="1" applyAlignment="1">
      <alignment horizontal="left" vertical="center" wrapText="1" readingOrder="1"/>
    </xf>
    <xf numFmtId="0" fontId="90" fillId="41" borderId="100" xfId="0" applyFont="1" applyFill="1" applyBorder="1" applyAlignment="1">
      <alignment horizontal="center" vertical="center" wrapText="1" readingOrder="1"/>
    </xf>
    <xf numFmtId="0" fontId="32" fillId="37" borderId="0" xfId="0" applyFont="1" applyFill="1" applyBorder="1" applyAlignment="1">
      <alignment horizontal="center" vertical="center" wrapText="1"/>
    </xf>
    <xf numFmtId="0" fontId="91" fillId="76" borderId="101" xfId="0" applyFont="1" applyFill="1" applyBorder="1" applyAlignment="1">
      <alignment horizontal="left" vertical="center" wrapText="1"/>
    </xf>
    <xf numFmtId="0" fontId="91" fillId="76" borderId="102" xfId="0" applyFont="1" applyFill="1" applyBorder="1" applyAlignment="1">
      <alignment horizontal="left" vertical="center" wrapText="1"/>
    </xf>
    <xf numFmtId="0" fontId="91" fillId="76" borderId="103" xfId="0" applyFont="1" applyFill="1" applyBorder="1" applyAlignment="1">
      <alignment horizontal="left" vertical="center" wrapText="1"/>
    </xf>
    <xf numFmtId="1" fontId="92" fillId="67" borderId="104" xfId="0" applyNumberFormat="1" applyFont="1" applyFill="1" applyBorder="1" applyAlignment="1">
      <alignment horizontal="center" vertical="center"/>
    </xf>
    <xf numFmtId="1" fontId="92" fillId="67" borderId="105" xfId="0" applyNumberFormat="1" applyFont="1" applyFill="1" applyBorder="1" applyAlignment="1">
      <alignment horizontal="center" vertical="center"/>
    </xf>
    <xf numFmtId="1" fontId="92" fillId="67" borderId="106" xfId="0" applyNumberFormat="1" applyFont="1" applyFill="1" applyBorder="1" applyAlignment="1">
      <alignment horizontal="center" vertical="center"/>
    </xf>
    <xf numFmtId="0" fontId="84" fillId="0" borderId="0" xfId="0" applyFont="1" applyFill="1" applyBorder="1" applyAlignment="1">
      <alignment horizontal="center" vertical="center" wrapText="1"/>
    </xf>
    <xf numFmtId="0" fontId="79" fillId="34" borderId="109" xfId="0" applyFont="1" applyFill="1" applyBorder="1" applyAlignment="1">
      <alignment horizontal="center" vertical="center" wrapText="1"/>
    </xf>
    <xf numFmtId="0" fontId="0" fillId="0" borderId="110" xfId="0" applyBorder="1" applyAlignment="1">
      <alignment wrapText="1"/>
    </xf>
    <xf numFmtId="1" fontId="79" fillId="33" borderId="109" xfId="0" applyNumberFormat="1" applyFont="1" applyFill="1" applyBorder="1" applyAlignment="1">
      <alignment horizontal="center" vertical="center"/>
    </xf>
    <xf numFmtId="1" fontId="79" fillId="60" borderId="109" xfId="0" applyNumberFormat="1" applyFont="1" applyFill="1" applyBorder="1" applyAlignment="1">
      <alignment horizontal="center" vertical="center"/>
    </xf>
    <xf numFmtId="1" fontId="79" fillId="71" borderId="109" xfId="0" applyNumberFormat="1" applyFont="1" applyFill="1" applyBorder="1" applyAlignment="1">
      <alignment horizontal="center" vertical="center" wrapText="1"/>
    </xf>
    <xf numFmtId="1" fontId="79" fillId="34" borderId="109" xfId="0" applyNumberFormat="1" applyFont="1" applyFill="1" applyBorder="1" applyAlignment="1">
      <alignment horizontal="center" vertical="center"/>
    </xf>
    <xf numFmtId="0" fontId="94" fillId="0" borderId="0" xfId="0" applyFont="1" applyFill="1" applyAlignment="1">
      <alignment horizontal="left" vertical="center" wrapText="1"/>
    </xf>
    <xf numFmtId="0" fontId="94" fillId="0" borderId="0" xfId="0" applyFont="1" applyFill="1" applyAlignment="1">
      <alignment horizontal="right" vertical="center" wrapText="1"/>
    </xf>
    <xf numFmtId="0" fontId="94" fillId="0" borderId="0" xfId="0" applyFont="1" applyFill="1" applyAlignment="1">
      <alignment vertical="center" wrapText="1"/>
    </xf>
    <xf numFmtId="0" fontId="37" fillId="0" borderId="0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 wrapText="1"/>
    </xf>
    <xf numFmtId="0" fontId="35" fillId="0" borderId="0" xfId="0" applyFont="1" applyFill="1" applyBorder="1" applyAlignment="1">
      <alignment horizontal="center"/>
    </xf>
    <xf numFmtId="0" fontId="97" fillId="0" borderId="0" xfId="0" applyFont="1" applyFill="1" applyAlignment="1">
      <alignment vertical="center" wrapText="1"/>
    </xf>
    <xf numFmtId="9" fontId="35" fillId="0" borderId="0" xfId="0" applyNumberFormat="1" applyFont="1" applyFill="1" applyBorder="1" applyAlignment="1">
      <alignment horizontal="center"/>
    </xf>
    <xf numFmtId="0" fontId="98" fillId="61" borderId="112" xfId="0" applyFont="1" applyFill="1" applyBorder="1" applyAlignment="1">
      <alignment horizontal="center" vertical="center" wrapText="1"/>
    </xf>
    <xf numFmtId="0" fontId="98" fillId="61" borderId="113" xfId="0" applyFont="1" applyFill="1" applyBorder="1" applyAlignment="1">
      <alignment horizontal="center" vertical="center" wrapText="1"/>
    </xf>
    <xf numFmtId="0" fontId="98" fillId="61" borderId="114" xfId="0" applyFont="1" applyFill="1" applyBorder="1" applyAlignment="1">
      <alignment horizontal="center" vertical="center" wrapText="1"/>
    </xf>
    <xf numFmtId="0" fontId="99" fillId="0" borderId="115" xfId="0" applyFont="1" applyBorder="1" applyAlignment="1">
      <alignment horizontal="center" vertical="center" wrapText="1"/>
    </xf>
    <xf numFmtId="0" fontId="52" fillId="0" borderId="83" xfId="0" applyFont="1" applyBorder="1" applyAlignment="1">
      <alignment horizontal="left" vertical="center"/>
    </xf>
    <xf numFmtId="1" fontId="100" fillId="60" borderId="83" xfId="0" applyNumberFormat="1" applyFont="1" applyFill="1" applyBorder="1" applyAlignment="1">
      <alignment horizontal="center" vertical="center"/>
    </xf>
    <xf numFmtId="1" fontId="100" fillId="72" borderId="116" xfId="0" applyNumberFormat="1" applyFont="1" applyFill="1" applyBorder="1" applyAlignment="1">
      <alignment horizontal="center" vertical="center"/>
    </xf>
    <xf numFmtId="1" fontId="100" fillId="33" borderId="116" xfId="0" applyNumberFormat="1" applyFont="1" applyFill="1" applyBorder="1" applyAlignment="1">
      <alignment horizontal="center" vertical="center"/>
    </xf>
    <xf numFmtId="1" fontId="100" fillId="33" borderId="83" xfId="0" applyNumberFormat="1" applyFont="1" applyFill="1" applyBorder="1" applyAlignment="1">
      <alignment horizontal="center" vertical="center"/>
    </xf>
    <xf numFmtId="1" fontId="100" fillId="34" borderId="116" xfId="0" applyNumberFormat="1" applyFont="1" applyFill="1" applyBorder="1" applyAlignment="1">
      <alignment horizontal="center" vertical="center"/>
    </xf>
    <xf numFmtId="0" fontId="99" fillId="0" borderId="117" xfId="0" applyFont="1" applyBorder="1" applyAlignment="1">
      <alignment horizontal="center" vertical="center" wrapText="1"/>
    </xf>
    <xf numFmtId="0" fontId="52" fillId="0" borderId="118" xfId="0" applyFont="1" applyBorder="1" applyAlignment="1">
      <alignment horizontal="left" vertical="center"/>
    </xf>
    <xf numFmtId="1" fontId="100" fillId="34" borderId="118" xfId="0" applyNumberFormat="1" applyFont="1" applyFill="1" applyBorder="1" applyAlignment="1">
      <alignment horizontal="center" vertical="center"/>
    </xf>
    <xf numFmtId="1" fontId="100" fillId="72" borderId="119" xfId="0" applyNumberFormat="1" applyFont="1" applyFill="1" applyBorder="1" applyAlignment="1">
      <alignment horizontal="center" vertical="center"/>
    </xf>
    <xf numFmtId="0" fontId="50" fillId="53" borderId="63" xfId="0" applyFont="1" applyFill="1" applyBorder="1" applyAlignment="1">
      <alignment horizontal="center" vertical="center" wrapText="1"/>
    </xf>
    <xf numFmtId="0" fontId="101" fillId="53" borderId="63" xfId="0" applyFont="1" applyFill="1" applyBorder="1" applyAlignment="1">
      <alignment horizontal="left" vertical="center" wrapText="1"/>
    </xf>
    <xf numFmtId="0" fontId="50" fillId="53" borderId="65" xfId="0" applyFont="1" applyFill="1" applyBorder="1" applyAlignment="1">
      <alignment horizontal="center" vertical="center" wrapText="1"/>
    </xf>
    <xf numFmtId="0" fontId="101" fillId="53" borderId="65" xfId="0" applyFont="1" applyFill="1" applyBorder="1" applyAlignment="1">
      <alignment horizontal="left" vertical="center" wrapText="1"/>
    </xf>
    <xf numFmtId="0" fontId="50" fillId="53" borderId="0" xfId="0" applyFont="1" applyFill="1" applyBorder="1" applyAlignment="1">
      <alignment horizontal="center" vertical="center" wrapText="1"/>
    </xf>
    <xf numFmtId="0" fontId="101" fillId="53" borderId="0" xfId="0" applyFont="1" applyFill="1" applyBorder="1" applyAlignment="1">
      <alignment horizontal="left" vertical="center" wrapText="1"/>
    </xf>
    <xf numFmtId="0" fontId="51" fillId="53" borderId="63" xfId="0" applyFont="1" applyFill="1" applyBorder="1" applyAlignment="1">
      <alignment horizontal="center" vertical="center" wrapText="1"/>
    </xf>
    <xf numFmtId="0" fontId="51" fillId="53" borderId="65" xfId="0" applyFont="1" applyFill="1" applyBorder="1" applyAlignment="1">
      <alignment horizontal="center" vertical="center" wrapText="1"/>
    </xf>
    <xf numFmtId="0" fontId="51" fillId="53" borderId="0" xfId="0" applyFont="1" applyFill="1" applyBorder="1" applyAlignment="1">
      <alignment horizontal="center" vertical="center" wrapText="1"/>
    </xf>
    <xf numFmtId="0" fontId="51" fillId="53" borderId="14" xfId="0" applyFont="1" applyFill="1" applyBorder="1" applyAlignment="1">
      <alignment horizontal="center" vertical="center" wrapText="1"/>
    </xf>
    <xf numFmtId="0" fontId="101" fillId="53" borderId="14" xfId="0" applyFont="1" applyFill="1" applyBorder="1" applyAlignment="1">
      <alignment horizontal="left" vertical="center" wrapText="1"/>
    </xf>
    <xf numFmtId="0" fontId="51" fillId="53" borderId="80" xfId="0" applyFont="1" applyFill="1" applyBorder="1" applyAlignment="1">
      <alignment horizontal="center" vertical="center" wrapText="1"/>
    </xf>
    <xf numFmtId="0" fontId="53" fillId="53" borderId="63" xfId="0" applyFont="1" applyFill="1" applyBorder="1" applyAlignment="1">
      <alignment horizontal="center" vertical="center" wrapText="1"/>
    </xf>
    <xf numFmtId="0" fontId="61" fillId="53" borderId="63" xfId="0" applyFont="1" applyFill="1" applyBorder="1" applyAlignment="1">
      <alignment horizontal="left" vertical="center" wrapText="1"/>
    </xf>
    <xf numFmtId="0" fontId="53" fillId="53" borderId="0" xfId="0" applyFont="1" applyFill="1" applyBorder="1" applyAlignment="1">
      <alignment horizontal="center" vertical="center" wrapText="1"/>
    </xf>
    <xf numFmtId="0" fontId="61" fillId="53" borderId="0" xfId="0" applyFont="1" applyFill="1" applyBorder="1" applyAlignment="1">
      <alignment horizontal="left" vertical="center" wrapText="1"/>
    </xf>
    <xf numFmtId="0" fontId="53" fillId="53" borderId="65" xfId="0" applyFont="1" applyFill="1" applyBorder="1" applyAlignment="1">
      <alignment horizontal="center" vertical="center" wrapText="1"/>
    </xf>
    <xf numFmtId="0" fontId="61" fillId="53" borderId="65" xfId="0" applyFont="1" applyFill="1" applyBorder="1" applyAlignment="1">
      <alignment horizontal="left" vertical="center" wrapText="1"/>
    </xf>
    <xf numFmtId="9" fontId="0" fillId="0" borderId="0" xfId="54" applyNumberFormat="1" applyFont="1"/>
    <xf numFmtId="9" fontId="1" fillId="0" borderId="0" xfId="54" applyFont="1"/>
    <xf numFmtId="0" fontId="76" fillId="33" borderId="120" xfId="0" applyFont="1" applyFill="1" applyBorder="1" applyAlignment="1">
      <alignment horizontal="right" vertical="center" wrapText="1"/>
    </xf>
    <xf numFmtId="0" fontId="102" fillId="70" borderId="85" xfId="0" applyFont="1" applyFill="1" applyBorder="1" applyAlignment="1">
      <alignment vertical="center" wrapText="1"/>
    </xf>
    <xf numFmtId="0" fontId="77" fillId="77" borderId="15" xfId="0" applyFont="1" applyFill="1" applyBorder="1" applyAlignment="1">
      <alignment vertical="center" wrapText="1"/>
    </xf>
    <xf numFmtId="0" fontId="0" fillId="0" borderId="0" xfId="0" applyAlignment="1"/>
    <xf numFmtId="0" fontId="104" fillId="0" borderId="108" xfId="0" applyFont="1" applyBorder="1" applyAlignment="1">
      <alignment horizontal="center" vertical="center" textRotation="90" wrapText="1"/>
    </xf>
    <xf numFmtId="0" fontId="88" fillId="0" borderId="121" xfId="0" applyFont="1" applyBorder="1" applyAlignment="1">
      <alignment horizontal="center" vertical="center" textRotation="90" wrapText="1"/>
    </xf>
    <xf numFmtId="0" fontId="87" fillId="0" borderId="122" xfId="0" applyFont="1" applyBorder="1" applyAlignment="1">
      <alignment horizontal="center" vertical="center" textRotation="90" wrapText="1"/>
    </xf>
    <xf numFmtId="0" fontId="77" fillId="0" borderId="122" xfId="0" applyFont="1" applyBorder="1" applyAlignment="1">
      <alignment horizontal="center" vertical="center" textRotation="90" wrapText="1"/>
    </xf>
    <xf numFmtId="0" fontId="77" fillId="0" borderId="123" xfId="0" applyFont="1" applyBorder="1" applyAlignment="1">
      <alignment horizontal="center" vertical="center" textRotation="90" wrapText="1"/>
    </xf>
    <xf numFmtId="0" fontId="102" fillId="70" borderId="10" xfId="0" applyFont="1" applyFill="1" applyBorder="1" applyAlignment="1">
      <alignment vertical="center" wrapText="1"/>
    </xf>
    <xf numFmtId="0" fontId="77" fillId="77" borderId="15" xfId="0" applyFont="1" applyFill="1" applyBorder="1" applyAlignment="1">
      <alignment horizontal="center" vertical="center" textRotation="90" wrapText="1"/>
    </xf>
    <xf numFmtId="0" fontId="102" fillId="70" borderId="10" xfId="0" applyFont="1" applyFill="1" applyBorder="1" applyAlignment="1">
      <alignment horizontal="center" vertical="center" wrapText="1"/>
    </xf>
    <xf numFmtId="0" fontId="77" fillId="77" borderId="84" xfId="0" applyFont="1" applyFill="1" applyBorder="1" applyAlignment="1">
      <alignment horizontal="center" vertical="center" textRotation="90" wrapText="1"/>
    </xf>
    <xf numFmtId="0" fontId="77" fillId="33" borderId="16" xfId="0" applyFont="1" applyFill="1" applyBorder="1" applyAlignment="1">
      <alignment horizontal="center" vertical="center" textRotation="90" wrapText="1"/>
    </xf>
    <xf numFmtId="0" fontId="79" fillId="34" borderId="124" xfId="0" applyFont="1" applyFill="1" applyBorder="1" applyAlignment="1">
      <alignment horizontal="center" vertical="center" wrapText="1"/>
    </xf>
    <xf numFmtId="0" fontId="79" fillId="34" borderId="12" xfId="0" applyFont="1" applyFill="1" applyBorder="1" applyAlignment="1">
      <alignment horizontal="center" vertical="center" wrapText="1"/>
    </xf>
    <xf numFmtId="0" fontId="105" fillId="33" borderId="10" xfId="0" applyFont="1" applyFill="1" applyBorder="1" applyAlignment="1">
      <alignment vertical="center" wrapText="1"/>
    </xf>
    <xf numFmtId="0" fontId="0" fillId="0" borderId="125" xfId="0" applyBorder="1" applyAlignment="1">
      <alignment wrapText="1"/>
    </xf>
    <xf numFmtId="1" fontId="79" fillId="33" borderId="124" xfId="0" applyNumberFormat="1" applyFont="1" applyFill="1" applyBorder="1" applyAlignment="1">
      <alignment horizontal="center" vertical="center"/>
    </xf>
    <xf numFmtId="1" fontId="79" fillId="33" borderId="83" xfId="49" applyNumberFormat="1" applyFont="1" applyFill="1" applyBorder="1" applyAlignment="1">
      <alignment horizontal="center" vertical="center"/>
    </xf>
    <xf numFmtId="1" fontId="79" fillId="60" borderId="124" xfId="0" applyNumberFormat="1" applyFont="1" applyFill="1" applyBorder="1" applyAlignment="1">
      <alignment horizontal="center" vertical="center"/>
    </xf>
    <xf numFmtId="1" fontId="79" fillId="60" borderId="83" xfId="49" applyNumberFormat="1" applyFont="1" applyFill="1" applyBorder="1" applyAlignment="1">
      <alignment horizontal="center" vertical="center"/>
    </xf>
    <xf numFmtId="1" fontId="79" fillId="71" borderId="124" xfId="0" applyNumberFormat="1" applyFont="1" applyFill="1" applyBorder="1" applyAlignment="1">
      <alignment horizontal="center" vertical="center" wrapText="1"/>
    </xf>
    <xf numFmtId="1" fontId="79" fillId="71" borderId="83" xfId="49" applyNumberFormat="1" applyFont="1" applyFill="1" applyBorder="1" applyAlignment="1">
      <alignment horizontal="center" vertical="center" wrapText="1"/>
    </xf>
    <xf numFmtId="1" fontId="79" fillId="71" borderId="126" xfId="0" applyNumberFormat="1" applyFont="1" applyFill="1" applyBorder="1" applyAlignment="1">
      <alignment horizontal="center" vertical="center" wrapText="1"/>
    </xf>
    <xf numFmtId="1" fontId="79" fillId="34" borderId="124" xfId="0" applyNumberFormat="1" applyFont="1" applyFill="1" applyBorder="1" applyAlignment="1">
      <alignment horizontal="center" vertical="center"/>
    </xf>
    <xf numFmtId="1" fontId="79" fillId="72" borderId="109" xfId="0" applyNumberFormat="1" applyFont="1" applyFill="1" applyBorder="1" applyAlignment="1">
      <alignment horizontal="center" vertical="center"/>
    </xf>
    <xf numFmtId="1" fontId="79" fillId="72" borderId="124" xfId="0" applyNumberFormat="1" applyFont="1" applyFill="1" applyBorder="1" applyAlignment="1">
      <alignment horizontal="center" vertical="center"/>
    </xf>
    <xf numFmtId="1" fontId="79" fillId="34" borderId="83" xfId="49" applyNumberFormat="1" applyFont="1" applyFill="1" applyBorder="1" applyAlignment="1">
      <alignment horizontal="center" vertical="center"/>
    </xf>
    <xf numFmtId="1" fontId="79" fillId="34" borderId="111" xfId="0" applyNumberFormat="1" applyFont="1" applyFill="1" applyBorder="1" applyAlignment="1">
      <alignment horizontal="center" vertical="center"/>
    </xf>
    <xf numFmtId="1" fontId="79" fillId="33" borderId="127" xfId="0" applyNumberFormat="1" applyFont="1" applyFill="1" applyBorder="1" applyAlignment="1">
      <alignment horizontal="center" vertical="center"/>
    </xf>
    <xf numFmtId="0" fontId="106" fillId="0" borderId="128" xfId="0" applyFont="1" applyBorder="1" applyAlignment="1">
      <alignment wrapText="1"/>
    </xf>
    <xf numFmtId="0" fontId="80" fillId="0" borderId="128" xfId="0" applyFont="1" applyBorder="1" applyAlignment="1">
      <alignment horizontal="left" vertical="center"/>
    </xf>
    <xf numFmtId="0" fontId="80" fillId="0" borderId="0" xfId="0" applyFont="1" applyBorder="1" applyAlignment="1">
      <alignment horizontal="left" vertical="center"/>
    </xf>
    <xf numFmtId="0" fontId="107" fillId="0" borderId="128" xfId="0" applyFont="1" applyBorder="1" applyAlignment="1">
      <alignment horizontal="left" vertical="center"/>
    </xf>
    <xf numFmtId="0" fontId="106" fillId="0" borderId="0" xfId="0" applyFont="1" applyBorder="1" applyAlignment="1">
      <alignment wrapText="1"/>
    </xf>
    <xf numFmtId="0" fontId="79" fillId="0" borderId="128" xfId="0" applyFont="1" applyBorder="1" applyAlignment="1">
      <alignment horizontal="left"/>
    </xf>
    <xf numFmtId="0" fontId="26" fillId="40" borderId="129" xfId="0" applyFont="1" applyFill="1" applyBorder="1" applyAlignment="1" applyProtection="1">
      <alignment vertical="center"/>
    </xf>
    <xf numFmtId="0" fontId="26" fillId="48" borderId="130" xfId="0" applyFont="1" applyFill="1" applyBorder="1" applyAlignment="1" applyProtection="1">
      <alignment vertical="center"/>
    </xf>
    <xf numFmtId="0" fontId="26" fillId="48" borderId="131" xfId="0" applyFont="1" applyFill="1" applyBorder="1" applyAlignment="1" applyProtection="1">
      <alignment vertical="center"/>
    </xf>
    <xf numFmtId="0" fontId="35" fillId="41" borderId="129" xfId="0" applyFont="1" applyFill="1" applyBorder="1" applyAlignment="1" applyProtection="1">
      <alignment vertical="center"/>
    </xf>
    <xf numFmtId="0" fontId="26" fillId="49" borderId="52" xfId="0" applyFont="1" applyFill="1" applyBorder="1" applyAlignment="1" applyProtection="1">
      <alignment vertical="center"/>
    </xf>
    <xf numFmtId="0" fontId="26" fillId="49" borderId="130" xfId="0" applyFont="1" applyFill="1" applyBorder="1" applyAlignment="1" applyProtection="1">
      <alignment vertical="center"/>
    </xf>
    <xf numFmtId="0" fontId="26" fillId="49" borderId="131" xfId="0" applyFont="1" applyFill="1" applyBorder="1" applyAlignment="1" applyProtection="1">
      <alignment vertical="center"/>
    </xf>
    <xf numFmtId="0" fontId="35" fillId="42" borderId="129" xfId="0" applyFont="1" applyFill="1" applyBorder="1" applyAlignment="1" applyProtection="1">
      <alignment vertical="center"/>
    </xf>
    <xf numFmtId="0" fontId="26" fillId="50" borderId="52" xfId="0" applyFont="1" applyFill="1" applyBorder="1" applyAlignment="1" applyProtection="1">
      <alignment vertical="center"/>
    </xf>
    <xf numFmtId="0" fontId="26" fillId="50" borderId="130" xfId="0" applyFont="1" applyFill="1" applyBorder="1" applyAlignment="1" applyProtection="1">
      <alignment vertical="center"/>
    </xf>
    <xf numFmtId="0" fontId="26" fillId="50" borderId="131" xfId="0" applyFont="1" applyFill="1" applyBorder="1" applyAlignment="1" applyProtection="1">
      <alignment vertical="center"/>
    </xf>
    <xf numFmtId="0" fontId="26" fillId="43" borderId="129" xfId="0" applyFont="1" applyFill="1" applyBorder="1" applyAlignment="1" applyProtection="1">
      <alignment vertical="center"/>
    </xf>
    <xf numFmtId="0" fontId="26" fillId="51" borderId="52" xfId="0" applyFont="1" applyFill="1" applyBorder="1" applyAlignment="1" applyProtection="1">
      <alignment vertical="center"/>
    </xf>
    <xf numFmtId="0" fontId="26" fillId="51" borderId="130" xfId="0" applyFont="1" applyFill="1" applyBorder="1" applyAlignment="1" applyProtection="1">
      <alignment vertical="center"/>
    </xf>
    <xf numFmtId="0" fontId="26" fillId="51" borderId="131" xfId="0" applyFont="1" applyFill="1" applyBorder="1" applyAlignment="1" applyProtection="1">
      <alignment vertical="center"/>
    </xf>
    <xf numFmtId="0" fontId="35" fillId="44" borderId="129" xfId="0" applyFont="1" applyFill="1" applyBorder="1" applyAlignment="1" applyProtection="1">
      <alignment vertical="center"/>
    </xf>
    <xf numFmtId="0" fontId="26" fillId="52" borderId="52" xfId="0" applyFont="1" applyFill="1" applyBorder="1" applyAlignment="1" applyProtection="1">
      <alignment vertical="center"/>
    </xf>
    <xf numFmtId="0" fontId="26" fillId="52" borderId="130" xfId="0" applyFont="1" applyFill="1" applyBorder="1" applyAlignment="1" applyProtection="1">
      <alignment vertical="center"/>
    </xf>
    <xf numFmtId="0" fontId="26" fillId="52" borderId="132" xfId="0" applyFont="1" applyFill="1" applyBorder="1" applyAlignment="1" applyProtection="1">
      <alignment vertical="center"/>
    </xf>
    <xf numFmtId="0" fontId="26" fillId="0" borderId="33" xfId="0" applyFont="1" applyBorder="1" applyAlignment="1" applyProtection="1">
      <alignment vertical="center"/>
    </xf>
    <xf numFmtId="0" fontId="26" fillId="0" borderId="30" xfId="0" applyFont="1" applyBorder="1" applyAlignment="1" applyProtection="1">
      <alignment vertical="center"/>
    </xf>
    <xf numFmtId="1" fontId="26" fillId="0" borderId="27" xfId="0" applyNumberFormat="1" applyFont="1" applyBorder="1" applyAlignment="1" applyProtection="1">
      <alignment horizontal="center" vertical="center" wrapText="1"/>
    </xf>
    <xf numFmtId="1" fontId="26" fillId="0" borderId="33" xfId="0" applyNumberFormat="1" applyFont="1" applyBorder="1" applyAlignment="1" applyProtection="1">
      <alignment horizontal="center" vertical="center" wrapText="1"/>
    </xf>
    <xf numFmtId="1" fontId="36" fillId="37" borderId="30" xfId="0" applyNumberFormat="1" applyFont="1" applyFill="1" applyBorder="1" applyAlignment="1" applyProtection="1">
      <alignment horizontal="center" vertical="center"/>
    </xf>
    <xf numFmtId="0" fontId="71" fillId="41" borderId="49" xfId="0" applyFont="1" applyFill="1" applyBorder="1" applyAlignment="1">
      <alignment horizontal="left" vertical="center" wrapText="1" readingOrder="1"/>
    </xf>
    <xf numFmtId="0" fontId="71" fillId="41" borderId="49" xfId="0" applyFont="1" applyFill="1" applyBorder="1" applyAlignment="1">
      <alignment horizontal="center" vertical="center" wrapText="1" readingOrder="1"/>
    </xf>
    <xf numFmtId="0" fontId="52" fillId="0" borderId="49" xfId="0" applyFont="1" applyFill="1" applyBorder="1" applyAlignment="1">
      <alignment horizontal="left" vertical="center" wrapText="1" readingOrder="1"/>
    </xf>
    <xf numFmtId="0" fontId="52" fillId="0" borderId="49" xfId="0" applyFont="1" applyFill="1" applyBorder="1" applyAlignment="1">
      <alignment horizontal="center" vertical="center" wrapText="1" readingOrder="1"/>
    </xf>
    <xf numFmtId="9" fontId="52" fillId="0" borderId="49" xfId="0" applyNumberFormat="1" applyFont="1" applyFill="1" applyBorder="1" applyAlignment="1">
      <alignment horizontal="center" vertical="center" wrapText="1" readingOrder="1"/>
    </xf>
    <xf numFmtId="10" fontId="52" fillId="0" borderId="49" xfId="0" applyNumberFormat="1" applyFont="1" applyFill="1" applyBorder="1" applyAlignment="1">
      <alignment horizontal="center" vertical="center" wrapText="1" readingOrder="1"/>
    </xf>
    <xf numFmtId="16" fontId="52" fillId="0" borderId="49" xfId="0" applyNumberFormat="1" applyFont="1" applyFill="1" applyBorder="1" applyAlignment="1">
      <alignment horizontal="center" vertical="center" wrapText="1" readingOrder="1"/>
    </xf>
    <xf numFmtId="0" fontId="85" fillId="0" borderId="0" xfId="0" applyFont="1" applyFill="1" applyBorder="1" applyAlignment="1">
      <alignment horizontal="center" vertical="center" wrapText="1"/>
    </xf>
    <xf numFmtId="168" fontId="109" fillId="0" borderId="0" xfId="54" applyNumberFormat="1" applyFont="1" applyAlignment="1">
      <alignment horizontal="center"/>
    </xf>
    <xf numFmtId="0" fontId="76" fillId="34" borderId="84" xfId="0" applyFont="1" applyFill="1" applyBorder="1" applyAlignment="1">
      <alignment horizontal="center" vertical="center" textRotation="90" wrapText="1"/>
    </xf>
    <xf numFmtId="0" fontId="76" fillId="34" borderId="85" xfId="0" applyFont="1" applyFill="1" applyBorder="1" applyAlignment="1">
      <alignment horizontal="center" vertical="center" textRotation="90" wrapText="1"/>
    </xf>
    <xf numFmtId="0" fontId="76" fillId="34" borderId="86" xfId="0" applyFont="1" applyFill="1" applyBorder="1" applyAlignment="1">
      <alignment horizontal="center" vertical="center" textRotation="90" wrapText="1"/>
    </xf>
    <xf numFmtId="0" fontId="80" fillId="71" borderId="12" xfId="0" applyFont="1" applyFill="1" applyBorder="1" applyAlignment="1">
      <alignment horizontal="right" vertical="center" wrapText="1"/>
    </xf>
    <xf numFmtId="0" fontId="80" fillId="71" borderId="11" xfId="0" applyFont="1" applyFill="1" applyBorder="1" applyAlignment="1">
      <alignment horizontal="right" vertical="center" wrapText="1"/>
    </xf>
    <xf numFmtId="0" fontId="80" fillId="71" borderId="81" xfId="0" applyFont="1" applyFill="1" applyBorder="1" applyAlignment="1">
      <alignment horizontal="right" vertical="center" wrapText="1"/>
    </xf>
    <xf numFmtId="0" fontId="77" fillId="77" borderId="15" xfId="0" applyFont="1" applyFill="1" applyBorder="1" applyAlignment="1">
      <alignment horizontal="center" vertical="center" wrapText="1"/>
    </xf>
    <xf numFmtId="0" fontId="77" fillId="77" borderId="107" xfId="0" applyFont="1" applyFill="1" applyBorder="1" applyAlignment="1">
      <alignment horizontal="center" vertical="center" wrapText="1"/>
    </xf>
    <xf numFmtId="0" fontId="76" fillId="34" borderId="15" xfId="0" applyFont="1" applyFill="1" applyBorder="1" applyAlignment="1">
      <alignment horizontal="center" vertical="center" wrapText="1"/>
    </xf>
    <xf numFmtId="0" fontId="76" fillId="34" borderId="107" xfId="0" applyFont="1" applyFill="1" applyBorder="1" applyAlignment="1">
      <alignment horizontal="center" vertical="center" wrapText="1"/>
    </xf>
    <xf numFmtId="0" fontId="76" fillId="34" borderId="14" xfId="0" applyFont="1" applyFill="1" applyBorder="1" applyAlignment="1">
      <alignment horizontal="center" vertical="center" wrapText="1"/>
    </xf>
    <xf numFmtId="0" fontId="93" fillId="33" borderId="13" xfId="0" applyFont="1" applyFill="1" applyBorder="1" applyAlignment="1">
      <alignment horizontal="left" vertical="center" wrapText="1"/>
    </xf>
    <xf numFmtId="0" fontId="93" fillId="33" borderId="82" xfId="0" applyFont="1" applyFill="1" applyBorder="1" applyAlignment="1">
      <alignment horizontal="left" vertical="center" wrapText="1"/>
    </xf>
    <xf numFmtId="0" fontId="77" fillId="77" borderId="10" xfId="0" applyFont="1" applyFill="1" applyBorder="1" applyAlignment="1">
      <alignment horizontal="center" vertical="center" wrapText="1"/>
    </xf>
    <xf numFmtId="0" fontId="77" fillId="77" borderId="0" xfId="0" applyFont="1" applyFill="1" applyBorder="1" applyAlignment="1">
      <alignment horizontal="center" vertical="center" wrapText="1"/>
    </xf>
    <xf numFmtId="0" fontId="77" fillId="77" borderId="14" xfId="0" applyFont="1" applyFill="1" applyBorder="1" applyAlignment="1">
      <alignment horizontal="center" vertical="center" wrapText="1"/>
    </xf>
    <xf numFmtId="0" fontId="76" fillId="33" borderId="0" xfId="0" applyFont="1" applyFill="1" applyAlignment="1">
      <alignment horizontal="left" vertical="center" wrapText="1"/>
    </xf>
    <xf numFmtId="0" fontId="76" fillId="34" borderId="12" xfId="0" applyFont="1" applyFill="1" applyBorder="1" applyAlignment="1">
      <alignment horizontal="center" vertical="center" wrapText="1"/>
    </xf>
    <xf numFmtId="0" fontId="76" fillId="34" borderId="11" xfId="0" applyFont="1" applyFill="1" applyBorder="1" applyAlignment="1">
      <alignment horizontal="center" vertical="center" wrapText="1"/>
    </xf>
    <xf numFmtId="0" fontId="76" fillId="34" borderId="81" xfId="0" applyFont="1" applyFill="1" applyBorder="1" applyAlignment="1">
      <alignment horizontal="center" vertical="center" wrapText="1"/>
    </xf>
    <xf numFmtId="0" fontId="39" fillId="35" borderId="38" xfId="0" applyFont="1" applyFill="1" applyBorder="1" applyAlignment="1">
      <alignment horizontal="left"/>
    </xf>
    <xf numFmtId="0" fontId="26" fillId="35" borderId="38" xfId="0" applyFont="1" applyFill="1" applyBorder="1" applyAlignment="1">
      <alignment horizontal="center"/>
    </xf>
    <xf numFmtId="0" fontId="29" fillId="0" borderId="13" xfId="0" applyFont="1" applyBorder="1" applyAlignment="1">
      <alignment horizontal="center" vertical="center" wrapText="1"/>
    </xf>
    <xf numFmtId="0" fontId="23" fillId="37" borderId="12" xfId="0" applyFont="1" applyFill="1" applyBorder="1" applyAlignment="1">
      <alignment horizontal="center" vertical="center" wrapText="1"/>
    </xf>
    <xf numFmtId="0" fontId="23" fillId="37" borderId="11" xfId="0" applyFont="1" applyFill="1" applyBorder="1" applyAlignment="1">
      <alignment horizontal="center" vertical="center" wrapText="1"/>
    </xf>
    <xf numFmtId="0" fontId="23" fillId="37" borderId="15" xfId="0" applyFont="1" applyFill="1" applyBorder="1" applyAlignment="1">
      <alignment horizontal="center" vertical="center" wrapText="1"/>
    </xf>
    <xf numFmtId="0" fontId="23" fillId="37" borderId="14" xfId="0" applyFont="1" applyFill="1" applyBorder="1" applyAlignment="1">
      <alignment horizontal="center" vertical="center" wrapText="1"/>
    </xf>
    <xf numFmtId="0" fontId="23" fillId="37" borderId="16" xfId="0" applyFont="1" applyFill="1" applyBorder="1" applyAlignment="1">
      <alignment horizontal="center" vertical="center" wrapText="1"/>
    </xf>
    <xf numFmtId="0" fontId="23" fillId="37" borderId="13" xfId="0" applyFont="1" applyFill="1" applyBorder="1" applyAlignment="1">
      <alignment horizontal="center" vertical="center" wrapText="1"/>
    </xf>
    <xf numFmtId="0" fontId="52" fillId="64" borderId="63" xfId="0" applyFont="1" applyFill="1" applyBorder="1" applyAlignment="1">
      <alignment horizontal="center" vertical="center" wrapText="1"/>
    </xf>
    <xf numFmtId="0" fontId="52" fillId="64" borderId="0" xfId="0" applyFont="1" applyFill="1" applyBorder="1" applyAlignment="1">
      <alignment horizontal="center" vertical="center" wrapText="1"/>
    </xf>
    <xf numFmtId="0" fontId="52" fillId="64" borderId="65" xfId="0" applyFont="1" applyFill="1" applyBorder="1" applyAlignment="1">
      <alignment horizontal="center" vertical="center" wrapText="1"/>
    </xf>
    <xf numFmtId="0" fontId="61" fillId="56" borderId="63" xfId="0" applyFont="1" applyFill="1" applyBorder="1" applyAlignment="1">
      <alignment horizontal="center" vertical="center" wrapText="1"/>
    </xf>
    <xf numFmtId="0" fontId="61" fillId="56" borderId="0" xfId="0" applyFont="1" applyFill="1" applyBorder="1" applyAlignment="1">
      <alignment horizontal="center" vertical="center" wrapText="1"/>
    </xf>
    <xf numFmtId="0" fontId="61" fillId="56" borderId="65" xfId="0" applyFont="1" applyFill="1" applyBorder="1" applyAlignment="1">
      <alignment horizontal="center" vertical="center" wrapText="1"/>
    </xf>
    <xf numFmtId="0" fontId="52" fillId="55" borderId="62" xfId="0" applyFont="1" applyFill="1" applyBorder="1" applyAlignment="1">
      <alignment horizontal="center" vertical="center" wrapText="1"/>
    </xf>
    <xf numFmtId="0" fontId="52" fillId="55" borderId="63" xfId="0" applyFont="1" applyFill="1" applyBorder="1" applyAlignment="1">
      <alignment horizontal="center" vertical="center" wrapText="1"/>
    </xf>
    <xf numFmtId="0" fontId="52" fillId="55" borderId="66" xfId="0" applyFont="1" applyFill="1" applyBorder="1" applyAlignment="1">
      <alignment horizontal="center" vertical="center" wrapText="1"/>
    </xf>
    <xf numFmtId="0" fontId="52" fillId="55" borderId="65" xfId="0" applyFont="1" applyFill="1" applyBorder="1" applyAlignment="1">
      <alignment horizontal="center" vertical="center" wrapText="1"/>
    </xf>
    <xf numFmtId="0" fontId="52" fillId="55" borderId="64" xfId="0" applyFont="1" applyFill="1" applyBorder="1" applyAlignment="1">
      <alignment horizontal="center" vertical="center" wrapText="1"/>
    </xf>
    <xf numFmtId="0" fontId="52" fillId="55" borderId="0" xfId="0" applyFont="1" applyFill="1" applyBorder="1" applyAlignment="1">
      <alignment horizontal="center" vertical="center" wrapText="1"/>
    </xf>
    <xf numFmtId="0" fontId="61" fillId="56" borderId="63" xfId="0" applyFont="1" applyFill="1" applyBorder="1" applyAlignment="1">
      <alignment horizontal="center" vertical="center" textRotation="90" wrapText="1"/>
    </xf>
    <xf numFmtId="0" fontId="61" fillId="56" borderId="0" xfId="0" applyFont="1" applyFill="1" applyBorder="1" applyAlignment="1">
      <alignment horizontal="center" vertical="center" textRotation="90" wrapText="1"/>
    </xf>
    <xf numFmtId="0" fontId="61" fillId="56" borderId="65" xfId="0" applyFont="1" applyFill="1" applyBorder="1" applyAlignment="1">
      <alignment horizontal="center" vertical="center" textRotation="90" wrapText="1"/>
    </xf>
    <xf numFmtId="0" fontId="61" fillId="66" borderId="63" xfId="0" applyFont="1" applyFill="1" applyBorder="1" applyAlignment="1">
      <alignment horizontal="center" vertical="center" wrapText="1"/>
    </xf>
    <xf numFmtId="0" fontId="61" fillId="66" borderId="65" xfId="0" applyFont="1" applyFill="1" applyBorder="1" applyAlignment="1">
      <alignment horizontal="center" vertical="center" wrapText="1"/>
    </xf>
    <xf numFmtId="0" fontId="61" fillId="66" borderId="0" xfId="0" applyFont="1" applyFill="1" applyBorder="1" applyAlignment="1">
      <alignment horizontal="center" vertical="center" wrapText="1"/>
    </xf>
    <xf numFmtId="0" fontId="52" fillId="54" borderId="63" xfId="0" applyFont="1" applyFill="1" applyBorder="1" applyAlignment="1">
      <alignment horizontal="center" vertical="center" textRotation="90" wrapText="1"/>
    </xf>
    <xf numFmtId="0" fontId="52" fillId="54" borderId="0" xfId="0" applyFont="1" applyFill="1" applyBorder="1" applyAlignment="1">
      <alignment horizontal="center" vertical="center" textRotation="90" wrapText="1"/>
    </xf>
    <xf numFmtId="0" fontId="52" fillId="54" borderId="65" xfId="0" applyFont="1" applyFill="1" applyBorder="1" applyAlignment="1">
      <alignment horizontal="center" vertical="center" textRotation="90" wrapText="1"/>
    </xf>
    <xf numFmtId="0" fontId="66" fillId="57" borderId="0" xfId="0" applyFont="1" applyFill="1" applyBorder="1" applyAlignment="1">
      <alignment horizontal="center" vertical="center" wrapText="1"/>
    </xf>
    <xf numFmtId="0" fontId="66" fillId="57" borderId="65" xfId="0" applyFont="1" applyFill="1" applyBorder="1" applyAlignment="1">
      <alignment horizontal="center" vertical="center" wrapText="1"/>
    </xf>
    <xf numFmtId="0" fontId="52" fillId="64" borderId="0" xfId="0" applyFont="1" applyFill="1" applyBorder="1" applyAlignment="1">
      <alignment horizontal="center" vertical="center" textRotation="90" wrapText="1"/>
    </xf>
    <xf numFmtId="0" fontId="52" fillId="64" borderId="65" xfId="0" applyFont="1" applyFill="1" applyBorder="1" applyAlignment="1">
      <alignment horizontal="center" vertical="center" textRotation="90" wrapText="1"/>
    </xf>
    <xf numFmtId="0" fontId="52" fillId="65" borderId="14" xfId="0" applyFont="1" applyFill="1" applyBorder="1" applyAlignment="1">
      <alignment horizontal="center" vertical="center" wrapText="1"/>
    </xf>
    <xf numFmtId="0" fontId="52" fillId="65" borderId="0" xfId="0" applyFont="1" applyFill="1" applyBorder="1" applyAlignment="1">
      <alignment horizontal="center" vertical="center" wrapText="1"/>
    </xf>
    <xf numFmtId="0" fontId="52" fillId="65" borderId="63" xfId="0" applyFont="1" applyFill="1" applyBorder="1" applyAlignment="1">
      <alignment horizontal="center" vertical="center" wrapText="1"/>
    </xf>
    <xf numFmtId="0" fontId="52" fillId="65" borderId="65" xfId="0" applyFont="1" applyFill="1" applyBorder="1" applyAlignment="1">
      <alignment horizontal="center" vertical="center" wrapText="1"/>
    </xf>
    <xf numFmtId="0" fontId="52" fillId="62" borderId="64" xfId="0" applyFont="1" applyFill="1" applyBorder="1" applyAlignment="1">
      <alignment horizontal="center" vertical="center" textRotation="90" wrapText="1"/>
    </xf>
    <xf numFmtId="0" fontId="52" fillId="62" borderId="66" xfId="0" applyFont="1" applyFill="1" applyBorder="1" applyAlignment="1">
      <alignment horizontal="center" vertical="center" textRotation="90" wrapText="1"/>
    </xf>
    <xf numFmtId="0" fontId="66" fillId="63" borderId="0" xfId="0" applyFont="1" applyFill="1" applyBorder="1" applyAlignment="1">
      <alignment horizontal="center" vertical="center" wrapText="1"/>
    </xf>
    <xf numFmtId="0" fontId="66" fillId="63" borderId="65" xfId="0" applyFont="1" applyFill="1" applyBorder="1" applyAlignment="1">
      <alignment horizontal="center" vertical="center" wrapText="1"/>
    </xf>
    <xf numFmtId="0" fontId="52" fillId="62" borderId="62" xfId="0" applyFont="1" applyFill="1" applyBorder="1" applyAlignment="1">
      <alignment horizontal="center" vertical="center" textRotation="90" wrapText="1"/>
    </xf>
    <xf numFmtId="0" fontId="66" fillId="63" borderId="63" xfId="0" applyFont="1" applyFill="1" applyBorder="1" applyAlignment="1">
      <alignment horizontal="center" vertical="center" wrapText="1"/>
    </xf>
    <xf numFmtId="0" fontId="52" fillId="62" borderId="0" xfId="0" applyFont="1" applyFill="1" applyBorder="1" applyAlignment="1">
      <alignment horizontal="center" vertical="center" textRotation="90" wrapText="1"/>
    </xf>
    <xf numFmtId="0" fontId="52" fillId="62" borderId="65" xfId="0" applyFont="1" applyFill="1" applyBorder="1" applyAlignment="1">
      <alignment horizontal="center" vertical="center" textRotation="90" wrapText="1"/>
    </xf>
    <xf numFmtId="0" fontId="66" fillId="57" borderId="63" xfId="0" applyFont="1" applyFill="1" applyBorder="1" applyAlignment="1">
      <alignment horizontal="center" vertical="center" wrapText="1"/>
    </xf>
    <xf numFmtId="0" fontId="52" fillId="64" borderId="63" xfId="0" applyFont="1" applyFill="1" applyBorder="1" applyAlignment="1">
      <alignment horizontal="center" vertical="center" textRotation="90" wrapText="1"/>
    </xf>
    <xf numFmtId="0" fontId="28" fillId="0" borderId="60" xfId="0" applyFont="1" applyBorder="1" applyAlignment="1">
      <alignment horizontal="center" vertical="center" wrapText="1"/>
    </xf>
    <xf numFmtId="0" fontId="28" fillId="0" borderId="61" xfId="0" applyFont="1" applyBorder="1" applyAlignment="1">
      <alignment horizontal="center" vertical="center" wrapText="1"/>
    </xf>
    <xf numFmtId="0" fontId="28" fillId="0" borderId="58" xfId="0" applyFont="1" applyBorder="1" applyAlignment="1">
      <alignment horizontal="center" vertical="center" wrapText="1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8" xfId="0" applyBorder="1" applyAlignment="1">
      <alignment horizontal="center" wrapText="1"/>
    </xf>
    <xf numFmtId="0" fontId="0" fillId="58" borderId="60" xfId="0" applyFill="1" applyBorder="1" applyAlignment="1">
      <alignment horizontal="center" vertical="center" wrapText="1"/>
    </xf>
    <xf numFmtId="0" fontId="0" fillId="58" borderId="61" xfId="0" applyFill="1" applyBorder="1" applyAlignment="1">
      <alignment horizontal="center" vertical="center" wrapText="1"/>
    </xf>
    <xf numFmtId="0" fontId="0" fillId="58" borderId="58" xfId="0" applyFill="1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</cellXfs>
  <cellStyles count="55">
    <cellStyle name="% 2" xfId="45"/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d-back" xfId="5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illares 2" xfId="46"/>
    <cellStyle name="Millares 3" xfId="52"/>
    <cellStyle name="Millares 4" xfId="53"/>
    <cellStyle name="Neutral" xfId="8" builtinId="28" customBuiltin="1"/>
    <cellStyle name="Normal" xfId="0" builtinId="0"/>
    <cellStyle name="Normal 1" xfId="47"/>
    <cellStyle name="Normal 1 2" xfId="48"/>
    <cellStyle name="Normal 2" xfId="42"/>
    <cellStyle name="Normal 2 2" xfId="49"/>
    <cellStyle name="Normal 3" xfId="44"/>
    <cellStyle name="Normal 3 2" xfId="50"/>
    <cellStyle name="Notas" xfId="15" builtinId="10" customBuiltin="1"/>
    <cellStyle name="Porcentaje" xfId="54" builtinId="5"/>
    <cellStyle name="Porcentaje 2" xfId="43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9717">
    <dxf>
      <fill>
        <patternFill>
          <bgColor rgb="FFFFCC99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>
          <bgColor rgb="FFFFCC99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F0AA00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FFCC99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rgb="FFCCFFCC"/>
        </patternFill>
      </fill>
    </dxf>
  </dxfs>
  <tableStyles count="0" defaultTableStyle="TableStyleMedium2" defaultPivotStyle="PivotStyleLight16"/>
  <colors>
    <mruColors>
      <color rgb="FF404545"/>
      <color rgb="FF9C242C"/>
      <color rgb="FFFFCC99"/>
      <color rgb="FFCCFFCC"/>
      <color rgb="FFFFFF99"/>
      <color rgb="FF006086"/>
      <color rgb="FFD36F67"/>
      <color rgb="FFAA272F"/>
      <color rgb="FFFFBDBD"/>
      <color rgb="FFDD6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7611372875582E-2"/>
          <c:y val="3.4627737455727468E-2"/>
          <c:w val="0.93410829670387585"/>
          <c:h val="0.616505233306982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DetalleDimension!$Q$2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DetalleDimension!$K$4:$K$6</c:f>
              <c:strCache>
                <c:ptCount val="3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</c:strCache>
            </c:strRef>
          </c:cat>
          <c:val>
            <c:numRef>
              <c:f>DetalleDimension!$Q$4:$Q$6</c:f>
              <c:numCache>
                <c:formatCode>0</c:formatCode>
                <c:ptCount val="3"/>
                <c:pt idx="0">
                  <c:v>73</c:v>
                </c:pt>
                <c:pt idx="1">
                  <c:v>75</c:v>
                </c:pt>
                <c:pt idx="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5-4E33-8018-A6DA08A9863B}"/>
            </c:ext>
          </c:extLst>
        </c:ser>
        <c:ser>
          <c:idx val="1"/>
          <c:order val="1"/>
          <c:tx>
            <c:strRef>
              <c:f>DetalleDimension!$R$2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E6A4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DetalleDimension!$K$4:$K$6</c:f>
              <c:strCache>
                <c:ptCount val="3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</c:strCache>
            </c:strRef>
          </c:cat>
          <c:val>
            <c:numRef>
              <c:f>DetalleDimension!$R$4:$R$6</c:f>
              <c:numCache>
                <c:formatCode>0</c:formatCode>
                <c:ptCount val="3"/>
                <c:pt idx="0">
                  <c:v>69</c:v>
                </c:pt>
                <c:pt idx="1">
                  <c:v>71</c:v>
                </c:pt>
                <c:pt idx="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F5-4E33-8018-A6DA08A986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7749840"/>
        <c:axId val="300491632"/>
      </c:barChart>
      <c:lineChart>
        <c:grouping val="standard"/>
        <c:varyColors val="0"/>
        <c:ser>
          <c:idx val="2"/>
          <c:order val="2"/>
          <c:tx>
            <c:strRef>
              <c:f>DetalleDimension!$S$2</c:f>
              <c:strCache>
                <c:ptCount val="1"/>
                <c:pt idx="0">
                  <c:v>BMK</c:v>
                </c:pt>
              </c:strCache>
            </c:strRef>
          </c:tx>
          <c:spPr>
            <a:ln w="38100">
              <a:solidFill>
                <a:srgbClr val="AA272F"/>
              </a:solidFill>
              <a:prstDash val="solid"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DetalleDimension!$K$4:$K$6</c:f>
              <c:strCache>
                <c:ptCount val="3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</c:strCache>
            </c:strRef>
          </c:cat>
          <c:val>
            <c:numRef>
              <c:f>DetalleDimension!$S$4:$S$6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F5-4E33-8018-A6DA08A98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49840"/>
        <c:axId val="300491632"/>
      </c:lineChart>
      <c:catAx>
        <c:axId val="2077498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 anchor="t" anchorCtr="0"/>
          <a:lstStyle/>
          <a:p>
            <a:pPr>
              <a:defRPr sz="1600" b="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300491632"/>
        <c:crosses val="autoZero"/>
        <c:auto val="1"/>
        <c:lblAlgn val="ctr"/>
        <c:lblOffset val="0"/>
        <c:noMultiLvlLbl val="0"/>
      </c:catAx>
      <c:valAx>
        <c:axId val="300491632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207749840"/>
        <c:crosses val="autoZero"/>
        <c:crossBetween val="between"/>
      </c:valAx>
      <c:spPr>
        <a:noFill/>
        <a:ln>
          <a:noFill/>
          <a:prstDash val="dashDot"/>
        </a:ln>
      </c:spPr>
    </c:plotArea>
    <c:legend>
      <c:legendPos val="b"/>
      <c:layout>
        <c:manualLayout>
          <c:xMode val="edge"/>
          <c:yMode val="edge"/>
          <c:x val="2.4329517054132822E-2"/>
          <c:y val="0.82559536838907677"/>
          <c:w val="0.89999988205586068"/>
          <c:h val="7.2913368477392451E-2"/>
        </c:manualLayout>
      </c:layout>
      <c:overlay val="0"/>
      <c:txPr>
        <a:bodyPr/>
        <a:lstStyle/>
        <a:p>
          <a:pPr>
            <a:defRPr sz="1200">
              <a:solidFill>
                <a:schemeClr val="tx1">
                  <a:lumMod val="65000"/>
                  <a:lumOff val="35000"/>
                </a:schemeClr>
              </a:solidFill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5.5611854343449785E-2"/>
          <c:w val="0.98159400561696242"/>
          <c:h val="0.62734877557781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DetalleDimension!$Q$23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rgbClr val="8A8A8A"/>
            </a:solidFill>
            <a:ln>
              <a:noFill/>
            </a:ln>
            <a:effectLst>
              <a:innerShdw blurRad="63500" dist="50800" dir="18900000">
                <a:schemeClr val="tx1">
                  <a:lumMod val="65000"/>
                  <a:lumOff val="35000"/>
                  <a:alpha val="50000"/>
                </a:schemeClr>
              </a:innerShdw>
            </a:effectLst>
            <a:scene3d>
              <a:camera prst="orthographicFront"/>
              <a:lightRig rig="threePt" dir="t"/>
            </a:scene3d>
            <a:sp3d prstMaterial="matte"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100" b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DetalleDimension!$K$30:$K$32</c:f>
              <c:strCache>
                <c:ptCount val="3"/>
                <c:pt idx="0">
                  <c:v>Promedio Confianza</c:v>
                </c:pt>
                <c:pt idx="1">
                  <c:v>Promedio General</c:v>
                </c:pt>
                <c:pt idx="2">
                  <c:v>Percepción General</c:v>
                </c:pt>
              </c:strCache>
            </c:strRef>
          </c:cat>
          <c:val>
            <c:numRef>
              <c:f>DetalleDimension!$Q$30:$Q$32</c:f>
              <c:numCache>
                <c:formatCode>0</c:formatCode>
                <c:ptCount val="3"/>
                <c:pt idx="0">
                  <c:v>73</c:v>
                </c:pt>
                <c:pt idx="1">
                  <c:v>73</c:v>
                </c:pt>
                <c:pt idx="2">
                  <c:v>70.81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4D-48C0-9550-061BB48F562A}"/>
            </c:ext>
          </c:extLst>
        </c:ser>
        <c:ser>
          <c:idx val="1"/>
          <c:order val="1"/>
          <c:tx>
            <c:strRef>
              <c:f>DetalleDimension!$R$23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A5002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2-704D-48C0-9550-061BB48F562A}"/>
              </c:ext>
            </c:extLst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4-704D-48C0-9550-061BB48F562A}"/>
              </c:ext>
            </c:extLst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6-704D-48C0-9550-061BB48F562A}"/>
              </c:ext>
            </c:extLst>
          </c:dPt>
          <c:dLbls>
            <c:dLbl>
              <c:idx val="0"/>
              <c:spPr>
                <a:noFill/>
              </c:spPr>
              <c:txPr>
                <a:bodyPr/>
                <a:lstStyle/>
                <a:p>
                  <a:pPr>
                    <a:defRPr sz="2100" b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HelveticaNeueLT Std" pitchFamily="34" charset="0"/>
                    </a:defRPr>
                  </a:pPr>
                  <a:endParaRPr lang="es-E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04D-48C0-9550-061BB48F56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100" b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DetalleDimension!$K$30:$K$32</c:f>
              <c:strCache>
                <c:ptCount val="3"/>
                <c:pt idx="0">
                  <c:v>Promedio Confianza</c:v>
                </c:pt>
                <c:pt idx="1">
                  <c:v>Promedio General</c:v>
                </c:pt>
                <c:pt idx="2">
                  <c:v>Percepción General</c:v>
                </c:pt>
              </c:strCache>
            </c:strRef>
          </c:cat>
          <c:val>
            <c:numRef>
              <c:f>DetalleDimension!$R$30:$R$32</c:f>
              <c:numCache>
                <c:formatCode>0</c:formatCode>
                <c:ptCount val="3"/>
                <c:pt idx="0">
                  <c:v>69</c:v>
                </c:pt>
                <c:pt idx="1">
                  <c:v>69</c:v>
                </c:pt>
                <c:pt idx="2">
                  <c:v>66.099999999999994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4D-48C0-9550-061BB48F562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0490456"/>
        <c:axId val="203263272"/>
      </c:barChart>
      <c:lineChart>
        <c:grouping val="standard"/>
        <c:varyColors val="0"/>
        <c:ser>
          <c:idx val="2"/>
          <c:order val="2"/>
          <c:tx>
            <c:strRef>
              <c:f>DetalleDimension!$S$29</c:f>
              <c:strCache>
                <c:ptCount val="1"/>
                <c:pt idx="0">
                  <c:v>BMK</c:v>
                </c:pt>
              </c:strCache>
            </c:strRef>
          </c:tx>
          <c:spPr>
            <a:ln w="38100">
              <a:solidFill>
                <a:srgbClr val="AA272F"/>
              </a:solidFill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462506964840803E-2"/>
                  <c:y val="-5.2861775455638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4D-48C0-9550-061BB48F562A}"/>
                </c:ext>
              </c:extLst>
            </c:dLbl>
            <c:dLbl>
              <c:idx val="1"/>
              <c:layout>
                <c:manualLayout>
                  <c:x val="-3.8239771668520946E-2"/>
                  <c:y val="-4.5679691907670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04D-48C0-9550-061BB48F562A}"/>
                </c:ext>
              </c:extLst>
            </c:dLbl>
            <c:dLbl>
              <c:idx val="2"/>
              <c:layout>
                <c:manualLayout>
                  <c:x val="-3.7764173431371152E-2"/>
                  <c:y val="-6.42773707241392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04D-48C0-9550-061BB48F56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900" b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DetalleDimension!$K$15:$K$18</c:f>
              <c:strCache>
                <c:ptCount val="4"/>
                <c:pt idx="0">
                  <c:v>ORGULLO</c:v>
                </c:pt>
                <c:pt idx="1">
                  <c:v>Trabajo Personal</c:v>
                </c:pt>
                <c:pt idx="2">
                  <c:v>Equipo</c:v>
                </c:pt>
                <c:pt idx="3">
                  <c:v>Empresa</c:v>
                </c:pt>
              </c:strCache>
            </c:strRef>
          </c:cat>
          <c:val>
            <c:numRef>
              <c:f>DetalleDimension!$S$30:$S$32</c:f>
              <c:numCache>
                <c:formatCode>0</c:formatCode>
                <c:ptCount val="3"/>
                <c:pt idx="0">
                  <c:v>77</c:v>
                </c:pt>
                <c:pt idx="1">
                  <c:v>79</c:v>
                </c:pt>
                <c:pt idx="2">
                  <c:v>82.28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04D-48C0-9550-061BB48F562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0490456"/>
        <c:axId val="203263272"/>
      </c:lineChart>
      <c:catAx>
        <c:axId val="30049045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03263272"/>
        <c:crosses val="autoZero"/>
        <c:auto val="1"/>
        <c:lblAlgn val="ctr"/>
        <c:lblOffset val="0"/>
        <c:noMultiLvlLbl val="0"/>
      </c:catAx>
      <c:valAx>
        <c:axId val="203263272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300490456"/>
        <c:crosses val="autoZero"/>
        <c:crossBetween val="between"/>
      </c:valAx>
      <c:spPr>
        <a:noFill/>
        <a:ln>
          <a:noFill/>
        </a:ln>
      </c:spPr>
    </c:plotArea>
    <c:legend>
      <c:legendPos val="b"/>
      <c:overlay val="0"/>
      <c:txPr>
        <a:bodyPr/>
        <a:lstStyle/>
        <a:p>
          <a:pPr>
            <a:defRPr sz="1100">
              <a:solidFill>
                <a:schemeClr val="tx1">
                  <a:lumMod val="75000"/>
                  <a:lumOff val="25000"/>
                </a:schemeClr>
              </a:solidFill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727012216824297E-2"/>
          <c:y val="7.0347604573978859E-2"/>
          <c:w val="0.98727298030128152"/>
          <c:h val="0.537165265732080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DetalleDimension!$Q$23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rgbClr val="8A8A8A"/>
            </a:solidFill>
            <a:ln>
              <a:noFill/>
            </a:ln>
            <a:effectLst/>
            <a:scene3d>
              <a:camera prst="orthographicFront"/>
              <a:lightRig rig="twoPt" dir="t"/>
            </a:scene3d>
            <a:sp3d prstMaterial="matte">
              <a:bevelB w="165100" prst="coolSlan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DetalleDimension!$K$24:$K$28</c:f>
              <c:strCache>
                <c:ptCount val="5"/>
                <c:pt idx="0">
                  <c:v>CREDIBILIDAD</c:v>
                </c:pt>
                <c:pt idx="1">
                  <c:v>RESPETO</c:v>
                </c:pt>
                <c:pt idx="2">
                  <c:v>IMPARCIALIDAD</c:v>
                </c:pt>
                <c:pt idx="3">
                  <c:v>ORGULLO</c:v>
                </c:pt>
                <c:pt idx="4">
                  <c:v>CAMARADERÍA</c:v>
                </c:pt>
              </c:strCache>
            </c:strRef>
          </c:cat>
          <c:val>
            <c:numRef>
              <c:f>DetalleDimension!$Q$24:$Q$28</c:f>
              <c:numCache>
                <c:formatCode>0</c:formatCode>
                <c:ptCount val="5"/>
                <c:pt idx="0">
                  <c:v>74</c:v>
                </c:pt>
                <c:pt idx="1">
                  <c:v>74</c:v>
                </c:pt>
                <c:pt idx="2">
                  <c:v>70</c:v>
                </c:pt>
                <c:pt idx="3">
                  <c:v>71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6-4FAD-97A1-6397766E0EDC}"/>
            </c:ext>
          </c:extLst>
        </c:ser>
        <c:ser>
          <c:idx val="1"/>
          <c:order val="1"/>
          <c:tx>
            <c:strRef>
              <c:f>DetalleDimension!$R$23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AA272F"/>
            </a:solidFill>
            <a:ln>
              <a:noFill/>
            </a:ln>
            <a:effectLst/>
            <a:scene3d>
              <a:camera prst="orthographicFront"/>
              <a:lightRig rig="twoPt" dir="t"/>
            </a:scene3d>
            <a:sp3d prstMaterial="matte"/>
          </c:spPr>
          <c:invertIfNegative val="0"/>
          <c:dPt>
            <c:idx val="0"/>
            <c:invertIfNegative val="0"/>
            <c:bubble3D val="0"/>
            <c:spPr>
              <a:solidFill>
                <a:srgbClr val="F0AB00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2-1BA6-4FAD-97A1-6397766E0ED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1BA6-4FAD-97A1-6397766E0EDC}"/>
              </c:ext>
            </c:extLst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5-1BA6-4FAD-97A1-6397766E0EDC}"/>
              </c:ext>
            </c:extLst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7-1BA6-4FAD-97A1-6397766E0EDC}"/>
              </c:ext>
            </c:extLst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9-1BA6-4FAD-97A1-6397766E0E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DetalleDimension!$K$24:$K$28</c:f>
              <c:strCache>
                <c:ptCount val="5"/>
                <c:pt idx="0">
                  <c:v>CREDIBILIDAD</c:v>
                </c:pt>
                <c:pt idx="1">
                  <c:v>RESPETO</c:v>
                </c:pt>
                <c:pt idx="2">
                  <c:v>IMPARCIALIDAD</c:v>
                </c:pt>
                <c:pt idx="3">
                  <c:v>ORGULLO</c:v>
                </c:pt>
                <c:pt idx="4">
                  <c:v>CAMARADERÍA</c:v>
                </c:pt>
              </c:strCache>
            </c:strRef>
          </c:cat>
          <c:val>
            <c:numRef>
              <c:f>DetalleDimension!$R$24:$R$28</c:f>
              <c:numCache>
                <c:formatCode>0</c:formatCode>
                <c:ptCount val="5"/>
                <c:pt idx="0">
                  <c:v>70</c:v>
                </c:pt>
                <c:pt idx="1">
                  <c:v>71</c:v>
                </c:pt>
                <c:pt idx="2">
                  <c:v>66</c:v>
                </c:pt>
                <c:pt idx="3">
                  <c:v>67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BA6-4FAD-97A1-6397766E0E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3832928"/>
        <c:axId val="193833320"/>
      </c:barChart>
      <c:lineChart>
        <c:grouping val="standard"/>
        <c:varyColors val="0"/>
        <c:ser>
          <c:idx val="2"/>
          <c:order val="2"/>
          <c:tx>
            <c:strRef>
              <c:f>DetalleDimension!$S$29</c:f>
              <c:strCache>
                <c:ptCount val="1"/>
                <c:pt idx="0">
                  <c:v>BMK</c:v>
                </c:pt>
              </c:strCache>
            </c:strRef>
          </c:tx>
          <c:spPr>
            <a:ln w="38100">
              <a:solidFill>
                <a:srgbClr val="AA272F"/>
              </a:solidFill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DetalleDimension!$K$15:$K$18</c:f>
              <c:strCache>
                <c:ptCount val="4"/>
                <c:pt idx="0">
                  <c:v>ORGULLO</c:v>
                </c:pt>
                <c:pt idx="1">
                  <c:v>Trabajo Personal</c:v>
                </c:pt>
                <c:pt idx="2">
                  <c:v>Equipo</c:v>
                </c:pt>
                <c:pt idx="3">
                  <c:v>Empresa</c:v>
                </c:pt>
              </c:strCache>
            </c:strRef>
          </c:cat>
          <c:val>
            <c:numRef>
              <c:f>DetalleDimension!$S$24:$S$28</c:f>
              <c:numCache>
                <c:formatCode>0</c:formatCode>
                <c:ptCount val="5"/>
                <c:pt idx="0">
                  <c:v>79</c:v>
                </c:pt>
                <c:pt idx="1">
                  <c:v>77</c:v>
                </c:pt>
                <c:pt idx="2">
                  <c:v>75</c:v>
                </c:pt>
                <c:pt idx="3">
                  <c:v>80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BA6-4FAD-97A1-6397766E0E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3832928"/>
        <c:axId val="193833320"/>
      </c:lineChart>
      <c:catAx>
        <c:axId val="193832928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193833320"/>
        <c:crosses val="autoZero"/>
        <c:auto val="1"/>
        <c:lblAlgn val="ctr"/>
        <c:lblOffset val="0"/>
        <c:noMultiLvlLbl val="0"/>
      </c:catAx>
      <c:valAx>
        <c:axId val="1938333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93832928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12056171896338608"/>
          <c:y val="0.9622063447856799"/>
          <c:w val="0.69497917016018695"/>
          <c:h val="3.7793732546348685E-2"/>
        </c:manualLayout>
      </c:layout>
      <c:overlay val="0"/>
      <c:txPr>
        <a:bodyPr/>
        <a:lstStyle/>
        <a:p>
          <a:pPr>
            <a:defRPr sz="1100"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7622118178868E-2"/>
          <c:y val="2.4543835972835409E-2"/>
          <c:w val="0.92389120837363625"/>
          <c:h val="0.84311173246636517"/>
        </c:manualLayout>
      </c:layout>
      <c:lineChart>
        <c:grouping val="standard"/>
        <c:varyColors val="0"/>
        <c:ser>
          <c:idx val="0"/>
          <c:order val="0"/>
          <c:tx>
            <c:strRef>
              <c:f>DetalleDimension!$K$35</c:f>
              <c:strCache>
                <c:ptCount val="1"/>
                <c:pt idx="0">
                  <c:v>CREDIBILIDAD</c:v>
                </c:pt>
              </c:strCache>
            </c:strRef>
          </c:tx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3"/>
            <c:spPr>
              <a:solidFill>
                <a:srgbClr val="FFC000"/>
              </a:solidFill>
              <a:ln w="38100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6.3594134507889713E-2"/>
                  <c:y val="-6.9258912323419484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4D-40B2-8480-A422DD3445C9}"/>
                </c:ext>
              </c:extLst>
            </c:dLbl>
            <c:dLbl>
              <c:idx val="1"/>
              <c:layout>
                <c:manualLayout>
                  <c:x val="-3.9237779892556338E-3"/>
                  <c:y val="-6.925891232341141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4D-40B2-8480-A422DD3445C9}"/>
                </c:ext>
              </c:extLst>
            </c:dLbl>
            <c:dLbl>
              <c:idx val="2"/>
              <c:layout>
                <c:manualLayout>
                  <c:x val="-3.073927457020874E-4"/>
                  <c:y val="3.705351809302430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4D-40B2-8480-A422DD3445C9}"/>
                </c:ext>
              </c:extLst>
            </c:dLbl>
            <c:dLbl>
              <c:idx val="3"/>
              <c:layout>
                <c:manualLayout>
                  <c:x val="-5.7319706110324237E-3"/>
                  <c:y val="-4.46719984486003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F4D-40B2-8480-A422DD3445C9}"/>
                </c:ext>
              </c:extLst>
            </c:dLbl>
            <c:dLbl>
              <c:idx val="4"/>
              <c:layout>
                <c:manualLayout>
                  <c:x val="-2.1155853674788444E-3"/>
                  <c:y val="-1.38864119208439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4D-40B2-8480-A422DD3445C9}"/>
                </c:ext>
              </c:extLst>
            </c:dLbl>
            <c:dLbl>
              <c:idx val="6"/>
              <c:layout>
                <c:manualLayout>
                  <c:x val="-3.9237779892555679E-3"/>
                  <c:y val="-1.38864119208439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4D-40B2-8480-A422DD3445C9}"/>
                </c:ext>
              </c:extLst>
            </c:dLbl>
            <c:dLbl>
              <c:idx val="7"/>
              <c:layout>
                <c:manualLayout>
                  <c:x val="-3.9237779892556338E-3"/>
                  <c:y val="-5.090530055770738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4D-40B2-8480-A422DD3445C9}"/>
                </c:ext>
              </c:extLst>
            </c:dLbl>
            <c:dLbl>
              <c:idx val="8"/>
              <c:layout>
                <c:manualLayout>
                  <c:x val="-3.9237779892556338E-3"/>
                  <c:y val="-9.48847098830736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F4D-40B2-8480-A422DD3445C9}"/>
                </c:ext>
              </c:extLst>
            </c:dLbl>
            <c:dLbl>
              <c:idx val="9"/>
              <c:layout>
                <c:manualLayout>
                  <c:x val="-3.0739274570205428E-4"/>
                  <c:y val="-6.925891232341141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F4D-40B2-8480-A422DD3445C9}"/>
                </c:ext>
              </c:extLst>
            </c:dLbl>
            <c:dLbl>
              <c:idx val="10"/>
              <c:layout>
                <c:manualLayout>
                  <c:x val="-6.7210519751443418E-2"/>
                  <c:y val="2.569505647198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F4D-40B2-8480-A422DD3445C9}"/>
                </c:ext>
              </c:extLst>
            </c:dLbl>
            <c:dLbl>
              <c:idx val="11"/>
              <c:layout>
                <c:manualLayout>
                  <c:x val="-2.1155853674788444E-3"/>
                  <c:y val="-1.82843528533806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F4D-40B2-8480-A422DD3445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F0AB00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DetalleDimension!$L$34:$W$34</c:f>
              <c:numCache>
                <c:formatCode>0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DetalleDimension!$L$35:$W$35</c:f>
              <c:numCache>
                <c:formatCode>0</c:formatCode>
                <c:ptCount val="12"/>
                <c:pt idx="0">
                  <c:v>66.926923076923075</c:v>
                </c:pt>
                <c:pt idx="1">
                  <c:v>67.15384615384616</c:v>
                </c:pt>
                <c:pt idx="2">
                  <c:v>61.92307692307692</c:v>
                </c:pt>
                <c:pt idx="3">
                  <c:v>66</c:v>
                </c:pt>
                <c:pt idx="4">
                  <c:v>69</c:v>
                </c:pt>
                <c:pt idx="5">
                  <c:v>62</c:v>
                </c:pt>
                <c:pt idx="6">
                  <c:v>65</c:v>
                </c:pt>
                <c:pt idx="7">
                  <c:v>66</c:v>
                </c:pt>
                <c:pt idx="8">
                  <c:v>66</c:v>
                </c:pt>
                <c:pt idx="9">
                  <c:v>66.721428571428561</c:v>
                </c:pt>
                <c:pt idx="10">
                  <c:v>74.330714285714294</c:v>
                </c:pt>
                <c:pt idx="11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F4D-40B2-8480-A422DD3445C9}"/>
            </c:ext>
          </c:extLst>
        </c:ser>
        <c:ser>
          <c:idx val="1"/>
          <c:order val="1"/>
          <c:tx>
            <c:strRef>
              <c:f>DetalleDimension!$K$36</c:f>
              <c:strCache>
                <c:ptCount val="1"/>
                <c:pt idx="0">
                  <c:v>RESPETO</c:v>
                </c:pt>
              </c:strCache>
            </c:strRef>
          </c:tx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3"/>
            <c:spPr>
              <a:solidFill>
                <a:srgbClr val="AA272F"/>
              </a:solidFill>
              <a:ln w="38100">
                <a:noFill/>
              </a:ln>
              <a:effectLst/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3-7F4D-40B2-8480-A422DD3445C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4-7F4D-40B2-8480-A422DD3445C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5-7F4D-40B2-8480-A422DD3445C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6-7F4D-40B2-8480-A422DD3445C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7-7F4D-40B2-8480-A422DD3445C9}"/>
              </c:ext>
            </c:extLst>
          </c:dPt>
          <c:dLbls>
            <c:dLbl>
              <c:idx val="0"/>
              <c:layout>
                <c:manualLayout>
                  <c:x val="-6.1478549140410864E-2"/>
                  <c:y val="-8.795881865073169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F4D-40B2-8480-A422DD3445C9}"/>
                </c:ext>
              </c:extLst>
            </c:dLbl>
            <c:dLbl>
              <c:idx val="6"/>
              <c:layout>
                <c:manualLayout>
                  <c:x val="0"/>
                  <c:y val="-2.2395852358681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F4D-40B2-8480-A422DD3445C9}"/>
                </c:ext>
              </c:extLst>
            </c:dLbl>
            <c:dLbl>
              <c:idx val="9"/>
              <c:layout>
                <c:manualLayout>
                  <c:x val="0"/>
                  <c:y val="-3.07855865277563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F4D-40B2-8480-A422DD3445C9}"/>
                </c:ext>
              </c:extLst>
            </c:dLbl>
            <c:spPr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AA272F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DetalleDimension!$L$34:$W$34</c:f>
              <c:numCache>
                <c:formatCode>0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DetalleDimension!$L$36:$W$36</c:f>
              <c:numCache>
                <c:formatCode>0</c:formatCode>
                <c:ptCount val="12"/>
                <c:pt idx="0">
                  <c:v>59.937692307692302</c:v>
                </c:pt>
                <c:pt idx="1">
                  <c:v>61</c:v>
                </c:pt>
                <c:pt idx="2">
                  <c:v>59.615384615384613</c:v>
                </c:pt>
                <c:pt idx="3">
                  <c:v>62</c:v>
                </c:pt>
                <c:pt idx="4">
                  <c:v>67</c:v>
                </c:pt>
                <c:pt idx="5">
                  <c:v>61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66.944615384615389</c:v>
                </c:pt>
                <c:pt idx="10">
                  <c:v>73.815384615384602</c:v>
                </c:pt>
                <c:pt idx="11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F4D-40B2-8480-A422DD3445C9}"/>
            </c:ext>
          </c:extLst>
        </c:ser>
        <c:ser>
          <c:idx val="2"/>
          <c:order val="2"/>
          <c:tx>
            <c:strRef>
              <c:f>DetalleDimension!$K$37</c:f>
              <c:strCache>
                <c:ptCount val="1"/>
                <c:pt idx="0">
                  <c:v>IMPARCIALIDAD</c:v>
                </c:pt>
              </c:strCache>
            </c:strRef>
          </c:tx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3"/>
            <c:spPr>
              <a:solidFill>
                <a:srgbClr val="005172"/>
              </a:solidFill>
              <a:ln w="38100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6.1478549140410864E-2"/>
                  <c:y val="-1.75917637301464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F4D-40B2-8480-A422DD3445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005172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DetalleDimension!$L$34:$W$34</c:f>
              <c:numCache>
                <c:formatCode>0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DetalleDimension!$L$37:$W$37</c:f>
              <c:numCache>
                <c:formatCode>0</c:formatCode>
                <c:ptCount val="12"/>
                <c:pt idx="0">
                  <c:v>63.74666666666667</c:v>
                </c:pt>
                <c:pt idx="1">
                  <c:v>59.083333333333336</c:v>
                </c:pt>
                <c:pt idx="2">
                  <c:v>58.416666666666664</c:v>
                </c:pt>
                <c:pt idx="3">
                  <c:v>63</c:v>
                </c:pt>
                <c:pt idx="4">
                  <c:v>66</c:v>
                </c:pt>
                <c:pt idx="5">
                  <c:v>60</c:v>
                </c:pt>
                <c:pt idx="6">
                  <c:v>61</c:v>
                </c:pt>
                <c:pt idx="7">
                  <c:v>61</c:v>
                </c:pt>
                <c:pt idx="8">
                  <c:v>61</c:v>
                </c:pt>
                <c:pt idx="9">
                  <c:v>63.770833333333336</c:v>
                </c:pt>
                <c:pt idx="10">
                  <c:v>69.734999999999999</c:v>
                </c:pt>
                <c:pt idx="11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F4D-40B2-8480-A422DD3445C9}"/>
            </c:ext>
          </c:extLst>
        </c:ser>
        <c:ser>
          <c:idx val="3"/>
          <c:order val="3"/>
          <c:tx>
            <c:strRef>
              <c:f>DetalleDimension!$K$38</c:f>
              <c:strCache>
                <c:ptCount val="1"/>
                <c:pt idx="0">
                  <c:v>ORGULLO</c:v>
                </c:pt>
              </c:strCache>
            </c:strRef>
          </c:tx>
          <c:spPr>
            <a:ln w="12700" cmpd="sng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3"/>
            <c:spPr>
              <a:solidFill>
                <a:srgbClr val="73A11F"/>
              </a:solidFill>
              <a:ln w="38100">
                <a:noFill/>
              </a:ln>
              <a:effectLst/>
              <a:scene3d>
                <a:camera prst="orthographicFront"/>
                <a:lightRig rig="threePt" dir="t"/>
              </a:scene3d>
            </c:spPr>
          </c:marker>
          <c:dLbls>
            <c:dLbl>
              <c:idx val="0"/>
              <c:layout>
                <c:manualLayout>
                  <c:x val="-6.328674176218764E-2"/>
                  <c:y val="2.19897046626830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F4D-40B2-8480-A422DD3445C9}"/>
                </c:ext>
              </c:extLst>
            </c:dLbl>
            <c:dLbl>
              <c:idx val="2"/>
              <c:layout>
                <c:manualLayout>
                  <c:x val="-3.3149815116414807E-17"/>
                  <c:y val="-4.397940932536705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F4D-40B2-8480-A422DD3445C9}"/>
                </c:ext>
              </c:extLst>
            </c:dLbl>
            <c:dLbl>
              <c:idx val="4"/>
              <c:layout>
                <c:manualLayout>
                  <c:x val="5.6562450137244187E-17"/>
                  <c:y val="-3.1994074798116128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F4D-40B2-8480-A422DD3445C9}"/>
                </c:ext>
              </c:extLst>
            </c:dLbl>
            <c:dLbl>
              <c:idx val="5"/>
              <c:layout>
                <c:manualLayout>
                  <c:x val="-6.6299630232829614E-17"/>
                  <c:y val="-1.31938227976098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F4D-40B2-8480-A422DD3445C9}"/>
                </c:ext>
              </c:extLst>
            </c:dLbl>
            <c:dLbl>
              <c:idx val="6"/>
              <c:layout>
                <c:manualLayout>
                  <c:x val="0"/>
                  <c:y val="3.51934822779277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F4D-40B2-8480-A422DD3445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658D1B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DetalleDimension!$L$34:$W$34</c:f>
              <c:numCache>
                <c:formatCode>0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DetalleDimension!$L$38:$W$38</c:f>
              <c:numCache>
                <c:formatCode>0</c:formatCode>
                <c:ptCount val="12"/>
                <c:pt idx="0">
                  <c:v>63.75</c:v>
                </c:pt>
                <c:pt idx="1">
                  <c:v>65</c:v>
                </c:pt>
                <c:pt idx="2">
                  <c:v>64.25</c:v>
                </c:pt>
                <c:pt idx="3">
                  <c:v>66</c:v>
                </c:pt>
                <c:pt idx="4">
                  <c:v>68</c:v>
                </c:pt>
                <c:pt idx="5">
                  <c:v>62</c:v>
                </c:pt>
                <c:pt idx="6">
                  <c:v>61</c:v>
                </c:pt>
                <c:pt idx="7">
                  <c:v>58</c:v>
                </c:pt>
                <c:pt idx="8">
                  <c:v>59</c:v>
                </c:pt>
                <c:pt idx="9">
                  <c:v>61.237499999999997</c:v>
                </c:pt>
                <c:pt idx="10">
                  <c:v>71.428750000000008</c:v>
                </c:pt>
                <c:pt idx="11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F4D-40B2-8480-A422DD3445C9}"/>
            </c:ext>
          </c:extLst>
        </c:ser>
        <c:ser>
          <c:idx val="4"/>
          <c:order val="4"/>
          <c:tx>
            <c:strRef>
              <c:f>DetalleDimension!$K$39</c:f>
              <c:strCache>
                <c:ptCount val="1"/>
                <c:pt idx="0">
                  <c:v>CAMARADERÍA</c:v>
                </c:pt>
              </c:strCache>
            </c:strRef>
          </c:tx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3"/>
            <c:spPr>
              <a:solidFill>
                <a:srgbClr val="612141"/>
              </a:solidFill>
              <a:ln w="38100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6.3286741762187654E-2"/>
                  <c:y val="3.51835274602929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F4D-40B2-8480-A422DD3445C9}"/>
                </c:ext>
              </c:extLst>
            </c:dLbl>
            <c:dLbl>
              <c:idx val="4"/>
              <c:layout>
                <c:manualLayout>
                  <c:x val="-5.5534683486922198E-2"/>
                  <c:y val="-3.1994074798116128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F4D-40B2-8480-A422DD3445C9}"/>
                </c:ext>
              </c:extLst>
            </c:dLbl>
            <c:dLbl>
              <c:idx val="6"/>
              <c:layout>
                <c:manualLayout>
                  <c:x val="0"/>
                  <c:y val="1.5997037399058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F4D-40B2-8480-A422DD3445C9}"/>
                </c:ext>
              </c:extLst>
            </c:dLbl>
            <c:dLbl>
              <c:idx val="10"/>
              <c:layout>
                <c:manualLayout>
                  <c:x val="0"/>
                  <c:y val="2.19897046626831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F4D-40B2-8480-A422DD3445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61214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DetalleDimension!$L$34:$W$34</c:f>
              <c:numCache>
                <c:formatCode>0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DetalleDimension!$L$39:$W$39</c:f>
              <c:numCache>
                <c:formatCode>0</c:formatCode>
                <c:ptCount val="12"/>
                <c:pt idx="0">
                  <c:v>59.8</c:v>
                </c:pt>
                <c:pt idx="1">
                  <c:v>62.3</c:v>
                </c:pt>
                <c:pt idx="2">
                  <c:v>63.5</c:v>
                </c:pt>
                <c:pt idx="3">
                  <c:v>65</c:v>
                </c:pt>
                <c:pt idx="4">
                  <c:v>68</c:v>
                </c:pt>
                <c:pt idx="5">
                  <c:v>66</c:v>
                </c:pt>
                <c:pt idx="6">
                  <c:v>63</c:v>
                </c:pt>
                <c:pt idx="7">
                  <c:v>62</c:v>
                </c:pt>
                <c:pt idx="8">
                  <c:v>62</c:v>
                </c:pt>
                <c:pt idx="9">
                  <c:v>65.471000000000004</c:v>
                </c:pt>
                <c:pt idx="10">
                  <c:v>73.431000000000012</c:v>
                </c:pt>
                <c:pt idx="1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F4D-40B2-8480-A422DD3445C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62296264"/>
        <c:axId val="262296656"/>
      </c:lineChart>
      <c:catAx>
        <c:axId val="2622962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>
                <a:solidFill>
                  <a:schemeClr val="tx1">
                    <a:lumMod val="65000"/>
                    <a:lumOff val="35000"/>
                  </a:schemeClr>
                </a:solidFill>
                <a:latin typeface="HelveticaNeueLT Std" pitchFamily="34" charset="0"/>
              </a:defRPr>
            </a:pPr>
            <a:endParaRPr lang="es-ES"/>
          </a:p>
        </c:txPr>
        <c:crossAx val="262296656"/>
        <c:crosses val="autoZero"/>
        <c:auto val="1"/>
        <c:lblAlgn val="ctr"/>
        <c:lblOffset val="0"/>
        <c:noMultiLvlLbl val="0"/>
      </c:catAx>
      <c:valAx>
        <c:axId val="262296656"/>
        <c:scaling>
          <c:orientation val="minMax"/>
          <c:max val="75"/>
          <c:min val="55"/>
        </c:scaling>
        <c:delete val="1"/>
        <c:axPos val="l"/>
        <c:numFmt formatCode="0" sourceLinked="1"/>
        <c:majorTickMark val="out"/>
        <c:minorTickMark val="none"/>
        <c:tickLblPos val="nextTo"/>
        <c:crossAx val="262296264"/>
        <c:crosses val="autoZero"/>
        <c:crossBetween val="between"/>
        <c:majorUnit val="5"/>
      </c:valAx>
      <c:spPr>
        <a:noFill/>
        <a:ln>
          <a:noFill/>
        </a:ln>
        <a:scene3d>
          <a:camera prst="orthographicFront"/>
          <a:lightRig rig="threePt" dir="t"/>
        </a:scene3d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633083177035723E-2"/>
          <c:y val="0.13902710498104046"/>
          <c:w val="0.92389120837363625"/>
          <c:h val="0.74405107740984355"/>
        </c:manualLayout>
      </c:layout>
      <c:lineChart>
        <c:grouping val="standard"/>
        <c:varyColors val="0"/>
        <c:ser>
          <c:idx val="0"/>
          <c:order val="0"/>
          <c:tx>
            <c:strRef>
              <c:f>DetalleDimension!$K$42</c:f>
              <c:strCache>
                <c:ptCount val="1"/>
                <c:pt idx="0">
                  <c:v>Promedio Confianza</c:v>
                </c:pt>
              </c:strCache>
            </c:strRef>
          </c:tx>
          <c:spPr>
            <a:ln w="15875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635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1">
                    <a:solidFill>
                      <a:srgbClr val="D36F67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DetalleDimension!$L$41:$W$41</c:f>
              <c:numCache>
                <c:formatCode>0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DetalleDimension!$L$42:$W$42</c:f>
              <c:numCache>
                <c:formatCode>0</c:formatCode>
                <c:ptCount val="12"/>
                <c:pt idx="0">
                  <c:v>63.53157894736843</c:v>
                </c:pt>
                <c:pt idx="1">
                  <c:v>62.421052631578945</c:v>
                </c:pt>
                <c:pt idx="2">
                  <c:v>60.026315789473685</c:v>
                </c:pt>
                <c:pt idx="3">
                  <c:v>63.842105263157897</c:v>
                </c:pt>
                <c:pt idx="4">
                  <c:v>67.07692307692308</c:v>
                </c:pt>
                <c:pt idx="5">
                  <c:v>61.179487179487182</c:v>
                </c:pt>
                <c:pt idx="6">
                  <c:v>63.358974358974358</c:v>
                </c:pt>
                <c:pt idx="7">
                  <c:v>63.615384615384613</c:v>
                </c:pt>
                <c:pt idx="8">
                  <c:v>64</c:v>
                </c:pt>
                <c:pt idx="9">
                  <c:v>66</c:v>
                </c:pt>
                <c:pt idx="10">
                  <c:v>73</c:v>
                </c:pt>
                <c:pt idx="1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B33-456F-BA11-257B676B1CED}"/>
            </c:ext>
          </c:extLst>
        </c:ser>
        <c:ser>
          <c:idx val="1"/>
          <c:order val="1"/>
          <c:tx>
            <c:strRef>
              <c:f>DetalleDimension!$K$43</c:f>
              <c:strCache>
                <c:ptCount val="1"/>
                <c:pt idx="0">
                  <c:v>Promedio General</c:v>
                </c:pt>
              </c:strCache>
            </c:strRef>
          </c:tx>
          <c:spPr>
            <a:ln w="19050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50800">
                <a:noFill/>
              </a:ln>
              <a:effectLst/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C-CB33-456F-BA11-257B676B1CE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D-CB33-456F-BA11-257B676B1CE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E-CB33-456F-BA11-257B676B1CE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F-CB33-456F-BA11-257B676B1CE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0-CB33-456F-BA11-257B676B1CED}"/>
              </c:ext>
            </c:extLst>
          </c:dPt>
          <c:dLbls>
            <c:dLbl>
              <c:idx val="6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5004338811008238E-2"/>
                      <c:h val="0.10389669546941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CB33-456F-BA11-257B676B1C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1">
                    <a:solidFill>
                      <a:srgbClr val="9C242C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DetalleDimension!$L$41:$W$41</c:f>
              <c:numCache>
                <c:formatCode>0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DetalleDimension!$L$43:$W$43</c:f>
              <c:numCache>
                <c:formatCode>0</c:formatCode>
                <c:ptCount val="12"/>
                <c:pt idx="0">
                  <c:v>62.775438596491249</c:v>
                </c:pt>
                <c:pt idx="1">
                  <c:v>62.666666666666664</c:v>
                </c:pt>
                <c:pt idx="2">
                  <c:v>61.070175438596493</c:v>
                </c:pt>
                <c:pt idx="3">
                  <c:v>64</c:v>
                </c:pt>
                <c:pt idx="4">
                  <c:v>67</c:v>
                </c:pt>
                <c:pt idx="5">
                  <c:v>62</c:v>
                </c:pt>
                <c:pt idx="6">
                  <c:v>63</c:v>
                </c:pt>
                <c:pt idx="7">
                  <c:v>62</c:v>
                </c:pt>
                <c:pt idx="8">
                  <c:v>62</c:v>
                </c:pt>
                <c:pt idx="9">
                  <c:v>65</c:v>
                </c:pt>
                <c:pt idx="10">
                  <c:v>73</c:v>
                </c:pt>
                <c:pt idx="1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33-456F-BA11-257B676B1CED}"/>
            </c:ext>
          </c:extLst>
        </c:ser>
        <c:ser>
          <c:idx val="2"/>
          <c:order val="2"/>
          <c:tx>
            <c:strRef>
              <c:f>DetalleDimension!$K$44</c:f>
              <c:strCache>
                <c:ptCount val="1"/>
                <c:pt idx="0">
                  <c:v>Percepción General</c:v>
                </c:pt>
              </c:strCache>
            </c:strRef>
          </c:tx>
          <c:spPr>
            <a:ln w="19050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508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1">
                    <a:solidFill>
                      <a:srgbClr val="006086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DetalleDimension!$L$41:$W$41</c:f>
              <c:numCache>
                <c:formatCode>0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DetalleDimension!$L$44:$W$44</c:f>
              <c:numCache>
                <c:formatCode>0</c:formatCode>
                <c:ptCount val="12"/>
                <c:pt idx="0">
                  <c:v>56</c:v>
                </c:pt>
                <c:pt idx="1">
                  <c:v>57</c:v>
                </c:pt>
                <c:pt idx="2">
                  <c:v>51</c:v>
                </c:pt>
                <c:pt idx="3">
                  <c:v>57</c:v>
                </c:pt>
                <c:pt idx="4">
                  <c:v>62</c:v>
                </c:pt>
                <c:pt idx="5">
                  <c:v>51</c:v>
                </c:pt>
                <c:pt idx="6">
                  <c:v>55</c:v>
                </c:pt>
                <c:pt idx="7">
                  <c:v>52</c:v>
                </c:pt>
                <c:pt idx="8">
                  <c:v>48</c:v>
                </c:pt>
                <c:pt idx="9">
                  <c:v>57.02</c:v>
                </c:pt>
                <c:pt idx="10">
                  <c:v>70.81</c:v>
                </c:pt>
                <c:pt idx="11">
                  <c:v>66.099999999999994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B33-456F-BA11-257B676B1C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3038656"/>
        <c:axId val="203039048"/>
      </c:lineChart>
      <c:catAx>
        <c:axId val="203038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sz="1600">
                <a:solidFill>
                  <a:schemeClr val="tx1">
                    <a:lumMod val="65000"/>
                    <a:lumOff val="35000"/>
                  </a:schemeClr>
                </a:solidFill>
                <a:latin typeface="HelveticaNeueLT Std" pitchFamily="34" charset="0"/>
              </a:defRPr>
            </a:pPr>
            <a:endParaRPr lang="es-ES"/>
          </a:p>
        </c:txPr>
        <c:crossAx val="203039048"/>
        <c:crosses val="autoZero"/>
        <c:auto val="1"/>
        <c:lblAlgn val="ctr"/>
        <c:lblOffset val="0"/>
        <c:noMultiLvlLbl val="0"/>
      </c:catAx>
      <c:valAx>
        <c:axId val="203039048"/>
        <c:scaling>
          <c:orientation val="minMax"/>
          <c:max val="80"/>
          <c:min val="40"/>
        </c:scaling>
        <c:delete val="1"/>
        <c:axPos val="l"/>
        <c:numFmt formatCode="0" sourceLinked="1"/>
        <c:majorTickMark val="out"/>
        <c:minorTickMark val="none"/>
        <c:tickLblPos val="nextTo"/>
        <c:crossAx val="203038656"/>
        <c:crosses val="autoZero"/>
        <c:crossBetween val="between"/>
      </c:valAx>
      <c:spPr>
        <a:noFill/>
        <a:ln>
          <a:noFill/>
        </a:ln>
        <a:scene3d>
          <a:camera prst="orthographicFront"/>
          <a:lightRig rig="threePt" dir="t"/>
        </a:scene3d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8.7273187605386618E-2"/>
          <c:w val="0.8037563104931239"/>
          <c:h val="0.662141047782066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DetalleDimension!$Q$2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DetalleDimension!$K$3</c:f>
              <c:strCache>
                <c:ptCount val="1"/>
                <c:pt idx="0">
                  <c:v>CREDIBILIDAD</c:v>
                </c:pt>
              </c:strCache>
            </c:strRef>
          </c:cat>
          <c:val>
            <c:numRef>
              <c:f>DetalleDimension!$Q$3</c:f>
              <c:numCache>
                <c:formatCode>0</c:formatCode>
                <c:ptCount val="1"/>
                <c:pt idx="0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75-49C3-A7A7-655A6C4A84A2}"/>
            </c:ext>
          </c:extLst>
        </c:ser>
        <c:ser>
          <c:idx val="1"/>
          <c:order val="1"/>
          <c:tx>
            <c:strRef>
              <c:f>DetalleDimension!$R$2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F0AB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 lang="es-ES" sz="2000" b="0" i="0" u="none" strike="noStrike" kern="1200" baseline="0">
                    <a:solidFill>
                      <a:sysClr val="windowText" lastClr="000000">
                        <a:lumMod val="85000"/>
                        <a:lumOff val="15000"/>
                      </a:sysClr>
                    </a:solidFill>
                    <a:latin typeface="HelveticaNeueLT Std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DetalleDimension!$K$3</c:f>
              <c:strCache>
                <c:ptCount val="1"/>
                <c:pt idx="0">
                  <c:v>CREDIBILIDAD</c:v>
                </c:pt>
              </c:strCache>
            </c:strRef>
          </c:cat>
          <c:val>
            <c:numRef>
              <c:f>DetalleDimension!$R$3</c:f>
              <c:numCache>
                <c:formatCode>0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5-49C3-A7A7-655A6C4A84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99832352"/>
        <c:axId val="299832744"/>
      </c:barChart>
      <c:lineChart>
        <c:grouping val="standard"/>
        <c:varyColors val="0"/>
        <c:ser>
          <c:idx val="2"/>
          <c:order val="2"/>
          <c:tx>
            <c:strRef>
              <c:f>DetalleDimension!$S$2</c:f>
              <c:strCache>
                <c:ptCount val="1"/>
                <c:pt idx="0">
                  <c:v>BMK</c:v>
                </c:pt>
              </c:strCache>
            </c:strRef>
          </c:tx>
          <c:spPr>
            <a:ln w="19050">
              <a:noFill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2420692698962901"/>
                  <c:y val="-5.05226950254718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75-49C3-A7A7-655A6C4A84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DetalleDimension!$K$3</c:f>
              <c:strCache>
                <c:ptCount val="1"/>
                <c:pt idx="0">
                  <c:v>CREDIBILIDAD</c:v>
                </c:pt>
              </c:strCache>
            </c:strRef>
          </c:cat>
          <c:val>
            <c:numRef>
              <c:f>DetalleDimension!$S$3</c:f>
              <c:numCache>
                <c:formatCode>0</c:formatCode>
                <c:ptCount val="1"/>
                <c:pt idx="0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75-49C3-A7A7-655A6C4A8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832352"/>
        <c:axId val="299832744"/>
      </c:lineChart>
      <c:catAx>
        <c:axId val="2998323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1700">
                <a:solidFill>
                  <a:schemeClr val="tx1">
                    <a:lumMod val="75000"/>
                    <a:lumOff val="25000"/>
                  </a:schemeClr>
                </a:solidFill>
                <a:latin typeface="HelveticaNeueLT Std" pitchFamily="34" charset="0"/>
              </a:defRPr>
            </a:pPr>
            <a:endParaRPr lang="es-ES"/>
          </a:p>
        </c:txPr>
        <c:crossAx val="299832744"/>
        <c:crosses val="autoZero"/>
        <c:auto val="1"/>
        <c:lblAlgn val="ctr"/>
        <c:lblOffset val="0"/>
        <c:noMultiLvlLbl val="0"/>
      </c:catAx>
      <c:valAx>
        <c:axId val="299832744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299832352"/>
        <c:crosses val="autoZero"/>
        <c:crossBetween val="between"/>
      </c:valAx>
      <c:spPr>
        <a:noFill/>
        <a:ln>
          <a:noFill/>
          <a:prstDash val="dashDot"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7691432183889E-2"/>
          <c:y val="1.2111072237377722E-2"/>
          <c:w val="0.93410829670387585"/>
          <c:h val="0.61766403073065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DetalleDimension!$Q$2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DetalleDimension!$K$8:$K$10</c:f>
              <c:strCache>
                <c:ptCount val="3"/>
                <c:pt idx="0">
                  <c:v>Respaldo</c:v>
                </c:pt>
                <c:pt idx="1">
                  <c:v>Participación</c:v>
                </c:pt>
                <c:pt idx="2">
                  <c:v>Cuidado de las Personas</c:v>
                </c:pt>
              </c:strCache>
            </c:strRef>
          </c:cat>
          <c:val>
            <c:numRef>
              <c:f>DetalleDimension!$Q$8:$Q$10</c:f>
              <c:numCache>
                <c:formatCode>0</c:formatCode>
                <c:ptCount val="3"/>
                <c:pt idx="0">
                  <c:v>74</c:v>
                </c:pt>
                <c:pt idx="1">
                  <c:v>70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3-4FF8-ABA2-5F4DBA820340}"/>
            </c:ext>
          </c:extLst>
        </c:ser>
        <c:ser>
          <c:idx val="1"/>
          <c:order val="1"/>
          <c:tx>
            <c:strRef>
              <c:f>DetalleDimension!$R$2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AA272F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DetalleDimension!$K$8:$K$10</c:f>
              <c:strCache>
                <c:ptCount val="3"/>
                <c:pt idx="0">
                  <c:v>Respaldo</c:v>
                </c:pt>
                <c:pt idx="1">
                  <c:v>Participación</c:v>
                </c:pt>
                <c:pt idx="2">
                  <c:v>Cuidado de las Personas</c:v>
                </c:pt>
              </c:strCache>
            </c:strRef>
          </c:cat>
          <c:val>
            <c:numRef>
              <c:f>DetalleDimension!$R$8:$R$10</c:f>
              <c:numCache>
                <c:formatCode>0</c:formatCode>
                <c:ptCount val="3"/>
                <c:pt idx="0">
                  <c:v>72</c:v>
                </c:pt>
                <c:pt idx="1">
                  <c:v>65</c:v>
                </c:pt>
                <c:pt idx="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3-4FF8-ABA2-5F4DBA82034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99833528"/>
        <c:axId val="299833920"/>
      </c:barChart>
      <c:lineChart>
        <c:grouping val="standard"/>
        <c:varyColors val="0"/>
        <c:ser>
          <c:idx val="2"/>
          <c:order val="2"/>
          <c:tx>
            <c:strRef>
              <c:f>DetalleDimension!$S$2</c:f>
              <c:strCache>
                <c:ptCount val="1"/>
                <c:pt idx="0">
                  <c:v>BMK</c:v>
                </c:pt>
              </c:strCache>
            </c:strRef>
          </c:tx>
          <c:spPr>
            <a:ln w="38100">
              <a:solidFill>
                <a:srgbClr val="AA272F"/>
              </a:solidFill>
              <a:prstDash val="solid"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141983513768209E-2"/>
                  <c:y val="-5.32278949454092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03-4FF8-ABA2-5F4DBA820340}"/>
                </c:ext>
              </c:extLst>
            </c:dLbl>
            <c:dLbl>
              <c:idx val="2"/>
              <c:layout>
                <c:manualLayout>
                  <c:x val="-5.1377646519055645E-2"/>
                  <c:y val="-6.1771546577465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03-4FF8-ABA2-5F4DBA820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DetalleDimension!$K$8:$K$10</c:f>
              <c:strCache>
                <c:ptCount val="3"/>
                <c:pt idx="0">
                  <c:v>Respaldo</c:v>
                </c:pt>
                <c:pt idx="1">
                  <c:v>Participación</c:v>
                </c:pt>
                <c:pt idx="2">
                  <c:v>Cuidado de las Personas</c:v>
                </c:pt>
              </c:strCache>
            </c:strRef>
          </c:cat>
          <c:val>
            <c:numRef>
              <c:f>DetalleDimension!$S$8:$S$10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3-4FF8-ABA2-5F4DBA820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833528"/>
        <c:axId val="299833920"/>
      </c:lineChart>
      <c:catAx>
        <c:axId val="299833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1600" b="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299833920"/>
        <c:crosses val="autoZero"/>
        <c:auto val="1"/>
        <c:lblAlgn val="ctr"/>
        <c:lblOffset val="0"/>
        <c:noMultiLvlLbl val="0"/>
      </c:catAx>
      <c:valAx>
        <c:axId val="2998339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299833528"/>
        <c:crosses val="autoZero"/>
        <c:crossBetween val="between"/>
      </c:valAx>
      <c:spPr>
        <a:noFill/>
        <a:ln>
          <a:noFill/>
          <a:prstDash val="dashDot"/>
        </a:ln>
      </c:spPr>
    </c:plotArea>
    <c:legend>
      <c:legendPos val="b"/>
      <c:layout>
        <c:manualLayout>
          <c:xMode val="edge"/>
          <c:yMode val="edge"/>
          <c:x val="0"/>
          <c:y val="0.84625858701654222"/>
          <c:w val="0.89999988205586068"/>
          <c:h val="7.5529066495255898E-2"/>
        </c:manualLayout>
      </c:layout>
      <c:overlay val="0"/>
      <c:txPr>
        <a:bodyPr/>
        <a:lstStyle/>
        <a:p>
          <a:pPr>
            <a:defRPr sz="1200">
              <a:solidFill>
                <a:schemeClr val="tx1">
                  <a:lumMod val="65000"/>
                  <a:lumOff val="35000"/>
                </a:schemeClr>
              </a:solidFill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0.13825226264684276"/>
          <c:w val="0.81717406822117"/>
          <c:h val="0.586864212782636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DetalleDimension!$Q$2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DetalleDimension!$K$7</c:f>
              <c:strCache>
                <c:ptCount val="1"/>
                <c:pt idx="0">
                  <c:v>RESPETO</c:v>
                </c:pt>
              </c:strCache>
            </c:strRef>
          </c:cat>
          <c:val>
            <c:numRef>
              <c:f>DetalleDimension!$Q$7</c:f>
              <c:numCache>
                <c:formatCode>0</c:formatCode>
                <c:ptCount val="1"/>
                <c:pt idx="0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92-40FD-900C-D0E92EDB5084}"/>
            </c:ext>
          </c:extLst>
        </c:ser>
        <c:ser>
          <c:idx val="1"/>
          <c:order val="1"/>
          <c:tx>
            <c:strRef>
              <c:f>DetalleDimension!$R$2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AA272F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DetalleDimension!$K$7</c:f>
              <c:strCache>
                <c:ptCount val="1"/>
                <c:pt idx="0">
                  <c:v>RESPETO</c:v>
                </c:pt>
              </c:strCache>
            </c:strRef>
          </c:cat>
          <c:val>
            <c:numRef>
              <c:f>DetalleDimension!$R$7</c:f>
              <c:numCache>
                <c:formatCode>0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92-40FD-900C-D0E92EDB508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11207952"/>
        <c:axId val="411208344"/>
      </c:barChart>
      <c:lineChart>
        <c:grouping val="standard"/>
        <c:varyColors val="0"/>
        <c:ser>
          <c:idx val="2"/>
          <c:order val="2"/>
          <c:tx>
            <c:strRef>
              <c:f>DetalleDimension!$S$2</c:f>
              <c:strCache>
                <c:ptCount val="1"/>
                <c:pt idx="0">
                  <c:v>BMK</c:v>
                </c:pt>
              </c:strCache>
            </c:strRef>
          </c:tx>
          <c:spPr>
            <a:ln w="19050">
              <a:noFill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DetalleDimension!$K$7</c:f>
              <c:strCache>
                <c:ptCount val="1"/>
                <c:pt idx="0">
                  <c:v>RESPETO</c:v>
                </c:pt>
              </c:strCache>
            </c:strRef>
          </c:cat>
          <c:val>
            <c:numRef>
              <c:f>DetalleDimension!$S$7</c:f>
              <c:numCache>
                <c:formatCode>0</c:formatCode>
                <c:ptCount val="1"/>
                <c:pt idx="0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2-40FD-900C-D0E92EDB5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07952"/>
        <c:axId val="411208344"/>
      </c:lineChart>
      <c:catAx>
        <c:axId val="4112079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1700">
                <a:solidFill>
                  <a:schemeClr val="tx1">
                    <a:lumMod val="75000"/>
                    <a:lumOff val="25000"/>
                  </a:schemeClr>
                </a:solidFill>
                <a:latin typeface="HelveticaNeueLT Std" pitchFamily="34" charset="0"/>
              </a:defRPr>
            </a:pPr>
            <a:endParaRPr lang="es-ES"/>
          </a:p>
        </c:txPr>
        <c:crossAx val="411208344"/>
        <c:crosses val="autoZero"/>
        <c:auto val="1"/>
        <c:lblAlgn val="ctr"/>
        <c:lblOffset val="0"/>
        <c:noMultiLvlLbl val="0"/>
      </c:catAx>
      <c:valAx>
        <c:axId val="411208344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411207952"/>
        <c:crosses val="autoZero"/>
        <c:crossBetween val="between"/>
      </c:valAx>
      <c:spPr>
        <a:noFill/>
        <a:ln>
          <a:noFill/>
          <a:prstDash val="dashDot"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7611372875582E-2"/>
          <c:y val="3.4627737455727468E-2"/>
          <c:w val="0.93410829670387585"/>
          <c:h val="0.604880707981024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DetalleDimension!$Q$2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DetalleDimension!$K$12:$K$14</c:f>
              <c:strCache>
                <c:ptCount val="3"/>
                <c:pt idx="0">
                  <c:v>Equidad</c:v>
                </c:pt>
                <c:pt idx="1">
                  <c:v>Ausencia de Favoritismo</c:v>
                </c:pt>
                <c:pt idx="2">
                  <c:v>Justicia</c:v>
                </c:pt>
              </c:strCache>
            </c:strRef>
          </c:cat>
          <c:val>
            <c:numRef>
              <c:f>DetalleDimension!$Q$12:$Q$14</c:f>
              <c:numCache>
                <c:formatCode>0</c:formatCode>
                <c:ptCount val="3"/>
                <c:pt idx="0">
                  <c:v>52</c:v>
                </c:pt>
                <c:pt idx="1">
                  <c:v>60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6E-4ECA-90CA-6F2A473EC960}"/>
            </c:ext>
          </c:extLst>
        </c:ser>
        <c:ser>
          <c:idx val="1"/>
          <c:order val="1"/>
          <c:tx>
            <c:strRef>
              <c:f>DetalleDimension!$R$2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00517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DetalleDimension!$K$12:$K$14</c:f>
              <c:strCache>
                <c:ptCount val="3"/>
                <c:pt idx="0">
                  <c:v>Equidad</c:v>
                </c:pt>
                <c:pt idx="1">
                  <c:v>Ausencia de Favoritismo</c:v>
                </c:pt>
                <c:pt idx="2">
                  <c:v>Justicia</c:v>
                </c:pt>
              </c:strCache>
            </c:strRef>
          </c:cat>
          <c:val>
            <c:numRef>
              <c:f>DetalleDimension!$R$12:$R$14</c:f>
              <c:numCache>
                <c:formatCode>0</c:formatCode>
                <c:ptCount val="3"/>
                <c:pt idx="0">
                  <c:v>48</c:v>
                </c:pt>
                <c:pt idx="1">
                  <c:v>55</c:v>
                </c:pt>
                <c:pt idx="2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6E-4ECA-90CA-6F2A473EC9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11209128"/>
        <c:axId val="200789736"/>
      </c:barChart>
      <c:lineChart>
        <c:grouping val="standard"/>
        <c:varyColors val="0"/>
        <c:ser>
          <c:idx val="2"/>
          <c:order val="2"/>
          <c:tx>
            <c:strRef>
              <c:f>DetalleDimension!$S$2</c:f>
              <c:strCache>
                <c:ptCount val="1"/>
                <c:pt idx="0">
                  <c:v>BMK</c:v>
                </c:pt>
              </c:strCache>
            </c:strRef>
          </c:tx>
          <c:spPr>
            <a:ln w="38100">
              <a:solidFill>
                <a:srgbClr val="AA272F"/>
              </a:solidFill>
              <a:prstDash val="solid"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4.2818271838663199E-2"/>
                  <c:y val="-0.104943089469293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6E-4ECA-90CA-6F2A473EC960}"/>
                </c:ext>
              </c:extLst>
            </c:dLbl>
            <c:dLbl>
              <c:idx val="2"/>
              <c:layout>
                <c:manualLayout>
                  <c:x val="-2.7839366147976424E-2"/>
                  <c:y val="-5.31282047043362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6E-4ECA-90CA-6F2A473EC9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DetalleDimension!$K$12:$K$14</c:f>
              <c:strCache>
                <c:ptCount val="3"/>
                <c:pt idx="0">
                  <c:v>Equidad</c:v>
                </c:pt>
                <c:pt idx="1">
                  <c:v>Ausencia de Favoritismo</c:v>
                </c:pt>
                <c:pt idx="2">
                  <c:v>Justicia</c:v>
                </c:pt>
              </c:strCache>
            </c:strRef>
          </c:cat>
          <c:val>
            <c:numRef>
              <c:f>DetalleDimension!$S$12:$S$14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6E-4ECA-90CA-6F2A473EC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09128"/>
        <c:axId val="200789736"/>
      </c:lineChart>
      <c:catAx>
        <c:axId val="411209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1600" b="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200789736"/>
        <c:crosses val="autoZero"/>
        <c:auto val="1"/>
        <c:lblAlgn val="ctr"/>
        <c:lblOffset val="0"/>
        <c:noMultiLvlLbl val="0"/>
      </c:catAx>
      <c:valAx>
        <c:axId val="200789736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411209128"/>
        <c:crosses val="autoZero"/>
        <c:crossBetween val="between"/>
      </c:valAx>
      <c:spPr>
        <a:noFill/>
        <a:ln>
          <a:noFill/>
          <a:prstDash val="dashDot"/>
        </a:ln>
      </c:spPr>
    </c:plotArea>
    <c:legend>
      <c:legendPos val="b"/>
      <c:layout>
        <c:manualLayout>
          <c:xMode val="edge"/>
          <c:yMode val="edge"/>
          <c:x val="0"/>
          <c:y val="0.83200625970282838"/>
          <c:w val="0.89999988205586068"/>
          <c:h val="7.5720103563026969E-2"/>
        </c:manualLayout>
      </c:layout>
      <c:overlay val="0"/>
      <c:txPr>
        <a:bodyPr/>
        <a:lstStyle/>
        <a:p>
          <a:pPr>
            <a:defRPr sz="1200">
              <a:solidFill>
                <a:schemeClr val="tx1">
                  <a:lumMod val="65000"/>
                  <a:lumOff val="35000"/>
                </a:schemeClr>
              </a:solidFill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8.066708977281542E-2"/>
          <c:y val="0.17502005378584276"/>
          <c:w val="0.78923020860824256"/>
          <c:h val="0.557175668831299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DetalleDimension!$Q$2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DetalleDimension!$K$11</c:f>
              <c:strCache>
                <c:ptCount val="1"/>
                <c:pt idx="0">
                  <c:v>IMPARCIALIDAD</c:v>
                </c:pt>
              </c:strCache>
            </c:strRef>
          </c:cat>
          <c:val>
            <c:numRef>
              <c:f>DetalleDimension!$Q$11</c:f>
              <c:numCache>
                <c:formatCode>0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A-401C-A71F-5A4BC349AA5C}"/>
            </c:ext>
          </c:extLst>
        </c:ser>
        <c:ser>
          <c:idx val="1"/>
          <c:order val="1"/>
          <c:tx>
            <c:strRef>
              <c:f>DetalleDimension!$R$2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00517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DetalleDimension!$K$11</c:f>
              <c:strCache>
                <c:ptCount val="1"/>
                <c:pt idx="0">
                  <c:v>IMPARCIALIDAD</c:v>
                </c:pt>
              </c:strCache>
            </c:strRef>
          </c:cat>
          <c:val>
            <c:numRef>
              <c:f>DetalleDimension!$R$11</c:f>
              <c:numCache>
                <c:formatCode>0</c:formatCode>
                <c:ptCount val="1"/>
                <c:pt idx="0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9A-401C-A71F-5A4BC349AA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0790520"/>
        <c:axId val="200790912"/>
      </c:barChart>
      <c:lineChart>
        <c:grouping val="standard"/>
        <c:varyColors val="0"/>
        <c:ser>
          <c:idx val="2"/>
          <c:order val="2"/>
          <c:tx>
            <c:strRef>
              <c:f>DetalleDimension!$S$2</c:f>
              <c:strCache>
                <c:ptCount val="1"/>
                <c:pt idx="0">
                  <c:v>BMK</c:v>
                </c:pt>
              </c:strCache>
            </c:strRef>
          </c:tx>
          <c:spPr>
            <a:ln w="19050">
              <a:noFill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DetalleDimension!$K$11</c:f>
              <c:strCache>
                <c:ptCount val="1"/>
                <c:pt idx="0">
                  <c:v>IMPARCIALIDAD</c:v>
                </c:pt>
              </c:strCache>
            </c:strRef>
          </c:cat>
          <c:val>
            <c:numRef>
              <c:f>DetalleDimension!$S$11</c:f>
              <c:numCache>
                <c:formatCode>0</c:formatCode>
                <c:ptCount val="1"/>
                <c:pt idx="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9A-401C-A71F-5A4BC349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790520"/>
        <c:axId val="200790912"/>
      </c:lineChart>
      <c:catAx>
        <c:axId val="200790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1700">
                <a:solidFill>
                  <a:schemeClr val="tx1">
                    <a:lumMod val="75000"/>
                    <a:lumOff val="25000"/>
                  </a:schemeClr>
                </a:solidFill>
                <a:latin typeface="HelveticaNeueLT Std" pitchFamily="34" charset="0"/>
              </a:defRPr>
            </a:pPr>
            <a:endParaRPr lang="es-ES"/>
          </a:p>
        </c:txPr>
        <c:crossAx val="200790912"/>
        <c:crosses val="autoZero"/>
        <c:auto val="1"/>
        <c:lblAlgn val="ctr"/>
        <c:lblOffset val="0"/>
        <c:noMultiLvlLbl val="0"/>
      </c:catAx>
      <c:valAx>
        <c:axId val="200790912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200790520"/>
        <c:crosses val="autoZero"/>
        <c:crossBetween val="between"/>
      </c:valAx>
      <c:spPr>
        <a:noFill/>
        <a:ln>
          <a:noFill/>
          <a:prstDash val="dashDot"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7611372875582E-2"/>
          <c:y val="3.4627737455727468E-2"/>
          <c:w val="0.93410829670387585"/>
          <c:h val="0.647012728103936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DetalleDimension!$Q$2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DetalleDimension!$K$16:$K$18</c:f>
              <c:strCache>
                <c:ptCount val="3"/>
                <c:pt idx="0">
                  <c:v>Trabajo Personal</c:v>
                </c:pt>
                <c:pt idx="1">
                  <c:v>Equipo</c:v>
                </c:pt>
                <c:pt idx="2">
                  <c:v>Empresa</c:v>
                </c:pt>
              </c:strCache>
            </c:strRef>
          </c:cat>
          <c:val>
            <c:numRef>
              <c:f>DetalleDimension!$Q$16:$Q$18</c:f>
              <c:numCache>
                <c:formatCode>0</c:formatCode>
                <c:ptCount val="3"/>
                <c:pt idx="0">
                  <c:v>68</c:v>
                </c:pt>
                <c:pt idx="1">
                  <c:v>75</c:v>
                </c:pt>
                <c:pt idx="2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19-44DD-BC97-D07FA11BE506}"/>
            </c:ext>
          </c:extLst>
        </c:ser>
        <c:ser>
          <c:idx val="1"/>
          <c:order val="1"/>
          <c:tx>
            <c:strRef>
              <c:f>DetalleDimension!$R$2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658D1B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DetalleDimension!$K$16:$K$18</c:f>
              <c:strCache>
                <c:ptCount val="3"/>
                <c:pt idx="0">
                  <c:v>Trabajo Personal</c:v>
                </c:pt>
                <c:pt idx="1">
                  <c:v>Equipo</c:v>
                </c:pt>
                <c:pt idx="2">
                  <c:v>Empresa</c:v>
                </c:pt>
              </c:strCache>
            </c:strRef>
          </c:cat>
          <c:val>
            <c:numRef>
              <c:f>DetalleDimension!$R$16:$R$18</c:f>
              <c:numCache>
                <c:formatCode>0</c:formatCode>
                <c:ptCount val="3"/>
                <c:pt idx="0">
                  <c:v>66</c:v>
                </c:pt>
                <c:pt idx="1">
                  <c:v>71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19-44DD-BC97-D07FA11BE50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02582472"/>
        <c:axId val="402582864"/>
      </c:barChart>
      <c:lineChart>
        <c:grouping val="standard"/>
        <c:varyColors val="0"/>
        <c:ser>
          <c:idx val="2"/>
          <c:order val="2"/>
          <c:tx>
            <c:strRef>
              <c:f>DetalleDimension!$S$2</c:f>
              <c:strCache>
                <c:ptCount val="1"/>
                <c:pt idx="0">
                  <c:v>BMK</c:v>
                </c:pt>
              </c:strCache>
            </c:strRef>
          </c:tx>
          <c:spPr>
            <a:ln w="38100" cmpd="sng">
              <a:solidFill>
                <a:srgbClr val="AA272F"/>
              </a:solidFill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DetalleDimension!$K$16:$K$18</c:f>
              <c:strCache>
                <c:ptCount val="3"/>
                <c:pt idx="0">
                  <c:v>Trabajo Personal</c:v>
                </c:pt>
                <c:pt idx="1">
                  <c:v>Equipo</c:v>
                </c:pt>
                <c:pt idx="2">
                  <c:v>Empresa</c:v>
                </c:pt>
              </c:strCache>
            </c:strRef>
          </c:cat>
          <c:val>
            <c:numRef>
              <c:f>DetalleDimension!$S$16:$S$18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19-44DD-BC97-D07FA11BE50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2582472"/>
        <c:axId val="402582864"/>
      </c:lineChart>
      <c:catAx>
        <c:axId val="4025824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60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402582864"/>
        <c:crosses val="autoZero"/>
        <c:auto val="1"/>
        <c:lblAlgn val="ctr"/>
        <c:lblOffset val="0"/>
        <c:noMultiLvlLbl val="0"/>
      </c:catAx>
      <c:valAx>
        <c:axId val="4025828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402582472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90017044125346735"/>
          <c:w val="0.86520080073961081"/>
          <c:h val="7.460694901695622E-2"/>
        </c:manualLayout>
      </c:layout>
      <c:overlay val="0"/>
      <c:txPr>
        <a:bodyPr/>
        <a:lstStyle/>
        <a:p>
          <a:pPr>
            <a:defRPr sz="1100">
              <a:solidFill>
                <a:srgbClr val="404040"/>
              </a:solidFill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4.2994201759531947E-2"/>
          <c:w val="0.88661714207567366"/>
          <c:h val="0.68212216325787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DetalleDimension!$Q$2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DetalleDimension!$K$15</c:f>
              <c:strCache>
                <c:ptCount val="1"/>
                <c:pt idx="0">
                  <c:v>ORGULLO</c:v>
                </c:pt>
              </c:strCache>
            </c:strRef>
          </c:cat>
          <c:val>
            <c:numRef>
              <c:f>DetalleDimension!$Q$15</c:f>
              <c:numCache>
                <c:formatCode>0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8-4C13-935B-D16ACB6AC92C}"/>
            </c:ext>
          </c:extLst>
        </c:ser>
        <c:ser>
          <c:idx val="1"/>
          <c:order val="1"/>
          <c:tx>
            <c:strRef>
              <c:f>DetalleDimension!$R$2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658D1B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DetalleDimension!$K$15</c:f>
              <c:strCache>
                <c:ptCount val="1"/>
                <c:pt idx="0">
                  <c:v>ORGULLO</c:v>
                </c:pt>
              </c:strCache>
            </c:strRef>
          </c:cat>
          <c:val>
            <c:numRef>
              <c:f>DetalleDimension!$R$15</c:f>
              <c:numCache>
                <c:formatCode>0</c:formatCode>
                <c:ptCount val="1"/>
                <c:pt idx="0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B8-4C13-935B-D16ACB6AC9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02583648"/>
        <c:axId val="402584040"/>
      </c:barChart>
      <c:lineChart>
        <c:grouping val="standard"/>
        <c:varyColors val="0"/>
        <c:ser>
          <c:idx val="2"/>
          <c:order val="2"/>
          <c:tx>
            <c:strRef>
              <c:f>DetalleDimension!$S$2</c:f>
              <c:strCache>
                <c:ptCount val="1"/>
                <c:pt idx="0">
                  <c:v>BMK</c:v>
                </c:pt>
              </c:strCache>
            </c:strRef>
          </c:tx>
          <c:spPr>
            <a:ln w="19050">
              <a:solidFill>
                <a:srgbClr val="AA272F"/>
              </a:solidFill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4673075731383406"/>
                  <c:y val="-6.10544191842441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B8-4C13-935B-D16ACB6AC9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DetalleDimension!$K$15</c:f>
              <c:strCache>
                <c:ptCount val="1"/>
                <c:pt idx="0">
                  <c:v>ORGULLO</c:v>
                </c:pt>
              </c:strCache>
            </c:strRef>
          </c:cat>
          <c:val>
            <c:numRef>
              <c:f>DetalleDimension!$S$15</c:f>
              <c:numCache>
                <c:formatCode>0</c:formatCode>
                <c:ptCount val="1"/>
                <c:pt idx="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B8-4C13-935B-D16ACB6AC9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2583648"/>
        <c:axId val="402584040"/>
      </c:lineChart>
      <c:catAx>
        <c:axId val="4025836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70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402584040"/>
        <c:crosses val="autoZero"/>
        <c:auto val="1"/>
        <c:lblAlgn val="ctr"/>
        <c:lblOffset val="0"/>
        <c:noMultiLvlLbl val="0"/>
      </c:catAx>
      <c:valAx>
        <c:axId val="402584040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40258364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7611372875582E-2"/>
          <c:y val="3.4627737455727468E-2"/>
          <c:w val="0.93410829670387585"/>
          <c:h val="0.622232586359070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DetalleDimension!$Q$2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DetalleDimension!$K$20:$K$22</c:f>
              <c:strCache>
                <c:ptCount val="3"/>
                <c:pt idx="0">
                  <c:v>Relaciones Interpersonales</c:v>
                </c:pt>
                <c:pt idx="1">
                  <c:v>Hospitalidad</c:v>
                </c:pt>
                <c:pt idx="2">
                  <c:v>Sentido de Pertenencia</c:v>
                </c:pt>
              </c:strCache>
            </c:strRef>
          </c:cat>
          <c:val>
            <c:numRef>
              <c:f>DetalleDimension!$Q$20:$Q$22</c:f>
              <c:numCache>
                <c:formatCode>0</c:formatCode>
                <c:ptCount val="3"/>
                <c:pt idx="0">
                  <c:v>76</c:v>
                </c:pt>
                <c:pt idx="1">
                  <c:v>75</c:v>
                </c:pt>
                <c:pt idx="2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2-4ED5-813C-51FF69362997}"/>
            </c:ext>
          </c:extLst>
        </c:ser>
        <c:ser>
          <c:idx val="1"/>
          <c:order val="1"/>
          <c:tx>
            <c:strRef>
              <c:f>DetalleDimension!$R$2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61214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DetalleDimension!$K$20:$K$22</c:f>
              <c:strCache>
                <c:ptCount val="3"/>
                <c:pt idx="0">
                  <c:v>Relaciones Interpersonales</c:v>
                </c:pt>
                <c:pt idx="1">
                  <c:v>Hospitalidad</c:v>
                </c:pt>
                <c:pt idx="2">
                  <c:v>Sentido de Pertenencia</c:v>
                </c:pt>
              </c:strCache>
            </c:strRef>
          </c:cat>
          <c:val>
            <c:numRef>
              <c:f>DetalleDimension!$R$20:$R$22</c:f>
              <c:numCache>
                <c:formatCode>0</c:formatCode>
                <c:ptCount val="3"/>
                <c:pt idx="0">
                  <c:v>71</c:v>
                </c:pt>
                <c:pt idx="1">
                  <c:v>73</c:v>
                </c:pt>
                <c:pt idx="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2-4ED5-813C-51FF6936299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32042408"/>
        <c:axId val="432042800"/>
      </c:barChart>
      <c:lineChart>
        <c:grouping val="standard"/>
        <c:varyColors val="0"/>
        <c:ser>
          <c:idx val="2"/>
          <c:order val="2"/>
          <c:tx>
            <c:strRef>
              <c:f>DetalleDimension!$S$2</c:f>
              <c:strCache>
                <c:ptCount val="1"/>
                <c:pt idx="0">
                  <c:v>BMK</c:v>
                </c:pt>
              </c:strCache>
            </c:strRef>
          </c:tx>
          <c:spPr>
            <a:ln w="38100">
              <a:solidFill>
                <a:srgbClr val="AA272F"/>
              </a:solidFill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DetalleDimension!$K$20:$K$22</c:f>
              <c:strCache>
                <c:ptCount val="3"/>
                <c:pt idx="0">
                  <c:v>Relaciones Interpersonales</c:v>
                </c:pt>
                <c:pt idx="1">
                  <c:v>Hospitalidad</c:v>
                </c:pt>
                <c:pt idx="2">
                  <c:v>Sentido de Pertenencia</c:v>
                </c:pt>
              </c:strCache>
            </c:strRef>
          </c:cat>
          <c:val>
            <c:numRef>
              <c:f>DetalleDimension!$S$20:$S$22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52-4ED5-813C-51FF6936299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2042408"/>
        <c:axId val="432042800"/>
      </c:lineChart>
      <c:catAx>
        <c:axId val="432042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600" b="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432042800"/>
        <c:crosses val="autoZero"/>
        <c:auto val="1"/>
        <c:lblAlgn val="ctr"/>
        <c:lblOffset val="0"/>
        <c:noMultiLvlLbl val="0"/>
      </c:catAx>
      <c:valAx>
        <c:axId val="432042800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432042408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90715467441739639"/>
          <c:w val="0.86520080073961081"/>
          <c:h val="7.1588943569464783E-2"/>
        </c:manualLayout>
      </c:layout>
      <c:overlay val="0"/>
      <c:txPr>
        <a:bodyPr/>
        <a:lstStyle/>
        <a:p>
          <a:pPr>
            <a:defRPr sz="1100">
              <a:solidFill>
                <a:srgbClr val="404040"/>
              </a:solidFill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4.7154321320495907E-2"/>
          <c:w val="0.89969515912693565"/>
          <c:h val="0.694664253841166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DetalleDimension!$Q$2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DetalleDimension!$K$19</c:f>
              <c:strCache>
                <c:ptCount val="1"/>
                <c:pt idx="0">
                  <c:v>CAMARADERÍA</c:v>
                </c:pt>
              </c:strCache>
            </c:strRef>
          </c:cat>
          <c:val>
            <c:numRef>
              <c:f>DetalleDimension!$Q$19</c:f>
              <c:numCache>
                <c:formatCode>0</c:formatCode>
                <c:ptCount val="1"/>
                <c:pt idx="0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7-4480-A771-B6984D6BA027}"/>
            </c:ext>
          </c:extLst>
        </c:ser>
        <c:ser>
          <c:idx val="1"/>
          <c:order val="1"/>
          <c:tx>
            <c:strRef>
              <c:f>DetalleDimension!$R$2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61214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DetalleDimension!$K$19</c:f>
              <c:strCache>
                <c:ptCount val="1"/>
                <c:pt idx="0">
                  <c:v>CAMARADERÍA</c:v>
                </c:pt>
              </c:strCache>
            </c:strRef>
          </c:cat>
          <c:val>
            <c:numRef>
              <c:f>DetalleDimension!$R$19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E7-4480-A771-B6984D6BA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32043584"/>
        <c:axId val="401240096"/>
      </c:barChart>
      <c:lineChart>
        <c:grouping val="standard"/>
        <c:varyColors val="0"/>
        <c:ser>
          <c:idx val="2"/>
          <c:order val="2"/>
          <c:tx>
            <c:strRef>
              <c:f>DetalleDimension!$S$2</c:f>
              <c:strCache>
                <c:ptCount val="1"/>
                <c:pt idx="0">
                  <c:v>BMK</c:v>
                </c:pt>
              </c:strCache>
            </c:strRef>
          </c:tx>
          <c:spPr>
            <a:ln w="28575">
              <a:solidFill>
                <a:srgbClr val="AA272F"/>
              </a:solidFill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3302522499603478"/>
                  <c:y val="-5.18636224930830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E7-4480-A771-B6984D6BA0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DetalleDimension!$K$19</c:f>
              <c:strCache>
                <c:ptCount val="1"/>
                <c:pt idx="0">
                  <c:v>CAMARADERÍA</c:v>
                </c:pt>
              </c:strCache>
            </c:strRef>
          </c:cat>
          <c:val>
            <c:numRef>
              <c:f>DetalleDimension!$S$19</c:f>
              <c:numCache>
                <c:formatCode>0</c:formatCode>
                <c:ptCount val="1"/>
                <c:pt idx="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E7-4480-A771-B6984D6BA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2043584"/>
        <c:axId val="401240096"/>
      </c:lineChart>
      <c:catAx>
        <c:axId val="432043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700" b="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401240096"/>
        <c:crosses val="autoZero"/>
        <c:auto val="1"/>
        <c:lblAlgn val="ctr"/>
        <c:lblOffset val="0"/>
        <c:noMultiLvlLbl val="0"/>
      </c:catAx>
      <c:valAx>
        <c:axId val="401240096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43204358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33566347688288E-2"/>
          <c:y val="1.0086544122624075E-2"/>
          <c:w val="0.92724660016380644"/>
          <c:h val="0.924522906289298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Sintesis!$F$2</c:f>
              <c:strCache>
                <c:ptCount val="1"/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0">
                    <a:srgbClr val="F0AB00"/>
                  </a:gs>
                  <a:gs pos="100000">
                    <a:srgbClr val="F0AB00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1-0013-48DF-9AE8-A7B1A5A29CE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0">
                    <a:srgbClr val="F0AB00"/>
                  </a:gs>
                  <a:gs pos="100000">
                    <a:srgbClr val="F0AB00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3-0013-48DF-9AE8-A7B1A5A29CE2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0">
                    <a:srgbClr val="F0AB00"/>
                  </a:gs>
                  <a:gs pos="100000">
                    <a:srgbClr val="F0AB00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5-0013-48DF-9AE8-A7B1A5A29CE2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0013-48DF-9AE8-A7B1A5A29CE2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833">
                    <a:srgbClr val="AA272F"/>
                  </a:gs>
                  <a:gs pos="0">
                    <a:srgbClr val="D9562F">
                      <a:lumMod val="100000"/>
                    </a:srgbClr>
                  </a:gs>
                  <a:gs pos="100000">
                    <a:srgbClr val="AA272F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0013-48DF-9AE8-A7B1A5A29CE2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833">
                    <a:srgbClr val="AA272F"/>
                  </a:gs>
                  <a:gs pos="0">
                    <a:srgbClr val="D9562F">
                      <a:lumMod val="100000"/>
                    </a:srgbClr>
                  </a:gs>
                  <a:gs pos="100000">
                    <a:srgbClr val="AA272F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B-0013-48DF-9AE8-A7B1A5A29CE2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rgbClr val="AA272F"/>
                  </a:gs>
                  <a:gs pos="0">
                    <a:srgbClr val="D9562F">
                      <a:lumMod val="100000"/>
                    </a:srgbClr>
                  </a:gs>
                  <a:gs pos="0">
                    <a:srgbClr val="AA272F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D-0013-48DF-9AE8-A7B1A5A29CE2}"/>
              </c:ext>
            </c:extLst>
          </c:dPt>
          <c:dPt>
            <c:idx val="7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F-0013-48DF-9AE8-A7B1A5A29CE2}"/>
              </c:ext>
            </c:extLst>
          </c:dPt>
          <c:dPt>
            <c:idx val="8"/>
            <c:invertIfNegative val="0"/>
            <c:bubble3D val="0"/>
            <c:spPr>
              <a:solidFill>
                <a:srgbClr val="005172"/>
              </a:solidFill>
            </c:spPr>
            <c:extLst>
              <c:ext xmlns:c16="http://schemas.microsoft.com/office/drawing/2014/chart" uri="{C3380CC4-5D6E-409C-BE32-E72D297353CC}">
                <c16:uniqueId val="{00000011-0013-48DF-9AE8-A7B1A5A29CE2}"/>
              </c:ext>
            </c:extLst>
          </c:dPt>
          <c:dPt>
            <c:idx val="9"/>
            <c:invertIfNegative val="0"/>
            <c:bubble3D val="0"/>
            <c:spPr>
              <a:solidFill>
                <a:srgbClr val="005172"/>
              </a:solidFill>
            </c:spPr>
            <c:extLst>
              <c:ext xmlns:c16="http://schemas.microsoft.com/office/drawing/2014/chart" uri="{C3380CC4-5D6E-409C-BE32-E72D297353CC}">
                <c16:uniqueId val="{00000013-0013-48DF-9AE8-A7B1A5A29CE2}"/>
              </c:ext>
            </c:extLst>
          </c:dPt>
          <c:dPt>
            <c:idx val="10"/>
            <c:invertIfNegative val="0"/>
            <c:bubble3D val="0"/>
            <c:spPr>
              <a:solidFill>
                <a:srgbClr val="005172"/>
              </a:solidFill>
            </c:spPr>
            <c:extLst>
              <c:ext xmlns:c16="http://schemas.microsoft.com/office/drawing/2014/chart" uri="{C3380CC4-5D6E-409C-BE32-E72D297353CC}">
                <c16:uniqueId val="{00000015-0013-48DF-9AE8-A7B1A5A29CE2}"/>
              </c:ext>
            </c:extLst>
          </c:dPt>
          <c:dPt>
            <c:idx val="1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7-0013-48DF-9AE8-A7B1A5A29CE2}"/>
              </c:ext>
            </c:extLst>
          </c:dPt>
          <c:dPt>
            <c:idx val="12"/>
            <c:invertIfNegative val="0"/>
            <c:bubble3D val="0"/>
            <c:spPr>
              <a:solidFill>
                <a:srgbClr val="73A11F"/>
              </a:solidFill>
            </c:spPr>
            <c:extLst>
              <c:ext xmlns:c16="http://schemas.microsoft.com/office/drawing/2014/chart" uri="{C3380CC4-5D6E-409C-BE32-E72D297353CC}">
                <c16:uniqueId val="{00000019-0013-48DF-9AE8-A7B1A5A29CE2}"/>
              </c:ext>
            </c:extLst>
          </c:dPt>
          <c:dPt>
            <c:idx val="13"/>
            <c:invertIfNegative val="0"/>
            <c:bubble3D val="0"/>
            <c:spPr>
              <a:solidFill>
                <a:srgbClr val="73A11F"/>
              </a:solidFill>
            </c:spPr>
            <c:extLst>
              <c:ext xmlns:c16="http://schemas.microsoft.com/office/drawing/2014/chart" uri="{C3380CC4-5D6E-409C-BE32-E72D297353CC}">
                <c16:uniqueId val="{0000001B-0013-48DF-9AE8-A7B1A5A29CE2}"/>
              </c:ext>
            </c:extLst>
          </c:dPt>
          <c:dPt>
            <c:idx val="14"/>
            <c:invertIfNegative val="0"/>
            <c:bubble3D val="0"/>
            <c:spPr>
              <a:solidFill>
                <a:srgbClr val="73A11F"/>
              </a:solidFill>
            </c:spPr>
            <c:extLst>
              <c:ext xmlns:c16="http://schemas.microsoft.com/office/drawing/2014/chart" uri="{C3380CC4-5D6E-409C-BE32-E72D297353CC}">
                <c16:uniqueId val="{0000001D-0013-48DF-9AE8-A7B1A5A29CE2}"/>
              </c:ext>
            </c:extLst>
          </c:dPt>
          <c:dPt>
            <c:idx val="15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F-0013-48DF-9AE8-A7B1A5A29CE2}"/>
              </c:ext>
            </c:extLst>
          </c:dPt>
          <c:dPt>
            <c:idx val="16"/>
            <c:invertIfNegative val="0"/>
            <c:bubble3D val="0"/>
            <c:spPr>
              <a:solidFill>
                <a:srgbClr val="612141"/>
              </a:solidFill>
            </c:spPr>
            <c:extLst>
              <c:ext xmlns:c16="http://schemas.microsoft.com/office/drawing/2014/chart" uri="{C3380CC4-5D6E-409C-BE32-E72D297353CC}">
                <c16:uniqueId val="{00000021-0013-48DF-9AE8-A7B1A5A29CE2}"/>
              </c:ext>
            </c:extLst>
          </c:dPt>
          <c:dPt>
            <c:idx val="17"/>
            <c:invertIfNegative val="0"/>
            <c:bubble3D val="0"/>
            <c:spPr>
              <a:solidFill>
                <a:srgbClr val="612141"/>
              </a:solidFill>
            </c:spPr>
            <c:extLst>
              <c:ext xmlns:c16="http://schemas.microsoft.com/office/drawing/2014/chart" uri="{C3380CC4-5D6E-409C-BE32-E72D297353CC}">
                <c16:uniqueId val="{00000023-0013-48DF-9AE8-A7B1A5A29CE2}"/>
              </c:ext>
            </c:extLst>
          </c:dPt>
          <c:dPt>
            <c:idx val="18"/>
            <c:invertIfNegative val="0"/>
            <c:bubble3D val="0"/>
            <c:spPr>
              <a:solidFill>
                <a:srgbClr val="612141"/>
              </a:solidFill>
            </c:spPr>
            <c:extLst>
              <c:ext xmlns:c16="http://schemas.microsoft.com/office/drawing/2014/chart" uri="{C3380CC4-5D6E-409C-BE32-E72D297353CC}">
                <c16:uniqueId val="{00000025-0013-48DF-9AE8-A7B1A5A29CE2}"/>
              </c:ext>
            </c:extLst>
          </c:dPt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13-48DF-9AE8-A7B1A5A29CE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013-48DF-9AE8-A7B1A5A29CE2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013-48DF-9AE8-A7B1A5A29CE2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0013-48DF-9AE8-A7B1A5A29C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0"/>
              <a:lstStyle/>
              <a:p>
                <a:pPr>
                  <a:defRPr sz="16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DetalleDimension!$K$4:$K$22</c:f>
              <c:strCache>
                <c:ptCount val="19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  <c:pt idx="3">
                  <c:v>RESPETO</c:v>
                </c:pt>
                <c:pt idx="4">
                  <c:v>Respaldo</c:v>
                </c:pt>
                <c:pt idx="5">
                  <c:v>Participación</c:v>
                </c:pt>
                <c:pt idx="6">
                  <c:v>Cuidado de las Personas</c:v>
                </c:pt>
                <c:pt idx="7">
                  <c:v>IMPARCIALIDAD</c:v>
                </c:pt>
                <c:pt idx="8">
                  <c:v>Equidad</c:v>
                </c:pt>
                <c:pt idx="9">
                  <c:v>Ausencia de Favoritismo</c:v>
                </c:pt>
                <c:pt idx="10">
                  <c:v>Justicia</c:v>
                </c:pt>
                <c:pt idx="11">
                  <c:v>ORGULLO</c:v>
                </c:pt>
                <c:pt idx="12">
                  <c:v>Trabajo Personal</c:v>
                </c:pt>
                <c:pt idx="13">
                  <c:v>Equipo</c:v>
                </c:pt>
                <c:pt idx="14">
                  <c:v>Empresa</c:v>
                </c:pt>
                <c:pt idx="15">
                  <c:v>CAMARADERÍA</c:v>
                </c:pt>
                <c:pt idx="16">
                  <c:v>Relaciones Interpersonales</c:v>
                </c:pt>
                <c:pt idx="17">
                  <c:v>Hospitalidad</c:v>
                </c:pt>
                <c:pt idx="18">
                  <c:v>Sentido de Pertenencia</c:v>
                </c:pt>
              </c:strCache>
            </c:strRef>
          </c:cat>
          <c:val>
            <c:numRef>
              <c:f>DetalleDimension!$R$4:$R$22</c:f>
              <c:numCache>
                <c:formatCode>0</c:formatCode>
                <c:ptCount val="19"/>
                <c:pt idx="0">
                  <c:v>69</c:v>
                </c:pt>
                <c:pt idx="1">
                  <c:v>71</c:v>
                </c:pt>
                <c:pt idx="2">
                  <c:v>68</c:v>
                </c:pt>
                <c:pt idx="3">
                  <c:v>71</c:v>
                </c:pt>
                <c:pt idx="4">
                  <c:v>72</c:v>
                </c:pt>
                <c:pt idx="5">
                  <c:v>65</c:v>
                </c:pt>
                <c:pt idx="6">
                  <c:v>72</c:v>
                </c:pt>
                <c:pt idx="7">
                  <c:v>66</c:v>
                </c:pt>
                <c:pt idx="8">
                  <c:v>48</c:v>
                </c:pt>
                <c:pt idx="9">
                  <c:v>55</c:v>
                </c:pt>
                <c:pt idx="10">
                  <c:v>87</c:v>
                </c:pt>
                <c:pt idx="11">
                  <c:v>67</c:v>
                </c:pt>
                <c:pt idx="12">
                  <c:v>66</c:v>
                </c:pt>
                <c:pt idx="13">
                  <c:v>71</c:v>
                </c:pt>
                <c:pt idx="14">
                  <c:v>66</c:v>
                </c:pt>
                <c:pt idx="15">
                  <c:v>69</c:v>
                </c:pt>
                <c:pt idx="16">
                  <c:v>71</c:v>
                </c:pt>
                <c:pt idx="17">
                  <c:v>73</c:v>
                </c:pt>
                <c:pt idx="18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0013-48DF-9AE8-A7B1A5A29C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401240880"/>
        <c:axId val="401241272"/>
      </c:barChart>
      <c:catAx>
        <c:axId val="401240880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401241272"/>
        <c:crosses val="autoZero"/>
        <c:auto val="1"/>
        <c:lblAlgn val="ctr"/>
        <c:lblOffset val="100"/>
        <c:noMultiLvlLbl val="0"/>
      </c:catAx>
      <c:valAx>
        <c:axId val="401241272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4012408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7F7F7F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Tabla!$C$40</c:f>
                  <c:strCache>
                    <c:ptCount val="1"/>
                    <c:pt idx="0">
                      <c:v>99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{5ED0A206-62CD-4121-91A5-8F16F6D98323}</c15:txfldGUID>
                      <c15:f>Tabla!$C$40</c15:f>
                      <c15:dlblFieldTableCache>
                        <c:ptCount val="1"/>
                        <c:pt idx="0">
                          <c:v>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507-4DA9-ABF7-65AC8F9B5DB8}"/>
                </c:ext>
              </c:extLst>
            </c:dLbl>
            <c:dLbl>
              <c:idx val="1"/>
              <c:tx>
                <c:strRef>
                  <c:f>Tabla!$D$40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{F23A5213-3650-42C5-922C-77213099C260}</c15:txfldGUID>
                      <c15:f>Tabla!$D$40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507-4DA9-ABF7-65AC8F9B5DB8}"/>
                </c:ext>
              </c:extLst>
            </c:dLbl>
            <c:dLbl>
              <c:idx val="2"/>
              <c:tx>
                <c:strRef>
                  <c:f>Tabla!$E$40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{D99583B8-2C44-4B87-995B-EDC29C5C6A8A}</c15:txfldGUID>
                      <c15:f>Tabla!$E$40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7507-4DA9-ABF7-65AC8F9B5DB8}"/>
                </c:ext>
              </c:extLst>
            </c:dLbl>
            <c:dLbl>
              <c:idx val="3"/>
              <c:tx>
                <c:strRef>
                  <c:f>Tabla!$F$40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{365F6877-B52C-4BE8-ABEE-8BEB4D21A9D0}</c15:txfldGUID>
                      <c15:f>Tabla!$F$40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507-4DA9-ABF7-65AC8F9B5DB8}"/>
                </c:ext>
              </c:extLst>
            </c:dLbl>
            <c:dLbl>
              <c:idx val="4"/>
              <c:tx>
                <c:strRef>
                  <c:f>Tabla!$G$40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{BB15D00D-2E5F-4D43-A2CB-BBB453741474}</c15:txfldGUID>
                      <c15:f>Tabla!$G$40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507-4DA9-ABF7-65AC8F9B5DB8}"/>
                </c:ext>
              </c:extLst>
            </c:dLbl>
            <c:dLbl>
              <c:idx val="5"/>
              <c:tx>
                <c:strRef>
                  <c:f>Tabla!$H$40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{99A90546-58ED-45C4-9234-900883194231}</c15:txfldGUID>
                      <c15:f>Tabla!$H$40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507-4DA9-ABF7-65AC8F9B5DB8}"/>
                </c:ext>
              </c:extLst>
            </c:dLbl>
            <c:dLbl>
              <c:idx val="6"/>
              <c:tx>
                <c:strRef>
                  <c:f>Tabla!$I$40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{F7EE8BE7-49C3-43B4-A778-B7EEDDA765B3}</c15:txfldGUID>
                      <c15:f>Tabla!$I$40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507-4DA9-ABF7-65AC8F9B5DB8}"/>
                </c:ext>
              </c:extLst>
            </c:dLbl>
            <c:dLbl>
              <c:idx val="7"/>
              <c:tx>
                <c:strRef>
                  <c:f>Tabla!$J$40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{9D4E27FA-B899-49A6-A126-0EB2C19DA4E6}</c15:txfldGUID>
                      <c15:f>Tabla!$J$40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507-4DA9-ABF7-65AC8F9B5D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Tabla!$A$29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Tabla!$C$40:$J$40</c:f>
              <c:numCache>
                <c:formatCode>0</c:formatCode>
                <c:ptCount val="8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07-4DA9-ABF7-65AC8F9B5DB8}"/>
            </c:ext>
          </c:extLst>
        </c:ser>
        <c:ser>
          <c:idx val="0"/>
          <c:order val="1"/>
          <c:tx>
            <c:strRef>
              <c:f>Tabla!$B$37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{6A8D8438-2810-4C8A-8BFB-B580FA3A8464}</c15:txfldGUID>
                      <c15:f>Tabla!$C$41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507-4DA9-ABF7-65AC8F9B5DB8}"/>
                </c:ext>
              </c:extLst>
            </c:dLbl>
            <c:dLbl>
              <c:idx val="1"/>
              <c:tx>
                <c:strRef>
                  <c:f>Tabla!$D$41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{A913ABAD-1C66-4520-A442-FD8F74EE600C}</c15:txfldGUID>
                      <c15:f>Tabla!$D$41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507-4DA9-ABF7-65AC8F9B5DB8}"/>
                </c:ext>
              </c:extLst>
            </c:dLbl>
            <c:dLbl>
              <c:idx val="2"/>
              <c:tx>
                <c:strRef>
                  <c:f>Tabla!$E$41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{90C5D162-2CDA-4EF6-B8E2-EB88BD936EC8}</c15:txfldGUID>
                      <c15:f>Tabla!$E$41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7507-4DA9-ABF7-65AC8F9B5DB8}"/>
                </c:ext>
              </c:extLst>
            </c:dLbl>
            <c:dLbl>
              <c:idx val="3"/>
              <c:tx>
                <c:strRef>
                  <c:f>Tabla!$F$41</c:f>
                  <c:strCache>
                    <c:ptCount val="1"/>
                    <c:pt idx="0">
                      <c:v>66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{C9E392EC-0BD4-4385-A3A6-D27A0A814BEA}</c15:txfldGUID>
                      <c15:f>Tabla!$F$41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7507-4DA9-ABF7-65AC8F9B5DB8}"/>
                </c:ext>
              </c:extLst>
            </c:dLbl>
            <c:dLbl>
              <c:idx val="4"/>
              <c:tx>
                <c:strRef>
                  <c:f>Tabla!$G$41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{869C20AC-C942-4996-A5FC-3E18EE46BA52}</c15:txfldGUID>
                      <c15:f>Tabla!$G$41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7507-4DA9-ABF7-65AC8F9B5DB8}"/>
                </c:ext>
              </c:extLst>
            </c:dLbl>
            <c:dLbl>
              <c:idx val="5"/>
              <c:tx>
                <c:strRef>
                  <c:f>Tabla!$H$41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{03ED47C3-D9E7-407C-9AE2-B4E7E6BB7A04}</c15:txfldGUID>
                      <c15:f>Tabla!$H$41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7507-4DA9-ABF7-65AC8F9B5DB8}"/>
                </c:ext>
              </c:extLst>
            </c:dLbl>
            <c:dLbl>
              <c:idx val="6"/>
              <c:tx>
                <c:strRef>
                  <c:f>Tabla!$I$41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{ACE89560-66BF-4721-81AE-5F536EA3DF43}</c15:txfldGUID>
                      <c15:f>Tabla!$I$41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7507-4DA9-ABF7-65AC8F9B5DB8}"/>
                </c:ext>
              </c:extLst>
            </c:dLbl>
            <c:dLbl>
              <c:idx val="7"/>
              <c:tx>
                <c:strRef>
                  <c:f>Tabla!$J$41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{8E3123D6-38AA-4A0D-9424-BB82264F1F8C}</c15:txfldGUID>
                      <c15:f>Tabla!$J$41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507-4DA9-ABF7-65AC8F9B5D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Tabla!$A$29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Tabla!$C$37:$J$37</c:f>
              <c:numCache>
                <c:formatCode>0</c:formatCode>
                <c:ptCount val="8"/>
                <c:pt idx="0" formatCode="General">
                  <c:v>0</c:v>
                </c:pt>
                <c:pt idx="1">
                  <c:v>82</c:v>
                </c:pt>
                <c:pt idx="2">
                  <c:v>74</c:v>
                </c:pt>
                <c:pt idx="3">
                  <c:v>66</c:v>
                </c:pt>
                <c:pt idx="4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507-4DA9-ABF7-65AC8F9B5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321336"/>
        <c:axId val="210321728"/>
      </c:barChart>
      <c:lineChart>
        <c:grouping val="standard"/>
        <c:varyColors val="0"/>
        <c:ser>
          <c:idx val="1"/>
          <c:order val="2"/>
          <c:tx>
            <c:strRef>
              <c:f>Tabla!$B$36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2"/>
              <c:layout>
                <c:manualLayout>
                  <c:x val="-8.4441265907541987E-3"/>
                  <c:y val="-0.174485277953087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507-4DA9-ABF7-65AC8F9B5DB8}"/>
                </c:ext>
              </c:extLst>
            </c:dLbl>
            <c:spPr>
              <a:noFill/>
            </c:spPr>
            <c:txPr>
              <a:bodyPr/>
              <a:lstStyle/>
              <a:p>
                <a:pPr algn="ctr">
                  <a:defRPr lang="es-ES" sz="1400" b="0" i="0" u="none" strike="noStrike" kern="1200" baseline="0">
                    <a:solidFill>
                      <a:sysClr val="windowText" lastClr="000000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Tabla!$C$36:$J$36</c:f>
              <c:numCache>
                <c:formatCode>0</c:formatCode>
                <c:ptCount val="8"/>
                <c:pt idx="1">
                  <c:v>85</c:v>
                </c:pt>
                <c:pt idx="2">
                  <c:v>73</c:v>
                </c:pt>
                <c:pt idx="3">
                  <c:v>62</c:v>
                </c:pt>
                <c:pt idx="4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507-4DA9-ABF7-65AC8F9B5DB8}"/>
            </c:ext>
          </c:extLst>
        </c:ser>
        <c:ser>
          <c:idx val="2"/>
          <c:order val="3"/>
          <c:tx>
            <c:strRef>
              <c:f>Tabla!$B$38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507-4DA9-ABF7-65AC8F9B5DB8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Tabla!$C$38:$J$38</c:f>
              <c:numCache>
                <c:formatCode>0</c:formatCode>
                <c:ptCount val="8"/>
                <c:pt idx="0" formatCode="General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507-4DA9-ABF7-65AC8F9B5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321336"/>
        <c:axId val="210321728"/>
      </c:lineChart>
      <c:catAx>
        <c:axId val="210321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321728"/>
        <c:crosses val="autoZero"/>
        <c:auto val="1"/>
        <c:lblAlgn val="ctr"/>
        <c:lblOffset val="100"/>
        <c:noMultiLvlLbl val="0"/>
      </c:catAx>
      <c:valAx>
        <c:axId val="21032172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103213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Tabla!$C$70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{3E4F1E8B-4AF1-46E8-BD60-59C142402AA3}</c15:txfldGUID>
                      <c15:f>Tabla!$C$70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B111-4B75-9DB9-4697102739F9}"/>
                </c:ext>
              </c:extLst>
            </c:dLbl>
            <c:dLbl>
              <c:idx val="1"/>
              <c:tx>
                <c:strRef>
                  <c:f>Tabla!$D$70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{49CE6BF3-C7B5-472D-84B2-02CA65FEE85E}</c15:txfldGUID>
                      <c15:f>Tabla!$D$70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111-4B75-9DB9-4697102739F9}"/>
                </c:ext>
              </c:extLst>
            </c:dLbl>
            <c:dLbl>
              <c:idx val="2"/>
              <c:tx>
                <c:strRef>
                  <c:f>Tabla!$E$70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{776770A9-6E0A-4BA8-9EF1-6CDEB16DF151}</c15:txfldGUID>
                      <c15:f>Tabla!$E$70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B111-4B75-9DB9-4697102739F9}"/>
                </c:ext>
              </c:extLst>
            </c:dLbl>
            <c:dLbl>
              <c:idx val="3"/>
              <c:tx>
                <c:strRef>
                  <c:f>Tabla!$F$70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{01BC41C4-BBDC-4241-AE92-F712081E5884}</c15:txfldGUID>
                      <c15:f>Tabla!$F$70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B111-4B75-9DB9-4697102739F9}"/>
                </c:ext>
              </c:extLst>
            </c:dLbl>
            <c:dLbl>
              <c:idx val="4"/>
              <c:tx>
                <c:strRef>
                  <c:f>Tabla!$G$70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{798DBC2E-8794-4830-83C7-1C7DDC5AFBB4}</c15:txfldGUID>
                      <c15:f>Tabla!$G$70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B111-4B75-9DB9-4697102739F9}"/>
                </c:ext>
              </c:extLst>
            </c:dLbl>
            <c:dLbl>
              <c:idx val="5"/>
              <c:tx>
                <c:strRef>
                  <c:f>Tabla!$H$70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{EA7F3658-B77B-4ADC-B4F9-A57BC2A3996A}</c15:txfldGUID>
                      <c15:f>Tabla!$H$70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B111-4B75-9DB9-4697102739F9}"/>
                </c:ext>
              </c:extLst>
            </c:dLbl>
            <c:dLbl>
              <c:idx val="6"/>
              <c:tx>
                <c:strRef>
                  <c:f>Tabla!$I$70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{E5AB82DD-CAFB-4EFC-B39E-BB24F8494014}</c15:txfldGUID>
                      <c15:f>Tabla!$I$70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B111-4B75-9DB9-4697102739F9}"/>
                </c:ext>
              </c:extLst>
            </c:dLbl>
            <c:dLbl>
              <c:idx val="7"/>
              <c:tx>
                <c:strRef>
                  <c:f>Tabla!$J$70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{2B504C95-3AE0-4F47-804E-8FD98BEDA700}</c15:txfldGUID>
                      <c15:f>Tabla!$J$70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B111-4B75-9DB9-4697102739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Tabla!$C$70:$J$70</c:f>
              <c:numCache>
                <c:formatCode>0</c:formatCode>
                <c:ptCount val="8"/>
                <c:pt idx="0">
                  <c:v>72</c:v>
                </c:pt>
                <c:pt idx="1">
                  <c:v>74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11-4B75-9DB9-4697102739F9}"/>
            </c:ext>
          </c:extLst>
        </c:ser>
        <c:ser>
          <c:idx val="0"/>
          <c:order val="1"/>
          <c:tx>
            <c:strRef>
              <c:f>Tabla!$B$67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Tabla!$C$71</c:f>
                  <c:strCache>
                    <c:ptCount val="1"/>
                    <c:pt idx="0">
                      <c:v>68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{7FCEF89A-2989-449C-BC2C-AA0CB9984F7A}</c15:txfldGUID>
                      <c15:f>Tabla!$C$71</c15:f>
                      <c15:dlblFieldTableCache>
                        <c:ptCount val="1"/>
                        <c:pt idx="0">
                          <c:v>68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B111-4B75-9DB9-4697102739F9}"/>
                </c:ext>
              </c:extLst>
            </c:dLbl>
            <c:dLbl>
              <c:idx val="1"/>
              <c:tx>
                <c:strRef>
                  <c:f>Tabla!$D$71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{935A2EFD-8D01-4C01-8A9F-67951EC2800F}</c15:txfldGUID>
                      <c15:f>Tabla!$D$71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B111-4B75-9DB9-4697102739F9}"/>
                </c:ext>
              </c:extLst>
            </c:dLbl>
            <c:dLbl>
              <c:idx val="2"/>
              <c:tx>
                <c:strRef>
                  <c:f>Tabla!$E$71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{836F5567-FE55-47D8-83CF-0D173757D0C8}</c15:txfldGUID>
                      <c15:f>Tabla!$E$71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B111-4B75-9DB9-4697102739F9}"/>
                </c:ext>
              </c:extLst>
            </c:dLbl>
            <c:dLbl>
              <c:idx val="3"/>
              <c:tx>
                <c:strRef>
                  <c:f>Tabla!$F$71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{20A21754-DAB5-4401-AC64-23D53670996D}</c15:txfldGUID>
                      <c15:f>Tabla!$F$71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B111-4B75-9DB9-4697102739F9}"/>
                </c:ext>
              </c:extLst>
            </c:dLbl>
            <c:dLbl>
              <c:idx val="4"/>
              <c:tx>
                <c:strRef>
                  <c:f>Tabla!$G$71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{0F987533-C197-4C45-B614-C88E853B4580}</c15:txfldGUID>
                      <c15:f>Tabla!$G$71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B111-4B75-9DB9-4697102739F9}"/>
                </c:ext>
              </c:extLst>
            </c:dLbl>
            <c:dLbl>
              <c:idx val="5"/>
              <c:tx>
                <c:strRef>
                  <c:f>Tabla!$H$71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{FA85629F-E659-4440-A6F0-43BB20C8185E}</c15:txfldGUID>
                      <c15:f>Tabla!$H$71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B111-4B75-9DB9-4697102739F9}"/>
                </c:ext>
              </c:extLst>
            </c:dLbl>
            <c:dLbl>
              <c:idx val="6"/>
              <c:tx>
                <c:strRef>
                  <c:f>Tabla!$I$71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{8C902232-2888-4D8C-9441-90A274AF6C39}</c15:txfldGUID>
                      <c15:f>Tabla!$I$71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B111-4B75-9DB9-4697102739F9}"/>
                </c:ext>
              </c:extLst>
            </c:dLbl>
            <c:dLbl>
              <c:idx val="7"/>
              <c:tx>
                <c:strRef>
                  <c:f>Tabla!$J$71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{0BD6C46F-1201-4BFD-8B5A-CFBD94663410}</c15:txfldGUID>
                      <c15:f>Tabla!$J$71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111-4B75-9DB9-4697102739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Tabla!$C$67:$J$67</c:f>
              <c:numCache>
                <c:formatCode>General</c:formatCode>
                <c:ptCount val="8"/>
                <c:pt idx="0">
                  <c:v>68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11-4B75-9DB9-4697102739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0322512"/>
        <c:axId val="210322904"/>
      </c:barChart>
      <c:lineChart>
        <c:grouping val="standard"/>
        <c:varyColors val="0"/>
        <c:ser>
          <c:idx val="1"/>
          <c:order val="2"/>
          <c:tx>
            <c:strRef>
              <c:f>Tabla!$B$36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1"/>
              <c:layout>
                <c:manualLayout>
                  <c:x val="-6.9928919733113614E-3"/>
                  <c:y val="-7.111678555329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11-4B75-9DB9-4697102739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Tabla!$C$66:$J$66</c:f>
              <c:numCache>
                <c:formatCode>General</c:formatCode>
                <c:ptCount val="8"/>
                <c:pt idx="0">
                  <c:v>65</c:v>
                </c:pt>
                <c:pt idx="1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111-4B75-9DB9-4697102739F9}"/>
            </c:ext>
          </c:extLst>
        </c:ser>
        <c:ser>
          <c:idx val="2"/>
          <c:order val="3"/>
          <c:tx>
            <c:strRef>
              <c:f>Tabla!$B$68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11-4B75-9DB9-4697102739F9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 algn="ctr">
                  <a:defRPr lang="es-ES" sz="1000" b="0" i="0" u="none" strike="noStrike" kern="1200" baseline="0">
                    <a:solidFill>
                      <a:sysClr val="windowText" lastClr="000000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Tabla!$C$68:$J$68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111-4B75-9DB9-4697102739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322512"/>
        <c:axId val="210322904"/>
      </c:lineChart>
      <c:catAx>
        <c:axId val="210322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322904"/>
        <c:crosses val="autoZero"/>
        <c:auto val="1"/>
        <c:lblAlgn val="ctr"/>
        <c:lblOffset val="100"/>
        <c:noMultiLvlLbl val="0"/>
      </c:catAx>
      <c:valAx>
        <c:axId val="21032290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103225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Tabla!$C$100</c:f>
                  <c:strCache>
                    <c:ptCount val="1"/>
                    <c:pt idx="0">
                      <c:v>71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{497BEAFB-DE02-4269-AEFB-4EEF85F9C2B5}</c15:txfldGUID>
                      <c15:f>Tabla!$C$100</c15:f>
                      <c15:dlblFieldTableCache>
                        <c:ptCount val="1"/>
                        <c:pt idx="0">
                          <c:v>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9DA-4806-A5BD-C8ABB7AB3A27}"/>
                </c:ext>
              </c:extLst>
            </c:dLbl>
            <c:dLbl>
              <c:idx val="1"/>
              <c:tx>
                <c:strRef>
                  <c:f>Tabla!$D$100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{1FD18516-2F25-4A6A-8CAD-10897F78E503}</c15:txfldGUID>
                      <c15:f>Tabla!$D$100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9DA-4806-A5BD-C8ABB7AB3A27}"/>
                </c:ext>
              </c:extLst>
            </c:dLbl>
            <c:dLbl>
              <c:idx val="2"/>
              <c:tx>
                <c:strRef>
                  <c:f>Tabla!$E$100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{C903F90F-255A-407F-9DCE-9AADAB16CE7B}</c15:txfldGUID>
                      <c15:f>Tabla!$E$100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9DA-4806-A5BD-C8ABB7AB3A27}"/>
                </c:ext>
              </c:extLst>
            </c:dLbl>
            <c:dLbl>
              <c:idx val="3"/>
              <c:tx>
                <c:strRef>
                  <c:f>Tabla!$F$100</c:f>
                  <c:strCache>
                    <c:ptCount val="1"/>
                    <c:pt idx="0">
                      <c:v>71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{408AFB0E-59A4-457F-B870-8C037FE3D865}</c15:txfldGUID>
                      <c15:f>Tabla!$F$100</c15:f>
                      <c15:dlblFieldTableCache>
                        <c:ptCount val="1"/>
                        <c:pt idx="0">
                          <c:v>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9DA-4806-A5BD-C8ABB7AB3A27}"/>
                </c:ext>
              </c:extLst>
            </c:dLbl>
            <c:dLbl>
              <c:idx val="4"/>
              <c:tx>
                <c:strRef>
                  <c:f>Tabla!$G$100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{99A64D1A-67E2-4DDB-9B20-CD04021E0768}</c15:txfldGUID>
                      <c15:f>Tabla!$G$100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9DA-4806-A5BD-C8ABB7AB3A27}"/>
                </c:ext>
              </c:extLst>
            </c:dLbl>
            <c:dLbl>
              <c:idx val="5"/>
              <c:tx>
                <c:strRef>
                  <c:f>Tabla!$H$100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{85B852BD-B24C-4A33-85F6-B0C9027CBB77}</c15:txfldGUID>
                      <c15:f>Tabla!$H$100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9DA-4806-A5BD-C8ABB7AB3A27}"/>
                </c:ext>
              </c:extLst>
            </c:dLbl>
            <c:dLbl>
              <c:idx val="6"/>
              <c:tx>
                <c:strRef>
                  <c:f>Tabla!$I$100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{690E8A9D-4D00-46A3-9629-BFFF33BDE893}</c15:txfldGUID>
                      <c15:f>Tabla!$I$100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9DA-4806-A5BD-C8ABB7AB3A27}"/>
                </c:ext>
              </c:extLst>
            </c:dLbl>
            <c:dLbl>
              <c:idx val="7"/>
              <c:tx>
                <c:strRef>
                  <c:f>Tabla!$J$100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{4C5822B8-224B-4AEA-9958-80036DFF7948}</c15:txfldGUID>
                      <c15:f>Tabla!$J$100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9DA-4806-A5BD-C8ABB7AB3A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Tabla!$C$100:$J$100</c:f>
              <c:numCache>
                <c:formatCode>0</c:formatCode>
                <c:ptCount val="8"/>
                <c:pt idx="0">
                  <c:v>71</c:v>
                </c:pt>
                <c:pt idx="1">
                  <c:v>70</c:v>
                </c:pt>
                <c:pt idx="2">
                  <c:v>76</c:v>
                </c:pt>
                <c:pt idx="3">
                  <c:v>71</c:v>
                </c:pt>
                <c:pt idx="4">
                  <c:v>77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DA-4806-A5BD-C8ABB7AB3A27}"/>
            </c:ext>
          </c:extLst>
        </c:ser>
        <c:ser>
          <c:idx val="0"/>
          <c:order val="1"/>
          <c:tx>
            <c:strRef>
              <c:f>Tabla!$B$97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Tabla!$C$101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{7771A460-149E-4423-87C0-10850EBC17DF}</c15:txfldGUID>
                      <c15:f>Tabla!$C$101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9DA-4806-A5BD-C8ABB7AB3A27}"/>
                </c:ext>
              </c:extLst>
            </c:dLbl>
            <c:dLbl>
              <c:idx val="1"/>
              <c:tx>
                <c:strRef>
                  <c:f>Tabla!$D$101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{0BEBE0CE-AABB-4288-AC13-4E1B3F4DBA84}</c15:txfldGUID>
                      <c15:f>Tabla!$D$101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69DA-4806-A5BD-C8ABB7AB3A27}"/>
                </c:ext>
              </c:extLst>
            </c:dLbl>
            <c:dLbl>
              <c:idx val="2"/>
              <c:tx>
                <c:strRef>
                  <c:f>Tabla!$E$101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{3FEF249E-C77A-46DF-85A2-D23C8727F386}</c15:txfldGUID>
                      <c15:f>Tabla!$E$101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9DA-4806-A5BD-C8ABB7AB3A27}"/>
                </c:ext>
              </c:extLst>
            </c:dLbl>
            <c:dLbl>
              <c:idx val="3"/>
              <c:tx>
                <c:strRef>
                  <c:f>Tabla!$F$101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{DE5C9BD6-C640-400D-8F96-50DC95173F9E}</c15:txfldGUID>
                      <c15:f>Tabla!$F$101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9DA-4806-A5BD-C8ABB7AB3A27}"/>
                </c:ext>
              </c:extLst>
            </c:dLbl>
            <c:dLbl>
              <c:idx val="4"/>
              <c:tx>
                <c:strRef>
                  <c:f>Tabla!$G$101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{98E78318-58AA-4A8B-96EF-6AC40E408444}</c15:txfldGUID>
                      <c15:f>Tabla!$G$101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69DA-4806-A5BD-C8ABB7AB3A27}"/>
                </c:ext>
              </c:extLst>
            </c:dLbl>
            <c:dLbl>
              <c:idx val="5"/>
              <c:tx>
                <c:strRef>
                  <c:f>Tabla!$H$101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{CF40AD67-6206-4F61-AAA4-EEE1F4B3B93B}</c15:txfldGUID>
                      <c15:f>Tabla!$H$101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9DA-4806-A5BD-C8ABB7AB3A27}"/>
                </c:ext>
              </c:extLst>
            </c:dLbl>
            <c:dLbl>
              <c:idx val="6"/>
              <c:tx>
                <c:strRef>
                  <c:f>Tabla!$I$101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{604F6278-E7ED-4C29-ACE2-5F2CA1964B82}</c15:txfldGUID>
                      <c15:f>Tabla!$I$101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9DA-4806-A5BD-C8ABB7AB3A27}"/>
                </c:ext>
              </c:extLst>
            </c:dLbl>
            <c:dLbl>
              <c:idx val="7"/>
              <c:tx>
                <c:strRef>
                  <c:f>Tabla!$J$101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{D289C4BE-802C-4C86-BD6A-691CA6191614}</c15:txfldGUID>
                      <c15:f>Tabla!$J$101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9DA-4806-A5BD-C8ABB7AB3A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Tabla!$C$97:$J$97</c:f>
              <c:numCache>
                <c:formatCode>General</c:formatCode>
                <c:ptCount val="8"/>
                <c:pt idx="0">
                  <c:v>74</c:v>
                </c:pt>
                <c:pt idx="1">
                  <c:v>60</c:v>
                </c:pt>
                <c:pt idx="2">
                  <c:v>72</c:v>
                </c:pt>
                <c:pt idx="3">
                  <c:v>73</c:v>
                </c:pt>
                <c:pt idx="4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DA-4806-A5BD-C8ABB7AB3A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7639368"/>
        <c:axId val="207639760"/>
      </c:barChart>
      <c:lineChart>
        <c:grouping val="standard"/>
        <c:varyColors val="0"/>
        <c:ser>
          <c:idx val="1"/>
          <c:order val="2"/>
          <c:tx>
            <c:strRef>
              <c:f>Tabla!$B$96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3"/>
              <c:layout>
                <c:manualLayout>
                  <c:x val="-8.6569573665408791E-3"/>
                  <c:y val="-0.1298599359926895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9DA-4806-A5BD-C8ABB7AB3A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Tabla!$C$96:$J$96</c:f>
              <c:numCache>
                <c:formatCode>General</c:formatCode>
                <c:ptCount val="8"/>
                <c:pt idx="0">
                  <c:v>84</c:v>
                </c:pt>
                <c:pt idx="1">
                  <c:v>58</c:v>
                </c:pt>
                <c:pt idx="2">
                  <c:v>68</c:v>
                </c:pt>
                <c:pt idx="3">
                  <c:v>71</c:v>
                </c:pt>
                <c:pt idx="4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9DA-4806-A5BD-C8ABB7AB3A27}"/>
            </c:ext>
          </c:extLst>
        </c:ser>
        <c:ser>
          <c:idx val="2"/>
          <c:order val="3"/>
          <c:tx>
            <c:strRef>
              <c:f>Tabla!$B$98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9DA-4806-A5BD-C8ABB7AB3A27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Tabla!$C$98:$J$98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9DA-4806-A5BD-C8ABB7AB3A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639368"/>
        <c:axId val="207639760"/>
      </c:lineChart>
      <c:catAx>
        <c:axId val="207639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639760"/>
        <c:crosses val="autoZero"/>
        <c:auto val="1"/>
        <c:lblAlgn val="ctr"/>
        <c:lblOffset val="100"/>
        <c:noMultiLvlLbl val="0"/>
      </c:catAx>
      <c:valAx>
        <c:axId val="20763976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076393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Tabla!$B$127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Tabla!$C$130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{BB30AFA8-BE35-4CD8-B42A-725DC5A9D9B6}</c15:txfldGUID>
                      <c15:f>Tabla!$C$130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838-4BC2-818E-0A2E7481F591}"/>
                </c:ext>
              </c:extLst>
            </c:dLbl>
            <c:dLbl>
              <c:idx val="1"/>
              <c:tx>
                <c:strRef>
                  <c:f>Tabla!$D$130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{598B559F-8397-4BD6-8147-CDE1DD88D812}</c15:txfldGUID>
                      <c15:f>Tabla!$D$130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38-4BC2-818E-0A2E7481F591}"/>
                </c:ext>
              </c:extLst>
            </c:dLbl>
            <c:dLbl>
              <c:idx val="2"/>
              <c:tx>
                <c:strRef>
                  <c:f>Tabla!$E$130</c:f>
                  <c:strCache>
                    <c:ptCount val="1"/>
                    <c:pt idx="0">
                      <c:v>66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{4564FF8D-E58F-4738-A5FD-ECE4CDEEF240}</c15:txfldGUID>
                      <c15:f>Tabla!$E$130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838-4BC2-818E-0A2E7481F591}"/>
                </c:ext>
              </c:extLst>
            </c:dLbl>
            <c:dLbl>
              <c:idx val="3"/>
              <c:tx>
                <c:strRef>
                  <c:f>Tabla!$F$130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{755E391B-4A2F-4FF0-96FD-D0581CC2C452}</c15:txfldGUID>
                      <c15:f>Tabla!$F$130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38-4BC2-818E-0A2E7481F591}"/>
                </c:ext>
              </c:extLst>
            </c:dLbl>
            <c:dLbl>
              <c:idx val="4"/>
              <c:tx>
                <c:strRef>
                  <c:f>Tabla!$G$130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{54960C06-DE9E-444E-8F23-7B493F3340C0}</c15:txfldGUID>
                      <c15:f>Tabla!$G$130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838-4BC2-818E-0A2E7481F591}"/>
                </c:ext>
              </c:extLst>
            </c:dLbl>
            <c:dLbl>
              <c:idx val="5"/>
              <c:tx>
                <c:strRef>
                  <c:f>Tabla!$H$130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{B3E6C8E6-3F1D-4780-ABEB-27C5D997005C}</c15:txfldGUID>
                      <c15:f>Tabla!$H$130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38-4BC2-818E-0A2E7481F591}"/>
                </c:ext>
              </c:extLst>
            </c:dLbl>
            <c:dLbl>
              <c:idx val="6"/>
              <c:tx>
                <c:strRef>
                  <c:f>Tabla!$I$130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{CB88FB1F-82D0-44E8-B36B-E22F4F968B6F}</c15:txfldGUID>
                      <c15:f>Tabla!$I$130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838-4BC2-818E-0A2E7481F591}"/>
                </c:ext>
              </c:extLst>
            </c:dLbl>
            <c:dLbl>
              <c:idx val="7"/>
              <c:tx>
                <c:strRef>
                  <c:f>Tabla!$J$130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{C5572D7C-162C-46CF-AEAD-63956B1136C4}</c15:txfldGUID>
                      <c15:f>Tabla!$J$130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38-4BC2-818E-0A2E7481F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Tabla!$C$130:$J$130</c:f>
              <c:numCache>
                <c:formatCode>0</c:formatCode>
                <c:ptCount val="8"/>
                <c:pt idx="0">
                  <c:v>76</c:v>
                </c:pt>
                <c:pt idx="1">
                  <c:v>74</c:v>
                </c:pt>
                <c:pt idx="2">
                  <c:v>66</c:v>
                </c:pt>
                <c:pt idx="3">
                  <c:v>76</c:v>
                </c:pt>
                <c:pt idx="4">
                  <c:v>74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38-4BC2-818E-0A2E7481F591}"/>
            </c:ext>
          </c:extLst>
        </c:ser>
        <c:ser>
          <c:idx val="0"/>
          <c:order val="1"/>
          <c:tx>
            <c:strRef>
              <c:f>Tabla!$B$127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Tabla!$C$131</c:f>
                  <c:strCache>
                    <c:ptCount val="1"/>
                    <c:pt idx="0">
                      <c:v>71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{0A256C98-654B-4776-A005-E53717DD1B6C}</c15:txfldGUID>
                      <c15:f>Tabla!$C$131</c15:f>
                      <c15:dlblFieldTableCache>
                        <c:ptCount val="1"/>
                        <c:pt idx="0">
                          <c:v>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38-4BC2-818E-0A2E7481F591}"/>
                </c:ext>
              </c:extLst>
            </c:dLbl>
            <c:dLbl>
              <c:idx val="1"/>
              <c:tx>
                <c:strRef>
                  <c:f>Tabla!$D$131</c:f>
                  <c:strCache>
                    <c:ptCount val="1"/>
                    <c:pt idx="0">
                      <c:v>66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{62D533BA-7E98-42EA-AB73-986995D85228}</c15:txfldGUID>
                      <c15:f>Tabla!$D$131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838-4BC2-818E-0A2E7481F591}"/>
                </c:ext>
              </c:extLst>
            </c:dLbl>
            <c:dLbl>
              <c:idx val="2"/>
              <c:tx>
                <c:strRef>
                  <c:f>Tabla!$E$131</c:f>
                  <c:strCache>
                    <c:ptCount val="1"/>
                    <c:pt idx="0">
                      <c:v>65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{B1E4EB48-51DF-4F18-9D9F-8E4CFF962F4E}</c15:txfldGUID>
                      <c15:f>Tabla!$E$131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38-4BC2-818E-0A2E7481F591}"/>
                </c:ext>
              </c:extLst>
            </c:dLbl>
            <c:dLbl>
              <c:idx val="3"/>
              <c:tx>
                <c:strRef>
                  <c:f>Tabla!$F$131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{22D8F0C6-BA84-4D1C-B5BB-36681E1C681A}</c15:txfldGUID>
                      <c15:f>Tabla!$F$131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838-4BC2-818E-0A2E7481F591}"/>
                </c:ext>
              </c:extLst>
            </c:dLbl>
            <c:dLbl>
              <c:idx val="4"/>
              <c:tx>
                <c:strRef>
                  <c:f>Tabla!$G$131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{63A5D0F3-33F6-46B2-932D-9AE0E3D92C35}</c15:txfldGUID>
                      <c15:f>Tabla!$G$131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38-4BC2-818E-0A2E7481F591}"/>
                </c:ext>
              </c:extLst>
            </c:dLbl>
            <c:dLbl>
              <c:idx val="5"/>
              <c:tx>
                <c:strRef>
                  <c:f>Tabla!$H$131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{293D2022-EE10-489D-8D78-1560602B710A}</c15:txfldGUID>
                      <c15:f>Tabla!$H$131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838-4BC2-818E-0A2E7481F591}"/>
                </c:ext>
              </c:extLst>
            </c:dLbl>
            <c:dLbl>
              <c:idx val="6"/>
              <c:tx>
                <c:strRef>
                  <c:f>Tabla!$I$131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{6CE37C2F-ED6B-4828-9990-33C10DB0EB40}</c15:txfldGUID>
                      <c15:f>Tabla!$I$131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38-4BC2-818E-0A2E7481F591}"/>
                </c:ext>
              </c:extLst>
            </c:dLbl>
            <c:dLbl>
              <c:idx val="7"/>
              <c:tx>
                <c:strRef>
                  <c:f>Tabla!$J$131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{FA257CDD-0F03-4D2A-8136-DC2DABB1FAE5}</c15:txfldGUID>
                      <c15:f>Tabla!$J$131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838-4BC2-818E-0A2E7481F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Tabla!$C$127:$J$127</c:f>
              <c:numCache>
                <c:formatCode>General</c:formatCode>
                <c:ptCount val="8"/>
                <c:pt idx="0">
                  <c:v>71</c:v>
                </c:pt>
                <c:pt idx="1">
                  <c:v>66</c:v>
                </c:pt>
                <c:pt idx="2">
                  <c:v>65</c:v>
                </c:pt>
                <c:pt idx="3">
                  <c:v>70</c:v>
                </c:pt>
                <c:pt idx="4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38-4BC2-818E-0A2E7481F5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7640544"/>
        <c:axId val="194596328"/>
      </c:barChart>
      <c:lineChart>
        <c:grouping val="standard"/>
        <c:varyColors val="0"/>
        <c:ser>
          <c:idx val="1"/>
          <c:order val="2"/>
          <c:tx>
            <c:strRef>
              <c:f>Tabla!$B$126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1.3570909809425578E-2"/>
                  <c:y val="-0.1576787951616931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838-4BC2-818E-0A2E7481F591}"/>
                </c:ext>
              </c:extLst>
            </c:dLbl>
            <c:dLbl>
              <c:idx val="2"/>
              <c:layout>
                <c:manualLayout>
                  <c:x val="-1.0121690639748063E-2"/>
                  <c:y val="-9.39620414461987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838-4BC2-818E-0A2E7481F591}"/>
                </c:ext>
              </c:extLst>
            </c:dLbl>
            <c:dLbl>
              <c:idx val="4"/>
              <c:layout>
                <c:manualLayout>
                  <c:x val="-8.4622411387385941E-3"/>
                  <c:y val="-9.43856619483852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838-4BC2-818E-0A2E7481F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Tabla!$C$126:$J$126</c:f>
              <c:numCache>
                <c:formatCode>General</c:formatCode>
                <c:ptCount val="8"/>
                <c:pt idx="0">
                  <c:v>78</c:v>
                </c:pt>
                <c:pt idx="1">
                  <c:v>64</c:v>
                </c:pt>
                <c:pt idx="2">
                  <c:v>58</c:v>
                </c:pt>
                <c:pt idx="3">
                  <c:v>69</c:v>
                </c:pt>
                <c:pt idx="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838-4BC2-818E-0A2E7481F591}"/>
            </c:ext>
          </c:extLst>
        </c:ser>
        <c:ser>
          <c:idx val="2"/>
          <c:order val="3"/>
          <c:tx>
            <c:strRef>
              <c:f>Tabla!$B$128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838-4BC2-818E-0A2E7481F591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Tabla!$C$128:$J$128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838-4BC2-818E-0A2E7481F5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640544"/>
        <c:axId val="194596328"/>
      </c:lineChart>
      <c:catAx>
        <c:axId val="207640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596328"/>
        <c:crosses val="autoZero"/>
        <c:auto val="1"/>
        <c:lblAlgn val="ctr"/>
        <c:lblOffset val="100"/>
        <c:noMultiLvlLbl val="0"/>
      </c:catAx>
      <c:valAx>
        <c:axId val="19459632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076405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Tabla!$B$157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Tabla!$C$160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{D8D4BD45-109B-409F-A9C2-D49AC36470AC}</c15:txfldGUID>
                      <c15:f>Tabla!$C$160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DC4-4ED2-B418-BE71D54B4B0B}"/>
                </c:ext>
              </c:extLst>
            </c:dLbl>
            <c:dLbl>
              <c:idx val="1"/>
              <c:tx>
                <c:strRef>
                  <c:f>Tabla!$D$160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{79AFE286-A913-4205-AA16-3A6B5920E1E5}</c15:txfldGUID>
                      <c15:f>Tabla!$D$160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DC4-4ED2-B418-BE71D54B4B0B}"/>
                </c:ext>
              </c:extLst>
            </c:dLbl>
            <c:dLbl>
              <c:idx val="2"/>
              <c:tx>
                <c:strRef>
                  <c:f>Tabla!$E$160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{6EB08305-AC21-461C-BFB9-DD8EB89F2FBD}</c15:txfldGUID>
                      <c15:f>Tabla!$E$160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DC4-4ED2-B418-BE71D54B4B0B}"/>
                </c:ext>
              </c:extLst>
            </c:dLbl>
            <c:dLbl>
              <c:idx val="3"/>
              <c:tx>
                <c:strRef>
                  <c:f>Tabla!$F$160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{20D39DF9-8A98-4A62-9CB5-DD0D0FCEC2B9}</c15:txfldGUID>
                      <c15:f>Tabla!$F$160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DC4-4ED2-B418-BE71D54B4B0B}"/>
                </c:ext>
              </c:extLst>
            </c:dLbl>
            <c:dLbl>
              <c:idx val="4"/>
              <c:tx>
                <c:strRef>
                  <c:f>Tabla!$G$160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{D83CECE4-9BF9-43A7-A60A-2E6FDBEE72BA}</c15:txfldGUID>
                      <c15:f>Tabla!$G$160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DC4-4ED2-B418-BE71D54B4B0B}"/>
                </c:ext>
              </c:extLst>
            </c:dLbl>
            <c:dLbl>
              <c:idx val="5"/>
              <c:tx>
                <c:strRef>
                  <c:f>Tabla!$H$160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{D6E75156-0248-444F-A3F9-E3BDD5B522D7}</c15:txfldGUID>
                      <c15:f>Tabla!$H$160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DC4-4ED2-B418-BE71D54B4B0B}"/>
                </c:ext>
              </c:extLst>
            </c:dLbl>
            <c:dLbl>
              <c:idx val="6"/>
              <c:tx>
                <c:strRef>
                  <c:f>Tabla!$I$160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{F8C861CA-667F-4A68-BC4E-CBFDD2CCEBC7}</c15:txfldGUID>
                      <c15:f>Tabla!$I$160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DC4-4ED2-B418-BE71D54B4B0B}"/>
                </c:ext>
              </c:extLst>
            </c:dLbl>
            <c:dLbl>
              <c:idx val="7"/>
              <c:tx>
                <c:strRef>
                  <c:f>Tabla!$J$160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{F01BC367-1523-4ABE-ABA4-601EA9685CDF}</c15:txfldGUID>
                      <c15:f>Tabla!$J$160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DC4-4ED2-B418-BE71D54B4B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Tabla!$C$160:$J$160</c:f>
              <c:numCache>
                <c:formatCode>0</c:formatCode>
                <c:ptCount val="8"/>
                <c:pt idx="0">
                  <c:v>73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C4-4ED2-B418-BE71D54B4B0B}"/>
            </c:ext>
          </c:extLst>
        </c:ser>
        <c:ser>
          <c:idx val="0"/>
          <c:order val="1"/>
          <c:tx>
            <c:strRef>
              <c:f>Tabla!$B$157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Tabla!$C$161</c:f>
                  <c:strCache>
                    <c:ptCount val="1"/>
                    <c:pt idx="0">
                      <c:v>68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{A643A7EE-54BB-473A-BA17-62337301B183}</c15:txfldGUID>
                      <c15:f>Tabla!$C$161</c15:f>
                      <c15:dlblFieldTableCache>
                        <c:ptCount val="1"/>
                        <c:pt idx="0">
                          <c:v>68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DC4-4ED2-B418-BE71D54B4B0B}"/>
                </c:ext>
              </c:extLst>
            </c:dLbl>
            <c:dLbl>
              <c:idx val="1"/>
              <c:tx>
                <c:strRef>
                  <c:f>Tabla!$D$161</c:f>
                  <c:strCache>
                    <c:ptCount val="1"/>
                    <c:pt idx="0">
                      <c:v>75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{42C5CEB0-237A-4548-AEAC-420869A1961C}</c15:txfldGUID>
                      <c15:f>Tabla!$D$161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DC4-4ED2-B418-BE71D54B4B0B}"/>
                </c:ext>
              </c:extLst>
            </c:dLbl>
            <c:dLbl>
              <c:idx val="2"/>
              <c:tx>
                <c:strRef>
                  <c:f>Tabla!$E$161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{FC70DB21-1DB9-47C0-A6E3-7DE3796D3B4E}</c15:txfldGUID>
                      <c15:f>Tabla!$E$161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DC4-4ED2-B418-BE71D54B4B0B}"/>
                </c:ext>
              </c:extLst>
            </c:dLbl>
            <c:dLbl>
              <c:idx val="3"/>
              <c:tx>
                <c:strRef>
                  <c:f>Tabla!$F$161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{1082652B-0BA4-4D95-AC16-045A9A98EDED}</c15:txfldGUID>
                      <c15:f>Tabla!$F$161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DC4-4ED2-B418-BE71D54B4B0B}"/>
                </c:ext>
              </c:extLst>
            </c:dLbl>
            <c:dLbl>
              <c:idx val="4"/>
              <c:tx>
                <c:strRef>
                  <c:f>Tabla!$G$161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{4E0AB079-69AC-4141-B520-D2EE07605EE3}</c15:txfldGUID>
                      <c15:f>Tabla!$G$161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DC4-4ED2-B418-BE71D54B4B0B}"/>
                </c:ext>
              </c:extLst>
            </c:dLbl>
            <c:dLbl>
              <c:idx val="5"/>
              <c:tx>
                <c:strRef>
                  <c:f>Tabla!$H$161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{AF629C5C-9B61-4DEF-A826-F82E35DCDCF9}</c15:txfldGUID>
                      <c15:f>Tabla!$H$161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DC4-4ED2-B418-BE71D54B4B0B}"/>
                </c:ext>
              </c:extLst>
            </c:dLbl>
            <c:dLbl>
              <c:idx val="6"/>
              <c:tx>
                <c:strRef>
                  <c:f>Tabla!$I$161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{C9A4CE33-49C8-43D3-A9B8-05C2FD3B9D5D}</c15:txfldGUID>
                      <c15:f>Tabla!$I$161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DC4-4ED2-B418-BE71D54B4B0B}"/>
                </c:ext>
              </c:extLst>
            </c:dLbl>
            <c:dLbl>
              <c:idx val="7"/>
              <c:tx>
                <c:strRef>
                  <c:f>Tabla!$J$161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{AA3BF8C3-7371-4AF3-9743-D4A2822FB03B}</c15:txfldGUID>
                      <c15:f>Tabla!$J$161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DC4-4ED2-B418-BE71D54B4B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Tabla!$C$157:$J$157</c:f>
              <c:numCache>
                <c:formatCode>General</c:formatCode>
                <c:ptCount val="8"/>
                <c:pt idx="0">
                  <c:v>68</c:v>
                </c:pt>
                <c:pt idx="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DC4-4ED2-B418-BE71D54B4B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4597112"/>
        <c:axId val="194597504"/>
      </c:barChart>
      <c:lineChart>
        <c:grouping val="standard"/>
        <c:varyColors val="0"/>
        <c:ser>
          <c:idx val="1"/>
          <c:order val="2"/>
          <c:tx>
            <c:strRef>
              <c:f>Tabla!$B$156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Tabla!$C$156:$J$156</c:f>
              <c:numCache>
                <c:formatCode>General</c:formatCode>
                <c:ptCount val="8"/>
                <c:pt idx="0">
                  <c:v>65</c:v>
                </c:pt>
                <c:pt idx="1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DC4-4ED2-B418-BE71D54B4B0B}"/>
            </c:ext>
          </c:extLst>
        </c:ser>
        <c:ser>
          <c:idx val="2"/>
          <c:order val="3"/>
          <c:tx>
            <c:strRef>
              <c:f>Tabla!$B$158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DC4-4ED2-B418-BE71D54B4B0B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Tabla!$C$158:$J$158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DC4-4ED2-B418-BE71D54B4B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4597112"/>
        <c:axId val="194597504"/>
      </c:lineChart>
      <c:catAx>
        <c:axId val="194597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597504"/>
        <c:crosses val="autoZero"/>
        <c:auto val="1"/>
        <c:lblAlgn val="ctr"/>
        <c:lblOffset val="100"/>
        <c:noMultiLvlLbl val="0"/>
      </c:catAx>
      <c:valAx>
        <c:axId val="19459750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945971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Tabla!$B$187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Tabla!$C$190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{238F9AAD-5DFA-4563-8B2C-B56C95A54BF8}</c15:txfldGUID>
                      <c15:f>Tabla!$C$190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F66-495B-9DD4-9412FFA6B49F}"/>
                </c:ext>
              </c:extLst>
            </c:dLbl>
            <c:dLbl>
              <c:idx val="1"/>
              <c:tx>
                <c:strRef>
                  <c:f>Tabla!$D$190</c:f>
                  <c:strCache>
                    <c:ptCount val="1"/>
                    <c:pt idx="0">
                      <c:v>75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{13C0D6C0-ED25-454D-B8A0-5FED9D1E8979}</c15:txfldGUID>
                      <c15:f>Tabla!$D$190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F66-495B-9DD4-9412FFA6B49F}"/>
                </c:ext>
              </c:extLst>
            </c:dLbl>
            <c:dLbl>
              <c:idx val="2"/>
              <c:tx>
                <c:strRef>
                  <c:f>Tabla!$E$190</c:f>
                  <c:strCache>
                    <c:ptCount val="1"/>
                    <c:pt idx="0">
                      <c:v>65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{5E931B1A-7D44-470F-9080-09489BED5BAE}</c15:txfldGUID>
                      <c15:f>Tabla!$E$190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F66-495B-9DD4-9412FFA6B49F}"/>
                </c:ext>
              </c:extLst>
            </c:dLbl>
            <c:dLbl>
              <c:idx val="3"/>
              <c:tx>
                <c:strRef>
                  <c:f>Tabla!$F$190</c:f>
                  <c:strCache>
                    <c:ptCount val="1"/>
                    <c:pt idx="0">
                      <c:v>55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{F1ADB087-5B1A-43F6-9B72-E2E1B1900C40}</c15:txfldGUID>
                      <c15:f>Tabla!$F$190</c15:f>
                      <c15:dlblFieldTableCache>
                        <c:ptCount val="1"/>
                        <c:pt idx="0">
                          <c:v>55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F66-495B-9DD4-9412FFA6B49F}"/>
                </c:ext>
              </c:extLst>
            </c:dLbl>
            <c:dLbl>
              <c:idx val="4"/>
              <c:tx>
                <c:strRef>
                  <c:f>Tabla!$G$190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{CEF67F22-4FE7-4E8F-B699-0E1508933344}</c15:txfldGUID>
                      <c15:f>Tabla!$G$190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F66-495B-9DD4-9412FFA6B49F}"/>
                </c:ext>
              </c:extLst>
            </c:dLbl>
            <c:dLbl>
              <c:idx val="5"/>
              <c:tx>
                <c:strRef>
                  <c:f>Tabla!$H$190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{7DF784E8-965C-425B-A79E-A23FBE2CDA79}</c15:txfldGUID>
                      <c15:f>Tabla!$H$190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F66-495B-9DD4-9412FFA6B49F}"/>
                </c:ext>
              </c:extLst>
            </c:dLbl>
            <c:dLbl>
              <c:idx val="6"/>
              <c:tx>
                <c:strRef>
                  <c:f>Tabla!$I$190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{20A67F1B-290D-4840-849C-1E3A3725ABA8}</c15:txfldGUID>
                      <c15:f>Tabla!$I$190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F66-495B-9DD4-9412FFA6B49F}"/>
                </c:ext>
              </c:extLst>
            </c:dLbl>
            <c:dLbl>
              <c:idx val="7"/>
              <c:tx>
                <c:strRef>
                  <c:f>Tabla!$J$190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{4C438CB5-1C09-45C8-9DDA-E78789D002DA}</c15:txfldGUID>
                      <c15:f>Tabla!$J$190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F66-495B-9DD4-9412FFA6B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Tabla!$C$190:$J$190</c:f>
              <c:numCache>
                <c:formatCode>0</c:formatCode>
                <c:ptCount val="8"/>
                <c:pt idx="0">
                  <c:v>83</c:v>
                </c:pt>
                <c:pt idx="1">
                  <c:v>75</c:v>
                </c:pt>
                <c:pt idx="2">
                  <c:v>65</c:v>
                </c:pt>
                <c:pt idx="3">
                  <c:v>55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66-495B-9DD4-9412FFA6B49F}"/>
            </c:ext>
          </c:extLst>
        </c:ser>
        <c:ser>
          <c:idx val="0"/>
          <c:order val="1"/>
          <c:tx>
            <c:strRef>
              <c:f>Tabla!$B$187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Tabla!$C$191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{E921AA4F-225E-45D2-89C7-5DC5561EB655}</c15:txfldGUID>
                      <c15:f>Tabla!$C$191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F66-495B-9DD4-9412FFA6B49F}"/>
                </c:ext>
              </c:extLst>
            </c:dLbl>
            <c:dLbl>
              <c:idx val="1"/>
              <c:tx>
                <c:strRef>
                  <c:f>Tabla!$D$191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{8DDE65E8-0A16-40B3-8303-483719DCD9DC}</c15:txfldGUID>
                      <c15:f>Tabla!$D$191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F66-495B-9DD4-9412FFA6B49F}"/>
                </c:ext>
              </c:extLst>
            </c:dLbl>
            <c:dLbl>
              <c:idx val="2"/>
              <c:tx>
                <c:strRef>
                  <c:f>Tabla!$E$191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{2133949C-A916-4B29-BF31-3EE5B0E78037}</c15:txfldGUID>
                      <c15:f>Tabla!$E$191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F66-495B-9DD4-9412FFA6B49F}"/>
                </c:ext>
              </c:extLst>
            </c:dLbl>
            <c:dLbl>
              <c:idx val="3"/>
              <c:tx>
                <c:strRef>
                  <c:f>Tabla!$F$191</c:f>
                  <c:strCache>
                    <c:ptCount val="1"/>
                    <c:pt idx="0">
                      <c:v>49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{CD36E4B0-F9A5-413B-8C2C-617F1973FBF3}</c15:txfldGUID>
                      <c15:f>Tabla!$F$191</c15:f>
                      <c15:dlblFieldTableCache>
                        <c:ptCount val="1"/>
                        <c:pt idx="0">
                          <c:v>49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CF66-495B-9DD4-9412FFA6B49F}"/>
                </c:ext>
              </c:extLst>
            </c:dLbl>
            <c:dLbl>
              <c:idx val="4"/>
              <c:tx>
                <c:strRef>
                  <c:f>Tabla!$G$191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{161F09AA-54A7-42BA-B1EE-C87E11E64744}</c15:txfldGUID>
                      <c15:f>Tabla!$G$191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CF66-495B-9DD4-9412FFA6B49F}"/>
                </c:ext>
              </c:extLst>
            </c:dLbl>
            <c:dLbl>
              <c:idx val="5"/>
              <c:tx>
                <c:strRef>
                  <c:f>Tabla!$H$191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{029AE843-8F1C-4D19-AE55-93A861A4FC9E}</c15:txfldGUID>
                      <c15:f>Tabla!$H$191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CF66-495B-9DD4-9412FFA6B49F}"/>
                </c:ext>
              </c:extLst>
            </c:dLbl>
            <c:dLbl>
              <c:idx val="6"/>
              <c:tx>
                <c:strRef>
                  <c:f>Tabla!$I$191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{2329796B-F52C-4DB5-885F-7F8127E7B8E4}</c15:txfldGUID>
                      <c15:f>Tabla!$I$191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CF66-495B-9DD4-9412FFA6B49F}"/>
                </c:ext>
              </c:extLst>
            </c:dLbl>
            <c:dLbl>
              <c:idx val="7"/>
              <c:tx>
                <c:strRef>
                  <c:f>Tabla!$J$191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{92942340-353D-4038-A7D2-FB8C6D17A694}</c15:txfldGUID>
                      <c15:f>Tabla!$J$191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F66-495B-9DD4-9412FFA6B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Tabla!$C$187:$J$187</c:f>
              <c:numCache>
                <c:formatCode>General</c:formatCode>
                <c:ptCount val="8"/>
                <c:pt idx="0">
                  <c:v>82</c:v>
                </c:pt>
                <c:pt idx="1">
                  <c:v>72</c:v>
                </c:pt>
                <c:pt idx="2">
                  <c:v>60</c:v>
                </c:pt>
                <c:pt idx="3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F66-495B-9DD4-9412FFA6B49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8563216"/>
        <c:axId val="198563608"/>
      </c:barChart>
      <c:lineChart>
        <c:grouping val="standard"/>
        <c:varyColors val="0"/>
        <c:ser>
          <c:idx val="1"/>
          <c:order val="2"/>
          <c:tx>
            <c:strRef>
              <c:f>Tabla!$B$186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6.2237509607993853E-2"/>
                  <c:y val="-2.32890781208618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F66-495B-9DD4-9412FFA6B49F}"/>
                </c:ext>
              </c:extLst>
            </c:dLbl>
            <c:dLbl>
              <c:idx val="2"/>
              <c:layout>
                <c:manualLayout>
                  <c:x val="-1.0225467589034136E-2"/>
                  <c:y val="-0.1557711708323983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F66-495B-9DD4-9412FFA6B49F}"/>
                </c:ext>
              </c:extLst>
            </c:dLbl>
            <c:dLbl>
              <c:idx val="3"/>
              <c:layout>
                <c:manualLayout>
                  <c:x val="-6.8901705428904385E-3"/>
                  <c:y val="-4.09061354680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F66-495B-9DD4-9412FFA6B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Tabla!$C$186:$J$186</c:f>
              <c:numCache>
                <c:formatCode>General</c:formatCode>
                <c:ptCount val="8"/>
                <c:pt idx="0">
                  <c:v>80</c:v>
                </c:pt>
                <c:pt idx="1">
                  <c:v>73</c:v>
                </c:pt>
                <c:pt idx="2">
                  <c:v>58</c:v>
                </c:pt>
                <c:pt idx="3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F66-495B-9DD4-9412FFA6B49F}"/>
            </c:ext>
          </c:extLst>
        </c:ser>
        <c:ser>
          <c:idx val="2"/>
          <c:order val="3"/>
          <c:tx>
            <c:strRef>
              <c:f>Tabla!$B$188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66-495B-9DD4-9412FFA6B49F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Tabla!$C$188:$J$188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F66-495B-9DD4-9412FFA6B49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8563216"/>
        <c:axId val="198563608"/>
      </c:lineChart>
      <c:catAx>
        <c:axId val="19856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563608"/>
        <c:crosses val="autoZero"/>
        <c:auto val="1"/>
        <c:lblAlgn val="ctr"/>
        <c:lblOffset val="100"/>
        <c:noMultiLvlLbl val="0"/>
      </c:catAx>
      <c:valAx>
        <c:axId val="19856360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985632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Tabla!$B$217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Tabla!$C$220</c:f>
                  <c:strCache>
                    <c:ptCount val="1"/>
                    <c:pt idx="0">
                      <c:v>57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{8B0AD6D2-B3DC-47D9-A540-FF44BBF6A684}</c15:txfldGUID>
                      <c15:f>Tabla!$C$220</c15:f>
                      <c15:dlblFieldTableCache>
                        <c:ptCount val="1"/>
                        <c:pt idx="0">
                          <c:v>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611-44AF-94AC-C948137E2131}"/>
                </c:ext>
              </c:extLst>
            </c:dLbl>
            <c:dLbl>
              <c:idx val="1"/>
              <c:tx>
                <c:strRef>
                  <c:f>Tabla!$D$220</c:f>
                  <c:strCache>
                    <c:ptCount val="1"/>
                    <c:pt idx="0">
                      <c:v>54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{2A43FE6B-6C3A-46CB-8D32-E5B3C9A406C0}</c15:txfldGUID>
                      <c15:f>Tabla!$D$220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611-44AF-94AC-C948137E2131}"/>
                </c:ext>
              </c:extLst>
            </c:dLbl>
            <c:dLbl>
              <c:idx val="2"/>
              <c:tx>
                <c:strRef>
                  <c:f>Tabla!$E$220</c:f>
                  <c:strCache>
                    <c:ptCount val="1"/>
                    <c:pt idx="0">
                      <c:v>61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{953775DC-C80C-4C92-861C-6A05F9F88603}</c15:txfldGUID>
                      <c15:f>Tabla!$E$220</c15:f>
                      <c15:dlblFieldTableCache>
                        <c:ptCount val="1"/>
                        <c:pt idx="0">
                          <c:v>61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611-44AF-94AC-C948137E2131}"/>
                </c:ext>
              </c:extLst>
            </c:dLbl>
            <c:dLbl>
              <c:idx val="3"/>
              <c:tx>
                <c:strRef>
                  <c:f>Tabla!$F$220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{25C15292-E116-48B7-BF6E-460D5C768474}</c15:txfldGUID>
                      <c15:f>Tabla!$F$220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611-44AF-94AC-C948137E2131}"/>
                </c:ext>
              </c:extLst>
            </c:dLbl>
            <c:dLbl>
              <c:idx val="4"/>
              <c:tx>
                <c:strRef>
                  <c:f>Tabla!$G$220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{429F6698-3E6E-4D24-9563-C24398CEEFF5}</c15:txfldGUID>
                      <c15:f>Tabla!$G$220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611-44AF-94AC-C948137E2131}"/>
                </c:ext>
              </c:extLst>
            </c:dLbl>
            <c:dLbl>
              <c:idx val="5"/>
              <c:tx>
                <c:strRef>
                  <c:f>Tabla!$H$220</c:f>
                  <c:strCache>
                    <c:ptCount val="1"/>
                    <c:pt idx="0">
                      <c:v>63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{87E4E0AA-5117-4C7E-88CE-A012D9558E19}</c15:txfldGUID>
                      <c15:f>Tabla!$H$220</c15:f>
                      <c15:dlblFieldTableCache>
                        <c:ptCount val="1"/>
                        <c:pt idx="0">
                          <c:v>63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611-44AF-94AC-C948137E2131}"/>
                </c:ext>
              </c:extLst>
            </c:dLbl>
            <c:dLbl>
              <c:idx val="6"/>
              <c:tx>
                <c:strRef>
                  <c:f>Tabla!$I$220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{9F6DFBDC-9DCB-4D23-A93F-762F926C4EC1}</c15:txfldGUID>
                      <c15:f>Tabla!$I$220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611-44AF-94AC-C948137E2131}"/>
                </c:ext>
              </c:extLst>
            </c:dLbl>
            <c:dLbl>
              <c:idx val="7"/>
              <c:tx>
                <c:strRef>
                  <c:f>Tabla!$J$220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{53417C03-2FC7-4480-A75A-31474B41FF83}</c15:txfldGUID>
                      <c15:f>Tabla!$J$220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611-44AF-94AC-C948137E21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Tabla!$C$220:$J$220</c:f>
              <c:numCache>
                <c:formatCode>0</c:formatCode>
                <c:ptCount val="8"/>
                <c:pt idx="0">
                  <c:v>57</c:v>
                </c:pt>
                <c:pt idx="1">
                  <c:v>54</c:v>
                </c:pt>
                <c:pt idx="2">
                  <c:v>61</c:v>
                </c:pt>
                <c:pt idx="3">
                  <c:v>0</c:v>
                </c:pt>
                <c:pt idx="4">
                  <c:v>0</c:v>
                </c:pt>
                <c:pt idx="5">
                  <c:v>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611-44AF-94AC-C948137E2131}"/>
            </c:ext>
          </c:extLst>
        </c:ser>
        <c:ser>
          <c:idx val="0"/>
          <c:order val="1"/>
          <c:tx>
            <c:strRef>
              <c:f>Tabla!$B$217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Tabla!$C$221</c:f>
                  <c:strCache>
                    <c:ptCount val="1"/>
                    <c:pt idx="0">
                      <c:v>54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{614EA956-C6BE-4E67-B214-A66CA2F5AAF5}</c15:txfldGUID>
                      <c15:f>Tabla!$C$221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611-44AF-94AC-C948137E2131}"/>
                </c:ext>
              </c:extLst>
            </c:dLbl>
            <c:dLbl>
              <c:idx val="1"/>
              <c:tx>
                <c:strRef>
                  <c:f>Tabla!$D$221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{1D0CA2B9-CA29-47DC-B8EF-9CB59A36CA38}</c15:txfldGUID>
                      <c15:f>Tabla!$D$221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611-44AF-94AC-C948137E2131}"/>
                </c:ext>
              </c:extLst>
            </c:dLbl>
            <c:dLbl>
              <c:idx val="2"/>
              <c:tx>
                <c:strRef>
                  <c:f>Tabla!$E$221</c:f>
                  <c:strCache>
                    <c:ptCount val="1"/>
                    <c:pt idx="0">
                      <c:v>51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{4D998351-141A-4FF8-81BE-7AD4319B8423}</c15:txfldGUID>
                      <c15:f>Tabla!$E$221</c15:f>
                      <c15:dlblFieldTableCache>
                        <c:ptCount val="1"/>
                        <c:pt idx="0">
                          <c:v>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611-44AF-94AC-C948137E2131}"/>
                </c:ext>
              </c:extLst>
            </c:dLbl>
            <c:dLbl>
              <c:idx val="3"/>
              <c:tx>
                <c:strRef>
                  <c:f>Tabla!$F$221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{662CDDFF-D2FB-4039-8BEF-F854F229A9D3}</c15:txfldGUID>
                      <c15:f>Tabla!$F$221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611-44AF-94AC-C948137E2131}"/>
                </c:ext>
              </c:extLst>
            </c:dLbl>
            <c:dLbl>
              <c:idx val="4"/>
              <c:tx>
                <c:strRef>
                  <c:f>Tabla!$G$221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{CF6334C6-3644-4F2E-965A-649E3C32FA00}</c15:txfldGUID>
                      <c15:f>Tabla!$G$221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611-44AF-94AC-C948137E2131}"/>
                </c:ext>
              </c:extLst>
            </c:dLbl>
            <c:dLbl>
              <c:idx val="5"/>
              <c:tx>
                <c:strRef>
                  <c:f>Tabla!$H$221</c:f>
                  <c:strCache>
                    <c:ptCount val="1"/>
                    <c:pt idx="0">
                      <c:v>52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{89C9519B-D8B7-4546-B033-109822A1F7F1}</c15:txfldGUID>
                      <c15:f>Tabla!$H$221</c15:f>
                      <c15:dlblFieldTableCache>
                        <c:ptCount val="1"/>
                        <c:pt idx="0">
                          <c:v>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611-44AF-94AC-C948137E2131}"/>
                </c:ext>
              </c:extLst>
            </c:dLbl>
            <c:dLbl>
              <c:idx val="6"/>
              <c:tx>
                <c:strRef>
                  <c:f>Tabla!$I$221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{429218DB-1340-48AB-959C-93CF31B6273A}</c15:txfldGUID>
                      <c15:f>Tabla!$I$221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611-44AF-94AC-C948137E2131}"/>
                </c:ext>
              </c:extLst>
            </c:dLbl>
            <c:dLbl>
              <c:idx val="7"/>
              <c:tx>
                <c:strRef>
                  <c:f>Tabla!$J$221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{6BD76947-938B-400E-9278-2A51CDE15E61}</c15:txfldGUID>
                      <c15:f>Tabla!$J$221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611-44AF-94AC-C948137E21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Tabla!$C$217:$J$217</c:f>
              <c:numCache>
                <c:formatCode>General</c:formatCode>
                <c:ptCount val="8"/>
                <c:pt idx="0">
                  <c:v>54</c:v>
                </c:pt>
                <c:pt idx="1">
                  <c:v>70</c:v>
                </c:pt>
                <c:pt idx="2">
                  <c:v>51</c:v>
                </c:pt>
                <c:pt idx="3">
                  <c:v>0</c:v>
                </c:pt>
                <c:pt idx="4">
                  <c:v>0</c:v>
                </c:pt>
                <c:pt idx="5">
                  <c:v>52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611-44AF-94AC-C948137E213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8564392"/>
        <c:axId val="198564784"/>
      </c:barChart>
      <c:lineChart>
        <c:grouping val="standard"/>
        <c:varyColors val="0"/>
        <c:ser>
          <c:idx val="1"/>
          <c:order val="2"/>
          <c:tx>
            <c:strRef>
              <c:f>Tabla!$B$216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1.1834369480220217E-2"/>
                  <c:y val="-8.5728398285971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11-44AF-94AC-C948137E2131}"/>
                </c:ext>
              </c:extLst>
            </c:dLbl>
            <c:dLbl>
              <c:idx val="1"/>
              <c:layout>
                <c:manualLayout>
                  <c:x val="-8.6040538014868408E-3"/>
                  <c:y val="-6.72980557461564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11-44AF-94AC-C948137E21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Tabla!$C$216:$J$216</c:f>
              <c:numCache>
                <c:formatCode>General</c:formatCode>
                <c:ptCount val="8"/>
                <c:pt idx="0">
                  <c:v>43</c:v>
                </c:pt>
                <c:pt idx="1">
                  <c:v>67</c:v>
                </c:pt>
                <c:pt idx="2">
                  <c:v>53</c:v>
                </c:pt>
                <c:pt idx="5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11-44AF-94AC-C948137E2131}"/>
            </c:ext>
          </c:extLst>
        </c:ser>
        <c:ser>
          <c:idx val="2"/>
          <c:order val="3"/>
          <c:tx>
            <c:strRef>
              <c:f>Tabla!$B$218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11-44AF-94AC-C948137E2131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Tabla!$C$218:$J$218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 formatCode="General">
                  <c:v>69</c:v>
                </c:pt>
                <c:pt idx="6" formatCode="General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11-44AF-94AC-C948137E213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8564392"/>
        <c:axId val="198564784"/>
      </c:lineChart>
      <c:catAx>
        <c:axId val="198564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564784"/>
        <c:crosses val="autoZero"/>
        <c:auto val="1"/>
        <c:lblAlgn val="ctr"/>
        <c:lblOffset val="100"/>
        <c:noMultiLvlLbl val="0"/>
      </c:catAx>
      <c:valAx>
        <c:axId val="19856478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985643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Tabla!$B$247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Tabla!$C$250</c:f>
                  <c:strCache>
                    <c:ptCount val="1"/>
                    <c:pt idx="0">
                      <c:v>88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{AB8E0E8C-852C-49F1-A8ED-457A7905049A}</c15:txfldGUID>
                      <c15:f>Tabla!$C$250</c15:f>
                      <c15:dlblFieldTableCache>
                        <c:ptCount val="1"/>
                        <c:pt idx="0">
                          <c:v>88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B10-44B5-8802-11AADC88B1CB}"/>
                </c:ext>
              </c:extLst>
            </c:dLbl>
            <c:dLbl>
              <c:idx val="1"/>
              <c:tx>
                <c:strRef>
                  <c:f>Tabla!$D$250</c:f>
                  <c:strCache>
                    <c:ptCount val="1"/>
                    <c:pt idx="0">
                      <c:v>81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{3BCD07EE-70AF-4F2A-B640-EDCCFB260C81}</c15:txfldGUID>
                      <c15:f>Tabla!$D$250</c15:f>
                      <c15:dlblFieldTableCache>
                        <c:ptCount val="1"/>
                        <c:pt idx="0">
                          <c:v>81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B10-44B5-8802-11AADC88B1CB}"/>
                </c:ext>
              </c:extLst>
            </c:dLbl>
            <c:dLbl>
              <c:idx val="2"/>
              <c:tx>
                <c:strRef>
                  <c:f>Tabla!$E$250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{2D50E9DF-D5C5-4AAB-A091-45D36242DE6E}</c15:txfldGUID>
                      <c15:f>Tabla!$E$250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B10-44B5-8802-11AADC88B1CB}"/>
                </c:ext>
              </c:extLst>
            </c:dLbl>
            <c:dLbl>
              <c:idx val="3"/>
              <c:tx>
                <c:strRef>
                  <c:f>Tabla!$F$250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{2E7AC691-4441-49B1-994A-5D7F6D392B89}</c15:txfldGUID>
                      <c15:f>Tabla!$F$250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B10-44B5-8802-11AADC88B1CB}"/>
                </c:ext>
              </c:extLst>
            </c:dLbl>
            <c:dLbl>
              <c:idx val="4"/>
              <c:tx>
                <c:strRef>
                  <c:f>Tabla!$G$250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{CD9AA1B7-EFA8-42F5-813F-C15667A2D301}</c15:txfldGUID>
                      <c15:f>Tabla!$G$250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B10-44B5-8802-11AADC88B1CB}"/>
                </c:ext>
              </c:extLst>
            </c:dLbl>
            <c:dLbl>
              <c:idx val="5"/>
              <c:tx>
                <c:strRef>
                  <c:f>Tabla!$H$250</c:f>
                  <c:strCache>
                    <c:ptCount val="1"/>
                    <c:pt idx="0">
                      <c:v>89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{E95E9DF5-DA6C-4CA8-A3FF-548E7525492E}</c15:txfldGUID>
                      <c15:f>Tabla!$H$250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B10-44B5-8802-11AADC88B1CB}"/>
                </c:ext>
              </c:extLst>
            </c:dLbl>
            <c:dLbl>
              <c:idx val="6"/>
              <c:tx>
                <c:strRef>
                  <c:f>Tabla!$I$250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{6FC66AF6-0057-4FA5-A4D9-A0CE6CCD5646}</c15:txfldGUID>
                      <c15:f>Tabla!$I$250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B10-44B5-8802-11AADC88B1CB}"/>
                </c:ext>
              </c:extLst>
            </c:dLbl>
            <c:dLbl>
              <c:idx val="7"/>
              <c:tx>
                <c:strRef>
                  <c:f>Tabla!$J$250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{4FCF23C6-CCB7-4387-AC91-E98ABDDC67BF}</c15:txfldGUID>
                      <c15:f>Tabla!$J$250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B10-44B5-8802-11AADC88B1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Tabla!$C$250:$J$250</c:f>
              <c:numCache>
                <c:formatCode>0</c:formatCode>
                <c:ptCount val="8"/>
                <c:pt idx="0">
                  <c:v>88</c:v>
                </c:pt>
                <c:pt idx="1">
                  <c:v>81</c:v>
                </c:pt>
                <c:pt idx="2">
                  <c:v>76</c:v>
                </c:pt>
                <c:pt idx="3">
                  <c:v>0</c:v>
                </c:pt>
                <c:pt idx="4">
                  <c:v>0</c:v>
                </c:pt>
                <c:pt idx="5">
                  <c:v>89</c:v>
                </c:pt>
                <c:pt idx="6">
                  <c:v>77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10-44B5-8802-11AADC88B1CB}"/>
            </c:ext>
          </c:extLst>
        </c:ser>
        <c:ser>
          <c:idx val="0"/>
          <c:order val="1"/>
          <c:tx>
            <c:strRef>
              <c:f>Tabla!$B$247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Tabla!$C$251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{31FACF3C-99F8-4CD5-95B1-744F22D77FE8}</c15:txfldGUID>
                      <c15:f>Tabla!$C$251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B10-44B5-8802-11AADC88B1CB}"/>
                </c:ext>
              </c:extLst>
            </c:dLbl>
            <c:dLbl>
              <c:idx val="1"/>
              <c:tx>
                <c:strRef>
                  <c:f>Tabla!$D$251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{630EAC6B-BBB6-478A-872F-48179B3FF47D}</c15:txfldGUID>
                      <c15:f>Tabla!$D$251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B10-44B5-8802-11AADC88B1CB}"/>
                </c:ext>
              </c:extLst>
            </c:dLbl>
            <c:dLbl>
              <c:idx val="2"/>
              <c:tx>
                <c:strRef>
                  <c:f>Tabla!$E$251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{99895479-DB77-4382-B6E2-A00FB8F37BC2}</c15:txfldGUID>
                      <c15:f>Tabla!$E$251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B10-44B5-8802-11AADC88B1CB}"/>
                </c:ext>
              </c:extLst>
            </c:dLbl>
            <c:dLbl>
              <c:idx val="3"/>
              <c:tx>
                <c:strRef>
                  <c:f>Tabla!$F$251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{CC968806-7F04-4E01-B147-49124D29E460}</c15:txfldGUID>
                      <c15:f>Tabla!$F$251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B10-44B5-8802-11AADC88B1CB}"/>
                </c:ext>
              </c:extLst>
            </c:dLbl>
            <c:dLbl>
              <c:idx val="4"/>
              <c:tx>
                <c:strRef>
                  <c:f>Tabla!$G$251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{7921F8EF-92A9-403B-9E4B-576E29299C5A}</c15:txfldGUID>
                      <c15:f>Tabla!$G$251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B10-44B5-8802-11AADC88B1CB}"/>
                </c:ext>
              </c:extLst>
            </c:dLbl>
            <c:dLbl>
              <c:idx val="5"/>
              <c:tx>
                <c:strRef>
                  <c:f>Tabla!$H$251</c:f>
                  <c:strCache>
                    <c:ptCount val="1"/>
                    <c:pt idx="0">
                      <c:v>81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{075B967F-F17F-4694-A821-F433F159D096}</c15:txfldGUID>
                      <c15:f>Tabla!$H$251</c15:f>
                      <c15:dlblFieldTableCache>
                        <c:ptCount val="1"/>
                        <c:pt idx="0">
                          <c:v>81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B10-44B5-8802-11AADC88B1CB}"/>
                </c:ext>
              </c:extLst>
            </c:dLbl>
            <c:dLbl>
              <c:idx val="6"/>
              <c:tx>
                <c:strRef>
                  <c:f>Tabla!$I$251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{E78F9E9B-0167-4330-93CD-A43FE2CC4FF0}</c15:txfldGUID>
                      <c15:f>Tabla!$I$251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B10-44B5-8802-11AADC88B1CB}"/>
                </c:ext>
              </c:extLst>
            </c:dLbl>
            <c:dLbl>
              <c:idx val="7"/>
              <c:tx>
                <c:strRef>
                  <c:f>Tabla!$J$251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{C2CCE1A4-61BC-4626-A3C3-8D19D2EF55FD}</c15:txfldGUID>
                      <c15:f>Tabla!$J$251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B10-44B5-8802-11AADC88B1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Tabla!$C$247:$J$247</c:f>
              <c:numCache>
                <c:formatCode>General</c:formatCode>
                <c:ptCount val="8"/>
                <c:pt idx="0">
                  <c:v>83</c:v>
                </c:pt>
                <c:pt idx="1">
                  <c:v>73</c:v>
                </c:pt>
                <c:pt idx="2">
                  <c:v>80</c:v>
                </c:pt>
                <c:pt idx="3">
                  <c:v>0</c:v>
                </c:pt>
                <c:pt idx="4">
                  <c:v>0</c:v>
                </c:pt>
                <c:pt idx="5">
                  <c:v>81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B10-44B5-8802-11AADC88B1C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2142064"/>
        <c:axId val="202142456"/>
      </c:barChart>
      <c:lineChart>
        <c:grouping val="standard"/>
        <c:varyColors val="0"/>
        <c:ser>
          <c:idx val="1"/>
          <c:order val="2"/>
          <c:tx>
            <c:strRef>
              <c:f>Tabla!$B$246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6.0589052948464596E-2"/>
                  <c:y val="-2.05092017696410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B10-44B5-8802-11AADC88B1CB}"/>
                </c:ext>
              </c:extLst>
            </c:dLbl>
            <c:dLbl>
              <c:idx val="2"/>
              <c:layout>
                <c:manualLayout>
                  <c:x val="-3.2902446073744034E-2"/>
                  <c:y val="-9.58298304739622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B10-44B5-8802-11AADC88B1CB}"/>
                </c:ext>
              </c:extLst>
            </c:dLbl>
            <c:dLbl>
              <c:idx val="3"/>
              <c:layout>
                <c:manualLayout>
                  <c:x val="-1.1816374158616619E-2"/>
                  <c:y val="-8.95531018653745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B10-44B5-8802-11AADC88B1CB}"/>
                </c:ext>
              </c:extLst>
            </c:dLbl>
            <c:dLbl>
              <c:idx val="4"/>
              <c:layout>
                <c:manualLayout>
                  <c:x val="-2.8036429477945386E-2"/>
                  <c:y val="-0.1334902021254881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B10-44B5-8802-11AADC88B1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Tabla!$C$246:$J$246</c:f>
              <c:numCache>
                <c:formatCode>General</c:formatCode>
                <c:ptCount val="8"/>
                <c:pt idx="0">
                  <c:v>86</c:v>
                </c:pt>
                <c:pt idx="1">
                  <c:v>68</c:v>
                </c:pt>
                <c:pt idx="2">
                  <c:v>83</c:v>
                </c:pt>
                <c:pt idx="5">
                  <c:v>71</c:v>
                </c:pt>
                <c:pt idx="6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B10-44B5-8802-11AADC88B1CB}"/>
            </c:ext>
          </c:extLst>
        </c:ser>
        <c:ser>
          <c:idx val="2"/>
          <c:order val="3"/>
          <c:tx>
            <c:strRef>
              <c:f>Tabla!$B$248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B10-44B5-8802-11AADC88B1CB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Tabla!$C$248:$J$248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 formatCode="General">
                  <c:v>69</c:v>
                </c:pt>
                <c:pt idx="6" formatCode="General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B10-44B5-8802-11AADC88B1C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142064"/>
        <c:axId val="202142456"/>
      </c:lineChart>
      <c:catAx>
        <c:axId val="202142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142456"/>
        <c:crosses val="autoZero"/>
        <c:auto val="1"/>
        <c:lblAlgn val="ctr"/>
        <c:lblOffset val="100"/>
        <c:noMultiLvlLbl val="0"/>
      </c:catAx>
      <c:valAx>
        <c:axId val="20214245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021420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Tabla!$B$277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{07C4DB1C-4B89-43E6-99AE-E9B4581FD2EE}</c15:txfldGUID>
                      <c15:f>Tabla!$C$280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7E1-462B-95B0-A548F3ED2D8E}"/>
                </c:ext>
              </c:extLst>
            </c:dLbl>
            <c:dLbl>
              <c:idx val="1"/>
              <c:tx>
                <c:strRef>
                  <c:f>Tabla!$D$280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{481550BC-38D8-4372-8E08-3D593D2AB1CE}</c15:txfldGUID>
                      <c15:f>Tabla!$D$280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7E1-462B-95B0-A548F3ED2D8E}"/>
                </c:ext>
              </c:extLst>
            </c:dLbl>
            <c:dLbl>
              <c:idx val="2"/>
              <c:tx>
                <c:strRef>
                  <c:f>Tabla!$E$280</c:f>
                  <c:strCache>
                    <c:ptCount val="1"/>
                    <c:pt idx="0">
                      <c:v>75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{615EEA86-AC03-4CE6-86FC-07C038135598}</c15:txfldGUID>
                      <c15:f>Tabla!$E$280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D7E1-462B-95B0-A548F3ED2D8E}"/>
                </c:ext>
              </c:extLst>
            </c:dLbl>
            <c:dLbl>
              <c:idx val="3"/>
              <c:tx>
                <c:strRef>
                  <c:f>Tabla!$F$280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{79147CFC-3C66-4D7D-819B-307EC2ABACE7}</c15:txfldGUID>
                      <c15:f>Tabla!$F$280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7E1-462B-95B0-A548F3ED2D8E}"/>
                </c:ext>
              </c:extLst>
            </c:dLbl>
            <c:dLbl>
              <c:idx val="4"/>
              <c:tx>
                <c:strRef>
                  <c:f>Tabla!$G$280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{D7B1EC77-099B-4C48-A5DB-122F03628D90}</c15:txfldGUID>
                      <c15:f>Tabla!$G$280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7E1-462B-95B0-A548F3ED2D8E}"/>
                </c:ext>
              </c:extLst>
            </c:dLbl>
            <c:dLbl>
              <c:idx val="5"/>
              <c:tx>
                <c:strRef>
                  <c:f>Tabla!$H$280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{3656C919-1C81-444B-B502-A7E1D4A57A55}</c15:txfldGUID>
                      <c15:f>Tabla!$H$280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D7E1-462B-95B0-A548F3ED2D8E}"/>
                </c:ext>
              </c:extLst>
            </c:dLbl>
            <c:dLbl>
              <c:idx val="6"/>
              <c:tx>
                <c:strRef>
                  <c:f>Tabla!$I$280</c:f>
                  <c:strCache>
                    <c:ptCount val="1"/>
                    <c:pt idx="0">
                      <c:v>69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{FC6FE724-6624-4C3F-9464-1C98D1D0E1C2}</c15:txfldGUID>
                      <c15:f>Tabla!$I$280</c15:f>
                      <c15:dlblFieldTableCache>
                        <c:ptCount val="1"/>
                        <c:pt idx="0">
                          <c:v>69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7E1-462B-95B0-A548F3ED2D8E}"/>
                </c:ext>
              </c:extLst>
            </c:dLbl>
            <c:dLbl>
              <c:idx val="7"/>
              <c:tx>
                <c:strRef>
                  <c:f>Tabla!$J$280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{0B154AA9-CA01-4746-B275-53A6958AA32B}</c15:txfldGUID>
                      <c15:f>Tabla!$J$280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D7E1-462B-95B0-A548F3ED2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Tabla!$C$280:$J$280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75</c:v>
                </c:pt>
                <c:pt idx="3">
                  <c:v>0</c:v>
                </c:pt>
                <c:pt idx="4">
                  <c:v>78</c:v>
                </c:pt>
                <c:pt idx="5">
                  <c:v>76</c:v>
                </c:pt>
                <c:pt idx="6">
                  <c:v>69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E1-462B-95B0-A548F3ED2D8E}"/>
            </c:ext>
          </c:extLst>
        </c:ser>
        <c:ser>
          <c:idx val="0"/>
          <c:order val="1"/>
          <c:tx>
            <c:strRef>
              <c:f>Tabla!$B$277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{72514577-FA3A-4AD4-9EB8-E5C87DA2ABCD}</c15:txfldGUID>
                      <c15:f>Tabla!$C$281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D7E1-462B-95B0-A548F3ED2D8E}"/>
                </c:ext>
              </c:extLst>
            </c:dLbl>
            <c:dLbl>
              <c:idx val="1"/>
              <c:tx>
                <c:strRef>
                  <c:f>Tabla!$D$281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{357EDFC3-2C34-40F9-9BDC-0048CE8AFE1E}</c15:txfldGUID>
                      <c15:f>Tabla!$D$281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D7E1-462B-95B0-A548F3ED2D8E}"/>
                </c:ext>
              </c:extLst>
            </c:dLbl>
            <c:dLbl>
              <c:idx val="2"/>
              <c:tx>
                <c:strRef>
                  <c:f>Tabla!$E$281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{0EE8B13E-304A-49F9-B4F1-4D4036442D77}</c15:txfldGUID>
                      <c15:f>Tabla!$E$281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D7E1-462B-95B0-A548F3ED2D8E}"/>
                </c:ext>
              </c:extLst>
            </c:dLbl>
            <c:dLbl>
              <c:idx val="3"/>
              <c:tx>
                <c:strRef>
                  <c:f>Tabla!$F$281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{2E9B105C-F98E-4D8E-ACC0-9FCECB08A8D7}</c15:txfldGUID>
                      <c15:f>Tabla!$F$281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D7E1-462B-95B0-A548F3ED2D8E}"/>
                </c:ext>
              </c:extLst>
            </c:dLbl>
            <c:dLbl>
              <c:idx val="4"/>
              <c:tx>
                <c:strRef>
                  <c:f>Tabla!$G$281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{C89DD6AF-FD7E-4C08-8D79-F1799530CCE6}</c15:txfldGUID>
                      <c15:f>Tabla!$G$281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D7E1-462B-95B0-A548F3ED2D8E}"/>
                </c:ext>
              </c:extLst>
            </c:dLbl>
            <c:dLbl>
              <c:idx val="5"/>
              <c:tx>
                <c:strRef>
                  <c:f>Tabla!$H$281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{AFC264F7-11F8-4AA5-99DE-A876AEAA6126}</c15:txfldGUID>
                      <c15:f>Tabla!$H$281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D7E1-462B-95B0-A548F3ED2D8E}"/>
                </c:ext>
              </c:extLst>
            </c:dLbl>
            <c:dLbl>
              <c:idx val="6"/>
              <c:tx>
                <c:strRef>
                  <c:f>Tabla!$I$281</c:f>
                  <c:strCache>
                    <c:ptCount val="1"/>
                    <c:pt idx="0">
                      <c:v>61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{492DFEC3-E8A6-4B38-92FD-48DD1C5507F2}</c15:txfldGUID>
                      <c15:f>Tabla!$I$281</c15:f>
                      <c15:dlblFieldTableCache>
                        <c:ptCount val="1"/>
                        <c:pt idx="0">
                          <c:v>61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D7E1-462B-95B0-A548F3ED2D8E}"/>
                </c:ext>
              </c:extLst>
            </c:dLbl>
            <c:dLbl>
              <c:idx val="7"/>
              <c:tx>
                <c:strRef>
                  <c:f>Tabla!$J$281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{C9210AE0-FFD5-4358-BBE1-85E4E3A8712E}</c15:txfldGUID>
                      <c15:f>Tabla!$J$281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D7E1-462B-95B0-A548F3ED2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Tabla!$C$277:$J$277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74</c:v>
                </c:pt>
                <c:pt idx="3">
                  <c:v>0</c:v>
                </c:pt>
                <c:pt idx="4">
                  <c:v>76</c:v>
                </c:pt>
                <c:pt idx="5">
                  <c:v>72</c:v>
                </c:pt>
                <c:pt idx="6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7E1-462B-95B0-A548F3ED2D8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2143632"/>
        <c:axId val="202144024"/>
      </c:barChart>
      <c:lineChart>
        <c:grouping val="standard"/>
        <c:varyColors val="0"/>
        <c:ser>
          <c:idx val="1"/>
          <c:order val="2"/>
          <c:tx>
            <c:strRef>
              <c:f>Tabla!$B$276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Tabla!$C$276:$J$276</c:f>
              <c:numCache>
                <c:formatCode>General</c:formatCode>
                <c:ptCount val="8"/>
                <c:pt idx="2">
                  <c:v>73</c:v>
                </c:pt>
                <c:pt idx="4">
                  <c:v>63</c:v>
                </c:pt>
                <c:pt idx="5">
                  <c:v>100</c:v>
                </c:pt>
                <c:pt idx="6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7E1-462B-95B0-A548F3ED2D8E}"/>
            </c:ext>
          </c:extLst>
        </c:ser>
        <c:ser>
          <c:idx val="2"/>
          <c:order val="3"/>
          <c:tx>
            <c:strRef>
              <c:f>Tabla!$B$278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7E1-462B-95B0-A548F3ED2D8E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Tabla!$C$278:$J$278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 formatCode="General">
                  <c:v>69</c:v>
                </c:pt>
                <c:pt idx="6" formatCode="General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7E1-462B-95B0-A548F3ED2D8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143632"/>
        <c:axId val="202144024"/>
      </c:lineChart>
      <c:catAx>
        <c:axId val="202143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144024"/>
        <c:crosses val="autoZero"/>
        <c:auto val="1"/>
        <c:lblAlgn val="ctr"/>
        <c:lblOffset val="100"/>
        <c:noMultiLvlLbl val="0"/>
      </c:catAx>
      <c:valAx>
        <c:axId val="20214402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021436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Tabla!$B$307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{1A40CE19-925F-4102-A4B3-AD5A8FFFCB8E}</c15:txfldGUID>
                      <c15:f>Tabla!$C$310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D0-4754-9D38-FF2517D5A9AC}"/>
                </c:ext>
              </c:extLst>
            </c:dLbl>
            <c:dLbl>
              <c:idx val="1"/>
              <c:tx>
                <c:strRef>
                  <c:f>Tabla!$D$310</c:f>
                  <c:strCache>
                    <c:ptCount val="1"/>
                    <c:pt idx="0">
                      <c:v>59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{F6981DA7-CDE5-4AD7-9F2D-9021BCF6C8B7}</c15:txfldGUID>
                      <c15:f>Tabla!$D$310</c15:f>
                      <c15:dlblFieldTableCache>
                        <c:ptCount val="1"/>
                        <c:pt idx="0">
                          <c:v>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CD0-4754-9D38-FF2517D5A9AC}"/>
                </c:ext>
              </c:extLst>
            </c:dLbl>
            <c:dLbl>
              <c:idx val="2"/>
              <c:tx>
                <c:strRef>
                  <c:f>Tabla!$E$310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{81908219-9A41-49D9-BC91-D4AED0EFE98C}</c15:txfldGUID>
                      <c15:f>Tabla!$E$310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CD0-4754-9D38-FF2517D5A9AC}"/>
                </c:ext>
              </c:extLst>
            </c:dLbl>
            <c:dLbl>
              <c:idx val="3"/>
              <c:tx>
                <c:strRef>
                  <c:f>Tabla!$F$310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{15F6E098-7E1D-428C-A762-3DA307245EBE}</c15:txfldGUID>
                      <c15:f>Tabla!$F$310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CD0-4754-9D38-FF2517D5A9AC}"/>
                </c:ext>
              </c:extLst>
            </c:dLbl>
            <c:dLbl>
              <c:idx val="4"/>
              <c:tx>
                <c:strRef>
                  <c:f>Tabla!$G$310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{2BA79417-F840-4F0F-B1AC-58B4D230AE46}</c15:txfldGUID>
                      <c15:f>Tabla!$G$310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CD0-4754-9D38-FF2517D5A9AC}"/>
                </c:ext>
              </c:extLst>
            </c:dLbl>
            <c:dLbl>
              <c:idx val="5"/>
              <c:tx>
                <c:strRef>
                  <c:f>Tabla!$H$310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{F1F4743D-DDC0-41F7-B912-3C7B419095E0}</c15:txfldGUID>
                      <c15:f>Tabla!$H$310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CD0-4754-9D38-FF2517D5A9AC}"/>
                </c:ext>
              </c:extLst>
            </c:dLbl>
            <c:dLbl>
              <c:idx val="6"/>
              <c:tx>
                <c:strRef>
                  <c:f>Tabla!$I$310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{309D7198-460A-47AA-8EC0-FE9F2E705C7B}</c15:txfldGUID>
                      <c15:f>Tabla!$I$310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CD0-4754-9D38-FF2517D5A9AC}"/>
                </c:ext>
              </c:extLst>
            </c:dLbl>
            <c:dLbl>
              <c:idx val="7"/>
              <c:tx>
                <c:strRef>
                  <c:f>Tabla!$J$310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{13D4EBC3-DC85-4613-B3A7-193DF58F6B9D}</c15:txfldGUID>
                      <c15:f>Tabla!$J$310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CD0-4754-9D38-FF2517D5A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Tabla!$C$310:$J$310</c:f>
              <c:numCache>
                <c:formatCode>0</c:formatCode>
                <c:ptCount val="8"/>
                <c:pt idx="0">
                  <c:v>0</c:v>
                </c:pt>
                <c:pt idx="1">
                  <c:v>59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D0-4754-9D38-FF2517D5A9AC}"/>
            </c:ext>
          </c:extLst>
        </c:ser>
        <c:ser>
          <c:idx val="0"/>
          <c:order val="1"/>
          <c:tx>
            <c:strRef>
              <c:f>Tabla!$B$307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{2A9D2E89-FC51-4280-AAA0-5B55B42B7AAB}</c15:txfldGUID>
                      <c15:f>Tabla!$C$311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CD0-4754-9D38-FF2517D5A9AC}"/>
                </c:ext>
              </c:extLst>
            </c:dLbl>
            <c:dLbl>
              <c:idx val="1"/>
              <c:tx>
                <c:strRef>
                  <c:f>Tabla!$D$311</c:f>
                  <c:strCache>
                    <c:ptCount val="1"/>
                    <c:pt idx="0">
                      <c:v>50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{A6C3EA9B-40ED-4DE4-8E74-78D40AD2D8A3}</c15:txfldGUID>
                      <c15:f>Tabla!$D$311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D0-4754-9D38-FF2517D5A9AC}"/>
                </c:ext>
              </c:extLst>
            </c:dLbl>
            <c:dLbl>
              <c:idx val="2"/>
              <c:tx>
                <c:strRef>
                  <c:f>Tabla!$E$311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{4A1F8E70-111A-4B3C-AC2D-C7270D8F4873}</c15:txfldGUID>
                      <c15:f>Tabla!$E$311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CD0-4754-9D38-FF2517D5A9AC}"/>
                </c:ext>
              </c:extLst>
            </c:dLbl>
            <c:dLbl>
              <c:idx val="3"/>
              <c:tx>
                <c:strRef>
                  <c:f>Tabla!$F$311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{0C4FAB44-B6CE-4D03-8662-686E28789CA3}</c15:txfldGUID>
                      <c15:f>Tabla!$F$311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CD0-4754-9D38-FF2517D5A9AC}"/>
                </c:ext>
              </c:extLst>
            </c:dLbl>
            <c:dLbl>
              <c:idx val="4"/>
              <c:tx>
                <c:strRef>
                  <c:f>Tabla!$G$311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{EA318B1F-1075-4D63-99C8-2342CB8AD076}</c15:txfldGUID>
                      <c15:f>Tabla!$G$311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CD0-4754-9D38-FF2517D5A9AC}"/>
                </c:ext>
              </c:extLst>
            </c:dLbl>
            <c:dLbl>
              <c:idx val="5"/>
              <c:tx>
                <c:strRef>
                  <c:f>Tabla!$H$311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{262A8B0C-359E-4F65-8D7B-CD96B49819B3}</c15:txfldGUID>
                      <c15:f>Tabla!$H$311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CD0-4754-9D38-FF2517D5A9AC}"/>
                </c:ext>
              </c:extLst>
            </c:dLbl>
            <c:dLbl>
              <c:idx val="6"/>
              <c:tx>
                <c:strRef>
                  <c:f>Tabla!$I$311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{CF0E0BCC-169F-45DD-B018-358AC36D0EBD}</c15:txfldGUID>
                      <c15:f>Tabla!$I$311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CD0-4754-9D38-FF2517D5A9AC}"/>
                </c:ext>
              </c:extLst>
            </c:dLbl>
            <c:dLbl>
              <c:idx val="7"/>
              <c:tx>
                <c:strRef>
                  <c:f>Tabla!$J$311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{F41127F2-6623-4B68-806B-779C1B790CC2}</c15:txfldGUID>
                      <c15:f>Tabla!$J$311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CD0-4754-9D38-FF2517D5A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Tabla!$C$307:$J$307</c:f>
              <c:numCache>
                <c:formatCode>General</c:formatCode>
                <c:ptCount val="8"/>
                <c:pt idx="0">
                  <c:v>0</c:v>
                </c:pt>
                <c:pt idx="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CD0-4754-9D38-FF2517D5A9A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2144808"/>
        <c:axId val="202145200"/>
      </c:barChart>
      <c:lineChart>
        <c:grouping val="standard"/>
        <c:varyColors val="0"/>
        <c:ser>
          <c:idx val="1"/>
          <c:order val="2"/>
          <c:tx>
            <c:strRef>
              <c:f>Tabla!$B$306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1"/>
              <c:layout>
                <c:manualLayout>
                  <c:x val="-6.3739943633102758E-2"/>
                  <c:y val="-2.60248367043005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D0-4754-9D38-FF2517D5A9AC}"/>
                </c:ext>
              </c:extLst>
            </c:dLbl>
            <c:dLbl>
              <c:idx val="3"/>
              <c:layout>
                <c:manualLayout>
                  <c:x val="-4.4391493722777411E-2"/>
                  <c:y val="-8.75858532003926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D0-4754-9D38-FF2517D5A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Tabla!$C$306:$J$306</c:f>
              <c:numCache>
                <c:formatCode>General</c:formatCode>
                <c:ptCount val="8"/>
                <c:pt idx="1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CD0-4754-9D38-FF2517D5A9AC}"/>
            </c:ext>
          </c:extLst>
        </c:ser>
        <c:ser>
          <c:idx val="2"/>
          <c:order val="3"/>
          <c:tx>
            <c:strRef>
              <c:f>Tabla!$B$308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CD0-4754-9D38-FF2517D5A9AC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Tabla!$C$308:$J$308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CD0-4754-9D38-FF2517D5A9A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144808"/>
        <c:axId val="202145200"/>
      </c:lineChart>
      <c:catAx>
        <c:axId val="202144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145200"/>
        <c:crosses val="autoZero"/>
        <c:auto val="1"/>
        <c:lblAlgn val="ctr"/>
        <c:lblOffset val="100"/>
        <c:noMultiLvlLbl val="0"/>
      </c:catAx>
      <c:valAx>
        <c:axId val="20214520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021448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{89ECC868-E495-4166-B3EC-D7DEFE434882}</c15:txfldGUID>
                      <c15:f>Tabla!$C$340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505-4F7C-B00D-4B7632967247}"/>
                </c:ext>
              </c:extLst>
            </c:dLbl>
            <c:dLbl>
              <c:idx val="1"/>
              <c:tx>
                <c:strRef>
                  <c:f>Tabla!$D$340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{CE55214A-B55B-415B-A3EC-E3C96413546F}</c15:txfldGUID>
                      <c15:f>Tabla!$D$340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505-4F7C-B00D-4B7632967247}"/>
                </c:ext>
              </c:extLst>
            </c:dLbl>
            <c:dLbl>
              <c:idx val="2"/>
              <c:tx>
                <c:strRef>
                  <c:f>Tabla!$E$340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{96610D40-02E3-42F4-9FD6-3157698C8DE0}</c15:txfldGUID>
                      <c15:f>Tabla!$E$340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F505-4F7C-B00D-4B7632967247}"/>
                </c:ext>
              </c:extLst>
            </c:dLbl>
            <c:dLbl>
              <c:idx val="3"/>
              <c:tx>
                <c:strRef>
                  <c:f>Tabla!$F$340</c:f>
                  <c:strCache>
                    <c:ptCount val="1"/>
                    <c:pt idx="0">
                      <c:v>54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{434D9F65-42F7-4500-833B-D9C41F8F4199}</c15:txfldGUID>
                      <c15:f>Tabla!$F$340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505-4F7C-B00D-4B7632967247}"/>
                </c:ext>
              </c:extLst>
            </c:dLbl>
            <c:dLbl>
              <c:idx val="4"/>
              <c:tx>
                <c:strRef>
                  <c:f>Tabla!$G$340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{424E34F0-E23B-45E5-9241-8223221AACDF}</c15:txfldGUID>
                      <c15:f>Tabla!$G$340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F505-4F7C-B00D-4B7632967247}"/>
                </c:ext>
              </c:extLst>
            </c:dLbl>
            <c:dLbl>
              <c:idx val="5"/>
              <c:tx>
                <c:strRef>
                  <c:f>Tabla!$H$340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{8C97587E-6826-443B-858B-CB0D438DCB2A}</c15:txfldGUID>
                      <c15:f>Tabla!$H$340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505-4F7C-B00D-4B7632967247}"/>
                </c:ext>
              </c:extLst>
            </c:dLbl>
            <c:dLbl>
              <c:idx val="6"/>
              <c:tx>
                <c:strRef>
                  <c:f>Tabla!$I$340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{D8C7A929-B11F-4465-8BD8-86AC65C1FE97}</c15:txfldGUID>
                      <c15:f>Tabla!$I$340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F505-4F7C-B00D-4B7632967247}"/>
                </c:ext>
              </c:extLst>
            </c:dLbl>
            <c:dLbl>
              <c:idx val="7"/>
              <c:tx>
                <c:strRef>
                  <c:f>Tabla!$J$340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{C4096F24-69EE-48BC-A4D8-2D41F9B82CC0}</c15:txfldGUID>
                      <c15:f>Tabla!$J$340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505-4F7C-B00D-4B76329672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Tabla!$C$340:$J$340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05-4F7C-B00D-4B7632967247}"/>
            </c:ext>
          </c:extLst>
        </c:ser>
        <c:ser>
          <c:idx val="0"/>
          <c:order val="1"/>
          <c:tx>
            <c:strRef>
              <c:f>Tabla!$B$337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{1DFB916C-23CA-477B-BBA4-999F1E790A77}</c15:txfldGUID>
                      <c15:f>Tabla!$C$341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505-4F7C-B00D-4B7632967247}"/>
                </c:ext>
              </c:extLst>
            </c:dLbl>
            <c:dLbl>
              <c:idx val="1"/>
              <c:tx>
                <c:strRef>
                  <c:f>Tabla!$D$341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{96CE481F-8AB1-4E14-88DA-0FF13F67E566}</c15:txfldGUID>
                      <c15:f>Tabla!$D$341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505-4F7C-B00D-4B7632967247}"/>
                </c:ext>
              </c:extLst>
            </c:dLbl>
            <c:dLbl>
              <c:idx val="2"/>
              <c:tx>
                <c:strRef>
                  <c:f>Tabla!$E$341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{ED2FD8E4-C249-4294-BDD5-4919B9E4AAB4}</c15:txfldGUID>
                      <c15:f>Tabla!$E$341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505-4F7C-B00D-4B7632967247}"/>
                </c:ext>
              </c:extLst>
            </c:dLbl>
            <c:dLbl>
              <c:idx val="3"/>
              <c:tx>
                <c:strRef>
                  <c:f>Tabla!$F$341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{D9D9CD80-E33C-4216-9F7F-B4CAF32CBFBB}</c15:txfldGUID>
                      <c15:f>Tabla!$F$341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F505-4F7C-B00D-4B7632967247}"/>
                </c:ext>
              </c:extLst>
            </c:dLbl>
            <c:dLbl>
              <c:idx val="4"/>
              <c:tx>
                <c:strRef>
                  <c:f>Tabla!$G$341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{89BA3EE4-B2D0-472E-80C0-60719E32FCDC}</c15:txfldGUID>
                      <c15:f>Tabla!$G$341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505-4F7C-B00D-4B7632967247}"/>
                </c:ext>
              </c:extLst>
            </c:dLbl>
            <c:dLbl>
              <c:idx val="5"/>
              <c:tx>
                <c:strRef>
                  <c:f>Tabla!$H$341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{09752357-E968-40AF-BD88-0E08688EDFD0}</c15:txfldGUID>
                      <c15:f>Tabla!$H$341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F505-4F7C-B00D-4B7632967247}"/>
                </c:ext>
              </c:extLst>
            </c:dLbl>
            <c:dLbl>
              <c:idx val="6"/>
              <c:tx>
                <c:strRef>
                  <c:f>Tabla!$I$341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{CCC651DC-5F1A-44AC-AF2F-83E053657338}</c15:txfldGUID>
                      <c15:f>Tabla!$I$341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505-4F7C-B00D-4B7632967247}"/>
                </c:ext>
              </c:extLst>
            </c:dLbl>
            <c:dLbl>
              <c:idx val="7"/>
              <c:tx>
                <c:strRef>
                  <c:f>Tabla!$J$341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{F45183FD-4F8B-4208-83B0-6874033B6D5D}</c15:txfldGUID>
                      <c15:f>Tabla!$J$341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F505-4F7C-B00D-4B76329672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Tabla!$C$337:$J$337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505-4F7C-B00D-4B76329672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0970240"/>
        <c:axId val="210970632"/>
      </c:barChart>
      <c:lineChart>
        <c:grouping val="standard"/>
        <c:varyColors val="0"/>
        <c:ser>
          <c:idx val="1"/>
          <c:order val="2"/>
          <c:tx>
            <c:strRef>
              <c:f>Tabla!$B$336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6"/>
              <c:layout>
                <c:manualLayout>
                  <c:x val="-1.3550102346928723E-2"/>
                  <c:y val="-0.1349559202387162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505-4F7C-B00D-4B76329672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Tabla!$C$336:$J$336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505-4F7C-B00D-4B7632967247}"/>
            </c:ext>
          </c:extLst>
        </c:ser>
        <c:ser>
          <c:idx val="2"/>
          <c:order val="3"/>
          <c:tx>
            <c:strRef>
              <c:f>Tabla!$B$338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505-4F7C-B00D-4B7632967247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Tabla!$C$338:$J$338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505-4F7C-B00D-4B76329672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970240"/>
        <c:axId val="210970632"/>
      </c:lineChart>
      <c:catAx>
        <c:axId val="210970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970632"/>
        <c:crosses val="autoZero"/>
        <c:auto val="1"/>
        <c:lblAlgn val="ctr"/>
        <c:lblOffset val="100"/>
        <c:noMultiLvlLbl val="0"/>
      </c:catAx>
      <c:valAx>
        <c:axId val="21097063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109702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{61A292EA-FEBE-455D-9EA8-C9968AF8959E}</c15:txfldGUID>
                      <c15:f>Tabla!$C$370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535-41F1-9563-0EB17F86A309}"/>
                </c:ext>
              </c:extLst>
            </c:dLbl>
            <c:dLbl>
              <c:idx val="1"/>
              <c:tx>
                <c:strRef>
                  <c:f>Tabla!$D$370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{8FA2241F-9096-42FA-A877-EBA62D3D0B4D}</c15:txfldGUID>
                      <c15:f>Tabla!$D$370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535-41F1-9563-0EB17F86A309}"/>
                </c:ext>
              </c:extLst>
            </c:dLbl>
            <c:dLbl>
              <c:idx val="2"/>
              <c:tx>
                <c:strRef>
                  <c:f>Tabla!$E$370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{29C44D3D-870C-496C-B015-E93B0BE9428C}</c15:txfldGUID>
                      <c15:f>Tabla!$E$370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535-41F1-9563-0EB17F86A309}"/>
                </c:ext>
              </c:extLst>
            </c:dLbl>
            <c:dLbl>
              <c:idx val="3"/>
              <c:tx>
                <c:strRef>
                  <c:f>Tabla!$F$370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{9B58E9A6-A1C8-435E-95A8-A1C880E4CDAC}</c15:txfldGUID>
                      <c15:f>Tabla!$F$370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535-41F1-9563-0EB17F86A309}"/>
                </c:ext>
              </c:extLst>
            </c:dLbl>
            <c:dLbl>
              <c:idx val="4"/>
              <c:tx>
                <c:strRef>
                  <c:f>Tabla!$G$370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{29E5FC3A-CB4B-4CD2-A4F2-C889F922C2E2}</c15:txfldGUID>
                      <c15:f>Tabla!$G$370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535-41F1-9563-0EB17F86A309}"/>
                </c:ext>
              </c:extLst>
            </c:dLbl>
            <c:dLbl>
              <c:idx val="5"/>
              <c:tx>
                <c:strRef>
                  <c:f>Tabla!$H$370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{10EF8797-9E67-477C-B1DA-24AA7AF2CC7B}</c15:txfldGUID>
                      <c15:f>Tabla!$H$370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535-41F1-9563-0EB17F86A309}"/>
                </c:ext>
              </c:extLst>
            </c:dLbl>
            <c:dLbl>
              <c:idx val="6"/>
              <c:tx>
                <c:strRef>
                  <c:f>Tabla!$I$370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{2DE25B62-97AD-4994-ADD7-B7230DEED801}</c15:txfldGUID>
                      <c15:f>Tabla!$I$370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535-41F1-9563-0EB17F86A309}"/>
                </c:ext>
              </c:extLst>
            </c:dLbl>
            <c:dLbl>
              <c:idx val="7"/>
              <c:tx>
                <c:strRef>
                  <c:f>Tabla!$J$370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{65C0369A-992D-415D-AD8F-36F128458B34}</c15:txfldGUID>
                      <c15:f>Tabla!$J$370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535-41F1-9563-0EB17F86A3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Tabla!$C$370:$J$370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35-41F1-9563-0EB17F86A309}"/>
            </c:ext>
          </c:extLst>
        </c:ser>
        <c:ser>
          <c:idx val="0"/>
          <c:order val="1"/>
          <c:tx>
            <c:strRef>
              <c:f>Tabla!$B$367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{AD5B6F03-B6FD-4D42-82CE-C7A4C695227B}</c15:txfldGUID>
                      <c15:f>Tabla!$C$371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535-41F1-9563-0EB17F86A309}"/>
                </c:ext>
              </c:extLst>
            </c:dLbl>
            <c:dLbl>
              <c:idx val="1"/>
              <c:tx>
                <c:strRef>
                  <c:f>Tabla!$D$371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{A699F2CA-CE85-404E-9E0E-7A5CB66DB01F}</c15:txfldGUID>
                      <c15:f>Tabla!$D$371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535-41F1-9563-0EB17F86A309}"/>
                </c:ext>
              </c:extLst>
            </c:dLbl>
            <c:dLbl>
              <c:idx val="2"/>
              <c:tx>
                <c:strRef>
                  <c:f>Tabla!$E$371</c:f>
                  <c:strCache>
                    <c:ptCount val="1"/>
                    <c:pt idx="0">
                      <c:v>54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{DBFA525D-DDA9-4DC4-ABB6-B4948FA351F8}</c15:txfldGUID>
                      <c15:f>Tabla!$E$371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535-41F1-9563-0EB17F86A309}"/>
                </c:ext>
              </c:extLst>
            </c:dLbl>
            <c:dLbl>
              <c:idx val="3"/>
              <c:tx>
                <c:strRef>
                  <c:f>Tabla!$F$371</c:f>
                  <c:strCache>
                    <c:ptCount val="1"/>
                    <c:pt idx="0">
                      <c:v>44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{A3681FDE-06BE-4327-8A2E-1200BA0CF8C3}</c15:txfldGUID>
                      <c15:f>Tabla!$F$371</c15:f>
                      <c15:dlblFieldTableCache>
                        <c:ptCount val="1"/>
                        <c:pt idx="0">
                          <c:v>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535-41F1-9563-0EB17F86A309}"/>
                </c:ext>
              </c:extLst>
            </c:dLbl>
            <c:dLbl>
              <c:idx val="4"/>
              <c:tx>
                <c:strRef>
                  <c:f>Tabla!$G$371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{8CD6D015-47D4-444C-8621-496CD33874B0}</c15:txfldGUID>
                      <c15:f>Tabla!$G$371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535-41F1-9563-0EB17F86A309}"/>
                </c:ext>
              </c:extLst>
            </c:dLbl>
            <c:dLbl>
              <c:idx val="5"/>
              <c:tx>
                <c:strRef>
                  <c:f>Tabla!$H$371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{9458F961-4845-4ABF-8DA8-B43C07102C90}</c15:txfldGUID>
                      <c15:f>Tabla!$H$371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535-41F1-9563-0EB17F86A309}"/>
                </c:ext>
              </c:extLst>
            </c:dLbl>
            <c:dLbl>
              <c:idx val="6"/>
              <c:tx>
                <c:strRef>
                  <c:f>Tabla!$I$371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{A2470A44-1987-44E4-8787-211BF65BD662}</c15:txfldGUID>
                      <c15:f>Tabla!$I$371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535-41F1-9563-0EB17F86A309}"/>
                </c:ext>
              </c:extLst>
            </c:dLbl>
            <c:dLbl>
              <c:idx val="7"/>
              <c:tx>
                <c:strRef>
                  <c:f>Tabla!$J$371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{AEBEB437-F156-4A65-980F-4162FA08DFED}</c15:txfldGUID>
                      <c15:f>Tabla!$J$371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535-41F1-9563-0EB17F86A3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Tabla!$C$367:$J$367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54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535-41F1-9563-0EB17F86A30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0971416"/>
        <c:axId val="210971808"/>
      </c:barChart>
      <c:lineChart>
        <c:grouping val="standard"/>
        <c:varyColors val="0"/>
        <c:ser>
          <c:idx val="1"/>
          <c:order val="2"/>
          <c:tx>
            <c:strRef>
              <c:f>Tabla!$B$366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4"/>
              <c:layout>
                <c:manualLayout>
                  <c:x val="-2.8390481061180084E-2"/>
                  <c:y val="-0.155954837510879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535-41F1-9563-0EB17F86A3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Tabla!$C$366:$J$366</c:f>
              <c:numCache>
                <c:formatCode>General</c:formatCode>
                <c:ptCount val="8"/>
                <c:pt idx="2">
                  <c:v>63</c:v>
                </c:pt>
                <c:pt idx="3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535-41F1-9563-0EB17F86A309}"/>
            </c:ext>
          </c:extLst>
        </c:ser>
        <c:ser>
          <c:idx val="2"/>
          <c:order val="3"/>
          <c:tx>
            <c:strRef>
              <c:f>Tabla!$B$368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535-41F1-9563-0EB17F86A309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Tabla!$C$368:$J$368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535-41F1-9563-0EB17F86A30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971416"/>
        <c:axId val="210971808"/>
      </c:lineChart>
      <c:catAx>
        <c:axId val="210971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971808"/>
        <c:crosses val="autoZero"/>
        <c:auto val="1"/>
        <c:lblAlgn val="ctr"/>
        <c:lblOffset val="100"/>
        <c:noMultiLvlLbl val="0"/>
      </c:catAx>
      <c:valAx>
        <c:axId val="21097180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109714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{A44E60D0-F11D-41B9-A03D-DF1015C178D4}</c15:txfldGUID>
                      <c15:f>Tabla!$C$400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034-4F2C-901A-6200B761E490}"/>
                </c:ext>
              </c:extLst>
            </c:dLbl>
            <c:dLbl>
              <c:idx val="1"/>
              <c:tx>
                <c:strRef>
                  <c:f>Tabla!$D$400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{8C36AABC-FF36-48AA-A2DD-B3602E6C3B10}</c15:txfldGUID>
                      <c15:f>Tabla!$D$400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034-4F2C-901A-6200B761E490}"/>
                </c:ext>
              </c:extLst>
            </c:dLbl>
            <c:dLbl>
              <c:idx val="2"/>
              <c:tx>
                <c:strRef>
                  <c:f>Tabla!$E$400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{E0B11910-8332-4803-8997-2F4248872562}</c15:txfldGUID>
                      <c15:f>Tabla!$E$400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034-4F2C-901A-6200B761E490}"/>
                </c:ext>
              </c:extLst>
            </c:dLbl>
            <c:dLbl>
              <c:idx val="3"/>
              <c:tx>
                <c:strRef>
                  <c:f>Tabla!$F$400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{6FCD411A-E1CC-4AFE-943F-CAB2922C3033}</c15:txfldGUID>
                      <c15:f>Tabla!$F$400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034-4F2C-901A-6200B761E490}"/>
                </c:ext>
              </c:extLst>
            </c:dLbl>
            <c:dLbl>
              <c:idx val="4"/>
              <c:tx>
                <c:strRef>
                  <c:f>Tabla!$G$400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{782A9A1C-089C-418B-9EFF-FF964618ED89}</c15:txfldGUID>
                      <c15:f>Tabla!$G$400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034-4F2C-901A-6200B761E490}"/>
                </c:ext>
              </c:extLst>
            </c:dLbl>
            <c:dLbl>
              <c:idx val="5"/>
              <c:tx>
                <c:strRef>
                  <c:f>Tabla!$H$400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{B1D493D4-4C59-4864-BA26-E06643470E67}</c15:txfldGUID>
                      <c15:f>Tabla!$H$400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034-4F2C-901A-6200B761E490}"/>
                </c:ext>
              </c:extLst>
            </c:dLbl>
            <c:dLbl>
              <c:idx val="6"/>
              <c:tx>
                <c:strRef>
                  <c:f>Tabla!$I$400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{F9CAFC75-2A22-4C49-ADAE-5414906F9DF1}</c15:txfldGUID>
                      <c15:f>Tabla!$I$400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034-4F2C-901A-6200B761E490}"/>
                </c:ext>
              </c:extLst>
            </c:dLbl>
            <c:dLbl>
              <c:idx val="7"/>
              <c:tx>
                <c:strRef>
                  <c:f>Tabla!$J$400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{78CF3A08-5767-47A1-8C7B-AD060CF454F1}</c15:txfldGUID>
                      <c15:f>Tabla!$J$400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034-4F2C-901A-6200B761E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Tabla!$C$400:$J$400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34-4F2C-901A-6200B761E490}"/>
            </c:ext>
          </c:extLst>
        </c:ser>
        <c:ser>
          <c:idx val="0"/>
          <c:order val="1"/>
          <c:tx>
            <c:strRef>
              <c:f>Tabla!$B$397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{A1B255D5-DA4B-4FB0-8D48-68EBE2E041CA}</c15:txfldGUID>
                      <c15:f>Tabla!$C$401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034-4F2C-901A-6200B761E490}"/>
                </c:ext>
              </c:extLst>
            </c:dLbl>
            <c:dLbl>
              <c:idx val="1"/>
              <c:tx>
                <c:strRef>
                  <c:f>Tabla!$D$401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{FA012227-C196-4454-ADDB-CA0EBA5C584B}</c15:txfldGUID>
                      <c15:f>Tabla!$D$401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034-4F2C-901A-6200B761E490}"/>
                </c:ext>
              </c:extLst>
            </c:dLbl>
            <c:dLbl>
              <c:idx val="2"/>
              <c:tx>
                <c:strRef>
                  <c:f>Tabla!$E$401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{24FB6FD3-607A-417E-937E-F4E6B8A85958}</c15:txfldGUID>
                      <c15:f>Tabla!$E$401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034-4F2C-901A-6200B761E490}"/>
                </c:ext>
              </c:extLst>
            </c:dLbl>
            <c:dLbl>
              <c:idx val="3"/>
              <c:tx>
                <c:strRef>
                  <c:f>Tabla!$F$401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{7C87C9EF-6645-4A43-A9DB-F7075D1BD376}</c15:txfldGUID>
                      <c15:f>Tabla!$F$401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034-4F2C-901A-6200B761E490}"/>
                </c:ext>
              </c:extLst>
            </c:dLbl>
            <c:dLbl>
              <c:idx val="4"/>
              <c:tx>
                <c:strRef>
                  <c:f>Tabla!$G$401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{3E3D6A3B-F895-440D-A2D2-CB874DE9F968}</c15:txfldGUID>
                      <c15:f>Tabla!$G$401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034-4F2C-901A-6200B761E490}"/>
                </c:ext>
              </c:extLst>
            </c:dLbl>
            <c:dLbl>
              <c:idx val="5"/>
              <c:tx>
                <c:strRef>
                  <c:f>Tabla!$H$401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{C27DC356-342E-45A1-883D-9762AAD10BEA}</c15:txfldGUID>
                      <c15:f>Tabla!$H$401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034-4F2C-901A-6200B761E490}"/>
                </c:ext>
              </c:extLst>
            </c:dLbl>
            <c:dLbl>
              <c:idx val="6"/>
              <c:tx>
                <c:strRef>
                  <c:f>Tabla!$I$401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{1DD034FD-4870-482C-B9FC-576326BD4855}</c15:txfldGUID>
                      <c15:f>Tabla!$I$401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034-4F2C-901A-6200B761E490}"/>
                </c:ext>
              </c:extLst>
            </c:dLbl>
            <c:dLbl>
              <c:idx val="7"/>
              <c:tx>
                <c:strRef>
                  <c:f>Tabla!$J$401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{258D57A5-C878-4064-9B10-55EB2935F164}</c15:txfldGUID>
                      <c15:f>Tabla!$J$401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034-4F2C-901A-6200B761E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Tabla!$C$397:$J$397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034-4F2C-901A-6200B761E49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0972592"/>
        <c:axId val="210972984"/>
      </c:barChart>
      <c:lineChart>
        <c:grouping val="standard"/>
        <c:varyColors val="0"/>
        <c:ser>
          <c:idx val="1"/>
          <c:order val="2"/>
          <c:tx>
            <c:strRef>
              <c:f>Tabla!$B$396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Tabla!$C$40:$K$40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Tabla!$C$396:$J$396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034-4F2C-901A-6200B761E490}"/>
            </c:ext>
          </c:extLst>
        </c:ser>
        <c:ser>
          <c:idx val="2"/>
          <c:order val="3"/>
          <c:tx>
            <c:strRef>
              <c:f>Tabla!$B$398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034-4F2C-901A-6200B761E490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Tabla!$C$40:$K$40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Tabla!$C$398:$K$398</c:f>
              <c:numCache>
                <c:formatCode>#,##0</c:formatCode>
                <c:ptCount val="9"/>
                <c:pt idx="0">
                  <c:v>69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034-4F2C-901A-6200B761E49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972592"/>
        <c:axId val="210972984"/>
      </c:lineChart>
      <c:catAx>
        <c:axId val="21097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972984"/>
        <c:crosses val="autoZero"/>
        <c:auto val="1"/>
        <c:lblAlgn val="ctr"/>
        <c:lblOffset val="100"/>
        <c:noMultiLvlLbl val="0"/>
      </c:catAx>
      <c:valAx>
        <c:axId val="21097298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109725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Tabla!$B$427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{E1B02B2A-0634-4112-941C-914B73B13AD7}</c15:txfldGUID>
                      <c15:f>Tabla!$C$430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30D-4C60-9714-77B282EAF21E}"/>
                </c:ext>
              </c:extLst>
            </c:dLbl>
            <c:dLbl>
              <c:idx val="1"/>
              <c:tx>
                <c:strRef>
                  <c:f>Tabla!$D$430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{660EDF1F-4F85-480B-9E63-2FAD87D38DDA}</c15:txfldGUID>
                      <c15:f>Tabla!$D$430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30D-4C60-9714-77B282EAF21E}"/>
                </c:ext>
              </c:extLst>
            </c:dLbl>
            <c:dLbl>
              <c:idx val="2"/>
              <c:tx>
                <c:strRef>
                  <c:f>Tabla!$E$430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{5211DC65-8065-4D5D-9ED9-B99168DD3393}</c15:txfldGUID>
                      <c15:f>Tabla!$E$430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30D-4C60-9714-77B282EAF21E}"/>
                </c:ext>
              </c:extLst>
            </c:dLbl>
            <c:dLbl>
              <c:idx val="3"/>
              <c:tx>
                <c:strRef>
                  <c:f>Tabla!$F$430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{0A4BD2E5-6E2A-4B7D-904E-0A3FD2B33C5B}</c15:txfldGUID>
                      <c15:f>Tabla!$F$430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30D-4C60-9714-77B282EAF21E}"/>
                </c:ext>
              </c:extLst>
            </c:dLbl>
            <c:dLbl>
              <c:idx val="4"/>
              <c:tx>
                <c:strRef>
                  <c:f>Tabla!$G$430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{F5E5360B-9B47-4E0C-A8F5-85251DFDEFD2}</c15:txfldGUID>
                      <c15:f>Tabla!$G$430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30D-4C60-9714-77B282EAF21E}"/>
                </c:ext>
              </c:extLst>
            </c:dLbl>
            <c:dLbl>
              <c:idx val="5"/>
              <c:tx>
                <c:strRef>
                  <c:f>Tabla!$H$430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{452BB286-56A1-405C-96FD-C3BA2EC308E2}</c15:txfldGUID>
                      <c15:f>Tabla!$H$430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30D-4C60-9714-77B282EAF21E}"/>
                </c:ext>
              </c:extLst>
            </c:dLbl>
            <c:dLbl>
              <c:idx val="6"/>
              <c:tx>
                <c:strRef>
                  <c:f>Tabla!$I$430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{5BE775E6-EF6D-4F6B-9DF8-BF42A0A09501}</c15:txfldGUID>
                      <c15:f>Tabla!$I$430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30D-4C60-9714-77B282EAF21E}"/>
                </c:ext>
              </c:extLst>
            </c:dLbl>
            <c:dLbl>
              <c:idx val="7"/>
              <c:tx>
                <c:strRef>
                  <c:f>Tabla!$J$430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{69C61F5E-C221-4F36-8BEC-6E63FC7172A2}</c15:txfldGUID>
                      <c15:f>Tabla!$J$430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30D-4C60-9714-77B282EAF2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Tabla!$C$430:$J$430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30D-4C60-9714-77B282EAF21E}"/>
            </c:ext>
          </c:extLst>
        </c:ser>
        <c:ser>
          <c:idx val="0"/>
          <c:order val="1"/>
          <c:tx>
            <c:strRef>
              <c:f>Tabla!$B$427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{F0F4AF94-42EC-4F61-9381-AC48D0CA4F22}</c15:txfldGUID>
                      <c15:f>Tabla!$C$431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30D-4C60-9714-77B282EAF21E}"/>
                </c:ext>
              </c:extLst>
            </c:dLbl>
            <c:dLbl>
              <c:idx val="1"/>
              <c:tx>
                <c:strRef>
                  <c:f>Tabla!$D$431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{FA031329-056A-446C-8293-89D6A86EA075}</c15:txfldGUID>
                      <c15:f>Tabla!$D$431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30D-4C60-9714-77B282EAF21E}"/>
                </c:ext>
              </c:extLst>
            </c:dLbl>
            <c:dLbl>
              <c:idx val="2"/>
              <c:tx>
                <c:strRef>
                  <c:f>Tabla!$E$431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{614E51A7-6811-4E24-9F5E-6B31579F6A61}</c15:txfldGUID>
                      <c15:f>Tabla!$E$431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30D-4C60-9714-77B282EAF21E}"/>
                </c:ext>
              </c:extLst>
            </c:dLbl>
            <c:dLbl>
              <c:idx val="3"/>
              <c:tx>
                <c:strRef>
                  <c:f>Tabla!$F$431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{8798588F-4E2C-41A9-89A7-DE9B243C693C}</c15:txfldGUID>
                      <c15:f>Tabla!$F$431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30D-4C60-9714-77B282EAF21E}"/>
                </c:ext>
              </c:extLst>
            </c:dLbl>
            <c:dLbl>
              <c:idx val="4"/>
              <c:tx>
                <c:strRef>
                  <c:f>Tabla!$G$431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{F86DD4BC-4677-4061-81BF-5F0FA20402C5}</c15:txfldGUID>
                      <c15:f>Tabla!$G$431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30D-4C60-9714-77B282EAF21E}"/>
                </c:ext>
              </c:extLst>
            </c:dLbl>
            <c:dLbl>
              <c:idx val="5"/>
              <c:tx>
                <c:strRef>
                  <c:f>Tabla!$H$431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{77D14227-B57F-4680-8B5D-DCB23784D47E}</c15:txfldGUID>
                      <c15:f>Tabla!$H$431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30D-4C60-9714-77B282EAF21E}"/>
                </c:ext>
              </c:extLst>
            </c:dLbl>
            <c:dLbl>
              <c:idx val="6"/>
              <c:tx>
                <c:strRef>
                  <c:f>Tabla!$I$431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{7DE9B844-2C08-4FA2-80FE-A1FFB9E67E50}</c15:txfldGUID>
                      <c15:f>Tabla!$I$431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30D-4C60-9714-77B282EAF21E}"/>
                </c:ext>
              </c:extLst>
            </c:dLbl>
            <c:dLbl>
              <c:idx val="7"/>
              <c:tx>
                <c:strRef>
                  <c:f>Tabla!$J$431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{EA2389E4-004A-45AA-8934-73A129D71533}</c15:txfldGUID>
                      <c15:f>Tabla!$J$431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30D-4C60-9714-77B282EAF2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Tabla!$C$427:$J$427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30D-4C60-9714-77B282EAF2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06284320"/>
        <c:axId val="406284712"/>
      </c:barChart>
      <c:lineChart>
        <c:grouping val="standard"/>
        <c:varyColors val="0"/>
        <c:ser>
          <c:idx val="1"/>
          <c:order val="2"/>
          <c:tx>
            <c:strRef>
              <c:f>Tabla!$B$426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Tabla!$C$426:$J$426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30D-4C60-9714-77B282EAF21E}"/>
            </c:ext>
          </c:extLst>
        </c:ser>
        <c:ser>
          <c:idx val="2"/>
          <c:order val="3"/>
          <c:tx>
            <c:strRef>
              <c:f>Tabla!$B$428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30D-4C60-9714-77B282EAF21E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Tabla!$C$428:$J$428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30D-4C60-9714-77B282EAF2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6284320"/>
        <c:axId val="406284712"/>
      </c:lineChart>
      <c:catAx>
        <c:axId val="406284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6284712"/>
        <c:crosses val="autoZero"/>
        <c:auto val="1"/>
        <c:lblAlgn val="ctr"/>
        <c:lblOffset val="100"/>
        <c:noMultiLvlLbl val="0"/>
      </c:catAx>
      <c:valAx>
        <c:axId val="40628471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4062843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Tabla!$B$457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Tabla!$C$460</c:f>
                  <c:strCache>
                    <c:ptCount val="1"/>
                    <c:pt idx="0">
                      <c:v>63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{EAC171F7-81E0-432D-AE49-3787BA61E5A6}</c15:txfldGUID>
                      <c15:f>Tabla!$C$460</c15:f>
                      <c15:dlblFieldTableCache>
                        <c:ptCount val="1"/>
                        <c:pt idx="0">
                          <c:v>63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9DA-4A57-9D17-E9CA62B5DC99}"/>
                </c:ext>
              </c:extLst>
            </c:dLbl>
            <c:dLbl>
              <c:idx val="1"/>
              <c:tx>
                <c:strRef>
                  <c:f>Tabla!$D$460</c:f>
                  <c:strCache>
                    <c:ptCount val="1"/>
                    <c:pt idx="0">
                      <c:v>63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{29899B8B-CCF1-492A-A196-4F8F5B9380CD}</c15:txfldGUID>
                      <c15:f>Tabla!$D$460</c15:f>
                      <c15:dlblFieldTableCache>
                        <c:ptCount val="1"/>
                        <c:pt idx="0">
                          <c:v>63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9DA-4A57-9D17-E9CA62B5DC99}"/>
                </c:ext>
              </c:extLst>
            </c:dLbl>
            <c:dLbl>
              <c:idx val="2"/>
              <c:tx>
                <c:strRef>
                  <c:f>Tabla!$E$460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{34CF9C99-1921-4396-BC56-F26CB185FC99}</c15:txfldGUID>
                      <c15:f>Tabla!$E$460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9DA-4A57-9D17-E9CA62B5DC99}"/>
                </c:ext>
              </c:extLst>
            </c:dLbl>
            <c:dLbl>
              <c:idx val="3"/>
              <c:tx>
                <c:strRef>
                  <c:f>Tabla!$F$460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{7FC7F14B-B8FE-4A21-AEF1-84747DAF1C1F}</c15:txfldGUID>
                      <c15:f>Tabla!$F$460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9DA-4A57-9D17-E9CA62B5DC99}"/>
                </c:ext>
              </c:extLst>
            </c:dLbl>
            <c:dLbl>
              <c:idx val="4"/>
              <c:tx>
                <c:strRef>
                  <c:f>Tabla!$G$460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{C084CA54-FA49-46B6-899C-543FEB3268FD}</c15:txfldGUID>
                      <c15:f>Tabla!$G$460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9DA-4A57-9D17-E9CA62B5DC99}"/>
                </c:ext>
              </c:extLst>
            </c:dLbl>
            <c:dLbl>
              <c:idx val="5"/>
              <c:tx>
                <c:strRef>
                  <c:f>Tabla!$H$460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{4428715D-A259-4163-BEF3-0ADDA137474D}</c15:txfldGUID>
                      <c15:f>Tabla!$H$460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9DA-4A57-9D17-E9CA62B5DC99}"/>
                </c:ext>
              </c:extLst>
            </c:dLbl>
            <c:dLbl>
              <c:idx val="6"/>
              <c:tx>
                <c:strRef>
                  <c:f>Tabla!$I$460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{9B24BAD6-A8E6-4DE9-9055-5CB6C9028307}</c15:txfldGUID>
                      <c15:f>Tabla!$I$460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9DA-4A57-9D17-E9CA62B5DC99}"/>
                </c:ext>
              </c:extLst>
            </c:dLbl>
            <c:dLbl>
              <c:idx val="7"/>
              <c:tx>
                <c:strRef>
                  <c:f>Tabla!$J$460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{3037190B-9EB7-44A3-AF83-5498627F65BD}</c15:txfldGUID>
                      <c15:f>Tabla!$J$460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9DA-4A57-9D17-E9CA62B5D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Tabla!$C$460:$J$460</c:f>
              <c:numCache>
                <c:formatCode>0</c:formatCode>
                <c:ptCount val="8"/>
                <c:pt idx="0">
                  <c:v>63</c:v>
                </c:pt>
                <c:pt idx="1">
                  <c:v>63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DA-4A57-9D17-E9CA62B5DC99}"/>
            </c:ext>
          </c:extLst>
        </c:ser>
        <c:ser>
          <c:idx val="0"/>
          <c:order val="1"/>
          <c:tx>
            <c:strRef>
              <c:f>Tabla!$B$457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Tabla!$C$461</c:f>
                  <c:strCache>
                    <c:ptCount val="1"/>
                    <c:pt idx="0">
                      <c:v>48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{1BA3E9BC-95AF-4867-B781-4B22CA098D45}</c15:txfldGUID>
                      <c15:f>Tabla!$C$461</c15:f>
                      <c15:dlblFieldTableCache>
                        <c:ptCount val="1"/>
                        <c:pt idx="0">
                          <c:v>48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9DA-4A57-9D17-E9CA62B5DC99}"/>
                </c:ext>
              </c:extLst>
            </c:dLbl>
            <c:dLbl>
              <c:idx val="1"/>
              <c:tx>
                <c:strRef>
                  <c:f>Tabla!$D$461</c:f>
                  <c:strCache>
                    <c:ptCount val="1"/>
                    <c:pt idx="0">
                      <c:v>61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{50A5F5B5-9D2C-46F8-B4FE-52FDAF978BA2}</c15:txfldGUID>
                      <c15:f>Tabla!$D$461</c15:f>
                      <c15:dlblFieldTableCache>
                        <c:ptCount val="1"/>
                        <c:pt idx="0">
                          <c:v>61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9DA-4A57-9D17-E9CA62B5DC99}"/>
                </c:ext>
              </c:extLst>
            </c:dLbl>
            <c:dLbl>
              <c:idx val="2"/>
              <c:tx>
                <c:strRef>
                  <c:f>Tabla!$E$461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{21254AF4-B10F-4E99-AA94-11F02B007A4A}</c15:txfldGUID>
                      <c15:f>Tabla!$E$461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9DA-4A57-9D17-E9CA62B5DC99}"/>
                </c:ext>
              </c:extLst>
            </c:dLbl>
            <c:dLbl>
              <c:idx val="3"/>
              <c:tx>
                <c:strRef>
                  <c:f>Tabla!$F$461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{0BFEAB3C-4E6E-4931-B8BC-3C2BF1ED4011}</c15:txfldGUID>
                      <c15:f>Tabla!$F$461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9DA-4A57-9D17-E9CA62B5DC99}"/>
                </c:ext>
              </c:extLst>
            </c:dLbl>
            <c:dLbl>
              <c:idx val="4"/>
              <c:tx>
                <c:strRef>
                  <c:f>Tabla!$G$461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{6440C55B-3DD2-48B9-A680-B35DC4A83A74}</c15:txfldGUID>
                      <c15:f>Tabla!$G$461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9DA-4A57-9D17-E9CA62B5DC99}"/>
                </c:ext>
              </c:extLst>
            </c:dLbl>
            <c:dLbl>
              <c:idx val="5"/>
              <c:tx>
                <c:strRef>
                  <c:f>Tabla!$H$461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{BE3D2078-A8CB-422E-A520-0BE8480ECD83}</c15:txfldGUID>
                      <c15:f>Tabla!$H$461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9DA-4A57-9D17-E9CA62B5DC99}"/>
                </c:ext>
              </c:extLst>
            </c:dLbl>
            <c:dLbl>
              <c:idx val="6"/>
              <c:tx>
                <c:strRef>
                  <c:f>Tabla!$I$461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{5EE30E26-164F-4415-BA2D-B88541B0E4EA}</c15:txfldGUID>
                      <c15:f>Tabla!$I$461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9DA-4A57-9D17-E9CA62B5DC99}"/>
                </c:ext>
              </c:extLst>
            </c:dLbl>
            <c:dLbl>
              <c:idx val="7"/>
              <c:tx>
                <c:strRef>
                  <c:f>Tabla!$J$461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{63132E33-54AE-4CA4-BF1D-B9ED5B62131D}</c15:txfldGUID>
                      <c15:f>Tabla!$J$461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9DA-4A57-9D17-E9CA62B5D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Tabla!$C$457:$J$457</c:f>
              <c:numCache>
                <c:formatCode>General</c:formatCode>
                <c:ptCount val="8"/>
                <c:pt idx="0">
                  <c:v>48</c:v>
                </c:pt>
                <c:pt idx="1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DA-4A57-9D17-E9CA62B5DC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06285496"/>
        <c:axId val="406285888"/>
      </c:barChart>
      <c:lineChart>
        <c:grouping val="standard"/>
        <c:varyColors val="0"/>
        <c:ser>
          <c:idx val="1"/>
          <c:order val="2"/>
          <c:tx>
            <c:strRef>
              <c:f>Tabla!$B$456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Tabla!$C$456:$J$456</c:f>
              <c:numCache>
                <c:formatCode>General</c:formatCode>
                <c:ptCount val="8"/>
                <c:pt idx="0">
                  <c:v>41</c:v>
                </c:pt>
                <c:pt idx="1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9DA-4A57-9D17-E9CA62B5DC99}"/>
            </c:ext>
          </c:extLst>
        </c:ser>
        <c:ser>
          <c:idx val="2"/>
          <c:order val="3"/>
          <c:tx>
            <c:strRef>
              <c:f>Tabla!$B$458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9DA-4A57-9D17-E9CA62B5DC99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Tabla!$C$458:$J$458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9DA-4A57-9D17-E9CA62B5DC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6285496"/>
        <c:axId val="406285888"/>
      </c:lineChart>
      <c:catAx>
        <c:axId val="406285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6285888"/>
        <c:crosses val="autoZero"/>
        <c:auto val="1"/>
        <c:lblAlgn val="ctr"/>
        <c:lblOffset val="100"/>
        <c:noMultiLvlLbl val="0"/>
      </c:catAx>
      <c:valAx>
        <c:axId val="40628588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4062854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Tabla!$B$487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{EC943F9B-A2A5-4D55-9E88-786DEEB2D66C}</c15:txfldGUID>
                      <c15:f>Tabla!$C$490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B65-4EF1-88CD-755E652C1592}"/>
                </c:ext>
              </c:extLst>
            </c:dLbl>
            <c:dLbl>
              <c:idx val="1"/>
              <c:tx>
                <c:strRef>
                  <c:f>Tabla!$D$490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{29848046-2955-4E41-91A9-0CE8A0B27BDB}</c15:txfldGUID>
                      <c15:f>Tabla!$D$490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B65-4EF1-88CD-755E652C1592}"/>
                </c:ext>
              </c:extLst>
            </c:dLbl>
            <c:dLbl>
              <c:idx val="2"/>
              <c:tx>
                <c:strRef>
                  <c:f>Tabla!$E$490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{D9CC6899-5491-4685-8A95-93F8AA164D33}</c15:txfldGUID>
                      <c15:f>Tabla!$E$490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B65-4EF1-88CD-755E652C1592}"/>
                </c:ext>
              </c:extLst>
            </c:dLbl>
            <c:dLbl>
              <c:idx val="3"/>
              <c:tx>
                <c:strRef>
                  <c:f>Tabla!$F$490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{5D930992-5177-4CF1-AD29-BE4D2814F802}</c15:txfldGUID>
                      <c15:f>Tabla!$F$490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B65-4EF1-88CD-755E652C1592}"/>
                </c:ext>
              </c:extLst>
            </c:dLbl>
            <c:dLbl>
              <c:idx val="4"/>
              <c:tx>
                <c:strRef>
                  <c:f>Tabla!$G$490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{963CFCE6-93A5-4B49-A0F7-185385B7E52C}</c15:txfldGUID>
                      <c15:f>Tabla!$G$490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65-4EF1-88CD-755E652C1592}"/>
                </c:ext>
              </c:extLst>
            </c:dLbl>
            <c:dLbl>
              <c:idx val="5"/>
              <c:tx>
                <c:strRef>
                  <c:f>Tabla!$H$490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{1234C973-70BA-4C40-91D5-25B72B93724F}</c15:txfldGUID>
                      <c15:f>Tabla!$H$490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B65-4EF1-88CD-755E652C1592}"/>
                </c:ext>
              </c:extLst>
            </c:dLbl>
            <c:dLbl>
              <c:idx val="6"/>
              <c:tx>
                <c:strRef>
                  <c:f>Tabla!$I$490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{423D2C00-097E-4BA3-95D2-F687D9338776}</c15:txfldGUID>
                      <c15:f>Tabla!$I$490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B65-4EF1-88CD-755E652C1592}"/>
                </c:ext>
              </c:extLst>
            </c:dLbl>
            <c:dLbl>
              <c:idx val="7"/>
              <c:tx>
                <c:strRef>
                  <c:f>Tabla!$J$490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{6703A076-6369-4275-A6E3-AEAECD2CB123}</c15:txfldGUID>
                      <c15:f>Tabla!$J$490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65-4EF1-88CD-755E652C1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Tabla!$C$490:$J$490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65-4EF1-88CD-755E652C1592}"/>
            </c:ext>
          </c:extLst>
        </c:ser>
        <c:ser>
          <c:idx val="0"/>
          <c:order val="1"/>
          <c:tx>
            <c:strRef>
              <c:f>Tabla!$B$487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{2BAF5A49-9171-45CC-AC2B-A190FE59EDD0}</c15:txfldGUID>
                      <c15:f>Tabla!$C$491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65-4EF1-88CD-755E652C1592}"/>
                </c:ext>
              </c:extLst>
            </c:dLbl>
            <c:dLbl>
              <c:idx val="1"/>
              <c:tx>
                <c:strRef>
                  <c:f>Tabla!$D$491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{A0CD278C-EA78-406D-B296-71B8A53401EE}</c15:txfldGUID>
                      <c15:f>Tabla!$D$491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B65-4EF1-88CD-755E652C1592}"/>
                </c:ext>
              </c:extLst>
            </c:dLbl>
            <c:dLbl>
              <c:idx val="2"/>
              <c:tx>
                <c:strRef>
                  <c:f>Tabla!$E$491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{A3DD8BCE-61AD-4E51-83E4-23C9A93B41F6}</c15:txfldGUID>
                      <c15:f>Tabla!$E$491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65-4EF1-88CD-755E652C1592}"/>
                </c:ext>
              </c:extLst>
            </c:dLbl>
            <c:dLbl>
              <c:idx val="3"/>
              <c:tx>
                <c:strRef>
                  <c:f>Tabla!$F$491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{29472390-AFF7-4A31-BBB2-23433153D3CC}</c15:txfldGUID>
                      <c15:f>Tabla!$F$491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B65-4EF1-88CD-755E652C1592}"/>
                </c:ext>
              </c:extLst>
            </c:dLbl>
            <c:dLbl>
              <c:idx val="4"/>
              <c:tx>
                <c:strRef>
                  <c:f>Tabla!$G$491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{C970EAB0-2860-468E-A06F-A415839A20D7}</c15:txfldGUID>
                      <c15:f>Tabla!$G$491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65-4EF1-88CD-755E652C1592}"/>
                </c:ext>
              </c:extLst>
            </c:dLbl>
            <c:dLbl>
              <c:idx val="5"/>
              <c:tx>
                <c:strRef>
                  <c:f>Tabla!$H$491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{5D94B5C7-1703-4959-B710-82FA87896F61}</c15:txfldGUID>
                      <c15:f>Tabla!$H$491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B65-4EF1-88CD-755E652C1592}"/>
                </c:ext>
              </c:extLst>
            </c:dLbl>
            <c:dLbl>
              <c:idx val="6"/>
              <c:tx>
                <c:strRef>
                  <c:f>Tabla!$I$491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{5FF92967-CE6A-4931-9396-81D9098EACAD}</c15:txfldGUID>
                      <c15:f>Tabla!$I$491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65-4EF1-88CD-755E652C1592}"/>
                </c:ext>
              </c:extLst>
            </c:dLbl>
            <c:dLbl>
              <c:idx val="7"/>
              <c:tx>
                <c:strRef>
                  <c:f>Tabla!$J$491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{AF117030-B18B-4269-9B57-AEC697BCB049}</c15:txfldGUID>
                      <c15:f>Tabla!$J$491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B65-4EF1-88CD-755E652C1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Tabla!$C$491:$J$491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65-4EF1-88CD-755E652C159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0750968"/>
        <c:axId val="300751360"/>
      </c:barChart>
      <c:lineChart>
        <c:grouping val="standard"/>
        <c:varyColors val="0"/>
        <c:ser>
          <c:idx val="1"/>
          <c:order val="2"/>
          <c:tx>
            <c:strRef>
              <c:f>Tabla!$B$486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2.0122917206487158E-2"/>
                  <c:y val="-0.1382062128945614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B65-4EF1-88CD-755E652C1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Tabla!$C$486:$J$486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B65-4EF1-88CD-755E652C1592}"/>
            </c:ext>
          </c:extLst>
        </c:ser>
        <c:ser>
          <c:idx val="2"/>
          <c:order val="3"/>
          <c:tx>
            <c:strRef>
              <c:f>Tabla!$B$488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B65-4EF1-88CD-755E652C1592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Tabla!$C$488:$J$488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B65-4EF1-88CD-755E652C159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0750968"/>
        <c:axId val="300751360"/>
      </c:lineChart>
      <c:catAx>
        <c:axId val="300750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0751360"/>
        <c:crosses val="autoZero"/>
        <c:auto val="1"/>
        <c:lblAlgn val="ctr"/>
        <c:lblOffset val="100"/>
        <c:noMultiLvlLbl val="0"/>
      </c:catAx>
      <c:valAx>
        <c:axId val="30075136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3007509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Tabla!$B$517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{412C5038-7E0A-43FB-AD20-F30BCDDA5CFA}</c15:txfldGUID>
                      <c15:f>Tabla!$C$520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E96D-40D4-B22A-A61CCD1FC8E4}"/>
                </c:ext>
              </c:extLst>
            </c:dLbl>
            <c:dLbl>
              <c:idx val="1"/>
              <c:tx>
                <c:strRef>
                  <c:f>Tabla!$D$520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{2B7DC071-46F3-41A6-AFF3-7736C83EF95D}</c15:txfldGUID>
                      <c15:f>Tabla!$D$520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96D-40D4-B22A-A61CCD1FC8E4}"/>
                </c:ext>
              </c:extLst>
            </c:dLbl>
            <c:dLbl>
              <c:idx val="2"/>
              <c:tx>
                <c:strRef>
                  <c:f>Tabla!$E$520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{38D4516A-0773-41B9-8411-DB0F88E6DED2}</c15:txfldGUID>
                      <c15:f>Tabla!$E$520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E96D-40D4-B22A-A61CCD1FC8E4}"/>
                </c:ext>
              </c:extLst>
            </c:dLbl>
            <c:dLbl>
              <c:idx val="3"/>
              <c:tx>
                <c:strRef>
                  <c:f>Tabla!$F$520</c:f>
                  <c:strCache>
                    <c:ptCount val="1"/>
                    <c:pt idx="0">
                      <c:v>86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{55D09E9C-EE89-4AF7-99D4-3499815F54F9}</c15:txfldGUID>
                      <c15:f>Tabla!$F$520</c15:f>
                      <c15:dlblFieldTableCache>
                        <c:ptCount val="1"/>
                        <c:pt idx="0">
                          <c:v>86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96D-40D4-B22A-A61CCD1FC8E4}"/>
                </c:ext>
              </c:extLst>
            </c:dLbl>
            <c:dLbl>
              <c:idx val="4"/>
              <c:tx>
                <c:strRef>
                  <c:f>Tabla!$G$520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{55D4F848-C2A7-4F7C-AB65-4601DA3E4DCD}</c15:txfldGUID>
                      <c15:f>Tabla!$G$520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96D-40D4-B22A-A61CCD1FC8E4}"/>
                </c:ext>
              </c:extLst>
            </c:dLbl>
            <c:dLbl>
              <c:idx val="5"/>
              <c:tx>
                <c:strRef>
                  <c:f>Tabla!$H$520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{98099F15-1DE5-4906-AAD1-BC8B84739C2E}</c15:txfldGUID>
                      <c15:f>Tabla!$H$520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E96D-40D4-B22A-A61CCD1FC8E4}"/>
                </c:ext>
              </c:extLst>
            </c:dLbl>
            <c:dLbl>
              <c:idx val="6"/>
              <c:tx>
                <c:strRef>
                  <c:f>Tabla!$I$520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{44C306F1-45DC-4BF8-B24D-BE9A777A54EA}</c15:txfldGUID>
                      <c15:f>Tabla!$I$520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96D-40D4-B22A-A61CCD1FC8E4}"/>
                </c:ext>
              </c:extLst>
            </c:dLbl>
            <c:dLbl>
              <c:idx val="7"/>
              <c:tx>
                <c:strRef>
                  <c:f>Tabla!$J$520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{76A1F7C0-80BF-4242-9831-D16AAFBBA1CB}</c15:txfldGUID>
                      <c15:f>Tabla!$J$520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E96D-40D4-B22A-A61CCD1FC8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Tabla!$C$520:$J$520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6D-40D4-B22A-A61CCD1FC8E4}"/>
            </c:ext>
          </c:extLst>
        </c:ser>
        <c:ser>
          <c:idx val="0"/>
          <c:order val="1"/>
          <c:tx>
            <c:strRef>
              <c:f>Tabla!$B$517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{0B7F7174-D155-49BE-AD98-ADBA0752B06B}</c15:txfldGUID>
                      <c15:f>Tabla!$C$521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E96D-40D4-B22A-A61CCD1FC8E4}"/>
                </c:ext>
              </c:extLst>
            </c:dLbl>
            <c:dLbl>
              <c:idx val="1"/>
              <c:tx>
                <c:strRef>
                  <c:f>Tabla!$D$521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{EDF583C9-88BC-4DB2-8AF5-88A23C2AEC5C}</c15:txfldGUID>
                      <c15:f>Tabla!$D$521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E96D-40D4-B22A-A61CCD1FC8E4}"/>
                </c:ext>
              </c:extLst>
            </c:dLbl>
            <c:dLbl>
              <c:idx val="2"/>
              <c:tx>
                <c:strRef>
                  <c:f>Tabla!$E$521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{5C8FC7D4-582E-4BEB-BC32-933CC0835F3D}</c15:txfldGUID>
                      <c15:f>Tabla!$E$521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E96D-40D4-B22A-A61CCD1FC8E4}"/>
                </c:ext>
              </c:extLst>
            </c:dLbl>
            <c:dLbl>
              <c:idx val="3"/>
              <c:tx>
                <c:strRef>
                  <c:f>Tabla!$F$521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{40E25008-D942-4E12-9412-1B45ECF3005A}</c15:txfldGUID>
                      <c15:f>Tabla!$F$521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E96D-40D4-B22A-A61CCD1FC8E4}"/>
                </c:ext>
              </c:extLst>
            </c:dLbl>
            <c:dLbl>
              <c:idx val="4"/>
              <c:tx>
                <c:strRef>
                  <c:f>Tabla!$G$521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{BA26E265-5B68-447B-9EF8-C6D46FFDCB73}</c15:txfldGUID>
                      <c15:f>Tabla!$G$521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E96D-40D4-B22A-A61CCD1FC8E4}"/>
                </c:ext>
              </c:extLst>
            </c:dLbl>
            <c:dLbl>
              <c:idx val="5"/>
              <c:tx>
                <c:strRef>
                  <c:f>Tabla!$H$521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{295ECB48-0804-4B1B-A4B8-47C02EEEB8E9}</c15:txfldGUID>
                      <c15:f>Tabla!$H$521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E96D-40D4-B22A-A61CCD1FC8E4}"/>
                </c:ext>
              </c:extLst>
            </c:dLbl>
            <c:dLbl>
              <c:idx val="6"/>
              <c:tx>
                <c:strRef>
                  <c:f>Tabla!$I$521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{B79A071A-2C60-4B03-AA3C-C5F4A3B56526}</c15:txfldGUID>
                      <c15:f>Tabla!$I$521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E96D-40D4-B22A-A61CCD1FC8E4}"/>
                </c:ext>
              </c:extLst>
            </c:dLbl>
            <c:dLbl>
              <c:idx val="7"/>
              <c:tx>
                <c:strRef>
                  <c:f>Tabla!$J$521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{3431C87F-564E-4A57-A307-0D0A1ED50FC5}</c15:txfldGUID>
                      <c15:f>Tabla!$J$521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96D-40D4-B22A-A61CCD1FC8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Tabla!$C$517:$J$517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96D-40D4-B22A-A61CCD1FC8E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0752536"/>
        <c:axId val="300752928"/>
      </c:barChart>
      <c:lineChart>
        <c:grouping val="standard"/>
        <c:varyColors val="0"/>
        <c:ser>
          <c:idx val="1"/>
          <c:order val="2"/>
          <c:tx>
            <c:strRef>
              <c:f>Tabla!$B$516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3"/>
              <c:layout>
                <c:manualLayout>
                  <c:x val="-5.2048469371304019E-3"/>
                  <c:y val="-2.36558156455290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96D-40D4-B22A-A61CCD1FC8E4}"/>
                </c:ext>
              </c:extLst>
            </c:dLbl>
            <c:dLbl>
              <c:idx val="4"/>
              <c:layout>
                <c:manualLayout>
                  <c:x val="-1.5175766442483498E-2"/>
                  <c:y val="-0.1686090236964525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96D-40D4-B22A-A61CCD1FC8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Tabla!$C$516:$J$516</c:f>
              <c:numCache>
                <c:formatCode>General</c:formatCode>
                <c:ptCount val="8"/>
                <c:pt idx="3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96D-40D4-B22A-A61CCD1FC8E4}"/>
            </c:ext>
          </c:extLst>
        </c:ser>
        <c:ser>
          <c:idx val="2"/>
          <c:order val="3"/>
          <c:tx>
            <c:strRef>
              <c:f>Tabla!$B$518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96D-40D4-B22A-A61CCD1FC8E4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Tabla!$C$518:$J$518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96D-40D4-B22A-A61CCD1FC8E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0752536"/>
        <c:axId val="300752928"/>
      </c:lineChart>
      <c:catAx>
        <c:axId val="300752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0752928"/>
        <c:crosses val="autoZero"/>
        <c:auto val="1"/>
        <c:lblAlgn val="ctr"/>
        <c:lblOffset val="100"/>
        <c:noMultiLvlLbl val="0"/>
      </c:catAx>
      <c:valAx>
        <c:axId val="30075292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3007525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Tabla!$B$547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Tabla!$C$550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{C8780259-6D21-423A-B4DD-0863B4BEF4D7}</c15:txfldGUID>
                      <c15:f>Tabla!$C$550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718-429A-B7EC-A491EA4F6735}"/>
                </c:ext>
              </c:extLst>
            </c:dLbl>
            <c:dLbl>
              <c:idx val="1"/>
              <c:tx>
                <c:strRef>
                  <c:f>Tabla!$D$550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{2927AE5B-E836-4CC5-86F9-44B94D92A63A}</c15:txfldGUID>
                      <c15:f>Tabla!$D$550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718-429A-B7EC-A491EA4F6735}"/>
                </c:ext>
              </c:extLst>
            </c:dLbl>
            <c:dLbl>
              <c:idx val="2"/>
              <c:tx>
                <c:strRef>
                  <c:f>Tabla!$E$550</c:f>
                  <c:strCache>
                    <c:ptCount val="1"/>
                    <c:pt idx="0">
                      <c:v>92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{E67CD801-3188-466A-8FCF-3770795FC00D}</c15:txfldGUID>
                      <c15:f>Tabla!$E$550</c15:f>
                      <c15:dlblFieldTableCache>
                        <c:ptCount val="1"/>
                        <c:pt idx="0">
                          <c:v>92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718-429A-B7EC-A491EA4F6735}"/>
                </c:ext>
              </c:extLst>
            </c:dLbl>
            <c:dLbl>
              <c:idx val="3"/>
              <c:tx>
                <c:strRef>
                  <c:f>Tabla!$F$550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{CBC06D0F-2644-4C62-A434-7A2A48F8ED65}</c15:txfldGUID>
                      <c15:f>Tabla!$F$550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718-429A-B7EC-A491EA4F6735}"/>
                </c:ext>
              </c:extLst>
            </c:dLbl>
            <c:dLbl>
              <c:idx val="4"/>
              <c:tx>
                <c:strRef>
                  <c:f>Tabla!$GS$550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{E715A2B1-61A3-41CF-9A0A-5558D3200C3D}</c15:txfldGUID>
                      <c15:f>Tabla!$GS$550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718-429A-B7EC-A491EA4F6735}"/>
                </c:ext>
              </c:extLst>
            </c:dLbl>
            <c:dLbl>
              <c:idx val="5"/>
              <c:tx>
                <c:strRef>
                  <c:f>Tabla!$H$550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{97CB5CA7-B8BD-4E0F-8788-FDF137216C60}</c15:txfldGUID>
                      <c15:f>Tabla!$H$550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718-429A-B7EC-A491EA4F6735}"/>
                </c:ext>
              </c:extLst>
            </c:dLbl>
            <c:dLbl>
              <c:idx val="6"/>
              <c:tx>
                <c:strRef>
                  <c:f>Tabla!$I$550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{AA7BCC47-D034-46D0-8BC5-687B93886E90}</c15:txfldGUID>
                      <c15:f>Tabla!$I$550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718-429A-B7EC-A491EA4F6735}"/>
                </c:ext>
              </c:extLst>
            </c:dLbl>
            <c:dLbl>
              <c:idx val="7"/>
              <c:tx>
                <c:strRef>
                  <c:f>Tabla!$J$550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{B8ED68D5-ACC2-436E-85D5-964BD7553F99}</c15:txfldGUID>
                      <c15:f>Tabla!$J$550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718-429A-B7EC-A491EA4F67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Tabla!$C$550:$J$550</c:f>
              <c:numCache>
                <c:formatCode>0</c:formatCode>
                <c:ptCount val="8"/>
                <c:pt idx="0">
                  <c:v>82</c:v>
                </c:pt>
                <c:pt idx="1">
                  <c:v>82</c:v>
                </c:pt>
                <c:pt idx="2">
                  <c:v>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18-429A-B7EC-A491EA4F6735}"/>
            </c:ext>
          </c:extLst>
        </c:ser>
        <c:ser>
          <c:idx val="0"/>
          <c:order val="1"/>
          <c:tx>
            <c:strRef>
              <c:f>Tabla!$B$547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Tabla!$C$551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{3990FEFA-E822-4BFC-BEDE-143D489D1F95}</c15:txfldGUID>
                      <c15:f>Tabla!$C$551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718-429A-B7EC-A491EA4F6735}"/>
                </c:ext>
              </c:extLst>
            </c:dLbl>
            <c:dLbl>
              <c:idx val="1"/>
              <c:tx>
                <c:strRef>
                  <c:f>Tabla!$D$551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{F966A49B-3E31-4B72-B5AF-60DD9AC51EF6}</c15:txfldGUID>
                      <c15:f>Tabla!$D$551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718-429A-B7EC-A491EA4F6735}"/>
                </c:ext>
              </c:extLst>
            </c:dLbl>
            <c:dLbl>
              <c:idx val="2"/>
              <c:tx>
                <c:strRef>
                  <c:f>Tabla!$E$551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{946AB8D7-D4A8-41CF-87C8-5BFA982F127A}</c15:txfldGUID>
                      <c15:f>Tabla!$E$551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718-429A-B7EC-A491EA4F6735}"/>
                </c:ext>
              </c:extLst>
            </c:dLbl>
            <c:dLbl>
              <c:idx val="3"/>
              <c:tx>
                <c:strRef>
                  <c:f>Tabla!$F$551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{DE434818-DA2E-42F8-90BC-C04129113000}</c15:txfldGUID>
                      <c15:f>Tabla!$F$551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718-429A-B7EC-A491EA4F6735}"/>
                </c:ext>
              </c:extLst>
            </c:dLbl>
            <c:dLbl>
              <c:idx val="4"/>
              <c:tx>
                <c:strRef>
                  <c:f>Tabla!$G$551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{01B56933-1ED5-44A7-863F-690C793676CA}</c15:txfldGUID>
                      <c15:f>Tabla!$G$551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718-429A-B7EC-A491EA4F6735}"/>
                </c:ext>
              </c:extLst>
            </c:dLbl>
            <c:dLbl>
              <c:idx val="5"/>
              <c:tx>
                <c:strRef>
                  <c:f>Tabla!$H$551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{D74CCDFF-2A30-4733-9402-7CDACADFBD03}</c15:txfldGUID>
                      <c15:f>Tabla!$H$551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718-429A-B7EC-A491EA4F6735}"/>
                </c:ext>
              </c:extLst>
            </c:dLbl>
            <c:dLbl>
              <c:idx val="6"/>
              <c:tx>
                <c:strRef>
                  <c:f>Tabla!$I$551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{61D8D64E-4D28-45A5-B15C-588B1EDCD65F}</c15:txfldGUID>
                      <c15:f>Tabla!$I$551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718-429A-B7EC-A491EA4F6735}"/>
                </c:ext>
              </c:extLst>
            </c:dLbl>
            <c:dLbl>
              <c:idx val="7"/>
              <c:tx>
                <c:strRef>
                  <c:f>Tabla!$J$551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{7FFFDB63-5A62-43A8-913D-4B03F809F06B}</c15:txfldGUID>
                      <c15:f>Tabla!$J$551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718-429A-B7EC-A491EA4F67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Tabla!$C$547:$J$547</c:f>
              <c:numCache>
                <c:formatCode>General</c:formatCode>
                <c:ptCount val="8"/>
                <c:pt idx="0">
                  <c:v>90</c:v>
                </c:pt>
                <c:pt idx="1">
                  <c:v>72</c:v>
                </c:pt>
                <c:pt idx="2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18-429A-B7EC-A491EA4F67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0754104"/>
        <c:axId val="308060192"/>
      </c:barChart>
      <c:lineChart>
        <c:grouping val="standard"/>
        <c:varyColors val="0"/>
        <c:ser>
          <c:idx val="1"/>
          <c:order val="2"/>
          <c:tx>
            <c:strRef>
              <c:f>Tabla!$B$546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Tabla!$C$546:$J$546</c:f>
              <c:numCache>
                <c:formatCode>General</c:formatCode>
                <c:ptCount val="8"/>
                <c:pt idx="0">
                  <c:v>88</c:v>
                </c:pt>
                <c:pt idx="1">
                  <c:v>67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718-429A-B7EC-A491EA4F6735}"/>
            </c:ext>
          </c:extLst>
        </c:ser>
        <c:ser>
          <c:idx val="2"/>
          <c:order val="3"/>
          <c:tx>
            <c:strRef>
              <c:f>Tabla!$B$548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 w="19050">
                  <a:solidFill>
                    <a:srgbClr val="632523"/>
                  </a:solidFill>
                </a:ln>
              </c:spPr>
              <c:txPr>
                <a:bodyPr/>
                <a:lstStyle/>
                <a:p>
                  <a:pPr>
                    <a:defRPr>
                      <a:latin typeface="HelveticaNeueLT Std Lt" pitchFamily="34" charset="0"/>
                    </a:defRPr>
                  </a:pPr>
                  <a:endParaRPr lang="es-E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718-429A-B7EC-A491EA4F67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Tabla!$C$548:$J$548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718-429A-B7EC-A491EA4F67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0754104"/>
        <c:axId val="308060192"/>
      </c:lineChart>
      <c:catAx>
        <c:axId val="300754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8060192"/>
        <c:crosses val="autoZero"/>
        <c:auto val="1"/>
        <c:lblAlgn val="ctr"/>
        <c:lblOffset val="100"/>
        <c:noMultiLvlLbl val="0"/>
      </c:catAx>
      <c:valAx>
        <c:axId val="30806019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3007541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Tabla!$B$577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Tabla!$C$580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{56FB256C-C312-402E-B24C-0105A9AA6C64}</c15:txfldGUID>
                      <c15:f>Tabla!$C$580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34E-4320-8CB4-B8A6E68E3941}"/>
                </c:ext>
              </c:extLst>
            </c:dLbl>
            <c:dLbl>
              <c:idx val="1"/>
              <c:tx>
                <c:strRef>
                  <c:f>Tabla!$D$580</c:f>
                  <c:strCache>
                    <c:ptCount val="1"/>
                    <c:pt idx="0">
                      <c:v>96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{E5409221-32CC-445D-9ABE-5EC10F197EEF}</c15:txfldGUID>
                      <c15:f>Tabla!$D$580</c15:f>
                      <c15:dlblFieldTableCache>
                        <c:ptCount val="1"/>
                        <c:pt idx="0">
                          <c:v>96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34E-4320-8CB4-B8A6E68E3941}"/>
                </c:ext>
              </c:extLst>
            </c:dLbl>
            <c:dLbl>
              <c:idx val="2"/>
              <c:tx>
                <c:strRef>
                  <c:f>Tabla!$E$580</c:f>
                  <c:strCache>
                    <c:ptCount val="1"/>
                    <c:pt idx="0">
                      <c:v>88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{0744C5A1-F2D1-40E5-A967-93A4265CAD4C}</c15:txfldGUID>
                      <c15:f>Tabla!$E$580</c15:f>
                      <c15:dlblFieldTableCache>
                        <c:ptCount val="1"/>
                        <c:pt idx="0">
                          <c:v>88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34E-4320-8CB4-B8A6E68E3941}"/>
                </c:ext>
              </c:extLst>
            </c:dLbl>
            <c:dLbl>
              <c:idx val="3"/>
              <c:tx>
                <c:strRef>
                  <c:f>Tabla!$F$580</c:f>
                  <c:strCache>
                    <c:ptCount val="1"/>
                    <c:pt idx="0">
                      <c:v>64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{009A0BE3-6552-423F-9DC3-1377CAAD858F}</c15:txfldGUID>
                      <c15:f>Tabla!$F$580</c15:f>
                      <c15:dlblFieldTableCache>
                        <c:ptCount val="1"/>
                        <c:pt idx="0">
                          <c:v>64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34E-4320-8CB4-B8A6E68E3941}"/>
                </c:ext>
              </c:extLst>
            </c:dLbl>
            <c:dLbl>
              <c:idx val="4"/>
              <c:tx>
                <c:strRef>
                  <c:f>Tabla!$G$580</c:f>
                  <c:strCache>
                    <c:ptCount val="1"/>
                    <c:pt idx="0">
                      <c:v>65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{C13DAE83-20D5-4987-9E88-D317B5893C46}</c15:txfldGUID>
                      <c15:f>Tabla!$G$580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34E-4320-8CB4-B8A6E68E3941}"/>
                </c:ext>
              </c:extLst>
            </c:dLbl>
            <c:dLbl>
              <c:idx val="5"/>
              <c:tx>
                <c:strRef>
                  <c:f>Tabla!$H$580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{70163641-5118-4902-B0DB-FE4A8EAD7535}</c15:txfldGUID>
                      <c15:f>Tabla!$H$580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34E-4320-8CB4-B8A6E68E3941}"/>
                </c:ext>
              </c:extLst>
            </c:dLbl>
            <c:dLbl>
              <c:idx val="6"/>
              <c:tx>
                <c:strRef>
                  <c:f>Tabla!$I$580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{E2076F65-7E0D-419F-A10A-2488692273C1}</c15:txfldGUID>
                      <c15:f>Tabla!$I$580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34E-4320-8CB4-B8A6E68E3941}"/>
                </c:ext>
              </c:extLst>
            </c:dLbl>
            <c:dLbl>
              <c:idx val="7"/>
              <c:tx>
                <c:strRef>
                  <c:f>Tabla!$J$580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{CA5AAE57-DFFD-477B-AB66-ED01DC3E1C63}</c15:txfldGUID>
                      <c15:f>Tabla!$J$580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34E-4320-8CB4-B8A6E68E3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Tabla!$C$580:$J$580</c:f>
              <c:numCache>
                <c:formatCode>0</c:formatCode>
                <c:ptCount val="8"/>
                <c:pt idx="0">
                  <c:v>79</c:v>
                </c:pt>
                <c:pt idx="1">
                  <c:v>96</c:v>
                </c:pt>
                <c:pt idx="2">
                  <c:v>88</c:v>
                </c:pt>
                <c:pt idx="3">
                  <c:v>64</c:v>
                </c:pt>
                <c:pt idx="4">
                  <c:v>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4E-4320-8CB4-B8A6E68E3941}"/>
            </c:ext>
          </c:extLst>
        </c:ser>
        <c:ser>
          <c:idx val="0"/>
          <c:order val="1"/>
          <c:tx>
            <c:strRef>
              <c:f>Tabla!$B$577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Tabla!$C$581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{6A17CC4E-504E-402A-B69F-F6763545A882}</c15:txfldGUID>
                      <c15:f>Tabla!$C$581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34E-4320-8CB4-B8A6E68E3941}"/>
                </c:ext>
              </c:extLst>
            </c:dLbl>
            <c:dLbl>
              <c:idx val="1"/>
              <c:tx>
                <c:strRef>
                  <c:f>Tabla!$D$581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{8F79D639-8A4D-411D-B12F-6076256911E0}</c15:txfldGUID>
                      <c15:f>Tabla!$D$581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34E-4320-8CB4-B8A6E68E3941}"/>
                </c:ext>
              </c:extLst>
            </c:dLbl>
            <c:dLbl>
              <c:idx val="2"/>
              <c:tx>
                <c:strRef>
                  <c:f>Tabla!$E$581</c:f>
                  <c:strCache>
                    <c:ptCount val="1"/>
                    <c:pt idx="0">
                      <c:v>87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{60A43DF3-EAE2-4B7B-8A0E-B4815942F4FC}</c15:txfldGUID>
                      <c15:f>Tabla!$E$581</c15:f>
                      <c15:dlblFieldTableCache>
                        <c:ptCount val="1"/>
                        <c:pt idx="0">
                          <c:v>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34E-4320-8CB4-B8A6E68E3941}"/>
                </c:ext>
              </c:extLst>
            </c:dLbl>
            <c:dLbl>
              <c:idx val="3"/>
              <c:tx>
                <c:strRef>
                  <c:f>Tabla!$F$581</c:f>
                  <c:strCache>
                    <c:ptCount val="1"/>
                    <c:pt idx="0">
                      <c:v>85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{D5679028-0795-4F37-AD00-788EED26AD55}</c15:txfldGUID>
                      <c15:f>Tabla!$F$581</c15:f>
                      <c15:dlblFieldTableCache>
                        <c:ptCount val="1"/>
                        <c:pt idx="0">
                          <c:v>85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34E-4320-8CB4-B8A6E68E3941}"/>
                </c:ext>
              </c:extLst>
            </c:dLbl>
            <c:dLbl>
              <c:idx val="4"/>
              <c:tx>
                <c:strRef>
                  <c:f>Tabla!$G$581</c:f>
                  <c:strCache>
                    <c:ptCount val="1"/>
                    <c:pt idx="0">
                      <c:v>57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{5C8DE120-0114-4594-95D3-393E6FC23F88}</c15:txfldGUID>
                      <c15:f>Tabla!$G$581</c15:f>
                      <c15:dlblFieldTableCache>
                        <c:ptCount val="1"/>
                        <c:pt idx="0">
                          <c:v>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34E-4320-8CB4-B8A6E68E3941}"/>
                </c:ext>
              </c:extLst>
            </c:dLbl>
            <c:dLbl>
              <c:idx val="5"/>
              <c:tx>
                <c:strRef>
                  <c:f>Tabla!$H$581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{857C8332-7725-4816-A2B1-C6FEC3B67BFE}</c15:txfldGUID>
                      <c15:f>Tabla!$H$581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34E-4320-8CB4-B8A6E68E3941}"/>
                </c:ext>
              </c:extLst>
            </c:dLbl>
            <c:dLbl>
              <c:idx val="6"/>
              <c:tx>
                <c:strRef>
                  <c:f>Tabla!$I$581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{BD9F0AC5-7A03-41EA-92E2-AC0AA01B883A}</c15:txfldGUID>
                      <c15:f>Tabla!$I$581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34E-4320-8CB4-B8A6E68E3941}"/>
                </c:ext>
              </c:extLst>
            </c:dLbl>
            <c:dLbl>
              <c:idx val="7"/>
              <c:tx>
                <c:strRef>
                  <c:f>Tabla!$J$581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{CC7D191C-C046-4C09-8C90-A9FFC3DE9A18}</c15:txfldGUID>
                      <c15:f>Tabla!$J$581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34E-4320-8CB4-B8A6E68E3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Tabla!$C$577:$J$577</c:f>
              <c:numCache>
                <c:formatCode>General</c:formatCode>
                <c:ptCount val="8"/>
                <c:pt idx="0">
                  <c:v>79</c:v>
                </c:pt>
                <c:pt idx="1">
                  <c:v>0</c:v>
                </c:pt>
                <c:pt idx="2">
                  <c:v>87</c:v>
                </c:pt>
                <c:pt idx="3">
                  <c:v>85</c:v>
                </c:pt>
                <c:pt idx="4">
                  <c:v>57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34E-4320-8CB4-B8A6E68E394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8060584"/>
        <c:axId val="308060976"/>
      </c:barChart>
      <c:lineChart>
        <c:grouping val="standard"/>
        <c:varyColors val="0"/>
        <c:ser>
          <c:idx val="1"/>
          <c:order val="2"/>
          <c:tx>
            <c:strRef>
              <c:f>Tabla!$B$576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Tabla!$C$576:$J$576</c:f>
              <c:numCache>
                <c:formatCode>General</c:formatCode>
                <c:ptCount val="8"/>
                <c:pt idx="0">
                  <c:v>71</c:v>
                </c:pt>
                <c:pt idx="2">
                  <c:v>86</c:v>
                </c:pt>
                <c:pt idx="3">
                  <c:v>93</c:v>
                </c:pt>
                <c:pt idx="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34E-4320-8CB4-B8A6E68E3941}"/>
            </c:ext>
          </c:extLst>
        </c:ser>
        <c:ser>
          <c:idx val="2"/>
          <c:order val="3"/>
          <c:tx>
            <c:strRef>
              <c:f>Tabla!$B$578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34E-4320-8CB4-B8A6E68E3941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Tabla!$C$578:$J$578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 formatCode="General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34E-4320-8CB4-B8A6E68E394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8060584"/>
        <c:axId val="308060976"/>
      </c:lineChart>
      <c:catAx>
        <c:axId val="308060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8060976"/>
        <c:crosses val="autoZero"/>
        <c:auto val="1"/>
        <c:lblAlgn val="ctr"/>
        <c:lblOffset val="100"/>
        <c:noMultiLvlLbl val="0"/>
      </c:catAx>
      <c:valAx>
        <c:axId val="30806097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3080605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Tabla!$B$607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{29F8598F-F01C-4237-9DD6-B83B1879C855}</c15:txfldGUID>
                      <c15:f>Tabla!$C$610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BD0B-440E-AF8B-6F586EC7E3BA}"/>
                </c:ext>
              </c:extLst>
            </c:dLbl>
            <c:dLbl>
              <c:idx val="1"/>
              <c:tx>
                <c:strRef>
                  <c:f>Tabla!$D$610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{E15AEBCA-2C79-4539-BD52-65ED6C684C6E}</c15:txfldGUID>
                      <c15:f>Tabla!$D$610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D0B-440E-AF8B-6F586EC7E3BA}"/>
                </c:ext>
              </c:extLst>
            </c:dLbl>
            <c:dLbl>
              <c:idx val="2"/>
              <c:tx>
                <c:strRef>
                  <c:f>Tabla!$E$610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{F3F2BADF-45FC-49E7-B780-25E798DD6BBD}</c15:txfldGUID>
                      <c15:f>Tabla!$E$610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BD0B-440E-AF8B-6F586EC7E3BA}"/>
                </c:ext>
              </c:extLst>
            </c:dLbl>
            <c:dLbl>
              <c:idx val="3"/>
              <c:tx>
                <c:strRef>
                  <c:f>Tabla!$F$610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{31C93808-CF84-4A18-B0B8-E5B9F578EFD4}</c15:txfldGUID>
                      <c15:f>Tabla!$F$610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BD0B-440E-AF8B-6F586EC7E3BA}"/>
                </c:ext>
              </c:extLst>
            </c:dLbl>
            <c:dLbl>
              <c:idx val="4"/>
              <c:tx>
                <c:strRef>
                  <c:f>Tabla!$G$610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{17009B27-6991-47AF-8DD4-F734B2187F47}</c15:txfldGUID>
                      <c15:f>Tabla!$G$610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BD0B-440E-AF8B-6F586EC7E3BA}"/>
                </c:ext>
              </c:extLst>
            </c:dLbl>
            <c:dLbl>
              <c:idx val="5"/>
              <c:tx>
                <c:strRef>
                  <c:f>Tabla!$H$610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{1734E4CD-9F39-4567-9173-36CDACB52F5C}</c15:txfldGUID>
                      <c15:f>Tabla!$H$610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BD0B-440E-AF8B-6F586EC7E3BA}"/>
                </c:ext>
              </c:extLst>
            </c:dLbl>
            <c:dLbl>
              <c:idx val="6"/>
              <c:tx>
                <c:strRef>
                  <c:f>Tabla!$I$610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{C3C56189-0E0C-46EA-A508-1902478F8D7F}</c15:txfldGUID>
                      <c15:f>Tabla!$I$610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BD0B-440E-AF8B-6F586EC7E3BA}"/>
                </c:ext>
              </c:extLst>
            </c:dLbl>
            <c:dLbl>
              <c:idx val="7"/>
              <c:tx>
                <c:strRef>
                  <c:f>Tabla!$J$610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{D5EA7BCA-0721-49B1-9901-C9A1060A5F0B}</c15:txfldGUID>
                      <c15:f>Tabla!$J$610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BD0B-440E-AF8B-6F586EC7E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Tabla!$C$610:$J$610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D0B-440E-AF8B-6F586EC7E3BA}"/>
            </c:ext>
          </c:extLst>
        </c:ser>
        <c:ser>
          <c:idx val="0"/>
          <c:order val="1"/>
          <c:tx>
            <c:strRef>
              <c:f>Tabla!$B$607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{7624B38C-079E-499E-99CA-B50B871220C4}</c15:txfldGUID>
                      <c15:f>Tabla!$C$611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BD0B-440E-AF8B-6F586EC7E3BA}"/>
                </c:ext>
              </c:extLst>
            </c:dLbl>
            <c:dLbl>
              <c:idx val="1"/>
              <c:tx>
                <c:strRef>
                  <c:f>Tabla!$D$611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{4B35C379-7063-4A33-A131-FC2BF94CA1F0}</c15:txfldGUID>
                      <c15:f>Tabla!$D$611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BD0B-440E-AF8B-6F586EC7E3BA}"/>
                </c:ext>
              </c:extLst>
            </c:dLbl>
            <c:dLbl>
              <c:idx val="2"/>
              <c:tx>
                <c:strRef>
                  <c:f>Tabla!$E$611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{B7CA6062-79B9-4BC2-9411-AA83612A0840}</c15:txfldGUID>
                      <c15:f>Tabla!$E$611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BD0B-440E-AF8B-6F586EC7E3BA}"/>
                </c:ext>
              </c:extLst>
            </c:dLbl>
            <c:dLbl>
              <c:idx val="3"/>
              <c:tx>
                <c:strRef>
                  <c:f>Tabla!$F$611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{7C957042-C410-4EAE-9189-43F5DC374A0B}</c15:txfldGUID>
                      <c15:f>Tabla!$F$611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BD0B-440E-AF8B-6F586EC7E3BA}"/>
                </c:ext>
              </c:extLst>
            </c:dLbl>
            <c:dLbl>
              <c:idx val="4"/>
              <c:tx>
                <c:strRef>
                  <c:f>Tabla!$G$611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{89AF90E6-9F3D-4CC1-8332-9B14A7283F7F}</c15:txfldGUID>
                      <c15:f>Tabla!$G$611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BD0B-440E-AF8B-6F586EC7E3BA}"/>
                </c:ext>
              </c:extLst>
            </c:dLbl>
            <c:dLbl>
              <c:idx val="5"/>
              <c:tx>
                <c:strRef>
                  <c:f>Tabla!$H$611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{EC3C4483-9791-4CE3-BE03-8B25B0C44659}</c15:txfldGUID>
                      <c15:f>Tabla!$H$611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BD0B-440E-AF8B-6F586EC7E3BA}"/>
                </c:ext>
              </c:extLst>
            </c:dLbl>
            <c:dLbl>
              <c:idx val="6"/>
              <c:tx>
                <c:strRef>
                  <c:f>Tabla!$I$611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{B4613CC8-6547-42CF-9B16-E7D3090E60FA}</c15:txfldGUID>
                      <c15:f>Tabla!$I$611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BD0B-440E-AF8B-6F586EC7E3BA}"/>
                </c:ext>
              </c:extLst>
            </c:dLbl>
            <c:dLbl>
              <c:idx val="7"/>
              <c:tx>
                <c:strRef>
                  <c:f>Tabla!$J$611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{F6F19D7B-6C66-4BA7-803D-479D086A3A90}</c15:txfldGUID>
                      <c15:f>Tabla!$J$611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D0B-440E-AF8B-6F586EC7E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Tabla!$C$607:$J$607</c:f>
              <c:numCache>
                <c:formatCode>General</c:formatCode>
                <c:ptCount val="8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D0B-440E-AF8B-6F586EC7E3B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8061760"/>
        <c:axId val="308062152"/>
      </c:barChart>
      <c:lineChart>
        <c:grouping val="standard"/>
        <c:varyColors val="0"/>
        <c:ser>
          <c:idx val="1"/>
          <c:order val="2"/>
          <c:tx>
            <c:strRef>
              <c:f>Tabla!$B$606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Tabla!$C$606:$J$606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D0B-440E-AF8B-6F586EC7E3BA}"/>
            </c:ext>
          </c:extLst>
        </c:ser>
        <c:ser>
          <c:idx val="2"/>
          <c:order val="3"/>
          <c:tx>
            <c:strRef>
              <c:f>Tabla!$B$608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D0B-440E-AF8B-6F586EC7E3BA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Tabla!$C$608:$J$608</c:f>
              <c:numCache>
                <c:formatCode>#,##0</c:formatCode>
                <c:ptCount val="8"/>
                <c:pt idx="0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D0B-440E-AF8B-6F586EC7E3B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8061760"/>
        <c:axId val="308062152"/>
      </c:lineChart>
      <c:catAx>
        <c:axId val="308061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8062152"/>
        <c:crosses val="autoZero"/>
        <c:auto val="1"/>
        <c:lblAlgn val="ctr"/>
        <c:lblOffset val="100"/>
        <c:noMultiLvlLbl val="0"/>
      </c:catAx>
      <c:valAx>
        <c:axId val="30806215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3080617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{3B152E52-14BE-42CF-B627-470B2DA3BC3A}</c15:txfldGUID>
                      <c15:f>Tabla!$C$640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3EE-4606-BC43-5C5BEA1089CD}"/>
                </c:ext>
              </c:extLst>
            </c:dLbl>
            <c:dLbl>
              <c:idx val="1"/>
              <c:tx>
                <c:strRef>
                  <c:f>Tabla!$D$640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{E9C7E323-CCA2-4686-AE05-06B3016DFB37}</c15:txfldGUID>
                      <c15:f>Tabla!$D$640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3EE-4606-BC43-5C5BEA1089CD}"/>
                </c:ext>
              </c:extLst>
            </c:dLbl>
            <c:dLbl>
              <c:idx val="2"/>
              <c:tx>
                <c:strRef>
                  <c:f>Tabla!$E$640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{F22D503E-E540-4525-8535-397A4E99253E}</c15:txfldGUID>
                      <c15:f>Tabla!$E$640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3EE-4606-BC43-5C5BEA1089CD}"/>
                </c:ext>
              </c:extLst>
            </c:dLbl>
            <c:dLbl>
              <c:idx val="3"/>
              <c:tx>
                <c:strRef>
                  <c:f>Tabla!$F$640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{E0516251-5585-4E1E-ABD7-10EFB3CA11E9}</c15:txfldGUID>
                      <c15:f>Tabla!$F$640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3EE-4606-BC43-5C5BEA1089CD}"/>
                </c:ext>
              </c:extLst>
            </c:dLbl>
            <c:dLbl>
              <c:idx val="4"/>
              <c:tx>
                <c:strRef>
                  <c:f>Tabla!$G$640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{97E33FB6-CDB9-4582-857F-76B9D92ACD4A}</c15:txfldGUID>
                      <c15:f>Tabla!$G$640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3EE-4606-BC43-5C5BEA1089CD}"/>
                </c:ext>
              </c:extLst>
            </c:dLbl>
            <c:dLbl>
              <c:idx val="5"/>
              <c:tx>
                <c:strRef>
                  <c:f>Tabla!$H$640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{A6708F7B-360A-479B-9A45-754876A46F84}</c15:txfldGUID>
                      <c15:f>Tabla!$H$640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3EE-4606-BC43-5C5BEA1089CD}"/>
                </c:ext>
              </c:extLst>
            </c:dLbl>
            <c:dLbl>
              <c:idx val="6"/>
              <c:tx>
                <c:strRef>
                  <c:f>Tabla!$I$640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{CD30AB5B-7484-4048-B676-B014787C6CC7}</c15:txfldGUID>
                      <c15:f>Tabla!$I$640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3EE-4606-BC43-5C5BEA1089CD}"/>
                </c:ext>
              </c:extLst>
            </c:dLbl>
            <c:dLbl>
              <c:idx val="7"/>
              <c:tx>
                <c:strRef>
                  <c:f>Tabla!$J$640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{3632CD63-B5ED-42F7-B954-D918CC5A09C3}</c15:txfldGUID>
                      <c15:f>Tabla!$J$640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3EE-4606-BC43-5C5BEA1089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Tabla!$C$640:$J$640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EE-4606-BC43-5C5BEA1089CD}"/>
            </c:ext>
          </c:extLst>
        </c:ser>
        <c:ser>
          <c:idx val="0"/>
          <c:order val="1"/>
          <c:tx>
            <c:strRef>
              <c:f>Tabla!$B$637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{A83B6EB1-7296-46DC-A558-46D2FBEA8CEB}</c15:txfldGUID>
                      <c15:f>Tabla!$C$641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3EE-4606-BC43-5C5BEA1089CD}"/>
                </c:ext>
              </c:extLst>
            </c:dLbl>
            <c:dLbl>
              <c:idx val="1"/>
              <c:tx>
                <c:strRef>
                  <c:f>Tabla!$D$641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{B521FA1A-85E7-40D9-BB03-2C4EB33F184A}</c15:txfldGUID>
                      <c15:f>Tabla!$D$641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3EE-4606-BC43-5C5BEA1089CD}"/>
                </c:ext>
              </c:extLst>
            </c:dLbl>
            <c:dLbl>
              <c:idx val="2"/>
              <c:tx>
                <c:strRef>
                  <c:f>Tabla!$E$641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{BE22353B-6C94-433F-889F-8C1D87E62FF0}</c15:txfldGUID>
                      <c15:f>Tabla!$E$641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3EE-4606-BC43-5C5BEA1089CD}"/>
                </c:ext>
              </c:extLst>
            </c:dLbl>
            <c:dLbl>
              <c:idx val="3"/>
              <c:tx>
                <c:strRef>
                  <c:f>Tabla!$F$641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{17FAABCA-734F-43C2-BB23-DFD0F4CD276A}</c15:txfldGUID>
                      <c15:f>Tabla!$F$641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3EE-4606-BC43-5C5BEA1089CD}"/>
                </c:ext>
              </c:extLst>
            </c:dLbl>
            <c:dLbl>
              <c:idx val="4"/>
              <c:tx>
                <c:strRef>
                  <c:f>Tabla!$G$641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{CE34CB83-47EE-425C-9423-A8DD3F04389B}</c15:txfldGUID>
                      <c15:f>Tabla!$G$641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3EE-4606-BC43-5C5BEA1089CD}"/>
                </c:ext>
              </c:extLst>
            </c:dLbl>
            <c:dLbl>
              <c:idx val="5"/>
              <c:tx>
                <c:strRef>
                  <c:f>Tabla!$H$641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{969936CB-F7EB-40E3-8E08-5008FC17E8F9}</c15:txfldGUID>
                      <c15:f>Tabla!$H$641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3EE-4606-BC43-5C5BEA1089CD}"/>
                </c:ext>
              </c:extLst>
            </c:dLbl>
            <c:dLbl>
              <c:idx val="6"/>
              <c:tx>
                <c:strRef>
                  <c:f>Tabla!$I$641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{22246767-0CDA-48FB-8DA9-37821D32C2AD}</c15:txfldGUID>
                      <c15:f>Tabla!$I$641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3EE-4606-BC43-5C5BEA1089CD}"/>
                </c:ext>
              </c:extLst>
            </c:dLbl>
            <c:dLbl>
              <c:idx val="7"/>
              <c:tx>
                <c:strRef>
                  <c:f>Tabla!$J$641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{58AC0102-611F-41C0-9CA7-F0AB19B494B9}</c15:txfldGUID>
                      <c15:f>Tabla!$J$641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3EE-4606-BC43-5C5BEA1089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Tabla!$C$637:$J$637</c:f>
              <c:numCache>
                <c:formatCode>General</c:formatCode>
                <c:ptCount val="8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3EE-4606-BC43-5C5BEA1089C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8062936"/>
        <c:axId val="308063328"/>
      </c:barChart>
      <c:lineChart>
        <c:grouping val="standard"/>
        <c:varyColors val="0"/>
        <c:ser>
          <c:idx val="1"/>
          <c:order val="2"/>
          <c:tx>
            <c:strRef>
              <c:f>Tabla!$B$636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Tabla!$C$636:$J$636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3EE-4606-BC43-5C5BEA1089CD}"/>
            </c:ext>
          </c:extLst>
        </c:ser>
        <c:ser>
          <c:idx val="2"/>
          <c:order val="3"/>
          <c:tx>
            <c:strRef>
              <c:f>Tabla!$B$638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3EE-4606-BC43-5C5BEA1089CD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Tabla!$C$638:$J$638</c:f>
              <c:numCache>
                <c:formatCode>#,##0</c:formatCode>
                <c:ptCount val="8"/>
                <c:pt idx="0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3EE-4606-BC43-5C5BEA1089C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8062936"/>
        <c:axId val="308063328"/>
      </c:lineChart>
      <c:catAx>
        <c:axId val="308062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8063328"/>
        <c:crosses val="autoZero"/>
        <c:auto val="1"/>
        <c:lblAlgn val="ctr"/>
        <c:lblOffset val="100"/>
        <c:noMultiLvlLbl val="0"/>
      </c:catAx>
      <c:valAx>
        <c:axId val="30806332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3080629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319511785164785E-3"/>
          <c:y val="8.6502900005062416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Tabla!$C$670</c:f>
                  <c:strCache>
                    <c:ptCount val="1"/>
                    <c:pt idx="0">
                      <c:v>89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{9E6B5892-CB4C-4667-97BB-1141100BC14A}</c15:txfldGUID>
                      <c15:f>Tabla!$C$670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22DC-42A3-8590-A6580EBA4715}"/>
                </c:ext>
              </c:extLst>
            </c:dLbl>
            <c:dLbl>
              <c:idx val="1"/>
              <c:tx>
                <c:strRef>
                  <c:f>Tabla!$D$670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{41B150F2-6ECB-4BCF-8620-15A2F5FCCA37}</c15:txfldGUID>
                      <c15:f>Tabla!$D$670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22DC-42A3-8590-A6580EBA4715}"/>
                </c:ext>
              </c:extLst>
            </c:dLbl>
            <c:dLbl>
              <c:idx val="2"/>
              <c:tx>
                <c:strRef>
                  <c:f>Tabla!$E$670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{CC19CEC9-5FB3-4CC0-BE35-3E7ECC14EF58}</c15:txfldGUID>
                      <c15:f>Tabla!$E$670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22DC-42A3-8590-A6580EBA4715}"/>
                </c:ext>
              </c:extLst>
            </c:dLbl>
            <c:dLbl>
              <c:idx val="3"/>
              <c:tx>
                <c:strRef>
                  <c:f>Tabla!$F$670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{7D78375E-0DF8-4350-96AD-9688600DE15B}</c15:txfldGUID>
                      <c15:f>Tabla!$F$670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2DC-42A3-8590-A6580EBA4715}"/>
                </c:ext>
              </c:extLst>
            </c:dLbl>
            <c:dLbl>
              <c:idx val="4"/>
              <c:tx>
                <c:strRef>
                  <c:f>Tabla!$G$670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{FA76FDAF-CBAD-4790-9CC7-78369AEC18DB}</c15:txfldGUID>
                      <c15:f>Tabla!$G$670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22DC-42A3-8590-A6580EBA4715}"/>
                </c:ext>
              </c:extLst>
            </c:dLbl>
            <c:dLbl>
              <c:idx val="5"/>
              <c:tx>
                <c:strRef>
                  <c:f>Tabla!$H$670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{739A3F4D-D091-4A74-8273-0240C381B075}</c15:txfldGUID>
                      <c15:f>Tabla!$H$670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22DC-42A3-8590-A6580EBA4715}"/>
                </c:ext>
              </c:extLst>
            </c:dLbl>
            <c:dLbl>
              <c:idx val="6"/>
              <c:tx>
                <c:strRef>
                  <c:f>Tabla!$I$670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{32596DCA-5740-4898-BC01-F8272D9E7283}</c15:txfldGUID>
                      <c15:f>Tabla!$I$670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2DC-42A3-8590-A6580EBA4715}"/>
                </c:ext>
              </c:extLst>
            </c:dLbl>
            <c:dLbl>
              <c:idx val="7"/>
              <c:tx>
                <c:strRef>
                  <c:f>Tabla!$J$670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{10AAA364-C8C2-4321-81AB-248A4E879EA2}</c15:txfldGUID>
                      <c15:f>Tabla!$J$670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22DC-42A3-8590-A6580EBA4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Tabla!$C$670:$J$670</c:f>
              <c:numCache>
                <c:formatCode>0</c:formatCode>
                <c:ptCount val="8"/>
                <c:pt idx="0">
                  <c:v>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DC-42A3-8590-A6580EBA4715}"/>
            </c:ext>
          </c:extLst>
        </c:ser>
        <c:ser>
          <c:idx val="0"/>
          <c:order val="1"/>
          <c:tx>
            <c:strRef>
              <c:f>Tabla!$B$667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Tabla!$C$671</c:f>
                  <c:strCache>
                    <c:ptCount val="1"/>
                    <c:pt idx="0">
                      <c:v>81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{582A2DF8-0179-4CA2-82AF-81E0DC7792AC}</c15:txfldGUID>
                      <c15:f>Tabla!$C$671</c15:f>
                      <c15:dlblFieldTableCache>
                        <c:ptCount val="1"/>
                        <c:pt idx="0">
                          <c:v>81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22DC-42A3-8590-A6580EBA4715}"/>
                </c:ext>
              </c:extLst>
            </c:dLbl>
            <c:dLbl>
              <c:idx val="1"/>
              <c:tx>
                <c:strRef>
                  <c:f>Tabla!$D$671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{0DB877B5-7E81-4AAC-9256-AA4064DD713B}</c15:txfldGUID>
                      <c15:f>Tabla!$D$671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22DC-42A3-8590-A6580EBA4715}"/>
                </c:ext>
              </c:extLst>
            </c:dLbl>
            <c:dLbl>
              <c:idx val="2"/>
              <c:tx>
                <c:strRef>
                  <c:f>Tabla!$E$671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{205D48F7-7937-4A5C-AB70-71BEAD07636D}</c15:txfldGUID>
                      <c15:f>Tabla!$E$671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22DC-42A3-8590-A6580EBA4715}"/>
                </c:ext>
              </c:extLst>
            </c:dLbl>
            <c:dLbl>
              <c:idx val="3"/>
              <c:tx>
                <c:strRef>
                  <c:f>Tabla!$F$671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{C216B00C-6143-4570-8A1B-7BE05C048F3C}</c15:txfldGUID>
                      <c15:f>Tabla!$F$671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22DC-42A3-8590-A6580EBA4715}"/>
                </c:ext>
              </c:extLst>
            </c:dLbl>
            <c:dLbl>
              <c:idx val="4"/>
              <c:tx>
                <c:strRef>
                  <c:f>Tabla!$G$671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{65BB2A06-013B-413D-B521-4498F8A452BB}</c15:txfldGUID>
                      <c15:f>Tabla!$G$671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2DC-42A3-8590-A6580EBA4715}"/>
                </c:ext>
              </c:extLst>
            </c:dLbl>
            <c:dLbl>
              <c:idx val="5"/>
              <c:tx>
                <c:strRef>
                  <c:f>Tabla!$H$671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{D8BAE0C0-8760-4884-BCA1-5BCE306AB4D8}</c15:txfldGUID>
                      <c15:f>Tabla!$H$671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2DC-42A3-8590-A6580EBA4715}"/>
                </c:ext>
              </c:extLst>
            </c:dLbl>
            <c:dLbl>
              <c:idx val="6"/>
              <c:tx>
                <c:strRef>
                  <c:f>Tabla!$I$671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{DB5579BA-5691-40FA-9AEB-FFD705869E62}</c15:txfldGUID>
                      <c15:f>Tabla!$I$671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2DC-42A3-8590-A6580EBA4715}"/>
                </c:ext>
              </c:extLst>
            </c:dLbl>
            <c:dLbl>
              <c:idx val="7"/>
              <c:tx>
                <c:strRef>
                  <c:f>Tabla!$J$671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{012F6655-0D02-4F80-91A8-B6260F3156A7}</c15:txfldGUID>
                      <c15:f>Tabla!$J$671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2DC-42A3-8590-A6580EBA4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Tabla!$C$667:$J$667</c:f>
              <c:numCache>
                <c:formatCode>General</c:formatCode>
                <c:ptCount val="8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2DC-42A3-8590-A6580EBA471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6566816"/>
        <c:axId val="196567208"/>
      </c:barChart>
      <c:lineChart>
        <c:grouping val="standard"/>
        <c:varyColors val="0"/>
        <c:ser>
          <c:idx val="1"/>
          <c:order val="2"/>
          <c:tx>
            <c:strRef>
              <c:f>Tabla!$B$666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Tabla!$C$666:$J$666</c:f>
              <c:numCache>
                <c:formatCode>General</c:formatCode>
                <c:ptCount val="8"/>
                <c:pt idx="0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2DC-42A3-8590-A6580EBA4715}"/>
            </c:ext>
          </c:extLst>
        </c:ser>
        <c:ser>
          <c:idx val="2"/>
          <c:order val="3"/>
          <c:tx>
            <c:strRef>
              <c:f>Tabla!$B$668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2DC-42A3-8590-A6580EBA4715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Tabla!$C$668:$J$668</c:f>
              <c:numCache>
                <c:formatCode>#,##0</c:formatCode>
                <c:ptCount val="8"/>
                <c:pt idx="0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2DC-42A3-8590-A6580EBA471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66816"/>
        <c:axId val="196567208"/>
      </c:lineChart>
      <c:catAx>
        <c:axId val="196566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7208"/>
        <c:crosses val="autoZero"/>
        <c:auto val="1"/>
        <c:lblAlgn val="ctr"/>
        <c:lblOffset val="100"/>
        <c:noMultiLvlLbl val="0"/>
      </c:catAx>
      <c:valAx>
        <c:axId val="19656720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965668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Tabla!$C$700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{94DA99D8-A709-49E0-A969-F159D41C3A38}</c15:txfldGUID>
                      <c15:f>Tabla!$C$700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D8D-485A-ACFA-868B3927DF7C}"/>
                </c:ext>
              </c:extLst>
            </c:dLbl>
            <c:dLbl>
              <c:idx val="1"/>
              <c:tx>
                <c:strRef>
                  <c:f>Tabla!$D$700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{15727F6B-037C-4F50-8895-3031BC5EE0EE}</c15:txfldGUID>
                      <c15:f>Tabla!$D$700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D8D-485A-ACFA-868B3927DF7C}"/>
                </c:ext>
              </c:extLst>
            </c:dLbl>
            <c:dLbl>
              <c:idx val="2"/>
              <c:tx>
                <c:strRef>
                  <c:f>Tabla!$E$700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{FF654D97-807D-4BA7-A531-83BB67F9D4B3}</c15:txfldGUID>
                      <c15:f>Tabla!$E$700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D8D-485A-ACFA-868B3927DF7C}"/>
                </c:ext>
              </c:extLst>
            </c:dLbl>
            <c:dLbl>
              <c:idx val="3"/>
              <c:tx>
                <c:strRef>
                  <c:f>Tabla!$F$700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{3F4428E6-5C33-410C-BD9A-80599A759AD2}</c15:txfldGUID>
                      <c15:f>Tabla!$F$700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D8D-485A-ACFA-868B3927DF7C}"/>
                </c:ext>
              </c:extLst>
            </c:dLbl>
            <c:dLbl>
              <c:idx val="4"/>
              <c:tx>
                <c:strRef>
                  <c:f>Tabla!$G$700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{B1472693-FBB2-4141-A242-332D0C873D35}</c15:txfldGUID>
                      <c15:f>Tabla!$G$700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D8D-485A-ACFA-868B3927DF7C}"/>
                </c:ext>
              </c:extLst>
            </c:dLbl>
            <c:dLbl>
              <c:idx val="5"/>
              <c:tx>
                <c:strRef>
                  <c:f>Tabla!$H$700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{AF4DDEB8-32F3-4C74-BD81-DF6BE7DB7F83}</c15:txfldGUID>
                      <c15:f>Tabla!$H$700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D8D-485A-ACFA-868B3927DF7C}"/>
                </c:ext>
              </c:extLst>
            </c:dLbl>
            <c:dLbl>
              <c:idx val="6"/>
              <c:tx>
                <c:strRef>
                  <c:f>Tabla!$I$700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{4FD771F8-E8C7-4329-B148-A198F3B07E17}</c15:txfldGUID>
                      <c15:f>Tabla!$I$700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D8D-485A-ACFA-868B3927DF7C}"/>
                </c:ext>
              </c:extLst>
            </c:dLbl>
            <c:dLbl>
              <c:idx val="7"/>
              <c:tx>
                <c:strRef>
                  <c:f>Tabla!$J$700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{87B48058-6703-4408-9329-703DADBFE372}</c15:txfldGUID>
                      <c15:f>Tabla!$J$700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D8D-485A-ACFA-868B3927D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Tabla!$C$700:$J$700</c:f>
              <c:numCache>
                <c:formatCode>0</c:formatCode>
                <c:ptCount val="8"/>
                <c:pt idx="0">
                  <c:v>77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8D-485A-ACFA-868B3927DF7C}"/>
            </c:ext>
          </c:extLst>
        </c:ser>
        <c:ser>
          <c:idx val="0"/>
          <c:order val="1"/>
          <c:tx>
            <c:strRef>
              <c:f>Tabla!$B$697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Tabla!$C$701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{41577349-17F3-4B2E-B679-7D27EF9AEC54}</c15:txfldGUID>
                      <c15:f>Tabla!$C$701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D8D-485A-ACFA-868B3927DF7C}"/>
                </c:ext>
              </c:extLst>
            </c:dLbl>
            <c:dLbl>
              <c:idx val="1"/>
              <c:tx>
                <c:strRef>
                  <c:f>Tabla!$D$701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{CCEAC4D6-F170-4779-B3F7-42E92CA7BEFA}</c15:txfldGUID>
                      <c15:f>Tabla!$D$701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D8D-485A-ACFA-868B3927DF7C}"/>
                </c:ext>
              </c:extLst>
            </c:dLbl>
            <c:dLbl>
              <c:idx val="2"/>
              <c:tx>
                <c:strRef>
                  <c:f>Tabla!$E$701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{83485C76-C561-4DCD-907D-9E11AD10BFA6}</c15:txfldGUID>
                      <c15:f>Tabla!$E$701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D8D-485A-ACFA-868B3927DF7C}"/>
                </c:ext>
              </c:extLst>
            </c:dLbl>
            <c:dLbl>
              <c:idx val="3"/>
              <c:tx>
                <c:strRef>
                  <c:f>Tabla!$F$701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{E5D200E9-BF78-42F2-8C6C-B74A350290BA}</c15:txfldGUID>
                      <c15:f>Tabla!$F$701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D8D-485A-ACFA-868B3927DF7C}"/>
                </c:ext>
              </c:extLst>
            </c:dLbl>
            <c:dLbl>
              <c:idx val="4"/>
              <c:tx>
                <c:strRef>
                  <c:f>Tabla!$G$701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{E36D6121-2676-4442-A641-384D617321AB}</c15:txfldGUID>
                      <c15:f>Tabla!$G$701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D8D-485A-ACFA-868B3927DF7C}"/>
                </c:ext>
              </c:extLst>
            </c:dLbl>
            <c:dLbl>
              <c:idx val="5"/>
              <c:tx>
                <c:strRef>
                  <c:f>Tabla!$H$701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{7B5B8F9C-8405-4CA0-A3B0-3BCDE92975ED}</c15:txfldGUID>
                      <c15:f>Tabla!$H$701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D8D-485A-ACFA-868B3927DF7C}"/>
                </c:ext>
              </c:extLst>
            </c:dLbl>
            <c:dLbl>
              <c:idx val="6"/>
              <c:tx>
                <c:strRef>
                  <c:f>Tabla!$I$701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{D003E66B-B9C0-4214-B154-ED72E911198E}</c15:txfldGUID>
                      <c15:f>Tabla!$I$701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D8D-485A-ACFA-868B3927DF7C}"/>
                </c:ext>
              </c:extLst>
            </c:dLbl>
            <c:dLbl>
              <c:idx val="7"/>
              <c:tx>
                <c:strRef>
                  <c:f>Tabla!$J$701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{22E66DF4-6BA1-440F-B329-58964221DB11}</c15:txfldGUID>
                      <c15:f>Tabla!$J$701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D8D-485A-ACFA-868B3927D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Tabla!$C$697:$J$697</c:f>
              <c:numCache>
                <c:formatCode>General</c:formatCode>
                <c:ptCount val="8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8D-485A-ACFA-868B3927DF7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6567992"/>
        <c:axId val="196568384"/>
      </c:barChart>
      <c:lineChart>
        <c:grouping val="standard"/>
        <c:varyColors val="0"/>
        <c:ser>
          <c:idx val="1"/>
          <c:order val="2"/>
          <c:tx>
            <c:strRef>
              <c:f>Tabla!$B$696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Tabla!$C$696:$J$696</c:f>
              <c:numCache>
                <c:formatCode>General</c:formatCode>
                <c:ptCount val="8"/>
                <c:pt idx="0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D8D-485A-ACFA-868B3927DF7C}"/>
            </c:ext>
          </c:extLst>
        </c:ser>
        <c:ser>
          <c:idx val="2"/>
          <c:order val="3"/>
          <c:tx>
            <c:strRef>
              <c:f>Tabla!$B$698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D8D-485A-ACFA-868B3927DF7C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Tabla!$C$698:$J$698</c:f>
              <c:numCache>
                <c:formatCode>#,##0</c:formatCode>
                <c:ptCount val="8"/>
                <c:pt idx="0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D8D-485A-ACFA-868B3927DF7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67992"/>
        <c:axId val="196568384"/>
      </c:lineChart>
      <c:catAx>
        <c:axId val="196567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8384"/>
        <c:crosses val="autoZero"/>
        <c:auto val="1"/>
        <c:lblAlgn val="ctr"/>
        <c:lblOffset val="100"/>
        <c:noMultiLvlLbl val="0"/>
      </c:catAx>
      <c:valAx>
        <c:axId val="19656838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965679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Tabla!$B$727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{47B2A481-7E39-4D8B-9B2E-6EA1244347D0}</c15:txfldGUID>
                      <c15:f>Tabla!$C$730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E57-417D-BEFE-A5E4DD28D151}"/>
                </c:ext>
              </c:extLst>
            </c:dLbl>
            <c:dLbl>
              <c:idx val="1"/>
              <c:tx>
                <c:strRef>
                  <c:f>Tabla!$D$730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{26066960-AF19-452E-A120-56D1ED93705D}</c15:txfldGUID>
                      <c15:f>Tabla!$D$730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E57-417D-BEFE-A5E4DD28D151}"/>
                </c:ext>
              </c:extLst>
            </c:dLbl>
            <c:dLbl>
              <c:idx val="2"/>
              <c:tx>
                <c:strRef>
                  <c:f>Tabla!$E$730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{C691FE38-FC6A-470B-A6D6-BCA19DDD463C}</c15:txfldGUID>
                      <c15:f>Tabla!$E$730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7E57-417D-BEFE-A5E4DD28D151}"/>
                </c:ext>
              </c:extLst>
            </c:dLbl>
            <c:dLbl>
              <c:idx val="3"/>
              <c:tx>
                <c:strRef>
                  <c:f>Tabla!$F$730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{364A81D1-3C54-4AB7-80A1-8759C1F334EC}</c15:txfldGUID>
                      <c15:f>Tabla!$F$730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E57-417D-BEFE-A5E4DD28D151}"/>
                </c:ext>
              </c:extLst>
            </c:dLbl>
            <c:dLbl>
              <c:idx val="4"/>
              <c:tx>
                <c:strRef>
                  <c:f>Tabla!$G$730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{AEEDC314-4A86-4516-BC87-AF74C34F286A}</c15:txfldGUID>
                      <c15:f>Tabla!$G$730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E57-417D-BEFE-A5E4DD28D151}"/>
                </c:ext>
              </c:extLst>
            </c:dLbl>
            <c:dLbl>
              <c:idx val="5"/>
              <c:tx>
                <c:strRef>
                  <c:f>Tabla!$H$730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{9A630D69-BC4D-4CD5-BA86-6FAC817108FE}</c15:txfldGUID>
                      <c15:f>Tabla!$H$730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E57-417D-BEFE-A5E4DD28D151}"/>
                </c:ext>
              </c:extLst>
            </c:dLbl>
            <c:dLbl>
              <c:idx val="6"/>
              <c:tx>
                <c:strRef>
                  <c:f>Tabla!$I$730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{6A380B61-50BA-4D3B-90C0-367E5A2F473C}</c15:txfldGUID>
                      <c15:f>Tabla!$I$730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E57-417D-BEFE-A5E4DD28D151}"/>
                </c:ext>
              </c:extLst>
            </c:dLbl>
            <c:dLbl>
              <c:idx val="7"/>
              <c:tx>
                <c:strRef>
                  <c:f>Tabla!$J$730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{A8280D28-C693-41FB-94B8-0AA1B93D8A50}</c15:txfldGUID>
                      <c15:f>Tabla!$J$730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E57-417D-BEFE-A5E4DD28D1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Tabla!$C$730:$J$730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57-417D-BEFE-A5E4DD28D151}"/>
            </c:ext>
          </c:extLst>
        </c:ser>
        <c:ser>
          <c:idx val="0"/>
          <c:order val="1"/>
          <c:tx>
            <c:strRef>
              <c:f>Tabla!$B$727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{9BC3F7D1-2615-4ECF-99DC-1CBA648AAADB}</c15:txfldGUID>
                      <c15:f>Tabla!$C$731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E57-417D-BEFE-A5E4DD28D151}"/>
                </c:ext>
              </c:extLst>
            </c:dLbl>
            <c:dLbl>
              <c:idx val="1"/>
              <c:tx>
                <c:strRef>
                  <c:f>Tabla!$D$731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{0B005EE7-EEEF-4B7B-A4C2-302972ACFB85}</c15:txfldGUID>
                      <c15:f>Tabla!$D$731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E57-417D-BEFE-A5E4DD28D151}"/>
                </c:ext>
              </c:extLst>
            </c:dLbl>
            <c:dLbl>
              <c:idx val="2"/>
              <c:tx>
                <c:strRef>
                  <c:f>Tabla!$E$731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{21C92B6B-FF70-4900-B9DE-DFAFD4E7D9C6}</c15:txfldGUID>
                      <c15:f>Tabla!$E$731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7E57-417D-BEFE-A5E4DD28D151}"/>
                </c:ext>
              </c:extLst>
            </c:dLbl>
            <c:dLbl>
              <c:idx val="3"/>
              <c:tx>
                <c:strRef>
                  <c:f>Tabla!$F$731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{10501B96-B207-4B31-A3C5-C1094B8B8808}</c15:txfldGUID>
                      <c15:f>Tabla!$F$731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7E57-417D-BEFE-A5E4DD28D151}"/>
                </c:ext>
              </c:extLst>
            </c:dLbl>
            <c:dLbl>
              <c:idx val="4"/>
              <c:tx>
                <c:strRef>
                  <c:f>Tabla!$G$731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{E932F964-0971-4C16-B380-C250CBFD01AB}</c15:txfldGUID>
                      <c15:f>Tabla!$G$731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7E57-417D-BEFE-A5E4DD28D151}"/>
                </c:ext>
              </c:extLst>
            </c:dLbl>
            <c:dLbl>
              <c:idx val="5"/>
              <c:tx>
                <c:strRef>
                  <c:f>Tabla!$H$731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{35E59BB2-CCC3-45BE-B3DD-2B09B4D0D7C5}</c15:txfldGUID>
                      <c15:f>Tabla!$H$731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7E57-417D-BEFE-A5E4DD28D151}"/>
                </c:ext>
              </c:extLst>
            </c:dLbl>
            <c:dLbl>
              <c:idx val="6"/>
              <c:tx>
                <c:strRef>
                  <c:f>Tabla!$I$731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{EF3A9C5F-201C-4175-86CC-41E27D485C15}</c15:txfldGUID>
                      <c15:f>Tabla!$I$731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7E57-417D-BEFE-A5E4DD28D151}"/>
                </c:ext>
              </c:extLst>
            </c:dLbl>
            <c:dLbl>
              <c:idx val="7"/>
              <c:tx>
                <c:strRef>
                  <c:f>Tabla!$J$731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{4A270234-CF91-4F52-8801-C943595B4222}</c15:txfldGUID>
                      <c15:f>Tabla!$J$731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E57-417D-BEFE-A5E4DD28D1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Tabla!$C$727:$J$727</c:f>
              <c:numCache>
                <c:formatCode>General</c:formatCode>
                <c:ptCount val="8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57-417D-BEFE-A5E4DD28D15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6569168"/>
        <c:axId val="196569560"/>
      </c:barChart>
      <c:lineChart>
        <c:grouping val="standard"/>
        <c:varyColors val="0"/>
        <c:ser>
          <c:idx val="1"/>
          <c:order val="2"/>
          <c:tx>
            <c:strRef>
              <c:f>Tabla!$B$726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1.1906903764882673E-2"/>
                  <c:y val="-0.1578322846570594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E57-417D-BEFE-A5E4DD28D151}"/>
                </c:ext>
              </c:extLst>
            </c:dLbl>
            <c:dLbl>
              <c:idx val="1"/>
              <c:layout>
                <c:manualLayout>
                  <c:x val="-2.8251226918147888E-2"/>
                  <c:y val="-0.127788998669106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E57-417D-BEFE-A5E4DD28D1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Tabla!$C$726:$J$726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E57-417D-BEFE-A5E4DD28D151}"/>
            </c:ext>
          </c:extLst>
        </c:ser>
        <c:ser>
          <c:idx val="2"/>
          <c:order val="3"/>
          <c:tx>
            <c:strRef>
              <c:f>Tabla!$B$728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E57-417D-BEFE-A5E4DD28D151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Tabla!$C$728:$J$728</c:f>
              <c:numCache>
                <c:formatCode>#,##0</c:formatCode>
                <c:ptCount val="8"/>
                <c:pt idx="0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E57-417D-BEFE-A5E4DD28D15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69168"/>
        <c:axId val="196569560"/>
      </c:lineChart>
      <c:catAx>
        <c:axId val="196569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9560"/>
        <c:crosses val="autoZero"/>
        <c:auto val="1"/>
        <c:lblAlgn val="ctr"/>
        <c:lblOffset val="100"/>
        <c:noMultiLvlLbl val="0"/>
      </c:catAx>
      <c:valAx>
        <c:axId val="19656956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965691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Tabla!$B$757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{8BD5C229-B4D5-4090-8A6D-45A62CD9B3A4}</c15:txfldGUID>
                      <c15:f>Tabla!$C$760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7B5-4C3B-9738-36B8B952BDEC}"/>
                </c:ext>
              </c:extLst>
            </c:dLbl>
            <c:dLbl>
              <c:idx val="1"/>
              <c:tx>
                <c:strRef>
                  <c:f>Tabla!$D$760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{32D443AA-54A0-4C03-9573-4E7CD90F82C7}</c15:txfldGUID>
                      <c15:f>Tabla!$D$760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7B5-4C3B-9738-36B8B952BDEC}"/>
                </c:ext>
              </c:extLst>
            </c:dLbl>
            <c:dLbl>
              <c:idx val="2"/>
              <c:tx>
                <c:strRef>
                  <c:f>Tabla!$E$760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{9254D5F7-7523-4E17-8393-0BE9ECEA3ABC}</c15:txfldGUID>
                      <c15:f>Tabla!$E$760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7B5-4C3B-9738-36B8B952BDEC}"/>
                </c:ext>
              </c:extLst>
            </c:dLbl>
            <c:dLbl>
              <c:idx val="3"/>
              <c:tx>
                <c:strRef>
                  <c:f>Tabla!$F$760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{BDAEA5D2-AA7D-4840-A71E-291D8667D956}</c15:txfldGUID>
                      <c15:f>Tabla!$F$760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7B5-4C3B-9738-36B8B952BDEC}"/>
                </c:ext>
              </c:extLst>
            </c:dLbl>
            <c:dLbl>
              <c:idx val="4"/>
              <c:tx>
                <c:strRef>
                  <c:f>Tabla!$G$760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{C2919343-47B1-47B1-A5C7-6415ADB45D9B}</c15:txfldGUID>
                      <c15:f>Tabla!$G$760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7B5-4C3B-9738-36B8B952BDEC}"/>
                </c:ext>
              </c:extLst>
            </c:dLbl>
            <c:dLbl>
              <c:idx val="5"/>
              <c:tx>
                <c:strRef>
                  <c:f>Tabla!$H$760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{D4BE71C4-F61D-46DB-800A-37953D7F5E87}</c15:txfldGUID>
                      <c15:f>Tabla!$H$760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7B5-4C3B-9738-36B8B952BDEC}"/>
                </c:ext>
              </c:extLst>
            </c:dLbl>
            <c:dLbl>
              <c:idx val="6"/>
              <c:tx>
                <c:strRef>
                  <c:f>Tabla!$I$760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{116CF989-3088-4C65-BBB2-49EECE4B0EEE}</c15:txfldGUID>
                      <c15:f>Tabla!$I$760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7B5-4C3B-9738-36B8B952BDEC}"/>
                </c:ext>
              </c:extLst>
            </c:dLbl>
            <c:dLbl>
              <c:idx val="7"/>
              <c:tx>
                <c:strRef>
                  <c:f>Tabla!$J$760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{371135F5-BE12-48DA-8C2C-FF4665DD139E}</c15:txfldGUID>
                      <c15:f>Tabla!$J$760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7B5-4C3B-9738-36B8B952BD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Tabla!$C$760:$J$760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B5-4C3B-9738-36B8B952BDEC}"/>
            </c:ext>
          </c:extLst>
        </c:ser>
        <c:ser>
          <c:idx val="0"/>
          <c:order val="1"/>
          <c:tx>
            <c:strRef>
              <c:f>Tabla!$B$757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{A8674A28-4DEB-458E-9D82-280E701C7478}</c15:txfldGUID>
                      <c15:f>Tabla!$C$761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7B5-4C3B-9738-36B8B952BDEC}"/>
                </c:ext>
              </c:extLst>
            </c:dLbl>
            <c:dLbl>
              <c:idx val="1"/>
              <c:tx>
                <c:strRef>
                  <c:f>Tabla!$D$761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{5D5E7251-A4C3-4DE7-A613-BBDC7022F8CC}</c15:txfldGUID>
                      <c15:f>Tabla!$D$761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7B5-4C3B-9738-36B8B952BDEC}"/>
                </c:ext>
              </c:extLst>
            </c:dLbl>
            <c:dLbl>
              <c:idx val="2"/>
              <c:tx>
                <c:strRef>
                  <c:f>Tabla!$E$761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{DA07005B-1629-4A56-9A2E-154A9A1AA359}</c15:txfldGUID>
                      <c15:f>Tabla!$E$761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7B5-4C3B-9738-36B8B952BDEC}"/>
                </c:ext>
              </c:extLst>
            </c:dLbl>
            <c:dLbl>
              <c:idx val="3"/>
              <c:tx>
                <c:strRef>
                  <c:f>Tabla!$F$761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{CB86FC42-D656-4B5D-B424-A03DED376231}</c15:txfldGUID>
                      <c15:f>Tabla!$F$761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7B5-4C3B-9738-36B8B952BDEC}"/>
                </c:ext>
              </c:extLst>
            </c:dLbl>
            <c:dLbl>
              <c:idx val="4"/>
              <c:tx>
                <c:strRef>
                  <c:f>Tabla!$G$761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{2A603FA5-6A89-4AC2-91E2-C0B1242BC687}</c15:txfldGUID>
                      <c15:f>Tabla!$G$761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7B5-4C3B-9738-36B8B952BDEC}"/>
                </c:ext>
              </c:extLst>
            </c:dLbl>
            <c:dLbl>
              <c:idx val="5"/>
              <c:tx>
                <c:strRef>
                  <c:f>Tabla!$H$761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{5CB30B3E-8EE4-426B-9A34-91BFC1805DE2}</c15:txfldGUID>
                      <c15:f>Tabla!$H$761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7B5-4C3B-9738-36B8B952BDEC}"/>
                </c:ext>
              </c:extLst>
            </c:dLbl>
            <c:dLbl>
              <c:idx val="6"/>
              <c:tx>
                <c:strRef>
                  <c:f>Tabla!$I$761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{AA349AD2-0719-4344-A5EA-C9BB9167E509}</c15:txfldGUID>
                      <c15:f>Tabla!$I$761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7B5-4C3B-9738-36B8B952BDEC}"/>
                </c:ext>
              </c:extLst>
            </c:dLbl>
            <c:dLbl>
              <c:idx val="7"/>
              <c:tx>
                <c:strRef>
                  <c:f>Tabla!$J$761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{C5E74A35-E529-4DF6-9930-F7E2F04AA60A}</c15:txfldGUID>
                      <c15:f>Tabla!$J$761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7B5-4C3B-9738-36B8B952BD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Tabla!$C$757:$J$757</c:f>
              <c:numCache>
                <c:formatCode>General</c:formatCode>
                <c:ptCount val="8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7B5-4C3B-9738-36B8B952BDE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252184"/>
        <c:axId val="296252576"/>
      </c:barChart>
      <c:lineChart>
        <c:grouping val="standard"/>
        <c:varyColors val="0"/>
        <c:ser>
          <c:idx val="1"/>
          <c:order val="2"/>
          <c:tx>
            <c:strRef>
              <c:f>Tabla!$B$756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4"/>
              <c:layout>
                <c:manualLayout>
                  <c:x val="-5.1055043767248579E-2"/>
                  <c:y val="4.64620600610233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7B5-4C3B-9738-36B8B952BD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Tabla!$C$756:$J$756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7B5-4C3B-9738-36B8B952BDEC}"/>
            </c:ext>
          </c:extLst>
        </c:ser>
        <c:ser>
          <c:idx val="2"/>
          <c:order val="3"/>
          <c:tx>
            <c:strRef>
              <c:f>Tabla!$B$758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7B5-4C3B-9738-36B8B952BDEC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Tabla!$C$758:$J$758</c:f>
              <c:numCache>
                <c:formatCode>#,##0</c:formatCode>
                <c:ptCount val="8"/>
                <c:pt idx="0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7B5-4C3B-9738-36B8B952BDE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6252184"/>
        <c:axId val="296252576"/>
      </c:lineChart>
      <c:catAx>
        <c:axId val="296252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6252576"/>
        <c:crosses val="autoZero"/>
        <c:auto val="1"/>
        <c:lblAlgn val="ctr"/>
        <c:lblOffset val="100"/>
        <c:noMultiLvlLbl val="0"/>
      </c:catAx>
      <c:valAx>
        <c:axId val="29625257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962521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Tabla!$B$787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{C8FFE3F7-7E8F-424D-BA96-2ED4E62C217C}</c15:txfldGUID>
                      <c15:f>Tabla!$C$790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033-4B1E-A322-F39424E84A9D}"/>
                </c:ext>
              </c:extLst>
            </c:dLbl>
            <c:dLbl>
              <c:idx val="1"/>
              <c:tx>
                <c:strRef>
                  <c:f>Tabla!$D$790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{14460905-840C-4F02-8C4F-28CA424653E7}</c15:txfldGUID>
                      <c15:f>Tabla!$D$790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033-4B1E-A322-F39424E84A9D}"/>
                </c:ext>
              </c:extLst>
            </c:dLbl>
            <c:dLbl>
              <c:idx val="2"/>
              <c:tx>
                <c:strRef>
                  <c:f>Tabla!$E$790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{3665F5CE-19E9-40F7-94CF-6898A03123F4}</c15:txfldGUID>
                      <c15:f>Tabla!$E$790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033-4B1E-A322-F39424E84A9D}"/>
                </c:ext>
              </c:extLst>
            </c:dLbl>
            <c:dLbl>
              <c:idx val="3"/>
              <c:tx>
                <c:strRef>
                  <c:f>Tabla!$F$790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{DD74BBE8-33DB-47AB-B4E2-29A5BCF4AEA0}</c15:txfldGUID>
                      <c15:f>Tabla!$F$790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033-4B1E-A322-F39424E84A9D}"/>
                </c:ext>
              </c:extLst>
            </c:dLbl>
            <c:dLbl>
              <c:idx val="4"/>
              <c:tx>
                <c:strRef>
                  <c:f>Tabla!$G$790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{40702FD0-3786-47CC-8A0A-4B13B7711F76}</c15:txfldGUID>
                      <c15:f>Tabla!$G$790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033-4B1E-A322-F39424E84A9D}"/>
                </c:ext>
              </c:extLst>
            </c:dLbl>
            <c:dLbl>
              <c:idx val="5"/>
              <c:tx>
                <c:strRef>
                  <c:f>Tabla!$H$790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{754FAA71-5A3E-4E82-AC53-61E12FE80BFA}</c15:txfldGUID>
                      <c15:f>Tabla!$H$790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033-4B1E-A322-F39424E84A9D}"/>
                </c:ext>
              </c:extLst>
            </c:dLbl>
            <c:dLbl>
              <c:idx val="6"/>
              <c:tx>
                <c:strRef>
                  <c:f>Tabla!$I$790</c:f>
                  <c:strCache>
                    <c:ptCount val="1"/>
                    <c:pt idx="0">
                      <c:v>75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{372412B6-C9B8-4C3F-9F1D-A0CF5A63FCB2}</c15:txfldGUID>
                      <c15:f>Tabla!$I$790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033-4B1E-A322-F39424E84A9D}"/>
                </c:ext>
              </c:extLst>
            </c:dLbl>
            <c:dLbl>
              <c:idx val="7"/>
              <c:tx>
                <c:strRef>
                  <c:f>Tabla!$J$790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{345964DE-2049-4715-A2EF-9F8A51C6C1AA}</c15:txfldGUID>
                      <c15:f>Tabla!$J$790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033-4B1E-A322-F39424E84A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Tabla!$C$790:$J$790</c:f>
              <c:numCache>
                <c:formatCode>0</c:formatCode>
                <c:ptCount val="8"/>
                <c:pt idx="0">
                  <c:v>0</c:v>
                </c:pt>
                <c:pt idx="1">
                  <c:v>70</c:v>
                </c:pt>
                <c:pt idx="2">
                  <c:v>0</c:v>
                </c:pt>
                <c:pt idx="3">
                  <c:v>73</c:v>
                </c:pt>
                <c:pt idx="4">
                  <c:v>0</c:v>
                </c:pt>
                <c:pt idx="5">
                  <c:v>83</c:v>
                </c:pt>
                <c:pt idx="6">
                  <c:v>75</c:v>
                </c:pt>
                <c:pt idx="7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33-4B1E-A322-F39424E84A9D}"/>
            </c:ext>
          </c:extLst>
        </c:ser>
        <c:ser>
          <c:idx val="0"/>
          <c:order val="1"/>
          <c:tx>
            <c:strRef>
              <c:f>Tabla!$B$787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{1E9D0533-B3C1-4FCE-A0A4-E2DD317A0614}</c15:txfldGUID>
                      <c15:f>Tabla!$C$791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033-4B1E-A322-F39424E84A9D}"/>
                </c:ext>
              </c:extLst>
            </c:dLbl>
            <c:dLbl>
              <c:idx val="1"/>
              <c:tx>
                <c:strRef>
                  <c:f>Tabla!$D$791</c:f>
                  <c:strCache>
                    <c:ptCount val="1"/>
                    <c:pt idx="0">
                      <c:v>65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{87FBBBBA-3CD1-4FAF-806C-C7857912E0B7}</c15:txfldGUID>
                      <c15:f>Tabla!$D$791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033-4B1E-A322-F39424E84A9D}"/>
                </c:ext>
              </c:extLst>
            </c:dLbl>
            <c:dLbl>
              <c:idx val="2"/>
              <c:tx>
                <c:strRef>
                  <c:f>Tabla!$E$791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{E686ADA0-E70E-4039-B5E9-685487CD3C42}</c15:txfldGUID>
                      <c15:f>Tabla!$E$791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033-4B1E-A322-F39424E84A9D}"/>
                </c:ext>
              </c:extLst>
            </c:dLbl>
            <c:dLbl>
              <c:idx val="3"/>
              <c:tx>
                <c:strRef>
                  <c:f>Tabla!$F$791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{4FE94BF2-D13A-48AE-8311-0F7F2A81219E}</c15:txfldGUID>
                      <c15:f>Tabla!$F$791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033-4B1E-A322-F39424E84A9D}"/>
                </c:ext>
              </c:extLst>
            </c:dLbl>
            <c:dLbl>
              <c:idx val="4"/>
              <c:tx>
                <c:strRef>
                  <c:f>Tabla!$G$791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{57E68BBA-3E98-4A7C-BEF9-5581895FBC58}</c15:txfldGUID>
                      <c15:f>Tabla!$G$791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033-4B1E-A322-F39424E84A9D}"/>
                </c:ext>
              </c:extLst>
            </c:dLbl>
            <c:dLbl>
              <c:idx val="5"/>
              <c:tx>
                <c:strRef>
                  <c:f>Tabla!$H$791</c:f>
                  <c:strCache>
                    <c:ptCount val="1"/>
                    <c:pt idx="0">
                      <c:v>81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{E3342395-CE3E-4ADA-A0D4-0F973097341C}</c15:txfldGUID>
                      <c15:f>Tabla!$H$791</c15:f>
                      <c15:dlblFieldTableCache>
                        <c:ptCount val="1"/>
                        <c:pt idx="0">
                          <c:v>81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033-4B1E-A322-F39424E84A9D}"/>
                </c:ext>
              </c:extLst>
            </c:dLbl>
            <c:dLbl>
              <c:idx val="6"/>
              <c:tx>
                <c:strRef>
                  <c:f>Tabla!$I$791</c:f>
                  <c:strCache>
                    <c:ptCount val="1"/>
                    <c:pt idx="0">
                      <c:v>62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{20CBC16F-D750-4834-B460-1AEF9D39C7C9}</c15:txfldGUID>
                      <c15:f>Tabla!$I$791</c15:f>
                      <c15:dlblFieldTableCache>
                        <c:ptCount val="1"/>
                        <c:pt idx="0">
                          <c:v>62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033-4B1E-A322-F39424E84A9D}"/>
                </c:ext>
              </c:extLst>
            </c:dLbl>
            <c:dLbl>
              <c:idx val="7"/>
              <c:tx>
                <c:strRef>
                  <c:f>Tabla!$J$791</c:f>
                  <c:strCache>
                    <c:ptCount val="1"/>
                    <c:pt idx="0">
                      <c:v>75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{4BA6B70B-876A-4C1C-97C1-DB5DCC5A1326}</c15:txfldGUID>
                      <c15:f>Tabla!$J$791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033-4B1E-A322-F39424E84A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Tabla!$C$787:$J$787</c:f>
              <c:numCache>
                <c:formatCode>General</c:formatCode>
                <c:ptCount val="8"/>
                <c:pt idx="0">
                  <c:v>0</c:v>
                </c:pt>
                <c:pt idx="1">
                  <c:v>65</c:v>
                </c:pt>
                <c:pt idx="2">
                  <c:v>77</c:v>
                </c:pt>
                <c:pt idx="3">
                  <c:v>73</c:v>
                </c:pt>
                <c:pt idx="4">
                  <c:v>0</c:v>
                </c:pt>
                <c:pt idx="5">
                  <c:v>81</c:v>
                </c:pt>
                <c:pt idx="6">
                  <c:v>62</c:v>
                </c:pt>
                <c:pt idx="7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033-4B1E-A322-F39424E84A9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253360"/>
        <c:axId val="296253752"/>
      </c:barChart>
      <c:lineChart>
        <c:grouping val="standard"/>
        <c:varyColors val="0"/>
        <c:ser>
          <c:idx val="1"/>
          <c:order val="2"/>
          <c:tx>
            <c:strRef>
              <c:f>Tabla!$B$786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Tabla!$C$786:$J$786</c:f>
              <c:numCache>
                <c:formatCode>General</c:formatCode>
                <c:ptCount val="8"/>
                <c:pt idx="1">
                  <c:v>33</c:v>
                </c:pt>
                <c:pt idx="2">
                  <c:v>82</c:v>
                </c:pt>
                <c:pt idx="3">
                  <c:v>63</c:v>
                </c:pt>
                <c:pt idx="5">
                  <c:v>89</c:v>
                </c:pt>
                <c:pt idx="6">
                  <c:v>59</c:v>
                </c:pt>
                <c:pt idx="7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033-4B1E-A322-F39424E84A9D}"/>
            </c:ext>
          </c:extLst>
        </c:ser>
        <c:ser>
          <c:idx val="2"/>
          <c:order val="3"/>
          <c:tx>
            <c:strRef>
              <c:f>Tabla!$B$788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033-4B1E-A322-F39424E84A9D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Tabla!$C$788:$J$788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 formatCode="General">
                  <c:v>69</c:v>
                </c:pt>
                <c:pt idx="6" formatCode="General">
                  <c:v>69</c:v>
                </c:pt>
                <c:pt idx="7" formatCode="General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033-4B1E-A322-F39424E84A9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6253360"/>
        <c:axId val="296253752"/>
      </c:lineChart>
      <c:catAx>
        <c:axId val="296253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6253752"/>
        <c:crosses val="autoZero"/>
        <c:auto val="1"/>
        <c:lblAlgn val="ctr"/>
        <c:lblOffset val="100"/>
        <c:noMultiLvlLbl val="0"/>
      </c:catAx>
      <c:valAx>
        <c:axId val="29625375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962533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Tabla!$B$817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{FF971C65-EC1C-4666-9B5D-9B12F72A04B0}</c15:txfldGUID>
                      <c15:f>Tabla!$C$820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07B-49E7-BBBA-5BF041109058}"/>
                </c:ext>
              </c:extLst>
            </c:dLbl>
            <c:dLbl>
              <c:idx val="1"/>
              <c:tx>
                <c:strRef>
                  <c:f>Tabla!$D$820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{8DCC220F-8F05-4265-A903-3C6B24DBD4F0}</c15:txfldGUID>
                      <c15:f>Tabla!$D$820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07B-49E7-BBBA-5BF041109058}"/>
                </c:ext>
              </c:extLst>
            </c:dLbl>
            <c:dLbl>
              <c:idx val="2"/>
              <c:tx>
                <c:strRef>
                  <c:f>Tabla!$E$820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{4069417F-43DD-4DF0-AB5F-05BDDF7E4922}</c15:txfldGUID>
                      <c15:f>Tabla!$E$820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07B-49E7-BBBA-5BF041109058}"/>
                </c:ext>
              </c:extLst>
            </c:dLbl>
            <c:dLbl>
              <c:idx val="3"/>
              <c:tx>
                <c:strRef>
                  <c:f>Tabla!$F$820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{5198E14F-74C5-4BCF-9169-FA6CD63EAC3A}</c15:txfldGUID>
                      <c15:f>Tabla!$F$820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07B-49E7-BBBA-5BF041109058}"/>
                </c:ext>
              </c:extLst>
            </c:dLbl>
            <c:dLbl>
              <c:idx val="4"/>
              <c:tx>
                <c:strRef>
                  <c:f>Tabla!$G$820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{D8E2AA32-9F59-4205-94A5-C0862E2C0DD0}</c15:txfldGUID>
                      <c15:f>Tabla!$G$820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07B-49E7-BBBA-5BF041109058}"/>
                </c:ext>
              </c:extLst>
            </c:dLbl>
            <c:dLbl>
              <c:idx val="5"/>
              <c:tx>
                <c:strRef>
                  <c:f>Tabla!$H$820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{D9A8ECB2-27E4-4582-858A-CB96367E90AD}</c15:txfldGUID>
                      <c15:f>Tabla!$H$820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07B-49E7-BBBA-5BF041109058}"/>
                </c:ext>
              </c:extLst>
            </c:dLbl>
            <c:dLbl>
              <c:idx val="6"/>
              <c:tx>
                <c:strRef>
                  <c:f>Tabla!$I$820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{0A7890C2-55B7-47F8-AFDD-38848D1DF9A7}</c15:txfldGUID>
                      <c15:f>Tabla!$I$820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07B-49E7-BBBA-5BF041109058}"/>
                </c:ext>
              </c:extLst>
            </c:dLbl>
            <c:dLbl>
              <c:idx val="7"/>
              <c:tx>
                <c:strRef>
                  <c:f>Tabla!$J$820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{91FB37E4-3802-459D-B435-8C2BEF836566}</c15:txfldGUID>
                      <c15:f>Tabla!$J$820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07B-49E7-BBBA-5BF0411090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Tabla!$C$820:$J$820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7B-49E7-BBBA-5BF041109058}"/>
            </c:ext>
          </c:extLst>
        </c:ser>
        <c:ser>
          <c:idx val="0"/>
          <c:order val="1"/>
          <c:tx>
            <c:strRef>
              <c:f>Tabla!$B$817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{54995E69-36DA-4D0B-B949-CB9DB731EE94}</c15:txfldGUID>
                      <c15:f>Tabla!$C$821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07B-49E7-BBBA-5BF041109058}"/>
                </c:ext>
              </c:extLst>
            </c:dLbl>
            <c:dLbl>
              <c:idx val="1"/>
              <c:tx>
                <c:strRef>
                  <c:f>Tabla!$D$821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{7363387B-ADD7-4DDA-B0B9-2C0C38840D28}</c15:txfldGUID>
                      <c15:f>Tabla!$D$821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07B-49E7-BBBA-5BF041109058}"/>
                </c:ext>
              </c:extLst>
            </c:dLbl>
            <c:dLbl>
              <c:idx val="2"/>
              <c:tx>
                <c:strRef>
                  <c:f>Tabla!$E$821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{B1B1B73D-2E17-4738-AA96-C817D0B53591}</c15:txfldGUID>
                      <c15:f>Tabla!$E$821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07B-49E7-BBBA-5BF041109058}"/>
                </c:ext>
              </c:extLst>
            </c:dLbl>
            <c:dLbl>
              <c:idx val="3"/>
              <c:tx>
                <c:strRef>
                  <c:f>Tabla!$F$821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{6D1C26B4-7825-42AC-B5E4-E230E7A5AC20}</c15:txfldGUID>
                      <c15:f>Tabla!$F$821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07B-49E7-BBBA-5BF041109058}"/>
                </c:ext>
              </c:extLst>
            </c:dLbl>
            <c:dLbl>
              <c:idx val="4"/>
              <c:tx>
                <c:strRef>
                  <c:f>Tabla!$G$821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{0C94A1B1-EC4D-4F82-97AF-3CC90B714DA1}</c15:txfldGUID>
                      <c15:f>Tabla!$G$821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07B-49E7-BBBA-5BF041109058}"/>
                </c:ext>
              </c:extLst>
            </c:dLbl>
            <c:dLbl>
              <c:idx val="5"/>
              <c:tx>
                <c:strRef>
                  <c:f>Tabla!$H$821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{D325E68D-1B1C-4EE4-A97A-2C31A29E3E5E}</c15:txfldGUID>
                      <c15:f>Tabla!$H$821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07B-49E7-BBBA-5BF041109058}"/>
                </c:ext>
              </c:extLst>
            </c:dLbl>
            <c:dLbl>
              <c:idx val="6"/>
              <c:tx>
                <c:strRef>
                  <c:f>Tabla!$I$821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{71EB3195-E5CC-4457-9C17-71B74C9A43E6}</c15:txfldGUID>
                      <c15:f>Tabla!$I$821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07B-49E7-BBBA-5BF041109058}"/>
                </c:ext>
              </c:extLst>
            </c:dLbl>
            <c:dLbl>
              <c:idx val="7"/>
              <c:tx>
                <c:strRef>
                  <c:f>Tabla!$J$821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{BE41D390-20D3-4696-91BD-9E88926FAB6C}</c15:txfldGUID>
                      <c15:f>Tabla!$J$821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07B-49E7-BBBA-5BF0411090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Tabla!$C$817:$J$817</c:f>
              <c:numCache>
                <c:formatCode>General</c:formatCode>
                <c:ptCount val="8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07B-49E7-BBBA-5BF04110905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443904"/>
        <c:axId val="296444296"/>
      </c:barChart>
      <c:lineChart>
        <c:grouping val="standard"/>
        <c:varyColors val="0"/>
        <c:ser>
          <c:idx val="1"/>
          <c:order val="2"/>
          <c:tx>
            <c:strRef>
              <c:f>Tabla!$B$816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1"/>
              <c:layout>
                <c:manualLayout>
                  <c:x val="-3.9657144811583556E-2"/>
                  <c:y val="-7.32708246230453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7B-49E7-BBBA-5BF0411090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Tabla!$C$816:$J$816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07B-49E7-BBBA-5BF041109058}"/>
            </c:ext>
          </c:extLst>
        </c:ser>
        <c:ser>
          <c:idx val="2"/>
          <c:order val="3"/>
          <c:tx>
            <c:strRef>
              <c:f>Tabla!$B$818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7B-49E7-BBBA-5BF041109058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Tabla!$C$818:$J$818</c:f>
              <c:numCache>
                <c:formatCode>#,##0</c:formatCode>
                <c:ptCount val="8"/>
                <c:pt idx="0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07B-49E7-BBBA-5BF04110905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6443904"/>
        <c:axId val="296444296"/>
      </c:lineChart>
      <c:catAx>
        <c:axId val="296443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6444296"/>
        <c:crosses val="autoZero"/>
        <c:auto val="1"/>
        <c:lblAlgn val="ctr"/>
        <c:lblOffset val="100"/>
        <c:noMultiLvlLbl val="0"/>
      </c:catAx>
      <c:valAx>
        <c:axId val="29644429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964439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Tabla!$B$847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{4FA34A24-B54E-4A71-9C8E-DD14EBAA7E97}</c15:txfldGUID>
                      <c15:f>Tabla!$C$850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730-4566-B9C9-B47031D344DD}"/>
                </c:ext>
              </c:extLst>
            </c:dLbl>
            <c:dLbl>
              <c:idx val="1"/>
              <c:tx>
                <c:strRef>
                  <c:f>Tabla!$D$850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{9BD421D8-54EF-4E04-810D-3C810AC8B45F}</c15:txfldGUID>
                      <c15:f>Tabla!$D$850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730-4566-B9C9-B47031D344DD}"/>
                </c:ext>
              </c:extLst>
            </c:dLbl>
            <c:dLbl>
              <c:idx val="2"/>
              <c:tx>
                <c:strRef>
                  <c:f>Tabla!$E$850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{4FF3ECD1-2D74-43BE-94EF-3FFD50CB5386}</c15:txfldGUID>
                      <c15:f>Tabla!$E$850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730-4566-B9C9-B47031D344DD}"/>
                </c:ext>
              </c:extLst>
            </c:dLbl>
            <c:dLbl>
              <c:idx val="3"/>
              <c:tx>
                <c:strRef>
                  <c:f>Tabla!$F$850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{493B539F-28CD-462F-976B-D918F51364D8}</c15:txfldGUID>
                      <c15:f>Tabla!$F$850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730-4566-B9C9-B47031D344DD}"/>
                </c:ext>
              </c:extLst>
            </c:dLbl>
            <c:dLbl>
              <c:idx val="4"/>
              <c:tx>
                <c:strRef>
                  <c:f>Tabla!$G$850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{8B4937E5-2519-40AB-A2CB-22F371BF4F7A}</c15:txfldGUID>
                      <c15:f>Tabla!$G$850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730-4566-B9C9-B47031D344DD}"/>
                </c:ext>
              </c:extLst>
            </c:dLbl>
            <c:dLbl>
              <c:idx val="5"/>
              <c:tx>
                <c:strRef>
                  <c:f>Tabla!$H$850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{85A3907C-CE33-48B2-AE66-FC564B39DCD8}</c15:txfldGUID>
                      <c15:f>Tabla!$H$850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730-4566-B9C9-B47031D344DD}"/>
                </c:ext>
              </c:extLst>
            </c:dLbl>
            <c:dLbl>
              <c:idx val="6"/>
              <c:tx>
                <c:strRef>
                  <c:f>Tabla!$I$850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{2AC1A540-8B7F-4F06-AF43-4EBFDB10B538}</c15:txfldGUID>
                      <c15:f>Tabla!$I$850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730-4566-B9C9-B47031D344DD}"/>
                </c:ext>
              </c:extLst>
            </c:dLbl>
            <c:dLbl>
              <c:idx val="7"/>
              <c:tx>
                <c:strRef>
                  <c:f>Tabla!$J$850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{C0E33885-025D-42E3-B20B-F6AAC4BE48B5}</c15:txfldGUID>
                      <c15:f>Tabla!$J$850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730-4566-B9C9-B47031D34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Tabla!$C$850:$J$850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30-4566-B9C9-B47031D344DD}"/>
            </c:ext>
          </c:extLst>
        </c:ser>
        <c:ser>
          <c:idx val="0"/>
          <c:order val="1"/>
          <c:tx>
            <c:strRef>
              <c:f>Tabla!$B$847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{F086131C-D8DB-4562-ABEB-EF8761711A69}</c15:txfldGUID>
                      <c15:f>Tabla!$C$851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730-4566-B9C9-B47031D344DD}"/>
                </c:ext>
              </c:extLst>
            </c:dLbl>
            <c:dLbl>
              <c:idx val="1"/>
              <c:tx>
                <c:strRef>
                  <c:f>Tabla!$D$851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{A2CBC37F-4C6B-4BFE-A670-740CA293233E}</c15:txfldGUID>
                      <c15:f>Tabla!$D$851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730-4566-B9C9-B47031D344DD}"/>
                </c:ext>
              </c:extLst>
            </c:dLbl>
            <c:dLbl>
              <c:idx val="2"/>
              <c:tx>
                <c:strRef>
                  <c:f>Tabla!$E$851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{0D20B130-141A-4E1E-961D-4285FE5A408D}</c15:txfldGUID>
                      <c15:f>Tabla!$E$851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730-4566-B9C9-B47031D344DD}"/>
                </c:ext>
              </c:extLst>
            </c:dLbl>
            <c:dLbl>
              <c:idx val="3"/>
              <c:tx>
                <c:strRef>
                  <c:f>Tabla!$F$851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{8D55E7D5-A403-4D5D-9600-3C515F159083}</c15:txfldGUID>
                      <c15:f>Tabla!$F$851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730-4566-B9C9-B47031D344DD}"/>
                </c:ext>
              </c:extLst>
            </c:dLbl>
            <c:dLbl>
              <c:idx val="4"/>
              <c:tx>
                <c:strRef>
                  <c:f>Tabla!$G$851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{76ADB20C-C57C-4824-8DCD-85CBA16FF25D}</c15:txfldGUID>
                      <c15:f>Tabla!$G$851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730-4566-B9C9-B47031D344DD}"/>
                </c:ext>
              </c:extLst>
            </c:dLbl>
            <c:dLbl>
              <c:idx val="5"/>
              <c:tx>
                <c:strRef>
                  <c:f>Tabla!$H$851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{BBCC4278-2F99-4298-B9FF-AD4B15EB5894}</c15:txfldGUID>
                      <c15:f>Tabla!$H$851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730-4566-B9C9-B47031D344DD}"/>
                </c:ext>
              </c:extLst>
            </c:dLbl>
            <c:dLbl>
              <c:idx val="6"/>
              <c:tx>
                <c:strRef>
                  <c:f>Tabla!$I$851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{738FB2A6-091C-4878-AFA8-E24191CF0EDE}</c15:txfldGUID>
                      <c15:f>Tabla!$I$851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730-4566-B9C9-B47031D344DD}"/>
                </c:ext>
              </c:extLst>
            </c:dLbl>
            <c:dLbl>
              <c:idx val="7"/>
              <c:tx>
                <c:strRef>
                  <c:f>Tabla!$J$851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{4EF31004-798D-4CB0-86B5-E335842B4CEA}</c15:txfldGUID>
                      <c15:f>Tabla!$J$851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730-4566-B9C9-B47031D34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Tabla!$C$847:$J$847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730-4566-B9C9-B47031D344D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445080"/>
        <c:axId val="296445472"/>
      </c:barChart>
      <c:lineChart>
        <c:grouping val="standard"/>
        <c:varyColors val="0"/>
        <c:ser>
          <c:idx val="1"/>
          <c:order val="2"/>
          <c:tx>
            <c:strRef>
              <c:f>Tabla!$B$846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Tabla!$C$846:$J$846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730-4566-B9C9-B47031D344DD}"/>
            </c:ext>
          </c:extLst>
        </c:ser>
        <c:ser>
          <c:idx val="2"/>
          <c:order val="3"/>
          <c:tx>
            <c:strRef>
              <c:f>Tabla!$B$848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730-4566-B9C9-B47031D344DD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Tabla!$C$848:$J$848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730-4566-B9C9-B47031D344D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6445080"/>
        <c:axId val="296445472"/>
      </c:lineChart>
      <c:catAx>
        <c:axId val="296445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6445472"/>
        <c:crosses val="autoZero"/>
        <c:auto val="1"/>
        <c:lblAlgn val="ctr"/>
        <c:lblOffset val="100"/>
        <c:noMultiLvlLbl val="0"/>
      </c:catAx>
      <c:valAx>
        <c:axId val="29644547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964450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Tabla!$B$880</c:f>
              <c:strCache>
                <c:ptCount val="1"/>
                <c:pt idx="0">
                  <c:v>ANTERIOR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{2272E8ED-12D5-463E-8A6D-784F874F4198}</c15:txfldGUID>
                      <c15:f>Tabla!$C$880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C4A-4F80-8C21-C58A7AF99CF6}"/>
                </c:ext>
              </c:extLst>
            </c:dLbl>
            <c:dLbl>
              <c:idx val="1"/>
              <c:tx>
                <c:strRef>
                  <c:f>Tabla!$D$880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{8BBFDE85-81DE-42B4-A6C0-7C29D1109BE1}</c15:txfldGUID>
                      <c15:f>Tabla!$D$880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C4A-4F80-8C21-C58A7AF99CF6}"/>
                </c:ext>
              </c:extLst>
            </c:dLbl>
            <c:dLbl>
              <c:idx val="2"/>
              <c:tx>
                <c:strRef>
                  <c:f>Tabla!$E$880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{CEB73640-30A3-4535-A596-026578D94187}</c15:txfldGUID>
                      <c15:f>Tabla!$E$880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C4A-4F80-8C21-C58A7AF99CF6}"/>
                </c:ext>
              </c:extLst>
            </c:dLbl>
            <c:dLbl>
              <c:idx val="3"/>
              <c:tx>
                <c:strRef>
                  <c:f>Tabla!$F$880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{4F53933D-632B-4A5D-AC14-F1C2328A1F99}</c15:txfldGUID>
                      <c15:f>Tabla!$F$880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C4A-4F80-8C21-C58A7AF99CF6}"/>
                </c:ext>
              </c:extLst>
            </c:dLbl>
            <c:dLbl>
              <c:idx val="4"/>
              <c:tx>
                <c:strRef>
                  <c:f>Tabla!$G$880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{F97B9341-BA6B-418B-B35F-E1986C60F442}</c15:txfldGUID>
                      <c15:f>Tabla!$G$880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C4A-4F80-8C21-C58A7AF99CF6}"/>
                </c:ext>
              </c:extLst>
            </c:dLbl>
            <c:dLbl>
              <c:idx val="5"/>
              <c:tx>
                <c:strRef>
                  <c:f>Tabla!$H$880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{EF4B4DD4-0BDF-4DF8-B2FA-F617AFAE2D3B}</c15:txfldGUID>
                      <c15:f>Tabla!$H$880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C4A-4F80-8C21-C58A7AF99CF6}"/>
                </c:ext>
              </c:extLst>
            </c:dLbl>
            <c:dLbl>
              <c:idx val="6"/>
              <c:tx>
                <c:strRef>
                  <c:f>Tabla!$I$880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{510376DB-6193-4AB9-B99D-7D8A7E6B0617}</c15:txfldGUID>
                      <c15:f>Tabla!$I$880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C4A-4F80-8C21-C58A7AF99CF6}"/>
                </c:ext>
              </c:extLst>
            </c:dLbl>
            <c:dLbl>
              <c:idx val="7"/>
              <c:tx>
                <c:strRef>
                  <c:f>Tabla!$J$880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{1BDD3794-2130-4101-8F6A-F7E5AF6A2C96}</c15:txfldGUID>
                      <c15:f>Tabla!$J$880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C4A-4F80-8C21-C58A7AF99C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Tabla!$C$880:$J$880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C4A-4F80-8C21-C58A7AF99CF6}"/>
            </c:ext>
          </c:extLst>
        </c:ser>
        <c:ser>
          <c:idx val="0"/>
          <c:order val="1"/>
          <c:tx>
            <c:strRef>
              <c:f>Tabla!$B$877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{ADA291E3-F442-4134-AFB5-37E0766A024D}</c15:txfldGUID>
                      <c15:f>Tabla!$C$881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C4A-4F80-8C21-C58A7AF99CF6}"/>
                </c:ext>
              </c:extLst>
            </c:dLbl>
            <c:dLbl>
              <c:idx val="1"/>
              <c:tx>
                <c:strRef>
                  <c:f>Tabla!$D$881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{EC7EB54A-36EF-4C5A-B79C-DE4572F5E8CC}</c15:txfldGUID>
                      <c15:f>Tabla!$D$881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C4A-4F80-8C21-C58A7AF99CF6}"/>
                </c:ext>
              </c:extLst>
            </c:dLbl>
            <c:dLbl>
              <c:idx val="2"/>
              <c:tx>
                <c:strRef>
                  <c:f>Tabla!$E$881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{9AA80B2A-6723-4E96-85D9-43F25D2DF111}</c15:txfldGUID>
                      <c15:f>Tabla!$E$881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C4A-4F80-8C21-C58A7AF99CF6}"/>
                </c:ext>
              </c:extLst>
            </c:dLbl>
            <c:dLbl>
              <c:idx val="3"/>
              <c:tx>
                <c:strRef>
                  <c:f>Tabla!$F$881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{4B6632BD-1A1A-4299-97CF-D154F45E455B}</c15:txfldGUID>
                      <c15:f>Tabla!$F$881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C4A-4F80-8C21-C58A7AF99CF6}"/>
                </c:ext>
              </c:extLst>
            </c:dLbl>
            <c:dLbl>
              <c:idx val="4"/>
              <c:tx>
                <c:strRef>
                  <c:f>Tabla!$G$881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{00B2B9C2-D780-42B7-A6FC-FBAEFBEE4A98}</c15:txfldGUID>
                      <c15:f>Tabla!$G$881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C4A-4F80-8C21-C58A7AF99CF6}"/>
                </c:ext>
              </c:extLst>
            </c:dLbl>
            <c:dLbl>
              <c:idx val="5"/>
              <c:tx>
                <c:strRef>
                  <c:f>Tabla!$H$881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{42FBF73A-7277-4BE8-8EB4-AF82EB9AB987}</c15:txfldGUID>
                      <c15:f>Tabla!$H$881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C4A-4F80-8C21-C58A7AF99CF6}"/>
                </c:ext>
              </c:extLst>
            </c:dLbl>
            <c:dLbl>
              <c:idx val="6"/>
              <c:tx>
                <c:strRef>
                  <c:f>Tabla!$I$881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{1C612073-CF67-4778-8C9C-D28C6329512E}</c15:txfldGUID>
                      <c15:f>Tabla!$I$881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C4A-4F80-8C21-C58A7AF99CF6}"/>
                </c:ext>
              </c:extLst>
            </c:dLbl>
            <c:dLbl>
              <c:idx val="7"/>
              <c:tx>
                <c:strRef>
                  <c:f>Tabla!$J$881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{0C5F0F68-A7C7-49F0-86B0-87CFBBB65C09}</c15:txfldGUID>
                      <c15:f>Tabla!$J$881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C4A-4F80-8C21-C58A7AF99C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Tabla!$C$881:$J$881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C4A-4F80-8C21-C58A7AF99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6446256"/>
        <c:axId val="296446648"/>
      </c:barChart>
      <c:lineChart>
        <c:grouping val="standard"/>
        <c:varyColors val="0"/>
        <c:ser>
          <c:idx val="1"/>
          <c:order val="2"/>
          <c:tx>
            <c:strRef>
              <c:f>Tabla!$B$876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Tabla!$C$876:$J$876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C4A-4F80-8C21-C58A7AF99CF6}"/>
            </c:ext>
          </c:extLst>
        </c:ser>
        <c:ser>
          <c:idx val="2"/>
          <c:order val="3"/>
          <c:tx>
            <c:strRef>
              <c:f>Tabla!$B$878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C4A-4F80-8C21-C58A7AF99CF6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Tabla!$C$878:$J$878</c:f>
              <c:numCache>
                <c:formatCode>#,##0</c:formatCode>
                <c:ptCount val="8"/>
                <c:pt idx="0">
                  <c:v>69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C4A-4F80-8C21-C58A7AF99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446256"/>
        <c:axId val="296446648"/>
      </c:lineChart>
      <c:catAx>
        <c:axId val="296446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6446648"/>
        <c:crosses val="autoZero"/>
        <c:auto val="1"/>
        <c:lblAlgn val="ctr"/>
        <c:lblOffset val="100"/>
        <c:noMultiLvlLbl val="0"/>
      </c:catAx>
      <c:valAx>
        <c:axId val="29644664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964462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Tabla!$B$910</c:f>
              <c:strCache>
                <c:ptCount val="1"/>
                <c:pt idx="0">
                  <c:v>ANTERIOR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Tabla!$C$910</c:f>
                  <c:strCache>
                    <c:ptCount val="1"/>
                    <c:pt idx="0">
                      <c:v>67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{3C7179C5-6C22-4F29-A744-C58147E6CAB4}</c15:txfldGUID>
                      <c15:f>Tabla!$C$910</c15:f>
                      <c15:dlblFieldTableCache>
                        <c:ptCount val="1"/>
                        <c:pt idx="0">
                          <c:v>67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DED-4937-A80A-93ADD182CA35}"/>
                </c:ext>
              </c:extLst>
            </c:dLbl>
            <c:dLbl>
              <c:idx val="1"/>
              <c:tx>
                <c:strRef>
                  <c:f>Tabla!$D$910</c:f>
                  <c:strCache>
                    <c:ptCount val="1"/>
                    <c:pt idx="0">
                      <c:v>61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{EA9D53A3-E002-43B7-AD83-85BA941866EE}</c15:txfldGUID>
                      <c15:f>Tabla!$D$910</c15:f>
                      <c15:dlblFieldTableCache>
                        <c:ptCount val="1"/>
                        <c:pt idx="0">
                          <c:v>61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DED-4937-A80A-93ADD182CA35}"/>
                </c:ext>
              </c:extLst>
            </c:dLbl>
            <c:dLbl>
              <c:idx val="2"/>
              <c:tx>
                <c:strRef>
                  <c:f>Tabla!$E$910</c:f>
                  <c:strCache>
                    <c:ptCount val="1"/>
                    <c:pt idx="0">
                      <c:v>43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{6F79D38E-6753-4763-BFA0-D2F3E7739CEE}</c15:txfldGUID>
                      <c15:f>Tabla!$E$910</c15:f>
                      <c15:dlblFieldTableCache>
                        <c:ptCount val="1"/>
                        <c:pt idx="0">
                          <c:v>43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DED-4937-A80A-93ADD182CA35}"/>
                </c:ext>
              </c:extLst>
            </c:dLbl>
            <c:dLbl>
              <c:idx val="3"/>
              <c:tx>
                <c:strRef>
                  <c:f>Tabla!$F$910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{96FD2A7C-FE88-4DC7-B698-28240F441646}</c15:txfldGUID>
                      <c15:f>Tabla!$F$910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DED-4937-A80A-93ADD182CA35}"/>
                </c:ext>
              </c:extLst>
            </c:dLbl>
            <c:dLbl>
              <c:idx val="4"/>
              <c:tx>
                <c:strRef>
                  <c:f>Tabla!$G$910</c:f>
                  <c:strCache>
                    <c:ptCount val="1"/>
                    <c:pt idx="0">
                      <c:v>55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{F61D71F4-A22B-42A8-9633-AD6160D56102}</c15:txfldGUID>
                      <c15:f>Tabla!$G$910</c15:f>
                      <c15:dlblFieldTableCache>
                        <c:ptCount val="1"/>
                        <c:pt idx="0">
                          <c:v>55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DED-4937-A80A-93ADD182CA35}"/>
                </c:ext>
              </c:extLst>
            </c:dLbl>
            <c:dLbl>
              <c:idx val="5"/>
              <c:tx>
                <c:strRef>
                  <c:f>Tabla!$H$910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{D3887831-B7E3-4B46-A29E-BD34E6F52BAE}</c15:txfldGUID>
                      <c15:f>Tabla!$H$910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DED-4937-A80A-93ADD182CA35}"/>
                </c:ext>
              </c:extLst>
            </c:dLbl>
            <c:dLbl>
              <c:idx val="6"/>
              <c:tx>
                <c:strRef>
                  <c:f>Tabla!$I$910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{E3AB3B2E-60A1-43CD-A887-C7E922FFD951}</c15:txfldGUID>
                      <c15:f>Tabla!$I$910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DED-4937-A80A-93ADD182CA35}"/>
                </c:ext>
              </c:extLst>
            </c:dLbl>
            <c:dLbl>
              <c:idx val="7"/>
              <c:tx>
                <c:strRef>
                  <c:f>Tabla!$J$910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{6C8A75E7-E7CC-4601-A3B0-1216ED43C406}</c15:txfldGUID>
                      <c15:f>Tabla!$J$910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DED-4937-A80A-93ADD182C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Tabla!$C$910:$J$910</c:f>
              <c:numCache>
                <c:formatCode>0</c:formatCode>
                <c:ptCount val="8"/>
                <c:pt idx="0">
                  <c:v>67.489999999999995</c:v>
                </c:pt>
                <c:pt idx="1">
                  <c:v>60.86</c:v>
                </c:pt>
                <c:pt idx="2">
                  <c:v>43.1</c:v>
                </c:pt>
                <c:pt idx="3">
                  <c:v>81.81</c:v>
                </c:pt>
                <c:pt idx="4">
                  <c:v>54.92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ED-4937-A80A-93ADD182CA35}"/>
            </c:ext>
          </c:extLst>
        </c:ser>
        <c:ser>
          <c:idx val="0"/>
          <c:order val="1"/>
          <c:tx>
            <c:strRef>
              <c:f>Tabla!$B$907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Tabla!$C$911</c:f>
                  <c:strCache>
                    <c:ptCount val="1"/>
                    <c:pt idx="0">
                      <c:v>66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{9CB66614-34F8-42DF-AC5A-69C9B7E12AA1}</c15:txfldGUID>
                      <c15:f>Tabla!$C$911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DED-4937-A80A-93ADD182CA35}"/>
                </c:ext>
              </c:extLst>
            </c:dLbl>
            <c:dLbl>
              <c:idx val="1"/>
              <c:tx>
                <c:strRef>
                  <c:f>Tabla!$D$911</c:f>
                  <c:strCache>
                    <c:ptCount val="1"/>
                    <c:pt idx="0">
                      <c:v>65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{DB9BC505-1C34-420A-85A7-27BDB7619ECE}</c15:txfldGUID>
                      <c15:f>Tabla!$D$911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DED-4937-A80A-93ADD182CA35}"/>
                </c:ext>
              </c:extLst>
            </c:dLbl>
            <c:dLbl>
              <c:idx val="2"/>
              <c:tx>
                <c:strRef>
                  <c:f>Tabla!$E$911</c:f>
                  <c:strCache>
                    <c:ptCount val="1"/>
                    <c:pt idx="0">
                      <c:v>38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{1E5E0067-9864-499F-8758-8A01A83F17CB}</c15:txfldGUID>
                      <c15:f>Tabla!$E$911</c15:f>
                      <c15:dlblFieldTableCache>
                        <c:ptCount val="1"/>
                        <c:pt idx="0">
                          <c:v>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DED-4937-A80A-93ADD182CA35}"/>
                </c:ext>
              </c:extLst>
            </c:dLbl>
            <c:dLbl>
              <c:idx val="3"/>
              <c:tx>
                <c:strRef>
                  <c:f>Tabla!$F$911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{3E7E74DD-9DC8-4411-988A-DC7180B320D3}</c15:txfldGUID>
                      <c15:f>Tabla!$F$911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DED-4937-A80A-93ADD182CA35}"/>
                </c:ext>
              </c:extLst>
            </c:dLbl>
            <c:dLbl>
              <c:idx val="4"/>
              <c:tx>
                <c:strRef>
                  <c:f>Tabla!$G$911</c:f>
                  <c:strCache>
                    <c:ptCount val="1"/>
                    <c:pt idx="0">
                      <c:v>41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{3EA8B969-D692-477B-9EA8-0646306ADF33}</c15:txfldGUID>
                      <c15:f>Tabla!$G$911</c15:f>
                      <c15:dlblFieldTableCache>
                        <c:ptCount val="1"/>
                        <c:pt idx="0">
                          <c:v>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DED-4937-A80A-93ADD182CA35}"/>
                </c:ext>
              </c:extLst>
            </c:dLbl>
            <c:dLbl>
              <c:idx val="5"/>
              <c:tx>
                <c:strRef>
                  <c:f>Tabla!$H$911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{BC99DC7C-B5FC-43F8-A204-E4C49697D41A}</c15:txfldGUID>
                      <c15:f>Tabla!$H$911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DED-4937-A80A-93ADD182CA35}"/>
                </c:ext>
              </c:extLst>
            </c:dLbl>
            <c:dLbl>
              <c:idx val="6"/>
              <c:tx>
                <c:strRef>
                  <c:f>Tabla!$I$911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{63CF6B98-CADC-495F-A978-EECC60ADC3E7}</c15:txfldGUID>
                      <c15:f>Tabla!$I$911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DED-4937-A80A-93ADD182CA35}"/>
                </c:ext>
              </c:extLst>
            </c:dLbl>
            <c:dLbl>
              <c:idx val="7"/>
              <c:tx>
                <c:strRef>
                  <c:f>Tabla!$J$911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{0817D68F-A867-41A2-A255-23AAE046D7DB}</c15:txfldGUID>
                      <c15:f>Tabla!$J$911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DED-4937-A80A-93ADD182C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Tabla!$C$911:$J$911</c:f>
              <c:numCache>
                <c:formatCode>0</c:formatCode>
                <c:ptCount val="8"/>
                <c:pt idx="0">
                  <c:v>66</c:v>
                </c:pt>
                <c:pt idx="1">
                  <c:v>65</c:v>
                </c:pt>
                <c:pt idx="2">
                  <c:v>38</c:v>
                </c:pt>
                <c:pt idx="3">
                  <c:v>78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ED-4937-A80A-93ADD182CA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279952"/>
        <c:axId val="296280344"/>
      </c:barChart>
      <c:lineChart>
        <c:grouping val="standard"/>
        <c:varyColors val="0"/>
        <c:ser>
          <c:idx val="1"/>
          <c:order val="2"/>
          <c:tx>
            <c:strRef>
              <c:f>Tabla!$B$906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2.983993704598244E-2"/>
                  <c:y val="0.1018467394991618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BA-4772-86DB-FD188946E3C5}"/>
                </c:ext>
              </c:extLst>
            </c:dLbl>
            <c:dLbl>
              <c:idx val="1"/>
              <c:layout>
                <c:manualLayout>
                  <c:x val="-3.1471868836887518E-2"/>
                  <c:y val="0.1018467394991618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BA-4772-86DB-FD188946E3C5}"/>
                </c:ext>
              </c:extLst>
            </c:dLbl>
            <c:dLbl>
              <c:idx val="4"/>
              <c:layout>
                <c:manualLayout>
                  <c:x val="-1.6784482718741823E-2"/>
                  <c:y val="-0.1144649196141022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BA-4772-86DB-FD188946E3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Tabla!$C$906:$J$906</c:f>
              <c:numCache>
                <c:formatCode>General</c:formatCode>
                <c:ptCount val="8"/>
                <c:pt idx="0">
                  <c:v>62</c:v>
                </c:pt>
                <c:pt idx="1">
                  <c:v>63</c:v>
                </c:pt>
                <c:pt idx="2">
                  <c:v>30</c:v>
                </c:pt>
                <c:pt idx="3">
                  <c:v>79</c:v>
                </c:pt>
                <c:pt idx="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DED-4937-A80A-93ADD182CA35}"/>
            </c:ext>
          </c:extLst>
        </c:ser>
        <c:ser>
          <c:idx val="2"/>
          <c:order val="3"/>
          <c:tx>
            <c:strRef>
              <c:f>Tabla!$B$908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DED-4937-A80A-93ADD182CA35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4"/>
                <c:pt idx="0">
                  <c:v>99</c:v>
                </c:pt>
                <c:pt idx="1">
                  <c:v>83</c:v>
                </c:pt>
                <c:pt idx="2">
                  <c:v>78</c:v>
                </c:pt>
                <c:pt idx="3">
                  <c:v>70</c:v>
                </c:pt>
              </c:strCache>
            </c:strRef>
          </c:cat>
          <c:val>
            <c:numRef>
              <c:f>Tabla!$C$908:$J$908</c:f>
              <c:numCache>
                <c:formatCode>General</c:formatCode>
                <c:ptCount val="8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DED-4937-A80A-93ADD182CA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6279952"/>
        <c:axId val="296280344"/>
      </c:lineChart>
      <c:catAx>
        <c:axId val="296279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6280344"/>
        <c:crosses val="autoZero"/>
        <c:auto val="1"/>
        <c:lblAlgn val="ctr"/>
        <c:lblOffset val="100"/>
        <c:noMultiLvlLbl val="0"/>
      </c:catAx>
      <c:valAx>
        <c:axId val="29628034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962799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3.4815652878897485E-2"/>
          <c:h val="3.2255444990015224E-2"/>
        </c:manualLayout>
      </c:layout>
      <c:pie3DChart>
        <c:varyColors val="1"/>
        <c:ser>
          <c:idx val="0"/>
          <c:order val="0"/>
          <c:tx>
            <c:strRef>
              <c:f>Tabla!$M$3</c:f>
              <c:strCache>
                <c:ptCount val="1"/>
                <c:pt idx="0">
                  <c:v>Prom. Gral 2015</c:v>
                </c:pt>
              </c:strCache>
            </c:strRef>
          </c:tx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68CE-4BF2-B446-0FC4F44F6968}"/>
              </c:ext>
            </c:extLst>
          </c:dPt>
          <c:dPt>
            <c:idx val="1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68CE-4BF2-B446-0FC4F44F6968}"/>
              </c:ext>
            </c:extLst>
          </c:dPt>
          <c:dPt>
            <c:idx val="2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68CE-4BF2-B446-0FC4F44F6968}"/>
              </c:ext>
            </c:extLst>
          </c:dPt>
          <c:dPt>
            <c:idx val="3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68CE-4BF2-B446-0FC4F44F6968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68CE-4BF2-B446-0FC4F44F6968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68CE-4BF2-B446-0FC4F44F6968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68CE-4BF2-B446-0FC4F44F6968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68CE-4BF2-B446-0FC4F44F6968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68CE-4BF2-B446-0FC4F44F6968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68CE-4BF2-B446-0FC4F44F6968}"/>
              </c:ext>
            </c:extLst>
          </c:dPt>
          <c:dLbls>
            <c:delete val="1"/>
          </c:dLbls>
          <c:cat>
            <c:strRef>
              <c:f>Tabla!$N$2:$Q$2</c:f>
              <c:strCache>
                <c:ptCount val="4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</c:strCache>
            </c:strRef>
          </c:cat>
          <c:val>
            <c:numRef>
              <c:f>Tabla!$N$3:$Q$3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CE-4BF2-B446-0FC4F44F6968}"/>
            </c:ext>
          </c:extLst>
        </c:ser>
        <c:ser>
          <c:idx val="1"/>
          <c:order val="1"/>
          <c:tx>
            <c:strRef>
              <c:f>Tabla!$M$4</c:f>
              <c:strCache>
                <c:ptCount val="1"/>
                <c:pt idx="0">
                  <c:v>Prom. Gral 2016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Tabla!$N$2:$Q$2</c:f>
              <c:strCache>
                <c:ptCount val="4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</c:strCache>
            </c:strRef>
          </c:cat>
          <c:val>
            <c:numRef>
              <c:f>Tabla!$N$4:$Q$4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CE-4BF2-B446-0FC4F44F6968}"/>
            </c:ext>
          </c:extLst>
        </c:ser>
        <c:ser>
          <c:idx val="2"/>
          <c:order val="2"/>
          <c:tx>
            <c:strRef>
              <c:f>Tabla!$M$5</c:f>
              <c:strCache>
                <c:ptCount val="1"/>
                <c:pt idx="0">
                  <c:v>Prom. Gral. Cons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Tabla!$N$2:$Q$2</c:f>
              <c:strCache>
                <c:ptCount val="4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</c:strCache>
            </c:strRef>
          </c:cat>
          <c:val>
            <c:numRef>
              <c:f>Tabla!$N$5:$Q$5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8CE-4BF2-B446-0FC4F44F6968}"/>
            </c:ext>
          </c:extLst>
        </c:ser>
        <c:ser>
          <c:idx val="3"/>
          <c:order val="3"/>
          <c:tx>
            <c:strRef>
              <c:f>Tabla!$M$6</c:f>
              <c:strCache>
                <c:ptCount val="1"/>
                <c:pt idx="0">
                  <c:v>Percepción Gral.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Tabla!$N$2:$Q$2</c:f>
              <c:strCache>
                <c:ptCount val="4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</c:strCache>
            </c:strRef>
          </c:cat>
          <c:val>
            <c:numRef>
              <c:f>Tabla!$N$6:$Q$6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8CE-4BF2-B446-0FC4F44F69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6.7783345263660269E-2"/>
          <c:y val="4.9679127238480551E-2"/>
          <c:w val="0.88373180625149139"/>
          <c:h val="0.91047704168170496"/>
        </c:manualLayout>
      </c:layout>
      <c:overlay val="0"/>
      <c:txPr>
        <a:bodyPr/>
        <a:lstStyle/>
        <a:p>
          <a:pPr>
            <a:defRPr sz="800"/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3.4815652878897485E-2"/>
          <c:h val="3.2255444990015224E-2"/>
        </c:manualLayout>
      </c:layout>
      <c:pie3DChart>
        <c:varyColors val="1"/>
        <c:ser>
          <c:idx val="0"/>
          <c:order val="0"/>
          <c:tx>
            <c:strRef>
              <c:f>Tabla!$M$3</c:f>
              <c:strCache>
                <c:ptCount val="1"/>
                <c:pt idx="0">
                  <c:v>Prom. Gral 2015</c:v>
                </c:pt>
              </c:strCache>
            </c:strRef>
          </c:tx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CD20-4961-9653-18FFEFCD16AC}"/>
              </c:ext>
            </c:extLst>
          </c:dPt>
          <c:dPt>
            <c:idx val="1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CD20-4961-9653-18FFEFCD16AC}"/>
              </c:ext>
            </c:extLst>
          </c:dPt>
          <c:dPt>
            <c:idx val="2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CD20-4961-9653-18FFEFCD16AC}"/>
              </c:ext>
            </c:extLst>
          </c:dPt>
          <c:dPt>
            <c:idx val="3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CD20-4961-9653-18FFEFCD16AC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CD20-4961-9653-18FFEFCD16AC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CD20-4961-9653-18FFEFCD16AC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CD20-4961-9653-18FFEFCD16AC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CD20-4961-9653-18FFEFCD16AC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CD20-4961-9653-18FFEFCD16AC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CD20-4961-9653-18FFEFCD16AC}"/>
              </c:ext>
            </c:extLst>
          </c:dPt>
          <c:dLbls>
            <c:delete val="1"/>
          </c:dLbls>
          <c:cat>
            <c:strRef>
              <c:f>Tabla!$N$2:$Q$2</c:f>
              <c:strCache>
                <c:ptCount val="4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</c:strCache>
            </c:strRef>
          </c:cat>
          <c:val>
            <c:numRef>
              <c:f>Tabla!$N$3:$Q$3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20-4961-9653-18FFEFCD16AC}"/>
            </c:ext>
          </c:extLst>
        </c:ser>
        <c:ser>
          <c:idx val="1"/>
          <c:order val="1"/>
          <c:tx>
            <c:strRef>
              <c:f>Tabla!$M$4</c:f>
              <c:strCache>
                <c:ptCount val="1"/>
                <c:pt idx="0">
                  <c:v>Prom. Gral 2016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Tabla!$N$2:$Q$2</c:f>
              <c:strCache>
                <c:ptCount val="4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</c:strCache>
            </c:strRef>
          </c:cat>
          <c:val>
            <c:numRef>
              <c:f>Tabla!$N$4:$Q$4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20-4961-9653-18FFEFCD16AC}"/>
            </c:ext>
          </c:extLst>
        </c:ser>
        <c:ser>
          <c:idx val="2"/>
          <c:order val="2"/>
          <c:tx>
            <c:strRef>
              <c:f>Tabla!$M$5</c:f>
              <c:strCache>
                <c:ptCount val="1"/>
                <c:pt idx="0">
                  <c:v>Prom. Gral. Cons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Tabla!$N$2:$Q$2</c:f>
              <c:strCache>
                <c:ptCount val="4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</c:strCache>
            </c:strRef>
          </c:cat>
          <c:val>
            <c:numRef>
              <c:f>Tabla!$N$5:$Q$5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20-4961-9653-18FFEFCD16AC}"/>
            </c:ext>
          </c:extLst>
        </c:ser>
        <c:ser>
          <c:idx val="3"/>
          <c:order val="3"/>
          <c:tx>
            <c:strRef>
              <c:f>Tabla!$M$6</c:f>
              <c:strCache>
                <c:ptCount val="1"/>
                <c:pt idx="0">
                  <c:v>Percepción Gral.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Tabla!$N$2:$Q$2</c:f>
              <c:strCache>
                <c:ptCount val="4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</c:strCache>
            </c:strRef>
          </c:cat>
          <c:val>
            <c:numRef>
              <c:f>Tabla!$N$6:$Q$6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20-4961-9653-18FFEFCD16A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6.7783345263660269E-2"/>
          <c:y val="4.9679127238480551E-2"/>
          <c:w val="0.88373180625149139"/>
          <c:h val="0.73486719219020247"/>
        </c:manualLayout>
      </c:layout>
      <c:overlay val="0"/>
      <c:txPr>
        <a:bodyPr/>
        <a:lstStyle/>
        <a:p>
          <a:pPr>
            <a:defRPr sz="800"/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546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7B96-4F87-8576-3AA0E5B53748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7B96-4F87-8576-3AA0E5B53748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7B96-4F87-8576-3AA0E5B53748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7B96-4F87-8576-3AA0E5B53748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7B96-4F87-8576-3AA0E5B53748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7B96-4F87-8576-3AA0E5B53748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7B96-4F87-8576-3AA0E5B53748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7B96-4F87-8576-3AA0E5B53748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7B96-4F87-8576-3AA0E5B53748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7B96-4F87-8576-3AA0E5B53748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COPIA'!$P$2:$Q$2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'TI COPIA'!$P$3:$Q$3</c:f>
              <c:numCache>
                <c:formatCode>General</c:formatCode>
                <c:ptCount val="2"/>
                <c:pt idx="0">
                  <c:v>346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B96-4F87-8576-3AA0E5B537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546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9CCD-4AE7-AD8F-0ABFA2D52477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9CCD-4AE7-AD8F-0ABFA2D52477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9CCD-4AE7-AD8F-0ABFA2D52477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9CCD-4AE7-AD8F-0ABFA2D52477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9CCD-4AE7-AD8F-0ABFA2D52477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9CCD-4AE7-AD8F-0ABFA2D52477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9CCD-4AE7-AD8F-0ABFA2D52477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9CCD-4AE7-AD8F-0ABFA2D52477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9CCD-4AE7-AD8F-0ABFA2D52477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9CCD-4AE7-AD8F-0ABFA2D52477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COPIA'!$S$2:$W$2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'TI COPIA'!$S$3:$W$3</c:f>
              <c:numCache>
                <c:formatCode>General</c:formatCode>
                <c:ptCount val="5"/>
                <c:pt idx="0">
                  <c:v>25</c:v>
                </c:pt>
                <c:pt idx="1">
                  <c:v>163</c:v>
                </c:pt>
                <c:pt idx="2">
                  <c:v>209</c:v>
                </c:pt>
                <c:pt idx="3">
                  <c:v>128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CCD-4AE7-AD8F-0ABFA2D524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546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7D96-4FB5-9154-D77D76447519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7D96-4FB5-9154-D77D76447519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7D96-4FB5-9154-D77D76447519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7D96-4FB5-9154-D77D76447519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7D96-4FB5-9154-D77D76447519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7D96-4FB5-9154-D77D76447519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7D96-4FB5-9154-D77D76447519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7D96-4FB5-9154-D77D76447519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7D96-4FB5-9154-D77D76447519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7D96-4FB5-9154-D77D76447519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COPIA'!$Y$2:$AC$2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'TI COPIA'!$Y$3:$AC$3</c:f>
              <c:numCache>
                <c:formatCode>General</c:formatCode>
                <c:ptCount val="5"/>
                <c:pt idx="0">
                  <c:v>77</c:v>
                </c:pt>
                <c:pt idx="1">
                  <c:v>214</c:v>
                </c:pt>
                <c:pt idx="2">
                  <c:v>115</c:v>
                </c:pt>
                <c:pt idx="3">
                  <c:v>61</c:v>
                </c:pt>
                <c:pt idx="4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D96-4FB5-9154-D77D7644751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546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1727-499C-A094-79D05601EDB5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1727-499C-A094-79D05601EDB5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1727-499C-A094-79D05601EDB5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1727-499C-A094-79D05601EDB5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1727-499C-A094-79D05601EDB5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1727-499C-A094-79D05601EDB5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1727-499C-A094-79D05601EDB5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1727-499C-A094-79D05601EDB5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1727-499C-A094-79D05601EDB5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1727-499C-A094-79D05601EDB5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COPIA'!$AE$2:$AF$2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'TI COPIA'!$AE$3:$AF$3</c:f>
              <c:numCache>
                <c:formatCode>General</c:formatCode>
                <c:ptCount val="2"/>
                <c:pt idx="0">
                  <c:v>526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727-499C-A094-79D05601ED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512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3419-4FB2-84B5-5E79CCE20D67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3419-4FB2-84B5-5E79CCE20D67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3419-4FB2-84B5-5E79CCE20D67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3419-4FB2-84B5-5E79CCE20D67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3419-4FB2-84B5-5E79CCE20D67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3419-4FB2-84B5-5E79CCE20D67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3419-4FB2-84B5-5E79CCE20D67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3419-4FB2-84B5-5E79CCE20D67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3419-4FB2-84B5-5E79CCE20D67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3419-4FB2-84B5-5E79CCE20D67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COPIA'!$AH$2:$AK$2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'TI COPIA'!$AH$3:$AK$3</c:f>
              <c:numCache>
                <c:formatCode>General</c:formatCode>
                <c:ptCount val="4"/>
                <c:pt idx="0">
                  <c:v>187</c:v>
                </c:pt>
                <c:pt idx="1">
                  <c:v>105</c:v>
                </c:pt>
                <c:pt idx="2">
                  <c:v>137</c:v>
                </c:pt>
                <c:pt idx="3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419-4FB2-84B5-5E79CCE20D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121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E243-477D-B382-07BC01468462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E243-477D-B382-07BC01468462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E243-477D-B382-07BC01468462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E243-477D-B382-07BC01468462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E243-477D-B382-07BC01468462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E243-477D-B382-07BC01468462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E243-477D-B382-07BC01468462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E243-477D-B382-07BC01468462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E243-477D-B382-07BC01468462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E243-477D-B382-07BC01468462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COPIA'!$AM$2:$AS$2</c:f>
              <c:strCache>
                <c:ptCount val="7"/>
                <c:pt idx="0">
                  <c:v>Cloud Services</c:v>
                </c:pt>
                <c:pt idx="1">
                  <c:v>Development</c:v>
                </c:pt>
                <c:pt idx="2">
                  <c:v>GBU´s/IBU´S- Bob Weiler´s / Dontatelli´s Org</c:v>
                </c:pt>
                <c:pt idx="3">
                  <c:v>Global G&amp;A/Manufacturing (SSC &amp; Others)</c:v>
                </c:pt>
                <c:pt idx="4">
                  <c:v>Global IT</c:v>
                </c:pt>
                <c:pt idx="5">
                  <c:v>Global Sales CEO Office</c:v>
                </c:pt>
                <c:pt idx="6">
                  <c:v>Product Support</c:v>
                </c:pt>
              </c:strCache>
            </c:strRef>
          </c:cat>
          <c:val>
            <c:numRef>
              <c:f>'TI COPIA'!$AM$3:$AS$3</c:f>
              <c:numCache>
                <c:formatCode>General</c:formatCode>
                <c:ptCount val="7"/>
                <c:pt idx="0">
                  <c:v>7</c:v>
                </c:pt>
                <c:pt idx="1">
                  <c:v>6</c:v>
                </c:pt>
                <c:pt idx="2">
                  <c:v>54</c:v>
                </c:pt>
                <c:pt idx="3">
                  <c:v>5</c:v>
                </c:pt>
                <c:pt idx="4">
                  <c:v>5</c:v>
                </c:pt>
                <c:pt idx="5">
                  <c:v>41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243-477D-B382-07BC01468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253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50515317601316179"/>
          <c:y val="4.3377769862011771E-2"/>
          <c:w val="0.42135475028881808"/>
          <c:h val="0.9046086408371103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C242C"/>
            </a:solidFill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F7C1-49D0-A710-1575C824080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7C1-49D0-A710-1575C824080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7C1-49D0-A710-1575C824080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7C1-49D0-A710-1575C824080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7C1-49D0-A710-1575C824080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7C1-49D0-A710-1575C824080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F7C1-49D0-A710-1575C824080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F7C1-49D0-A710-1575C824080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7C1-49D0-A710-1575C824080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7C1-49D0-A710-1575C824080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'TI COPIA'!$AU$2:$BA$2</c:f>
              <c:strCache>
                <c:ptCount val="7"/>
                <c:pt idx="0">
                  <c:v>Eduardo Lopez´s Org (excl. Consulting)</c:v>
                </c:pt>
                <c:pt idx="1">
                  <c:v>LAD Consulting</c:v>
                </c:pt>
                <c:pt idx="2">
                  <c:v>LAD Customer Services</c:v>
                </c:pt>
                <c:pt idx="3">
                  <c:v>LAD Deal Management</c:v>
                </c:pt>
                <c:pt idx="4">
                  <c:v>LAD Education</c:v>
                </c:pt>
                <c:pt idx="5">
                  <c:v>LAD Facilities</c:v>
                </c:pt>
                <c:pt idx="6">
                  <c:v>LAD Finance &amp; Operations (Cheryl McDowell´s)</c:v>
                </c:pt>
              </c:strCache>
            </c:strRef>
          </c:cat>
          <c:val>
            <c:numRef>
              <c:f>'TI COPIA'!$AU$3:$BA$3</c:f>
              <c:numCache>
                <c:formatCode>General</c:formatCode>
                <c:ptCount val="7"/>
                <c:pt idx="0">
                  <c:v>22</c:v>
                </c:pt>
                <c:pt idx="1">
                  <c:v>157</c:v>
                </c:pt>
                <c:pt idx="2">
                  <c:v>41</c:v>
                </c:pt>
                <c:pt idx="3">
                  <c:v>5</c:v>
                </c:pt>
                <c:pt idx="4">
                  <c:v>4</c:v>
                </c:pt>
                <c:pt idx="5">
                  <c:v>7</c:v>
                </c:pt>
                <c:pt idx="6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C1-49D0-A710-1575C8240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box"/>
        <c:axId val="200563504"/>
        <c:axId val="200563112"/>
        <c:axId val="0"/>
      </c:bar3DChart>
      <c:valAx>
        <c:axId val="200563112"/>
        <c:scaling>
          <c:orientation val="minMax"/>
          <c:max val="0.60000000000000009"/>
        </c:scaling>
        <c:delete val="1"/>
        <c:axPos val="t"/>
        <c:numFmt formatCode="General" sourceLinked="1"/>
        <c:majorTickMark val="out"/>
        <c:minorTickMark val="none"/>
        <c:tickLblPos val="nextTo"/>
        <c:crossAx val="200563504"/>
        <c:crosses val="autoZero"/>
        <c:crossBetween val="between"/>
      </c:valAx>
      <c:catAx>
        <c:axId val="20056350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ES"/>
          </a:p>
        </c:txPr>
        <c:crossAx val="200563112"/>
        <c:crosses val="autoZero"/>
        <c:auto val="1"/>
        <c:lblAlgn val="ctr"/>
        <c:lblOffset val="100"/>
        <c:tickLblSkip val="1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172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E6E8-4E8E-B7DD-057BE9F2B469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E6E8-4E8E-B7DD-057BE9F2B469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E6E8-4E8E-B7DD-057BE9F2B469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E6E8-4E8E-B7DD-057BE9F2B469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E6E8-4E8E-B7DD-057BE9F2B469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E6E8-4E8E-B7DD-057BE9F2B469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E6E8-4E8E-B7DD-057BE9F2B469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E6E8-4E8E-B7DD-057BE9F2B469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E6E8-4E8E-B7DD-057BE9F2B469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E6E8-4E8E-B7DD-057BE9F2B469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COPIA'!$BC$2:$BI$2</c:f>
              <c:strCache>
                <c:ptCount val="7"/>
                <c:pt idx="0">
                  <c:v>LAD HR</c:v>
                </c:pt>
                <c:pt idx="1">
                  <c:v>LAD Legal</c:v>
                </c:pt>
                <c:pt idx="2">
                  <c:v>LAD Licenses &amp; Systems</c:v>
                </c:pt>
                <c:pt idx="3">
                  <c:v>LAD LMS</c:v>
                </c:pt>
                <c:pt idx="4">
                  <c:v>LAD Marketing</c:v>
                </c:pt>
                <c:pt idx="5">
                  <c:v>LAD Recruiting</c:v>
                </c:pt>
                <c:pt idx="6">
                  <c:v>LAD Support</c:v>
                </c:pt>
              </c:strCache>
            </c:strRef>
          </c:cat>
          <c:val>
            <c:numRef>
              <c:f>'TI COPIA'!$BC$3:$BI$3</c:f>
              <c:numCache>
                <c:formatCode>General</c:formatCode>
                <c:ptCount val="7"/>
                <c:pt idx="0">
                  <c:v>5</c:v>
                </c:pt>
                <c:pt idx="1">
                  <c:v>2</c:v>
                </c:pt>
                <c:pt idx="2">
                  <c:v>110</c:v>
                </c:pt>
                <c:pt idx="3">
                  <c:v>2</c:v>
                </c:pt>
                <c:pt idx="4">
                  <c:v>9</c:v>
                </c:pt>
                <c:pt idx="5">
                  <c:v>6</c:v>
                </c:pt>
                <c:pt idx="6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6E8-4E8E-B7DD-057BE9F2B46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7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DD4C-4088-B767-126B6E14467D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DD4C-4088-B767-126B6E14467D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DD4C-4088-B767-126B6E14467D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DD4C-4088-B767-126B6E14467D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DD4C-4088-B767-126B6E14467D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DD4C-4088-B767-126B6E14467D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DD4C-4088-B767-126B6E14467D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DD4C-4088-B767-126B6E14467D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DD4C-4088-B767-126B6E14467D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DD4C-4088-B767-126B6E14467D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COPIA'!$BK$2:$BL$2</c:f>
              <c:strCache>
                <c:ptCount val="2"/>
                <c:pt idx="0">
                  <c:v>Cloud Services-Business Development (Tony Gray´s Org)</c:v>
                </c:pt>
                <c:pt idx="1">
                  <c:v>Cloud Services-Solution Management (Bearzi´s Org)</c:v>
                </c:pt>
              </c:strCache>
            </c:strRef>
          </c:cat>
          <c:val>
            <c:numRef>
              <c:f>'TI COPIA'!$BK$3:$BL$3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D4C-4088-B767-126B6E1446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6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2987-44D6-B09C-096BE21F596C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2987-44D6-B09C-096BE21F596C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2987-44D6-B09C-096BE21F596C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2987-44D6-B09C-096BE21F596C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2987-44D6-B09C-096BE21F596C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2987-44D6-B09C-096BE21F596C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2987-44D6-B09C-096BE21F596C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2987-44D6-B09C-096BE21F596C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2987-44D6-B09C-096BE21F596C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2987-44D6-B09C-096BE21F596C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COPIA'!$BN$2:$BQ$2</c:f>
              <c:strCache>
                <c:ptCount val="4"/>
                <c:pt idx="0">
                  <c:v>Development - Apps (Steve Miranda´s Org)</c:v>
                </c:pt>
                <c:pt idx="1">
                  <c:v>Development - Corporate Arquitect-Screven´s Org</c:v>
                </c:pt>
                <c:pt idx="2">
                  <c:v>Development-All Others</c:v>
                </c:pt>
                <c:pt idx="3">
                  <c:v>Development-Fusion Middleware (Singh Inderjeet´s Org)</c:v>
                </c:pt>
              </c:strCache>
            </c:strRef>
          </c:cat>
          <c:val>
            <c:numRef>
              <c:f>'TI COPIA'!$BN$3:$BQ$3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987-44D6-B09C-096BE21F596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54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2C9C-40CD-85B1-4C61B125E576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2C9C-40CD-85B1-4C61B125E576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2C9C-40CD-85B1-4C61B125E576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2C9C-40CD-85B1-4C61B125E576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2C9C-40CD-85B1-4C61B125E576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2C9C-40CD-85B1-4C61B125E576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2C9C-40CD-85B1-4C61B125E576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2C9C-40CD-85B1-4C61B125E576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2C9C-40CD-85B1-4C61B125E576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2C9C-40CD-85B1-4C61B125E57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COPIA'!$BS$2:$BV$2</c:f>
              <c:strCache>
                <c:ptCount val="4"/>
                <c:pt idx="0">
                  <c:v>Coverage Infraestructure (Donatelli´s Org)</c:v>
                </c:pt>
                <c:pt idx="1">
                  <c:v>GBU-All Others</c:v>
                </c:pt>
                <c:pt idx="2">
                  <c:v>GBU-Mike Webster´s Org</c:v>
                </c:pt>
                <c:pt idx="3">
                  <c:v>GBU-Suriano Douglas´s Org</c:v>
                </c:pt>
              </c:strCache>
            </c:strRef>
          </c:cat>
          <c:val>
            <c:numRef>
              <c:f>'TI COPIA'!$BS$3:$BV$3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35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C9C-40CD-85B1-4C61B125E57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5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9AB1-4E13-B566-ED757D416E95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9AB1-4E13-B566-ED757D416E95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9AB1-4E13-B566-ED757D416E95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9AB1-4E13-B566-ED757D416E95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9AB1-4E13-B566-ED757D416E95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9AB1-4E13-B566-ED757D416E95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9AB1-4E13-B566-ED757D416E95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9AB1-4E13-B566-ED757D416E95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9AB1-4E13-B566-ED757D416E95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9AB1-4E13-B566-ED757D416E95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COPIA'!$BX$2:$BY$2</c:f>
              <c:strCache>
                <c:ptCount val="2"/>
                <c:pt idx="0">
                  <c:v>Finance - Controller Group (Augusto Serrano Villate´s Org)</c:v>
                </c:pt>
                <c:pt idx="1">
                  <c:v>Safra Catz Org-All Others</c:v>
                </c:pt>
              </c:strCache>
            </c:strRef>
          </c:cat>
          <c:val>
            <c:numRef>
              <c:f>'TI COPIA'!$BX$3:$BY$3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AB1-4E13-B566-ED757D416E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5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31F9-491B-A3BB-2F40517CC724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31F9-491B-A3BB-2F40517CC724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31F9-491B-A3BB-2F40517CC724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31F9-491B-A3BB-2F40517CC724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31F9-491B-A3BB-2F40517CC724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31F9-491B-A3BB-2F40517CC724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31F9-491B-A3BB-2F40517CC724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31F9-491B-A3BB-2F40517CC724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31F9-491B-A3BB-2F40517CC724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31F9-491B-A3BB-2F40517CC724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COPIA'!$CA$2:$CB$2</c:f>
              <c:strCache>
                <c:ptCount val="2"/>
                <c:pt idx="0">
                  <c:v>IT - O´Shea´s org</c:v>
                </c:pt>
                <c:pt idx="1">
                  <c:v>IT- All Others</c:v>
                </c:pt>
              </c:strCache>
            </c:strRef>
          </c:cat>
          <c:val>
            <c:numRef>
              <c:f>'TI COPIA'!$CA$3:$CB$3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1F9-491B-A3BB-2F40517CC7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41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89B6-4FAC-A71F-3F95020F48CA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89B6-4FAC-A71F-3F95020F48CA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89B6-4FAC-A71F-3F95020F48CA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89B6-4FAC-A71F-3F95020F48CA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89B6-4FAC-A71F-3F95020F48CA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89B6-4FAC-A71F-3F95020F48CA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89B6-4FAC-A71F-3F95020F48CA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89B6-4FAC-A71F-3F95020F48CA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89B6-4FAC-A71F-3F95020F48CA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89B6-4FAC-A71F-3F95020F48CA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COPIA'!$CD$2:$CE$2</c:f>
              <c:strCache>
                <c:ptCount val="2"/>
                <c:pt idx="0">
                  <c:v>Worldwide Alliances &amp; Channel (Penny Philpot´s Org)</c:v>
                </c:pt>
                <c:pt idx="1">
                  <c:v>Worldwide Operations (Jennifer Birk´s Org)</c:v>
                </c:pt>
              </c:strCache>
            </c:strRef>
          </c:cat>
          <c:val>
            <c:numRef>
              <c:f>'TI COPIA'!$CD$3:$CE$3</c:f>
              <c:numCache>
                <c:formatCode>General</c:formatCode>
                <c:ptCount val="2"/>
                <c:pt idx="0">
                  <c:v>28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9B6-4FAC-A71F-3F95020F48C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3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0738-43E2-ABB8-EA5A0B30DB1F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0738-43E2-ABB8-EA5A0B30DB1F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0738-43E2-ABB8-EA5A0B30DB1F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0738-43E2-ABB8-EA5A0B30DB1F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0738-43E2-ABB8-EA5A0B30DB1F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0738-43E2-ABB8-EA5A0B30DB1F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0738-43E2-ABB8-EA5A0B30DB1F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0738-43E2-ABB8-EA5A0B30DB1F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0738-43E2-ABB8-EA5A0B30DB1F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0738-43E2-ABB8-EA5A0B30DB1F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COPIA'!$CG$2:$CH$2</c:f>
              <c:strCache>
                <c:ptCount val="2"/>
                <c:pt idx="0">
                  <c:v>Product Support-All Others</c:v>
                </c:pt>
                <c:pt idx="1">
                  <c:v>Product Support-System Disk (Deborah Smith´s Org)</c:v>
                </c:pt>
              </c:strCache>
            </c:strRef>
          </c:cat>
          <c:val>
            <c:numRef>
              <c:f>'TI COPIA'!$CG$3:$CH$3</c:f>
              <c:numCache>
                <c:formatCode>General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738-43E2-ABB8-EA5A0B30DB1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22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801B-499F-899E-B09560067191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801B-499F-899E-B09560067191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801B-499F-899E-B09560067191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801B-499F-899E-B09560067191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801B-499F-899E-B09560067191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801B-499F-899E-B09560067191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801B-499F-899E-B09560067191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801B-499F-899E-B09560067191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801B-499F-899E-B09560067191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801B-499F-899E-B09560067191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COPIA'!$CJ$2:$CM$2</c:f>
              <c:strCache>
                <c:ptCount val="4"/>
                <c:pt idx="0">
                  <c:v>LAD Arquitecture</c:v>
                </c:pt>
                <c:pt idx="1">
                  <c:v>LAD Customer Care</c:v>
                </c:pt>
                <c:pt idx="2">
                  <c:v>LAD Customer Success</c:v>
                </c:pt>
                <c:pt idx="3">
                  <c:v>LAD Pre-Sales Apps</c:v>
                </c:pt>
              </c:strCache>
            </c:strRef>
          </c:cat>
          <c:val>
            <c:numRef>
              <c:f>'TI COPIA'!$CJ$3:$CM$3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4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1B-499F-899E-B0956006719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157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EAF1-44F2-A094-4E8612F81AA6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EAF1-44F2-A094-4E8612F81AA6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EAF1-44F2-A094-4E8612F81AA6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EAF1-44F2-A094-4E8612F81AA6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EAF1-44F2-A094-4E8612F81AA6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EAF1-44F2-A094-4E8612F81AA6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EAF1-44F2-A094-4E8612F81AA6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EAF1-44F2-A094-4E8612F81AA6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EAF1-44F2-A094-4E8612F81AA6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EAF1-44F2-A094-4E8612F81AA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COPIA'!$CO$2:$CQ$2</c:f>
              <c:strCache>
                <c:ptCount val="3"/>
                <c:pt idx="0">
                  <c:v>Consulting All Others</c:v>
                </c:pt>
                <c:pt idx="1">
                  <c:v>Consulting-Delivery</c:v>
                </c:pt>
                <c:pt idx="2">
                  <c:v>Consulting-Sales</c:v>
                </c:pt>
              </c:strCache>
            </c:strRef>
          </c:cat>
          <c:val>
            <c:numRef>
              <c:f>'TI COPIA'!$CO$3:$CQ$3</c:f>
              <c:numCache>
                <c:formatCode>General</c:formatCode>
                <c:ptCount val="3"/>
                <c:pt idx="0">
                  <c:v>8</c:v>
                </c:pt>
                <c:pt idx="1">
                  <c:v>139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AF1-44F2-A094-4E8612F81A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41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48B0-44E5-8D90-570E7294953E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48B0-44E5-8D90-570E7294953E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48B0-44E5-8D90-570E7294953E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48B0-44E5-8D90-570E7294953E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48B0-44E5-8D90-570E7294953E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48B0-44E5-8D90-570E7294953E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48B0-44E5-8D90-570E7294953E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48B0-44E5-8D90-570E7294953E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48B0-44E5-8D90-570E7294953E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48B0-44E5-8D90-570E7294953E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COPIA'!$CS$2:$CX$2</c:f>
              <c:strCache>
                <c:ptCount val="6"/>
                <c:pt idx="0">
                  <c:v>Customer Services-ACS Sales</c:v>
                </c:pt>
                <c:pt idx="1">
                  <c:v>Customer Services-All Others</c:v>
                </c:pt>
                <c:pt idx="2">
                  <c:v>Customer Services-Lopes´s Org</c:v>
                </c:pt>
                <c:pt idx="3">
                  <c:v>Customer Services-Martinez´s Org</c:v>
                </c:pt>
                <c:pt idx="4">
                  <c:v>Customer Services-Operations</c:v>
                </c:pt>
                <c:pt idx="5">
                  <c:v>Customer Services-Perez´s org</c:v>
                </c:pt>
              </c:strCache>
            </c:strRef>
          </c:cat>
          <c:val>
            <c:numRef>
              <c:f>'TI COPIA'!$CS$3:$CX$3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14</c:v>
                </c:pt>
                <c:pt idx="4">
                  <c:v>6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8B0-44E5-8D90-570E729495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5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DAA1-468C-9D17-02C8C260F51A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DAA1-468C-9D17-02C8C260F51A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DAA1-468C-9D17-02C8C260F51A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DAA1-468C-9D17-02C8C260F51A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DAA1-468C-9D17-02C8C260F51A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DAA1-468C-9D17-02C8C260F51A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DAA1-468C-9D17-02C8C260F51A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DAA1-468C-9D17-02C8C260F51A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DAA1-468C-9D17-02C8C260F51A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DAA1-468C-9D17-02C8C260F51A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COPIA'!$CZ$2:$CZ$2</c:f>
              <c:strCache>
                <c:ptCount val="1"/>
                <c:pt idx="0">
                  <c:v>Deal Management-(Rafael Lara´Org)</c:v>
                </c:pt>
              </c:strCache>
            </c:strRef>
          </c:cat>
          <c:val>
            <c:numRef>
              <c:f>'TI COPIA'!$CZ$3:$CZ$3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AA1-468C-9D17-02C8C260F5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4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4EC6-4407-82FE-53DA2C12C967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4EC6-4407-82FE-53DA2C12C967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4EC6-4407-82FE-53DA2C12C967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4EC6-4407-82FE-53DA2C12C967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4EC6-4407-82FE-53DA2C12C967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4EC6-4407-82FE-53DA2C12C967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4EC6-4407-82FE-53DA2C12C967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4EC6-4407-82FE-53DA2C12C967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4EC6-4407-82FE-53DA2C12C967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4EC6-4407-82FE-53DA2C12C967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COPIA'!$DB$2:$DB$2</c:f>
              <c:strCache>
                <c:ptCount val="1"/>
                <c:pt idx="0">
                  <c:v>Education - Oracle University</c:v>
                </c:pt>
              </c:strCache>
            </c:strRef>
          </c:cat>
          <c:val>
            <c:numRef>
              <c:f>'TI COPIA'!$DB$3:$DB$3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EC6-4407-82FE-53DA2C12C9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7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9A69-4931-BE78-B8C0FE4E4061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9A69-4931-BE78-B8C0FE4E4061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9A69-4931-BE78-B8C0FE4E4061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9A69-4931-BE78-B8C0FE4E4061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9A69-4931-BE78-B8C0FE4E4061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9A69-4931-BE78-B8C0FE4E4061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9A69-4931-BE78-B8C0FE4E4061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9A69-4931-BE78-B8C0FE4E4061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9A69-4931-BE78-B8C0FE4E4061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9A69-4931-BE78-B8C0FE4E4061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COPIA'!$DD$2:$DD$2</c:f>
              <c:strCache>
                <c:ptCount val="1"/>
                <c:pt idx="0">
                  <c:v>Facilities</c:v>
                </c:pt>
              </c:strCache>
            </c:strRef>
          </c:cat>
          <c:val>
            <c:numRef>
              <c:f>'TI COPIA'!$DD$3:$DD$3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A69-4931-BE78-B8C0FE4E406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17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3A7C-4BF4-85BD-14F4FF42FE44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3A7C-4BF4-85BD-14F4FF42FE44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3A7C-4BF4-85BD-14F4FF42FE44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3A7C-4BF4-85BD-14F4FF42FE44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3A7C-4BF4-85BD-14F4FF42FE44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3A7C-4BF4-85BD-14F4FF42FE44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3A7C-4BF4-85BD-14F4FF42FE44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3A7C-4BF4-85BD-14F4FF42FE44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3A7C-4BF4-85BD-14F4FF42FE44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3A7C-4BF4-85BD-14F4FF42FE44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COPIA'!$DF$2:$DF$2</c:f>
              <c:strCache>
                <c:ptCount val="1"/>
                <c:pt idx="0">
                  <c:v>Finance - McDowell´s org</c:v>
                </c:pt>
              </c:strCache>
            </c:strRef>
          </c:cat>
          <c:val>
            <c:numRef>
              <c:f>'TI COPIA'!$DF$3:$DF$3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7C-4BF4-85BD-14F4FF42FE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5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7C47-4438-B95D-EA804553E62E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7C47-4438-B95D-EA804553E62E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7C47-4438-B95D-EA804553E62E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7C47-4438-B95D-EA804553E62E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7C47-4438-B95D-EA804553E62E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7C47-4438-B95D-EA804553E62E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7C47-4438-B95D-EA804553E62E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7C47-4438-B95D-EA804553E62E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7C47-4438-B95D-EA804553E62E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7C47-4438-B95D-EA804553E62E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COPIA'!$DH$2:$DH$2</c:f>
              <c:strCache>
                <c:ptCount val="1"/>
                <c:pt idx="0">
                  <c:v>LAD HR - Carolina Florez´s Org</c:v>
                </c:pt>
              </c:strCache>
            </c:strRef>
          </c:cat>
          <c:val>
            <c:numRef>
              <c:f>'TI COPIA'!$DH$3:$DH$3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C47-4438-B95D-EA804553E62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2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2F24-4F7D-81CF-E54A555301EC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2F24-4F7D-81CF-E54A555301EC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2F24-4F7D-81CF-E54A555301EC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2F24-4F7D-81CF-E54A555301EC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2F24-4F7D-81CF-E54A555301EC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2F24-4F7D-81CF-E54A555301EC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2F24-4F7D-81CF-E54A555301EC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2F24-4F7D-81CF-E54A555301EC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2F24-4F7D-81CF-E54A555301EC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2F24-4F7D-81CF-E54A555301EC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COPIA'!$DJ$2:$DJ$2</c:f>
              <c:strCache>
                <c:ptCount val="1"/>
                <c:pt idx="0">
                  <c:v>Legal</c:v>
                </c:pt>
              </c:strCache>
            </c:strRef>
          </c:cat>
          <c:val>
            <c:numRef>
              <c:f>'TI COPIA'!$DJ$3:$DJ$3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F24-4F7D-81CF-E54A555301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110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B0DB-4013-BBC0-8FAAD20CD6C0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B0DB-4013-BBC0-8FAAD20CD6C0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B0DB-4013-BBC0-8FAAD20CD6C0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B0DB-4013-BBC0-8FAAD20CD6C0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B0DB-4013-BBC0-8FAAD20CD6C0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B0DB-4013-BBC0-8FAAD20CD6C0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B0DB-4013-BBC0-8FAAD20CD6C0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B0DB-4013-BBC0-8FAAD20CD6C0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B0DB-4013-BBC0-8FAAD20CD6C0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B0DB-4013-BBC0-8FAAD20CD6C0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COPIA'!$DL$2:$DV$2</c:f>
              <c:strCache>
                <c:ptCount val="11"/>
                <c:pt idx="0">
                  <c:v>LAD Systems Pre-Sales</c:v>
                </c:pt>
                <c:pt idx="1">
                  <c:v>LAD Systems Sales</c:v>
                </c:pt>
                <c:pt idx="2">
                  <c:v>Licenses - Customer Experience</c:v>
                </c:pt>
                <c:pt idx="3">
                  <c:v>Licenses - DB &amp; MDW</c:v>
                </c:pt>
                <c:pt idx="4">
                  <c:v>Licenses - Innovate</c:v>
                </c:pt>
                <c:pt idx="5">
                  <c:v>Licenses - LAD Alliances</c:v>
                </c:pt>
                <c:pt idx="6">
                  <c:v>Licenses - Oracle Direct</c:v>
                </c:pt>
                <c:pt idx="7">
                  <c:v>Licenses - PreSales Tech</c:v>
                </c:pt>
                <c:pt idx="8">
                  <c:v>Licenses - Public Sector</c:v>
                </c:pt>
                <c:pt idx="9">
                  <c:v>Licenses- All Others</c:v>
                </c:pt>
                <c:pt idx="10">
                  <c:v>Licenses - Operation Efficiency (ERP/EPM-HCM)</c:v>
                </c:pt>
              </c:strCache>
            </c:strRef>
          </c:cat>
          <c:val>
            <c:numRef>
              <c:f>'TI COPIA'!$DL$3:$DV$3</c:f>
              <c:numCache>
                <c:formatCode>General</c:formatCode>
                <c:ptCount val="11"/>
                <c:pt idx="0">
                  <c:v>4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1</c:v>
                </c:pt>
                <c:pt idx="5">
                  <c:v>9</c:v>
                </c:pt>
                <c:pt idx="6">
                  <c:v>30</c:v>
                </c:pt>
                <c:pt idx="7">
                  <c:v>13</c:v>
                </c:pt>
                <c:pt idx="8">
                  <c:v>8</c:v>
                </c:pt>
                <c:pt idx="9">
                  <c:v>2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0DB-4013-BBC0-8FAAD20CD6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2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4493-43FD-BDF9-5EC2C46B7C3E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4493-43FD-BDF9-5EC2C46B7C3E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4493-43FD-BDF9-5EC2C46B7C3E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4493-43FD-BDF9-5EC2C46B7C3E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4493-43FD-BDF9-5EC2C46B7C3E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4493-43FD-BDF9-5EC2C46B7C3E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4493-43FD-BDF9-5EC2C46B7C3E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4493-43FD-BDF9-5EC2C46B7C3E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4493-43FD-BDF9-5EC2C46B7C3E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4493-43FD-BDF9-5EC2C46B7C3E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COPIA'!$DX$2:$DX$2</c:f>
              <c:strCache>
                <c:ptCount val="1"/>
                <c:pt idx="0">
                  <c:v>LMS</c:v>
                </c:pt>
              </c:strCache>
            </c:strRef>
          </c:cat>
          <c:val>
            <c:numRef>
              <c:f>'TI COPIA'!$DX$3:$DX$3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493-43FD-BDF9-5EC2C46B7C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9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7FEA-4B45-B4EC-4DAD3957130C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7FEA-4B45-B4EC-4DAD3957130C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7FEA-4B45-B4EC-4DAD3957130C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7FEA-4B45-B4EC-4DAD3957130C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7FEA-4B45-B4EC-4DAD3957130C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7FEA-4B45-B4EC-4DAD3957130C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7FEA-4B45-B4EC-4DAD3957130C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7FEA-4B45-B4EC-4DAD3957130C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7FEA-4B45-B4EC-4DAD3957130C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7FEA-4B45-B4EC-4DAD3957130C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COPIA'!$DZ$2:$EB$2</c:f>
              <c:strCache>
                <c:ptCount val="3"/>
                <c:pt idx="0">
                  <c:v>Marketing - All Others</c:v>
                </c:pt>
                <c:pt idx="1">
                  <c:v>Marketing - Borst`s org</c:v>
                </c:pt>
                <c:pt idx="2">
                  <c:v>Marketing - Corporate Communications` org</c:v>
                </c:pt>
              </c:strCache>
            </c:strRef>
          </c:cat>
          <c:val>
            <c:numRef>
              <c:f>'TI COPIA'!$DZ$3:$EB$3</c:f>
              <c:numCache>
                <c:formatCode>General</c:formatCode>
                <c:ptCount val="3"/>
                <c:pt idx="0">
                  <c:v>5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FEA-4B45-B4EC-4DAD395713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19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EAB2-45D1-A1EF-72D4151A8D86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EAB2-45D1-A1EF-72D4151A8D86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EAB2-45D1-A1EF-72D4151A8D86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EAB2-45D1-A1EF-72D4151A8D86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EAB2-45D1-A1EF-72D4151A8D86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EAB2-45D1-A1EF-72D4151A8D86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EAB2-45D1-A1EF-72D4151A8D86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EAB2-45D1-A1EF-72D4151A8D86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EAB2-45D1-A1EF-72D4151A8D86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EAB2-45D1-A1EF-72D4151A8D8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COPIA'!$EG$2:$EG$2</c:f>
              <c:strCache>
                <c:ptCount val="1"/>
                <c:pt idx="0">
                  <c:v>LAD Product Support - ACS Delivery</c:v>
                </c:pt>
              </c:strCache>
            </c:strRef>
          </c:cat>
          <c:val>
            <c:numRef>
              <c:f>'TI COPIA'!$EG$3:$EG$3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AB2-45D1-A1EF-72D4151A8D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546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A04A-4444-A247-543614100E0D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A04A-4444-A247-543614100E0D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A04A-4444-A247-543614100E0D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A04A-4444-A247-543614100E0D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A04A-4444-A247-543614100E0D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A04A-4444-A247-543614100E0D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A04A-4444-A247-543614100E0D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A04A-4444-A247-543614100E0D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A04A-4444-A247-543614100E0D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A04A-4444-A247-543614100E0D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COPIA'!$J$2:$N$2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'TI COPIA'!$J$3:$N$3</c:f>
              <c:numCache>
                <c:formatCode>General</c:formatCode>
                <c:ptCount val="5"/>
                <c:pt idx="0">
                  <c:v>5</c:v>
                </c:pt>
                <c:pt idx="1">
                  <c:v>34</c:v>
                </c:pt>
                <c:pt idx="2">
                  <c:v>79</c:v>
                </c:pt>
                <c:pt idx="3">
                  <c:v>409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04A-4444-A247-543614100E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579346764213015"/>
          <c:y val="0.12422110128022845"/>
          <c:w val="0.53392734111231799"/>
          <c:h val="0.65735942693098359"/>
        </c:manualLayout>
      </c:layout>
      <c:doughnutChart>
        <c:varyColors val="0"/>
        <c:ser>
          <c:idx val="0"/>
          <c:order val="0"/>
          <c:spPr>
            <a:ln w="635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F8B8B"/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33CD-4573-A515-3CE3BA1E68FB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3CD-4573-A515-3CE3BA1E68FB}"/>
              </c:ext>
            </c:extLst>
          </c:dPt>
          <c:dPt>
            <c:idx val="2"/>
            <c:bubble3D val="0"/>
            <c:spPr>
              <a:solidFill>
                <a:srgbClr val="FFB9B9"/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33CD-4573-A515-3CE3BA1E68FB}"/>
              </c:ext>
            </c:extLst>
          </c:dPt>
          <c:dPt>
            <c:idx val="3"/>
            <c:bubble3D val="0"/>
            <c:spPr>
              <a:solidFill>
                <a:srgbClr val="C92D38"/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33CD-4573-A515-3CE3BA1E68FB}"/>
              </c:ext>
            </c:extLst>
          </c:dPt>
          <c:dPt>
            <c:idx val="4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33CD-4573-A515-3CE3BA1E68FB}"/>
              </c:ext>
            </c:extLst>
          </c:dPt>
          <c:dLbls>
            <c:dLbl>
              <c:idx val="0"/>
              <c:layout>
                <c:manualLayout>
                  <c:x val="-1.2474202894137849E-2"/>
                  <c:y val="3.73963759672631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3CD-4573-A515-3CE3BA1E68FB}"/>
                </c:ext>
              </c:extLst>
            </c:dLbl>
            <c:dLbl>
              <c:idx val="1"/>
              <c:layout>
                <c:manualLayout>
                  <c:x val="-5.7172769466753516E-17"/>
                  <c:y val="-1.12189127901789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573-A515-3CE3BA1E68FB}"/>
                </c:ext>
              </c:extLst>
            </c:dLbl>
            <c:dLbl>
              <c:idx val="2"/>
              <c:layout>
                <c:manualLayout>
                  <c:x val="6.2371014470689245E-3"/>
                  <c:y val="5.609456395089439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CD-4573-A515-3CE3BA1E68FB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>
                    <a:latin typeface="HelveticaNeueLT Std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Motivo!$B$7:$F$7</c:f>
              <c:numCache>
                <c:formatCode>0</c:formatCode>
                <c:ptCount val="5"/>
                <c:pt idx="0">
                  <c:v>30.224525043177891</c:v>
                </c:pt>
                <c:pt idx="1">
                  <c:v>8.1174438687392065</c:v>
                </c:pt>
                <c:pt idx="2">
                  <c:v>1.7271157167530224</c:v>
                </c:pt>
                <c:pt idx="3">
                  <c:v>51.986183074265981</c:v>
                </c:pt>
                <c:pt idx="4">
                  <c:v>7.9447322970639025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CD-4573-A515-3CE3BA1E68FB}"/>
            </c:ext>
          </c:extLst>
        </c:ser>
        <c:ser>
          <c:idx val="1"/>
          <c:order val="1"/>
          <c:spPr>
            <a:ln w="1143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D8505A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33CD-4573-A515-3CE3BA1E68FB}"/>
              </c:ext>
            </c:extLst>
          </c:dPt>
          <c:dPt>
            <c:idx val="1"/>
            <c:bubble3D val="0"/>
            <c:spPr>
              <a:solidFill>
                <a:srgbClr val="929292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33CD-4573-A515-3CE3BA1E68FB}"/>
              </c:ext>
            </c:extLst>
          </c:dPt>
          <c:dPt>
            <c:idx val="2"/>
            <c:bubble3D val="0"/>
            <c:spPr>
              <a:solidFill>
                <a:srgbClr val="FF9797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0-33CD-4573-A515-3CE3BA1E68FB}"/>
              </c:ext>
            </c:extLst>
          </c:dPt>
          <c:dPt>
            <c:idx val="3"/>
            <c:bubble3D val="0"/>
            <c:spPr>
              <a:solidFill>
                <a:srgbClr val="AA272F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2-33CD-4573-A515-3CE3BA1E68FB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33CD-4573-A515-3CE3BA1E68F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>
                    <a:solidFill>
                      <a:schemeClr val="tx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Motivo!$B$6:$F$6</c:f>
              <c:numCache>
                <c:formatCode>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3CD-4573-A515-3CE3BA1E6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4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158355205599305E-2"/>
          <c:y val="2.7503967535791454E-2"/>
          <c:w val="0.98284164479440073"/>
          <c:h val="0.689853531181516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Motivo!$K$7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Motivo!$B$2:$F$2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profesional-mente</c:v>
                </c:pt>
                <c:pt idx="4">
                  <c:v>Otro motivo</c:v>
                </c:pt>
              </c:strCache>
            </c:strRef>
          </c:cat>
          <c:val>
            <c:numRef>
              <c:f>Motivo!$L$7:$P$7</c:f>
              <c:numCache>
                <c:formatCode>0%</c:formatCode>
                <c:ptCount val="5"/>
                <c:pt idx="0">
                  <c:v>0.30224525043177891</c:v>
                </c:pt>
                <c:pt idx="1">
                  <c:v>8.1174438687392061E-2</c:v>
                </c:pt>
                <c:pt idx="2">
                  <c:v>1.7271157167530225E-2</c:v>
                </c:pt>
                <c:pt idx="3">
                  <c:v>0.51986183074265979</c:v>
                </c:pt>
                <c:pt idx="4">
                  <c:v>7.9447322970639028E-2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F2-4420-8BF2-32DD00A43076}"/>
            </c:ext>
          </c:extLst>
        </c:ser>
        <c:ser>
          <c:idx val="0"/>
          <c:order val="1"/>
          <c:tx>
            <c:strRef>
              <c:f>Motivo!$K$6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Motivo!$B$2:$F$2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profesional-mente</c:v>
                </c:pt>
                <c:pt idx="4">
                  <c:v>Otro motivo</c:v>
                </c:pt>
              </c:strCache>
            </c:strRef>
          </c:cat>
          <c:val>
            <c:numRef>
              <c:f>Motivo!$L$6:$P$6</c:f>
              <c:numCache>
                <c:formatCode>0%</c:formatCode>
                <c:ptCount val="5"/>
                <c:pt idx="0">
                  <c:v>0.26900584795321636</c:v>
                </c:pt>
                <c:pt idx="1">
                  <c:v>8.3820662768031184E-2</c:v>
                </c:pt>
                <c:pt idx="2">
                  <c:v>1.9493177387914229E-2</c:v>
                </c:pt>
                <c:pt idx="3">
                  <c:v>0.51851851851851849</c:v>
                </c:pt>
                <c:pt idx="4">
                  <c:v>0.10916179337231968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F2-4420-8BF2-32DD00A43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77161904"/>
        <c:axId val="277162232"/>
      </c:barChart>
      <c:lineChart>
        <c:grouping val="standard"/>
        <c:varyColors val="0"/>
        <c:ser>
          <c:idx val="2"/>
          <c:order val="2"/>
          <c:tx>
            <c:strRef>
              <c:f>Motivo!$Q$6</c:f>
              <c:strCache>
                <c:ptCount val="1"/>
                <c:pt idx="0">
                  <c:v>PERC.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i="1"/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Motivo!$B$4:$F$4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profesional-mente</c:v>
                </c:pt>
                <c:pt idx="4">
                  <c:v>Otro motivo</c:v>
                </c:pt>
              </c:strCache>
            </c:strRef>
          </c:cat>
          <c:val>
            <c:numRef>
              <c:f>Motivo!$R$6:$V$6</c:f>
              <c:numCache>
                <c:formatCode>0%</c:formatCode>
                <c:ptCount val="5"/>
                <c:pt idx="0">
                  <c:v>0.62</c:v>
                </c:pt>
                <c:pt idx="1">
                  <c:v>0.63</c:v>
                </c:pt>
                <c:pt idx="2">
                  <c:v>0.3</c:v>
                </c:pt>
                <c:pt idx="3">
                  <c:v>0.79</c:v>
                </c:pt>
                <c:pt idx="4">
                  <c:v>0.28999999999999998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3F2-4420-8BF2-32DD00A43076}"/>
            </c:ext>
          </c:extLst>
        </c:ser>
        <c:ser>
          <c:idx val="3"/>
          <c:order val="3"/>
          <c:tx>
            <c:strRef>
              <c:f>Motivo!$Q$7</c:f>
              <c:strCache>
                <c:ptCount val="1"/>
                <c:pt idx="0">
                  <c:v>PROM.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i="1"/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Motivo!$B$4:$F$4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profesional-mente</c:v>
                </c:pt>
                <c:pt idx="4">
                  <c:v>Otro motivo</c:v>
                </c:pt>
              </c:strCache>
            </c:strRef>
          </c:cat>
          <c:val>
            <c:numRef>
              <c:f>Motivo!$R$7:$V$7</c:f>
              <c:numCache>
                <c:formatCode>0%</c:formatCode>
                <c:ptCount val="5"/>
                <c:pt idx="0">
                  <c:v>0.66</c:v>
                </c:pt>
                <c:pt idx="1">
                  <c:v>65</c:v>
                </c:pt>
                <c:pt idx="2">
                  <c:v>38</c:v>
                </c:pt>
                <c:pt idx="3">
                  <c:v>0.78</c:v>
                </c:pt>
                <c:pt idx="4">
                  <c:v>0.41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3F2-4420-8BF2-32DD00A43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484384"/>
        <c:axId val="236493568"/>
      </c:lineChart>
      <c:catAx>
        <c:axId val="27716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1200" b="0">
                <a:latin typeface="HelveticaNeueLT Std" panose="020B0604020202020204" pitchFamily="34" charset="0"/>
              </a:defRPr>
            </a:pPr>
            <a:endParaRPr lang="es-ES"/>
          </a:p>
        </c:txPr>
        <c:crossAx val="277162232"/>
        <c:crosses val="autoZero"/>
        <c:auto val="1"/>
        <c:lblAlgn val="ctr"/>
        <c:lblOffset val="500"/>
        <c:noMultiLvlLbl val="0"/>
      </c:catAx>
      <c:valAx>
        <c:axId val="277162232"/>
        <c:scaling>
          <c:orientation val="minMax"/>
        </c:scaling>
        <c:delete val="1"/>
        <c:axPos val="l"/>
        <c:majorGridlines>
          <c:spPr>
            <a:ln>
              <a:noFill/>
            </a:ln>
          </c:spPr>
        </c:majorGridlines>
        <c:numFmt formatCode="0%" sourceLinked="1"/>
        <c:majorTickMark val="out"/>
        <c:minorTickMark val="none"/>
        <c:tickLblPos val="nextTo"/>
        <c:crossAx val="277161904"/>
        <c:crosses val="autoZero"/>
        <c:crossBetween val="between"/>
      </c:valAx>
      <c:valAx>
        <c:axId val="236493568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236484384"/>
        <c:crosses val="max"/>
        <c:crossBetween val="between"/>
      </c:valAx>
      <c:catAx>
        <c:axId val="236484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6493568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88682865489271456"/>
          <c:y val="0.82783896075350027"/>
          <c:w val="7.9358906831879183E-2"/>
          <c:h val="0.15135401725014613"/>
        </c:manualLayout>
      </c:layout>
      <c:overlay val="0"/>
      <c:txPr>
        <a:bodyPr/>
        <a:lstStyle/>
        <a:p>
          <a:pPr>
            <a:defRPr sz="1000">
              <a:latin typeface="HelveticaNeueLT Std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500"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579346764213015"/>
          <c:y val="0.12422110128022845"/>
          <c:w val="0.53392734111231799"/>
          <c:h val="0.65735942693098359"/>
        </c:manualLayout>
      </c:layout>
      <c:doughnutChart>
        <c:varyColors val="0"/>
        <c:ser>
          <c:idx val="0"/>
          <c:order val="0"/>
          <c:spPr>
            <a:ln w="635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F8B8B"/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8501-407A-B0D7-4D5FD0D0CA5B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8501-407A-B0D7-4D5FD0D0CA5B}"/>
              </c:ext>
            </c:extLst>
          </c:dPt>
          <c:dPt>
            <c:idx val="2"/>
            <c:bubble3D val="0"/>
            <c:spPr>
              <a:solidFill>
                <a:srgbClr val="FFB9B9"/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8501-407A-B0D7-4D5FD0D0CA5B}"/>
              </c:ext>
            </c:extLst>
          </c:dPt>
          <c:dPt>
            <c:idx val="3"/>
            <c:bubble3D val="0"/>
            <c:spPr>
              <a:solidFill>
                <a:srgbClr val="C92D38"/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8501-407A-B0D7-4D5FD0D0CA5B}"/>
              </c:ext>
            </c:extLst>
          </c:dPt>
          <c:dPt>
            <c:idx val="4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8501-407A-B0D7-4D5FD0D0CA5B}"/>
              </c:ext>
            </c:extLst>
          </c:dP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8501-407A-B0D7-4D5FD0D0CA5B}"/>
            </c:ext>
          </c:extLst>
        </c:ser>
        <c:ser>
          <c:idx val="1"/>
          <c:order val="1"/>
          <c:spPr>
            <a:ln w="114300">
              <a:noFill/>
            </a:ln>
          </c:spPr>
          <c:dPt>
            <c:idx val="0"/>
            <c:bubble3D val="0"/>
            <c:spPr>
              <a:solidFill>
                <a:srgbClr val="E17F86"/>
              </a:solidFill>
              <a:ln w="114300">
                <a:noFill/>
              </a:ln>
            </c:spPr>
            <c:extLst>
              <c:ext xmlns:c16="http://schemas.microsoft.com/office/drawing/2014/chart" uri="{C3380CC4-5D6E-409C-BE32-E72D297353CC}">
                <c16:uniqueId val="{0000000C-8501-407A-B0D7-4D5FD0D0CA5B}"/>
              </c:ext>
            </c:extLst>
          </c:dPt>
          <c:dPt>
            <c:idx val="1"/>
            <c:bubble3D val="0"/>
            <c:spPr>
              <a:solidFill>
                <a:srgbClr val="96222A"/>
              </a:solidFill>
              <a:ln w="114300">
                <a:noFill/>
              </a:ln>
            </c:spPr>
            <c:extLst>
              <c:ext xmlns:c16="http://schemas.microsoft.com/office/drawing/2014/chart" uri="{C3380CC4-5D6E-409C-BE32-E72D297353CC}">
                <c16:uniqueId val="{0000000E-8501-407A-B0D7-4D5FD0D0CA5B}"/>
              </c:ext>
            </c:extLst>
          </c:dPt>
          <c:dPt>
            <c:idx val="2"/>
            <c:bubble3D val="0"/>
            <c:spPr>
              <a:solidFill>
                <a:srgbClr val="FF9797"/>
              </a:solidFill>
              <a:ln w="114300">
                <a:noFill/>
              </a:ln>
            </c:spPr>
            <c:extLst>
              <c:ext xmlns:c16="http://schemas.microsoft.com/office/drawing/2014/chart" uri="{C3380CC4-5D6E-409C-BE32-E72D297353CC}">
                <c16:uniqueId val="{00000010-8501-407A-B0D7-4D5FD0D0CA5B}"/>
              </c:ext>
            </c:extLst>
          </c:dPt>
          <c:dPt>
            <c:idx val="3"/>
            <c:bubble3D val="0"/>
            <c:spPr>
              <a:solidFill>
                <a:srgbClr val="AA272F"/>
              </a:solidFill>
              <a:ln w="114300">
                <a:noFill/>
              </a:ln>
            </c:spPr>
            <c:extLst>
              <c:ext xmlns:c16="http://schemas.microsoft.com/office/drawing/2014/chart" uri="{C3380CC4-5D6E-409C-BE32-E72D297353CC}">
                <c16:uniqueId val="{00000012-8501-407A-B0D7-4D5FD0D0CA5B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14300">
                <a:noFill/>
              </a:ln>
            </c:spPr>
            <c:extLst>
              <c:ext xmlns:c16="http://schemas.microsoft.com/office/drawing/2014/chart" uri="{C3380CC4-5D6E-409C-BE32-E72D297353CC}">
                <c16:uniqueId val="{00000014-8501-407A-B0D7-4D5FD0D0CA5B}"/>
              </c:ext>
            </c:extLst>
          </c:dPt>
          <c:dLbls>
            <c:dLbl>
              <c:idx val="0"/>
              <c:layout>
                <c:manualLayout>
                  <c:x val="0"/>
                  <c:y val="9.549982276135255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1-407A-B0D7-4D5FD0D0CA5B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60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INVESTIGACION!$B$6:$C$6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01-407A-B0D7-4D5FD0D0C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6" fmlaLink="$M$30" max="4" min="1" page="10" val="4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://www.enconweb.com.ar/TMP/Logos/bdff4feebc940c6e50d30e8806f9b4e8.jpg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8.xml"/><Relationship Id="rId18" Type="http://schemas.openxmlformats.org/officeDocument/2006/relationships/chart" Target="../charts/chart33.xml"/><Relationship Id="rId26" Type="http://schemas.openxmlformats.org/officeDocument/2006/relationships/chart" Target="../charts/chart41.xml"/><Relationship Id="rId3" Type="http://schemas.openxmlformats.org/officeDocument/2006/relationships/chart" Target="../charts/chart18.xml"/><Relationship Id="rId21" Type="http://schemas.openxmlformats.org/officeDocument/2006/relationships/chart" Target="../charts/chart36.xml"/><Relationship Id="rId34" Type="http://schemas.openxmlformats.org/officeDocument/2006/relationships/image" Target="../media/image4.emf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17" Type="http://schemas.openxmlformats.org/officeDocument/2006/relationships/chart" Target="../charts/chart32.xml"/><Relationship Id="rId25" Type="http://schemas.openxmlformats.org/officeDocument/2006/relationships/chart" Target="../charts/chart40.xml"/><Relationship Id="rId33" Type="http://schemas.openxmlformats.org/officeDocument/2006/relationships/image" Target="../media/image3.emf"/><Relationship Id="rId2" Type="http://schemas.openxmlformats.org/officeDocument/2006/relationships/chart" Target="../charts/chart17.xml"/><Relationship Id="rId16" Type="http://schemas.openxmlformats.org/officeDocument/2006/relationships/chart" Target="../charts/chart31.xml"/><Relationship Id="rId20" Type="http://schemas.openxmlformats.org/officeDocument/2006/relationships/chart" Target="../charts/chart35.xml"/><Relationship Id="rId29" Type="http://schemas.openxmlformats.org/officeDocument/2006/relationships/chart" Target="../charts/chart44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24" Type="http://schemas.openxmlformats.org/officeDocument/2006/relationships/chart" Target="../charts/chart39.xml"/><Relationship Id="rId32" Type="http://schemas.openxmlformats.org/officeDocument/2006/relationships/image" Target="../media/image2.emf"/><Relationship Id="rId5" Type="http://schemas.openxmlformats.org/officeDocument/2006/relationships/chart" Target="../charts/chart20.xml"/><Relationship Id="rId15" Type="http://schemas.openxmlformats.org/officeDocument/2006/relationships/chart" Target="../charts/chart30.xml"/><Relationship Id="rId23" Type="http://schemas.openxmlformats.org/officeDocument/2006/relationships/chart" Target="../charts/chart38.xml"/><Relationship Id="rId28" Type="http://schemas.openxmlformats.org/officeDocument/2006/relationships/chart" Target="../charts/chart43.xml"/><Relationship Id="rId36" Type="http://schemas.openxmlformats.org/officeDocument/2006/relationships/chart" Target="../charts/chart47.xml"/><Relationship Id="rId10" Type="http://schemas.openxmlformats.org/officeDocument/2006/relationships/chart" Target="../charts/chart25.xml"/><Relationship Id="rId19" Type="http://schemas.openxmlformats.org/officeDocument/2006/relationships/chart" Target="../charts/chart34.xml"/><Relationship Id="rId31" Type="http://schemas.openxmlformats.org/officeDocument/2006/relationships/image" Target="../media/image1.emf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Relationship Id="rId22" Type="http://schemas.openxmlformats.org/officeDocument/2006/relationships/chart" Target="../charts/chart37.xml"/><Relationship Id="rId27" Type="http://schemas.openxmlformats.org/officeDocument/2006/relationships/chart" Target="../charts/chart42.xml"/><Relationship Id="rId30" Type="http://schemas.openxmlformats.org/officeDocument/2006/relationships/chart" Target="../charts/chart45.xml"/><Relationship Id="rId35" Type="http://schemas.openxmlformats.org/officeDocument/2006/relationships/chart" Target="../charts/chart46.xml"/><Relationship Id="rId8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18" Type="http://schemas.openxmlformats.org/officeDocument/2006/relationships/chart" Target="../charts/chart65.xml"/><Relationship Id="rId26" Type="http://schemas.openxmlformats.org/officeDocument/2006/relationships/chart" Target="../charts/chart73.xml"/><Relationship Id="rId3" Type="http://schemas.openxmlformats.org/officeDocument/2006/relationships/chart" Target="../charts/chart50.xml"/><Relationship Id="rId21" Type="http://schemas.openxmlformats.org/officeDocument/2006/relationships/chart" Target="../charts/chart68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17" Type="http://schemas.openxmlformats.org/officeDocument/2006/relationships/chart" Target="../charts/chart64.xml"/><Relationship Id="rId25" Type="http://schemas.openxmlformats.org/officeDocument/2006/relationships/chart" Target="../charts/chart72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20" Type="http://schemas.openxmlformats.org/officeDocument/2006/relationships/chart" Target="../charts/chart67.xml"/><Relationship Id="rId29" Type="http://schemas.openxmlformats.org/officeDocument/2006/relationships/chart" Target="../charts/chart76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24" Type="http://schemas.openxmlformats.org/officeDocument/2006/relationships/chart" Target="../charts/chart71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23" Type="http://schemas.openxmlformats.org/officeDocument/2006/relationships/chart" Target="../charts/chart70.xml"/><Relationship Id="rId28" Type="http://schemas.openxmlformats.org/officeDocument/2006/relationships/chart" Target="../charts/chart75.xml"/><Relationship Id="rId10" Type="http://schemas.openxmlformats.org/officeDocument/2006/relationships/chart" Target="../charts/chart57.xml"/><Relationship Id="rId19" Type="http://schemas.openxmlformats.org/officeDocument/2006/relationships/chart" Target="../charts/chart66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Relationship Id="rId22" Type="http://schemas.openxmlformats.org/officeDocument/2006/relationships/chart" Target="../charts/chart69.xml"/><Relationship Id="rId27" Type="http://schemas.openxmlformats.org/officeDocument/2006/relationships/chart" Target="../charts/chart7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chart" Target="../charts/chart79.xml"/><Relationship Id="rId4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304802</xdr:colOff>
      <xdr:row>20</xdr:row>
      <xdr:rowOff>133352</xdr:rowOff>
    </xdr:from>
    <xdr:to>
      <xdr:col>6</xdr:col>
      <xdr:colOff>314327</xdr:colOff>
      <xdr:row>20</xdr:row>
      <xdr:rowOff>142877</xdr:rowOff>
    </xdr:to>
    <xdr:sp macro="" textlink="">
      <xdr:nvSpPr>
        <xdr:cNvPr id="2" name="Pie01"/>
        <xdr:cNvSpPr>
          <a:spLocks noEditPoints="1" noChangeArrowheads="1"/>
        </xdr:cNvSpPr>
      </xdr:nvSpPr>
      <xdr:spPr bwMode="auto">
        <a:xfrm>
          <a:off x="4876802" y="3943352"/>
          <a:ext cx="9525" cy="9525"/>
        </a:xfrm>
        <a:custGeom>
          <a:avLst/>
          <a:gdLst>
            <a:gd name="T0" fmla="*/ 78 w 21600"/>
            <a:gd name="T1" fmla="*/ 0 h 21600"/>
            <a:gd name="T2" fmla="*/ 79 w 21600"/>
            <a:gd name="T3" fmla="*/ 79 h 21600"/>
            <a:gd name="T4" fmla="*/ 78 w 21600"/>
            <a:gd name="T5" fmla="*/ 0 h 21600"/>
            <a:gd name="T6" fmla="*/ 0 60000 65536"/>
            <a:gd name="T7" fmla="*/ 0 60000 65536"/>
            <a:gd name="T8" fmla="*/ 0 60000 65536"/>
            <a:gd name="T9" fmla="*/ 3163 w 21600"/>
            <a:gd name="T10" fmla="*/ 3163 h 21600"/>
            <a:gd name="T11" fmla="*/ 18437 w 21600"/>
            <a:gd name="T12" fmla="*/ 18437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>
              <a:moveTo>
                <a:pt x="10611" y="1"/>
              </a:moveTo>
              <a:cubicBezTo>
                <a:pt x="4720" y="104"/>
                <a:pt x="0" y="4909"/>
                <a:pt x="0" y="10799"/>
              </a:cubicBezTo>
              <a:cubicBezTo>
                <a:pt x="0" y="16764"/>
                <a:pt x="4835" y="21600"/>
                <a:pt x="10800" y="21600"/>
              </a:cubicBezTo>
              <a:cubicBezTo>
                <a:pt x="16764" y="21600"/>
                <a:pt x="21600" y="16764"/>
                <a:pt x="21600" y="10800"/>
              </a:cubicBezTo>
              <a:cubicBezTo>
                <a:pt x="21600" y="4835"/>
                <a:pt x="16764" y="0"/>
                <a:pt x="10800" y="0"/>
              </a:cubicBezTo>
              <a:cubicBezTo>
                <a:pt x="10737" y="-1"/>
                <a:pt x="10674" y="0"/>
                <a:pt x="10611" y="1"/>
              </a:cubicBezTo>
              <a:lnTo>
                <a:pt x="10800" y="10800"/>
              </a:lnTo>
              <a:lnTo>
                <a:pt x="10611" y="1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457202</xdr:colOff>
      <xdr:row>21</xdr:row>
      <xdr:rowOff>95252</xdr:rowOff>
    </xdr:from>
    <xdr:to>
      <xdr:col>6</xdr:col>
      <xdr:colOff>466727</xdr:colOff>
      <xdr:row>21</xdr:row>
      <xdr:rowOff>104777</xdr:rowOff>
    </xdr:to>
    <xdr:sp macro="" textlink="">
      <xdr:nvSpPr>
        <xdr:cNvPr id="3" name="Pie01"/>
        <xdr:cNvSpPr>
          <a:spLocks noEditPoints="1" noChangeArrowheads="1"/>
        </xdr:cNvSpPr>
      </xdr:nvSpPr>
      <xdr:spPr bwMode="auto">
        <a:xfrm>
          <a:off x="5029202" y="4095752"/>
          <a:ext cx="9525" cy="9525"/>
        </a:xfrm>
        <a:custGeom>
          <a:avLst/>
          <a:gdLst>
            <a:gd name="T0" fmla="*/ 79 w 21600"/>
            <a:gd name="T1" fmla="*/ 0 h 21600"/>
            <a:gd name="T2" fmla="*/ 79 w 21600"/>
            <a:gd name="T3" fmla="*/ 79 h 21600"/>
            <a:gd name="T4" fmla="*/ 78 w 21600"/>
            <a:gd name="T5" fmla="*/ 0 h 21600"/>
            <a:gd name="T6" fmla="*/ 0 60000 65536"/>
            <a:gd name="T7" fmla="*/ 0 60000 65536"/>
            <a:gd name="T8" fmla="*/ 0 60000 65536"/>
            <a:gd name="T9" fmla="*/ 3163 w 21600"/>
            <a:gd name="T10" fmla="*/ 3163 h 21600"/>
            <a:gd name="T11" fmla="*/ 18437 w 21600"/>
            <a:gd name="T12" fmla="*/ 18437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>
              <a:moveTo>
                <a:pt x="10799" y="0"/>
              </a:moveTo>
              <a:cubicBezTo>
                <a:pt x="10736" y="0"/>
                <a:pt x="10673" y="0"/>
                <a:pt x="10611" y="1"/>
              </a:cubicBezTo>
              <a:lnTo>
                <a:pt x="10800" y="10800"/>
              </a:lnTo>
              <a:lnTo>
                <a:pt x="10799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115247</xdr:colOff>
      <xdr:row>11</xdr:row>
      <xdr:rowOff>134297</xdr:rowOff>
    </xdr:from>
    <xdr:to>
      <xdr:col>8</xdr:col>
      <xdr:colOff>503881</xdr:colOff>
      <xdr:row>29</xdr:row>
      <xdr:rowOff>141931</xdr:rowOff>
    </xdr:to>
    <xdr:sp macro="" textlink="">
      <xdr:nvSpPr>
        <xdr:cNvPr id="19" name="17 Circular"/>
        <xdr:cNvSpPr/>
      </xdr:nvSpPr>
      <xdr:spPr>
        <a:xfrm>
          <a:off x="3163247" y="2229797"/>
          <a:ext cx="3436634" cy="3436634"/>
        </a:xfrm>
        <a:prstGeom prst="pie">
          <a:avLst>
            <a:gd name="adj1" fmla="val 16200000"/>
            <a:gd name="adj2" fmla="val 5760000"/>
          </a:avLst>
        </a:prstGeom>
        <a:solidFill>
          <a:srgbClr val="9A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  <xdr:twoCellAnchor>
    <xdr:from>
      <xdr:col>4</xdr:col>
      <xdr:colOff>466963</xdr:colOff>
      <xdr:row>13</xdr:row>
      <xdr:rowOff>105013</xdr:rowOff>
    </xdr:from>
    <xdr:to>
      <xdr:col>8</xdr:col>
      <xdr:colOff>152165</xdr:colOff>
      <xdr:row>27</xdr:row>
      <xdr:rowOff>171215</xdr:rowOff>
    </xdr:to>
    <xdr:sp macro="" textlink="">
      <xdr:nvSpPr>
        <xdr:cNvPr id="20" name="17 Circular"/>
        <xdr:cNvSpPr/>
      </xdr:nvSpPr>
      <xdr:spPr>
        <a:xfrm>
          <a:off x="3514963" y="2581513"/>
          <a:ext cx="2733202" cy="2733202"/>
        </a:xfrm>
        <a:prstGeom prst="pie">
          <a:avLst>
            <a:gd name="adj1" fmla="val 5760000"/>
            <a:gd name="adj2" fmla="val 7560000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  <xdr:twoCellAnchor>
    <xdr:from>
      <xdr:col>4</xdr:col>
      <xdr:colOff>477193</xdr:colOff>
      <xdr:row>13</xdr:row>
      <xdr:rowOff>115243</xdr:rowOff>
    </xdr:from>
    <xdr:to>
      <xdr:col>8</xdr:col>
      <xdr:colOff>141936</xdr:colOff>
      <xdr:row>27</xdr:row>
      <xdr:rowOff>160986</xdr:rowOff>
    </xdr:to>
    <xdr:sp macro="" textlink="">
      <xdr:nvSpPr>
        <xdr:cNvPr id="21" name="17 Circular"/>
        <xdr:cNvSpPr/>
      </xdr:nvSpPr>
      <xdr:spPr>
        <a:xfrm>
          <a:off x="3525193" y="2591743"/>
          <a:ext cx="2712743" cy="2712743"/>
        </a:xfrm>
        <a:prstGeom prst="pie">
          <a:avLst>
            <a:gd name="adj1" fmla="val 7560000"/>
            <a:gd name="adj2" fmla="val 13320000"/>
          </a:avLst>
        </a:prstGeom>
        <a:solidFill>
          <a:srgbClr val="FF61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  <xdr:twoCellAnchor>
    <xdr:from>
      <xdr:col>5</xdr:col>
      <xdr:colOff>418626</xdr:colOff>
      <xdr:row>17</xdr:row>
      <xdr:rowOff>56676</xdr:rowOff>
    </xdr:from>
    <xdr:to>
      <xdr:col>7</xdr:col>
      <xdr:colOff>200503</xdr:colOff>
      <xdr:row>24</xdr:row>
      <xdr:rowOff>29053</xdr:rowOff>
    </xdr:to>
    <xdr:sp macro="" textlink="">
      <xdr:nvSpPr>
        <xdr:cNvPr id="22" name="17 Circular"/>
        <xdr:cNvSpPr/>
      </xdr:nvSpPr>
      <xdr:spPr>
        <a:xfrm>
          <a:off x="4228626" y="3295176"/>
          <a:ext cx="1305877" cy="1305877"/>
        </a:xfrm>
        <a:prstGeom prst="pie">
          <a:avLst>
            <a:gd name="adj1" fmla="val 13320000"/>
            <a:gd name="adj2" fmla="val 13740000"/>
          </a:avLst>
        </a:prstGeom>
        <a:solidFill>
          <a:srgbClr val="FFBDB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  <xdr:twoCellAnchor>
    <xdr:from>
      <xdr:col>5</xdr:col>
      <xdr:colOff>449749</xdr:colOff>
      <xdr:row>17</xdr:row>
      <xdr:rowOff>87799</xdr:rowOff>
    </xdr:from>
    <xdr:to>
      <xdr:col>7</xdr:col>
      <xdr:colOff>169380</xdr:colOff>
      <xdr:row>23</xdr:row>
      <xdr:rowOff>188430</xdr:rowOff>
    </xdr:to>
    <xdr:sp macro="" textlink="">
      <xdr:nvSpPr>
        <xdr:cNvPr id="23" name="17 Circular"/>
        <xdr:cNvSpPr/>
      </xdr:nvSpPr>
      <xdr:spPr>
        <a:xfrm>
          <a:off x="4259749" y="3326299"/>
          <a:ext cx="1243631" cy="1243631"/>
        </a:xfrm>
        <a:prstGeom prst="pie">
          <a:avLst>
            <a:gd name="adj1" fmla="val 13740000"/>
            <a:gd name="adj2" fmla="val 16200000"/>
          </a:avLst>
        </a:prstGeom>
        <a:solidFill>
          <a:srgbClr val="40454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  <xdr:twoCellAnchor>
    <xdr:from>
      <xdr:col>7</xdr:col>
      <xdr:colOff>361388</xdr:colOff>
      <xdr:row>20</xdr:row>
      <xdr:rowOff>29622</xdr:rowOff>
    </xdr:from>
    <xdr:to>
      <xdr:col>8</xdr:col>
      <xdr:colOff>374088</xdr:colOff>
      <xdr:row>21</xdr:row>
      <xdr:rowOff>182022</xdr:rowOff>
    </xdr:to>
    <xdr:sp macro="" textlink="">
      <xdr:nvSpPr>
        <xdr:cNvPr id="24" name="CuadroTexto 23"/>
        <xdr:cNvSpPr txBox="1"/>
      </xdr:nvSpPr>
      <xdr:spPr>
        <a:xfrm>
          <a:off x="5695388" y="3839622"/>
          <a:ext cx="774700" cy="3429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s-AR" sz="1600" b="0" i="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HelveticaNeueLT Std Lt"/>
            </a:rPr>
            <a:t>51,9%</a:t>
          </a:r>
        </a:p>
      </xdr:txBody>
    </xdr:sp>
    <xdr:clientData/>
  </xdr:twoCellAnchor>
  <xdr:twoCellAnchor>
    <xdr:from>
      <xdr:col>9</xdr:col>
      <xdr:colOff>631740</xdr:colOff>
      <xdr:row>21</xdr:row>
      <xdr:rowOff>84318</xdr:rowOff>
    </xdr:from>
    <xdr:to>
      <xdr:col>12</xdr:col>
      <xdr:colOff>377740</xdr:colOff>
      <xdr:row>26</xdr:row>
      <xdr:rowOff>27104</xdr:rowOff>
    </xdr:to>
    <xdr:grpSp>
      <xdr:nvGrpSpPr>
        <xdr:cNvPr id="27" name="Grupo 26"/>
        <xdr:cNvGrpSpPr/>
      </xdr:nvGrpSpPr>
      <xdr:grpSpPr>
        <a:xfrm>
          <a:off x="7489740" y="4084818"/>
          <a:ext cx="2032000" cy="895286"/>
          <a:chOff x="7489740" y="4084818"/>
          <a:chExt cx="2032000" cy="895286"/>
        </a:xfrm>
      </xdr:grpSpPr>
      <xdr:sp macro="" textlink="">
        <xdr:nvSpPr>
          <xdr:cNvPr id="25" name="Rectángulo 24"/>
          <xdr:cNvSpPr/>
        </xdr:nvSpPr>
        <xdr:spPr>
          <a:xfrm>
            <a:off x="7489740" y="4084818"/>
            <a:ext cx="2032000" cy="508000"/>
          </a:xfrm>
          <a:prstGeom prst="rect">
            <a:avLst/>
          </a:prstGeom>
          <a:solidFill>
            <a:srgbClr val="9A0000"/>
          </a:solidFill>
          <a:ln w="15875">
            <a:solidFill>
              <a:srgbClr val="9A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000" b="0" i="0">
                <a:solidFill>
                  <a:srgbClr xmlns:mc="http://schemas.openxmlformats.org/markup-compatibility/2006" xmlns:a14="http://schemas.microsoft.com/office/drawing/2010/main" val="FFFFFF" mc:Ignorable="a14" a14:legacySpreadsheetColorIndex="9"/>
                </a:solidFill>
                <a:latin typeface="HelveticaNeueLT Std Lt"/>
              </a:rPr>
              <a:t>La oportunidad de crecer y desarrollarme profesionalmente</a:t>
            </a:r>
          </a:p>
        </xdr:txBody>
      </xdr:sp>
      <xdr:sp macro="" textlink="">
        <xdr:nvSpPr>
          <xdr:cNvPr id="26" name="Rectángulo 25"/>
          <xdr:cNvSpPr/>
        </xdr:nvSpPr>
        <xdr:spPr>
          <a:xfrm>
            <a:off x="7489740" y="4592818"/>
            <a:ext cx="2032000" cy="387286"/>
          </a:xfrm>
          <a:prstGeom prst="rect">
            <a:avLst/>
          </a:prstGeom>
          <a:solidFill>
            <a:schemeClr val="bg1"/>
          </a:solidFill>
          <a:ln w="15875">
            <a:solidFill>
              <a:srgbClr val="9A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lang="es-AR" sz="1000" b="1" i="0">
                <a:solidFill>
                  <a:srgbClr val="9A0000"/>
                </a:solidFill>
                <a:latin typeface="HelveticaNeueLT Std Lt"/>
              </a:rPr>
              <a:t>79% </a:t>
            </a:r>
            <a:r>
              <a:rPr lang="es-AR" sz="1000" b="0" i="0">
                <a:solidFill>
                  <a:srgbClr val="9A0000"/>
                </a:solidFill>
                <a:latin typeface="HelveticaNeueLT Std Lt"/>
              </a:rPr>
              <a:t>Percepción General
</a:t>
            </a:r>
            <a:r>
              <a:rPr lang="es-AR" sz="1000" b="1" i="0">
                <a:solidFill>
                  <a:srgbClr val="9A0000"/>
                </a:solidFill>
                <a:latin typeface="HelveticaNeueLT Std Lt"/>
              </a:rPr>
              <a:t>78% </a:t>
            </a:r>
            <a:r>
              <a:rPr lang="es-AR" sz="1000" b="0" i="0">
                <a:solidFill>
                  <a:srgbClr val="9A0000"/>
                </a:solidFill>
                <a:latin typeface="HelveticaNeueLT Std Lt"/>
              </a:rPr>
              <a:t>Promedio General</a:t>
            </a:r>
          </a:p>
        </xdr:txBody>
      </xdr:sp>
    </xdr:grpSp>
    <xdr:clientData/>
  </xdr:twoCellAnchor>
  <xdr:twoCellAnchor>
    <xdr:from>
      <xdr:col>5</xdr:col>
      <xdr:colOff>341208</xdr:colOff>
      <xdr:row>24</xdr:row>
      <xdr:rowOff>97676</xdr:rowOff>
    </xdr:from>
    <xdr:to>
      <xdr:col>6</xdr:col>
      <xdr:colOff>353908</xdr:colOff>
      <xdr:row>26</xdr:row>
      <xdr:rowOff>59576</xdr:rowOff>
    </xdr:to>
    <xdr:sp macro="" textlink="">
      <xdr:nvSpPr>
        <xdr:cNvPr id="28" name="CuadroTexto 27"/>
        <xdr:cNvSpPr txBox="1"/>
      </xdr:nvSpPr>
      <xdr:spPr>
        <a:xfrm>
          <a:off x="4151208" y="4669676"/>
          <a:ext cx="774700" cy="3429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s-AR" sz="1600" b="0" i="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HelveticaNeueLT Std Lt"/>
            </a:rPr>
            <a:t>8,4%</a:t>
          </a:r>
        </a:p>
      </xdr:txBody>
    </xdr:sp>
    <xdr:clientData/>
  </xdr:twoCellAnchor>
  <xdr:twoCellAnchor>
    <xdr:from>
      <xdr:col>2</xdr:col>
      <xdr:colOff>223991</xdr:colOff>
      <xdr:row>33</xdr:row>
      <xdr:rowOff>99705</xdr:rowOff>
    </xdr:from>
    <xdr:to>
      <xdr:col>4</xdr:col>
      <xdr:colOff>731991</xdr:colOff>
      <xdr:row>38</xdr:row>
      <xdr:rowOff>42491</xdr:rowOff>
    </xdr:to>
    <xdr:grpSp>
      <xdr:nvGrpSpPr>
        <xdr:cNvPr id="31" name="Grupo 30"/>
        <xdr:cNvGrpSpPr/>
      </xdr:nvGrpSpPr>
      <xdr:grpSpPr>
        <a:xfrm>
          <a:off x="1747991" y="6386205"/>
          <a:ext cx="2032000" cy="895286"/>
          <a:chOff x="1747991" y="6386205"/>
          <a:chExt cx="2032000" cy="895286"/>
        </a:xfrm>
      </xdr:grpSpPr>
      <xdr:sp macro="" textlink="">
        <xdr:nvSpPr>
          <xdr:cNvPr id="29" name="Rectángulo 28"/>
          <xdr:cNvSpPr/>
        </xdr:nvSpPr>
        <xdr:spPr>
          <a:xfrm>
            <a:off x="1747991" y="6386205"/>
            <a:ext cx="2032000" cy="508000"/>
          </a:xfrm>
          <a:prstGeom prst="rect">
            <a:avLst/>
          </a:prstGeom>
          <a:solidFill>
            <a:srgbClr val="A6A6A6"/>
          </a:solidFill>
          <a:ln w="15875">
            <a:solidFill>
              <a:srgbClr val="A6A6A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000" b="0" i="0">
                <a:solidFill>
                  <a:srgbClr xmlns:mc="http://schemas.openxmlformats.org/markup-compatibility/2006" xmlns:a14="http://schemas.microsoft.com/office/drawing/2010/main" val="FFFFFF" mc:Ignorable="a14" a14:legacySpreadsheetColorIndex="9"/>
                </a:solidFill>
                <a:latin typeface="HelveticaNeueLT Std Lt"/>
              </a:rPr>
              <a:t>La remuneración y los beneficios que me brinda la empresa</a:t>
            </a:r>
          </a:p>
        </xdr:txBody>
      </xdr:sp>
      <xdr:sp macro="" textlink="">
        <xdr:nvSpPr>
          <xdr:cNvPr id="30" name="Rectángulo 29"/>
          <xdr:cNvSpPr/>
        </xdr:nvSpPr>
        <xdr:spPr>
          <a:xfrm>
            <a:off x="1747991" y="6894205"/>
            <a:ext cx="2032000" cy="387286"/>
          </a:xfrm>
          <a:prstGeom prst="rect">
            <a:avLst/>
          </a:prstGeom>
          <a:solidFill>
            <a:schemeClr val="bg1"/>
          </a:solidFill>
          <a:ln w="15875">
            <a:solidFill>
              <a:srgbClr val="A6A6A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lang="es-AR" sz="1000" b="1" i="0">
                <a:solidFill>
                  <a:srgbClr val="A6A6A6"/>
                </a:solidFill>
                <a:latin typeface="HelveticaNeueLT Std Lt"/>
              </a:rPr>
              <a:t>63% </a:t>
            </a:r>
            <a:r>
              <a:rPr lang="es-AR" sz="1000" b="0" i="0">
                <a:solidFill>
                  <a:srgbClr val="A6A6A6"/>
                </a:solidFill>
                <a:latin typeface="HelveticaNeueLT Std Lt"/>
              </a:rPr>
              <a:t>Percepción General
</a:t>
            </a:r>
            <a:r>
              <a:rPr lang="es-AR" sz="1000" b="1" i="0">
                <a:solidFill>
                  <a:srgbClr val="A6A6A6"/>
                </a:solidFill>
                <a:latin typeface="HelveticaNeueLT Std Lt"/>
              </a:rPr>
              <a:t>65% </a:t>
            </a:r>
            <a:r>
              <a:rPr lang="es-AR" sz="1000" b="0" i="0">
                <a:solidFill>
                  <a:srgbClr val="A6A6A6"/>
                </a:solidFill>
                <a:latin typeface="HelveticaNeueLT Std Lt"/>
              </a:rPr>
              <a:t>Promedio General</a:t>
            </a:r>
          </a:p>
        </xdr:txBody>
      </xdr:sp>
    </xdr:grpSp>
    <xdr:clientData/>
  </xdr:twoCellAnchor>
  <xdr:twoCellAnchor>
    <xdr:from>
      <xdr:col>4</xdr:col>
      <xdr:colOff>501924</xdr:colOff>
      <xdr:row>20</xdr:row>
      <xdr:rowOff>65605</xdr:rowOff>
    </xdr:from>
    <xdr:to>
      <xdr:col>5</xdr:col>
      <xdr:colOff>514624</xdr:colOff>
      <xdr:row>22</xdr:row>
      <xdr:rowOff>27505</xdr:rowOff>
    </xdr:to>
    <xdr:sp macro="" textlink="">
      <xdr:nvSpPr>
        <xdr:cNvPr id="32" name="CuadroTexto 31"/>
        <xdr:cNvSpPr txBox="1"/>
      </xdr:nvSpPr>
      <xdr:spPr>
        <a:xfrm>
          <a:off x="3549924" y="3875605"/>
          <a:ext cx="774700" cy="3429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s-AR" sz="1600" b="0" i="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HelveticaNeueLT Std Lt"/>
            </a:rPr>
            <a:t>26,9%</a:t>
          </a:r>
        </a:p>
      </xdr:txBody>
    </xdr:sp>
    <xdr:clientData/>
  </xdr:twoCellAnchor>
  <xdr:twoCellAnchor>
    <xdr:from>
      <xdr:col>0</xdr:col>
      <xdr:colOff>86927</xdr:colOff>
      <xdr:row>22</xdr:row>
      <xdr:rowOff>29279</xdr:rowOff>
    </xdr:from>
    <xdr:to>
      <xdr:col>2</xdr:col>
      <xdr:colOff>594927</xdr:colOff>
      <xdr:row>27</xdr:row>
      <xdr:rowOff>99065</xdr:rowOff>
    </xdr:to>
    <xdr:grpSp>
      <xdr:nvGrpSpPr>
        <xdr:cNvPr id="35" name="Grupo 34"/>
        <xdr:cNvGrpSpPr/>
      </xdr:nvGrpSpPr>
      <xdr:grpSpPr>
        <a:xfrm>
          <a:off x="86927" y="4220279"/>
          <a:ext cx="2032000" cy="1022286"/>
          <a:chOff x="86927" y="4220279"/>
          <a:chExt cx="2032000" cy="1022286"/>
        </a:xfrm>
      </xdr:grpSpPr>
      <xdr:sp macro="" textlink="">
        <xdr:nvSpPr>
          <xdr:cNvPr id="33" name="Rectángulo 32"/>
          <xdr:cNvSpPr/>
        </xdr:nvSpPr>
        <xdr:spPr>
          <a:xfrm>
            <a:off x="86927" y="4220279"/>
            <a:ext cx="2032000" cy="635000"/>
          </a:xfrm>
          <a:prstGeom prst="rect">
            <a:avLst/>
          </a:prstGeom>
          <a:solidFill>
            <a:srgbClr val="FF6161"/>
          </a:solidFill>
          <a:ln w="15875">
            <a:solidFill>
              <a:srgbClr val="FF616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000" b="0" i="0">
                <a:solidFill>
                  <a:srgbClr xmlns:mc="http://schemas.openxmlformats.org/markup-compatibility/2006" xmlns:a14="http://schemas.microsoft.com/office/drawing/2010/main" val="FFFFFF" mc:Ignorable="a14" a14:legacySpreadsheetColorIndex="9"/>
                </a:solidFill>
                <a:latin typeface="HelveticaNeueLT Std Lt"/>
              </a:rPr>
              <a:t>El hecho de que puedo armonizar el trabajo con mi vida personal</a:t>
            </a:r>
          </a:p>
        </xdr:txBody>
      </xdr:sp>
      <xdr:sp macro="" textlink="">
        <xdr:nvSpPr>
          <xdr:cNvPr id="34" name="Rectángulo 33"/>
          <xdr:cNvSpPr/>
        </xdr:nvSpPr>
        <xdr:spPr>
          <a:xfrm>
            <a:off x="86927" y="4855279"/>
            <a:ext cx="2032000" cy="387286"/>
          </a:xfrm>
          <a:prstGeom prst="rect">
            <a:avLst/>
          </a:prstGeom>
          <a:solidFill>
            <a:schemeClr val="bg1"/>
          </a:solidFill>
          <a:ln w="15875">
            <a:solidFill>
              <a:srgbClr val="FF616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lang="es-AR" sz="1000" b="1" i="0">
                <a:solidFill>
                  <a:srgbClr val="FF6161"/>
                </a:solidFill>
                <a:latin typeface="HelveticaNeueLT Std Lt"/>
              </a:rPr>
              <a:t>62% </a:t>
            </a:r>
            <a:r>
              <a:rPr lang="es-AR" sz="1000" b="0" i="0">
                <a:solidFill>
                  <a:srgbClr val="FF6161"/>
                </a:solidFill>
                <a:latin typeface="HelveticaNeueLT Std Lt"/>
              </a:rPr>
              <a:t>Percepción General
</a:t>
            </a:r>
            <a:r>
              <a:rPr lang="es-AR" sz="1000" b="1" i="0">
                <a:solidFill>
                  <a:srgbClr val="FF6161"/>
                </a:solidFill>
                <a:latin typeface="HelveticaNeueLT Std Lt"/>
              </a:rPr>
              <a:t>66% </a:t>
            </a:r>
            <a:r>
              <a:rPr lang="es-AR" sz="1000" b="0" i="0">
                <a:solidFill>
                  <a:srgbClr val="FF6161"/>
                </a:solidFill>
                <a:latin typeface="HelveticaNeueLT Std Lt"/>
              </a:rPr>
              <a:t>Promedio General</a:t>
            </a:r>
          </a:p>
        </xdr:txBody>
      </xdr:sp>
    </xdr:grpSp>
    <xdr:clientData/>
  </xdr:twoCellAnchor>
  <xdr:twoCellAnchor>
    <xdr:from>
      <xdr:col>5</xdr:col>
      <xdr:colOff>363995</xdr:colOff>
      <xdr:row>18</xdr:row>
      <xdr:rowOff>21534</xdr:rowOff>
    </xdr:from>
    <xdr:to>
      <xdr:col>6</xdr:col>
      <xdr:colOff>376695</xdr:colOff>
      <xdr:row>19</xdr:row>
      <xdr:rowOff>173934</xdr:rowOff>
    </xdr:to>
    <xdr:sp macro="" textlink="">
      <xdr:nvSpPr>
        <xdr:cNvPr id="36" name="CuadroTexto 35"/>
        <xdr:cNvSpPr txBox="1"/>
      </xdr:nvSpPr>
      <xdr:spPr>
        <a:xfrm>
          <a:off x="4173995" y="3450534"/>
          <a:ext cx="774700" cy="3429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s-AR" sz="1600" b="0" i="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HelveticaNeueLT Std Lt"/>
            </a:rPr>
            <a:t>1,9%</a:t>
          </a:r>
        </a:p>
      </xdr:txBody>
    </xdr:sp>
    <xdr:clientData/>
  </xdr:twoCellAnchor>
  <xdr:twoCellAnchor>
    <xdr:from>
      <xdr:col>1</xdr:col>
      <xdr:colOff>92639</xdr:colOff>
      <xdr:row>10</xdr:row>
      <xdr:rowOff>179513</xdr:rowOff>
    </xdr:from>
    <xdr:to>
      <xdr:col>3</xdr:col>
      <xdr:colOff>600639</xdr:colOff>
      <xdr:row>15</xdr:row>
      <xdr:rowOff>122299</xdr:rowOff>
    </xdr:to>
    <xdr:grpSp>
      <xdr:nvGrpSpPr>
        <xdr:cNvPr id="39" name="Grupo 38"/>
        <xdr:cNvGrpSpPr/>
      </xdr:nvGrpSpPr>
      <xdr:grpSpPr>
        <a:xfrm>
          <a:off x="854639" y="2084513"/>
          <a:ext cx="2032000" cy="895286"/>
          <a:chOff x="854639" y="2084513"/>
          <a:chExt cx="2032000" cy="895286"/>
        </a:xfrm>
      </xdr:grpSpPr>
      <xdr:sp macro="" textlink="">
        <xdr:nvSpPr>
          <xdr:cNvPr id="37" name="Rectángulo 36"/>
          <xdr:cNvSpPr/>
        </xdr:nvSpPr>
        <xdr:spPr>
          <a:xfrm>
            <a:off x="854639" y="2084513"/>
            <a:ext cx="2032000" cy="508000"/>
          </a:xfrm>
          <a:prstGeom prst="rect">
            <a:avLst/>
          </a:prstGeom>
          <a:solidFill>
            <a:srgbClr val="FFBDBD"/>
          </a:solidFill>
          <a:ln w="15875">
            <a:solidFill>
              <a:srgbClr val="FFBDBD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000" b="0" i="0">
                <a:solidFill>
                  <a:srgbClr xmlns:mc="http://schemas.openxmlformats.org/markup-compatibility/2006" xmlns:a14="http://schemas.microsoft.com/office/drawing/2010/main" val="FFFFFF" mc:Ignorable="a14" a14:legacySpreadsheetColorIndex="9"/>
                </a:solidFill>
                <a:latin typeface="HelveticaNeueLT Std Lt"/>
              </a:rPr>
              <a:t>El saber que el despido es un recurso de última instancia</a:t>
            </a:r>
          </a:p>
        </xdr:txBody>
      </xdr:sp>
      <xdr:sp macro="" textlink="">
        <xdr:nvSpPr>
          <xdr:cNvPr id="38" name="Rectángulo 37"/>
          <xdr:cNvSpPr/>
        </xdr:nvSpPr>
        <xdr:spPr>
          <a:xfrm>
            <a:off x="854639" y="2592513"/>
            <a:ext cx="2032000" cy="387286"/>
          </a:xfrm>
          <a:prstGeom prst="rect">
            <a:avLst/>
          </a:prstGeom>
          <a:solidFill>
            <a:schemeClr val="bg1"/>
          </a:solidFill>
          <a:ln w="15875">
            <a:solidFill>
              <a:srgbClr val="FFBDBD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lang="es-AR" sz="1000" b="1" i="0">
                <a:solidFill>
                  <a:srgbClr val="FFBDBD"/>
                </a:solidFill>
                <a:latin typeface="HelveticaNeueLT Std Lt"/>
              </a:rPr>
              <a:t>30% </a:t>
            </a:r>
            <a:r>
              <a:rPr lang="es-AR" sz="1000" b="0" i="0">
                <a:solidFill>
                  <a:srgbClr val="FFBDBD"/>
                </a:solidFill>
                <a:latin typeface="HelveticaNeueLT Std Lt"/>
              </a:rPr>
              <a:t>Percepción General
</a:t>
            </a:r>
            <a:r>
              <a:rPr lang="es-AR" sz="1000" b="1" i="0">
                <a:solidFill>
                  <a:srgbClr val="FFBDBD"/>
                </a:solidFill>
                <a:latin typeface="HelveticaNeueLT Std Lt"/>
              </a:rPr>
              <a:t>38% </a:t>
            </a:r>
            <a:r>
              <a:rPr lang="es-AR" sz="1000" b="0" i="0">
                <a:solidFill>
                  <a:srgbClr val="FFBDBD"/>
                </a:solidFill>
                <a:latin typeface="HelveticaNeueLT Std Lt"/>
              </a:rPr>
              <a:t>Promedio General</a:t>
            </a:r>
          </a:p>
        </xdr:txBody>
      </xdr:sp>
    </xdr:grpSp>
    <xdr:clientData/>
  </xdr:twoCellAnchor>
  <xdr:twoCellAnchor>
    <xdr:from>
      <xdr:col>5</xdr:col>
      <xdr:colOff>531968</xdr:colOff>
      <xdr:row>17</xdr:row>
      <xdr:rowOff>130388</xdr:rowOff>
    </xdr:from>
    <xdr:to>
      <xdr:col>6</xdr:col>
      <xdr:colOff>544668</xdr:colOff>
      <xdr:row>19</xdr:row>
      <xdr:rowOff>92288</xdr:rowOff>
    </xdr:to>
    <xdr:sp macro="" textlink="">
      <xdr:nvSpPr>
        <xdr:cNvPr id="40" name="CuadroTexto 39"/>
        <xdr:cNvSpPr txBox="1"/>
      </xdr:nvSpPr>
      <xdr:spPr>
        <a:xfrm>
          <a:off x="4341968" y="3368888"/>
          <a:ext cx="774700" cy="3429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s-AR" sz="1600" b="0" i="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HelveticaNeueLT Std Lt"/>
            </a:rPr>
            <a:t>10,9%</a:t>
          </a:r>
        </a:p>
      </xdr:txBody>
    </xdr:sp>
    <xdr:clientData/>
  </xdr:twoCellAnchor>
  <xdr:twoCellAnchor>
    <xdr:from>
      <xdr:col>2</xdr:col>
      <xdr:colOff>246939</xdr:colOff>
      <xdr:row>7</xdr:row>
      <xdr:rowOff>167833</xdr:rowOff>
    </xdr:from>
    <xdr:to>
      <xdr:col>4</xdr:col>
      <xdr:colOff>754939</xdr:colOff>
      <xdr:row>11</xdr:row>
      <xdr:rowOff>47119</xdr:rowOff>
    </xdr:to>
    <xdr:grpSp>
      <xdr:nvGrpSpPr>
        <xdr:cNvPr id="43" name="Grupo 42"/>
        <xdr:cNvGrpSpPr/>
      </xdr:nvGrpSpPr>
      <xdr:grpSpPr>
        <a:xfrm>
          <a:off x="1770939" y="1501333"/>
          <a:ext cx="2032000" cy="641286"/>
          <a:chOff x="1770939" y="1501333"/>
          <a:chExt cx="2032000" cy="641286"/>
        </a:xfrm>
      </xdr:grpSpPr>
      <xdr:sp macro="" textlink="">
        <xdr:nvSpPr>
          <xdr:cNvPr id="41" name="Rectángulo 40"/>
          <xdr:cNvSpPr/>
        </xdr:nvSpPr>
        <xdr:spPr>
          <a:xfrm>
            <a:off x="1770939" y="1501333"/>
            <a:ext cx="2032000" cy="254000"/>
          </a:xfrm>
          <a:prstGeom prst="rect">
            <a:avLst/>
          </a:prstGeom>
          <a:solidFill>
            <a:srgbClr val="404545"/>
          </a:solidFill>
          <a:ln w="15875">
            <a:solidFill>
              <a:srgbClr val="40454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000" b="0" i="0">
                <a:solidFill>
                  <a:srgbClr xmlns:mc="http://schemas.openxmlformats.org/markup-compatibility/2006" xmlns:a14="http://schemas.microsoft.com/office/drawing/2010/main" val="FFFFFF" mc:Ignorable="a14" a14:legacySpreadsheetColorIndex="9"/>
                </a:solidFill>
                <a:latin typeface="HelveticaNeueLT Std Lt"/>
              </a:rPr>
              <a:t>Otro motivo</a:t>
            </a:r>
          </a:p>
        </xdr:txBody>
      </xdr:sp>
      <xdr:sp macro="" textlink="">
        <xdr:nvSpPr>
          <xdr:cNvPr id="42" name="Rectángulo 41"/>
          <xdr:cNvSpPr/>
        </xdr:nvSpPr>
        <xdr:spPr>
          <a:xfrm>
            <a:off x="1770939" y="1755333"/>
            <a:ext cx="2032000" cy="387286"/>
          </a:xfrm>
          <a:prstGeom prst="rect">
            <a:avLst/>
          </a:prstGeom>
          <a:solidFill>
            <a:schemeClr val="bg1"/>
          </a:solidFill>
          <a:ln w="15875">
            <a:solidFill>
              <a:srgbClr val="40454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lang="es-AR" sz="1000" b="1" i="0">
                <a:solidFill>
                  <a:srgbClr val="404545"/>
                </a:solidFill>
                <a:latin typeface="HelveticaNeueLT Std Lt"/>
              </a:rPr>
              <a:t>29% </a:t>
            </a:r>
            <a:r>
              <a:rPr lang="es-AR" sz="1000" b="0" i="0">
                <a:solidFill>
                  <a:srgbClr val="404545"/>
                </a:solidFill>
                <a:latin typeface="HelveticaNeueLT Std Lt"/>
              </a:rPr>
              <a:t>Percepción General
</a:t>
            </a:r>
            <a:r>
              <a:rPr lang="es-AR" sz="1000" b="1" i="0">
                <a:solidFill>
                  <a:srgbClr val="404545"/>
                </a:solidFill>
                <a:latin typeface="HelveticaNeueLT Std Lt"/>
              </a:rPr>
              <a:t>41% </a:t>
            </a:r>
            <a:r>
              <a:rPr lang="es-AR" sz="1000" b="0" i="0">
                <a:solidFill>
                  <a:srgbClr val="404545"/>
                </a:solidFill>
                <a:latin typeface="HelveticaNeueLT Std Lt"/>
              </a:rPr>
              <a:t>Promedio General</a:t>
            </a:r>
          </a:p>
        </xdr:txBody>
      </xdr:sp>
    </xdr:grpSp>
    <xdr:clientData/>
  </xdr:twoCellAnchor>
  <xdr:twoCellAnchor>
    <xdr:from>
      <xdr:col>3</xdr:col>
      <xdr:colOff>419102</xdr:colOff>
      <xdr:row>9</xdr:row>
      <xdr:rowOff>57152</xdr:rowOff>
    </xdr:from>
    <xdr:to>
      <xdr:col>9</xdr:col>
      <xdr:colOff>200027</xdr:colOff>
      <xdr:row>32</xdr:row>
      <xdr:rowOff>28577</xdr:rowOff>
    </xdr:to>
    <xdr:grpSp>
      <xdr:nvGrpSpPr>
        <xdr:cNvPr id="4" name="Referencia"/>
        <xdr:cNvGrpSpPr>
          <a:grpSpLocks/>
        </xdr:cNvGrpSpPr>
      </xdr:nvGrpSpPr>
      <xdr:grpSpPr bwMode="auto">
        <a:xfrm>
          <a:off x="2705102" y="1771652"/>
          <a:ext cx="4352925" cy="4352925"/>
          <a:chOff x="458" y="27"/>
          <a:chExt cx="457" cy="457"/>
        </a:xfrm>
      </xdr:grpSpPr>
      <xdr:sp macro="" textlink="">
        <xdr:nvSpPr>
          <xdr:cNvPr id="5" name="Oval 5"/>
          <xdr:cNvSpPr>
            <a:spLocks noChangeAspect="1" noChangeArrowheads="1"/>
          </xdr:cNvSpPr>
        </xdr:nvSpPr>
        <xdr:spPr bwMode="auto">
          <a:xfrm>
            <a:off x="458" y="27"/>
            <a:ext cx="457" cy="457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6" name="Oval 6"/>
          <xdr:cNvSpPr>
            <a:spLocks noChangeAspect="1" noChangeArrowheads="1"/>
          </xdr:cNvSpPr>
        </xdr:nvSpPr>
        <xdr:spPr bwMode="auto">
          <a:xfrm>
            <a:off x="515" y="84"/>
            <a:ext cx="343" cy="343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7" name="Oval 7"/>
          <xdr:cNvSpPr>
            <a:spLocks noChangeAspect="1" noChangeArrowheads="1"/>
          </xdr:cNvSpPr>
        </xdr:nvSpPr>
        <xdr:spPr bwMode="auto">
          <a:xfrm>
            <a:off x="572" y="141"/>
            <a:ext cx="229" cy="229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8" name="Oval 8"/>
          <xdr:cNvSpPr>
            <a:spLocks noChangeAspect="1" noChangeArrowheads="1"/>
          </xdr:cNvSpPr>
        </xdr:nvSpPr>
        <xdr:spPr bwMode="auto">
          <a:xfrm>
            <a:off x="629" y="198"/>
            <a:ext cx="114" cy="114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104777</xdr:colOff>
      <xdr:row>7</xdr:row>
      <xdr:rowOff>114302</xdr:rowOff>
    </xdr:from>
    <xdr:to>
      <xdr:col>9</xdr:col>
      <xdr:colOff>514352</xdr:colOff>
      <xdr:row>33</xdr:row>
      <xdr:rowOff>142877</xdr:rowOff>
    </xdr:to>
    <xdr:grpSp>
      <xdr:nvGrpSpPr>
        <xdr:cNvPr id="9" name="Axis"/>
        <xdr:cNvGrpSpPr>
          <a:grpSpLocks/>
        </xdr:cNvGrpSpPr>
      </xdr:nvGrpSpPr>
      <xdr:grpSpPr bwMode="auto">
        <a:xfrm>
          <a:off x="2390777" y="1447802"/>
          <a:ext cx="4981575" cy="4981575"/>
          <a:chOff x="421" y="1"/>
          <a:chExt cx="523" cy="523"/>
        </a:xfrm>
      </xdr:grpSpPr>
      <xdr:sp macro="" textlink="">
        <xdr:nvSpPr>
          <xdr:cNvPr id="10" name="Line 10"/>
          <xdr:cNvSpPr>
            <a:spLocks noChangeShapeType="1"/>
          </xdr:cNvSpPr>
        </xdr:nvSpPr>
        <xdr:spPr bwMode="auto">
          <a:xfrm>
            <a:off x="421" y="262"/>
            <a:ext cx="52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1"/>
          <xdr:cNvSpPr>
            <a:spLocks noChangeShapeType="1"/>
          </xdr:cNvSpPr>
        </xdr:nvSpPr>
        <xdr:spPr bwMode="auto">
          <a:xfrm rot="-5400000">
            <a:off x="421" y="263"/>
            <a:ext cx="52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638177</xdr:colOff>
      <xdr:row>20</xdr:row>
      <xdr:rowOff>133352</xdr:rowOff>
    </xdr:from>
    <xdr:to>
      <xdr:col>6</xdr:col>
      <xdr:colOff>342902</xdr:colOff>
      <xdr:row>33</xdr:row>
      <xdr:rowOff>114302</xdr:rowOff>
    </xdr:to>
    <xdr:grpSp>
      <xdr:nvGrpSpPr>
        <xdr:cNvPr id="12" name="RangeValues"/>
        <xdr:cNvGrpSpPr>
          <a:grpSpLocks/>
        </xdr:cNvGrpSpPr>
      </xdr:nvGrpSpPr>
      <xdr:grpSpPr bwMode="auto">
        <a:xfrm>
          <a:off x="4448177" y="3943352"/>
          <a:ext cx="466725" cy="2457450"/>
          <a:chOff x="467" y="409"/>
          <a:chExt cx="49" cy="258"/>
        </a:xfrm>
      </xdr:grpSpPr>
      <xdr:sp macro="" textlink="">
        <xdr:nvSpPr>
          <xdr:cNvPr id="13" name="Text Box 13"/>
          <xdr:cNvSpPr txBox="1">
            <a:spLocks noChangeArrowheads="1"/>
          </xdr:cNvSpPr>
        </xdr:nvSpPr>
        <xdr:spPr bwMode="auto">
          <a:xfrm>
            <a:off x="485" y="409"/>
            <a:ext cx="31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0%</a:t>
            </a:r>
          </a:p>
        </xdr:txBody>
      </xdr:sp>
      <xdr:sp macro="" textlink="">
        <xdr:nvSpPr>
          <xdr:cNvPr id="14" name="Text Box 14"/>
          <xdr:cNvSpPr txBox="1">
            <a:spLocks noChangeArrowheads="1"/>
          </xdr:cNvSpPr>
        </xdr:nvSpPr>
        <xdr:spPr bwMode="auto">
          <a:xfrm>
            <a:off x="467" y="466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25%</a:t>
            </a:r>
          </a:p>
        </xdr:txBody>
      </xdr:sp>
      <xdr:sp macro="" textlink="">
        <xdr:nvSpPr>
          <xdr:cNvPr id="15" name="Text Box 15"/>
          <xdr:cNvSpPr txBox="1">
            <a:spLocks noChangeArrowheads="1"/>
          </xdr:cNvSpPr>
        </xdr:nvSpPr>
        <xdr:spPr bwMode="auto">
          <a:xfrm>
            <a:off x="467" y="525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50%</a:t>
            </a:r>
          </a:p>
        </xdr:txBody>
      </xdr:sp>
      <xdr:sp macro="" textlink="">
        <xdr:nvSpPr>
          <xdr:cNvPr id="16" name="Text Box 16"/>
          <xdr:cNvSpPr txBox="1">
            <a:spLocks noChangeArrowheads="1"/>
          </xdr:cNvSpPr>
        </xdr:nvSpPr>
        <xdr:spPr bwMode="auto">
          <a:xfrm>
            <a:off x="467" y="581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75%</a:t>
            </a:r>
          </a:p>
        </xdr:txBody>
      </xdr:sp>
      <xdr:sp macro="" textlink="">
        <xdr:nvSpPr>
          <xdr:cNvPr id="17" name="Text Box 17"/>
          <xdr:cNvSpPr txBox="1">
            <a:spLocks noChangeArrowheads="1"/>
          </xdr:cNvSpPr>
        </xdr:nvSpPr>
        <xdr:spPr bwMode="auto">
          <a:xfrm>
            <a:off x="467" y="643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100%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4162425</xdr:colOff>
      <xdr:row>0</xdr:row>
      <xdr:rowOff>66675</xdr:rowOff>
    </xdr:from>
    <xdr:to>
      <xdr:col>2</xdr:col>
      <xdr:colOff>4848225</xdr:colOff>
      <xdr:row>1</xdr:row>
      <xdr:rowOff>485775</xdr:rowOff>
    </xdr:to>
    <xdr:pic>
      <xdr:nvPicPr>
        <xdr:cNvPr id="2" name="Picture 1" descr="http://www.enconweb.com.ar/TMP/Logos/bdff4feebc940c6e50d30e8806f9b4e8.jpg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91075" y="66675"/>
          <a:ext cx="6858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20</xdr:row>
      <xdr:rowOff>114300</xdr:rowOff>
    </xdr:from>
    <xdr:to>
      <xdr:col>18</xdr:col>
      <xdr:colOff>133350</xdr:colOff>
      <xdr:row>22</xdr:row>
      <xdr:rowOff>19050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3305175" y="2190750"/>
          <a:ext cx="174307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 = PQ / [ (e/z)^2 + PQ/N ]</a:t>
          </a:r>
        </a:p>
        <a:p>
          <a:pPr algn="l" rtl="0">
            <a:defRPr sz="1000"/>
          </a:pPr>
          <a:endParaRPr lang="es-ES"/>
        </a:p>
      </xdr:txBody>
    </xdr:sp>
    <xdr:clientData/>
  </xdr:twoCellAnchor>
  <xdr:twoCellAnchor>
    <xdr:from>
      <xdr:col>18</xdr:col>
      <xdr:colOff>571500</xdr:colOff>
      <xdr:row>29</xdr:row>
      <xdr:rowOff>38100</xdr:rowOff>
    </xdr:from>
    <xdr:to>
      <xdr:col>21</xdr:col>
      <xdr:colOff>28575</xdr:colOff>
      <xdr:row>30</xdr:row>
      <xdr:rowOff>133350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9906000" y="6515100"/>
          <a:ext cx="1743075" cy="285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 = z x Raíz [ PQ (1/n -1/N) ]</a:t>
          </a:r>
        </a:p>
        <a:p>
          <a:pPr algn="l" rtl="0">
            <a:defRPr sz="1000"/>
          </a:pPr>
          <a:endParaRPr lang="es-E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28</xdr:row>
          <xdr:rowOff>114300</xdr:rowOff>
        </xdr:from>
        <xdr:to>
          <xdr:col>12</xdr:col>
          <xdr:colOff>695325</xdr:colOff>
          <xdr:row>31</xdr:row>
          <xdr:rowOff>38100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313152</xdr:colOff>
      <xdr:row>3</xdr:row>
      <xdr:rowOff>22935</xdr:rowOff>
    </xdr:from>
    <xdr:to>
      <xdr:col>8</xdr:col>
      <xdr:colOff>599502</xdr:colOff>
      <xdr:row>4</xdr:row>
      <xdr:rowOff>5194</xdr:rowOff>
    </xdr:to>
    <xdr:sp macro="" textlink="">
      <xdr:nvSpPr>
        <xdr:cNvPr id="247" name="verde"/>
        <xdr:cNvSpPr>
          <a:spLocks noChangeAspect="1"/>
        </xdr:cNvSpPr>
      </xdr:nvSpPr>
      <xdr:spPr>
        <a:xfrm>
          <a:off x="10190930" y="1069509"/>
          <a:ext cx="286350" cy="288000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170275</xdr:colOff>
      <xdr:row>3</xdr:row>
      <xdr:rowOff>22934</xdr:rowOff>
    </xdr:from>
    <xdr:to>
      <xdr:col>9</xdr:col>
      <xdr:colOff>456451</xdr:colOff>
      <xdr:row>4</xdr:row>
      <xdr:rowOff>5193</xdr:rowOff>
    </xdr:to>
    <xdr:sp macro="" textlink="">
      <xdr:nvSpPr>
        <xdr:cNvPr id="248" name="colorado"/>
        <xdr:cNvSpPr>
          <a:spLocks noChangeAspect="1"/>
        </xdr:cNvSpPr>
      </xdr:nvSpPr>
      <xdr:spPr>
        <a:xfrm>
          <a:off x="10718331" y="1069508"/>
          <a:ext cx="286176" cy="288000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7</xdr:row>
      <xdr:rowOff>0</xdr:rowOff>
    </xdr:from>
    <xdr:to>
      <xdr:col>5</xdr:col>
      <xdr:colOff>476676</xdr:colOff>
      <xdr:row>7</xdr:row>
      <xdr:rowOff>291822</xdr:rowOff>
    </xdr:to>
    <xdr:sp macro="" textlink="">
      <xdr:nvSpPr>
        <xdr:cNvPr id="49" name="5"/>
        <xdr:cNvSpPr>
          <a:spLocks noChangeAspect="1"/>
        </xdr:cNvSpPr>
      </xdr:nvSpPr>
      <xdr:spPr>
        <a:xfrm>
          <a:off x="8334375" y="2314575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9</xdr:row>
      <xdr:rowOff>0</xdr:rowOff>
    </xdr:from>
    <xdr:to>
      <xdr:col>5</xdr:col>
      <xdr:colOff>476676</xdr:colOff>
      <xdr:row>9</xdr:row>
      <xdr:rowOff>291822</xdr:rowOff>
    </xdr:to>
    <xdr:sp macro="" textlink="">
      <xdr:nvSpPr>
        <xdr:cNvPr id="50" name="7"/>
        <xdr:cNvSpPr>
          <a:spLocks noChangeAspect="1"/>
        </xdr:cNvSpPr>
      </xdr:nvSpPr>
      <xdr:spPr>
        <a:xfrm>
          <a:off x="8334375" y="2943225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14</xdr:row>
      <xdr:rowOff>0</xdr:rowOff>
    </xdr:from>
    <xdr:to>
      <xdr:col>5</xdr:col>
      <xdr:colOff>476676</xdr:colOff>
      <xdr:row>14</xdr:row>
      <xdr:rowOff>291822</xdr:rowOff>
    </xdr:to>
    <xdr:sp macro="" textlink="">
      <xdr:nvSpPr>
        <xdr:cNvPr id="51" name="12"/>
        <xdr:cNvSpPr>
          <a:spLocks noChangeAspect="1"/>
        </xdr:cNvSpPr>
      </xdr:nvSpPr>
      <xdr:spPr>
        <a:xfrm>
          <a:off x="8334375" y="4514850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15</xdr:row>
      <xdr:rowOff>0</xdr:rowOff>
    </xdr:from>
    <xdr:to>
      <xdr:col>5</xdr:col>
      <xdr:colOff>476676</xdr:colOff>
      <xdr:row>15</xdr:row>
      <xdr:rowOff>291822</xdr:rowOff>
    </xdr:to>
    <xdr:sp macro="" textlink="">
      <xdr:nvSpPr>
        <xdr:cNvPr id="52" name="13"/>
        <xdr:cNvSpPr>
          <a:spLocks noChangeAspect="1"/>
        </xdr:cNvSpPr>
      </xdr:nvSpPr>
      <xdr:spPr>
        <a:xfrm>
          <a:off x="8334375" y="4829175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16</xdr:row>
      <xdr:rowOff>0</xdr:rowOff>
    </xdr:from>
    <xdr:to>
      <xdr:col>5</xdr:col>
      <xdr:colOff>476676</xdr:colOff>
      <xdr:row>16</xdr:row>
      <xdr:rowOff>291822</xdr:rowOff>
    </xdr:to>
    <xdr:sp macro="" textlink="">
      <xdr:nvSpPr>
        <xdr:cNvPr id="53" name="14"/>
        <xdr:cNvSpPr>
          <a:spLocks noChangeAspect="1"/>
        </xdr:cNvSpPr>
      </xdr:nvSpPr>
      <xdr:spPr>
        <a:xfrm>
          <a:off x="8334375" y="5143500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21</xdr:row>
      <xdr:rowOff>0</xdr:rowOff>
    </xdr:from>
    <xdr:to>
      <xdr:col>5</xdr:col>
      <xdr:colOff>476676</xdr:colOff>
      <xdr:row>21</xdr:row>
      <xdr:rowOff>291822</xdr:rowOff>
    </xdr:to>
    <xdr:sp macro="" textlink="">
      <xdr:nvSpPr>
        <xdr:cNvPr id="54" name="17"/>
        <xdr:cNvSpPr>
          <a:spLocks noChangeAspect="1"/>
        </xdr:cNvSpPr>
      </xdr:nvSpPr>
      <xdr:spPr>
        <a:xfrm>
          <a:off x="8334375" y="6715125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202406</xdr:colOff>
      <xdr:row>24</xdr:row>
      <xdr:rowOff>190500</xdr:rowOff>
    </xdr:from>
    <xdr:to>
      <xdr:col>5</xdr:col>
      <xdr:colOff>488582</xdr:colOff>
      <xdr:row>24</xdr:row>
      <xdr:rowOff>482322</xdr:rowOff>
    </xdr:to>
    <xdr:sp macro="" textlink="">
      <xdr:nvSpPr>
        <xdr:cNvPr id="55" name="20"/>
        <xdr:cNvSpPr>
          <a:spLocks noChangeAspect="1"/>
        </xdr:cNvSpPr>
      </xdr:nvSpPr>
      <xdr:spPr>
        <a:xfrm>
          <a:off x="8346281" y="7750969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476676</xdr:colOff>
      <xdr:row>26</xdr:row>
      <xdr:rowOff>291822</xdr:rowOff>
    </xdr:to>
    <xdr:sp macro="" textlink="">
      <xdr:nvSpPr>
        <xdr:cNvPr id="56" name="22"/>
        <xdr:cNvSpPr>
          <a:spLocks noChangeAspect="1"/>
        </xdr:cNvSpPr>
      </xdr:nvSpPr>
      <xdr:spPr>
        <a:xfrm>
          <a:off x="8334375" y="8353425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30</xdr:row>
      <xdr:rowOff>0</xdr:rowOff>
    </xdr:from>
    <xdr:to>
      <xdr:col>5</xdr:col>
      <xdr:colOff>476676</xdr:colOff>
      <xdr:row>30</xdr:row>
      <xdr:rowOff>291822</xdr:rowOff>
    </xdr:to>
    <xdr:sp macro="" textlink="">
      <xdr:nvSpPr>
        <xdr:cNvPr id="57" name="26"/>
        <xdr:cNvSpPr>
          <a:spLocks noChangeAspect="1"/>
        </xdr:cNvSpPr>
      </xdr:nvSpPr>
      <xdr:spPr>
        <a:xfrm>
          <a:off x="8334375" y="9610725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34</xdr:row>
      <xdr:rowOff>0</xdr:rowOff>
    </xdr:from>
    <xdr:to>
      <xdr:col>5</xdr:col>
      <xdr:colOff>476676</xdr:colOff>
      <xdr:row>34</xdr:row>
      <xdr:rowOff>291822</xdr:rowOff>
    </xdr:to>
    <xdr:sp macro="" textlink="">
      <xdr:nvSpPr>
        <xdr:cNvPr id="58" name="28"/>
        <xdr:cNvSpPr>
          <a:spLocks noChangeAspect="1"/>
        </xdr:cNvSpPr>
      </xdr:nvSpPr>
      <xdr:spPr>
        <a:xfrm>
          <a:off x="8334375" y="10868025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37</xdr:row>
      <xdr:rowOff>0</xdr:rowOff>
    </xdr:from>
    <xdr:to>
      <xdr:col>5</xdr:col>
      <xdr:colOff>476676</xdr:colOff>
      <xdr:row>37</xdr:row>
      <xdr:rowOff>291822</xdr:rowOff>
    </xdr:to>
    <xdr:sp macro="" textlink="">
      <xdr:nvSpPr>
        <xdr:cNvPr id="59" name="31"/>
        <xdr:cNvSpPr>
          <a:spLocks noChangeAspect="1"/>
        </xdr:cNvSpPr>
      </xdr:nvSpPr>
      <xdr:spPr>
        <a:xfrm>
          <a:off x="8334375" y="11811000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38</xdr:row>
      <xdr:rowOff>0</xdr:rowOff>
    </xdr:from>
    <xdr:to>
      <xdr:col>5</xdr:col>
      <xdr:colOff>476676</xdr:colOff>
      <xdr:row>38</xdr:row>
      <xdr:rowOff>291822</xdr:rowOff>
    </xdr:to>
    <xdr:sp macro="" textlink="">
      <xdr:nvSpPr>
        <xdr:cNvPr id="60" name="32"/>
        <xdr:cNvSpPr>
          <a:spLocks noChangeAspect="1"/>
        </xdr:cNvSpPr>
      </xdr:nvSpPr>
      <xdr:spPr>
        <a:xfrm>
          <a:off x="8334375" y="12125325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40</xdr:row>
      <xdr:rowOff>0</xdr:rowOff>
    </xdr:from>
    <xdr:to>
      <xdr:col>5</xdr:col>
      <xdr:colOff>476676</xdr:colOff>
      <xdr:row>40</xdr:row>
      <xdr:rowOff>291822</xdr:rowOff>
    </xdr:to>
    <xdr:sp macro="" textlink="">
      <xdr:nvSpPr>
        <xdr:cNvPr id="61" name="34"/>
        <xdr:cNvSpPr>
          <a:spLocks noChangeAspect="1"/>
        </xdr:cNvSpPr>
      </xdr:nvSpPr>
      <xdr:spPr>
        <a:xfrm>
          <a:off x="8334375" y="12753975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52</xdr:row>
      <xdr:rowOff>0</xdr:rowOff>
    </xdr:from>
    <xdr:to>
      <xdr:col>5</xdr:col>
      <xdr:colOff>476676</xdr:colOff>
      <xdr:row>52</xdr:row>
      <xdr:rowOff>291822</xdr:rowOff>
    </xdr:to>
    <xdr:sp macro="" textlink="">
      <xdr:nvSpPr>
        <xdr:cNvPr id="62" name="44"/>
        <xdr:cNvSpPr>
          <a:spLocks noChangeAspect="1"/>
        </xdr:cNvSpPr>
      </xdr:nvSpPr>
      <xdr:spPr>
        <a:xfrm>
          <a:off x="8334375" y="16592550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55</xdr:row>
      <xdr:rowOff>0</xdr:rowOff>
    </xdr:from>
    <xdr:to>
      <xdr:col>5</xdr:col>
      <xdr:colOff>476676</xdr:colOff>
      <xdr:row>55</xdr:row>
      <xdr:rowOff>291822</xdr:rowOff>
    </xdr:to>
    <xdr:sp macro="" textlink="">
      <xdr:nvSpPr>
        <xdr:cNvPr id="63" name="47"/>
        <xdr:cNvSpPr>
          <a:spLocks noChangeAspect="1"/>
        </xdr:cNvSpPr>
      </xdr:nvSpPr>
      <xdr:spPr>
        <a:xfrm>
          <a:off x="8334375" y="17535525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62</xdr:row>
      <xdr:rowOff>0</xdr:rowOff>
    </xdr:from>
    <xdr:to>
      <xdr:col>5</xdr:col>
      <xdr:colOff>476676</xdr:colOff>
      <xdr:row>62</xdr:row>
      <xdr:rowOff>291822</xdr:rowOff>
    </xdr:to>
    <xdr:sp macro="" textlink="">
      <xdr:nvSpPr>
        <xdr:cNvPr id="64" name="52"/>
        <xdr:cNvSpPr>
          <a:spLocks noChangeAspect="1"/>
        </xdr:cNvSpPr>
      </xdr:nvSpPr>
      <xdr:spPr>
        <a:xfrm>
          <a:off x="8334375" y="19735800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65</xdr:row>
      <xdr:rowOff>0</xdr:rowOff>
    </xdr:from>
    <xdr:to>
      <xdr:col>5</xdr:col>
      <xdr:colOff>476676</xdr:colOff>
      <xdr:row>65</xdr:row>
      <xdr:rowOff>291822</xdr:rowOff>
    </xdr:to>
    <xdr:sp macro="" textlink="">
      <xdr:nvSpPr>
        <xdr:cNvPr id="65" name="55"/>
        <xdr:cNvSpPr>
          <a:spLocks noChangeAspect="1"/>
        </xdr:cNvSpPr>
      </xdr:nvSpPr>
      <xdr:spPr>
        <a:xfrm>
          <a:off x="8334375" y="20745450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66</xdr:row>
      <xdr:rowOff>0</xdr:rowOff>
    </xdr:from>
    <xdr:to>
      <xdr:col>5</xdr:col>
      <xdr:colOff>476676</xdr:colOff>
      <xdr:row>66</xdr:row>
      <xdr:rowOff>291822</xdr:rowOff>
    </xdr:to>
    <xdr:sp macro="" textlink="">
      <xdr:nvSpPr>
        <xdr:cNvPr id="66" name="56"/>
        <xdr:cNvSpPr>
          <a:spLocks noChangeAspect="1"/>
        </xdr:cNvSpPr>
      </xdr:nvSpPr>
      <xdr:spPr>
        <a:xfrm>
          <a:off x="8334375" y="21059775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75</xdr:row>
      <xdr:rowOff>0</xdr:rowOff>
    </xdr:from>
    <xdr:to>
      <xdr:col>5</xdr:col>
      <xdr:colOff>476676</xdr:colOff>
      <xdr:row>75</xdr:row>
      <xdr:rowOff>291822</xdr:rowOff>
    </xdr:to>
    <xdr:sp macro="" textlink="">
      <xdr:nvSpPr>
        <xdr:cNvPr id="67" name="61"/>
        <xdr:cNvSpPr>
          <a:spLocks noChangeAspect="1"/>
        </xdr:cNvSpPr>
      </xdr:nvSpPr>
      <xdr:spPr>
        <a:xfrm>
          <a:off x="8334375" y="24079200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77</xdr:row>
      <xdr:rowOff>0</xdr:rowOff>
    </xdr:from>
    <xdr:to>
      <xdr:col>5</xdr:col>
      <xdr:colOff>476676</xdr:colOff>
      <xdr:row>77</xdr:row>
      <xdr:rowOff>291822</xdr:rowOff>
    </xdr:to>
    <xdr:sp macro="" textlink="">
      <xdr:nvSpPr>
        <xdr:cNvPr id="68" name="63"/>
        <xdr:cNvSpPr>
          <a:spLocks noChangeAspect="1"/>
        </xdr:cNvSpPr>
      </xdr:nvSpPr>
      <xdr:spPr>
        <a:xfrm>
          <a:off x="8334375" y="24898350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78</xdr:row>
      <xdr:rowOff>0</xdr:rowOff>
    </xdr:from>
    <xdr:to>
      <xdr:col>5</xdr:col>
      <xdr:colOff>476850</xdr:colOff>
      <xdr:row>78</xdr:row>
      <xdr:rowOff>291822</xdr:rowOff>
    </xdr:to>
    <xdr:sp macro="" textlink="">
      <xdr:nvSpPr>
        <xdr:cNvPr id="69" name="64"/>
        <xdr:cNvSpPr>
          <a:spLocks noChangeAspect="1"/>
        </xdr:cNvSpPr>
      </xdr:nvSpPr>
      <xdr:spPr>
        <a:xfrm>
          <a:off x="8334375" y="25307925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81</xdr:row>
      <xdr:rowOff>0</xdr:rowOff>
    </xdr:from>
    <xdr:to>
      <xdr:col>5</xdr:col>
      <xdr:colOff>476676</xdr:colOff>
      <xdr:row>81</xdr:row>
      <xdr:rowOff>291822</xdr:rowOff>
    </xdr:to>
    <xdr:sp macro="" textlink="">
      <xdr:nvSpPr>
        <xdr:cNvPr id="70" name="67"/>
        <xdr:cNvSpPr>
          <a:spLocks noChangeAspect="1"/>
        </xdr:cNvSpPr>
      </xdr:nvSpPr>
      <xdr:spPr>
        <a:xfrm>
          <a:off x="8334375" y="26536650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82</xdr:row>
      <xdr:rowOff>0</xdr:rowOff>
    </xdr:from>
    <xdr:to>
      <xdr:col>5</xdr:col>
      <xdr:colOff>476676</xdr:colOff>
      <xdr:row>82</xdr:row>
      <xdr:rowOff>291822</xdr:rowOff>
    </xdr:to>
    <xdr:sp macro="" textlink="">
      <xdr:nvSpPr>
        <xdr:cNvPr id="71" name="68"/>
        <xdr:cNvSpPr>
          <a:spLocks noChangeAspect="1"/>
        </xdr:cNvSpPr>
      </xdr:nvSpPr>
      <xdr:spPr>
        <a:xfrm>
          <a:off x="8334375" y="26946225"/>
          <a:ext cx="286176" cy="291822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436293</xdr:colOff>
      <xdr:row>3</xdr:row>
      <xdr:rowOff>31518</xdr:rowOff>
    </xdr:from>
    <xdr:to>
      <xdr:col>12</xdr:col>
      <xdr:colOff>275306</xdr:colOff>
      <xdr:row>22</xdr:row>
      <xdr:rowOff>71438</xdr:rowOff>
    </xdr:to>
    <xdr:graphicFrame macro="">
      <xdr:nvGraphicFramePr>
        <xdr:cNvPr id="15" name="1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214967</xdr:colOff>
      <xdr:row>159</xdr:row>
      <xdr:rowOff>142875</xdr:rowOff>
    </xdr:from>
    <xdr:to>
      <xdr:col>10</xdr:col>
      <xdr:colOff>555624</xdr:colOff>
      <xdr:row>187</xdr:row>
      <xdr:rowOff>158750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206375</xdr:colOff>
      <xdr:row>123</xdr:row>
      <xdr:rowOff>142875</xdr:rowOff>
    </xdr:from>
    <xdr:to>
      <xdr:col>11</xdr:col>
      <xdr:colOff>492125</xdr:colOff>
      <xdr:row>152</xdr:row>
      <xdr:rowOff>15875</xdr:rowOff>
    </xdr:to>
    <xdr:graphicFrame macro="">
      <xdr:nvGraphicFramePr>
        <xdr:cNvPr id="12" name="1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194131</xdr:colOff>
      <xdr:row>193</xdr:row>
      <xdr:rowOff>2200</xdr:rowOff>
    </xdr:from>
    <xdr:to>
      <xdr:col>12</xdr:col>
      <xdr:colOff>571500</xdr:colOff>
      <xdr:row>215</xdr:row>
      <xdr:rowOff>27215</xdr:rowOff>
    </xdr:to>
    <xdr:graphicFrame macro="">
      <xdr:nvGraphicFramePr>
        <xdr:cNvPr id="13" name="1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33245</xdr:colOff>
      <xdr:row>220</xdr:row>
      <xdr:rowOff>112058</xdr:rowOff>
    </xdr:from>
    <xdr:to>
      <xdr:col>13</xdr:col>
      <xdr:colOff>51954</xdr:colOff>
      <xdr:row>246</xdr:row>
      <xdr:rowOff>0</xdr:rowOff>
    </xdr:to>
    <xdr:graphicFrame macro="">
      <xdr:nvGraphicFramePr>
        <xdr:cNvPr id="14" name="1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1878</xdr:colOff>
      <xdr:row>2</xdr:row>
      <xdr:rowOff>47626</xdr:rowOff>
    </xdr:from>
    <xdr:to>
      <xdr:col>4</xdr:col>
      <xdr:colOff>523875</xdr:colOff>
      <xdr:row>20</xdr:row>
      <xdr:rowOff>40448</xdr:rowOff>
    </xdr:to>
    <xdr:graphicFrame macro="">
      <xdr:nvGraphicFramePr>
        <xdr:cNvPr id="17" name="1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371059</xdr:colOff>
      <xdr:row>25</xdr:row>
      <xdr:rowOff>139379</xdr:rowOff>
    </xdr:from>
    <xdr:to>
      <xdr:col>12</xdr:col>
      <xdr:colOff>210072</xdr:colOff>
      <xdr:row>44</xdr:row>
      <xdr:rowOff>59532</xdr:rowOff>
    </xdr:to>
    <xdr:graphicFrame macro="">
      <xdr:nvGraphicFramePr>
        <xdr:cNvPr id="18" name="1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196</xdr:colOff>
      <xdr:row>23</xdr:row>
      <xdr:rowOff>79375</xdr:rowOff>
    </xdr:from>
    <xdr:to>
      <xdr:col>4</xdr:col>
      <xdr:colOff>539749</xdr:colOff>
      <xdr:row>42</xdr:row>
      <xdr:rowOff>70567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460706</xdr:colOff>
      <xdr:row>49</xdr:row>
      <xdr:rowOff>126068</xdr:rowOff>
    </xdr:from>
    <xdr:to>
      <xdr:col>12</xdr:col>
      <xdr:colOff>299719</xdr:colOff>
      <xdr:row>68</xdr:row>
      <xdr:rowOff>95250</xdr:rowOff>
    </xdr:to>
    <xdr:graphicFrame macro="">
      <xdr:nvGraphicFramePr>
        <xdr:cNvPr id="20" name="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236080</xdr:colOff>
      <xdr:row>47</xdr:row>
      <xdr:rowOff>31750</xdr:rowOff>
    </xdr:from>
    <xdr:to>
      <xdr:col>4</xdr:col>
      <xdr:colOff>523874</xdr:colOff>
      <xdr:row>66</xdr:row>
      <xdr:rowOff>143402</xdr:rowOff>
    </xdr:to>
    <xdr:graphicFrame macro="">
      <xdr:nvGraphicFramePr>
        <xdr:cNvPr id="21" name="20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415882</xdr:colOff>
      <xdr:row>72</xdr:row>
      <xdr:rowOff>144280</xdr:rowOff>
    </xdr:from>
    <xdr:to>
      <xdr:col>12</xdr:col>
      <xdr:colOff>254895</xdr:colOff>
      <xdr:row>90</xdr:row>
      <xdr:rowOff>142875</xdr:rowOff>
    </xdr:to>
    <xdr:graphicFrame macro="">
      <xdr:nvGraphicFramePr>
        <xdr:cNvPr id="2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1318</xdr:colOff>
      <xdr:row>72</xdr:row>
      <xdr:rowOff>63500</xdr:rowOff>
    </xdr:from>
    <xdr:to>
      <xdr:col>4</xdr:col>
      <xdr:colOff>349250</xdr:colOff>
      <xdr:row>89</xdr:row>
      <xdr:rowOff>130796</xdr:rowOff>
    </xdr:to>
    <xdr:graphicFrame macro="">
      <xdr:nvGraphicFramePr>
        <xdr:cNvPr id="23" name="2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303823</xdr:colOff>
      <xdr:row>95</xdr:row>
      <xdr:rowOff>79845</xdr:rowOff>
    </xdr:from>
    <xdr:to>
      <xdr:col>12</xdr:col>
      <xdr:colOff>142836</xdr:colOff>
      <xdr:row>114</xdr:row>
      <xdr:rowOff>35719</xdr:rowOff>
    </xdr:to>
    <xdr:graphicFrame macro="">
      <xdr:nvGraphicFramePr>
        <xdr:cNvPr id="24" name="2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234400</xdr:colOff>
      <xdr:row>95</xdr:row>
      <xdr:rowOff>15876</xdr:rowOff>
    </xdr:from>
    <xdr:to>
      <xdr:col>4</xdr:col>
      <xdr:colOff>317500</xdr:colOff>
      <xdr:row>112</xdr:row>
      <xdr:rowOff>88775</xdr:rowOff>
    </xdr:to>
    <xdr:graphicFrame macro="">
      <xdr:nvGraphicFramePr>
        <xdr:cNvPr id="25" name="2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564015</xdr:colOff>
      <xdr:row>3</xdr:row>
      <xdr:rowOff>254793</xdr:rowOff>
    </xdr:from>
    <xdr:to>
      <xdr:col>5</xdr:col>
      <xdr:colOff>1545090</xdr:colOff>
      <xdr:row>6</xdr:row>
      <xdr:rowOff>247510</xdr:rowOff>
    </xdr:to>
    <xdr:sp macro="" textlink="DetalleDimension!R7">
      <xdr:nvSpPr>
        <xdr:cNvPr id="2" name="1 Rectángulo"/>
        <xdr:cNvSpPr/>
      </xdr:nvSpPr>
      <xdr:spPr>
        <a:xfrm>
          <a:off x="2921453" y="1088231"/>
          <a:ext cx="981075" cy="921404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fld id="{B9E0F36B-9CF9-456D-99C4-CB917466B350}" type="TxLink">
            <a:rPr lang="es-ES" sz="2800" b="1" i="0" u="none" strike="noStrike">
              <a:solidFill>
                <a:schemeClr val="bg1"/>
              </a:solidFill>
              <a:latin typeface="HelveticaNeueLT Std Lt"/>
              <a:ea typeface="+mn-ea"/>
              <a:cs typeface="+mn-cs"/>
            </a:rPr>
            <a:pPr marL="0" indent="0" algn="ctr"/>
            <a:t>71</a:t>
          </a:fld>
          <a:endParaRPr lang="es-ES" sz="2800" b="1" i="0" u="none" strike="noStrike">
            <a:solidFill>
              <a:schemeClr val="bg1"/>
            </a:solidFill>
            <a:latin typeface="HelveticaNeueLT Std 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573540</xdr:colOff>
      <xdr:row>10</xdr:row>
      <xdr:rowOff>178591</xdr:rowOff>
    </xdr:from>
    <xdr:to>
      <xdr:col>5</xdr:col>
      <xdr:colOff>1554615</xdr:colOff>
      <xdr:row>13</xdr:row>
      <xdr:rowOff>178590</xdr:rowOff>
    </xdr:to>
    <xdr:sp macro="" textlink="DetalleDimension!R15">
      <xdr:nvSpPr>
        <xdr:cNvPr id="3" name="2 Rectángulo"/>
        <xdr:cNvSpPr/>
      </xdr:nvSpPr>
      <xdr:spPr>
        <a:xfrm>
          <a:off x="2930978" y="3178966"/>
          <a:ext cx="981075" cy="928687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fld id="{351E859C-A63F-4B1F-9DB7-525BC377202D}" type="TxLink">
            <a:rPr lang="es-ES" sz="2800" b="1" i="0" u="none" strike="noStrike">
              <a:solidFill>
                <a:schemeClr val="bg1"/>
              </a:solidFill>
              <a:latin typeface="HelveticaNeueLT Std Lt"/>
              <a:ea typeface="+mn-ea"/>
              <a:cs typeface="+mn-cs"/>
            </a:rPr>
            <a:pPr marL="0" indent="0" algn="ctr"/>
            <a:t>67</a:t>
          </a:fld>
          <a:endParaRPr lang="es-ES" sz="2800" b="1" i="0" u="none" strike="noStrike">
            <a:solidFill>
              <a:schemeClr val="bg1"/>
            </a:solidFill>
            <a:latin typeface="HelveticaNeueLT Std 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564015</xdr:colOff>
      <xdr:row>0</xdr:row>
      <xdr:rowOff>109537</xdr:rowOff>
    </xdr:from>
    <xdr:to>
      <xdr:col>5</xdr:col>
      <xdr:colOff>1545090</xdr:colOff>
      <xdr:row>3</xdr:row>
      <xdr:rowOff>185737</xdr:rowOff>
    </xdr:to>
    <xdr:sp macro="" textlink="DetalleDimension!R3">
      <xdr:nvSpPr>
        <xdr:cNvPr id="4" name="3 Rectángulo"/>
        <xdr:cNvSpPr/>
      </xdr:nvSpPr>
      <xdr:spPr>
        <a:xfrm>
          <a:off x="2921453" y="109537"/>
          <a:ext cx="981075" cy="909638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fld id="{548E006D-07FB-4F15-9BAE-551F4041628B}" type="TxLink">
            <a:rPr lang="en-US" sz="2800" b="1" i="0" u="none" strike="noStrike">
              <a:solidFill>
                <a:schemeClr val="bg1"/>
              </a:solidFill>
              <a:latin typeface="HelveticaNeueLT Std Lt"/>
            </a:rPr>
            <a:pPr algn="ctr"/>
            <a:t>70</a:t>
          </a:fld>
          <a:endParaRPr lang="es-ES" sz="2800" b="1">
            <a:solidFill>
              <a:schemeClr val="bg1"/>
            </a:solidFill>
            <a:latin typeface="HelveticaNeueLT Std Lt" pitchFamily="34" charset="0"/>
          </a:endParaRPr>
        </a:p>
      </xdr:txBody>
    </xdr:sp>
    <xdr:clientData/>
  </xdr:twoCellAnchor>
  <xdr:twoCellAnchor>
    <xdr:from>
      <xdr:col>5</xdr:col>
      <xdr:colOff>583065</xdr:colOff>
      <xdr:row>7</xdr:row>
      <xdr:rowOff>56809</xdr:rowOff>
    </xdr:from>
    <xdr:to>
      <xdr:col>5</xdr:col>
      <xdr:colOff>1564140</xdr:colOff>
      <xdr:row>10</xdr:row>
      <xdr:rowOff>45243</xdr:rowOff>
    </xdr:to>
    <xdr:sp macro="" textlink="DetalleDimension!R11">
      <xdr:nvSpPr>
        <xdr:cNvPr id="5" name="4 Rectángulo"/>
        <xdr:cNvSpPr/>
      </xdr:nvSpPr>
      <xdr:spPr>
        <a:xfrm>
          <a:off x="2940503" y="2128497"/>
          <a:ext cx="981075" cy="917121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fld id="{376D1481-13E5-47C7-B64C-4F6256E9F6C7}" type="TxLink">
            <a:rPr lang="es-ES" sz="2800" b="1" i="0" u="none" strike="noStrike">
              <a:solidFill>
                <a:schemeClr val="bg1"/>
              </a:solidFill>
              <a:latin typeface="HelveticaNeueLT Std Lt"/>
              <a:ea typeface="+mn-ea"/>
              <a:cs typeface="+mn-cs"/>
            </a:rPr>
            <a:pPr marL="0" indent="0" algn="ctr"/>
            <a:t>66</a:t>
          </a:fld>
          <a:endParaRPr lang="es-ES" sz="2800" b="1" i="0" u="none" strike="noStrike">
            <a:solidFill>
              <a:schemeClr val="bg1"/>
            </a:solidFill>
            <a:latin typeface="HelveticaNeueLT Std 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573540</xdr:colOff>
      <xdr:row>13</xdr:row>
      <xdr:rowOff>214167</xdr:rowOff>
    </xdr:from>
    <xdr:to>
      <xdr:col>5</xdr:col>
      <xdr:colOff>1554615</xdr:colOff>
      <xdr:row>16</xdr:row>
      <xdr:rowOff>188114</xdr:rowOff>
    </xdr:to>
    <xdr:sp macro="" textlink="DetalleDimension!R19">
      <xdr:nvSpPr>
        <xdr:cNvPr id="6" name="5 Rectángulo"/>
        <xdr:cNvSpPr/>
      </xdr:nvSpPr>
      <xdr:spPr>
        <a:xfrm>
          <a:off x="2930978" y="4143230"/>
          <a:ext cx="981075" cy="902634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fld id="{3CAAAA17-5B02-42CF-AECE-E760F8AF591C}" type="TxLink">
            <a:rPr lang="es-ES" sz="2800" b="1" i="0" u="none" strike="noStrike">
              <a:solidFill>
                <a:schemeClr val="bg1"/>
              </a:solidFill>
              <a:latin typeface="HelveticaNeueLT Std Lt"/>
              <a:ea typeface="+mn-ea"/>
              <a:cs typeface="+mn-cs"/>
            </a:rPr>
            <a:pPr marL="0" indent="0" algn="ctr"/>
            <a:t>69</a:t>
          </a:fld>
          <a:endParaRPr lang="es-ES" sz="2800" b="1" i="0" u="none" strike="noStrike">
            <a:solidFill>
              <a:schemeClr val="bg1"/>
            </a:solidFill>
            <a:latin typeface="HelveticaNeueLT Std 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583405</xdr:colOff>
      <xdr:row>0</xdr:row>
      <xdr:rowOff>190501</xdr:rowOff>
    </xdr:from>
    <xdr:to>
      <xdr:col>12</xdr:col>
      <xdr:colOff>578644</xdr:colOff>
      <xdr:row>17</xdr:row>
      <xdr:rowOff>204788</xdr:rowOff>
    </xdr:to>
    <xdr:graphicFrame macro="">
      <xdr:nvGraphicFramePr>
        <xdr:cNvPr id="79" name="7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295277</xdr:colOff>
      <xdr:row>4</xdr:row>
      <xdr:rowOff>193445</xdr:rowOff>
    </xdr:from>
    <xdr:to>
      <xdr:col>5</xdr:col>
      <xdr:colOff>728593</xdr:colOff>
      <xdr:row>7</xdr:row>
      <xdr:rowOff>138895</xdr:rowOff>
    </xdr:to>
    <xdr:sp macro="" textlink="DetalleDimension!R7">
      <xdr:nvSpPr>
        <xdr:cNvPr id="65" name="64 Rectángulo"/>
        <xdr:cNvSpPr>
          <a:spLocks noChangeAspect="1"/>
        </xdr:cNvSpPr>
      </xdr:nvSpPr>
      <xdr:spPr>
        <a:xfrm>
          <a:off x="2257427" y="1650770"/>
          <a:ext cx="814316" cy="688400"/>
        </a:xfrm>
        <a:prstGeom prst="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fld id="{CC9E73AB-3A13-4CC4-929E-B40553F07BE0}" type="TxLink">
            <a:rPr lang="es-ES" sz="2800" b="1">
              <a:solidFill>
                <a:schemeClr val="bg1"/>
              </a:solidFill>
              <a:latin typeface="HelveticaNeueLT Std Lt" pitchFamily="34" charset="0"/>
              <a:ea typeface="+mn-ea"/>
              <a:cs typeface="+mn-cs"/>
            </a:rPr>
            <a:pPr marL="0" indent="0" algn="ctr"/>
            <a:t>71</a:t>
          </a:fld>
          <a:endParaRPr lang="es-ES" sz="2800" b="1">
            <a:solidFill>
              <a:schemeClr val="bg1"/>
            </a:solidFill>
            <a:latin typeface="HelveticaNeueLT Std Lt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314327</xdr:colOff>
      <xdr:row>12</xdr:row>
      <xdr:rowOff>211095</xdr:rowOff>
    </xdr:from>
    <xdr:to>
      <xdr:col>5</xdr:col>
      <xdr:colOff>747643</xdr:colOff>
      <xdr:row>15</xdr:row>
      <xdr:rowOff>156545</xdr:rowOff>
    </xdr:to>
    <xdr:sp macro="" textlink="DetalleDimension!R15">
      <xdr:nvSpPr>
        <xdr:cNvPr id="66" name="65 Rectángulo"/>
        <xdr:cNvSpPr>
          <a:spLocks noChangeAspect="1"/>
        </xdr:cNvSpPr>
      </xdr:nvSpPr>
      <xdr:spPr>
        <a:xfrm>
          <a:off x="2276477" y="3649620"/>
          <a:ext cx="814316" cy="688400"/>
        </a:xfrm>
        <a:prstGeom prst="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fld id="{34644A34-A52F-4693-82DD-76CA9C8C2698}" type="TxLink">
            <a:rPr lang="es-ES" sz="2800" b="1">
              <a:solidFill>
                <a:schemeClr val="bg1"/>
              </a:solidFill>
              <a:latin typeface="HelveticaNeueLT Std Lt" pitchFamily="34" charset="0"/>
              <a:ea typeface="+mn-ea"/>
              <a:cs typeface="+mn-cs"/>
            </a:rPr>
            <a:pPr marL="0" indent="0" algn="ctr"/>
            <a:t>67</a:t>
          </a:fld>
          <a:endParaRPr lang="es-ES" sz="2800" b="1">
            <a:solidFill>
              <a:schemeClr val="bg1"/>
            </a:solidFill>
            <a:latin typeface="HelveticaNeueLT Std Lt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276227</xdr:colOff>
      <xdr:row>0</xdr:row>
      <xdr:rowOff>666752</xdr:rowOff>
    </xdr:from>
    <xdr:to>
      <xdr:col>5</xdr:col>
      <xdr:colOff>709543</xdr:colOff>
      <xdr:row>3</xdr:row>
      <xdr:rowOff>145477</xdr:rowOff>
    </xdr:to>
    <xdr:sp macro="" textlink="DetalleDimension!R3">
      <xdr:nvSpPr>
        <xdr:cNvPr id="67" name="66 Rectángulo"/>
        <xdr:cNvSpPr>
          <a:spLocks noChangeAspect="1"/>
        </xdr:cNvSpPr>
      </xdr:nvSpPr>
      <xdr:spPr>
        <a:xfrm>
          <a:off x="2238377" y="666752"/>
          <a:ext cx="814316" cy="688400"/>
        </a:xfrm>
        <a:prstGeom prst="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11F0C78C-E0E5-4603-B7CF-80885DF4F1E9}" type="TxLink">
            <a:rPr lang="es-ES" sz="2800" b="1">
              <a:solidFill>
                <a:schemeClr val="bg1"/>
              </a:solidFill>
              <a:latin typeface="HelveticaNeueLT Std Lt" pitchFamily="34" charset="0"/>
            </a:rPr>
            <a:pPr algn="ctr"/>
            <a:t>70</a:t>
          </a:fld>
          <a:endParaRPr lang="es-ES" sz="2800" b="1">
            <a:solidFill>
              <a:schemeClr val="bg1"/>
            </a:solidFill>
            <a:latin typeface="HelveticaNeueLT Std Lt" pitchFamily="34" charset="0"/>
          </a:endParaRPr>
        </a:p>
      </xdr:txBody>
    </xdr:sp>
    <xdr:clientData/>
  </xdr:twoCellAnchor>
  <xdr:twoCellAnchor>
    <xdr:from>
      <xdr:col>4</xdr:col>
      <xdr:colOff>295277</xdr:colOff>
      <xdr:row>8</xdr:row>
      <xdr:rowOff>193666</xdr:rowOff>
    </xdr:from>
    <xdr:to>
      <xdr:col>5</xdr:col>
      <xdr:colOff>728593</xdr:colOff>
      <xdr:row>11</xdr:row>
      <xdr:rowOff>139116</xdr:rowOff>
    </xdr:to>
    <xdr:sp macro="" textlink="DetalleDimension!R11">
      <xdr:nvSpPr>
        <xdr:cNvPr id="68" name="67 Rectángulo"/>
        <xdr:cNvSpPr>
          <a:spLocks noChangeAspect="1"/>
        </xdr:cNvSpPr>
      </xdr:nvSpPr>
      <xdr:spPr>
        <a:xfrm>
          <a:off x="2257427" y="2641591"/>
          <a:ext cx="814316" cy="688400"/>
        </a:xfrm>
        <a:prstGeom prst="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fld id="{43951EFC-D4FD-4412-979F-46D14A364067}" type="TxLink">
            <a:rPr lang="es-ES" sz="2800" b="1">
              <a:solidFill>
                <a:schemeClr val="bg1"/>
              </a:solidFill>
              <a:latin typeface="HelveticaNeueLT Std Lt" pitchFamily="34" charset="0"/>
              <a:ea typeface="+mn-ea"/>
              <a:cs typeface="+mn-cs"/>
            </a:rPr>
            <a:pPr marL="0" indent="0" algn="ctr"/>
            <a:t>66</a:t>
          </a:fld>
          <a:endParaRPr lang="es-ES" sz="2800" b="1">
            <a:solidFill>
              <a:schemeClr val="bg1"/>
            </a:solidFill>
            <a:latin typeface="HelveticaNeueLT Std Lt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285752</xdr:colOff>
      <xdr:row>16</xdr:row>
      <xdr:rowOff>242611</xdr:rowOff>
    </xdr:from>
    <xdr:to>
      <xdr:col>5</xdr:col>
      <xdr:colOff>719068</xdr:colOff>
      <xdr:row>19</xdr:row>
      <xdr:rowOff>188061</xdr:rowOff>
    </xdr:to>
    <xdr:sp macro="" textlink="DetalleDimension!R19">
      <xdr:nvSpPr>
        <xdr:cNvPr id="69" name="68 Rectángulo"/>
        <xdr:cNvSpPr>
          <a:spLocks noChangeAspect="1"/>
        </xdr:cNvSpPr>
      </xdr:nvSpPr>
      <xdr:spPr>
        <a:xfrm>
          <a:off x="2247902" y="4671736"/>
          <a:ext cx="814316" cy="688400"/>
        </a:xfrm>
        <a:prstGeom prst="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fld id="{6F53FDA1-C350-4EC4-A151-EA3BC9B0EC0D}" type="TxLink">
            <a:rPr lang="es-ES" sz="2800" b="1">
              <a:solidFill>
                <a:schemeClr val="bg1"/>
              </a:solidFill>
              <a:latin typeface="HelveticaNeueLT Std Lt" pitchFamily="34" charset="0"/>
              <a:ea typeface="+mn-ea"/>
              <a:cs typeface="+mn-cs"/>
            </a:rPr>
            <a:pPr marL="0" indent="0" algn="ctr"/>
            <a:t>69</a:t>
          </a:fld>
          <a:endParaRPr lang="es-ES" sz="2800" b="1">
            <a:solidFill>
              <a:schemeClr val="bg1"/>
            </a:solidFill>
            <a:latin typeface="HelveticaNeueLT Std Lt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</xdr:colOff>
      <xdr:row>16</xdr:row>
      <xdr:rowOff>147546</xdr:rowOff>
    </xdr:from>
    <xdr:to>
      <xdr:col>10</xdr:col>
      <xdr:colOff>29368</xdr:colOff>
      <xdr:row>28</xdr:row>
      <xdr:rowOff>30959</xdr:rowOff>
    </xdr:to>
    <xdr:graphicFrame macro="">
      <xdr:nvGraphicFramePr>
        <xdr:cNvPr id="22" name="Tabla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31750</xdr:colOff>
      <xdr:row>47</xdr:row>
      <xdr:rowOff>33618</xdr:rowOff>
    </xdr:from>
    <xdr:to>
      <xdr:col>10</xdr:col>
      <xdr:colOff>24605</xdr:colOff>
      <xdr:row>58</xdr:row>
      <xdr:rowOff>66676</xdr:rowOff>
    </xdr:to>
    <xdr:graphicFrame macro="">
      <xdr:nvGraphicFramePr>
        <xdr:cNvPr id="23" name="Tabla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31750</xdr:colOff>
      <xdr:row>77</xdr:row>
      <xdr:rowOff>67235</xdr:rowOff>
    </xdr:from>
    <xdr:to>
      <xdr:col>10</xdr:col>
      <xdr:colOff>12699</xdr:colOff>
      <xdr:row>88</xdr:row>
      <xdr:rowOff>66676</xdr:rowOff>
    </xdr:to>
    <xdr:graphicFrame macro="">
      <xdr:nvGraphicFramePr>
        <xdr:cNvPr id="24" name="Tabla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31750</xdr:colOff>
      <xdr:row>108</xdr:row>
      <xdr:rowOff>2382</xdr:rowOff>
    </xdr:from>
    <xdr:to>
      <xdr:col>10</xdr:col>
      <xdr:colOff>12699</xdr:colOff>
      <xdr:row>118</xdr:row>
      <xdr:rowOff>66676</xdr:rowOff>
    </xdr:to>
    <xdr:graphicFrame macro="">
      <xdr:nvGraphicFramePr>
        <xdr:cNvPr id="25" name="Tabla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31750</xdr:colOff>
      <xdr:row>137</xdr:row>
      <xdr:rowOff>33618</xdr:rowOff>
    </xdr:from>
    <xdr:to>
      <xdr:col>10</xdr:col>
      <xdr:colOff>12699</xdr:colOff>
      <xdr:row>148</xdr:row>
      <xdr:rowOff>66676</xdr:rowOff>
    </xdr:to>
    <xdr:graphicFrame macro="">
      <xdr:nvGraphicFramePr>
        <xdr:cNvPr id="26" name="Tabla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31750</xdr:colOff>
      <xdr:row>167</xdr:row>
      <xdr:rowOff>67235</xdr:rowOff>
    </xdr:from>
    <xdr:to>
      <xdr:col>10</xdr:col>
      <xdr:colOff>48417</xdr:colOff>
      <xdr:row>178</xdr:row>
      <xdr:rowOff>66676</xdr:rowOff>
    </xdr:to>
    <xdr:graphicFrame macro="">
      <xdr:nvGraphicFramePr>
        <xdr:cNvPr id="27" name="Tabla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31750</xdr:colOff>
      <xdr:row>196</xdr:row>
      <xdr:rowOff>112059</xdr:rowOff>
    </xdr:from>
    <xdr:to>
      <xdr:col>10</xdr:col>
      <xdr:colOff>60324</xdr:colOff>
      <xdr:row>208</xdr:row>
      <xdr:rowOff>66676</xdr:rowOff>
    </xdr:to>
    <xdr:graphicFrame macro="">
      <xdr:nvGraphicFramePr>
        <xdr:cNvPr id="28" name="Tabla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31750</xdr:colOff>
      <xdr:row>227</xdr:row>
      <xdr:rowOff>22412</xdr:rowOff>
    </xdr:from>
    <xdr:to>
      <xdr:col>10</xdr:col>
      <xdr:colOff>72230</xdr:colOff>
      <xdr:row>238</xdr:row>
      <xdr:rowOff>66676</xdr:rowOff>
    </xdr:to>
    <xdr:graphicFrame macro="">
      <xdr:nvGraphicFramePr>
        <xdr:cNvPr id="29" name="Tabla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31750</xdr:colOff>
      <xdr:row>257</xdr:row>
      <xdr:rowOff>44823</xdr:rowOff>
    </xdr:from>
    <xdr:to>
      <xdr:col>10</xdr:col>
      <xdr:colOff>24605</xdr:colOff>
      <xdr:row>268</xdr:row>
      <xdr:rowOff>66676</xdr:rowOff>
    </xdr:to>
    <xdr:graphicFrame macro="">
      <xdr:nvGraphicFramePr>
        <xdr:cNvPr id="30" name="Tabla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31750</xdr:colOff>
      <xdr:row>286</xdr:row>
      <xdr:rowOff>156883</xdr:rowOff>
    </xdr:from>
    <xdr:to>
      <xdr:col>10</xdr:col>
      <xdr:colOff>48417</xdr:colOff>
      <xdr:row>298</xdr:row>
      <xdr:rowOff>66676</xdr:rowOff>
    </xdr:to>
    <xdr:graphicFrame macro="">
      <xdr:nvGraphicFramePr>
        <xdr:cNvPr id="34" name="Tabla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31750</xdr:colOff>
      <xdr:row>317</xdr:row>
      <xdr:rowOff>56029</xdr:rowOff>
    </xdr:from>
    <xdr:to>
      <xdr:col>10</xdr:col>
      <xdr:colOff>24605</xdr:colOff>
      <xdr:row>328</xdr:row>
      <xdr:rowOff>66676</xdr:rowOff>
    </xdr:to>
    <xdr:graphicFrame macro="">
      <xdr:nvGraphicFramePr>
        <xdr:cNvPr id="35" name="Tabla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31750</xdr:colOff>
      <xdr:row>347</xdr:row>
      <xdr:rowOff>11284</xdr:rowOff>
    </xdr:from>
    <xdr:to>
      <xdr:col>9</xdr:col>
      <xdr:colOff>963082</xdr:colOff>
      <xdr:row>358</xdr:row>
      <xdr:rowOff>77260</xdr:rowOff>
    </xdr:to>
    <xdr:graphicFrame macro="">
      <xdr:nvGraphicFramePr>
        <xdr:cNvPr id="36" name="Tabla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31750</xdr:colOff>
      <xdr:row>377</xdr:row>
      <xdr:rowOff>22411</xdr:rowOff>
    </xdr:from>
    <xdr:to>
      <xdr:col>10</xdr:col>
      <xdr:colOff>931333</xdr:colOff>
      <xdr:row>388</xdr:row>
      <xdr:rowOff>66676</xdr:rowOff>
    </xdr:to>
    <xdr:graphicFrame macro="">
      <xdr:nvGraphicFramePr>
        <xdr:cNvPr id="37" name="Tabla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31750</xdr:colOff>
      <xdr:row>407</xdr:row>
      <xdr:rowOff>33618</xdr:rowOff>
    </xdr:from>
    <xdr:to>
      <xdr:col>10</xdr:col>
      <xdr:colOff>24606</xdr:colOff>
      <xdr:row>418</xdr:row>
      <xdr:rowOff>66676</xdr:rowOff>
    </xdr:to>
    <xdr:graphicFrame macro="">
      <xdr:nvGraphicFramePr>
        <xdr:cNvPr id="38" name="Tabla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31750</xdr:colOff>
      <xdr:row>437</xdr:row>
      <xdr:rowOff>0</xdr:rowOff>
    </xdr:from>
    <xdr:to>
      <xdr:col>10</xdr:col>
      <xdr:colOff>24606</xdr:colOff>
      <xdr:row>448</xdr:row>
      <xdr:rowOff>66676</xdr:rowOff>
    </xdr:to>
    <xdr:graphicFrame macro="">
      <xdr:nvGraphicFramePr>
        <xdr:cNvPr id="39" name="Tabla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31750</xdr:colOff>
      <xdr:row>467</xdr:row>
      <xdr:rowOff>11205</xdr:rowOff>
    </xdr:from>
    <xdr:to>
      <xdr:col>10</xdr:col>
      <xdr:colOff>12699</xdr:colOff>
      <xdr:row>478</xdr:row>
      <xdr:rowOff>66676</xdr:rowOff>
    </xdr:to>
    <xdr:graphicFrame macro="">
      <xdr:nvGraphicFramePr>
        <xdr:cNvPr id="40" name="Tabla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31750</xdr:colOff>
      <xdr:row>497</xdr:row>
      <xdr:rowOff>67235</xdr:rowOff>
    </xdr:from>
    <xdr:to>
      <xdr:col>10</xdr:col>
      <xdr:colOff>12700</xdr:colOff>
      <xdr:row>508</xdr:row>
      <xdr:rowOff>66676</xdr:rowOff>
    </xdr:to>
    <xdr:graphicFrame macro="">
      <xdr:nvGraphicFramePr>
        <xdr:cNvPr id="41" name="Tabla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31750</xdr:colOff>
      <xdr:row>526</xdr:row>
      <xdr:rowOff>164587</xdr:rowOff>
    </xdr:from>
    <xdr:to>
      <xdr:col>10</xdr:col>
      <xdr:colOff>35811</xdr:colOff>
      <xdr:row>538</xdr:row>
      <xdr:rowOff>86286</xdr:rowOff>
    </xdr:to>
    <xdr:graphicFrame macro="">
      <xdr:nvGraphicFramePr>
        <xdr:cNvPr id="42" name="Tabla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31750</xdr:colOff>
      <xdr:row>557</xdr:row>
      <xdr:rowOff>67234</xdr:rowOff>
    </xdr:from>
    <xdr:to>
      <xdr:col>10</xdr:col>
      <xdr:colOff>48418</xdr:colOff>
      <xdr:row>568</xdr:row>
      <xdr:rowOff>66675</xdr:rowOff>
    </xdr:to>
    <xdr:graphicFrame macro="">
      <xdr:nvGraphicFramePr>
        <xdr:cNvPr id="43" name="Tabla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31750</xdr:colOff>
      <xdr:row>586</xdr:row>
      <xdr:rowOff>112059</xdr:rowOff>
    </xdr:from>
    <xdr:to>
      <xdr:col>10</xdr:col>
      <xdr:colOff>5555</xdr:colOff>
      <xdr:row>598</xdr:row>
      <xdr:rowOff>66676</xdr:rowOff>
    </xdr:to>
    <xdr:graphicFrame macro="">
      <xdr:nvGraphicFramePr>
        <xdr:cNvPr id="44" name="Tabla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31750</xdr:colOff>
      <xdr:row>616</xdr:row>
      <xdr:rowOff>112059</xdr:rowOff>
    </xdr:from>
    <xdr:to>
      <xdr:col>10</xdr:col>
      <xdr:colOff>24606</xdr:colOff>
      <xdr:row>628</xdr:row>
      <xdr:rowOff>66676</xdr:rowOff>
    </xdr:to>
    <xdr:graphicFrame macro="">
      <xdr:nvGraphicFramePr>
        <xdr:cNvPr id="31" name="Tabla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31750</xdr:colOff>
      <xdr:row>646</xdr:row>
      <xdr:rowOff>112059</xdr:rowOff>
    </xdr:from>
    <xdr:to>
      <xdr:col>9</xdr:col>
      <xdr:colOff>965200</xdr:colOff>
      <xdr:row>658</xdr:row>
      <xdr:rowOff>66676</xdr:rowOff>
    </xdr:to>
    <xdr:graphicFrame macro="">
      <xdr:nvGraphicFramePr>
        <xdr:cNvPr id="32" name="Tabla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31750</xdr:colOff>
      <xdr:row>676</xdr:row>
      <xdr:rowOff>112059</xdr:rowOff>
    </xdr:from>
    <xdr:to>
      <xdr:col>10</xdr:col>
      <xdr:colOff>36511</xdr:colOff>
      <xdr:row>688</xdr:row>
      <xdr:rowOff>66676</xdr:rowOff>
    </xdr:to>
    <xdr:graphicFrame macro="">
      <xdr:nvGraphicFramePr>
        <xdr:cNvPr id="33" name="Tabla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31750</xdr:colOff>
      <xdr:row>706</xdr:row>
      <xdr:rowOff>112059</xdr:rowOff>
    </xdr:from>
    <xdr:to>
      <xdr:col>10</xdr:col>
      <xdr:colOff>12699</xdr:colOff>
      <xdr:row>718</xdr:row>
      <xdr:rowOff>66676</xdr:rowOff>
    </xdr:to>
    <xdr:graphicFrame macro="">
      <xdr:nvGraphicFramePr>
        <xdr:cNvPr id="45" name="Tabla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31750</xdr:colOff>
      <xdr:row>736</xdr:row>
      <xdr:rowOff>112059</xdr:rowOff>
    </xdr:from>
    <xdr:to>
      <xdr:col>10</xdr:col>
      <xdr:colOff>24606</xdr:colOff>
      <xdr:row>748</xdr:row>
      <xdr:rowOff>66676</xdr:rowOff>
    </xdr:to>
    <xdr:graphicFrame macro="">
      <xdr:nvGraphicFramePr>
        <xdr:cNvPr id="46" name="Tabla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31750</xdr:colOff>
      <xdr:row>766</xdr:row>
      <xdr:rowOff>112059</xdr:rowOff>
    </xdr:from>
    <xdr:to>
      <xdr:col>10</xdr:col>
      <xdr:colOff>12700</xdr:colOff>
      <xdr:row>778</xdr:row>
      <xdr:rowOff>66676</xdr:rowOff>
    </xdr:to>
    <xdr:graphicFrame macro="">
      <xdr:nvGraphicFramePr>
        <xdr:cNvPr id="47" name="Tabla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31750</xdr:colOff>
      <xdr:row>796</xdr:row>
      <xdr:rowOff>112059</xdr:rowOff>
    </xdr:from>
    <xdr:to>
      <xdr:col>10</xdr:col>
      <xdr:colOff>36511</xdr:colOff>
      <xdr:row>808</xdr:row>
      <xdr:rowOff>66676</xdr:rowOff>
    </xdr:to>
    <xdr:graphicFrame macro="">
      <xdr:nvGraphicFramePr>
        <xdr:cNvPr id="48" name="Tabla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31750</xdr:colOff>
      <xdr:row>826</xdr:row>
      <xdr:rowOff>112059</xdr:rowOff>
    </xdr:from>
    <xdr:to>
      <xdr:col>10</xdr:col>
      <xdr:colOff>24605</xdr:colOff>
      <xdr:row>838</xdr:row>
      <xdr:rowOff>66676</xdr:rowOff>
    </xdr:to>
    <xdr:graphicFrame macro="">
      <xdr:nvGraphicFramePr>
        <xdr:cNvPr id="49" name="Tabla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31750</xdr:colOff>
      <xdr:row>856</xdr:row>
      <xdr:rowOff>112059</xdr:rowOff>
    </xdr:from>
    <xdr:to>
      <xdr:col>10</xdr:col>
      <xdr:colOff>12699</xdr:colOff>
      <xdr:row>868</xdr:row>
      <xdr:rowOff>66676</xdr:rowOff>
    </xdr:to>
    <xdr:graphicFrame macro="">
      <xdr:nvGraphicFramePr>
        <xdr:cNvPr id="50" name="Tabla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</xdr:col>
      <xdr:colOff>31750</xdr:colOff>
      <xdr:row>886</xdr:row>
      <xdr:rowOff>112059</xdr:rowOff>
    </xdr:from>
    <xdr:to>
      <xdr:col>10</xdr:col>
      <xdr:colOff>24605</xdr:colOff>
      <xdr:row>898</xdr:row>
      <xdr:rowOff>66676</xdr:rowOff>
    </xdr:to>
    <xdr:graphicFrame macro="">
      <xdr:nvGraphicFramePr>
        <xdr:cNvPr id="51" name="Tabla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283100</xdr:colOff>
      <xdr:row>2</xdr:row>
      <xdr:rowOff>26195</xdr:rowOff>
    </xdr:from>
    <xdr:to>
      <xdr:col>5</xdr:col>
      <xdr:colOff>730776</xdr:colOff>
      <xdr:row>7</xdr:row>
      <xdr:rowOff>71439</xdr:rowOff>
    </xdr:to>
    <xdr:grpSp>
      <xdr:nvGrpSpPr>
        <xdr:cNvPr id="59" name="CH"/>
        <xdr:cNvGrpSpPr>
          <a:grpSpLocks noChangeAspect="1"/>
        </xdr:cNvGrpSpPr>
      </xdr:nvGrpSpPr>
      <xdr:grpSpPr bwMode="auto">
        <a:xfrm>
          <a:off x="4150250" y="388145"/>
          <a:ext cx="1419226" cy="950119"/>
          <a:chOff x="55" y="33"/>
          <a:chExt cx="149" cy="100"/>
        </a:xfrm>
      </xdr:grpSpPr>
      <xdr:sp macro="" textlink="">
        <xdr:nvSpPr>
          <xdr:cNvPr id="60" name="AutoShape 2"/>
          <xdr:cNvSpPr>
            <a:spLocks noChangeAspect="1" noChangeArrowheads="1" noTextEdit="1"/>
          </xdr:cNvSpPr>
        </xdr:nvSpPr>
        <xdr:spPr bwMode="auto">
          <a:xfrm>
            <a:off x="55" y="33"/>
            <a:ext cx="149" cy="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61" name="60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51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1" name="70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51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2" name="71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3" name="72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4" name="Freeform 10"/>
          <xdr:cNvSpPr>
            <a:spLocks/>
          </xdr:cNvSpPr>
        </xdr:nvSpPr>
        <xdr:spPr bwMode="auto">
          <a:xfrm>
            <a:off x="66" y="90"/>
            <a:ext cx="30" cy="3"/>
          </a:xfrm>
          <a:custGeom>
            <a:avLst/>
            <a:gdLst>
              <a:gd name="T0" fmla="*/ 24 w 576"/>
              <a:gd name="T1" fmla="*/ 0 h 48"/>
              <a:gd name="T2" fmla="*/ 552 w 576"/>
              <a:gd name="T3" fmla="*/ 0 h 48"/>
              <a:gd name="T4" fmla="*/ 576 w 576"/>
              <a:gd name="T5" fmla="*/ 24 h 48"/>
              <a:gd name="T6" fmla="*/ 552 w 576"/>
              <a:gd name="T7" fmla="*/ 48 h 48"/>
              <a:gd name="T8" fmla="*/ 24 w 576"/>
              <a:gd name="T9" fmla="*/ 48 h 48"/>
              <a:gd name="T10" fmla="*/ 0 w 576"/>
              <a:gd name="T11" fmla="*/ 24 h 48"/>
              <a:gd name="T12" fmla="*/ 24 w 576"/>
              <a:gd name="T13" fmla="*/ 0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576" h="48">
                <a:moveTo>
                  <a:pt x="24" y="0"/>
                </a:moveTo>
                <a:lnTo>
                  <a:pt x="552" y="0"/>
                </a:lnTo>
                <a:cubicBezTo>
                  <a:pt x="566" y="0"/>
                  <a:pt x="576" y="11"/>
                  <a:pt x="576" y="24"/>
                </a:cubicBezTo>
                <a:cubicBezTo>
                  <a:pt x="576" y="38"/>
                  <a:pt x="566" y="48"/>
                  <a:pt x="552" y="48"/>
                </a:cubicBezTo>
                <a:lnTo>
                  <a:pt x="24" y="48"/>
                </a:lnTo>
                <a:cubicBezTo>
                  <a:pt x="11" y="48"/>
                  <a:pt x="0" y="38"/>
                  <a:pt x="0" y="24"/>
                </a:cubicBezTo>
                <a:cubicBezTo>
                  <a:pt x="0" y="11"/>
                  <a:pt x="11" y="0"/>
                  <a:pt x="24" y="0"/>
                </a:cubicBezTo>
                <a:close/>
              </a:path>
            </a:pathLst>
          </a:custGeom>
          <a:solidFill>
            <a:srgbClr val="632523"/>
          </a:solidFill>
          <a:ln w="9525" cap="flat">
            <a:solidFill>
              <a:srgbClr val="632523"/>
            </a:solidFill>
            <a:prstDash val="solid"/>
            <a:bevel/>
            <a:headEnd/>
            <a:tailEnd/>
          </a:ln>
        </xdr:spPr>
      </xdr:sp>
      <xdr:sp macro="" textlink="">
        <xdr:nvSpPr>
          <xdr:cNvPr id="75" name="Freeform 12"/>
          <xdr:cNvSpPr>
            <a:spLocks noEditPoints="1"/>
          </xdr:cNvSpPr>
        </xdr:nvSpPr>
        <xdr:spPr bwMode="auto">
          <a:xfrm>
            <a:off x="66" y="109"/>
            <a:ext cx="30" cy="2"/>
          </a:xfrm>
          <a:custGeom>
            <a:avLst/>
            <a:gdLst>
              <a:gd name="T0" fmla="*/ 16 w 576"/>
              <a:gd name="T1" fmla="*/ 0 h 32"/>
              <a:gd name="T2" fmla="*/ 80 w 576"/>
              <a:gd name="T3" fmla="*/ 0 h 32"/>
              <a:gd name="T4" fmla="*/ 96 w 576"/>
              <a:gd name="T5" fmla="*/ 16 h 32"/>
              <a:gd name="T6" fmla="*/ 80 w 576"/>
              <a:gd name="T7" fmla="*/ 32 h 32"/>
              <a:gd name="T8" fmla="*/ 16 w 576"/>
              <a:gd name="T9" fmla="*/ 32 h 32"/>
              <a:gd name="T10" fmla="*/ 0 w 576"/>
              <a:gd name="T11" fmla="*/ 16 h 32"/>
              <a:gd name="T12" fmla="*/ 16 w 576"/>
              <a:gd name="T13" fmla="*/ 0 h 32"/>
              <a:gd name="T14" fmla="*/ 144 w 576"/>
              <a:gd name="T15" fmla="*/ 0 h 32"/>
              <a:gd name="T16" fmla="*/ 208 w 576"/>
              <a:gd name="T17" fmla="*/ 0 h 32"/>
              <a:gd name="T18" fmla="*/ 224 w 576"/>
              <a:gd name="T19" fmla="*/ 16 h 32"/>
              <a:gd name="T20" fmla="*/ 208 w 576"/>
              <a:gd name="T21" fmla="*/ 32 h 32"/>
              <a:gd name="T22" fmla="*/ 144 w 576"/>
              <a:gd name="T23" fmla="*/ 32 h 32"/>
              <a:gd name="T24" fmla="*/ 128 w 576"/>
              <a:gd name="T25" fmla="*/ 16 h 32"/>
              <a:gd name="T26" fmla="*/ 144 w 576"/>
              <a:gd name="T27" fmla="*/ 0 h 32"/>
              <a:gd name="T28" fmla="*/ 272 w 576"/>
              <a:gd name="T29" fmla="*/ 0 h 32"/>
              <a:gd name="T30" fmla="*/ 336 w 576"/>
              <a:gd name="T31" fmla="*/ 0 h 32"/>
              <a:gd name="T32" fmla="*/ 352 w 576"/>
              <a:gd name="T33" fmla="*/ 16 h 32"/>
              <a:gd name="T34" fmla="*/ 336 w 576"/>
              <a:gd name="T35" fmla="*/ 32 h 32"/>
              <a:gd name="T36" fmla="*/ 272 w 576"/>
              <a:gd name="T37" fmla="*/ 32 h 32"/>
              <a:gd name="T38" fmla="*/ 256 w 576"/>
              <a:gd name="T39" fmla="*/ 16 h 32"/>
              <a:gd name="T40" fmla="*/ 272 w 576"/>
              <a:gd name="T41" fmla="*/ 0 h 32"/>
              <a:gd name="T42" fmla="*/ 400 w 576"/>
              <a:gd name="T43" fmla="*/ 0 h 32"/>
              <a:gd name="T44" fmla="*/ 464 w 576"/>
              <a:gd name="T45" fmla="*/ 0 h 32"/>
              <a:gd name="T46" fmla="*/ 480 w 576"/>
              <a:gd name="T47" fmla="*/ 16 h 32"/>
              <a:gd name="T48" fmla="*/ 464 w 576"/>
              <a:gd name="T49" fmla="*/ 32 h 32"/>
              <a:gd name="T50" fmla="*/ 400 w 576"/>
              <a:gd name="T51" fmla="*/ 32 h 32"/>
              <a:gd name="T52" fmla="*/ 384 w 576"/>
              <a:gd name="T53" fmla="*/ 16 h 32"/>
              <a:gd name="T54" fmla="*/ 400 w 576"/>
              <a:gd name="T55" fmla="*/ 0 h 32"/>
              <a:gd name="T56" fmla="*/ 528 w 576"/>
              <a:gd name="T57" fmla="*/ 0 h 32"/>
              <a:gd name="T58" fmla="*/ 560 w 576"/>
              <a:gd name="T59" fmla="*/ 0 h 32"/>
              <a:gd name="T60" fmla="*/ 576 w 576"/>
              <a:gd name="T61" fmla="*/ 16 h 32"/>
              <a:gd name="T62" fmla="*/ 560 w 576"/>
              <a:gd name="T63" fmla="*/ 32 h 32"/>
              <a:gd name="T64" fmla="*/ 528 w 576"/>
              <a:gd name="T65" fmla="*/ 32 h 32"/>
              <a:gd name="T66" fmla="*/ 512 w 576"/>
              <a:gd name="T67" fmla="*/ 16 h 32"/>
              <a:gd name="T68" fmla="*/ 528 w 576"/>
              <a:gd name="T69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76" h="32">
                <a:moveTo>
                  <a:pt x="16" y="0"/>
                </a:moveTo>
                <a:lnTo>
                  <a:pt x="80" y="0"/>
                </a:lnTo>
                <a:cubicBezTo>
                  <a:pt x="89" y="0"/>
                  <a:pt x="96" y="8"/>
                  <a:pt x="96" y="16"/>
                </a:cubicBezTo>
                <a:cubicBezTo>
                  <a:pt x="96" y="25"/>
                  <a:pt x="89" y="32"/>
                  <a:pt x="80" y="32"/>
                </a:cubicBezTo>
                <a:lnTo>
                  <a:pt x="16" y="32"/>
                </a:lnTo>
                <a:cubicBezTo>
                  <a:pt x="8" y="32"/>
                  <a:pt x="0" y="25"/>
                  <a:pt x="0" y="16"/>
                </a:cubicBezTo>
                <a:cubicBezTo>
                  <a:pt x="0" y="8"/>
                  <a:pt x="8" y="0"/>
                  <a:pt x="16" y="0"/>
                </a:cubicBezTo>
                <a:close/>
                <a:moveTo>
                  <a:pt x="144" y="0"/>
                </a:moveTo>
                <a:lnTo>
                  <a:pt x="208" y="0"/>
                </a:lnTo>
                <a:cubicBezTo>
                  <a:pt x="217" y="0"/>
                  <a:pt x="224" y="8"/>
                  <a:pt x="224" y="16"/>
                </a:cubicBezTo>
                <a:cubicBezTo>
                  <a:pt x="224" y="25"/>
                  <a:pt x="217" y="32"/>
                  <a:pt x="208" y="32"/>
                </a:cubicBezTo>
                <a:lnTo>
                  <a:pt x="144" y="32"/>
                </a:lnTo>
                <a:cubicBezTo>
                  <a:pt x="136" y="32"/>
                  <a:pt x="128" y="25"/>
                  <a:pt x="128" y="16"/>
                </a:cubicBezTo>
                <a:cubicBezTo>
                  <a:pt x="128" y="8"/>
                  <a:pt x="136" y="0"/>
                  <a:pt x="144" y="0"/>
                </a:cubicBezTo>
                <a:close/>
                <a:moveTo>
                  <a:pt x="272" y="0"/>
                </a:moveTo>
                <a:lnTo>
                  <a:pt x="336" y="0"/>
                </a:lnTo>
                <a:cubicBezTo>
                  <a:pt x="345" y="0"/>
                  <a:pt x="352" y="8"/>
                  <a:pt x="352" y="16"/>
                </a:cubicBezTo>
                <a:cubicBezTo>
                  <a:pt x="352" y="25"/>
                  <a:pt x="345" y="32"/>
                  <a:pt x="336" y="32"/>
                </a:cubicBezTo>
                <a:lnTo>
                  <a:pt x="272" y="32"/>
                </a:lnTo>
                <a:cubicBezTo>
                  <a:pt x="264" y="32"/>
                  <a:pt x="256" y="25"/>
                  <a:pt x="256" y="16"/>
                </a:cubicBezTo>
                <a:cubicBezTo>
                  <a:pt x="256" y="8"/>
                  <a:pt x="264" y="0"/>
                  <a:pt x="272" y="0"/>
                </a:cubicBezTo>
                <a:close/>
                <a:moveTo>
                  <a:pt x="400" y="0"/>
                </a:moveTo>
                <a:lnTo>
                  <a:pt x="464" y="0"/>
                </a:lnTo>
                <a:cubicBezTo>
                  <a:pt x="473" y="0"/>
                  <a:pt x="480" y="8"/>
                  <a:pt x="480" y="16"/>
                </a:cubicBezTo>
                <a:cubicBezTo>
                  <a:pt x="480" y="25"/>
                  <a:pt x="473" y="32"/>
                  <a:pt x="464" y="32"/>
                </a:cubicBezTo>
                <a:lnTo>
                  <a:pt x="400" y="32"/>
                </a:lnTo>
                <a:cubicBezTo>
                  <a:pt x="392" y="32"/>
                  <a:pt x="384" y="25"/>
                  <a:pt x="384" y="16"/>
                </a:cubicBezTo>
                <a:cubicBezTo>
                  <a:pt x="384" y="8"/>
                  <a:pt x="392" y="0"/>
                  <a:pt x="400" y="0"/>
                </a:cubicBezTo>
                <a:close/>
                <a:moveTo>
                  <a:pt x="528" y="0"/>
                </a:moveTo>
                <a:lnTo>
                  <a:pt x="560" y="0"/>
                </a:lnTo>
                <a:cubicBezTo>
                  <a:pt x="569" y="0"/>
                  <a:pt x="576" y="8"/>
                  <a:pt x="576" y="16"/>
                </a:cubicBezTo>
                <a:cubicBezTo>
                  <a:pt x="576" y="25"/>
                  <a:pt x="569" y="32"/>
                  <a:pt x="560" y="32"/>
                </a:cubicBezTo>
                <a:lnTo>
                  <a:pt x="528" y="32"/>
                </a:lnTo>
                <a:cubicBezTo>
                  <a:pt x="520" y="32"/>
                  <a:pt x="512" y="25"/>
                  <a:pt x="512" y="16"/>
                </a:cubicBezTo>
                <a:cubicBezTo>
                  <a:pt x="512" y="8"/>
                  <a:pt x="520" y="0"/>
                  <a:pt x="528" y="0"/>
                </a:cubicBez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  <xdr:sp macro="" textlink="">
        <xdr:nvSpPr>
          <xdr:cNvPr id="76" name="Oval 13"/>
          <xdr:cNvSpPr>
            <a:spLocks noChangeArrowheads="1"/>
          </xdr:cNvSpPr>
        </xdr:nvSpPr>
        <xdr:spPr bwMode="auto">
          <a:xfrm>
            <a:off x="79" y="107"/>
            <a:ext cx="5" cy="6"/>
          </a:xfrm>
          <a:prstGeom prst="ellipse">
            <a:avLst/>
          </a:pr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77" name="Freeform 14"/>
          <xdr:cNvSpPr>
            <a:spLocks noEditPoints="1"/>
          </xdr:cNvSpPr>
        </xdr:nvSpPr>
        <xdr:spPr bwMode="auto">
          <a:xfrm>
            <a:off x="78" y="106"/>
            <a:ext cx="6" cy="8"/>
          </a:xfrm>
          <a:custGeom>
            <a:avLst/>
            <a:gdLst>
              <a:gd name="T0" fmla="*/ 128 w 129"/>
              <a:gd name="T1" fmla="*/ 75 h 145"/>
              <a:gd name="T2" fmla="*/ 122 w 129"/>
              <a:gd name="T3" fmla="*/ 102 h 145"/>
              <a:gd name="T4" fmla="*/ 108 w 129"/>
              <a:gd name="T5" fmla="*/ 125 h 145"/>
              <a:gd name="T6" fmla="*/ 87 w 129"/>
              <a:gd name="T7" fmla="*/ 140 h 145"/>
              <a:gd name="T8" fmla="*/ 61 w 129"/>
              <a:gd name="T9" fmla="*/ 144 h 145"/>
              <a:gd name="T10" fmla="*/ 37 w 129"/>
              <a:gd name="T11" fmla="*/ 137 h 145"/>
              <a:gd name="T12" fmla="*/ 16 w 129"/>
              <a:gd name="T13" fmla="*/ 120 h 145"/>
              <a:gd name="T14" fmla="*/ 5 w 129"/>
              <a:gd name="T15" fmla="*/ 97 h 145"/>
              <a:gd name="T16" fmla="*/ 1 w 129"/>
              <a:gd name="T17" fmla="*/ 69 h 145"/>
              <a:gd name="T18" fmla="*/ 6 w 129"/>
              <a:gd name="T19" fmla="*/ 44 h 145"/>
              <a:gd name="T20" fmla="*/ 21 w 129"/>
              <a:gd name="T21" fmla="*/ 21 h 145"/>
              <a:gd name="T22" fmla="*/ 42 w 129"/>
              <a:gd name="T23" fmla="*/ 6 h 145"/>
              <a:gd name="T24" fmla="*/ 69 w 129"/>
              <a:gd name="T25" fmla="*/ 1 h 145"/>
              <a:gd name="T26" fmla="*/ 93 w 129"/>
              <a:gd name="T27" fmla="*/ 9 h 145"/>
              <a:gd name="T28" fmla="*/ 112 w 129"/>
              <a:gd name="T29" fmla="*/ 26 h 145"/>
              <a:gd name="T30" fmla="*/ 124 w 129"/>
              <a:gd name="T31" fmla="*/ 48 h 145"/>
              <a:gd name="T32" fmla="*/ 93 w 129"/>
              <a:gd name="T33" fmla="*/ 54 h 145"/>
              <a:gd name="T34" fmla="*/ 84 w 129"/>
              <a:gd name="T35" fmla="*/ 41 h 145"/>
              <a:gd name="T36" fmla="*/ 73 w 129"/>
              <a:gd name="T37" fmla="*/ 34 h 145"/>
              <a:gd name="T38" fmla="*/ 60 w 129"/>
              <a:gd name="T39" fmla="*/ 32 h 145"/>
              <a:gd name="T40" fmla="*/ 51 w 129"/>
              <a:gd name="T41" fmla="*/ 37 h 145"/>
              <a:gd name="T42" fmla="*/ 40 w 129"/>
              <a:gd name="T43" fmla="*/ 46 h 145"/>
              <a:gd name="T44" fmla="*/ 34 w 129"/>
              <a:gd name="T45" fmla="*/ 59 h 145"/>
              <a:gd name="T46" fmla="*/ 32 w 129"/>
              <a:gd name="T47" fmla="*/ 75 h 145"/>
              <a:gd name="T48" fmla="*/ 36 w 129"/>
              <a:gd name="T49" fmla="*/ 92 h 145"/>
              <a:gd name="T50" fmla="*/ 44 w 129"/>
              <a:gd name="T51" fmla="*/ 105 h 145"/>
              <a:gd name="T52" fmla="*/ 56 w 129"/>
              <a:gd name="T53" fmla="*/ 112 h 145"/>
              <a:gd name="T54" fmla="*/ 68 w 129"/>
              <a:gd name="T55" fmla="*/ 113 h 145"/>
              <a:gd name="T56" fmla="*/ 80 w 129"/>
              <a:gd name="T57" fmla="*/ 109 h 145"/>
              <a:gd name="T58" fmla="*/ 88 w 129"/>
              <a:gd name="T59" fmla="*/ 100 h 145"/>
              <a:gd name="T60" fmla="*/ 94 w 129"/>
              <a:gd name="T61" fmla="*/ 87 h 145"/>
              <a:gd name="T62" fmla="*/ 97 w 129"/>
              <a:gd name="T63" fmla="*/ 70 h 145"/>
              <a:gd name="T64" fmla="*/ 93 w 129"/>
              <a:gd name="T65" fmla="*/ 54 h 14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129" h="145">
                <a:moveTo>
                  <a:pt x="128" y="69"/>
                </a:moveTo>
                <a:cubicBezTo>
                  <a:pt x="129" y="71"/>
                  <a:pt x="129" y="73"/>
                  <a:pt x="128" y="75"/>
                </a:cubicBezTo>
                <a:lnTo>
                  <a:pt x="124" y="97"/>
                </a:lnTo>
                <a:cubicBezTo>
                  <a:pt x="124" y="99"/>
                  <a:pt x="123" y="101"/>
                  <a:pt x="122" y="102"/>
                </a:cubicBezTo>
                <a:lnTo>
                  <a:pt x="112" y="120"/>
                </a:lnTo>
                <a:cubicBezTo>
                  <a:pt x="111" y="122"/>
                  <a:pt x="110" y="124"/>
                  <a:pt x="108" y="125"/>
                </a:cubicBezTo>
                <a:lnTo>
                  <a:pt x="93" y="137"/>
                </a:lnTo>
                <a:cubicBezTo>
                  <a:pt x="92" y="139"/>
                  <a:pt x="89" y="140"/>
                  <a:pt x="87" y="140"/>
                </a:cubicBezTo>
                <a:lnTo>
                  <a:pt x="68" y="144"/>
                </a:lnTo>
                <a:cubicBezTo>
                  <a:pt x="66" y="145"/>
                  <a:pt x="63" y="145"/>
                  <a:pt x="61" y="144"/>
                </a:cubicBezTo>
                <a:lnTo>
                  <a:pt x="43" y="140"/>
                </a:lnTo>
                <a:cubicBezTo>
                  <a:pt x="41" y="140"/>
                  <a:pt x="39" y="139"/>
                  <a:pt x="37" y="137"/>
                </a:cubicBezTo>
                <a:lnTo>
                  <a:pt x="21" y="125"/>
                </a:lnTo>
                <a:cubicBezTo>
                  <a:pt x="19" y="124"/>
                  <a:pt x="18" y="122"/>
                  <a:pt x="16" y="120"/>
                </a:cubicBezTo>
                <a:lnTo>
                  <a:pt x="6" y="102"/>
                </a:lnTo>
                <a:cubicBezTo>
                  <a:pt x="6" y="101"/>
                  <a:pt x="5" y="99"/>
                  <a:pt x="5" y="97"/>
                </a:cubicBezTo>
                <a:lnTo>
                  <a:pt x="1" y="75"/>
                </a:lnTo>
                <a:cubicBezTo>
                  <a:pt x="0" y="73"/>
                  <a:pt x="0" y="71"/>
                  <a:pt x="1" y="69"/>
                </a:cubicBezTo>
                <a:lnTo>
                  <a:pt x="5" y="48"/>
                </a:lnTo>
                <a:cubicBezTo>
                  <a:pt x="5" y="47"/>
                  <a:pt x="6" y="45"/>
                  <a:pt x="6" y="44"/>
                </a:cubicBezTo>
                <a:lnTo>
                  <a:pt x="16" y="26"/>
                </a:lnTo>
                <a:cubicBezTo>
                  <a:pt x="18" y="24"/>
                  <a:pt x="19" y="22"/>
                  <a:pt x="21" y="21"/>
                </a:cubicBezTo>
                <a:lnTo>
                  <a:pt x="37" y="9"/>
                </a:lnTo>
                <a:cubicBezTo>
                  <a:pt x="38" y="7"/>
                  <a:pt x="40" y="7"/>
                  <a:pt x="42" y="6"/>
                </a:cubicBezTo>
                <a:lnTo>
                  <a:pt x="60" y="1"/>
                </a:lnTo>
                <a:cubicBezTo>
                  <a:pt x="63" y="0"/>
                  <a:pt x="66" y="0"/>
                  <a:pt x="69" y="1"/>
                </a:cubicBezTo>
                <a:lnTo>
                  <a:pt x="88" y="6"/>
                </a:lnTo>
                <a:cubicBezTo>
                  <a:pt x="90" y="7"/>
                  <a:pt x="92" y="8"/>
                  <a:pt x="93" y="9"/>
                </a:cubicBezTo>
                <a:lnTo>
                  <a:pt x="108" y="21"/>
                </a:lnTo>
                <a:cubicBezTo>
                  <a:pt x="110" y="22"/>
                  <a:pt x="111" y="24"/>
                  <a:pt x="112" y="26"/>
                </a:cubicBezTo>
                <a:lnTo>
                  <a:pt x="122" y="44"/>
                </a:lnTo>
                <a:cubicBezTo>
                  <a:pt x="123" y="45"/>
                  <a:pt x="124" y="47"/>
                  <a:pt x="124" y="48"/>
                </a:cubicBezTo>
                <a:lnTo>
                  <a:pt x="128" y="69"/>
                </a:lnTo>
                <a:close/>
                <a:moveTo>
                  <a:pt x="93" y="54"/>
                </a:moveTo>
                <a:lnTo>
                  <a:pt x="94" y="59"/>
                </a:lnTo>
                <a:lnTo>
                  <a:pt x="84" y="41"/>
                </a:lnTo>
                <a:lnTo>
                  <a:pt x="88" y="46"/>
                </a:lnTo>
                <a:lnTo>
                  <a:pt x="73" y="34"/>
                </a:lnTo>
                <a:lnTo>
                  <a:pt x="79" y="37"/>
                </a:lnTo>
                <a:lnTo>
                  <a:pt x="60" y="32"/>
                </a:lnTo>
                <a:lnTo>
                  <a:pt x="69" y="32"/>
                </a:lnTo>
                <a:lnTo>
                  <a:pt x="51" y="37"/>
                </a:lnTo>
                <a:lnTo>
                  <a:pt x="56" y="34"/>
                </a:lnTo>
                <a:lnTo>
                  <a:pt x="40" y="46"/>
                </a:lnTo>
                <a:lnTo>
                  <a:pt x="44" y="41"/>
                </a:lnTo>
                <a:lnTo>
                  <a:pt x="34" y="59"/>
                </a:lnTo>
                <a:lnTo>
                  <a:pt x="36" y="54"/>
                </a:lnTo>
                <a:lnTo>
                  <a:pt x="32" y="75"/>
                </a:lnTo>
                <a:lnTo>
                  <a:pt x="32" y="70"/>
                </a:lnTo>
                <a:lnTo>
                  <a:pt x="36" y="92"/>
                </a:lnTo>
                <a:lnTo>
                  <a:pt x="34" y="87"/>
                </a:lnTo>
                <a:lnTo>
                  <a:pt x="44" y="105"/>
                </a:lnTo>
                <a:lnTo>
                  <a:pt x="40" y="100"/>
                </a:lnTo>
                <a:lnTo>
                  <a:pt x="56" y="112"/>
                </a:lnTo>
                <a:lnTo>
                  <a:pt x="50" y="109"/>
                </a:lnTo>
                <a:lnTo>
                  <a:pt x="68" y="113"/>
                </a:lnTo>
                <a:lnTo>
                  <a:pt x="61" y="113"/>
                </a:lnTo>
                <a:lnTo>
                  <a:pt x="80" y="109"/>
                </a:lnTo>
                <a:lnTo>
                  <a:pt x="73" y="112"/>
                </a:lnTo>
                <a:lnTo>
                  <a:pt x="88" y="100"/>
                </a:lnTo>
                <a:lnTo>
                  <a:pt x="84" y="105"/>
                </a:lnTo>
                <a:lnTo>
                  <a:pt x="94" y="87"/>
                </a:lnTo>
                <a:lnTo>
                  <a:pt x="93" y="92"/>
                </a:lnTo>
                <a:lnTo>
                  <a:pt x="97" y="70"/>
                </a:lnTo>
                <a:lnTo>
                  <a:pt x="97" y="75"/>
                </a:lnTo>
                <a:lnTo>
                  <a:pt x="93" y="54"/>
                </a:ln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</xdr:grpSp>
    <xdr:clientData/>
  </xdr:twoCellAnchor>
  <xdr:twoCellAnchor>
    <xdr:from>
      <xdr:col>6</xdr:col>
      <xdr:colOff>261937</xdr:colOff>
      <xdr:row>2</xdr:row>
      <xdr:rowOff>26195</xdr:rowOff>
    </xdr:from>
    <xdr:to>
      <xdr:col>7</xdr:col>
      <xdr:colOff>709613</xdr:colOff>
      <xdr:row>7</xdr:row>
      <xdr:rowOff>71439</xdr:rowOff>
    </xdr:to>
    <xdr:grpSp>
      <xdr:nvGrpSpPr>
        <xdr:cNvPr id="78" name="CH"/>
        <xdr:cNvGrpSpPr>
          <a:grpSpLocks noChangeAspect="1"/>
        </xdr:cNvGrpSpPr>
      </xdr:nvGrpSpPr>
      <xdr:grpSpPr bwMode="auto">
        <a:xfrm>
          <a:off x="6072187" y="388145"/>
          <a:ext cx="1419226" cy="950119"/>
          <a:chOff x="55" y="33"/>
          <a:chExt cx="149" cy="100"/>
        </a:xfrm>
      </xdr:grpSpPr>
      <xdr:sp macro="" textlink="">
        <xdr:nvSpPr>
          <xdr:cNvPr id="79" name="AutoShape 2"/>
          <xdr:cNvSpPr>
            <a:spLocks noChangeAspect="1" noChangeArrowheads="1" noTextEdit="1"/>
          </xdr:cNvSpPr>
        </xdr:nvSpPr>
        <xdr:spPr bwMode="auto">
          <a:xfrm>
            <a:off x="55" y="33"/>
            <a:ext cx="149" cy="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80" name="79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1" name="80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82" name="Freeform 10"/>
          <xdr:cNvSpPr>
            <a:spLocks/>
          </xdr:cNvSpPr>
        </xdr:nvSpPr>
        <xdr:spPr bwMode="auto">
          <a:xfrm>
            <a:off x="66" y="90"/>
            <a:ext cx="30" cy="3"/>
          </a:xfrm>
          <a:custGeom>
            <a:avLst/>
            <a:gdLst>
              <a:gd name="T0" fmla="*/ 24 w 576"/>
              <a:gd name="T1" fmla="*/ 0 h 48"/>
              <a:gd name="T2" fmla="*/ 552 w 576"/>
              <a:gd name="T3" fmla="*/ 0 h 48"/>
              <a:gd name="T4" fmla="*/ 576 w 576"/>
              <a:gd name="T5" fmla="*/ 24 h 48"/>
              <a:gd name="T6" fmla="*/ 552 w 576"/>
              <a:gd name="T7" fmla="*/ 48 h 48"/>
              <a:gd name="T8" fmla="*/ 24 w 576"/>
              <a:gd name="T9" fmla="*/ 48 h 48"/>
              <a:gd name="T10" fmla="*/ 0 w 576"/>
              <a:gd name="T11" fmla="*/ 24 h 48"/>
              <a:gd name="T12" fmla="*/ 24 w 576"/>
              <a:gd name="T13" fmla="*/ 0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576" h="48">
                <a:moveTo>
                  <a:pt x="24" y="0"/>
                </a:moveTo>
                <a:lnTo>
                  <a:pt x="552" y="0"/>
                </a:lnTo>
                <a:cubicBezTo>
                  <a:pt x="566" y="0"/>
                  <a:pt x="576" y="11"/>
                  <a:pt x="576" y="24"/>
                </a:cubicBezTo>
                <a:cubicBezTo>
                  <a:pt x="576" y="38"/>
                  <a:pt x="566" y="48"/>
                  <a:pt x="552" y="48"/>
                </a:cubicBezTo>
                <a:lnTo>
                  <a:pt x="24" y="48"/>
                </a:lnTo>
                <a:cubicBezTo>
                  <a:pt x="11" y="48"/>
                  <a:pt x="0" y="38"/>
                  <a:pt x="0" y="24"/>
                </a:cubicBezTo>
                <a:cubicBezTo>
                  <a:pt x="0" y="11"/>
                  <a:pt x="11" y="0"/>
                  <a:pt x="24" y="0"/>
                </a:cubicBezTo>
                <a:close/>
              </a:path>
            </a:pathLst>
          </a:custGeom>
          <a:solidFill>
            <a:srgbClr val="632523"/>
          </a:solidFill>
          <a:ln w="9525" cap="flat">
            <a:solidFill>
              <a:srgbClr val="632523"/>
            </a:solidFill>
            <a:prstDash val="solid"/>
            <a:bevel/>
            <a:headEnd/>
            <a:tailEnd/>
          </a:ln>
        </xdr:spPr>
      </xdr:sp>
      <xdr:sp macro="" textlink="">
        <xdr:nvSpPr>
          <xdr:cNvPr id="83" name="Freeform 12"/>
          <xdr:cNvSpPr>
            <a:spLocks noEditPoints="1"/>
          </xdr:cNvSpPr>
        </xdr:nvSpPr>
        <xdr:spPr bwMode="auto">
          <a:xfrm>
            <a:off x="66" y="109"/>
            <a:ext cx="30" cy="2"/>
          </a:xfrm>
          <a:custGeom>
            <a:avLst/>
            <a:gdLst>
              <a:gd name="T0" fmla="*/ 16 w 576"/>
              <a:gd name="T1" fmla="*/ 0 h 32"/>
              <a:gd name="T2" fmla="*/ 80 w 576"/>
              <a:gd name="T3" fmla="*/ 0 h 32"/>
              <a:gd name="T4" fmla="*/ 96 w 576"/>
              <a:gd name="T5" fmla="*/ 16 h 32"/>
              <a:gd name="T6" fmla="*/ 80 w 576"/>
              <a:gd name="T7" fmla="*/ 32 h 32"/>
              <a:gd name="T8" fmla="*/ 16 w 576"/>
              <a:gd name="T9" fmla="*/ 32 h 32"/>
              <a:gd name="T10" fmla="*/ 0 w 576"/>
              <a:gd name="T11" fmla="*/ 16 h 32"/>
              <a:gd name="T12" fmla="*/ 16 w 576"/>
              <a:gd name="T13" fmla="*/ 0 h 32"/>
              <a:gd name="T14" fmla="*/ 144 w 576"/>
              <a:gd name="T15" fmla="*/ 0 h 32"/>
              <a:gd name="T16" fmla="*/ 208 w 576"/>
              <a:gd name="T17" fmla="*/ 0 h 32"/>
              <a:gd name="T18" fmla="*/ 224 w 576"/>
              <a:gd name="T19" fmla="*/ 16 h 32"/>
              <a:gd name="T20" fmla="*/ 208 w 576"/>
              <a:gd name="T21" fmla="*/ 32 h 32"/>
              <a:gd name="T22" fmla="*/ 144 w 576"/>
              <a:gd name="T23" fmla="*/ 32 h 32"/>
              <a:gd name="T24" fmla="*/ 128 w 576"/>
              <a:gd name="T25" fmla="*/ 16 h 32"/>
              <a:gd name="T26" fmla="*/ 144 w 576"/>
              <a:gd name="T27" fmla="*/ 0 h 32"/>
              <a:gd name="T28" fmla="*/ 272 w 576"/>
              <a:gd name="T29" fmla="*/ 0 h 32"/>
              <a:gd name="T30" fmla="*/ 336 w 576"/>
              <a:gd name="T31" fmla="*/ 0 h 32"/>
              <a:gd name="T32" fmla="*/ 352 w 576"/>
              <a:gd name="T33" fmla="*/ 16 h 32"/>
              <a:gd name="T34" fmla="*/ 336 w 576"/>
              <a:gd name="T35" fmla="*/ 32 h 32"/>
              <a:gd name="T36" fmla="*/ 272 w 576"/>
              <a:gd name="T37" fmla="*/ 32 h 32"/>
              <a:gd name="T38" fmla="*/ 256 w 576"/>
              <a:gd name="T39" fmla="*/ 16 h 32"/>
              <a:gd name="T40" fmla="*/ 272 w 576"/>
              <a:gd name="T41" fmla="*/ 0 h 32"/>
              <a:gd name="T42" fmla="*/ 400 w 576"/>
              <a:gd name="T43" fmla="*/ 0 h 32"/>
              <a:gd name="T44" fmla="*/ 464 w 576"/>
              <a:gd name="T45" fmla="*/ 0 h 32"/>
              <a:gd name="T46" fmla="*/ 480 w 576"/>
              <a:gd name="T47" fmla="*/ 16 h 32"/>
              <a:gd name="T48" fmla="*/ 464 w 576"/>
              <a:gd name="T49" fmla="*/ 32 h 32"/>
              <a:gd name="T50" fmla="*/ 400 w 576"/>
              <a:gd name="T51" fmla="*/ 32 h 32"/>
              <a:gd name="T52" fmla="*/ 384 w 576"/>
              <a:gd name="T53" fmla="*/ 16 h 32"/>
              <a:gd name="T54" fmla="*/ 400 w 576"/>
              <a:gd name="T55" fmla="*/ 0 h 32"/>
              <a:gd name="T56" fmla="*/ 528 w 576"/>
              <a:gd name="T57" fmla="*/ 0 h 32"/>
              <a:gd name="T58" fmla="*/ 560 w 576"/>
              <a:gd name="T59" fmla="*/ 0 h 32"/>
              <a:gd name="T60" fmla="*/ 576 w 576"/>
              <a:gd name="T61" fmla="*/ 16 h 32"/>
              <a:gd name="T62" fmla="*/ 560 w 576"/>
              <a:gd name="T63" fmla="*/ 32 h 32"/>
              <a:gd name="T64" fmla="*/ 528 w 576"/>
              <a:gd name="T65" fmla="*/ 32 h 32"/>
              <a:gd name="T66" fmla="*/ 512 w 576"/>
              <a:gd name="T67" fmla="*/ 16 h 32"/>
              <a:gd name="T68" fmla="*/ 528 w 576"/>
              <a:gd name="T69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76" h="32">
                <a:moveTo>
                  <a:pt x="16" y="0"/>
                </a:moveTo>
                <a:lnTo>
                  <a:pt x="80" y="0"/>
                </a:lnTo>
                <a:cubicBezTo>
                  <a:pt x="89" y="0"/>
                  <a:pt x="96" y="8"/>
                  <a:pt x="96" y="16"/>
                </a:cubicBezTo>
                <a:cubicBezTo>
                  <a:pt x="96" y="25"/>
                  <a:pt x="89" y="32"/>
                  <a:pt x="80" y="32"/>
                </a:cubicBezTo>
                <a:lnTo>
                  <a:pt x="16" y="32"/>
                </a:lnTo>
                <a:cubicBezTo>
                  <a:pt x="8" y="32"/>
                  <a:pt x="0" y="25"/>
                  <a:pt x="0" y="16"/>
                </a:cubicBezTo>
                <a:cubicBezTo>
                  <a:pt x="0" y="8"/>
                  <a:pt x="8" y="0"/>
                  <a:pt x="16" y="0"/>
                </a:cubicBezTo>
                <a:close/>
                <a:moveTo>
                  <a:pt x="144" y="0"/>
                </a:moveTo>
                <a:lnTo>
                  <a:pt x="208" y="0"/>
                </a:lnTo>
                <a:cubicBezTo>
                  <a:pt x="217" y="0"/>
                  <a:pt x="224" y="8"/>
                  <a:pt x="224" y="16"/>
                </a:cubicBezTo>
                <a:cubicBezTo>
                  <a:pt x="224" y="25"/>
                  <a:pt x="217" y="32"/>
                  <a:pt x="208" y="32"/>
                </a:cubicBezTo>
                <a:lnTo>
                  <a:pt x="144" y="32"/>
                </a:lnTo>
                <a:cubicBezTo>
                  <a:pt x="136" y="32"/>
                  <a:pt x="128" y="25"/>
                  <a:pt x="128" y="16"/>
                </a:cubicBezTo>
                <a:cubicBezTo>
                  <a:pt x="128" y="8"/>
                  <a:pt x="136" y="0"/>
                  <a:pt x="144" y="0"/>
                </a:cubicBezTo>
                <a:close/>
                <a:moveTo>
                  <a:pt x="272" y="0"/>
                </a:moveTo>
                <a:lnTo>
                  <a:pt x="336" y="0"/>
                </a:lnTo>
                <a:cubicBezTo>
                  <a:pt x="345" y="0"/>
                  <a:pt x="352" y="8"/>
                  <a:pt x="352" y="16"/>
                </a:cubicBezTo>
                <a:cubicBezTo>
                  <a:pt x="352" y="25"/>
                  <a:pt x="345" y="32"/>
                  <a:pt x="336" y="32"/>
                </a:cubicBezTo>
                <a:lnTo>
                  <a:pt x="272" y="32"/>
                </a:lnTo>
                <a:cubicBezTo>
                  <a:pt x="264" y="32"/>
                  <a:pt x="256" y="25"/>
                  <a:pt x="256" y="16"/>
                </a:cubicBezTo>
                <a:cubicBezTo>
                  <a:pt x="256" y="8"/>
                  <a:pt x="264" y="0"/>
                  <a:pt x="272" y="0"/>
                </a:cubicBezTo>
                <a:close/>
                <a:moveTo>
                  <a:pt x="400" y="0"/>
                </a:moveTo>
                <a:lnTo>
                  <a:pt x="464" y="0"/>
                </a:lnTo>
                <a:cubicBezTo>
                  <a:pt x="473" y="0"/>
                  <a:pt x="480" y="8"/>
                  <a:pt x="480" y="16"/>
                </a:cubicBezTo>
                <a:cubicBezTo>
                  <a:pt x="480" y="25"/>
                  <a:pt x="473" y="32"/>
                  <a:pt x="464" y="32"/>
                </a:cubicBezTo>
                <a:lnTo>
                  <a:pt x="400" y="32"/>
                </a:lnTo>
                <a:cubicBezTo>
                  <a:pt x="392" y="32"/>
                  <a:pt x="384" y="25"/>
                  <a:pt x="384" y="16"/>
                </a:cubicBezTo>
                <a:cubicBezTo>
                  <a:pt x="384" y="8"/>
                  <a:pt x="392" y="0"/>
                  <a:pt x="400" y="0"/>
                </a:cubicBezTo>
                <a:close/>
                <a:moveTo>
                  <a:pt x="528" y="0"/>
                </a:moveTo>
                <a:lnTo>
                  <a:pt x="560" y="0"/>
                </a:lnTo>
                <a:cubicBezTo>
                  <a:pt x="569" y="0"/>
                  <a:pt x="576" y="8"/>
                  <a:pt x="576" y="16"/>
                </a:cubicBezTo>
                <a:cubicBezTo>
                  <a:pt x="576" y="25"/>
                  <a:pt x="569" y="32"/>
                  <a:pt x="560" y="32"/>
                </a:cubicBezTo>
                <a:lnTo>
                  <a:pt x="528" y="32"/>
                </a:lnTo>
                <a:cubicBezTo>
                  <a:pt x="520" y="32"/>
                  <a:pt x="512" y="25"/>
                  <a:pt x="512" y="16"/>
                </a:cubicBezTo>
                <a:cubicBezTo>
                  <a:pt x="512" y="8"/>
                  <a:pt x="520" y="0"/>
                  <a:pt x="528" y="0"/>
                </a:cubicBez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  <xdr:sp macro="" textlink="">
        <xdr:nvSpPr>
          <xdr:cNvPr id="84" name="Oval 13"/>
          <xdr:cNvSpPr>
            <a:spLocks noChangeArrowheads="1"/>
          </xdr:cNvSpPr>
        </xdr:nvSpPr>
        <xdr:spPr bwMode="auto">
          <a:xfrm>
            <a:off x="79" y="107"/>
            <a:ext cx="5" cy="6"/>
          </a:xfrm>
          <a:prstGeom prst="ellipse">
            <a:avLst/>
          </a:pr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85" name="Freeform 14"/>
          <xdr:cNvSpPr>
            <a:spLocks noEditPoints="1"/>
          </xdr:cNvSpPr>
        </xdr:nvSpPr>
        <xdr:spPr bwMode="auto">
          <a:xfrm>
            <a:off x="78" y="106"/>
            <a:ext cx="6" cy="8"/>
          </a:xfrm>
          <a:custGeom>
            <a:avLst/>
            <a:gdLst>
              <a:gd name="T0" fmla="*/ 128 w 129"/>
              <a:gd name="T1" fmla="*/ 75 h 145"/>
              <a:gd name="T2" fmla="*/ 122 w 129"/>
              <a:gd name="T3" fmla="*/ 102 h 145"/>
              <a:gd name="T4" fmla="*/ 108 w 129"/>
              <a:gd name="T5" fmla="*/ 125 h 145"/>
              <a:gd name="T6" fmla="*/ 87 w 129"/>
              <a:gd name="T7" fmla="*/ 140 h 145"/>
              <a:gd name="T8" fmla="*/ 61 w 129"/>
              <a:gd name="T9" fmla="*/ 144 h 145"/>
              <a:gd name="T10" fmla="*/ 37 w 129"/>
              <a:gd name="T11" fmla="*/ 137 h 145"/>
              <a:gd name="T12" fmla="*/ 16 w 129"/>
              <a:gd name="T13" fmla="*/ 120 h 145"/>
              <a:gd name="T14" fmla="*/ 5 w 129"/>
              <a:gd name="T15" fmla="*/ 97 h 145"/>
              <a:gd name="T16" fmla="*/ 1 w 129"/>
              <a:gd name="T17" fmla="*/ 69 h 145"/>
              <a:gd name="T18" fmla="*/ 6 w 129"/>
              <a:gd name="T19" fmla="*/ 44 h 145"/>
              <a:gd name="T20" fmla="*/ 21 w 129"/>
              <a:gd name="T21" fmla="*/ 21 h 145"/>
              <a:gd name="T22" fmla="*/ 42 w 129"/>
              <a:gd name="T23" fmla="*/ 6 h 145"/>
              <a:gd name="T24" fmla="*/ 69 w 129"/>
              <a:gd name="T25" fmla="*/ 1 h 145"/>
              <a:gd name="T26" fmla="*/ 93 w 129"/>
              <a:gd name="T27" fmla="*/ 9 h 145"/>
              <a:gd name="T28" fmla="*/ 112 w 129"/>
              <a:gd name="T29" fmla="*/ 26 h 145"/>
              <a:gd name="T30" fmla="*/ 124 w 129"/>
              <a:gd name="T31" fmla="*/ 48 h 145"/>
              <a:gd name="T32" fmla="*/ 93 w 129"/>
              <a:gd name="T33" fmla="*/ 54 h 145"/>
              <a:gd name="T34" fmla="*/ 84 w 129"/>
              <a:gd name="T35" fmla="*/ 41 h 145"/>
              <a:gd name="T36" fmla="*/ 73 w 129"/>
              <a:gd name="T37" fmla="*/ 34 h 145"/>
              <a:gd name="T38" fmla="*/ 60 w 129"/>
              <a:gd name="T39" fmla="*/ 32 h 145"/>
              <a:gd name="T40" fmla="*/ 51 w 129"/>
              <a:gd name="T41" fmla="*/ 37 h 145"/>
              <a:gd name="T42" fmla="*/ 40 w 129"/>
              <a:gd name="T43" fmla="*/ 46 h 145"/>
              <a:gd name="T44" fmla="*/ 34 w 129"/>
              <a:gd name="T45" fmla="*/ 59 h 145"/>
              <a:gd name="T46" fmla="*/ 32 w 129"/>
              <a:gd name="T47" fmla="*/ 75 h 145"/>
              <a:gd name="T48" fmla="*/ 36 w 129"/>
              <a:gd name="T49" fmla="*/ 92 h 145"/>
              <a:gd name="T50" fmla="*/ 44 w 129"/>
              <a:gd name="T51" fmla="*/ 105 h 145"/>
              <a:gd name="T52" fmla="*/ 56 w 129"/>
              <a:gd name="T53" fmla="*/ 112 h 145"/>
              <a:gd name="T54" fmla="*/ 68 w 129"/>
              <a:gd name="T55" fmla="*/ 113 h 145"/>
              <a:gd name="T56" fmla="*/ 80 w 129"/>
              <a:gd name="T57" fmla="*/ 109 h 145"/>
              <a:gd name="T58" fmla="*/ 88 w 129"/>
              <a:gd name="T59" fmla="*/ 100 h 145"/>
              <a:gd name="T60" fmla="*/ 94 w 129"/>
              <a:gd name="T61" fmla="*/ 87 h 145"/>
              <a:gd name="T62" fmla="*/ 97 w 129"/>
              <a:gd name="T63" fmla="*/ 70 h 145"/>
              <a:gd name="T64" fmla="*/ 93 w 129"/>
              <a:gd name="T65" fmla="*/ 54 h 14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129" h="145">
                <a:moveTo>
                  <a:pt x="128" y="69"/>
                </a:moveTo>
                <a:cubicBezTo>
                  <a:pt x="129" y="71"/>
                  <a:pt x="129" y="73"/>
                  <a:pt x="128" y="75"/>
                </a:cubicBezTo>
                <a:lnTo>
                  <a:pt x="124" y="97"/>
                </a:lnTo>
                <a:cubicBezTo>
                  <a:pt x="124" y="99"/>
                  <a:pt x="123" y="101"/>
                  <a:pt x="122" y="102"/>
                </a:cubicBezTo>
                <a:lnTo>
                  <a:pt x="112" y="120"/>
                </a:lnTo>
                <a:cubicBezTo>
                  <a:pt x="111" y="122"/>
                  <a:pt x="110" y="124"/>
                  <a:pt x="108" y="125"/>
                </a:cubicBezTo>
                <a:lnTo>
                  <a:pt x="93" y="137"/>
                </a:lnTo>
                <a:cubicBezTo>
                  <a:pt x="92" y="139"/>
                  <a:pt x="89" y="140"/>
                  <a:pt x="87" y="140"/>
                </a:cubicBezTo>
                <a:lnTo>
                  <a:pt x="68" y="144"/>
                </a:lnTo>
                <a:cubicBezTo>
                  <a:pt x="66" y="145"/>
                  <a:pt x="63" y="145"/>
                  <a:pt x="61" y="144"/>
                </a:cubicBezTo>
                <a:lnTo>
                  <a:pt x="43" y="140"/>
                </a:lnTo>
                <a:cubicBezTo>
                  <a:pt x="41" y="140"/>
                  <a:pt x="39" y="139"/>
                  <a:pt x="37" y="137"/>
                </a:cubicBezTo>
                <a:lnTo>
                  <a:pt x="21" y="125"/>
                </a:lnTo>
                <a:cubicBezTo>
                  <a:pt x="19" y="124"/>
                  <a:pt x="18" y="122"/>
                  <a:pt x="16" y="120"/>
                </a:cubicBezTo>
                <a:lnTo>
                  <a:pt x="6" y="102"/>
                </a:lnTo>
                <a:cubicBezTo>
                  <a:pt x="6" y="101"/>
                  <a:pt x="5" y="99"/>
                  <a:pt x="5" y="97"/>
                </a:cubicBezTo>
                <a:lnTo>
                  <a:pt x="1" y="75"/>
                </a:lnTo>
                <a:cubicBezTo>
                  <a:pt x="0" y="73"/>
                  <a:pt x="0" y="71"/>
                  <a:pt x="1" y="69"/>
                </a:cubicBezTo>
                <a:lnTo>
                  <a:pt x="5" y="48"/>
                </a:lnTo>
                <a:cubicBezTo>
                  <a:pt x="5" y="47"/>
                  <a:pt x="6" y="45"/>
                  <a:pt x="6" y="44"/>
                </a:cubicBezTo>
                <a:lnTo>
                  <a:pt x="16" y="26"/>
                </a:lnTo>
                <a:cubicBezTo>
                  <a:pt x="18" y="24"/>
                  <a:pt x="19" y="22"/>
                  <a:pt x="21" y="21"/>
                </a:cubicBezTo>
                <a:lnTo>
                  <a:pt x="37" y="9"/>
                </a:lnTo>
                <a:cubicBezTo>
                  <a:pt x="38" y="7"/>
                  <a:pt x="40" y="7"/>
                  <a:pt x="42" y="6"/>
                </a:cubicBezTo>
                <a:lnTo>
                  <a:pt x="60" y="1"/>
                </a:lnTo>
                <a:cubicBezTo>
                  <a:pt x="63" y="0"/>
                  <a:pt x="66" y="0"/>
                  <a:pt x="69" y="1"/>
                </a:cubicBezTo>
                <a:lnTo>
                  <a:pt x="88" y="6"/>
                </a:lnTo>
                <a:cubicBezTo>
                  <a:pt x="90" y="7"/>
                  <a:pt x="92" y="8"/>
                  <a:pt x="93" y="9"/>
                </a:cubicBezTo>
                <a:lnTo>
                  <a:pt x="108" y="21"/>
                </a:lnTo>
                <a:cubicBezTo>
                  <a:pt x="110" y="22"/>
                  <a:pt x="111" y="24"/>
                  <a:pt x="112" y="26"/>
                </a:cubicBezTo>
                <a:lnTo>
                  <a:pt x="122" y="44"/>
                </a:lnTo>
                <a:cubicBezTo>
                  <a:pt x="123" y="45"/>
                  <a:pt x="124" y="47"/>
                  <a:pt x="124" y="48"/>
                </a:cubicBezTo>
                <a:lnTo>
                  <a:pt x="128" y="69"/>
                </a:lnTo>
                <a:close/>
                <a:moveTo>
                  <a:pt x="93" y="54"/>
                </a:moveTo>
                <a:lnTo>
                  <a:pt x="94" y="59"/>
                </a:lnTo>
                <a:lnTo>
                  <a:pt x="84" y="41"/>
                </a:lnTo>
                <a:lnTo>
                  <a:pt x="88" y="46"/>
                </a:lnTo>
                <a:lnTo>
                  <a:pt x="73" y="34"/>
                </a:lnTo>
                <a:lnTo>
                  <a:pt x="79" y="37"/>
                </a:lnTo>
                <a:lnTo>
                  <a:pt x="60" y="32"/>
                </a:lnTo>
                <a:lnTo>
                  <a:pt x="69" y="32"/>
                </a:lnTo>
                <a:lnTo>
                  <a:pt x="51" y="37"/>
                </a:lnTo>
                <a:lnTo>
                  <a:pt x="56" y="34"/>
                </a:lnTo>
                <a:lnTo>
                  <a:pt x="40" y="46"/>
                </a:lnTo>
                <a:lnTo>
                  <a:pt x="44" y="41"/>
                </a:lnTo>
                <a:lnTo>
                  <a:pt x="34" y="59"/>
                </a:lnTo>
                <a:lnTo>
                  <a:pt x="36" y="54"/>
                </a:lnTo>
                <a:lnTo>
                  <a:pt x="32" y="75"/>
                </a:lnTo>
                <a:lnTo>
                  <a:pt x="32" y="70"/>
                </a:lnTo>
                <a:lnTo>
                  <a:pt x="36" y="92"/>
                </a:lnTo>
                <a:lnTo>
                  <a:pt x="34" y="87"/>
                </a:lnTo>
                <a:lnTo>
                  <a:pt x="44" y="105"/>
                </a:lnTo>
                <a:lnTo>
                  <a:pt x="40" y="100"/>
                </a:lnTo>
                <a:lnTo>
                  <a:pt x="56" y="112"/>
                </a:lnTo>
                <a:lnTo>
                  <a:pt x="50" y="109"/>
                </a:lnTo>
                <a:lnTo>
                  <a:pt x="68" y="113"/>
                </a:lnTo>
                <a:lnTo>
                  <a:pt x="61" y="113"/>
                </a:lnTo>
                <a:lnTo>
                  <a:pt x="80" y="109"/>
                </a:lnTo>
                <a:lnTo>
                  <a:pt x="73" y="112"/>
                </a:lnTo>
                <a:lnTo>
                  <a:pt x="88" y="100"/>
                </a:lnTo>
                <a:lnTo>
                  <a:pt x="84" y="105"/>
                </a:lnTo>
                <a:lnTo>
                  <a:pt x="94" y="87"/>
                </a:lnTo>
                <a:lnTo>
                  <a:pt x="93" y="92"/>
                </a:lnTo>
                <a:lnTo>
                  <a:pt x="97" y="70"/>
                </a:lnTo>
                <a:lnTo>
                  <a:pt x="97" y="75"/>
                </a:lnTo>
                <a:lnTo>
                  <a:pt x="93" y="54"/>
                </a:ln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</xdr:grpSp>
    <xdr:clientData/>
  </xdr:twoCellAnchor>
  <xdr:twoCellAnchor>
    <xdr:from>
      <xdr:col>4</xdr:col>
      <xdr:colOff>148166</xdr:colOff>
      <xdr:row>2</xdr:row>
      <xdr:rowOff>84667</xdr:rowOff>
    </xdr:from>
    <xdr:to>
      <xdr:col>6</xdr:col>
      <xdr:colOff>74083</xdr:colOff>
      <xdr:row>7</xdr:row>
      <xdr:rowOff>52916</xdr:rowOff>
    </xdr:to>
    <xdr:graphicFrame macro="">
      <xdr:nvGraphicFramePr>
        <xdr:cNvPr id="66" name="Demo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6</xdr:col>
      <xdr:colOff>137584</xdr:colOff>
      <xdr:row>3</xdr:row>
      <xdr:rowOff>52916</xdr:rowOff>
    </xdr:from>
    <xdr:to>
      <xdr:col>8</xdr:col>
      <xdr:colOff>63500</xdr:colOff>
      <xdr:row>8</xdr:row>
      <xdr:rowOff>21166</xdr:rowOff>
    </xdr:to>
    <xdr:graphicFrame macro="">
      <xdr:nvGraphicFramePr>
        <xdr:cNvPr id="67" name="Demo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55</xdr:row>
      <xdr:rowOff>38100</xdr:rowOff>
    </xdr:from>
    <xdr:to>
      <xdr:col>3</xdr:col>
      <xdr:colOff>1971674</xdr:colOff>
      <xdr:row>76</xdr:row>
      <xdr:rowOff>61913</xdr:rowOff>
    </xdr:to>
    <xdr:graphicFrame macro="">
      <xdr:nvGraphicFramePr>
        <xdr:cNvPr id="3" name="DemoT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77</xdr:row>
      <xdr:rowOff>38100</xdr:rowOff>
    </xdr:from>
    <xdr:to>
      <xdr:col>3</xdr:col>
      <xdr:colOff>1971674</xdr:colOff>
      <xdr:row>98</xdr:row>
      <xdr:rowOff>61913</xdr:rowOff>
    </xdr:to>
    <xdr:graphicFrame macro="">
      <xdr:nvGraphicFramePr>
        <xdr:cNvPr id="4" name="Demo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99</xdr:row>
      <xdr:rowOff>38100</xdr:rowOff>
    </xdr:from>
    <xdr:to>
      <xdr:col>3</xdr:col>
      <xdr:colOff>1971674</xdr:colOff>
      <xdr:row>120</xdr:row>
      <xdr:rowOff>61913</xdr:rowOff>
    </xdr:to>
    <xdr:graphicFrame macro="">
      <xdr:nvGraphicFramePr>
        <xdr:cNvPr id="5" name="DemoT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733425</xdr:colOff>
      <xdr:row>121</xdr:row>
      <xdr:rowOff>38100</xdr:rowOff>
    </xdr:from>
    <xdr:to>
      <xdr:col>3</xdr:col>
      <xdr:colOff>1933574</xdr:colOff>
      <xdr:row>142</xdr:row>
      <xdr:rowOff>61913</xdr:rowOff>
    </xdr:to>
    <xdr:graphicFrame macro="">
      <xdr:nvGraphicFramePr>
        <xdr:cNvPr id="6" name="DemoT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9525</xdr:colOff>
      <xdr:row>143</xdr:row>
      <xdr:rowOff>38100</xdr:rowOff>
    </xdr:from>
    <xdr:to>
      <xdr:col>3</xdr:col>
      <xdr:colOff>1971674</xdr:colOff>
      <xdr:row>164</xdr:row>
      <xdr:rowOff>61913</xdr:rowOff>
    </xdr:to>
    <xdr:graphicFrame macro="">
      <xdr:nvGraphicFramePr>
        <xdr:cNvPr id="7" name="DemoT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9525</xdr:colOff>
      <xdr:row>165</xdr:row>
      <xdr:rowOff>38100</xdr:rowOff>
    </xdr:from>
    <xdr:to>
      <xdr:col>3</xdr:col>
      <xdr:colOff>1971674</xdr:colOff>
      <xdr:row>186</xdr:row>
      <xdr:rowOff>61913</xdr:rowOff>
    </xdr:to>
    <xdr:graphicFrame macro="">
      <xdr:nvGraphicFramePr>
        <xdr:cNvPr id="8" name="DemoT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85725</xdr:colOff>
      <xdr:row>187</xdr:row>
      <xdr:rowOff>76200</xdr:rowOff>
    </xdr:from>
    <xdr:to>
      <xdr:col>4</xdr:col>
      <xdr:colOff>57149</xdr:colOff>
      <xdr:row>208</xdr:row>
      <xdr:rowOff>100013</xdr:rowOff>
    </xdr:to>
    <xdr:graphicFrame macro="">
      <xdr:nvGraphicFramePr>
        <xdr:cNvPr id="9" name="DemoT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752475</xdr:colOff>
      <xdr:row>209</xdr:row>
      <xdr:rowOff>66675</xdr:rowOff>
    </xdr:from>
    <xdr:to>
      <xdr:col>3</xdr:col>
      <xdr:colOff>1952624</xdr:colOff>
      <xdr:row>230</xdr:row>
      <xdr:rowOff>90488</xdr:rowOff>
    </xdr:to>
    <xdr:graphicFrame macro="">
      <xdr:nvGraphicFramePr>
        <xdr:cNvPr id="10" name="DemoT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723900</xdr:colOff>
      <xdr:row>231</xdr:row>
      <xdr:rowOff>28575</xdr:rowOff>
    </xdr:from>
    <xdr:to>
      <xdr:col>3</xdr:col>
      <xdr:colOff>1924049</xdr:colOff>
      <xdr:row>252</xdr:row>
      <xdr:rowOff>52388</xdr:rowOff>
    </xdr:to>
    <xdr:graphicFrame macro="">
      <xdr:nvGraphicFramePr>
        <xdr:cNvPr id="11" name="DemoT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253</xdr:row>
      <xdr:rowOff>47625</xdr:rowOff>
    </xdr:from>
    <xdr:to>
      <xdr:col>3</xdr:col>
      <xdr:colOff>1962149</xdr:colOff>
      <xdr:row>274</xdr:row>
      <xdr:rowOff>71438</xdr:rowOff>
    </xdr:to>
    <xdr:graphicFrame macro="">
      <xdr:nvGraphicFramePr>
        <xdr:cNvPr id="12" name="DemoT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9525</xdr:colOff>
      <xdr:row>275</xdr:row>
      <xdr:rowOff>38100</xdr:rowOff>
    </xdr:from>
    <xdr:to>
      <xdr:col>3</xdr:col>
      <xdr:colOff>1971674</xdr:colOff>
      <xdr:row>296</xdr:row>
      <xdr:rowOff>61913</xdr:rowOff>
    </xdr:to>
    <xdr:graphicFrame macro="">
      <xdr:nvGraphicFramePr>
        <xdr:cNvPr id="13" name="DemoT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19050</xdr:colOff>
      <xdr:row>297</xdr:row>
      <xdr:rowOff>57150</xdr:rowOff>
    </xdr:from>
    <xdr:to>
      <xdr:col>3</xdr:col>
      <xdr:colOff>1981199</xdr:colOff>
      <xdr:row>318</xdr:row>
      <xdr:rowOff>80963</xdr:rowOff>
    </xdr:to>
    <xdr:graphicFrame macro="">
      <xdr:nvGraphicFramePr>
        <xdr:cNvPr id="14" name="DemoT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142875</xdr:colOff>
      <xdr:row>319</xdr:row>
      <xdr:rowOff>171450</xdr:rowOff>
    </xdr:from>
    <xdr:to>
      <xdr:col>4</xdr:col>
      <xdr:colOff>114299</xdr:colOff>
      <xdr:row>341</xdr:row>
      <xdr:rowOff>4763</xdr:rowOff>
    </xdr:to>
    <xdr:graphicFrame macro="">
      <xdr:nvGraphicFramePr>
        <xdr:cNvPr id="15" name="DemoT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31</xdr:row>
          <xdr:rowOff>161925</xdr:rowOff>
        </xdr:from>
        <xdr:to>
          <xdr:col>5</xdr:col>
          <xdr:colOff>390525</xdr:colOff>
          <xdr:row>33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341</xdr:row>
      <xdr:rowOff>39221</xdr:rowOff>
    </xdr:from>
    <xdr:to>
      <xdr:col>3</xdr:col>
      <xdr:colOff>1962149</xdr:colOff>
      <xdr:row>362</xdr:row>
      <xdr:rowOff>63034</xdr:rowOff>
    </xdr:to>
    <xdr:graphicFrame macro="">
      <xdr:nvGraphicFramePr>
        <xdr:cNvPr id="17" name="DemoT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11206</xdr:colOff>
      <xdr:row>363</xdr:row>
      <xdr:rowOff>28014</xdr:rowOff>
    </xdr:from>
    <xdr:to>
      <xdr:col>3</xdr:col>
      <xdr:colOff>1973355</xdr:colOff>
      <xdr:row>384</xdr:row>
      <xdr:rowOff>51827</xdr:rowOff>
    </xdr:to>
    <xdr:graphicFrame macro="">
      <xdr:nvGraphicFramePr>
        <xdr:cNvPr id="18" name="DemoT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40821</xdr:colOff>
      <xdr:row>385</xdr:row>
      <xdr:rowOff>27215</xdr:rowOff>
    </xdr:from>
    <xdr:to>
      <xdr:col>4</xdr:col>
      <xdr:colOff>16327</xdr:colOff>
      <xdr:row>406</xdr:row>
      <xdr:rowOff>51028</xdr:rowOff>
    </xdr:to>
    <xdr:graphicFrame macro="">
      <xdr:nvGraphicFramePr>
        <xdr:cNvPr id="19" name="DemoT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748393</xdr:colOff>
      <xdr:row>407</xdr:row>
      <xdr:rowOff>1361</xdr:rowOff>
    </xdr:from>
    <xdr:to>
      <xdr:col>3</xdr:col>
      <xdr:colOff>1948542</xdr:colOff>
      <xdr:row>428</xdr:row>
      <xdr:rowOff>25174</xdr:rowOff>
    </xdr:to>
    <xdr:graphicFrame macro="">
      <xdr:nvGraphicFramePr>
        <xdr:cNvPr id="20" name="DemoT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27214</xdr:colOff>
      <xdr:row>429</xdr:row>
      <xdr:rowOff>13607</xdr:rowOff>
    </xdr:from>
    <xdr:to>
      <xdr:col>4</xdr:col>
      <xdr:colOff>2720</xdr:colOff>
      <xdr:row>450</xdr:row>
      <xdr:rowOff>37420</xdr:rowOff>
    </xdr:to>
    <xdr:graphicFrame macro="">
      <xdr:nvGraphicFramePr>
        <xdr:cNvPr id="21" name="DemoT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451</xdr:row>
      <xdr:rowOff>27215</xdr:rowOff>
    </xdr:from>
    <xdr:to>
      <xdr:col>3</xdr:col>
      <xdr:colOff>1962149</xdr:colOff>
      <xdr:row>472</xdr:row>
      <xdr:rowOff>51028</xdr:rowOff>
    </xdr:to>
    <xdr:graphicFrame macro="">
      <xdr:nvGraphicFramePr>
        <xdr:cNvPr id="22" name="DemoT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5443</xdr:colOff>
      <xdr:row>472</xdr:row>
      <xdr:rowOff>197304</xdr:rowOff>
    </xdr:from>
    <xdr:to>
      <xdr:col>3</xdr:col>
      <xdr:colOff>1967592</xdr:colOff>
      <xdr:row>494</xdr:row>
      <xdr:rowOff>17010</xdr:rowOff>
    </xdr:to>
    <xdr:graphicFrame macro="">
      <xdr:nvGraphicFramePr>
        <xdr:cNvPr id="23" name="DemoT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13607</xdr:colOff>
      <xdr:row>495</xdr:row>
      <xdr:rowOff>0</xdr:rowOff>
    </xdr:from>
    <xdr:to>
      <xdr:col>3</xdr:col>
      <xdr:colOff>1975756</xdr:colOff>
      <xdr:row>516</xdr:row>
      <xdr:rowOff>23813</xdr:rowOff>
    </xdr:to>
    <xdr:graphicFrame macro="">
      <xdr:nvGraphicFramePr>
        <xdr:cNvPr id="24" name="DemoT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27214</xdr:colOff>
      <xdr:row>517</xdr:row>
      <xdr:rowOff>0</xdr:rowOff>
    </xdr:from>
    <xdr:to>
      <xdr:col>4</xdr:col>
      <xdr:colOff>2720</xdr:colOff>
      <xdr:row>538</xdr:row>
      <xdr:rowOff>23813</xdr:rowOff>
    </xdr:to>
    <xdr:graphicFrame macro="">
      <xdr:nvGraphicFramePr>
        <xdr:cNvPr id="25" name="DemoT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539</xdr:row>
      <xdr:rowOff>13607</xdr:rowOff>
    </xdr:from>
    <xdr:to>
      <xdr:col>3</xdr:col>
      <xdr:colOff>1962149</xdr:colOff>
      <xdr:row>560</xdr:row>
      <xdr:rowOff>37420</xdr:rowOff>
    </xdr:to>
    <xdr:graphicFrame macro="">
      <xdr:nvGraphicFramePr>
        <xdr:cNvPr id="26" name="DemoT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13607</xdr:colOff>
      <xdr:row>561</xdr:row>
      <xdr:rowOff>0</xdr:rowOff>
    </xdr:from>
    <xdr:to>
      <xdr:col>3</xdr:col>
      <xdr:colOff>1975756</xdr:colOff>
      <xdr:row>582</xdr:row>
      <xdr:rowOff>23813</xdr:rowOff>
    </xdr:to>
    <xdr:graphicFrame macro="">
      <xdr:nvGraphicFramePr>
        <xdr:cNvPr id="27" name="DemoT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54428</xdr:colOff>
      <xdr:row>583</xdr:row>
      <xdr:rowOff>13607</xdr:rowOff>
    </xdr:from>
    <xdr:to>
      <xdr:col>4</xdr:col>
      <xdr:colOff>29934</xdr:colOff>
      <xdr:row>604</xdr:row>
      <xdr:rowOff>37420</xdr:rowOff>
    </xdr:to>
    <xdr:graphicFrame macro="">
      <xdr:nvGraphicFramePr>
        <xdr:cNvPr id="28" name="DemoT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13607</xdr:colOff>
      <xdr:row>605</xdr:row>
      <xdr:rowOff>13608</xdr:rowOff>
    </xdr:from>
    <xdr:to>
      <xdr:col>3</xdr:col>
      <xdr:colOff>1975756</xdr:colOff>
      <xdr:row>626</xdr:row>
      <xdr:rowOff>37421</xdr:rowOff>
    </xdr:to>
    <xdr:graphicFrame macro="">
      <xdr:nvGraphicFramePr>
        <xdr:cNvPr id="29" name="DemoT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40821</xdr:colOff>
      <xdr:row>627</xdr:row>
      <xdr:rowOff>0</xdr:rowOff>
    </xdr:from>
    <xdr:to>
      <xdr:col>4</xdr:col>
      <xdr:colOff>16327</xdr:colOff>
      <xdr:row>648</xdr:row>
      <xdr:rowOff>23813</xdr:rowOff>
    </xdr:to>
    <xdr:graphicFrame macro="">
      <xdr:nvGraphicFramePr>
        <xdr:cNvPr id="30" name="DemoT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27214</xdr:colOff>
      <xdr:row>649</xdr:row>
      <xdr:rowOff>13608</xdr:rowOff>
    </xdr:from>
    <xdr:to>
      <xdr:col>4</xdr:col>
      <xdr:colOff>2720</xdr:colOff>
      <xdr:row>670</xdr:row>
      <xdr:rowOff>37421</xdr:rowOff>
    </xdr:to>
    <xdr:graphicFrame macro="">
      <xdr:nvGraphicFramePr>
        <xdr:cNvPr id="31" name="DemoT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9525</xdr:colOff>
      <xdr:row>33</xdr:row>
      <xdr:rowOff>38100</xdr:rowOff>
    </xdr:from>
    <xdr:to>
      <xdr:col>3</xdr:col>
      <xdr:colOff>1971674</xdr:colOff>
      <xdr:row>54</xdr:row>
      <xdr:rowOff>61913</xdr:rowOff>
    </xdr:to>
    <xdr:graphicFrame macro="">
      <xdr:nvGraphicFramePr>
        <xdr:cNvPr id="32" name="DemoT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177023</xdr:rowOff>
    </xdr:from>
    <xdr:to>
      <xdr:col>14</xdr:col>
      <xdr:colOff>334309</xdr:colOff>
      <xdr:row>47</xdr:row>
      <xdr:rowOff>158750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330217</xdr:colOff>
      <xdr:row>36</xdr:row>
      <xdr:rowOff>130881</xdr:rowOff>
    </xdr:from>
    <xdr:to>
      <xdr:col>14</xdr:col>
      <xdr:colOff>241790</xdr:colOff>
      <xdr:row>41</xdr:row>
      <xdr:rowOff>148982</xdr:rowOff>
    </xdr:to>
    <xdr:sp macro="" textlink="">
      <xdr:nvSpPr>
        <xdr:cNvPr id="2" name="TextBox 1"/>
        <xdr:cNvSpPr txBox="1"/>
      </xdr:nvSpPr>
      <xdr:spPr>
        <a:xfrm>
          <a:off x="7394592" y="6988881"/>
          <a:ext cx="2499198" cy="970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HelveticaNeueLT Std" pitchFamily="34" charset="0"/>
            </a:rPr>
            <a:t>El saber que el despido es un recurso de última instancia</a:t>
          </a:r>
        </a:p>
      </xdr:txBody>
    </xdr:sp>
    <xdr:clientData/>
  </xdr:twoCellAnchor>
  <xdr:twoCellAnchor>
    <xdr:from>
      <xdr:col>11</xdr:col>
      <xdr:colOff>531460</xdr:colOff>
      <xdr:row>30</xdr:row>
      <xdr:rowOff>134328</xdr:rowOff>
    </xdr:from>
    <xdr:to>
      <xdr:col>14</xdr:col>
      <xdr:colOff>582491</xdr:colOff>
      <xdr:row>34</xdr:row>
      <xdr:rowOff>178289</xdr:rowOff>
    </xdr:to>
    <xdr:sp macro="" textlink="">
      <xdr:nvSpPr>
        <xdr:cNvPr id="5" name="TextBox 4"/>
        <xdr:cNvSpPr txBox="1"/>
      </xdr:nvSpPr>
      <xdr:spPr>
        <a:xfrm>
          <a:off x="7945085" y="5849328"/>
          <a:ext cx="2289406" cy="8059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HelveticaNeueLT Std" pitchFamily="34" charset="0"/>
            </a:rPr>
            <a:t>La remuneración y los beneficios que me brinda la empresa</a:t>
          </a:r>
        </a:p>
      </xdr:txBody>
    </xdr:sp>
    <xdr:clientData/>
  </xdr:twoCellAnchor>
  <xdr:twoCellAnchor>
    <xdr:from>
      <xdr:col>5</xdr:col>
      <xdr:colOff>501736</xdr:colOff>
      <xdr:row>16</xdr:row>
      <xdr:rowOff>54435</xdr:rowOff>
    </xdr:from>
    <xdr:to>
      <xdr:col>7</xdr:col>
      <xdr:colOff>646174</xdr:colOff>
      <xdr:row>18</xdr:row>
      <xdr:rowOff>75002</xdr:rowOff>
    </xdr:to>
    <xdr:sp macro="" textlink="">
      <xdr:nvSpPr>
        <xdr:cNvPr id="6" name="TextBox 5"/>
        <xdr:cNvSpPr txBox="1"/>
      </xdr:nvSpPr>
      <xdr:spPr>
        <a:xfrm>
          <a:off x="3835486" y="2911935"/>
          <a:ext cx="1636688" cy="4015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HelveticaNeueLT Std" pitchFamily="34" charset="0"/>
            </a:rPr>
            <a:t>Otro motivo</a:t>
          </a:r>
        </a:p>
      </xdr:txBody>
    </xdr:sp>
    <xdr:clientData/>
  </xdr:twoCellAnchor>
  <xdr:twoCellAnchor>
    <xdr:from>
      <xdr:col>11</xdr:col>
      <xdr:colOff>198818</xdr:colOff>
      <xdr:row>16</xdr:row>
      <xdr:rowOff>178045</xdr:rowOff>
    </xdr:from>
    <xdr:to>
      <xdr:col>13</xdr:col>
      <xdr:colOff>573942</xdr:colOff>
      <xdr:row>22</xdr:row>
      <xdr:rowOff>40298</xdr:rowOff>
    </xdr:to>
    <xdr:sp macro="" textlink="">
      <xdr:nvSpPr>
        <xdr:cNvPr id="7" name="TextBox 6"/>
        <xdr:cNvSpPr txBox="1"/>
      </xdr:nvSpPr>
      <xdr:spPr>
        <a:xfrm>
          <a:off x="7612443" y="3226045"/>
          <a:ext cx="1867374" cy="10052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HelveticaNeueLT Std" pitchFamily="34" charset="0"/>
            </a:rPr>
            <a:t>El hecho de que puedo armonizar el trabajo con mi vida personal</a:t>
          </a:r>
        </a:p>
      </xdr:txBody>
    </xdr:sp>
    <xdr:clientData/>
  </xdr:twoCellAnchor>
  <xdr:twoCellAnchor>
    <xdr:from>
      <xdr:col>3</xdr:col>
      <xdr:colOff>18332</xdr:colOff>
      <xdr:row>33</xdr:row>
      <xdr:rowOff>13433</xdr:rowOff>
    </xdr:from>
    <xdr:to>
      <xdr:col>5</xdr:col>
      <xdr:colOff>465015</xdr:colOff>
      <xdr:row>40</xdr:row>
      <xdr:rowOff>130664</xdr:rowOff>
    </xdr:to>
    <xdr:sp macro="" textlink="">
      <xdr:nvSpPr>
        <xdr:cNvPr id="8" name="TextBox 7"/>
        <xdr:cNvSpPr txBox="1"/>
      </xdr:nvSpPr>
      <xdr:spPr>
        <a:xfrm>
          <a:off x="1859832" y="6299933"/>
          <a:ext cx="1938933" cy="14507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HelveticaNeueLT Std" pitchFamily="34" charset="0"/>
            </a:rPr>
            <a:t>La oportunidad de crecer y desarrollarme profesionalmente</a:t>
          </a:r>
        </a:p>
      </xdr:txBody>
    </xdr:sp>
    <xdr:clientData/>
  </xdr:twoCellAnchor>
  <xdr:twoCellAnchor>
    <xdr:from>
      <xdr:col>7</xdr:col>
      <xdr:colOff>146538</xdr:colOff>
      <xdr:row>25</xdr:row>
      <xdr:rowOff>101356</xdr:rowOff>
    </xdr:from>
    <xdr:to>
      <xdr:col>9</xdr:col>
      <xdr:colOff>631969</xdr:colOff>
      <xdr:row>33</xdr:row>
      <xdr:rowOff>15250</xdr:rowOff>
    </xdr:to>
    <xdr:sp macro="" textlink="">
      <xdr:nvSpPr>
        <xdr:cNvPr id="9" name="TextBox 3"/>
        <xdr:cNvSpPr txBox="1"/>
      </xdr:nvSpPr>
      <xdr:spPr>
        <a:xfrm>
          <a:off x="4972538" y="4673356"/>
          <a:ext cx="1977681" cy="143789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A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AR" sz="1800">
              <a:solidFill>
                <a:schemeClr val="tx1">
                  <a:lumMod val="85000"/>
                  <a:lumOff val="15000"/>
                </a:schemeClr>
              </a:solidFill>
              <a:latin typeface="HelveticaNeueLT Std" pitchFamily="34" charset="0"/>
            </a:rPr>
            <a:t>El principal  motivo por el que permanezco en esta empresa es…</a:t>
          </a:r>
        </a:p>
      </xdr:txBody>
    </xdr:sp>
    <xdr:clientData/>
  </xdr:twoCellAnchor>
  <xdr:twoCellAnchor>
    <xdr:from>
      <xdr:col>22</xdr:col>
      <xdr:colOff>0</xdr:colOff>
      <xdr:row>16</xdr:row>
      <xdr:rowOff>0</xdr:rowOff>
    </xdr:from>
    <xdr:to>
      <xdr:col>32</xdr:col>
      <xdr:colOff>207817</xdr:colOff>
      <xdr:row>46</xdr:row>
      <xdr:rowOff>93807</xdr:rowOff>
    </xdr:to>
    <xdr:graphicFrame macro="">
      <xdr:nvGraphicFramePr>
        <xdr:cNvPr id="10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65898</xdr:rowOff>
    </xdr:from>
    <xdr:to>
      <xdr:col>14</xdr:col>
      <xdr:colOff>334309</xdr:colOff>
      <xdr:row>47</xdr:row>
      <xdr:rowOff>238125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365125</xdr:colOff>
      <xdr:row>26</xdr:row>
      <xdr:rowOff>95250</xdr:rowOff>
    </xdr:from>
    <xdr:to>
      <xdr:col>9</xdr:col>
      <xdr:colOff>43408</xdr:colOff>
      <xdr:row>32</xdr:row>
      <xdr:rowOff>80108</xdr:rowOff>
    </xdr:to>
    <xdr:pic>
      <xdr:nvPicPr>
        <xdr:cNvPr id="3" name="9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75250" y="4857750"/>
          <a:ext cx="1164183" cy="1127858"/>
        </a:xfrm>
        <a:prstGeom prst="rect">
          <a:avLst/>
        </a:prstGeom>
      </xdr:spPr>
    </xdr:pic>
    <xdr:clientData/>
  </xdr:twoCellAnchor>
  <xdr:twoCellAnchor editAs="oneCell">
    <xdr:from>
      <xdr:col>11</xdr:col>
      <xdr:colOff>238125</xdr:colOff>
      <xdr:row>21</xdr:row>
      <xdr:rowOff>63500</xdr:rowOff>
    </xdr:from>
    <xdr:to>
      <xdr:col>14</xdr:col>
      <xdr:colOff>590775</xdr:colOff>
      <xdr:row>27</xdr:row>
      <xdr:rowOff>176385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0" y="3873500"/>
          <a:ext cx="2581500" cy="1255885"/>
        </a:xfrm>
        <a:prstGeom prst="rect">
          <a:avLst/>
        </a:prstGeom>
      </xdr:spPr>
    </xdr:pic>
    <xdr:clientData/>
  </xdr:twoCellAnchor>
  <xdr:twoCellAnchor editAs="oneCell">
    <xdr:from>
      <xdr:col>1</xdr:col>
      <xdr:colOff>746125</xdr:colOff>
      <xdr:row>18</xdr:row>
      <xdr:rowOff>158750</xdr:rowOff>
    </xdr:from>
    <xdr:to>
      <xdr:col>5</xdr:col>
      <xdr:colOff>558118</xdr:colOff>
      <xdr:row>28</xdr:row>
      <xdr:rowOff>180253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08125" y="3397250"/>
          <a:ext cx="2374218" cy="1926503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428625</xdr:colOff>
      <xdr:row>17</xdr:row>
      <xdr:rowOff>104775</xdr:rowOff>
    </xdr:from>
    <xdr:to>
      <xdr:col>5</xdr:col>
      <xdr:colOff>438150</xdr:colOff>
      <xdr:row>17</xdr:row>
      <xdr:rowOff>114300</xdr:rowOff>
    </xdr:to>
    <xdr:sp macro="" textlink="">
      <xdr:nvSpPr>
        <xdr:cNvPr id="2" name="Pie01"/>
        <xdr:cNvSpPr>
          <a:spLocks noEditPoints="1" noChangeArrowheads="1"/>
        </xdr:cNvSpPr>
      </xdr:nvSpPr>
      <xdr:spPr bwMode="auto">
        <a:xfrm>
          <a:off x="4238625" y="2857500"/>
          <a:ext cx="9525" cy="9525"/>
        </a:xfrm>
        <a:custGeom>
          <a:avLst/>
          <a:gdLst>
            <a:gd name="T0" fmla="*/ 78 w 21600"/>
            <a:gd name="T1" fmla="*/ 0 h 21600"/>
            <a:gd name="T2" fmla="*/ 79 w 21600"/>
            <a:gd name="T3" fmla="*/ 79 h 21600"/>
            <a:gd name="T4" fmla="*/ 78 w 21600"/>
            <a:gd name="T5" fmla="*/ 0 h 21600"/>
            <a:gd name="T6" fmla="*/ 0 60000 65536"/>
            <a:gd name="T7" fmla="*/ 0 60000 65536"/>
            <a:gd name="T8" fmla="*/ 0 60000 65536"/>
            <a:gd name="T9" fmla="*/ 3163 w 21600"/>
            <a:gd name="T10" fmla="*/ 3163 h 21600"/>
            <a:gd name="T11" fmla="*/ 18437 w 21600"/>
            <a:gd name="T12" fmla="*/ 18437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>
              <a:moveTo>
                <a:pt x="10611" y="1"/>
              </a:moveTo>
              <a:cubicBezTo>
                <a:pt x="4720" y="104"/>
                <a:pt x="0" y="4909"/>
                <a:pt x="0" y="10799"/>
              </a:cubicBezTo>
              <a:cubicBezTo>
                <a:pt x="0" y="16764"/>
                <a:pt x="4835" y="21600"/>
                <a:pt x="10800" y="21600"/>
              </a:cubicBezTo>
              <a:cubicBezTo>
                <a:pt x="16764" y="21600"/>
                <a:pt x="21600" y="16764"/>
                <a:pt x="21600" y="10800"/>
              </a:cubicBezTo>
              <a:cubicBezTo>
                <a:pt x="21600" y="4835"/>
                <a:pt x="16764" y="0"/>
                <a:pt x="10800" y="0"/>
              </a:cubicBezTo>
              <a:cubicBezTo>
                <a:pt x="10737" y="-1"/>
                <a:pt x="10674" y="0"/>
                <a:pt x="10611" y="1"/>
              </a:cubicBezTo>
              <a:lnTo>
                <a:pt x="10800" y="10800"/>
              </a:lnTo>
              <a:lnTo>
                <a:pt x="10611" y="1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428625</xdr:colOff>
      <xdr:row>17</xdr:row>
      <xdr:rowOff>104775</xdr:rowOff>
    </xdr:from>
    <xdr:to>
      <xdr:col>5</xdr:col>
      <xdr:colOff>438150</xdr:colOff>
      <xdr:row>17</xdr:row>
      <xdr:rowOff>114300</xdr:rowOff>
    </xdr:to>
    <xdr:sp macro="" textlink="">
      <xdr:nvSpPr>
        <xdr:cNvPr id="3" name="Pie01"/>
        <xdr:cNvSpPr>
          <a:spLocks noEditPoints="1" noChangeArrowheads="1"/>
        </xdr:cNvSpPr>
      </xdr:nvSpPr>
      <xdr:spPr bwMode="auto">
        <a:xfrm>
          <a:off x="4238625" y="2857500"/>
          <a:ext cx="9525" cy="9525"/>
        </a:xfrm>
        <a:custGeom>
          <a:avLst/>
          <a:gdLst>
            <a:gd name="T0" fmla="*/ 79 w 21600"/>
            <a:gd name="T1" fmla="*/ 0 h 21600"/>
            <a:gd name="T2" fmla="*/ 79 w 21600"/>
            <a:gd name="T3" fmla="*/ 79 h 21600"/>
            <a:gd name="T4" fmla="*/ 78 w 21600"/>
            <a:gd name="T5" fmla="*/ 0 h 21600"/>
            <a:gd name="T6" fmla="*/ 0 60000 65536"/>
            <a:gd name="T7" fmla="*/ 0 60000 65536"/>
            <a:gd name="T8" fmla="*/ 0 60000 65536"/>
            <a:gd name="T9" fmla="*/ 3163 w 21600"/>
            <a:gd name="T10" fmla="*/ 3163 h 21600"/>
            <a:gd name="T11" fmla="*/ 18437 w 21600"/>
            <a:gd name="T12" fmla="*/ 18437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>
              <a:moveTo>
                <a:pt x="10799" y="0"/>
              </a:moveTo>
              <a:cubicBezTo>
                <a:pt x="10736" y="0"/>
                <a:pt x="10673" y="0"/>
                <a:pt x="10611" y="1"/>
              </a:cubicBezTo>
              <a:lnTo>
                <a:pt x="10800" y="10800"/>
              </a:lnTo>
              <a:lnTo>
                <a:pt x="10799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542925</xdr:colOff>
      <xdr:row>4</xdr:row>
      <xdr:rowOff>38100</xdr:rowOff>
    </xdr:from>
    <xdr:to>
      <xdr:col>8</xdr:col>
      <xdr:colOff>323850</xdr:colOff>
      <xdr:row>31</xdr:row>
      <xdr:rowOff>19050</xdr:rowOff>
    </xdr:to>
    <xdr:grpSp>
      <xdr:nvGrpSpPr>
        <xdr:cNvPr id="4" name="Referencia"/>
        <xdr:cNvGrpSpPr>
          <a:grpSpLocks/>
        </xdr:cNvGrpSpPr>
      </xdr:nvGrpSpPr>
      <xdr:grpSpPr bwMode="auto">
        <a:xfrm>
          <a:off x="2066925" y="685800"/>
          <a:ext cx="4352925" cy="4352925"/>
          <a:chOff x="458" y="27"/>
          <a:chExt cx="457" cy="457"/>
        </a:xfrm>
      </xdr:grpSpPr>
      <xdr:sp macro="" textlink="">
        <xdr:nvSpPr>
          <xdr:cNvPr id="5" name="Oval 5"/>
          <xdr:cNvSpPr>
            <a:spLocks noChangeAspect="1" noChangeArrowheads="1"/>
          </xdr:cNvSpPr>
        </xdr:nvSpPr>
        <xdr:spPr bwMode="auto">
          <a:xfrm>
            <a:off x="458" y="27"/>
            <a:ext cx="457" cy="457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6" name="Oval 6"/>
          <xdr:cNvSpPr>
            <a:spLocks noChangeAspect="1" noChangeArrowheads="1"/>
          </xdr:cNvSpPr>
        </xdr:nvSpPr>
        <xdr:spPr bwMode="auto">
          <a:xfrm>
            <a:off x="515" y="84"/>
            <a:ext cx="343" cy="343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7" name="Oval 7"/>
          <xdr:cNvSpPr>
            <a:spLocks noChangeAspect="1" noChangeArrowheads="1"/>
          </xdr:cNvSpPr>
        </xdr:nvSpPr>
        <xdr:spPr bwMode="auto">
          <a:xfrm>
            <a:off x="572" y="141"/>
            <a:ext cx="229" cy="229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8" name="Oval 8"/>
          <xdr:cNvSpPr>
            <a:spLocks noChangeAspect="1" noChangeArrowheads="1"/>
          </xdr:cNvSpPr>
        </xdr:nvSpPr>
        <xdr:spPr bwMode="auto">
          <a:xfrm>
            <a:off x="629" y="198"/>
            <a:ext cx="114" cy="114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228600</xdr:colOff>
      <xdr:row>2</xdr:row>
      <xdr:rowOff>38100</xdr:rowOff>
    </xdr:from>
    <xdr:to>
      <xdr:col>8</xdr:col>
      <xdr:colOff>638175</xdr:colOff>
      <xdr:row>33</xdr:row>
      <xdr:rowOff>0</xdr:rowOff>
    </xdr:to>
    <xdr:grpSp>
      <xdr:nvGrpSpPr>
        <xdr:cNvPr id="9" name="Axis"/>
        <xdr:cNvGrpSpPr>
          <a:grpSpLocks/>
        </xdr:cNvGrpSpPr>
      </xdr:nvGrpSpPr>
      <xdr:grpSpPr bwMode="auto">
        <a:xfrm>
          <a:off x="1752600" y="361950"/>
          <a:ext cx="4981575" cy="4981575"/>
          <a:chOff x="421" y="1"/>
          <a:chExt cx="523" cy="523"/>
        </a:xfrm>
      </xdr:grpSpPr>
      <xdr:sp macro="" textlink="">
        <xdr:nvSpPr>
          <xdr:cNvPr id="10" name="Line 10"/>
          <xdr:cNvSpPr>
            <a:spLocks noChangeShapeType="1"/>
          </xdr:cNvSpPr>
        </xdr:nvSpPr>
        <xdr:spPr bwMode="auto">
          <a:xfrm>
            <a:off x="421" y="262"/>
            <a:ext cx="52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1"/>
          <xdr:cNvSpPr>
            <a:spLocks noChangeShapeType="1"/>
          </xdr:cNvSpPr>
        </xdr:nvSpPr>
        <xdr:spPr bwMode="auto">
          <a:xfrm rot="-5400000">
            <a:off x="421" y="263"/>
            <a:ext cx="52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0</xdr:colOff>
      <xdr:row>17</xdr:row>
      <xdr:rowOff>104775</xdr:rowOff>
    </xdr:from>
    <xdr:to>
      <xdr:col>5</xdr:col>
      <xdr:colOff>466725</xdr:colOff>
      <xdr:row>32</xdr:row>
      <xdr:rowOff>133350</xdr:rowOff>
    </xdr:to>
    <xdr:grpSp>
      <xdr:nvGrpSpPr>
        <xdr:cNvPr id="12" name="RangeValues"/>
        <xdr:cNvGrpSpPr>
          <a:grpSpLocks/>
        </xdr:cNvGrpSpPr>
      </xdr:nvGrpSpPr>
      <xdr:grpSpPr bwMode="auto">
        <a:xfrm>
          <a:off x="3810000" y="2857500"/>
          <a:ext cx="466725" cy="2457450"/>
          <a:chOff x="467" y="409"/>
          <a:chExt cx="49" cy="258"/>
        </a:xfrm>
      </xdr:grpSpPr>
      <xdr:sp macro="" textlink="">
        <xdr:nvSpPr>
          <xdr:cNvPr id="13" name="Text Box 13"/>
          <xdr:cNvSpPr txBox="1">
            <a:spLocks noChangeArrowheads="1"/>
          </xdr:cNvSpPr>
        </xdr:nvSpPr>
        <xdr:spPr bwMode="auto">
          <a:xfrm>
            <a:off x="485" y="409"/>
            <a:ext cx="31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0%</a:t>
            </a:r>
          </a:p>
        </xdr:txBody>
      </xdr:sp>
      <xdr:sp macro="" textlink="">
        <xdr:nvSpPr>
          <xdr:cNvPr id="14" name="Text Box 14"/>
          <xdr:cNvSpPr txBox="1">
            <a:spLocks noChangeArrowheads="1"/>
          </xdr:cNvSpPr>
        </xdr:nvSpPr>
        <xdr:spPr bwMode="auto">
          <a:xfrm>
            <a:off x="467" y="466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25%</a:t>
            </a:r>
          </a:p>
        </xdr:txBody>
      </xdr:sp>
      <xdr:sp macro="" textlink="">
        <xdr:nvSpPr>
          <xdr:cNvPr id="15" name="Text Box 15"/>
          <xdr:cNvSpPr txBox="1">
            <a:spLocks noChangeArrowheads="1"/>
          </xdr:cNvSpPr>
        </xdr:nvSpPr>
        <xdr:spPr bwMode="auto">
          <a:xfrm>
            <a:off x="467" y="525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50%</a:t>
            </a:r>
          </a:p>
        </xdr:txBody>
      </xdr:sp>
      <xdr:sp macro="" textlink="">
        <xdr:nvSpPr>
          <xdr:cNvPr id="16" name="Text Box 16"/>
          <xdr:cNvSpPr txBox="1">
            <a:spLocks noChangeArrowheads="1"/>
          </xdr:cNvSpPr>
        </xdr:nvSpPr>
        <xdr:spPr bwMode="auto">
          <a:xfrm>
            <a:off x="467" y="581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75%</a:t>
            </a:r>
          </a:p>
        </xdr:txBody>
      </xdr:sp>
      <xdr:sp macro="" textlink="">
        <xdr:nvSpPr>
          <xdr:cNvPr id="17" name="Text Box 17"/>
          <xdr:cNvSpPr txBox="1">
            <a:spLocks noChangeArrowheads="1"/>
          </xdr:cNvSpPr>
        </xdr:nvSpPr>
        <xdr:spPr bwMode="auto">
          <a:xfrm>
            <a:off x="467" y="643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100%</a:t>
            </a:r>
          </a:p>
        </xdr:txBody>
      </xdr:sp>
    </xdr:grpSp>
    <xdr:clientData/>
  </xdr:twoCellAnchor>
  <xdr:twoCellAnchor>
    <xdr:from>
      <xdr:col>4</xdr:col>
      <xdr:colOff>123823</xdr:colOff>
      <xdr:row>10</xdr:row>
      <xdr:rowOff>152398</xdr:rowOff>
    </xdr:from>
    <xdr:to>
      <xdr:col>6</xdr:col>
      <xdr:colOff>752474</xdr:colOff>
      <xdr:row>24</xdr:row>
      <xdr:rowOff>47625</xdr:rowOff>
    </xdr:to>
    <xdr:sp macro="" textlink="">
      <xdr:nvSpPr>
        <xdr:cNvPr id="18" name="17 Circular"/>
        <xdr:cNvSpPr/>
      </xdr:nvSpPr>
      <xdr:spPr>
        <a:xfrm>
          <a:off x="3171823" y="1771648"/>
          <a:ext cx="2152651" cy="2162177"/>
        </a:xfrm>
        <a:prstGeom prst="pie">
          <a:avLst>
            <a:gd name="adj1" fmla="val 16178004"/>
            <a:gd name="adj2" fmla="val 20052051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45</xdr:row>
      <xdr:rowOff>95250</xdr:rowOff>
    </xdr:from>
    <xdr:to>
      <xdr:col>8</xdr:col>
      <xdr:colOff>19050</xdr:colOff>
      <xdr:row>47</xdr:row>
      <xdr:rowOff>123825</xdr:rowOff>
    </xdr:to>
    <xdr:sp macro="" textlink="">
      <xdr:nvSpPr>
        <xdr:cNvPr id="2" name="1 Elipse"/>
        <xdr:cNvSpPr/>
      </xdr:nvSpPr>
      <xdr:spPr>
        <a:xfrm>
          <a:off x="5972175" y="8667750"/>
          <a:ext cx="771525" cy="40957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685800</xdr:colOff>
      <xdr:row>46</xdr:row>
      <xdr:rowOff>104775</xdr:rowOff>
    </xdr:from>
    <xdr:to>
      <xdr:col>3</xdr:col>
      <xdr:colOff>76200</xdr:colOff>
      <xdr:row>48</xdr:row>
      <xdr:rowOff>133350</xdr:rowOff>
    </xdr:to>
    <xdr:sp macro="" textlink="">
      <xdr:nvSpPr>
        <xdr:cNvPr id="3" name="2 Elipse"/>
        <xdr:cNvSpPr/>
      </xdr:nvSpPr>
      <xdr:spPr>
        <a:xfrm>
          <a:off x="1981200" y="8867775"/>
          <a:ext cx="771525" cy="40957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76200</xdr:colOff>
      <xdr:row>46</xdr:row>
      <xdr:rowOff>109538</xdr:rowOff>
    </xdr:from>
    <xdr:to>
      <xdr:col>7</xdr:col>
      <xdr:colOff>9525</xdr:colOff>
      <xdr:row>47</xdr:row>
      <xdr:rowOff>119063</xdr:rowOff>
    </xdr:to>
    <xdr:cxnSp macro="">
      <xdr:nvCxnSpPr>
        <xdr:cNvPr id="4" name="3 Conector recto de flecha"/>
        <xdr:cNvCxnSpPr>
          <a:stCxn id="3" idx="6"/>
          <a:endCxn id="2" idx="2"/>
        </xdr:cNvCxnSpPr>
      </xdr:nvCxnSpPr>
      <xdr:spPr>
        <a:xfrm flipV="1">
          <a:off x="2752725" y="8872538"/>
          <a:ext cx="3219450" cy="200025"/>
        </a:xfrm>
        <a:prstGeom prst="straightConnector1">
          <a:avLst/>
        </a:prstGeom>
        <a:ln w="28575"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85725</xdr:rowOff>
    </xdr:from>
    <xdr:to>
      <xdr:col>6</xdr:col>
      <xdr:colOff>914400</xdr:colOff>
      <xdr:row>16</xdr:row>
      <xdr:rowOff>38100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725"/>
          <a:ext cx="6029325" cy="3590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gentina/Clientes/Operaciones/ORACLE/2016/Presentaci&#243;n/trabajo/TI%20-%20Informe%202016%20(Office%20201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ar1"/>
      <sheetName val="TI COPIA"/>
      <sheetName val="Ficha técnica"/>
      <sheetName val="DetalleDimension"/>
      <sheetName val="Dimensiones"/>
      <sheetName val="Confianza"/>
      <sheetName val="Sintesis"/>
      <sheetName val="Evolucion Sintesis"/>
      <sheetName val="Tabla"/>
      <sheetName val="Demo"/>
      <sheetName val="Motivo"/>
      <sheetName val="INVESTIGACION"/>
      <sheetName val="Indice"/>
      <sheetName val="Indice3"/>
      <sheetName val="Indice2"/>
      <sheetName val="Radar"/>
      <sheetName val="Instrucciones USO"/>
      <sheetName val="Hoja2"/>
      <sheetName val="Adicionales"/>
    </sheetNames>
    <sheetDataSet>
      <sheetData sheetId="0" refreshError="1"/>
      <sheetData sheetId="1" refreshError="1"/>
      <sheetData sheetId="2" refreshError="1"/>
      <sheetData sheetId="3">
        <row r="34">
          <cell r="R34">
            <v>2005</v>
          </cell>
          <cell r="S34">
            <v>2006</v>
          </cell>
          <cell r="T34">
            <v>2007</v>
          </cell>
          <cell r="U34">
            <v>2008</v>
          </cell>
          <cell r="V34">
            <v>2009</v>
          </cell>
          <cell r="W34">
            <v>2010</v>
          </cell>
          <cell r="X34">
            <v>2011</v>
          </cell>
          <cell r="Y34">
            <v>2012</v>
          </cell>
          <cell r="Z34">
            <v>2013</v>
          </cell>
          <cell r="AA34">
            <v>2014</v>
          </cell>
          <cell r="AB34">
            <v>2015</v>
          </cell>
          <cell r="AC34">
            <v>2016</v>
          </cell>
        </row>
        <row r="35">
          <cell r="L35" t="str">
            <v>CREDIBILIDAD</v>
          </cell>
          <cell r="R35">
            <v>66.926923076923075</v>
          </cell>
          <cell r="S35">
            <v>67.15384615384616</v>
          </cell>
          <cell r="T35">
            <v>61.92307692307692</v>
          </cell>
          <cell r="U35">
            <v>66</v>
          </cell>
          <cell r="V35">
            <v>69</v>
          </cell>
          <cell r="W35">
            <v>62</v>
          </cell>
          <cell r="X35">
            <v>65</v>
          </cell>
          <cell r="Y35">
            <v>66</v>
          </cell>
          <cell r="Z35">
            <v>66</v>
          </cell>
          <cell r="AA35">
            <v>66.721428571428561</v>
          </cell>
          <cell r="AB35">
            <v>74.330714285714294</v>
          </cell>
          <cell r="AC35">
            <v>72</v>
          </cell>
        </row>
        <row r="36">
          <cell r="L36" t="str">
            <v>RESPETO</v>
          </cell>
          <cell r="R36">
            <v>59.937692307692302</v>
          </cell>
          <cell r="S36">
            <v>61</v>
          </cell>
          <cell r="T36">
            <v>59.615384615384613</v>
          </cell>
          <cell r="U36">
            <v>62</v>
          </cell>
          <cell r="V36">
            <v>67</v>
          </cell>
          <cell r="W36">
            <v>61</v>
          </cell>
          <cell r="X36">
            <v>63</v>
          </cell>
          <cell r="Y36">
            <v>64</v>
          </cell>
          <cell r="Z36">
            <v>64</v>
          </cell>
          <cell r="AA36">
            <v>66.944615384615389</v>
          </cell>
          <cell r="AB36">
            <v>73.815384615384602</v>
          </cell>
          <cell r="AC36">
            <v>74</v>
          </cell>
        </row>
        <row r="37">
          <cell r="L37" t="str">
            <v>IMPARCIALIDAD</v>
          </cell>
          <cell r="R37">
            <v>63.74666666666667</v>
          </cell>
          <cell r="S37">
            <v>59.083333333333336</v>
          </cell>
          <cell r="T37">
            <v>58.416666666666664</v>
          </cell>
          <cell r="U37">
            <v>63</v>
          </cell>
          <cell r="V37">
            <v>66</v>
          </cell>
          <cell r="W37">
            <v>60</v>
          </cell>
          <cell r="X37">
            <v>61</v>
          </cell>
          <cell r="Y37">
            <v>61</v>
          </cell>
          <cell r="Z37">
            <v>61</v>
          </cell>
          <cell r="AA37">
            <v>63.770833333333336</v>
          </cell>
          <cell r="AB37">
            <v>69.734999999999999</v>
          </cell>
          <cell r="AC37">
            <v>71</v>
          </cell>
        </row>
        <row r="38">
          <cell r="L38" t="str">
            <v>ORGULLO</v>
          </cell>
          <cell r="R38">
            <v>63.75</v>
          </cell>
          <cell r="S38">
            <v>65</v>
          </cell>
          <cell r="T38">
            <v>64.25</v>
          </cell>
          <cell r="U38">
            <v>66</v>
          </cell>
          <cell r="V38">
            <v>68</v>
          </cell>
          <cell r="W38">
            <v>62</v>
          </cell>
          <cell r="X38">
            <v>61</v>
          </cell>
          <cell r="Y38">
            <v>58</v>
          </cell>
          <cell r="Z38">
            <v>59</v>
          </cell>
          <cell r="AA38">
            <v>61.237499999999997</v>
          </cell>
          <cell r="AB38">
            <v>71.428750000000008</v>
          </cell>
          <cell r="AC38">
            <v>76</v>
          </cell>
        </row>
        <row r="39">
          <cell r="L39" t="str">
            <v>CAMARADERÍA</v>
          </cell>
          <cell r="R39">
            <v>59.8</v>
          </cell>
          <cell r="S39">
            <v>62.3</v>
          </cell>
          <cell r="T39">
            <v>63.5</v>
          </cell>
          <cell r="U39">
            <v>65</v>
          </cell>
          <cell r="V39">
            <v>68</v>
          </cell>
          <cell r="W39">
            <v>66</v>
          </cell>
          <cell r="X39">
            <v>63</v>
          </cell>
          <cell r="Y39">
            <v>62</v>
          </cell>
          <cell r="Z39">
            <v>62</v>
          </cell>
          <cell r="AA39">
            <v>65.471000000000004</v>
          </cell>
          <cell r="AB39">
            <v>73.431000000000012</v>
          </cell>
          <cell r="AC39">
            <v>71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topLeftCell="A16" workbookViewId="0">
      <selection activeCell="A7" sqref="A7:L35"/>
    </sheetView>
  </sheetViews>
  <sheetFormatPr baseColWidth="10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Q86"/>
  <sheetViews>
    <sheetView showGridLines="0" topLeftCell="CV1" workbookViewId="0">
      <selection activeCell="EM1" sqref="EM1:EQ3"/>
    </sheetView>
  </sheetViews>
  <sheetFormatPr baseColWidth="10" defaultRowHeight="15"/>
  <cols>
    <col min="1" max="1" width="5.140625" customWidth="1"/>
    <col min="2" max="2" width="4.28515625" customWidth="1"/>
    <col min="3" max="3" width="73.7109375" customWidth="1"/>
    <col min="4" max="8" width="5" customWidth="1"/>
    <col min="9" max="9" width="0.7109375" customWidth="1"/>
    <col min="10" max="14" width="5" customWidth="1"/>
    <col min="15" max="15" width="0.7109375" customWidth="1"/>
    <col min="16" max="17" width="5" customWidth="1"/>
    <col min="18" max="18" width="0.7109375" customWidth="1"/>
    <col min="19" max="23" width="5" customWidth="1"/>
    <col min="24" max="24" width="0.7109375" customWidth="1"/>
    <col min="25" max="29" width="5" customWidth="1"/>
    <col min="30" max="30" width="0.7109375" customWidth="1"/>
    <col min="31" max="32" width="5" customWidth="1"/>
    <col min="33" max="33" width="0.7109375" customWidth="1"/>
    <col min="34" max="37" width="5" customWidth="1"/>
    <col min="38" max="38" width="0.7109375" customWidth="1"/>
    <col min="39" max="45" width="5" customWidth="1"/>
    <col min="46" max="46" width="0.7109375" customWidth="1"/>
    <col min="47" max="53" width="5" customWidth="1"/>
    <col min="54" max="54" width="0.7109375" customWidth="1"/>
    <col min="55" max="61" width="5" customWidth="1"/>
    <col min="62" max="62" width="0.7109375" customWidth="1"/>
    <col min="63" max="64" width="5" customWidth="1"/>
    <col min="65" max="65" width="0.7109375" customWidth="1"/>
    <col min="66" max="69" width="5" customWidth="1"/>
    <col min="70" max="70" width="0.7109375" customWidth="1"/>
    <col min="71" max="74" width="5" customWidth="1"/>
    <col min="75" max="75" width="0.7109375" customWidth="1"/>
    <col min="76" max="77" width="5" customWidth="1"/>
    <col min="78" max="78" width="0.7109375" customWidth="1"/>
    <col min="79" max="80" width="5" customWidth="1"/>
    <col min="81" max="81" width="0.7109375" customWidth="1"/>
    <col min="82" max="83" width="5" customWidth="1"/>
    <col min="84" max="84" width="0.7109375" customWidth="1"/>
    <col min="85" max="86" width="5" customWidth="1"/>
    <col min="87" max="87" width="0.7109375" customWidth="1"/>
    <col min="88" max="91" width="5" customWidth="1"/>
    <col min="92" max="92" width="0.7109375" customWidth="1"/>
    <col min="93" max="95" width="5" customWidth="1"/>
    <col min="96" max="96" width="0.7109375" customWidth="1"/>
    <col min="97" max="102" width="5" customWidth="1"/>
    <col min="103" max="103" width="0.7109375" customWidth="1"/>
    <col min="104" max="104" width="5" customWidth="1"/>
    <col min="105" max="105" width="0.7109375" customWidth="1"/>
    <col min="106" max="106" width="5" customWidth="1"/>
    <col min="107" max="107" width="0.7109375" customWidth="1"/>
    <col min="108" max="108" width="5" customWidth="1"/>
    <col min="109" max="109" width="0.7109375" customWidth="1"/>
    <col min="110" max="110" width="5" customWidth="1"/>
    <col min="111" max="111" width="0.7109375" customWidth="1"/>
    <col min="112" max="112" width="5" customWidth="1"/>
    <col min="113" max="113" width="0.7109375" customWidth="1"/>
    <col min="114" max="114" width="5" customWidth="1"/>
    <col min="115" max="115" width="0.7109375" customWidth="1"/>
    <col min="116" max="126" width="5" customWidth="1"/>
    <col min="127" max="127" width="0.7109375" customWidth="1"/>
    <col min="128" max="128" width="5" customWidth="1"/>
    <col min="129" max="129" width="0.7109375" customWidth="1"/>
    <col min="130" max="132" width="5" customWidth="1"/>
    <col min="133" max="133" width="0.7109375" customWidth="1"/>
    <col min="134" max="135" width="5" customWidth="1"/>
    <col min="136" max="136" width="0.7109375" customWidth="1"/>
    <col min="137" max="138" width="5" customWidth="1"/>
    <col min="139" max="139" width="0.7109375" customWidth="1"/>
    <col min="140" max="141" width="5" customWidth="1"/>
    <col min="142" max="142" width="0.7109375" customWidth="1"/>
    <col min="143" max="147" width="5" customWidth="1"/>
  </cols>
  <sheetData>
    <row r="1" spans="1:147" s="426" customFormat="1" ht="23.25" customHeight="1" thickBot="1">
      <c r="A1" s="509" t="s">
        <v>891</v>
      </c>
      <c r="B1" s="509"/>
      <c r="C1" s="423"/>
      <c r="D1" s="501" t="s">
        <v>892</v>
      </c>
      <c r="E1" s="503"/>
      <c r="F1" s="503"/>
      <c r="G1" s="503"/>
      <c r="H1" s="502"/>
      <c r="I1" s="424"/>
      <c r="J1" s="501" t="s">
        <v>281</v>
      </c>
      <c r="K1" s="503"/>
      <c r="L1" s="503"/>
      <c r="M1" s="503"/>
      <c r="N1" s="502"/>
      <c r="O1" s="424"/>
      <c r="P1" s="501" t="s">
        <v>300</v>
      </c>
      <c r="Q1" s="502"/>
      <c r="R1" s="424"/>
      <c r="S1" s="501" t="s">
        <v>299</v>
      </c>
      <c r="T1" s="503"/>
      <c r="U1" s="503"/>
      <c r="V1" s="503"/>
      <c r="W1" s="502"/>
      <c r="X1" s="424"/>
      <c r="Y1" s="501" t="s">
        <v>757</v>
      </c>
      <c r="Z1" s="503"/>
      <c r="AA1" s="503"/>
      <c r="AB1" s="503"/>
      <c r="AC1" s="502"/>
      <c r="AD1" s="424"/>
      <c r="AE1" s="501" t="s">
        <v>441</v>
      </c>
      <c r="AF1" s="502"/>
      <c r="AG1" s="424"/>
      <c r="AH1" s="501" t="s">
        <v>815</v>
      </c>
      <c r="AI1" s="503"/>
      <c r="AJ1" s="503"/>
      <c r="AK1" s="502"/>
      <c r="AL1" s="424"/>
      <c r="AM1" s="510" t="s">
        <v>823</v>
      </c>
      <c r="AN1" s="511"/>
      <c r="AO1" s="511"/>
      <c r="AP1" s="511"/>
      <c r="AQ1" s="511"/>
      <c r="AR1" s="511"/>
      <c r="AS1" s="512"/>
      <c r="AT1" s="424"/>
      <c r="AU1" s="510" t="s">
        <v>827</v>
      </c>
      <c r="AV1" s="511"/>
      <c r="AW1" s="511"/>
      <c r="AX1" s="511"/>
      <c r="AY1" s="511"/>
      <c r="AZ1" s="511"/>
      <c r="BA1" s="512"/>
      <c r="BB1" s="424"/>
      <c r="BC1" s="510" t="s">
        <v>832</v>
      </c>
      <c r="BD1" s="511"/>
      <c r="BE1" s="511"/>
      <c r="BF1" s="511"/>
      <c r="BG1" s="511"/>
      <c r="BH1" s="511"/>
      <c r="BI1" s="512"/>
      <c r="BJ1" s="424"/>
      <c r="BK1" s="499" t="s">
        <v>816</v>
      </c>
      <c r="BL1" s="508"/>
      <c r="BM1" s="424"/>
      <c r="BN1" s="499" t="s">
        <v>817</v>
      </c>
      <c r="BO1" s="508"/>
      <c r="BP1" s="508"/>
      <c r="BQ1" s="508"/>
      <c r="BR1" s="424"/>
      <c r="BS1" s="499" t="s">
        <v>843</v>
      </c>
      <c r="BT1" s="508"/>
      <c r="BU1" s="508"/>
      <c r="BV1" s="508"/>
      <c r="BW1" s="424"/>
      <c r="BX1" s="499" t="s">
        <v>819</v>
      </c>
      <c r="BY1" s="508"/>
      <c r="BZ1" s="424"/>
      <c r="CA1" s="499" t="s">
        <v>820</v>
      </c>
      <c r="CB1" s="508"/>
      <c r="CC1" s="424"/>
      <c r="CD1" s="499" t="s">
        <v>821</v>
      </c>
      <c r="CE1" s="508"/>
      <c r="CF1" s="424"/>
      <c r="CG1" s="499" t="s">
        <v>822</v>
      </c>
      <c r="CH1" s="500"/>
      <c r="CI1" s="424"/>
      <c r="CJ1" s="499" t="s">
        <v>824</v>
      </c>
      <c r="CK1" s="508"/>
      <c r="CL1" s="508"/>
      <c r="CM1" s="500"/>
      <c r="CN1" s="424"/>
      <c r="CO1" s="499" t="s">
        <v>764</v>
      </c>
      <c r="CP1" s="508"/>
      <c r="CQ1" s="508"/>
      <c r="CR1" s="424"/>
      <c r="CS1" s="499" t="s">
        <v>766</v>
      </c>
      <c r="CT1" s="508"/>
      <c r="CU1" s="508"/>
      <c r="CV1" s="508"/>
      <c r="CW1" s="508"/>
      <c r="CX1" s="500"/>
      <c r="CY1" s="424"/>
      <c r="CZ1" s="425" t="s">
        <v>825</v>
      </c>
      <c r="DA1" s="424"/>
      <c r="DB1" s="425" t="s">
        <v>765</v>
      </c>
      <c r="DC1" s="424"/>
      <c r="DD1" s="425" t="s">
        <v>782</v>
      </c>
      <c r="DE1" s="424"/>
      <c r="DF1" s="425" t="s">
        <v>826</v>
      </c>
      <c r="DG1" s="424"/>
      <c r="DH1" s="425" t="s">
        <v>783</v>
      </c>
      <c r="DI1" s="424"/>
      <c r="DJ1" s="425" t="s">
        <v>785</v>
      </c>
      <c r="DK1" s="424"/>
      <c r="DL1" s="499" t="s">
        <v>828</v>
      </c>
      <c r="DM1" s="508"/>
      <c r="DN1" s="508"/>
      <c r="DO1" s="508"/>
      <c r="DP1" s="508"/>
      <c r="DQ1" s="508"/>
      <c r="DR1" s="508"/>
      <c r="DS1" s="508"/>
      <c r="DT1" s="508"/>
      <c r="DU1" s="508"/>
      <c r="DV1" s="508"/>
      <c r="DW1" s="424"/>
      <c r="DX1" s="425" t="s">
        <v>786</v>
      </c>
      <c r="DY1" s="424"/>
      <c r="DZ1" s="506" t="s">
        <v>829</v>
      </c>
      <c r="EA1" s="507"/>
      <c r="EB1" s="507"/>
      <c r="EC1" s="424"/>
      <c r="ED1" s="499" t="s">
        <v>830</v>
      </c>
      <c r="EE1" s="508"/>
      <c r="EF1" s="424"/>
      <c r="EG1" s="499" t="s">
        <v>831</v>
      </c>
      <c r="EH1" s="500"/>
      <c r="EI1" s="424"/>
      <c r="EJ1" s="501" t="s">
        <v>893</v>
      </c>
      <c r="EK1" s="502"/>
      <c r="EL1" s="424"/>
      <c r="EM1" s="501" t="s">
        <v>555</v>
      </c>
      <c r="EN1" s="503"/>
      <c r="EO1" s="503"/>
      <c r="EP1" s="503"/>
      <c r="EQ1" s="502"/>
    </row>
    <row r="2" spans="1:147" ht="144.94999999999999" customHeight="1">
      <c r="A2" s="504" t="s">
        <v>894</v>
      </c>
      <c r="B2" s="504"/>
      <c r="C2" s="505"/>
      <c r="D2" s="427">
        <v>2016</v>
      </c>
      <c r="E2" s="428">
        <v>2015</v>
      </c>
      <c r="F2" s="429" t="s">
        <v>895</v>
      </c>
      <c r="G2" s="430" t="s">
        <v>896</v>
      </c>
      <c r="H2" s="431" t="s">
        <v>897</v>
      </c>
      <c r="I2" s="432"/>
      <c r="J2" s="320" t="s">
        <v>748</v>
      </c>
      <c r="K2" s="320" t="s">
        <v>749</v>
      </c>
      <c r="L2" s="320" t="s">
        <v>750</v>
      </c>
      <c r="M2" s="320" t="s">
        <v>751</v>
      </c>
      <c r="N2" s="320" t="s">
        <v>752</v>
      </c>
      <c r="O2" s="432"/>
      <c r="P2" s="320" t="s">
        <v>187</v>
      </c>
      <c r="Q2" s="320" t="s">
        <v>188</v>
      </c>
      <c r="R2" s="432"/>
      <c r="S2" s="320" t="s">
        <v>560</v>
      </c>
      <c r="T2" s="320" t="s">
        <v>561</v>
      </c>
      <c r="U2" s="320" t="s">
        <v>213</v>
      </c>
      <c r="V2" s="320" t="s">
        <v>562</v>
      </c>
      <c r="W2" s="320" t="s">
        <v>563</v>
      </c>
      <c r="X2" s="432"/>
      <c r="Y2" s="320" t="s">
        <v>753</v>
      </c>
      <c r="Z2" s="320" t="s">
        <v>754</v>
      </c>
      <c r="AA2" s="320" t="s">
        <v>755</v>
      </c>
      <c r="AB2" s="320" t="s">
        <v>756</v>
      </c>
      <c r="AC2" s="320" t="s">
        <v>564</v>
      </c>
      <c r="AD2" s="432"/>
      <c r="AE2" s="320" t="s">
        <v>758</v>
      </c>
      <c r="AF2" s="320" t="s">
        <v>759</v>
      </c>
      <c r="AG2" s="432"/>
      <c r="AH2" s="320" t="s">
        <v>760</v>
      </c>
      <c r="AI2" s="320" t="s">
        <v>761</v>
      </c>
      <c r="AJ2" s="320" t="s">
        <v>762</v>
      </c>
      <c r="AK2" s="320" t="s">
        <v>763</v>
      </c>
      <c r="AL2" s="432"/>
      <c r="AM2" s="433" t="s">
        <v>816</v>
      </c>
      <c r="AN2" s="433" t="s">
        <v>817</v>
      </c>
      <c r="AO2" s="433" t="s">
        <v>818</v>
      </c>
      <c r="AP2" s="433" t="s">
        <v>819</v>
      </c>
      <c r="AQ2" s="433" t="s">
        <v>820</v>
      </c>
      <c r="AR2" s="433" t="s">
        <v>821</v>
      </c>
      <c r="AS2" s="433" t="s">
        <v>822</v>
      </c>
      <c r="AT2" s="434"/>
      <c r="AU2" s="433" t="s">
        <v>824</v>
      </c>
      <c r="AV2" s="433" t="s">
        <v>764</v>
      </c>
      <c r="AW2" s="433" t="s">
        <v>766</v>
      </c>
      <c r="AX2" s="433" t="s">
        <v>825</v>
      </c>
      <c r="AY2" s="433" t="s">
        <v>765</v>
      </c>
      <c r="AZ2" s="433" t="s">
        <v>782</v>
      </c>
      <c r="BA2" s="433" t="s">
        <v>826</v>
      </c>
      <c r="BB2" s="434"/>
      <c r="BC2" s="433" t="s">
        <v>783</v>
      </c>
      <c r="BD2" s="433" t="s">
        <v>785</v>
      </c>
      <c r="BE2" s="435" t="s">
        <v>828</v>
      </c>
      <c r="BF2" s="433" t="s">
        <v>786</v>
      </c>
      <c r="BG2" s="433" t="s">
        <v>829</v>
      </c>
      <c r="BH2" s="433" t="s">
        <v>830</v>
      </c>
      <c r="BI2" s="433" t="s">
        <v>831</v>
      </c>
      <c r="BJ2" s="432"/>
      <c r="BK2" s="436" t="s">
        <v>833</v>
      </c>
      <c r="BL2" s="436" t="s">
        <v>834</v>
      </c>
      <c r="BM2" s="432"/>
      <c r="BN2" s="436" t="s">
        <v>835</v>
      </c>
      <c r="BO2" s="436" t="s">
        <v>836</v>
      </c>
      <c r="BP2" s="436" t="s">
        <v>837</v>
      </c>
      <c r="BQ2" s="436" t="s">
        <v>838</v>
      </c>
      <c r="BR2" s="432"/>
      <c r="BS2" s="436" t="s">
        <v>839</v>
      </c>
      <c r="BT2" s="436" t="s">
        <v>840</v>
      </c>
      <c r="BU2" s="436" t="s">
        <v>841</v>
      </c>
      <c r="BV2" s="436" t="s">
        <v>842</v>
      </c>
      <c r="BW2" s="432"/>
      <c r="BX2" s="436" t="s">
        <v>844</v>
      </c>
      <c r="BY2" s="436" t="s">
        <v>845</v>
      </c>
      <c r="BZ2" s="432"/>
      <c r="CA2" s="436" t="s">
        <v>846</v>
      </c>
      <c r="CB2" s="436" t="s">
        <v>847</v>
      </c>
      <c r="CC2" s="432"/>
      <c r="CD2" s="436" t="s">
        <v>848</v>
      </c>
      <c r="CE2" s="436" t="s">
        <v>849</v>
      </c>
      <c r="CF2" s="432"/>
      <c r="CG2" s="436" t="s">
        <v>850</v>
      </c>
      <c r="CH2" s="436" t="s">
        <v>851</v>
      </c>
      <c r="CI2" s="432"/>
      <c r="CJ2" s="436" t="s">
        <v>852</v>
      </c>
      <c r="CK2" s="436" t="s">
        <v>784</v>
      </c>
      <c r="CL2" s="436" t="s">
        <v>853</v>
      </c>
      <c r="CM2" s="436" t="s">
        <v>854</v>
      </c>
      <c r="CN2" s="432"/>
      <c r="CO2" s="436" t="s">
        <v>855</v>
      </c>
      <c r="CP2" s="436" t="s">
        <v>856</v>
      </c>
      <c r="CQ2" s="436" t="s">
        <v>857</v>
      </c>
      <c r="CR2" s="432"/>
      <c r="CS2" s="436" t="s">
        <v>858</v>
      </c>
      <c r="CT2" s="436" t="s">
        <v>859</v>
      </c>
      <c r="CU2" s="436" t="s">
        <v>860</v>
      </c>
      <c r="CV2" s="436" t="s">
        <v>861</v>
      </c>
      <c r="CW2" s="436" t="s">
        <v>862</v>
      </c>
      <c r="CX2" s="436" t="s">
        <v>863</v>
      </c>
      <c r="CY2" s="432"/>
      <c r="CZ2" s="436" t="s">
        <v>864</v>
      </c>
      <c r="DA2" s="432"/>
      <c r="DB2" s="436" t="s">
        <v>865</v>
      </c>
      <c r="DC2" s="432"/>
      <c r="DD2" s="436" t="s">
        <v>866</v>
      </c>
      <c r="DE2" s="432"/>
      <c r="DF2" s="436" t="s">
        <v>867</v>
      </c>
      <c r="DG2" s="432"/>
      <c r="DH2" s="436" t="s">
        <v>868</v>
      </c>
      <c r="DI2" s="432"/>
      <c r="DJ2" s="436" t="s">
        <v>869</v>
      </c>
      <c r="DK2" s="432"/>
      <c r="DL2" s="436" t="s">
        <v>870</v>
      </c>
      <c r="DM2" s="436" t="s">
        <v>871</v>
      </c>
      <c r="DN2" s="436" t="s">
        <v>872</v>
      </c>
      <c r="DO2" s="436" t="s">
        <v>873</v>
      </c>
      <c r="DP2" s="436" t="s">
        <v>874</v>
      </c>
      <c r="DQ2" s="436" t="s">
        <v>875</v>
      </c>
      <c r="DR2" s="436" t="s">
        <v>876</v>
      </c>
      <c r="DS2" s="436" t="s">
        <v>877</v>
      </c>
      <c r="DT2" s="436" t="s">
        <v>878</v>
      </c>
      <c r="DU2" s="436" t="s">
        <v>879</v>
      </c>
      <c r="DV2" s="436" t="s">
        <v>880</v>
      </c>
      <c r="DW2" s="432"/>
      <c r="DX2" s="436" t="s">
        <v>881</v>
      </c>
      <c r="DY2" s="432"/>
      <c r="DZ2" s="436" t="s">
        <v>882</v>
      </c>
      <c r="EA2" s="436" t="s">
        <v>883</v>
      </c>
      <c r="EB2" s="436" t="s">
        <v>884</v>
      </c>
      <c r="EC2" s="432"/>
      <c r="ED2" s="436" t="s">
        <v>885</v>
      </c>
      <c r="EE2" s="436" t="s">
        <v>886</v>
      </c>
      <c r="EF2" s="432"/>
      <c r="EG2" s="436" t="s">
        <v>887</v>
      </c>
      <c r="EH2" s="436" t="s">
        <v>888</v>
      </c>
      <c r="EI2" s="432"/>
      <c r="EJ2" s="320" t="s">
        <v>889</v>
      </c>
      <c r="EK2" s="320" t="s">
        <v>890</v>
      </c>
      <c r="EL2" s="432"/>
      <c r="EM2" s="320" t="s">
        <v>192</v>
      </c>
      <c r="EN2" s="320" t="s">
        <v>189</v>
      </c>
      <c r="EO2" s="320" t="s">
        <v>190</v>
      </c>
      <c r="EP2" s="320" t="s">
        <v>0</v>
      </c>
      <c r="EQ2" s="320" t="s">
        <v>1</v>
      </c>
    </row>
    <row r="3" spans="1:147">
      <c r="A3" s="321"/>
      <c r="B3" s="321"/>
      <c r="C3" s="322" t="s">
        <v>2</v>
      </c>
      <c r="D3" s="375">
        <v>546</v>
      </c>
      <c r="E3" s="437">
        <v>600</v>
      </c>
      <c r="F3" s="323"/>
      <c r="G3" s="349"/>
      <c r="H3" s="438"/>
      <c r="I3" s="432"/>
      <c r="J3" s="323">
        <v>5</v>
      </c>
      <c r="K3" s="323">
        <v>34</v>
      </c>
      <c r="L3" s="323">
        <v>79</v>
      </c>
      <c r="M3" s="323">
        <v>409</v>
      </c>
      <c r="N3" s="323">
        <v>19</v>
      </c>
      <c r="O3" s="432"/>
      <c r="P3" s="323">
        <v>346</v>
      </c>
      <c r="Q3" s="323">
        <v>200</v>
      </c>
      <c r="R3" s="432"/>
      <c r="S3" s="323">
        <v>25</v>
      </c>
      <c r="T3" s="323">
        <v>163</v>
      </c>
      <c r="U3" s="323">
        <v>209</v>
      </c>
      <c r="V3" s="323">
        <v>128</v>
      </c>
      <c r="W3" s="323">
        <v>21</v>
      </c>
      <c r="X3" s="432"/>
      <c r="Y3" s="323">
        <v>77</v>
      </c>
      <c r="Z3" s="323">
        <v>214</v>
      </c>
      <c r="AA3" s="323">
        <v>115</v>
      </c>
      <c r="AB3" s="323">
        <v>61</v>
      </c>
      <c r="AC3" s="323">
        <v>79</v>
      </c>
      <c r="AD3" s="432"/>
      <c r="AE3" s="323">
        <v>526</v>
      </c>
      <c r="AF3" s="323">
        <v>20</v>
      </c>
      <c r="AG3" s="432"/>
      <c r="AH3" s="323">
        <v>187</v>
      </c>
      <c r="AI3" s="323">
        <v>105</v>
      </c>
      <c r="AJ3" s="323">
        <v>137</v>
      </c>
      <c r="AK3" s="323">
        <v>83</v>
      </c>
      <c r="AL3" s="432"/>
      <c r="AM3" s="323">
        <v>7</v>
      </c>
      <c r="AN3" s="323">
        <v>6</v>
      </c>
      <c r="AO3" s="323">
        <v>54</v>
      </c>
      <c r="AP3" s="323">
        <v>5</v>
      </c>
      <c r="AQ3" s="323">
        <v>5</v>
      </c>
      <c r="AR3" s="323">
        <v>41</v>
      </c>
      <c r="AS3" s="323">
        <v>3</v>
      </c>
      <c r="AT3" s="432"/>
      <c r="AU3" s="323">
        <v>22</v>
      </c>
      <c r="AV3" s="323">
        <v>157</v>
      </c>
      <c r="AW3" s="323">
        <v>41</v>
      </c>
      <c r="AX3" s="323">
        <v>5</v>
      </c>
      <c r="AY3" s="323">
        <v>4</v>
      </c>
      <c r="AZ3" s="323">
        <v>7</v>
      </c>
      <c r="BA3" s="323">
        <v>17</v>
      </c>
      <c r="BB3" s="432"/>
      <c r="BC3" s="323">
        <v>5</v>
      </c>
      <c r="BD3" s="323">
        <v>2</v>
      </c>
      <c r="BE3" s="323">
        <v>110</v>
      </c>
      <c r="BF3" s="323">
        <v>2</v>
      </c>
      <c r="BG3" s="323">
        <v>9</v>
      </c>
      <c r="BH3" s="323">
        <v>6</v>
      </c>
      <c r="BI3" s="323">
        <v>38</v>
      </c>
      <c r="BJ3" s="432"/>
      <c r="BK3" s="323">
        <v>1</v>
      </c>
      <c r="BL3" s="323">
        <v>6</v>
      </c>
      <c r="BM3" s="432"/>
      <c r="BN3" s="323">
        <v>1</v>
      </c>
      <c r="BO3" s="323">
        <v>1</v>
      </c>
      <c r="BP3" s="323">
        <v>4</v>
      </c>
      <c r="BQ3" s="323">
        <v>0</v>
      </c>
      <c r="BR3" s="432"/>
      <c r="BS3" s="323">
        <v>1</v>
      </c>
      <c r="BT3" s="323">
        <v>1</v>
      </c>
      <c r="BU3" s="323">
        <v>35</v>
      </c>
      <c r="BV3" s="323">
        <v>17</v>
      </c>
      <c r="BW3" s="432"/>
      <c r="BX3" s="323">
        <v>4</v>
      </c>
      <c r="BY3" s="323">
        <v>1</v>
      </c>
      <c r="BZ3" s="432"/>
      <c r="CA3" s="323">
        <v>1</v>
      </c>
      <c r="CB3" s="323">
        <v>4</v>
      </c>
      <c r="CC3" s="432"/>
      <c r="CD3" s="323">
        <v>28</v>
      </c>
      <c r="CE3" s="323">
        <v>13</v>
      </c>
      <c r="CF3" s="432"/>
      <c r="CG3" s="323">
        <v>3</v>
      </c>
      <c r="CH3" s="323">
        <v>0</v>
      </c>
      <c r="CI3" s="432"/>
      <c r="CJ3" s="323">
        <v>5</v>
      </c>
      <c r="CK3" s="323">
        <v>2</v>
      </c>
      <c r="CL3" s="323">
        <v>4</v>
      </c>
      <c r="CM3" s="323">
        <v>11</v>
      </c>
      <c r="CN3" s="432"/>
      <c r="CO3" s="323">
        <v>8</v>
      </c>
      <c r="CP3" s="323">
        <v>139</v>
      </c>
      <c r="CQ3" s="323">
        <v>10</v>
      </c>
      <c r="CR3" s="432"/>
      <c r="CS3" s="323">
        <v>7</v>
      </c>
      <c r="CT3" s="323">
        <v>5</v>
      </c>
      <c r="CU3" s="323">
        <v>7</v>
      </c>
      <c r="CV3" s="323">
        <v>14</v>
      </c>
      <c r="CW3" s="323">
        <v>6</v>
      </c>
      <c r="CX3" s="323">
        <v>2</v>
      </c>
      <c r="CY3" s="432"/>
      <c r="CZ3" s="323">
        <v>5</v>
      </c>
      <c r="DA3" s="432"/>
      <c r="DB3" s="323">
        <v>4</v>
      </c>
      <c r="DC3" s="432"/>
      <c r="DD3" s="323">
        <v>7</v>
      </c>
      <c r="DE3" s="432"/>
      <c r="DF3" s="323">
        <v>17</v>
      </c>
      <c r="DG3" s="432"/>
      <c r="DH3" s="323">
        <v>5</v>
      </c>
      <c r="DI3" s="432"/>
      <c r="DJ3" s="323">
        <v>2</v>
      </c>
      <c r="DK3" s="432"/>
      <c r="DL3" s="323">
        <v>4</v>
      </c>
      <c r="DM3" s="323">
        <v>8</v>
      </c>
      <c r="DN3" s="323">
        <v>11</v>
      </c>
      <c r="DO3" s="323">
        <v>17</v>
      </c>
      <c r="DP3" s="323">
        <v>1</v>
      </c>
      <c r="DQ3" s="323">
        <v>9</v>
      </c>
      <c r="DR3" s="323">
        <v>30</v>
      </c>
      <c r="DS3" s="323">
        <v>13</v>
      </c>
      <c r="DT3" s="323">
        <v>8</v>
      </c>
      <c r="DU3" s="323">
        <v>2</v>
      </c>
      <c r="DV3" s="323">
        <v>7</v>
      </c>
      <c r="DW3" s="432"/>
      <c r="DX3" s="323">
        <v>2</v>
      </c>
      <c r="DY3" s="432"/>
      <c r="DZ3" s="323">
        <v>5</v>
      </c>
      <c r="EA3" s="323">
        <v>3</v>
      </c>
      <c r="EB3" s="323">
        <v>1</v>
      </c>
      <c r="EC3" s="432"/>
      <c r="ED3" s="323">
        <v>2</v>
      </c>
      <c r="EE3" s="323">
        <v>4</v>
      </c>
      <c r="EF3" s="432"/>
      <c r="EG3" s="323">
        <v>19</v>
      </c>
      <c r="EH3" s="323">
        <v>19</v>
      </c>
      <c r="EI3" s="432"/>
      <c r="EJ3" s="323">
        <v>121</v>
      </c>
      <c r="EK3" s="323">
        <v>425</v>
      </c>
      <c r="EL3" s="432"/>
      <c r="EM3" s="323">
        <v>138</v>
      </c>
      <c r="EN3" s="323">
        <v>43</v>
      </c>
      <c r="EO3" s="323">
        <v>10</v>
      </c>
      <c r="EP3" s="323">
        <v>266</v>
      </c>
      <c r="EQ3" s="323">
        <v>56</v>
      </c>
    </row>
    <row r="4" spans="1:147" ht="4.5" customHeight="1">
      <c r="A4" s="439"/>
      <c r="B4" s="324"/>
      <c r="C4" s="324"/>
      <c r="D4" s="376"/>
      <c r="E4" s="440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4"/>
      <c r="S4" s="324"/>
      <c r="T4" s="324"/>
      <c r="U4" s="324"/>
      <c r="V4" s="324"/>
      <c r="W4" s="324"/>
      <c r="X4" s="324"/>
      <c r="Y4" s="324"/>
      <c r="Z4" s="324"/>
      <c r="AA4" s="324"/>
      <c r="AB4" s="324"/>
      <c r="AC4" s="324"/>
      <c r="AD4" s="324"/>
      <c r="AE4" s="324"/>
      <c r="AF4" s="324"/>
      <c r="AG4" s="324"/>
      <c r="AH4" s="324"/>
      <c r="AI4" s="324"/>
      <c r="AJ4" s="324"/>
      <c r="AK4" s="324"/>
      <c r="AL4" s="324"/>
      <c r="AM4" s="324"/>
      <c r="AN4" s="324"/>
      <c r="AO4" s="324"/>
      <c r="AP4" s="324"/>
      <c r="AQ4" s="324"/>
      <c r="AR4" s="324"/>
      <c r="AS4" s="324"/>
      <c r="AT4" s="324"/>
      <c r="AU4" s="324"/>
      <c r="AV4" s="324"/>
      <c r="AW4" s="324"/>
      <c r="AX4" s="324"/>
      <c r="AY4" s="324"/>
      <c r="AZ4" s="324"/>
      <c r="BA4" s="324"/>
      <c r="BB4" s="324"/>
      <c r="BC4" s="324"/>
      <c r="BD4" s="324"/>
      <c r="BE4" s="324"/>
      <c r="BF4" s="324"/>
      <c r="BG4" s="324"/>
      <c r="BH4" s="324"/>
      <c r="BI4" s="324"/>
      <c r="BJ4" s="324"/>
      <c r="BK4" s="324"/>
      <c r="BL4" s="324"/>
      <c r="BM4" s="324"/>
      <c r="BN4" s="324"/>
      <c r="BO4" s="324"/>
      <c r="BP4" s="324"/>
      <c r="BQ4" s="324"/>
      <c r="BR4" s="324"/>
      <c r="BS4" s="324"/>
      <c r="BT4" s="324"/>
      <c r="BU4" s="324"/>
      <c r="BV4" s="324"/>
      <c r="BW4" s="324"/>
      <c r="BX4" s="324"/>
      <c r="BY4" s="324"/>
      <c r="BZ4" s="324"/>
      <c r="CA4" s="324"/>
      <c r="CB4" s="324"/>
      <c r="CC4" s="324"/>
      <c r="CD4" s="324"/>
      <c r="CE4" s="324"/>
      <c r="CF4" s="324"/>
      <c r="CG4" s="324"/>
      <c r="CH4" s="324"/>
      <c r="CI4" s="324"/>
      <c r="CJ4" s="324"/>
      <c r="CK4" s="324"/>
      <c r="CL4" s="324"/>
      <c r="CM4" s="324"/>
      <c r="CN4" s="324"/>
      <c r="CO4" s="324"/>
      <c r="CP4" s="324"/>
      <c r="CQ4" s="324"/>
      <c r="CR4" s="324"/>
      <c r="CS4" s="324"/>
      <c r="CT4" s="324"/>
      <c r="CU4" s="324"/>
      <c r="CV4" s="324"/>
      <c r="CW4" s="324"/>
      <c r="CX4" s="324"/>
      <c r="CY4" s="324"/>
      <c r="CZ4" s="324"/>
      <c r="DA4" s="324"/>
      <c r="DB4" s="324"/>
      <c r="DC4" s="324"/>
      <c r="DD4" s="324"/>
      <c r="DE4" s="324"/>
      <c r="DF4" s="324"/>
      <c r="DG4" s="324"/>
      <c r="DH4" s="324"/>
      <c r="DI4" s="324"/>
      <c r="DJ4" s="324"/>
      <c r="DK4" s="324"/>
      <c r="DL4" s="324"/>
      <c r="DM4" s="324"/>
      <c r="DN4" s="324"/>
      <c r="DO4" s="324"/>
      <c r="DP4" s="324"/>
      <c r="DQ4" s="324"/>
      <c r="DR4" s="324"/>
      <c r="DS4" s="324"/>
      <c r="DT4" s="324"/>
      <c r="DU4" s="324"/>
      <c r="DV4" s="324"/>
      <c r="DW4" s="324"/>
      <c r="DX4" s="324"/>
      <c r="DY4" s="324"/>
      <c r="DZ4" s="324"/>
      <c r="EA4" s="324"/>
      <c r="EB4" s="324"/>
      <c r="EC4" s="324"/>
      <c r="ED4" s="324"/>
      <c r="EE4" s="324"/>
      <c r="EF4" s="324"/>
      <c r="EG4" s="324"/>
      <c r="EH4" s="324"/>
      <c r="EI4" s="324"/>
      <c r="EJ4" s="324"/>
      <c r="EK4" s="324"/>
      <c r="EL4" s="324"/>
      <c r="EM4" s="324"/>
      <c r="EN4" s="324"/>
      <c r="EO4" s="324"/>
      <c r="EP4" s="324"/>
      <c r="EQ4" s="324"/>
    </row>
    <row r="5" spans="1:147" ht="13.5" customHeight="1">
      <c r="A5" s="493" t="s">
        <v>3</v>
      </c>
      <c r="B5" s="325">
        <v>1</v>
      </c>
      <c r="C5" s="326" t="s">
        <v>768</v>
      </c>
      <c r="D5" s="377">
        <v>61.58</v>
      </c>
      <c r="E5" s="441">
        <v>65.11</v>
      </c>
      <c r="F5" s="442">
        <v>73.260000000000005</v>
      </c>
      <c r="G5" s="350">
        <v>-3.5300000000000011</v>
      </c>
      <c r="H5" s="350">
        <v>-11.680000000000007</v>
      </c>
      <c r="I5" s="432"/>
      <c r="J5" s="328" t="s">
        <v>443</v>
      </c>
      <c r="K5" s="328">
        <v>85.29</v>
      </c>
      <c r="L5" s="328">
        <v>62.03</v>
      </c>
      <c r="M5" s="327">
        <v>57.74</v>
      </c>
      <c r="N5" s="329">
        <v>89.47</v>
      </c>
      <c r="O5" s="432"/>
      <c r="P5" s="328">
        <v>62.9</v>
      </c>
      <c r="Q5" s="327">
        <v>59.3</v>
      </c>
      <c r="R5" s="432"/>
      <c r="S5" s="329">
        <v>88</v>
      </c>
      <c r="T5" s="327">
        <v>46.3</v>
      </c>
      <c r="U5" s="328">
        <v>67.790000000000006</v>
      </c>
      <c r="V5" s="328">
        <v>64.06</v>
      </c>
      <c r="W5" s="328">
        <v>71.430000000000007</v>
      </c>
      <c r="X5" s="432"/>
      <c r="Y5" s="328">
        <v>63.64</v>
      </c>
      <c r="Z5" s="327">
        <v>60.09</v>
      </c>
      <c r="AA5" s="327">
        <v>54.39</v>
      </c>
      <c r="AB5" s="328">
        <v>65.569999999999993</v>
      </c>
      <c r="AC5" s="328">
        <v>70.89</v>
      </c>
      <c r="AD5" s="432"/>
      <c r="AE5" s="328">
        <v>60.69</v>
      </c>
      <c r="AF5" s="328">
        <v>85</v>
      </c>
      <c r="AG5" s="432"/>
      <c r="AH5" s="328">
        <v>80.75</v>
      </c>
      <c r="AI5" s="328">
        <v>64.760000000000005</v>
      </c>
      <c r="AJ5" s="327">
        <v>51.82</v>
      </c>
      <c r="AK5" s="332">
        <v>32.53</v>
      </c>
      <c r="AL5" s="432"/>
      <c r="AM5" s="332">
        <v>28.57</v>
      </c>
      <c r="AN5" s="328">
        <v>66.67</v>
      </c>
      <c r="AO5" s="327">
        <v>48.15</v>
      </c>
      <c r="AP5" s="328" t="s">
        <v>443</v>
      </c>
      <c r="AQ5" s="328" t="s">
        <v>443</v>
      </c>
      <c r="AR5" s="327">
        <v>50</v>
      </c>
      <c r="AS5" s="328" t="s">
        <v>443</v>
      </c>
      <c r="AT5" s="432"/>
      <c r="AU5" s="329">
        <v>86.36</v>
      </c>
      <c r="AV5" s="328">
        <v>64.97</v>
      </c>
      <c r="AW5" s="328">
        <v>75.61</v>
      </c>
      <c r="AX5" s="328" t="s">
        <v>443</v>
      </c>
      <c r="AY5" s="328" t="s">
        <v>443</v>
      </c>
      <c r="AZ5" s="329">
        <v>100</v>
      </c>
      <c r="BA5" s="327">
        <v>47.06</v>
      </c>
      <c r="BB5" s="432"/>
      <c r="BC5" s="328" t="s">
        <v>443</v>
      </c>
      <c r="BD5" s="328" t="s">
        <v>443</v>
      </c>
      <c r="BE5" s="328">
        <v>65.14</v>
      </c>
      <c r="BF5" s="328" t="s">
        <v>443</v>
      </c>
      <c r="BG5" s="328">
        <v>66.67</v>
      </c>
      <c r="BH5" s="332">
        <v>33.33</v>
      </c>
      <c r="BI5" s="327">
        <v>44.74</v>
      </c>
      <c r="BJ5" s="432"/>
      <c r="BK5" s="328" t="s">
        <v>443</v>
      </c>
      <c r="BL5" s="332">
        <v>16.670000000000002</v>
      </c>
      <c r="BM5" s="432"/>
      <c r="BN5" s="328" t="s">
        <v>443</v>
      </c>
      <c r="BO5" s="328" t="s">
        <v>443</v>
      </c>
      <c r="BP5" s="328" t="s">
        <v>443</v>
      </c>
      <c r="BQ5" s="328" t="s">
        <v>443</v>
      </c>
      <c r="BR5" s="432"/>
      <c r="BS5" s="328" t="s">
        <v>443</v>
      </c>
      <c r="BT5" s="328" t="s">
        <v>443</v>
      </c>
      <c r="BU5" s="327">
        <v>54.29</v>
      </c>
      <c r="BV5" s="332">
        <v>35.29</v>
      </c>
      <c r="BW5" s="432"/>
      <c r="BX5" s="328" t="s">
        <v>443</v>
      </c>
      <c r="BY5" s="328" t="s">
        <v>443</v>
      </c>
      <c r="BZ5" s="432"/>
      <c r="CA5" s="328" t="s">
        <v>443</v>
      </c>
      <c r="CB5" s="328" t="s">
        <v>443</v>
      </c>
      <c r="CC5" s="432"/>
      <c r="CD5" s="327">
        <v>51.85</v>
      </c>
      <c r="CE5" s="327">
        <v>46.15</v>
      </c>
      <c r="CF5" s="432"/>
      <c r="CG5" s="328" t="s">
        <v>443</v>
      </c>
      <c r="CH5" s="328" t="s">
        <v>443</v>
      </c>
      <c r="CI5" s="432"/>
      <c r="CJ5" s="328" t="s">
        <v>443</v>
      </c>
      <c r="CK5" s="328" t="s">
        <v>443</v>
      </c>
      <c r="CL5" s="328" t="s">
        <v>443</v>
      </c>
      <c r="CM5" s="329">
        <v>90.91</v>
      </c>
      <c r="CN5" s="432"/>
      <c r="CO5" s="328">
        <v>75</v>
      </c>
      <c r="CP5" s="328">
        <v>61.87</v>
      </c>
      <c r="CQ5" s="329">
        <v>100</v>
      </c>
      <c r="CR5" s="432"/>
      <c r="CS5" s="328">
        <v>71.430000000000007</v>
      </c>
      <c r="CT5" s="328" t="s">
        <v>443</v>
      </c>
      <c r="CU5" s="329">
        <v>100</v>
      </c>
      <c r="CV5" s="329">
        <v>85.71</v>
      </c>
      <c r="CW5" s="332">
        <v>33.33</v>
      </c>
      <c r="CX5" s="328" t="s">
        <v>443</v>
      </c>
      <c r="CY5" s="432"/>
      <c r="CZ5" s="328" t="s">
        <v>443</v>
      </c>
      <c r="DA5" s="432"/>
      <c r="DB5" s="328" t="s">
        <v>443</v>
      </c>
      <c r="DC5" s="432"/>
      <c r="DD5" s="329">
        <v>100</v>
      </c>
      <c r="DE5" s="432"/>
      <c r="DF5" s="327">
        <v>47.06</v>
      </c>
      <c r="DG5" s="432"/>
      <c r="DH5" s="328" t="s">
        <v>443</v>
      </c>
      <c r="DI5" s="432"/>
      <c r="DJ5" s="328" t="s">
        <v>443</v>
      </c>
      <c r="DK5" s="432"/>
      <c r="DL5" s="328" t="s">
        <v>443</v>
      </c>
      <c r="DM5" s="329">
        <v>87.51</v>
      </c>
      <c r="DN5" s="328">
        <v>63.64</v>
      </c>
      <c r="DO5" s="327">
        <v>56.25</v>
      </c>
      <c r="DP5" s="328" t="s">
        <v>443</v>
      </c>
      <c r="DQ5" s="328">
        <v>77.78</v>
      </c>
      <c r="DR5" s="327">
        <v>46.67</v>
      </c>
      <c r="DS5" s="328">
        <v>69.23</v>
      </c>
      <c r="DT5" s="329">
        <v>100</v>
      </c>
      <c r="DU5" s="328" t="s">
        <v>443</v>
      </c>
      <c r="DV5" s="328">
        <v>71.430000000000007</v>
      </c>
      <c r="DW5" s="432"/>
      <c r="DX5" s="328" t="s">
        <v>443</v>
      </c>
      <c r="DY5" s="432"/>
      <c r="DZ5" s="328" t="s">
        <v>443</v>
      </c>
      <c r="EA5" s="328" t="s">
        <v>443</v>
      </c>
      <c r="EB5" s="328" t="s">
        <v>443</v>
      </c>
      <c r="EC5" s="432"/>
      <c r="ED5" s="328" t="s">
        <v>443</v>
      </c>
      <c r="EE5" s="328" t="s">
        <v>443</v>
      </c>
      <c r="EF5" s="432"/>
      <c r="EG5" s="332">
        <v>31.58</v>
      </c>
      <c r="EH5" s="327">
        <v>57.89</v>
      </c>
      <c r="EI5" s="432"/>
      <c r="EJ5" s="327">
        <v>48.33</v>
      </c>
      <c r="EK5" s="328">
        <v>65.33</v>
      </c>
      <c r="EL5" s="432"/>
      <c r="EM5" s="327">
        <v>55.07</v>
      </c>
      <c r="EN5" s="327">
        <v>60.47</v>
      </c>
      <c r="EO5" s="332">
        <v>40</v>
      </c>
      <c r="EP5" s="328">
        <v>74.44</v>
      </c>
      <c r="EQ5" s="332">
        <v>30.36</v>
      </c>
    </row>
    <row r="6" spans="1:147">
      <c r="A6" s="494"/>
      <c r="B6" s="325">
        <v>2</v>
      </c>
      <c r="C6" s="326" t="s">
        <v>5</v>
      </c>
      <c r="D6" s="377">
        <v>64.290000000000006</v>
      </c>
      <c r="E6" s="441">
        <v>67.67</v>
      </c>
      <c r="F6" s="442">
        <v>73.92</v>
      </c>
      <c r="G6" s="350">
        <v>-3.3799999999999955</v>
      </c>
      <c r="H6" s="350">
        <v>-9.6299999999999955</v>
      </c>
      <c r="I6" s="432"/>
      <c r="J6" s="328" t="s">
        <v>443</v>
      </c>
      <c r="K6" s="329">
        <v>88.24</v>
      </c>
      <c r="L6" s="328">
        <v>69.62</v>
      </c>
      <c r="M6" s="327">
        <v>60.15</v>
      </c>
      <c r="N6" s="328">
        <v>78.95</v>
      </c>
      <c r="O6" s="432"/>
      <c r="P6" s="328">
        <v>62.72</v>
      </c>
      <c r="Q6" s="328">
        <v>67</v>
      </c>
      <c r="R6" s="432"/>
      <c r="S6" s="328">
        <v>72</v>
      </c>
      <c r="T6" s="327">
        <v>50.92</v>
      </c>
      <c r="U6" s="328">
        <v>69.38</v>
      </c>
      <c r="V6" s="328">
        <v>69.53</v>
      </c>
      <c r="W6" s="328">
        <v>76.19</v>
      </c>
      <c r="X6" s="432"/>
      <c r="Y6" s="328">
        <v>71.430000000000007</v>
      </c>
      <c r="Z6" s="328">
        <v>61.21</v>
      </c>
      <c r="AA6" s="327">
        <v>56.52</v>
      </c>
      <c r="AB6" s="328">
        <v>67.209999999999994</v>
      </c>
      <c r="AC6" s="328">
        <v>74.680000000000007</v>
      </c>
      <c r="AD6" s="432"/>
      <c r="AE6" s="328">
        <v>63.88</v>
      </c>
      <c r="AF6" s="328">
        <v>75</v>
      </c>
      <c r="AG6" s="432"/>
      <c r="AH6" s="329">
        <v>86.1</v>
      </c>
      <c r="AI6" s="328">
        <v>72.38</v>
      </c>
      <c r="AJ6" s="327">
        <v>48.91</v>
      </c>
      <c r="AK6" s="332">
        <v>30.12</v>
      </c>
      <c r="AL6" s="432"/>
      <c r="AM6" s="332">
        <v>14.29</v>
      </c>
      <c r="AN6" s="328">
        <v>83.33</v>
      </c>
      <c r="AO6" s="332">
        <v>44.44</v>
      </c>
      <c r="AP6" s="328" t="s">
        <v>443</v>
      </c>
      <c r="AQ6" s="328" t="s">
        <v>443</v>
      </c>
      <c r="AR6" s="327">
        <v>51.22</v>
      </c>
      <c r="AS6" s="328" t="s">
        <v>443</v>
      </c>
      <c r="AT6" s="432"/>
      <c r="AU6" s="328">
        <v>81.819999999999993</v>
      </c>
      <c r="AV6" s="327">
        <v>58.6</v>
      </c>
      <c r="AW6" s="329">
        <v>87.8</v>
      </c>
      <c r="AX6" s="328" t="s">
        <v>443</v>
      </c>
      <c r="AY6" s="328" t="s">
        <v>443</v>
      </c>
      <c r="AZ6" s="329">
        <v>85.71</v>
      </c>
      <c r="BA6" s="327">
        <v>58.82</v>
      </c>
      <c r="BB6" s="432"/>
      <c r="BC6" s="328" t="s">
        <v>443</v>
      </c>
      <c r="BD6" s="328" t="s">
        <v>443</v>
      </c>
      <c r="BE6" s="328">
        <v>78.180000000000007</v>
      </c>
      <c r="BF6" s="328" t="s">
        <v>443</v>
      </c>
      <c r="BG6" s="328">
        <v>66.67</v>
      </c>
      <c r="BH6" s="328">
        <v>83.33</v>
      </c>
      <c r="BI6" s="327">
        <v>50</v>
      </c>
      <c r="BJ6" s="432"/>
      <c r="BK6" s="328" t="s">
        <v>443</v>
      </c>
      <c r="BL6" s="332">
        <v>16.670000000000002</v>
      </c>
      <c r="BM6" s="432"/>
      <c r="BN6" s="328" t="s">
        <v>443</v>
      </c>
      <c r="BO6" s="328" t="s">
        <v>443</v>
      </c>
      <c r="BP6" s="328" t="s">
        <v>443</v>
      </c>
      <c r="BQ6" s="328" t="s">
        <v>443</v>
      </c>
      <c r="BR6" s="432"/>
      <c r="BS6" s="328" t="s">
        <v>443</v>
      </c>
      <c r="BT6" s="328" t="s">
        <v>443</v>
      </c>
      <c r="BU6" s="327">
        <v>48.57</v>
      </c>
      <c r="BV6" s="332">
        <v>35.29</v>
      </c>
      <c r="BW6" s="432"/>
      <c r="BX6" s="328" t="s">
        <v>443</v>
      </c>
      <c r="BY6" s="328" t="s">
        <v>443</v>
      </c>
      <c r="BZ6" s="432"/>
      <c r="CA6" s="328" t="s">
        <v>443</v>
      </c>
      <c r="CB6" s="328" t="s">
        <v>443</v>
      </c>
      <c r="CC6" s="432"/>
      <c r="CD6" s="327">
        <v>46.43</v>
      </c>
      <c r="CE6" s="328">
        <v>61.54</v>
      </c>
      <c r="CF6" s="432"/>
      <c r="CG6" s="328" t="s">
        <v>443</v>
      </c>
      <c r="CH6" s="328" t="s">
        <v>443</v>
      </c>
      <c r="CI6" s="432"/>
      <c r="CJ6" s="328" t="s">
        <v>443</v>
      </c>
      <c r="CK6" s="328" t="s">
        <v>443</v>
      </c>
      <c r="CL6" s="328" t="s">
        <v>443</v>
      </c>
      <c r="CM6" s="328">
        <v>81.819999999999993</v>
      </c>
      <c r="CN6" s="432"/>
      <c r="CO6" s="328">
        <v>75</v>
      </c>
      <c r="CP6" s="327">
        <v>57.55</v>
      </c>
      <c r="CQ6" s="327">
        <v>60</v>
      </c>
      <c r="CR6" s="432"/>
      <c r="CS6" s="329">
        <v>85.71</v>
      </c>
      <c r="CT6" s="328" t="s">
        <v>443</v>
      </c>
      <c r="CU6" s="329">
        <v>100</v>
      </c>
      <c r="CV6" s="329">
        <v>92.86</v>
      </c>
      <c r="CW6" s="327">
        <v>50</v>
      </c>
      <c r="CX6" s="328" t="s">
        <v>443</v>
      </c>
      <c r="CY6" s="432"/>
      <c r="CZ6" s="328" t="s">
        <v>443</v>
      </c>
      <c r="DA6" s="432"/>
      <c r="DB6" s="328" t="s">
        <v>443</v>
      </c>
      <c r="DC6" s="432"/>
      <c r="DD6" s="329">
        <v>85.71</v>
      </c>
      <c r="DE6" s="432"/>
      <c r="DF6" s="327">
        <v>58.82</v>
      </c>
      <c r="DG6" s="432"/>
      <c r="DH6" s="328" t="s">
        <v>443</v>
      </c>
      <c r="DI6" s="432"/>
      <c r="DJ6" s="328" t="s">
        <v>443</v>
      </c>
      <c r="DK6" s="432"/>
      <c r="DL6" s="328" t="s">
        <v>443</v>
      </c>
      <c r="DM6" s="328">
        <v>75</v>
      </c>
      <c r="DN6" s="328">
        <v>81.819999999999993</v>
      </c>
      <c r="DO6" s="329">
        <v>88.24</v>
      </c>
      <c r="DP6" s="328" t="s">
        <v>443</v>
      </c>
      <c r="DQ6" s="328">
        <v>77.78</v>
      </c>
      <c r="DR6" s="328">
        <v>70</v>
      </c>
      <c r="DS6" s="328">
        <v>69.23</v>
      </c>
      <c r="DT6" s="329">
        <v>100</v>
      </c>
      <c r="DU6" s="328" t="s">
        <v>443</v>
      </c>
      <c r="DV6" s="328">
        <v>71.430000000000007</v>
      </c>
      <c r="DW6" s="432"/>
      <c r="DX6" s="328" t="s">
        <v>443</v>
      </c>
      <c r="DY6" s="432"/>
      <c r="DZ6" s="328" t="s">
        <v>443</v>
      </c>
      <c r="EA6" s="328" t="s">
        <v>443</v>
      </c>
      <c r="EB6" s="328" t="s">
        <v>443</v>
      </c>
      <c r="EC6" s="432"/>
      <c r="ED6" s="328" t="s">
        <v>443</v>
      </c>
      <c r="EE6" s="328" t="s">
        <v>443</v>
      </c>
      <c r="EF6" s="432"/>
      <c r="EG6" s="332">
        <v>31.58</v>
      </c>
      <c r="EH6" s="328">
        <v>68.42</v>
      </c>
      <c r="EI6" s="432"/>
      <c r="EJ6" s="327">
        <v>48.76</v>
      </c>
      <c r="EK6" s="328">
        <v>68.709999999999994</v>
      </c>
      <c r="EL6" s="432"/>
      <c r="EM6" s="327">
        <v>59.42</v>
      </c>
      <c r="EN6" s="328">
        <v>62.79</v>
      </c>
      <c r="EO6" s="327">
        <v>50</v>
      </c>
      <c r="EP6" s="328">
        <v>74.81</v>
      </c>
      <c r="EQ6" s="332">
        <v>30.36</v>
      </c>
    </row>
    <row r="7" spans="1:147">
      <c r="A7" s="494"/>
      <c r="B7" s="325">
        <v>3</v>
      </c>
      <c r="C7" s="326" t="s">
        <v>6</v>
      </c>
      <c r="D7" s="377">
        <v>72.34</v>
      </c>
      <c r="E7" s="441">
        <v>76.33</v>
      </c>
      <c r="F7" s="442">
        <v>81.55</v>
      </c>
      <c r="G7" s="350">
        <v>-3.9899999999999949</v>
      </c>
      <c r="H7" s="350">
        <v>-9.2099999999999937</v>
      </c>
      <c r="I7" s="432"/>
      <c r="J7" s="328" t="s">
        <v>443</v>
      </c>
      <c r="K7" s="329">
        <v>88.24</v>
      </c>
      <c r="L7" s="328">
        <v>74.680000000000007</v>
      </c>
      <c r="M7" s="328">
        <v>69.19</v>
      </c>
      <c r="N7" s="329">
        <v>94.74</v>
      </c>
      <c r="O7" s="432"/>
      <c r="P7" s="328">
        <v>73.41</v>
      </c>
      <c r="Q7" s="328">
        <v>70.510000000000005</v>
      </c>
      <c r="R7" s="432"/>
      <c r="S7" s="328">
        <v>84</v>
      </c>
      <c r="T7" s="328">
        <v>62.58</v>
      </c>
      <c r="U7" s="328">
        <v>76.56</v>
      </c>
      <c r="V7" s="328">
        <v>75</v>
      </c>
      <c r="W7" s="328">
        <v>76.19</v>
      </c>
      <c r="X7" s="432"/>
      <c r="Y7" s="328">
        <v>79.22</v>
      </c>
      <c r="Z7" s="328">
        <v>70.56</v>
      </c>
      <c r="AA7" s="328">
        <v>66.09</v>
      </c>
      <c r="AB7" s="328">
        <v>72.13</v>
      </c>
      <c r="AC7" s="328">
        <v>79.75</v>
      </c>
      <c r="AD7" s="432"/>
      <c r="AE7" s="328">
        <v>71.67</v>
      </c>
      <c r="AF7" s="329">
        <v>90</v>
      </c>
      <c r="AG7" s="432"/>
      <c r="AH7" s="329">
        <v>90.37</v>
      </c>
      <c r="AI7" s="328">
        <v>76.19</v>
      </c>
      <c r="AJ7" s="328">
        <v>60.58</v>
      </c>
      <c r="AK7" s="327">
        <v>45.78</v>
      </c>
      <c r="AL7" s="432"/>
      <c r="AM7" s="332">
        <v>42.86</v>
      </c>
      <c r="AN7" s="328">
        <v>83.33</v>
      </c>
      <c r="AO7" s="327">
        <v>46.3</v>
      </c>
      <c r="AP7" s="328" t="s">
        <v>443</v>
      </c>
      <c r="AQ7" s="328" t="s">
        <v>443</v>
      </c>
      <c r="AR7" s="332">
        <v>43.9</v>
      </c>
      <c r="AS7" s="328" t="s">
        <v>443</v>
      </c>
      <c r="AT7" s="432"/>
      <c r="AU7" s="329">
        <v>86.36</v>
      </c>
      <c r="AV7" s="328">
        <v>75.16</v>
      </c>
      <c r="AW7" s="329">
        <v>90.24</v>
      </c>
      <c r="AX7" s="328" t="s">
        <v>443</v>
      </c>
      <c r="AY7" s="328" t="s">
        <v>443</v>
      </c>
      <c r="AZ7" s="329">
        <v>100</v>
      </c>
      <c r="BA7" s="327">
        <v>58.82</v>
      </c>
      <c r="BB7" s="432"/>
      <c r="BC7" s="328" t="s">
        <v>443</v>
      </c>
      <c r="BD7" s="328" t="s">
        <v>443</v>
      </c>
      <c r="BE7" s="328">
        <v>83.64</v>
      </c>
      <c r="BF7" s="328" t="s">
        <v>443</v>
      </c>
      <c r="BG7" s="329">
        <v>100</v>
      </c>
      <c r="BH7" s="327">
        <v>50</v>
      </c>
      <c r="BI7" s="328">
        <v>65.790000000000006</v>
      </c>
      <c r="BJ7" s="432"/>
      <c r="BK7" s="328" t="s">
        <v>443</v>
      </c>
      <c r="BL7" s="327">
        <v>50</v>
      </c>
      <c r="BM7" s="432"/>
      <c r="BN7" s="328" t="s">
        <v>443</v>
      </c>
      <c r="BO7" s="328" t="s">
        <v>443</v>
      </c>
      <c r="BP7" s="328" t="s">
        <v>443</v>
      </c>
      <c r="BQ7" s="328" t="s">
        <v>443</v>
      </c>
      <c r="BR7" s="432"/>
      <c r="BS7" s="328" t="s">
        <v>443</v>
      </c>
      <c r="BT7" s="328" t="s">
        <v>443</v>
      </c>
      <c r="BU7" s="332">
        <v>42.86</v>
      </c>
      <c r="BV7" s="327">
        <v>47.06</v>
      </c>
      <c r="BW7" s="432"/>
      <c r="BX7" s="328" t="s">
        <v>443</v>
      </c>
      <c r="BY7" s="328" t="s">
        <v>443</v>
      </c>
      <c r="BZ7" s="432"/>
      <c r="CA7" s="328" t="s">
        <v>443</v>
      </c>
      <c r="CB7" s="328" t="s">
        <v>443</v>
      </c>
      <c r="CC7" s="432"/>
      <c r="CD7" s="332">
        <v>39.29</v>
      </c>
      <c r="CE7" s="327">
        <v>53.85</v>
      </c>
      <c r="CF7" s="432"/>
      <c r="CG7" s="328" t="s">
        <v>443</v>
      </c>
      <c r="CH7" s="328" t="s">
        <v>443</v>
      </c>
      <c r="CI7" s="432"/>
      <c r="CJ7" s="328" t="s">
        <v>443</v>
      </c>
      <c r="CK7" s="328" t="s">
        <v>443</v>
      </c>
      <c r="CL7" s="328" t="s">
        <v>443</v>
      </c>
      <c r="CM7" s="329">
        <v>90.91</v>
      </c>
      <c r="CN7" s="432"/>
      <c r="CO7" s="329">
        <v>87.51</v>
      </c>
      <c r="CP7" s="328">
        <v>74.099999999999994</v>
      </c>
      <c r="CQ7" s="328">
        <v>80</v>
      </c>
      <c r="CR7" s="432"/>
      <c r="CS7" s="329">
        <v>85.71</v>
      </c>
      <c r="CT7" s="328" t="s">
        <v>443</v>
      </c>
      <c r="CU7" s="329">
        <v>100</v>
      </c>
      <c r="CV7" s="329">
        <v>100</v>
      </c>
      <c r="CW7" s="328">
        <v>66.67</v>
      </c>
      <c r="CX7" s="328" t="s">
        <v>443</v>
      </c>
      <c r="CY7" s="432"/>
      <c r="CZ7" s="328" t="s">
        <v>443</v>
      </c>
      <c r="DA7" s="432"/>
      <c r="DB7" s="328" t="s">
        <v>443</v>
      </c>
      <c r="DC7" s="432"/>
      <c r="DD7" s="329">
        <v>100</v>
      </c>
      <c r="DE7" s="432"/>
      <c r="DF7" s="327">
        <v>58.82</v>
      </c>
      <c r="DG7" s="432"/>
      <c r="DH7" s="328" t="s">
        <v>443</v>
      </c>
      <c r="DI7" s="432"/>
      <c r="DJ7" s="328" t="s">
        <v>443</v>
      </c>
      <c r="DK7" s="432"/>
      <c r="DL7" s="328" t="s">
        <v>443</v>
      </c>
      <c r="DM7" s="329">
        <v>87.51</v>
      </c>
      <c r="DN7" s="328">
        <v>81.819999999999993</v>
      </c>
      <c r="DO7" s="329">
        <v>88.24</v>
      </c>
      <c r="DP7" s="328" t="s">
        <v>443</v>
      </c>
      <c r="DQ7" s="329">
        <v>88.89</v>
      </c>
      <c r="DR7" s="328">
        <v>73.33</v>
      </c>
      <c r="DS7" s="328">
        <v>76.92</v>
      </c>
      <c r="DT7" s="329">
        <v>100</v>
      </c>
      <c r="DU7" s="328" t="s">
        <v>443</v>
      </c>
      <c r="DV7" s="329">
        <v>100</v>
      </c>
      <c r="DW7" s="432"/>
      <c r="DX7" s="328" t="s">
        <v>443</v>
      </c>
      <c r="DY7" s="432"/>
      <c r="DZ7" s="328" t="s">
        <v>443</v>
      </c>
      <c r="EA7" s="328" t="s">
        <v>443</v>
      </c>
      <c r="EB7" s="328" t="s">
        <v>443</v>
      </c>
      <c r="EC7" s="432"/>
      <c r="ED7" s="328" t="s">
        <v>443</v>
      </c>
      <c r="EE7" s="328" t="s">
        <v>443</v>
      </c>
      <c r="EF7" s="432"/>
      <c r="EG7" s="327">
        <v>57.89</v>
      </c>
      <c r="EH7" s="328">
        <v>73.680000000000007</v>
      </c>
      <c r="EI7" s="432"/>
      <c r="EJ7" s="327">
        <v>50.41</v>
      </c>
      <c r="EK7" s="328">
        <v>78.59</v>
      </c>
      <c r="EL7" s="432"/>
      <c r="EM7" s="328">
        <v>68.12</v>
      </c>
      <c r="EN7" s="328">
        <v>74.42</v>
      </c>
      <c r="EO7" s="327">
        <v>50</v>
      </c>
      <c r="EP7" s="328">
        <v>84.59</v>
      </c>
      <c r="EQ7" s="332">
        <v>35.71</v>
      </c>
    </row>
    <row r="8" spans="1:147">
      <c r="A8" s="494"/>
      <c r="B8" s="325">
        <v>4</v>
      </c>
      <c r="C8" s="326" t="s">
        <v>7</v>
      </c>
      <c r="D8" s="377">
        <v>77.94</v>
      </c>
      <c r="E8" s="441">
        <v>80.97</v>
      </c>
      <c r="F8" s="442">
        <v>85.01</v>
      </c>
      <c r="G8" s="350">
        <v>-3.0300000000000011</v>
      </c>
      <c r="H8" s="350">
        <v>-7.0700000000000074</v>
      </c>
      <c r="I8" s="432"/>
      <c r="J8" s="328" t="s">
        <v>443</v>
      </c>
      <c r="K8" s="329">
        <v>94.12</v>
      </c>
      <c r="L8" s="328">
        <v>79.75</v>
      </c>
      <c r="M8" s="328">
        <v>75.430000000000007</v>
      </c>
      <c r="N8" s="329">
        <v>89.47</v>
      </c>
      <c r="O8" s="432"/>
      <c r="P8" s="328">
        <v>79.13</v>
      </c>
      <c r="Q8" s="328">
        <v>75.88</v>
      </c>
      <c r="R8" s="432"/>
      <c r="S8" s="329">
        <v>88</v>
      </c>
      <c r="T8" s="328">
        <v>69.75</v>
      </c>
      <c r="U8" s="328">
        <v>80.290000000000006</v>
      </c>
      <c r="V8" s="328">
        <v>80.47</v>
      </c>
      <c r="W8" s="329">
        <v>90.48</v>
      </c>
      <c r="X8" s="432"/>
      <c r="Y8" s="328">
        <v>83.12</v>
      </c>
      <c r="Z8" s="328">
        <v>76.53</v>
      </c>
      <c r="AA8" s="328">
        <v>73.680000000000007</v>
      </c>
      <c r="AB8" s="328">
        <v>75.41</v>
      </c>
      <c r="AC8" s="328">
        <v>84.81</v>
      </c>
      <c r="AD8" s="432"/>
      <c r="AE8" s="328">
        <v>77.67</v>
      </c>
      <c r="AF8" s="328">
        <v>85</v>
      </c>
      <c r="AG8" s="432"/>
      <c r="AH8" s="329">
        <v>91.98</v>
      </c>
      <c r="AI8" s="328">
        <v>81.900000000000006</v>
      </c>
      <c r="AJ8" s="328">
        <v>68.61</v>
      </c>
      <c r="AK8" s="327">
        <v>56.63</v>
      </c>
      <c r="AL8" s="432"/>
      <c r="AM8" s="327">
        <v>57.14</v>
      </c>
      <c r="AN8" s="328">
        <v>83.33</v>
      </c>
      <c r="AO8" s="327">
        <v>53.7</v>
      </c>
      <c r="AP8" s="328" t="s">
        <v>443</v>
      </c>
      <c r="AQ8" s="328" t="s">
        <v>443</v>
      </c>
      <c r="AR8" s="327">
        <v>52.51</v>
      </c>
      <c r="AS8" s="328" t="s">
        <v>443</v>
      </c>
      <c r="AT8" s="432"/>
      <c r="AU8" s="329">
        <v>100</v>
      </c>
      <c r="AV8" s="328">
        <v>82.8</v>
      </c>
      <c r="AW8" s="329">
        <v>92.68</v>
      </c>
      <c r="AX8" s="328" t="s">
        <v>443</v>
      </c>
      <c r="AY8" s="328" t="s">
        <v>443</v>
      </c>
      <c r="AZ8" s="329">
        <v>100</v>
      </c>
      <c r="BA8" s="327">
        <v>58.82</v>
      </c>
      <c r="BB8" s="432"/>
      <c r="BC8" s="328" t="s">
        <v>443</v>
      </c>
      <c r="BD8" s="328" t="s">
        <v>443</v>
      </c>
      <c r="BE8" s="329">
        <v>88.07</v>
      </c>
      <c r="BF8" s="328" t="s">
        <v>443</v>
      </c>
      <c r="BG8" s="329">
        <v>88.89</v>
      </c>
      <c r="BH8" s="327">
        <v>50</v>
      </c>
      <c r="BI8" s="328">
        <v>65.790000000000006</v>
      </c>
      <c r="BJ8" s="432"/>
      <c r="BK8" s="328" t="s">
        <v>443</v>
      </c>
      <c r="BL8" s="328">
        <v>66.67</v>
      </c>
      <c r="BM8" s="432"/>
      <c r="BN8" s="328" t="s">
        <v>443</v>
      </c>
      <c r="BO8" s="328" t="s">
        <v>443</v>
      </c>
      <c r="BP8" s="328" t="s">
        <v>443</v>
      </c>
      <c r="BQ8" s="328" t="s">
        <v>443</v>
      </c>
      <c r="BR8" s="432"/>
      <c r="BS8" s="328" t="s">
        <v>443</v>
      </c>
      <c r="BT8" s="328" t="s">
        <v>443</v>
      </c>
      <c r="BU8" s="327">
        <v>54.29</v>
      </c>
      <c r="BV8" s="327">
        <v>47.06</v>
      </c>
      <c r="BW8" s="432"/>
      <c r="BX8" s="328" t="s">
        <v>443</v>
      </c>
      <c r="BY8" s="328" t="s">
        <v>443</v>
      </c>
      <c r="BZ8" s="432"/>
      <c r="CA8" s="328" t="s">
        <v>443</v>
      </c>
      <c r="CB8" s="328" t="s">
        <v>443</v>
      </c>
      <c r="CC8" s="432"/>
      <c r="CD8" s="327">
        <v>51.85</v>
      </c>
      <c r="CE8" s="327">
        <v>53.85</v>
      </c>
      <c r="CF8" s="432"/>
      <c r="CG8" s="328" t="s">
        <v>443</v>
      </c>
      <c r="CH8" s="328" t="s">
        <v>443</v>
      </c>
      <c r="CI8" s="432"/>
      <c r="CJ8" s="328" t="s">
        <v>443</v>
      </c>
      <c r="CK8" s="328" t="s">
        <v>443</v>
      </c>
      <c r="CL8" s="328" t="s">
        <v>443</v>
      </c>
      <c r="CM8" s="329">
        <v>100</v>
      </c>
      <c r="CN8" s="432"/>
      <c r="CO8" s="329">
        <v>100</v>
      </c>
      <c r="CP8" s="328">
        <v>80.58</v>
      </c>
      <c r="CQ8" s="329">
        <v>100</v>
      </c>
      <c r="CR8" s="432"/>
      <c r="CS8" s="329">
        <v>85.71</v>
      </c>
      <c r="CT8" s="328" t="s">
        <v>443</v>
      </c>
      <c r="CU8" s="329">
        <v>100</v>
      </c>
      <c r="CV8" s="329">
        <v>100</v>
      </c>
      <c r="CW8" s="328">
        <v>83.33</v>
      </c>
      <c r="CX8" s="328" t="s">
        <v>443</v>
      </c>
      <c r="CY8" s="432"/>
      <c r="CZ8" s="328" t="s">
        <v>443</v>
      </c>
      <c r="DA8" s="432"/>
      <c r="DB8" s="328" t="s">
        <v>443</v>
      </c>
      <c r="DC8" s="432"/>
      <c r="DD8" s="329">
        <v>100</v>
      </c>
      <c r="DE8" s="432"/>
      <c r="DF8" s="327">
        <v>58.82</v>
      </c>
      <c r="DG8" s="432"/>
      <c r="DH8" s="328" t="s">
        <v>443</v>
      </c>
      <c r="DI8" s="432"/>
      <c r="DJ8" s="328" t="s">
        <v>443</v>
      </c>
      <c r="DK8" s="432"/>
      <c r="DL8" s="328" t="s">
        <v>443</v>
      </c>
      <c r="DM8" s="329">
        <v>87.51</v>
      </c>
      <c r="DN8" s="329">
        <v>90.91</v>
      </c>
      <c r="DO8" s="328">
        <v>81.25</v>
      </c>
      <c r="DP8" s="328" t="s">
        <v>443</v>
      </c>
      <c r="DQ8" s="329">
        <v>100</v>
      </c>
      <c r="DR8" s="328">
        <v>80</v>
      </c>
      <c r="DS8" s="329">
        <v>92.31</v>
      </c>
      <c r="DT8" s="329">
        <v>100</v>
      </c>
      <c r="DU8" s="328" t="s">
        <v>443</v>
      </c>
      <c r="DV8" s="329">
        <v>100</v>
      </c>
      <c r="DW8" s="432"/>
      <c r="DX8" s="328" t="s">
        <v>443</v>
      </c>
      <c r="DY8" s="432"/>
      <c r="DZ8" s="328" t="s">
        <v>443</v>
      </c>
      <c r="EA8" s="328" t="s">
        <v>443</v>
      </c>
      <c r="EB8" s="328" t="s">
        <v>443</v>
      </c>
      <c r="EC8" s="432"/>
      <c r="ED8" s="328" t="s">
        <v>443</v>
      </c>
      <c r="EE8" s="328" t="s">
        <v>443</v>
      </c>
      <c r="EF8" s="432"/>
      <c r="EG8" s="327">
        <v>57.89</v>
      </c>
      <c r="EH8" s="328">
        <v>73.680000000000007</v>
      </c>
      <c r="EI8" s="432"/>
      <c r="EJ8" s="327">
        <v>57.51</v>
      </c>
      <c r="EK8" s="328">
        <v>83.73</v>
      </c>
      <c r="EL8" s="432"/>
      <c r="EM8" s="328">
        <v>73.91</v>
      </c>
      <c r="EN8" s="328">
        <v>81.400000000000006</v>
      </c>
      <c r="EO8" s="327">
        <v>50</v>
      </c>
      <c r="EP8" s="329">
        <v>86.47</v>
      </c>
      <c r="EQ8" s="327">
        <v>51.79</v>
      </c>
    </row>
    <row r="9" spans="1:147">
      <c r="A9" s="494"/>
      <c r="B9" s="325">
        <v>5</v>
      </c>
      <c r="C9" s="326" t="s">
        <v>8</v>
      </c>
      <c r="D9" s="377">
        <v>71.540000000000006</v>
      </c>
      <c r="E9" s="441">
        <v>78.36</v>
      </c>
      <c r="F9" s="442">
        <v>82.79</v>
      </c>
      <c r="G9" s="350">
        <v>-6.8199999999999932</v>
      </c>
      <c r="H9" s="350">
        <v>-11.25</v>
      </c>
      <c r="I9" s="432"/>
      <c r="J9" s="328" t="s">
        <v>443</v>
      </c>
      <c r="K9" s="329">
        <v>87.88</v>
      </c>
      <c r="L9" s="328">
        <v>74.36</v>
      </c>
      <c r="M9" s="328">
        <v>68.42</v>
      </c>
      <c r="N9" s="329">
        <v>89.47</v>
      </c>
      <c r="O9" s="432"/>
      <c r="P9" s="328">
        <v>70.209999999999994</v>
      </c>
      <c r="Q9" s="328">
        <v>73.849999999999994</v>
      </c>
      <c r="R9" s="432"/>
      <c r="S9" s="329">
        <v>88</v>
      </c>
      <c r="T9" s="327">
        <v>58.49</v>
      </c>
      <c r="U9" s="328">
        <v>76.349999999999994</v>
      </c>
      <c r="V9" s="328">
        <v>73.81</v>
      </c>
      <c r="W9" s="329">
        <v>90.48</v>
      </c>
      <c r="X9" s="432"/>
      <c r="Y9" s="328">
        <v>73.680000000000007</v>
      </c>
      <c r="Z9" s="328">
        <v>69.569999999999993</v>
      </c>
      <c r="AA9" s="328">
        <v>67.86</v>
      </c>
      <c r="AB9" s="328">
        <v>72.13</v>
      </c>
      <c r="AC9" s="328">
        <v>79.489999999999995</v>
      </c>
      <c r="AD9" s="432"/>
      <c r="AE9" s="328">
        <v>71.010000000000005</v>
      </c>
      <c r="AF9" s="328">
        <v>85</v>
      </c>
      <c r="AG9" s="432"/>
      <c r="AH9" s="329">
        <v>87.63</v>
      </c>
      <c r="AI9" s="328">
        <v>78.099999999999994</v>
      </c>
      <c r="AJ9" s="328">
        <v>60.58</v>
      </c>
      <c r="AK9" s="327">
        <v>45.78</v>
      </c>
      <c r="AL9" s="432"/>
      <c r="AM9" s="327">
        <v>57.14</v>
      </c>
      <c r="AN9" s="328">
        <v>80</v>
      </c>
      <c r="AO9" s="327">
        <v>47.06</v>
      </c>
      <c r="AP9" s="328" t="s">
        <v>443</v>
      </c>
      <c r="AQ9" s="328" t="s">
        <v>443</v>
      </c>
      <c r="AR9" s="327">
        <v>45</v>
      </c>
      <c r="AS9" s="328" t="s">
        <v>443</v>
      </c>
      <c r="AT9" s="432"/>
      <c r="AU9" s="329">
        <v>95.24</v>
      </c>
      <c r="AV9" s="328">
        <v>73.08</v>
      </c>
      <c r="AW9" s="329">
        <v>95.12</v>
      </c>
      <c r="AX9" s="328" t="s">
        <v>443</v>
      </c>
      <c r="AY9" s="328" t="s">
        <v>443</v>
      </c>
      <c r="AZ9" s="329">
        <v>100</v>
      </c>
      <c r="BA9" s="328">
        <v>70.59</v>
      </c>
      <c r="BB9" s="432"/>
      <c r="BC9" s="328" t="s">
        <v>443</v>
      </c>
      <c r="BD9" s="328" t="s">
        <v>443</v>
      </c>
      <c r="BE9" s="328">
        <v>80.37</v>
      </c>
      <c r="BF9" s="328" t="s">
        <v>443</v>
      </c>
      <c r="BG9" s="328">
        <v>75</v>
      </c>
      <c r="BH9" s="328">
        <v>83.33</v>
      </c>
      <c r="BI9" s="327">
        <v>57.89</v>
      </c>
      <c r="BJ9" s="432"/>
      <c r="BK9" s="328" t="s">
        <v>443</v>
      </c>
      <c r="BL9" s="327">
        <v>50</v>
      </c>
      <c r="BM9" s="432"/>
      <c r="BN9" s="328" t="s">
        <v>443</v>
      </c>
      <c r="BO9" s="328" t="s">
        <v>443</v>
      </c>
      <c r="BP9" s="328" t="s">
        <v>443</v>
      </c>
      <c r="BQ9" s="328" t="s">
        <v>443</v>
      </c>
      <c r="BR9" s="432"/>
      <c r="BS9" s="328" t="s">
        <v>443</v>
      </c>
      <c r="BT9" s="328" t="s">
        <v>443</v>
      </c>
      <c r="BU9" s="327">
        <v>53.13</v>
      </c>
      <c r="BV9" s="332">
        <v>35.29</v>
      </c>
      <c r="BW9" s="432"/>
      <c r="BX9" s="328" t="s">
        <v>443</v>
      </c>
      <c r="BY9" s="328" t="s">
        <v>443</v>
      </c>
      <c r="BZ9" s="432"/>
      <c r="CA9" s="328" t="s">
        <v>443</v>
      </c>
      <c r="CB9" s="328" t="s">
        <v>443</v>
      </c>
      <c r="CC9" s="432"/>
      <c r="CD9" s="332">
        <v>40.74</v>
      </c>
      <c r="CE9" s="327">
        <v>53.85</v>
      </c>
      <c r="CF9" s="432"/>
      <c r="CG9" s="328" t="s">
        <v>443</v>
      </c>
      <c r="CH9" s="328" t="s">
        <v>443</v>
      </c>
      <c r="CI9" s="432"/>
      <c r="CJ9" s="328" t="s">
        <v>443</v>
      </c>
      <c r="CK9" s="328" t="s">
        <v>443</v>
      </c>
      <c r="CL9" s="328" t="s">
        <v>443</v>
      </c>
      <c r="CM9" s="329">
        <v>100</v>
      </c>
      <c r="CN9" s="432"/>
      <c r="CO9" s="329">
        <v>100</v>
      </c>
      <c r="CP9" s="328">
        <v>71.739999999999995</v>
      </c>
      <c r="CQ9" s="328">
        <v>70</v>
      </c>
      <c r="CR9" s="432"/>
      <c r="CS9" s="329">
        <v>100</v>
      </c>
      <c r="CT9" s="328" t="s">
        <v>443</v>
      </c>
      <c r="CU9" s="329">
        <v>100</v>
      </c>
      <c r="CV9" s="329">
        <v>100</v>
      </c>
      <c r="CW9" s="328">
        <v>83.33</v>
      </c>
      <c r="CX9" s="328" t="s">
        <v>443</v>
      </c>
      <c r="CY9" s="432"/>
      <c r="CZ9" s="328" t="s">
        <v>443</v>
      </c>
      <c r="DA9" s="432"/>
      <c r="DB9" s="328" t="s">
        <v>443</v>
      </c>
      <c r="DC9" s="432"/>
      <c r="DD9" s="329">
        <v>100</v>
      </c>
      <c r="DE9" s="432"/>
      <c r="DF9" s="328">
        <v>70.59</v>
      </c>
      <c r="DG9" s="432"/>
      <c r="DH9" s="328" t="s">
        <v>443</v>
      </c>
      <c r="DI9" s="432"/>
      <c r="DJ9" s="328" t="s">
        <v>443</v>
      </c>
      <c r="DK9" s="432"/>
      <c r="DL9" s="328" t="s">
        <v>443</v>
      </c>
      <c r="DM9" s="327">
        <v>57.14</v>
      </c>
      <c r="DN9" s="328">
        <v>81.819999999999993</v>
      </c>
      <c r="DO9" s="329">
        <v>93.75</v>
      </c>
      <c r="DP9" s="328" t="s">
        <v>443</v>
      </c>
      <c r="DQ9" s="329">
        <v>88.89</v>
      </c>
      <c r="DR9" s="328">
        <v>65.52</v>
      </c>
      <c r="DS9" s="328">
        <v>84.62</v>
      </c>
      <c r="DT9" s="329">
        <v>87.51</v>
      </c>
      <c r="DU9" s="328" t="s">
        <v>443</v>
      </c>
      <c r="DV9" s="329">
        <v>100</v>
      </c>
      <c r="DW9" s="432"/>
      <c r="DX9" s="328" t="s">
        <v>443</v>
      </c>
      <c r="DY9" s="432"/>
      <c r="DZ9" s="328" t="s">
        <v>443</v>
      </c>
      <c r="EA9" s="328" t="s">
        <v>443</v>
      </c>
      <c r="EB9" s="328" t="s">
        <v>443</v>
      </c>
      <c r="EC9" s="432"/>
      <c r="ED9" s="328" t="s">
        <v>443</v>
      </c>
      <c r="EE9" s="328" t="s">
        <v>443</v>
      </c>
      <c r="EF9" s="432"/>
      <c r="EG9" s="327">
        <v>47.37</v>
      </c>
      <c r="EH9" s="328">
        <v>68.42</v>
      </c>
      <c r="EI9" s="432"/>
      <c r="EJ9" s="327">
        <v>49.57</v>
      </c>
      <c r="EK9" s="328">
        <v>77.569999999999993</v>
      </c>
      <c r="EL9" s="432"/>
      <c r="EM9" s="328">
        <v>70.069999999999993</v>
      </c>
      <c r="EN9" s="328">
        <v>65.12</v>
      </c>
      <c r="EO9" s="332">
        <v>40</v>
      </c>
      <c r="EP9" s="328">
        <v>82.33</v>
      </c>
      <c r="EQ9" s="332">
        <v>35.71</v>
      </c>
    </row>
    <row r="10" spans="1:147">
      <c r="A10" s="494"/>
      <c r="B10" s="325">
        <v>6</v>
      </c>
      <c r="C10" s="326" t="s">
        <v>9</v>
      </c>
      <c r="D10" s="377">
        <v>67.489999999999995</v>
      </c>
      <c r="E10" s="441">
        <v>68.62</v>
      </c>
      <c r="F10" s="442">
        <v>77.66</v>
      </c>
      <c r="G10" s="350">
        <v>-1.1300000000000097</v>
      </c>
      <c r="H10" s="350">
        <v>-10.170000000000002</v>
      </c>
      <c r="I10" s="432"/>
      <c r="J10" s="328" t="s">
        <v>443</v>
      </c>
      <c r="K10" s="328">
        <v>84.85</v>
      </c>
      <c r="L10" s="328">
        <v>75.319999999999993</v>
      </c>
      <c r="M10" s="328">
        <v>63.29</v>
      </c>
      <c r="N10" s="328">
        <v>84.21</v>
      </c>
      <c r="O10" s="432"/>
      <c r="P10" s="328">
        <v>66.069999999999993</v>
      </c>
      <c r="Q10" s="328">
        <v>69.95</v>
      </c>
      <c r="R10" s="432"/>
      <c r="S10" s="328">
        <v>84</v>
      </c>
      <c r="T10" s="327">
        <v>57.05</v>
      </c>
      <c r="U10" s="328">
        <v>72.14</v>
      </c>
      <c r="V10" s="328">
        <v>69.84</v>
      </c>
      <c r="W10" s="328">
        <v>66.67</v>
      </c>
      <c r="X10" s="432"/>
      <c r="Y10" s="328">
        <v>73.33</v>
      </c>
      <c r="Z10" s="328">
        <v>62.56</v>
      </c>
      <c r="AA10" s="328">
        <v>66.069999999999993</v>
      </c>
      <c r="AB10" s="328">
        <v>63.93</v>
      </c>
      <c r="AC10" s="328">
        <v>79.489999999999995</v>
      </c>
      <c r="AD10" s="432"/>
      <c r="AE10" s="328">
        <v>66.8</v>
      </c>
      <c r="AF10" s="328">
        <v>85</v>
      </c>
      <c r="AG10" s="432"/>
      <c r="AH10" s="328">
        <v>79.03</v>
      </c>
      <c r="AI10" s="328">
        <v>71.150000000000006</v>
      </c>
      <c r="AJ10" s="328">
        <v>61.48</v>
      </c>
      <c r="AK10" s="327">
        <v>48.19</v>
      </c>
      <c r="AL10" s="432"/>
      <c r="AM10" s="328">
        <v>71.430000000000007</v>
      </c>
      <c r="AN10" s="328">
        <v>66.67</v>
      </c>
      <c r="AO10" s="327">
        <v>50.98</v>
      </c>
      <c r="AP10" s="328" t="s">
        <v>443</v>
      </c>
      <c r="AQ10" s="328" t="s">
        <v>443</v>
      </c>
      <c r="AR10" s="332">
        <v>38.46</v>
      </c>
      <c r="AS10" s="328" t="s">
        <v>443</v>
      </c>
      <c r="AT10" s="432"/>
      <c r="AU10" s="328">
        <v>80.95</v>
      </c>
      <c r="AV10" s="328">
        <v>74.84</v>
      </c>
      <c r="AW10" s="329">
        <v>92.68</v>
      </c>
      <c r="AX10" s="328" t="s">
        <v>443</v>
      </c>
      <c r="AY10" s="328" t="s">
        <v>443</v>
      </c>
      <c r="AZ10" s="329">
        <v>100</v>
      </c>
      <c r="BA10" s="327">
        <v>58.82</v>
      </c>
      <c r="BB10" s="432"/>
      <c r="BC10" s="328" t="s">
        <v>443</v>
      </c>
      <c r="BD10" s="328" t="s">
        <v>443</v>
      </c>
      <c r="BE10" s="328">
        <v>68.569999999999993</v>
      </c>
      <c r="BF10" s="328" t="s">
        <v>443</v>
      </c>
      <c r="BG10" s="328">
        <v>62.51</v>
      </c>
      <c r="BH10" s="328">
        <v>83.33</v>
      </c>
      <c r="BI10" s="327">
        <v>54.05</v>
      </c>
      <c r="BJ10" s="432"/>
      <c r="BK10" s="328" t="s">
        <v>443</v>
      </c>
      <c r="BL10" s="328">
        <v>66.67</v>
      </c>
      <c r="BM10" s="432"/>
      <c r="BN10" s="328" t="s">
        <v>443</v>
      </c>
      <c r="BO10" s="328" t="s">
        <v>443</v>
      </c>
      <c r="BP10" s="328" t="s">
        <v>443</v>
      </c>
      <c r="BQ10" s="328" t="s">
        <v>443</v>
      </c>
      <c r="BR10" s="432"/>
      <c r="BS10" s="328" t="s">
        <v>443</v>
      </c>
      <c r="BT10" s="328" t="s">
        <v>443</v>
      </c>
      <c r="BU10" s="327">
        <v>53.13</v>
      </c>
      <c r="BV10" s="332">
        <v>41.18</v>
      </c>
      <c r="BW10" s="432"/>
      <c r="BX10" s="328" t="s">
        <v>443</v>
      </c>
      <c r="BY10" s="328" t="s">
        <v>443</v>
      </c>
      <c r="BZ10" s="432"/>
      <c r="CA10" s="328" t="s">
        <v>443</v>
      </c>
      <c r="CB10" s="328" t="s">
        <v>443</v>
      </c>
      <c r="CC10" s="432"/>
      <c r="CD10" s="332">
        <v>26.92</v>
      </c>
      <c r="CE10" s="328">
        <v>61.54</v>
      </c>
      <c r="CF10" s="432"/>
      <c r="CG10" s="328" t="s">
        <v>443</v>
      </c>
      <c r="CH10" s="328" t="s">
        <v>443</v>
      </c>
      <c r="CI10" s="432"/>
      <c r="CJ10" s="328" t="s">
        <v>443</v>
      </c>
      <c r="CK10" s="328" t="s">
        <v>443</v>
      </c>
      <c r="CL10" s="328" t="s">
        <v>443</v>
      </c>
      <c r="CM10" s="329">
        <v>90.91</v>
      </c>
      <c r="CN10" s="432"/>
      <c r="CO10" s="329">
        <v>100</v>
      </c>
      <c r="CP10" s="328">
        <v>73.72</v>
      </c>
      <c r="CQ10" s="328">
        <v>70</v>
      </c>
      <c r="CR10" s="432"/>
      <c r="CS10" s="328">
        <v>71.430000000000007</v>
      </c>
      <c r="CT10" s="328" t="s">
        <v>443</v>
      </c>
      <c r="CU10" s="329">
        <v>100</v>
      </c>
      <c r="CV10" s="329">
        <v>100</v>
      </c>
      <c r="CW10" s="328">
        <v>83.33</v>
      </c>
      <c r="CX10" s="328" t="s">
        <v>443</v>
      </c>
      <c r="CY10" s="432"/>
      <c r="CZ10" s="328" t="s">
        <v>443</v>
      </c>
      <c r="DA10" s="432"/>
      <c r="DB10" s="328" t="s">
        <v>443</v>
      </c>
      <c r="DC10" s="432"/>
      <c r="DD10" s="329">
        <v>100</v>
      </c>
      <c r="DE10" s="432"/>
      <c r="DF10" s="327">
        <v>58.82</v>
      </c>
      <c r="DG10" s="432"/>
      <c r="DH10" s="328" t="s">
        <v>443</v>
      </c>
      <c r="DI10" s="432"/>
      <c r="DJ10" s="328" t="s">
        <v>443</v>
      </c>
      <c r="DK10" s="432"/>
      <c r="DL10" s="328" t="s">
        <v>443</v>
      </c>
      <c r="DM10" s="332">
        <v>33.33</v>
      </c>
      <c r="DN10" s="328">
        <v>81.819999999999993</v>
      </c>
      <c r="DO10" s="328">
        <v>68.75</v>
      </c>
      <c r="DP10" s="328" t="s">
        <v>443</v>
      </c>
      <c r="DQ10" s="328">
        <v>77.78</v>
      </c>
      <c r="DR10" s="327">
        <v>48.28</v>
      </c>
      <c r="DS10" s="328">
        <v>83.33</v>
      </c>
      <c r="DT10" s="328">
        <v>62.51</v>
      </c>
      <c r="DU10" s="328" t="s">
        <v>443</v>
      </c>
      <c r="DV10" s="329">
        <v>100</v>
      </c>
      <c r="DW10" s="432"/>
      <c r="DX10" s="328" t="s">
        <v>443</v>
      </c>
      <c r="DY10" s="432"/>
      <c r="DZ10" s="328" t="s">
        <v>443</v>
      </c>
      <c r="EA10" s="328" t="s">
        <v>443</v>
      </c>
      <c r="EB10" s="328" t="s">
        <v>443</v>
      </c>
      <c r="EC10" s="432"/>
      <c r="ED10" s="328" t="s">
        <v>443</v>
      </c>
      <c r="EE10" s="328" t="s">
        <v>443</v>
      </c>
      <c r="EF10" s="432"/>
      <c r="EG10" s="327">
        <v>52.63</v>
      </c>
      <c r="EH10" s="327">
        <v>55.56</v>
      </c>
      <c r="EI10" s="432"/>
      <c r="EJ10" s="327">
        <v>48.7</v>
      </c>
      <c r="EK10" s="328">
        <v>72.709999999999994</v>
      </c>
      <c r="EL10" s="432"/>
      <c r="EM10" s="328">
        <v>66.180000000000007</v>
      </c>
      <c r="EN10" s="328">
        <v>65.12</v>
      </c>
      <c r="EO10" s="332">
        <v>33.33</v>
      </c>
      <c r="EP10" s="328">
        <v>76.98</v>
      </c>
      <c r="EQ10" s="332">
        <v>36.36</v>
      </c>
    </row>
    <row r="11" spans="1:147">
      <c r="A11" s="494"/>
      <c r="B11" s="325">
        <v>7</v>
      </c>
      <c r="C11" s="326" t="s">
        <v>10</v>
      </c>
      <c r="D11" s="380">
        <v>59.33</v>
      </c>
      <c r="E11" s="441">
        <v>65.89</v>
      </c>
      <c r="F11" s="442">
        <v>69.28</v>
      </c>
      <c r="G11" s="350">
        <v>-6.5600000000000023</v>
      </c>
      <c r="H11" s="350">
        <v>-9.9500000000000028</v>
      </c>
      <c r="I11" s="432"/>
      <c r="J11" s="328" t="s">
        <v>443</v>
      </c>
      <c r="K11" s="328">
        <v>75.760000000000005</v>
      </c>
      <c r="L11" s="328">
        <v>69.23</v>
      </c>
      <c r="M11" s="327">
        <v>54.36</v>
      </c>
      <c r="N11" s="328">
        <v>84.21</v>
      </c>
      <c r="O11" s="432"/>
      <c r="P11" s="327">
        <v>58.82</v>
      </c>
      <c r="Q11" s="327">
        <v>60.2</v>
      </c>
      <c r="R11" s="432"/>
      <c r="S11" s="328">
        <v>84</v>
      </c>
      <c r="T11" s="327">
        <v>45.91</v>
      </c>
      <c r="U11" s="328">
        <v>63.9</v>
      </c>
      <c r="V11" s="328">
        <v>65.08</v>
      </c>
      <c r="W11" s="327">
        <v>52.38</v>
      </c>
      <c r="X11" s="432"/>
      <c r="Y11" s="327">
        <v>59.74</v>
      </c>
      <c r="Z11" s="327">
        <v>55.56</v>
      </c>
      <c r="AA11" s="327">
        <v>54.87</v>
      </c>
      <c r="AB11" s="328">
        <v>63.93</v>
      </c>
      <c r="AC11" s="328">
        <v>71.790000000000006</v>
      </c>
      <c r="AD11" s="432"/>
      <c r="AE11" s="327">
        <v>58.53</v>
      </c>
      <c r="AF11" s="328">
        <v>80</v>
      </c>
      <c r="AG11" s="432"/>
      <c r="AH11" s="328">
        <v>79.14</v>
      </c>
      <c r="AI11" s="328">
        <v>69.52</v>
      </c>
      <c r="AJ11" s="332">
        <v>42.34</v>
      </c>
      <c r="AK11" s="332">
        <v>31.33</v>
      </c>
      <c r="AL11" s="432"/>
      <c r="AM11" s="327">
        <v>57.14</v>
      </c>
      <c r="AN11" s="328">
        <v>83.33</v>
      </c>
      <c r="AO11" s="332">
        <v>43.14</v>
      </c>
      <c r="AP11" s="328" t="s">
        <v>443</v>
      </c>
      <c r="AQ11" s="328" t="s">
        <v>443</v>
      </c>
      <c r="AR11" s="332">
        <v>37.51</v>
      </c>
      <c r="AS11" s="328" t="s">
        <v>443</v>
      </c>
      <c r="AT11" s="432"/>
      <c r="AU11" s="329">
        <v>85.71</v>
      </c>
      <c r="AV11" s="328">
        <v>64.739999999999995</v>
      </c>
      <c r="AW11" s="328">
        <v>80.489999999999995</v>
      </c>
      <c r="AX11" s="328" t="s">
        <v>443</v>
      </c>
      <c r="AY11" s="328" t="s">
        <v>443</v>
      </c>
      <c r="AZ11" s="328">
        <v>71.430000000000007</v>
      </c>
      <c r="BA11" s="327">
        <v>47.06</v>
      </c>
      <c r="BB11" s="432"/>
      <c r="BC11" s="328" t="s">
        <v>443</v>
      </c>
      <c r="BD11" s="328" t="s">
        <v>443</v>
      </c>
      <c r="BE11" s="328">
        <v>62.04</v>
      </c>
      <c r="BF11" s="328" t="s">
        <v>443</v>
      </c>
      <c r="BG11" s="332">
        <v>37.51</v>
      </c>
      <c r="BH11" s="327">
        <v>50</v>
      </c>
      <c r="BI11" s="332">
        <v>39.47</v>
      </c>
      <c r="BJ11" s="432"/>
      <c r="BK11" s="328" t="s">
        <v>443</v>
      </c>
      <c r="BL11" s="327">
        <v>50</v>
      </c>
      <c r="BM11" s="432"/>
      <c r="BN11" s="328" t="s">
        <v>443</v>
      </c>
      <c r="BO11" s="328" t="s">
        <v>443</v>
      </c>
      <c r="BP11" s="328" t="s">
        <v>443</v>
      </c>
      <c r="BQ11" s="328" t="s">
        <v>443</v>
      </c>
      <c r="BR11" s="432"/>
      <c r="BS11" s="328" t="s">
        <v>443</v>
      </c>
      <c r="BT11" s="328" t="s">
        <v>443</v>
      </c>
      <c r="BU11" s="332">
        <v>43.75</v>
      </c>
      <c r="BV11" s="332">
        <v>41.18</v>
      </c>
      <c r="BW11" s="432"/>
      <c r="BX11" s="328" t="s">
        <v>443</v>
      </c>
      <c r="BY11" s="328" t="s">
        <v>443</v>
      </c>
      <c r="BZ11" s="432"/>
      <c r="CA11" s="328" t="s">
        <v>443</v>
      </c>
      <c r="CB11" s="328" t="s">
        <v>443</v>
      </c>
      <c r="CC11" s="432"/>
      <c r="CD11" s="332">
        <v>40.74</v>
      </c>
      <c r="CE11" s="332">
        <v>30.77</v>
      </c>
      <c r="CF11" s="432"/>
      <c r="CG11" s="328" t="s">
        <v>443</v>
      </c>
      <c r="CH11" s="328" t="s">
        <v>443</v>
      </c>
      <c r="CI11" s="432"/>
      <c r="CJ11" s="328" t="s">
        <v>443</v>
      </c>
      <c r="CK11" s="328" t="s">
        <v>443</v>
      </c>
      <c r="CL11" s="328" t="s">
        <v>443</v>
      </c>
      <c r="CM11" s="329">
        <v>90.91</v>
      </c>
      <c r="CN11" s="432"/>
      <c r="CO11" s="329">
        <v>87.51</v>
      </c>
      <c r="CP11" s="328">
        <v>63.77</v>
      </c>
      <c r="CQ11" s="327">
        <v>60</v>
      </c>
      <c r="CR11" s="432"/>
      <c r="CS11" s="329">
        <v>85.71</v>
      </c>
      <c r="CT11" s="328" t="s">
        <v>443</v>
      </c>
      <c r="CU11" s="329">
        <v>85.71</v>
      </c>
      <c r="CV11" s="329">
        <v>92.86</v>
      </c>
      <c r="CW11" s="327">
        <v>50</v>
      </c>
      <c r="CX11" s="328" t="s">
        <v>443</v>
      </c>
      <c r="CY11" s="432"/>
      <c r="CZ11" s="328" t="s">
        <v>443</v>
      </c>
      <c r="DA11" s="432"/>
      <c r="DB11" s="328" t="s">
        <v>443</v>
      </c>
      <c r="DC11" s="432"/>
      <c r="DD11" s="328">
        <v>71.430000000000007</v>
      </c>
      <c r="DE11" s="432"/>
      <c r="DF11" s="327">
        <v>47.06</v>
      </c>
      <c r="DG11" s="432"/>
      <c r="DH11" s="328" t="s">
        <v>443</v>
      </c>
      <c r="DI11" s="432"/>
      <c r="DJ11" s="328" t="s">
        <v>443</v>
      </c>
      <c r="DK11" s="432"/>
      <c r="DL11" s="328" t="s">
        <v>443</v>
      </c>
      <c r="DM11" s="332">
        <v>28.57</v>
      </c>
      <c r="DN11" s="328">
        <v>72.73</v>
      </c>
      <c r="DO11" s="328">
        <v>68.75</v>
      </c>
      <c r="DP11" s="328" t="s">
        <v>443</v>
      </c>
      <c r="DQ11" s="329">
        <v>88.89</v>
      </c>
      <c r="DR11" s="332">
        <v>33.33</v>
      </c>
      <c r="DS11" s="328">
        <v>84.62</v>
      </c>
      <c r="DT11" s="328">
        <v>75</v>
      </c>
      <c r="DU11" s="328" t="s">
        <v>443</v>
      </c>
      <c r="DV11" s="329">
        <v>100</v>
      </c>
      <c r="DW11" s="432"/>
      <c r="DX11" s="328" t="s">
        <v>443</v>
      </c>
      <c r="DY11" s="432"/>
      <c r="DZ11" s="328" t="s">
        <v>443</v>
      </c>
      <c r="EA11" s="328" t="s">
        <v>443</v>
      </c>
      <c r="EB11" s="328" t="s">
        <v>443</v>
      </c>
      <c r="EC11" s="432"/>
      <c r="ED11" s="328" t="s">
        <v>443</v>
      </c>
      <c r="EE11" s="328" t="s">
        <v>443</v>
      </c>
      <c r="EF11" s="432"/>
      <c r="EG11" s="332">
        <v>36.840000000000003</v>
      </c>
      <c r="EH11" s="332">
        <v>42.11</v>
      </c>
      <c r="EI11" s="432"/>
      <c r="EJ11" s="327">
        <v>44.83</v>
      </c>
      <c r="EK11" s="328">
        <v>63.33</v>
      </c>
      <c r="EL11" s="432"/>
      <c r="EM11" s="327">
        <v>55.8</v>
      </c>
      <c r="EN11" s="327">
        <v>53.49</v>
      </c>
      <c r="EO11" s="332">
        <v>30</v>
      </c>
      <c r="EP11" s="328">
        <v>69.92</v>
      </c>
      <c r="EQ11" s="332">
        <v>28.57</v>
      </c>
    </row>
    <row r="12" spans="1:147">
      <c r="A12" s="494"/>
      <c r="B12" s="325">
        <v>8</v>
      </c>
      <c r="C12" s="326" t="s">
        <v>11</v>
      </c>
      <c r="D12" s="377">
        <v>76.31</v>
      </c>
      <c r="E12" s="441">
        <v>78.430000000000007</v>
      </c>
      <c r="F12" s="442">
        <v>83.23</v>
      </c>
      <c r="G12" s="350">
        <v>-2.1200000000000045</v>
      </c>
      <c r="H12" s="350">
        <v>-6.9200000000000017</v>
      </c>
      <c r="I12" s="432"/>
      <c r="J12" s="328" t="s">
        <v>443</v>
      </c>
      <c r="K12" s="329">
        <v>87.88</v>
      </c>
      <c r="L12" s="328">
        <v>79.489999999999995</v>
      </c>
      <c r="M12" s="328">
        <v>73.569999999999993</v>
      </c>
      <c r="N12" s="329">
        <v>94.74</v>
      </c>
      <c r="O12" s="432"/>
      <c r="P12" s="328">
        <v>73.819999999999993</v>
      </c>
      <c r="Q12" s="328">
        <v>80.61</v>
      </c>
      <c r="R12" s="432"/>
      <c r="S12" s="329">
        <v>96</v>
      </c>
      <c r="T12" s="328">
        <v>64.78</v>
      </c>
      <c r="U12" s="328">
        <v>78.05</v>
      </c>
      <c r="V12" s="328">
        <v>83.33</v>
      </c>
      <c r="W12" s="328">
        <v>80.95</v>
      </c>
      <c r="X12" s="432"/>
      <c r="Y12" s="328">
        <v>70.13</v>
      </c>
      <c r="Z12" s="328">
        <v>74.400000000000006</v>
      </c>
      <c r="AA12" s="328">
        <v>71.680000000000007</v>
      </c>
      <c r="AB12" s="329">
        <v>86.89</v>
      </c>
      <c r="AC12" s="329">
        <v>85.9</v>
      </c>
      <c r="AD12" s="432"/>
      <c r="AE12" s="328">
        <v>75.58</v>
      </c>
      <c r="AF12" s="329">
        <v>95</v>
      </c>
      <c r="AG12" s="432"/>
      <c r="AH12" s="329">
        <v>89.3</v>
      </c>
      <c r="AI12" s="328">
        <v>79.05</v>
      </c>
      <c r="AJ12" s="328">
        <v>71.53</v>
      </c>
      <c r="AK12" s="327">
        <v>54.22</v>
      </c>
      <c r="AL12" s="432"/>
      <c r="AM12" s="328">
        <v>71.430000000000007</v>
      </c>
      <c r="AN12" s="328">
        <v>83.33</v>
      </c>
      <c r="AO12" s="328">
        <v>60.78</v>
      </c>
      <c r="AP12" s="328" t="s">
        <v>443</v>
      </c>
      <c r="AQ12" s="328" t="s">
        <v>443</v>
      </c>
      <c r="AR12" s="328">
        <v>62.51</v>
      </c>
      <c r="AS12" s="328" t="s">
        <v>443</v>
      </c>
      <c r="AT12" s="432"/>
      <c r="AU12" s="329">
        <v>85.71</v>
      </c>
      <c r="AV12" s="328">
        <v>80.13</v>
      </c>
      <c r="AW12" s="329">
        <v>97.56</v>
      </c>
      <c r="AX12" s="328" t="s">
        <v>443</v>
      </c>
      <c r="AY12" s="328" t="s">
        <v>443</v>
      </c>
      <c r="AZ12" s="329">
        <v>100</v>
      </c>
      <c r="BA12" s="328">
        <v>64.709999999999994</v>
      </c>
      <c r="BB12" s="432"/>
      <c r="BC12" s="328" t="s">
        <v>443</v>
      </c>
      <c r="BD12" s="328" t="s">
        <v>443</v>
      </c>
      <c r="BE12" s="328">
        <v>71.3</v>
      </c>
      <c r="BF12" s="328" t="s">
        <v>443</v>
      </c>
      <c r="BG12" s="329">
        <v>87.51</v>
      </c>
      <c r="BH12" s="328">
        <v>83.33</v>
      </c>
      <c r="BI12" s="328">
        <v>76.319999999999993</v>
      </c>
      <c r="BJ12" s="432"/>
      <c r="BK12" s="328" t="s">
        <v>443</v>
      </c>
      <c r="BL12" s="328">
        <v>66.67</v>
      </c>
      <c r="BM12" s="432"/>
      <c r="BN12" s="328" t="s">
        <v>443</v>
      </c>
      <c r="BO12" s="328" t="s">
        <v>443</v>
      </c>
      <c r="BP12" s="328" t="s">
        <v>443</v>
      </c>
      <c r="BQ12" s="328" t="s">
        <v>443</v>
      </c>
      <c r="BR12" s="432"/>
      <c r="BS12" s="328" t="s">
        <v>443</v>
      </c>
      <c r="BT12" s="328" t="s">
        <v>443</v>
      </c>
      <c r="BU12" s="328">
        <v>62.51</v>
      </c>
      <c r="BV12" s="327">
        <v>58.82</v>
      </c>
      <c r="BW12" s="432"/>
      <c r="BX12" s="328" t="s">
        <v>443</v>
      </c>
      <c r="BY12" s="328" t="s">
        <v>443</v>
      </c>
      <c r="BZ12" s="432"/>
      <c r="CA12" s="328" t="s">
        <v>443</v>
      </c>
      <c r="CB12" s="328" t="s">
        <v>443</v>
      </c>
      <c r="CC12" s="432"/>
      <c r="CD12" s="328">
        <v>70.37</v>
      </c>
      <c r="CE12" s="327">
        <v>46.15</v>
      </c>
      <c r="CF12" s="432"/>
      <c r="CG12" s="328" t="s">
        <v>443</v>
      </c>
      <c r="CH12" s="328" t="s">
        <v>443</v>
      </c>
      <c r="CI12" s="432"/>
      <c r="CJ12" s="328" t="s">
        <v>443</v>
      </c>
      <c r="CK12" s="328" t="s">
        <v>443</v>
      </c>
      <c r="CL12" s="328" t="s">
        <v>443</v>
      </c>
      <c r="CM12" s="329">
        <v>90.91</v>
      </c>
      <c r="CN12" s="432"/>
      <c r="CO12" s="329">
        <v>100</v>
      </c>
      <c r="CP12" s="328">
        <v>79.709999999999994</v>
      </c>
      <c r="CQ12" s="328">
        <v>70</v>
      </c>
      <c r="CR12" s="432"/>
      <c r="CS12" s="329">
        <v>100</v>
      </c>
      <c r="CT12" s="328" t="s">
        <v>443</v>
      </c>
      <c r="CU12" s="329">
        <v>100</v>
      </c>
      <c r="CV12" s="329">
        <v>100</v>
      </c>
      <c r="CW12" s="329">
        <v>100</v>
      </c>
      <c r="CX12" s="328" t="s">
        <v>443</v>
      </c>
      <c r="CY12" s="432"/>
      <c r="CZ12" s="328" t="s">
        <v>443</v>
      </c>
      <c r="DA12" s="432"/>
      <c r="DB12" s="328" t="s">
        <v>443</v>
      </c>
      <c r="DC12" s="432"/>
      <c r="DD12" s="329">
        <v>100</v>
      </c>
      <c r="DE12" s="432"/>
      <c r="DF12" s="328">
        <v>64.709999999999994</v>
      </c>
      <c r="DG12" s="432"/>
      <c r="DH12" s="328" t="s">
        <v>443</v>
      </c>
      <c r="DI12" s="432"/>
      <c r="DJ12" s="328" t="s">
        <v>443</v>
      </c>
      <c r="DK12" s="432"/>
      <c r="DL12" s="328" t="s">
        <v>443</v>
      </c>
      <c r="DM12" s="332">
        <v>42.86</v>
      </c>
      <c r="DN12" s="328">
        <v>81.819999999999993</v>
      </c>
      <c r="DO12" s="329">
        <v>87.51</v>
      </c>
      <c r="DP12" s="328" t="s">
        <v>443</v>
      </c>
      <c r="DQ12" s="329">
        <v>88.89</v>
      </c>
      <c r="DR12" s="332">
        <v>40</v>
      </c>
      <c r="DS12" s="329">
        <v>100</v>
      </c>
      <c r="DT12" s="329">
        <v>87.51</v>
      </c>
      <c r="DU12" s="328" t="s">
        <v>443</v>
      </c>
      <c r="DV12" s="329">
        <v>100</v>
      </c>
      <c r="DW12" s="432"/>
      <c r="DX12" s="328" t="s">
        <v>443</v>
      </c>
      <c r="DY12" s="432"/>
      <c r="DZ12" s="328" t="s">
        <v>443</v>
      </c>
      <c r="EA12" s="328" t="s">
        <v>443</v>
      </c>
      <c r="EB12" s="328" t="s">
        <v>443</v>
      </c>
      <c r="EC12" s="432"/>
      <c r="ED12" s="328" t="s">
        <v>443</v>
      </c>
      <c r="EE12" s="328" t="s">
        <v>443</v>
      </c>
      <c r="EF12" s="432"/>
      <c r="EG12" s="328">
        <v>73.680000000000007</v>
      </c>
      <c r="EH12" s="328">
        <v>78.95</v>
      </c>
      <c r="EI12" s="432"/>
      <c r="EJ12" s="328">
        <v>64.66</v>
      </c>
      <c r="EK12" s="328">
        <v>79.52</v>
      </c>
      <c r="EL12" s="432"/>
      <c r="EM12" s="328">
        <v>78.260000000000005</v>
      </c>
      <c r="EN12" s="328">
        <v>67.44</v>
      </c>
      <c r="EO12" s="328">
        <v>70</v>
      </c>
      <c r="EP12" s="328">
        <v>82.71</v>
      </c>
      <c r="EQ12" s="327">
        <v>51.79</v>
      </c>
    </row>
    <row r="13" spans="1:147">
      <c r="A13" s="494"/>
      <c r="B13" s="325">
        <v>9</v>
      </c>
      <c r="C13" s="326" t="s">
        <v>769</v>
      </c>
      <c r="D13" s="377">
        <v>84.7</v>
      </c>
      <c r="E13" s="443">
        <v>86.45</v>
      </c>
      <c r="F13" s="444">
        <v>86.01</v>
      </c>
      <c r="G13" s="350">
        <v>-1.75</v>
      </c>
      <c r="H13" s="350">
        <v>-1.3100000000000023</v>
      </c>
      <c r="I13" s="432"/>
      <c r="J13" s="328" t="s">
        <v>443</v>
      </c>
      <c r="K13" s="329">
        <v>93.94</v>
      </c>
      <c r="L13" s="329">
        <v>88.46</v>
      </c>
      <c r="M13" s="328">
        <v>83.54</v>
      </c>
      <c r="N13" s="328">
        <v>73.680000000000007</v>
      </c>
      <c r="O13" s="432"/>
      <c r="P13" s="328">
        <v>82.35</v>
      </c>
      <c r="Q13" s="329">
        <v>88.78</v>
      </c>
      <c r="R13" s="432"/>
      <c r="S13" s="328">
        <v>76</v>
      </c>
      <c r="T13" s="328">
        <v>79.25</v>
      </c>
      <c r="U13" s="329">
        <v>88.29</v>
      </c>
      <c r="V13" s="328">
        <v>84.92</v>
      </c>
      <c r="W13" s="329">
        <v>100</v>
      </c>
      <c r="X13" s="432"/>
      <c r="Y13" s="328">
        <v>84.42</v>
      </c>
      <c r="Z13" s="328">
        <v>83.57</v>
      </c>
      <c r="AA13" s="328">
        <v>84.07</v>
      </c>
      <c r="AB13" s="328">
        <v>83.61</v>
      </c>
      <c r="AC13" s="329">
        <v>89.74</v>
      </c>
      <c r="AD13" s="432"/>
      <c r="AE13" s="328">
        <v>85.27</v>
      </c>
      <c r="AF13" s="328">
        <v>70</v>
      </c>
      <c r="AG13" s="432"/>
      <c r="AH13" s="329">
        <v>93.58</v>
      </c>
      <c r="AI13" s="329">
        <v>87.62</v>
      </c>
      <c r="AJ13" s="328">
        <v>81.75</v>
      </c>
      <c r="AK13" s="328">
        <v>67.47</v>
      </c>
      <c r="AL13" s="432"/>
      <c r="AM13" s="328">
        <v>71.430000000000007</v>
      </c>
      <c r="AN13" s="328">
        <v>83.33</v>
      </c>
      <c r="AO13" s="328">
        <v>70.59</v>
      </c>
      <c r="AP13" s="328" t="s">
        <v>443</v>
      </c>
      <c r="AQ13" s="328" t="s">
        <v>443</v>
      </c>
      <c r="AR13" s="328">
        <v>72.510000000000005</v>
      </c>
      <c r="AS13" s="328" t="s">
        <v>443</v>
      </c>
      <c r="AT13" s="432"/>
      <c r="AU13" s="329">
        <v>90.48</v>
      </c>
      <c r="AV13" s="329">
        <v>86.54</v>
      </c>
      <c r="AW13" s="329">
        <v>95.12</v>
      </c>
      <c r="AX13" s="328" t="s">
        <v>443</v>
      </c>
      <c r="AY13" s="328" t="s">
        <v>443</v>
      </c>
      <c r="AZ13" s="329">
        <v>100</v>
      </c>
      <c r="BA13" s="328">
        <v>76.47</v>
      </c>
      <c r="BB13" s="432"/>
      <c r="BC13" s="328" t="s">
        <v>443</v>
      </c>
      <c r="BD13" s="328" t="s">
        <v>443</v>
      </c>
      <c r="BE13" s="329">
        <v>89.81</v>
      </c>
      <c r="BF13" s="328" t="s">
        <v>443</v>
      </c>
      <c r="BG13" s="329">
        <v>87.51</v>
      </c>
      <c r="BH13" s="328">
        <v>83.33</v>
      </c>
      <c r="BI13" s="328">
        <v>84.21</v>
      </c>
      <c r="BJ13" s="432"/>
      <c r="BK13" s="328" t="s">
        <v>443</v>
      </c>
      <c r="BL13" s="328">
        <v>66.67</v>
      </c>
      <c r="BM13" s="432"/>
      <c r="BN13" s="328" t="s">
        <v>443</v>
      </c>
      <c r="BO13" s="328" t="s">
        <v>443</v>
      </c>
      <c r="BP13" s="328" t="s">
        <v>443</v>
      </c>
      <c r="BQ13" s="328" t="s">
        <v>443</v>
      </c>
      <c r="BR13" s="432"/>
      <c r="BS13" s="328" t="s">
        <v>443</v>
      </c>
      <c r="BT13" s="328" t="s">
        <v>443</v>
      </c>
      <c r="BU13" s="328">
        <v>68.75</v>
      </c>
      <c r="BV13" s="328">
        <v>70.59</v>
      </c>
      <c r="BW13" s="432"/>
      <c r="BX13" s="328" t="s">
        <v>443</v>
      </c>
      <c r="BY13" s="328" t="s">
        <v>443</v>
      </c>
      <c r="BZ13" s="432"/>
      <c r="CA13" s="328" t="s">
        <v>443</v>
      </c>
      <c r="CB13" s="328" t="s">
        <v>443</v>
      </c>
      <c r="CC13" s="432"/>
      <c r="CD13" s="328">
        <v>66.67</v>
      </c>
      <c r="CE13" s="328">
        <v>84.62</v>
      </c>
      <c r="CF13" s="432"/>
      <c r="CG13" s="328" t="s">
        <v>443</v>
      </c>
      <c r="CH13" s="328" t="s">
        <v>443</v>
      </c>
      <c r="CI13" s="432"/>
      <c r="CJ13" s="328" t="s">
        <v>443</v>
      </c>
      <c r="CK13" s="328" t="s">
        <v>443</v>
      </c>
      <c r="CL13" s="328" t="s">
        <v>443</v>
      </c>
      <c r="CM13" s="329">
        <v>90.91</v>
      </c>
      <c r="CN13" s="432"/>
      <c r="CO13" s="329">
        <v>100</v>
      </c>
      <c r="CP13" s="329">
        <v>86.23</v>
      </c>
      <c r="CQ13" s="328">
        <v>80</v>
      </c>
      <c r="CR13" s="432"/>
      <c r="CS13" s="329">
        <v>100</v>
      </c>
      <c r="CT13" s="328" t="s">
        <v>443</v>
      </c>
      <c r="CU13" s="329">
        <v>100</v>
      </c>
      <c r="CV13" s="329">
        <v>85.71</v>
      </c>
      <c r="CW13" s="329">
        <v>100</v>
      </c>
      <c r="CX13" s="328" t="s">
        <v>443</v>
      </c>
      <c r="CY13" s="432"/>
      <c r="CZ13" s="328" t="s">
        <v>443</v>
      </c>
      <c r="DA13" s="432"/>
      <c r="DB13" s="328" t="s">
        <v>443</v>
      </c>
      <c r="DC13" s="432"/>
      <c r="DD13" s="329">
        <v>100</v>
      </c>
      <c r="DE13" s="432"/>
      <c r="DF13" s="328">
        <v>76.47</v>
      </c>
      <c r="DG13" s="432"/>
      <c r="DH13" s="328" t="s">
        <v>443</v>
      </c>
      <c r="DI13" s="432"/>
      <c r="DJ13" s="328" t="s">
        <v>443</v>
      </c>
      <c r="DK13" s="432"/>
      <c r="DL13" s="328" t="s">
        <v>443</v>
      </c>
      <c r="DM13" s="329">
        <v>85.71</v>
      </c>
      <c r="DN13" s="328">
        <v>81.819999999999993</v>
      </c>
      <c r="DO13" s="329">
        <v>93.75</v>
      </c>
      <c r="DP13" s="328" t="s">
        <v>443</v>
      </c>
      <c r="DQ13" s="329">
        <v>88.89</v>
      </c>
      <c r="DR13" s="329">
        <v>93.33</v>
      </c>
      <c r="DS13" s="328">
        <v>84.62</v>
      </c>
      <c r="DT13" s="329">
        <v>87.51</v>
      </c>
      <c r="DU13" s="328" t="s">
        <v>443</v>
      </c>
      <c r="DV13" s="329">
        <v>100</v>
      </c>
      <c r="DW13" s="432"/>
      <c r="DX13" s="328" t="s">
        <v>443</v>
      </c>
      <c r="DY13" s="432"/>
      <c r="DZ13" s="328" t="s">
        <v>443</v>
      </c>
      <c r="EA13" s="328" t="s">
        <v>443</v>
      </c>
      <c r="EB13" s="328" t="s">
        <v>443</v>
      </c>
      <c r="EC13" s="432"/>
      <c r="ED13" s="328" t="s">
        <v>443</v>
      </c>
      <c r="EE13" s="328" t="s">
        <v>443</v>
      </c>
      <c r="EF13" s="432"/>
      <c r="EG13" s="329">
        <v>89.47</v>
      </c>
      <c r="EH13" s="328">
        <v>78.95</v>
      </c>
      <c r="EI13" s="432"/>
      <c r="EJ13" s="328">
        <v>72.41</v>
      </c>
      <c r="EK13" s="329">
        <v>88.1</v>
      </c>
      <c r="EL13" s="432"/>
      <c r="EM13" s="328">
        <v>81.88</v>
      </c>
      <c r="EN13" s="328">
        <v>81.400000000000006</v>
      </c>
      <c r="EO13" s="329">
        <v>90</v>
      </c>
      <c r="EP13" s="329">
        <v>90.6</v>
      </c>
      <c r="EQ13" s="328">
        <v>69.64</v>
      </c>
    </row>
    <row r="14" spans="1:147">
      <c r="A14" s="494"/>
      <c r="B14" s="325">
        <v>10</v>
      </c>
      <c r="C14" s="326" t="s">
        <v>13</v>
      </c>
      <c r="D14" s="377">
        <v>64.709999999999994</v>
      </c>
      <c r="E14" s="441">
        <v>69.569999999999993</v>
      </c>
      <c r="F14" s="442">
        <v>78.319999999999993</v>
      </c>
      <c r="G14" s="350">
        <v>-4.8599999999999994</v>
      </c>
      <c r="H14" s="350">
        <v>-13.61</v>
      </c>
      <c r="I14" s="432"/>
      <c r="J14" s="328" t="s">
        <v>443</v>
      </c>
      <c r="K14" s="328">
        <v>79.41</v>
      </c>
      <c r="L14" s="328">
        <v>69.62</v>
      </c>
      <c r="M14" s="328">
        <v>60.93</v>
      </c>
      <c r="N14" s="329">
        <v>89.47</v>
      </c>
      <c r="O14" s="432"/>
      <c r="P14" s="328">
        <v>64.64</v>
      </c>
      <c r="Q14" s="328">
        <v>64.819999999999993</v>
      </c>
      <c r="R14" s="432"/>
      <c r="S14" s="328">
        <v>76</v>
      </c>
      <c r="T14" s="327">
        <v>51.23</v>
      </c>
      <c r="U14" s="328">
        <v>69.23</v>
      </c>
      <c r="V14" s="328">
        <v>70.31</v>
      </c>
      <c r="W14" s="328">
        <v>76.19</v>
      </c>
      <c r="X14" s="432"/>
      <c r="Y14" s="328">
        <v>70.13</v>
      </c>
      <c r="Z14" s="327">
        <v>59.15</v>
      </c>
      <c r="AA14" s="328">
        <v>60.53</v>
      </c>
      <c r="AB14" s="328">
        <v>72.13</v>
      </c>
      <c r="AC14" s="328">
        <v>74.680000000000007</v>
      </c>
      <c r="AD14" s="432"/>
      <c r="AE14" s="328">
        <v>63.93</v>
      </c>
      <c r="AF14" s="328">
        <v>85</v>
      </c>
      <c r="AG14" s="432"/>
      <c r="AH14" s="328">
        <v>80.75</v>
      </c>
      <c r="AI14" s="328">
        <v>71.430000000000007</v>
      </c>
      <c r="AJ14" s="327">
        <v>56.2</v>
      </c>
      <c r="AK14" s="332">
        <v>38.549999999999997</v>
      </c>
      <c r="AL14" s="432"/>
      <c r="AM14" s="332">
        <v>42.86</v>
      </c>
      <c r="AN14" s="328">
        <v>83.33</v>
      </c>
      <c r="AO14" s="332">
        <v>37.04</v>
      </c>
      <c r="AP14" s="328" t="s">
        <v>443</v>
      </c>
      <c r="AQ14" s="328" t="s">
        <v>443</v>
      </c>
      <c r="AR14" s="327">
        <v>45</v>
      </c>
      <c r="AS14" s="328" t="s">
        <v>443</v>
      </c>
      <c r="AT14" s="432"/>
      <c r="AU14" s="328">
        <v>81.819999999999993</v>
      </c>
      <c r="AV14" s="328">
        <v>66.88</v>
      </c>
      <c r="AW14" s="328">
        <v>80.489999999999995</v>
      </c>
      <c r="AX14" s="328" t="s">
        <v>443</v>
      </c>
      <c r="AY14" s="328" t="s">
        <v>443</v>
      </c>
      <c r="AZ14" s="329">
        <v>100</v>
      </c>
      <c r="BA14" s="328">
        <v>70.59</v>
      </c>
      <c r="BB14" s="432"/>
      <c r="BC14" s="328" t="s">
        <v>443</v>
      </c>
      <c r="BD14" s="328" t="s">
        <v>443</v>
      </c>
      <c r="BE14" s="328">
        <v>73.39</v>
      </c>
      <c r="BF14" s="328" t="s">
        <v>443</v>
      </c>
      <c r="BG14" s="332">
        <v>44.44</v>
      </c>
      <c r="BH14" s="328">
        <v>66.67</v>
      </c>
      <c r="BI14" s="328">
        <v>60.53</v>
      </c>
      <c r="BJ14" s="432"/>
      <c r="BK14" s="328" t="s">
        <v>443</v>
      </c>
      <c r="BL14" s="332">
        <v>33.33</v>
      </c>
      <c r="BM14" s="432"/>
      <c r="BN14" s="328" t="s">
        <v>443</v>
      </c>
      <c r="BO14" s="328" t="s">
        <v>443</v>
      </c>
      <c r="BP14" s="328" t="s">
        <v>443</v>
      </c>
      <c r="BQ14" s="328" t="s">
        <v>443</v>
      </c>
      <c r="BR14" s="432"/>
      <c r="BS14" s="328" t="s">
        <v>443</v>
      </c>
      <c r="BT14" s="328" t="s">
        <v>443</v>
      </c>
      <c r="BU14" s="332">
        <v>34.29</v>
      </c>
      <c r="BV14" s="332">
        <v>35.29</v>
      </c>
      <c r="BW14" s="432"/>
      <c r="BX14" s="328" t="s">
        <v>443</v>
      </c>
      <c r="BY14" s="328" t="s">
        <v>443</v>
      </c>
      <c r="BZ14" s="432"/>
      <c r="CA14" s="328" t="s">
        <v>443</v>
      </c>
      <c r="CB14" s="328" t="s">
        <v>443</v>
      </c>
      <c r="CC14" s="432"/>
      <c r="CD14" s="332">
        <v>44.44</v>
      </c>
      <c r="CE14" s="327">
        <v>46.15</v>
      </c>
      <c r="CF14" s="432"/>
      <c r="CG14" s="328" t="s">
        <v>443</v>
      </c>
      <c r="CH14" s="328" t="s">
        <v>443</v>
      </c>
      <c r="CI14" s="432"/>
      <c r="CJ14" s="328" t="s">
        <v>443</v>
      </c>
      <c r="CK14" s="328" t="s">
        <v>443</v>
      </c>
      <c r="CL14" s="328" t="s">
        <v>443</v>
      </c>
      <c r="CM14" s="328">
        <v>72.73</v>
      </c>
      <c r="CN14" s="432"/>
      <c r="CO14" s="329">
        <v>87.51</v>
      </c>
      <c r="CP14" s="328">
        <v>66.19</v>
      </c>
      <c r="CQ14" s="327">
        <v>60</v>
      </c>
      <c r="CR14" s="432"/>
      <c r="CS14" s="328">
        <v>71.430000000000007</v>
      </c>
      <c r="CT14" s="328" t="s">
        <v>443</v>
      </c>
      <c r="CU14" s="329">
        <v>100</v>
      </c>
      <c r="CV14" s="329">
        <v>85.71</v>
      </c>
      <c r="CW14" s="328">
        <v>66.67</v>
      </c>
      <c r="CX14" s="328" t="s">
        <v>443</v>
      </c>
      <c r="CY14" s="432"/>
      <c r="CZ14" s="328" t="s">
        <v>443</v>
      </c>
      <c r="DA14" s="432"/>
      <c r="DB14" s="328" t="s">
        <v>443</v>
      </c>
      <c r="DC14" s="432"/>
      <c r="DD14" s="329">
        <v>100</v>
      </c>
      <c r="DE14" s="432"/>
      <c r="DF14" s="328">
        <v>70.59</v>
      </c>
      <c r="DG14" s="432"/>
      <c r="DH14" s="328" t="s">
        <v>443</v>
      </c>
      <c r="DI14" s="432"/>
      <c r="DJ14" s="328" t="s">
        <v>443</v>
      </c>
      <c r="DK14" s="432"/>
      <c r="DL14" s="328" t="s">
        <v>443</v>
      </c>
      <c r="DM14" s="328">
        <v>75</v>
      </c>
      <c r="DN14" s="328">
        <v>63.64</v>
      </c>
      <c r="DO14" s="328">
        <v>81.25</v>
      </c>
      <c r="DP14" s="328" t="s">
        <v>443</v>
      </c>
      <c r="DQ14" s="328">
        <v>77.78</v>
      </c>
      <c r="DR14" s="328">
        <v>63.33</v>
      </c>
      <c r="DS14" s="328">
        <v>69.23</v>
      </c>
      <c r="DT14" s="329">
        <v>100</v>
      </c>
      <c r="DU14" s="328" t="s">
        <v>443</v>
      </c>
      <c r="DV14" s="329">
        <v>85.71</v>
      </c>
      <c r="DW14" s="432"/>
      <c r="DX14" s="328" t="s">
        <v>443</v>
      </c>
      <c r="DY14" s="432"/>
      <c r="DZ14" s="328" t="s">
        <v>443</v>
      </c>
      <c r="EA14" s="328" t="s">
        <v>443</v>
      </c>
      <c r="EB14" s="328" t="s">
        <v>443</v>
      </c>
      <c r="EC14" s="432"/>
      <c r="ED14" s="328" t="s">
        <v>443</v>
      </c>
      <c r="EE14" s="328" t="s">
        <v>443</v>
      </c>
      <c r="EF14" s="432"/>
      <c r="EG14" s="327">
        <v>57.89</v>
      </c>
      <c r="EH14" s="328">
        <v>63.16</v>
      </c>
      <c r="EI14" s="432"/>
      <c r="EJ14" s="332">
        <v>44.17</v>
      </c>
      <c r="EK14" s="328">
        <v>70.52</v>
      </c>
      <c r="EL14" s="432"/>
      <c r="EM14" s="328">
        <v>62.32</v>
      </c>
      <c r="EN14" s="327">
        <v>60.47</v>
      </c>
      <c r="EO14" s="332">
        <v>30</v>
      </c>
      <c r="EP14" s="328">
        <v>76.69</v>
      </c>
      <c r="EQ14" s="332">
        <v>35.71</v>
      </c>
    </row>
    <row r="15" spans="1:147">
      <c r="A15" s="494"/>
      <c r="B15" s="325">
        <v>11</v>
      </c>
      <c r="C15" s="326" t="s">
        <v>14</v>
      </c>
      <c r="D15" s="377">
        <v>66.67</v>
      </c>
      <c r="E15" s="441">
        <v>69.569999999999993</v>
      </c>
      <c r="F15" s="442">
        <v>74.48</v>
      </c>
      <c r="G15" s="350">
        <v>-2.8999999999999915</v>
      </c>
      <c r="H15" s="350">
        <v>-7.8100000000000023</v>
      </c>
      <c r="I15" s="432"/>
      <c r="J15" s="328" t="s">
        <v>443</v>
      </c>
      <c r="K15" s="328">
        <v>81.819999999999993</v>
      </c>
      <c r="L15" s="328">
        <v>73.08</v>
      </c>
      <c r="M15" s="328">
        <v>62.75</v>
      </c>
      <c r="N15" s="329">
        <v>88.89</v>
      </c>
      <c r="O15" s="432"/>
      <c r="P15" s="328">
        <v>66.86</v>
      </c>
      <c r="Q15" s="328">
        <v>66.33</v>
      </c>
      <c r="R15" s="432"/>
      <c r="S15" s="328">
        <v>75</v>
      </c>
      <c r="T15" s="327">
        <v>52.83</v>
      </c>
      <c r="U15" s="328">
        <v>69.61</v>
      </c>
      <c r="V15" s="328">
        <v>76.98</v>
      </c>
      <c r="W15" s="328">
        <v>71.430000000000007</v>
      </c>
      <c r="X15" s="432"/>
      <c r="Y15" s="328">
        <v>76</v>
      </c>
      <c r="Z15" s="328">
        <v>64.73</v>
      </c>
      <c r="AA15" s="327">
        <v>58.41</v>
      </c>
      <c r="AB15" s="328">
        <v>62.3</v>
      </c>
      <c r="AC15" s="328">
        <v>78.209999999999994</v>
      </c>
      <c r="AD15" s="432"/>
      <c r="AE15" s="328">
        <v>65.83</v>
      </c>
      <c r="AF15" s="329">
        <v>89.47</v>
      </c>
      <c r="AG15" s="432"/>
      <c r="AH15" s="328">
        <v>85.03</v>
      </c>
      <c r="AI15" s="328">
        <v>72.38</v>
      </c>
      <c r="AJ15" s="327">
        <v>52.55</v>
      </c>
      <c r="AK15" s="332">
        <v>41.46</v>
      </c>
      <c r="AL15" s="432"/>
      <c r="AM15" s="332">
        <v>28.57</v>
      </c>
      <c r="AN15" s="328">
        <v>66.67</v>
      </c>
      <c r="AO15" s="327">
        <v>47.06</v>
      </c>
      <c r="AP15" s="328" t="s">
        <v>443</v>
      </c>
      <c r="AQ15" s="328" t="s">
        <v>443</v>
      </c>
      <c r="AR15" s="327">
        <v>47.51</v>
      </c>
      <c r="AS15" s="328" t="s">
        <v>443</v>
      </c>
      <c r="AT15" s="432"/>
      <c r="AU15" s="329">
        <v>85.71</v>
      </c>
      <c r="AV15" s="328">
        <v>71.61</v>
      </c>
      <c r="AW15" s="328">
        <v>80.489999999999995</v>
      </c>
      <c r="AX15" s="328" t="s">
        <v>443</v>
      </c>
      <c r="AY15" s="328" t="s">
        <v>443</v>
      </c>
      <c r="AZ15" s="332">
        <v>42.86</v>
      </c>
      <c r="BA15" s="327">
        <v>52.94</v>
      </c>
      <c r="BB15" s="432"/>
      <c r="BC15" s="328" t="s">
        <v>443</v>
      </c>
      <c r="BD15" s="328" t="s">
        <v>443</v>
      </c>
      <c r="BE15" s="328">
        <v>77.569999999999993</v>
      </c>
      <c r="BF15" s="328" t="s">
        <v>443</v>
      </c>
      <c r="BG15" s="328">
        <v>62.51</v>
      </c>
      <c r="BH15" s="327">
        <v>50</v>
      </c>
      <c r="BI15" s="327">
        <v>55.26</v>
      </c>
      <c r="BJ15" s="432"/>
      <c r="BK15" s="328" t="s">
        <v>443</v>
      </c>
      <c r="BL15" s="332">
        <v>33.33</v>
      </c>
      <c r="BM15" s="432"/>
      <c r="BN15" s="328" t="s">
        <v>443</v>
      </c>
      <c r="BO15" s="328" t="s">
        <v>443</v>
      </c>
      <c r="BP15" s="328" t="s">
        <v>443</v>
      </c>
      <c r="BQ15" s="328" t="s">
        <v>443</v>
      </c>
      <c r="BR15" s="432"/>
      <c r="BS15" s="328" t="s">
        <v>443</v>
      </c>
      <c r="BT15" s="328" t="s">
        <v>443</v>
      </c>
      <c r="BU15" s="327">
        <v>50</v>
      </c>
      <c r="BV15" s="332">
        <v>35.29</v>
      </c>
      <c r="BW15" s="432"/>
      <c r="BX15" s="328" t="s">
        <v>443</v>
      </c>
      <c r="BY15" s="328" t="s">
        <v>443</v>
      </c>
      <c r="BZ15" s="432"/>
      <c r="CA15" s="328" t="s">
        <v>443</v>
      </c>
      <c r="CB15" s="328" t="s">
        <v>443</v>
      </c>
      <c r="CC15" s="432"/>
      <c r="CD15" s="332">
        <v>44.44</v>
      </c>
      <c r="CE15" s="327">
        <v>53.85</v>
      </c>
      <c r="CF15" s="432"/>
      <c r="CG15" s="328" t="s">
        <v>443</v>
      </c>
      <c r="CH15" s="328" t="s">
        <v>443</v>
      </c>
      <c r="CI15" s="432"/>
      <c r="CJ15" s="328" t="s">
        <v>443</v>
      </c>
      <c r="CK15" s="328" t="s">
        <v>443</v>
      </c>
      <c r="CL15" s="328" t="s">
        <v>443</v>
      </c>
      <c r="CM15" s="329">
        <v>90.91</v>
      </c>
      <c r="CN15" s="432"/>
      <c r="CO15" s="329">
        <v>87.51</v>
      </c>
      <c r="CP15" s="328">
        <v>70.069999999999993</v>
      </c>
      <c r="CQ15" s="328">
        <v>80</v>
      </c>
      <c r="CR15" s="432"/>
      <c r="CS15" s="328">
        <v>71.430000000000007</v>
      </c>
      <c r="CT15" s="328" t="s">
        <v>443</v>
      </c>
      <c r="CU15" s="329">
        <v>85.71</v>
      </c>
      <c r="CV15" s="329">
        <v>92.86</v>
      </c>
      <c r="CW15" s="327">
        <v>50</v>
      </c>
      <c r="CX15" s="328" t="s">
        <v>443</v>
      </c>
      <c r="CY15" s="432"/>
      <c r="CZ15" s="328" t="s">
        <v>443</v>
      </c>
      <c r="DA15" s="432"/>
      <c r="DB15" s="328" t="s">
        <v>443</v>
      </c>
      <c r="DC15" s="432"/>
      <c r="DD15" s="332">
        <v>42.86</v>
      </c>
      <c r="DE15" s="432"/>
      <c r="DF15" s="327">
        <v>52.94</v>
      </c>
      <c r="DG15" s="432"/>
      <c r="DH15" s="328" t="s">
        <v>443</v>
      </c>
      <c r="DI15" s="432"/>
      <c r="DJ15" s="328" t="s">
        <v>443</v>
      </c>
      <c r="DK15" s="432"/>
      <c r="DL15" s="328" t="s">
        <v>443</v>
      </c>
      <c r="DM15" s="328">
        <v>71.430000000000007</v>
      </c>
      <c r="DN15" s="328">
        <v>81.819999999999993</v>
      </c>
      <c r="DO15" s="328">
        <v>68.75</v>
      </c>
      <c r="DP15" s="328" t="s">
        <v>443</v>
      </c>
      <c r="DQ15" s="329">
        <v>88.89</v>
      </c>
      <c r="DR15" s="328">
        <v>65.52</v>
      </c>
      <c r="DS15" s="328">
        <v>84.62</v>
      </c>
      <c r="DT15" s="329">
        <v>100</v>
      </c>
      <c r="DU15" s="328" t="s">
        <v>443</v>
      </c>
      <c r="DV15" s="329">
        <v>85.71</v>
      </c>
      <c r="DW15" s="432"/>
      <c r="DX15" s="328" t="s">
        <v>443</v>
      </c>
      <c r="DY15" s="432"/>
      <c r="DZ15" s="328" t="s">
        <v>443</v>
      </c>
      <c r="EA15" s="328" t="s">
        <v>443</v>
      </c>
      <c r="EB15" s="328" t="s">
        <v>443</v>
      </c>
      <c r="EC15" s="432"/>
      <c r="ED15" s="328" t="s">
        <v>443</v>
      </c>
      <c r="EE15" s="328" t="s">
        <v>443</v>
      </c>
      <c r="EF15" s="432"/>
      <c r="EG15" s="327">
        <v>47.37</v>
      </c>
      <c r="EH15" s="328">
        <v>63.16</v>
      </c>
      <c r="EI15" s="432"/>
      <c r="EJ15" s="327">
        <v>48.28</v>
      </c>
      <c r="EK15" s="328">
        <v>71.77</v>
      </c>
      <c r="EL15" s="432"/>
      <c r="EM15" s="327">
        <v>60.14</v>
      </c>
      <c r="EN15" s="327">
        <v>59.52</v>
      </c>
      <c r="EO15" s="332">
        <v>20</v>
      </c>
      <c r="EP15" s="328">
        <v>80.83</v>
      </c>
      <c r="EQ15" s="332">
        <v>35.71</v>
      </c>
    </row>
    <row r="16" spans="1:147">
      <c r="A16" s="494"/>
      <c r="B16" s="325">
        <v>12</v>
      </c>
      <c r="C16" s="326" t="s">
        <v>15</v>
      </c>
      <c r="D16" s="377">
        <v>68.41</v>
      </c>
      <c r="E16" s="441">
        <v>74.41</v>
      </c>
      <c r="F16" s="442">
        <v>74.459999999999994</v>
      </c>
      <c r="G16" s="350">
        <v>-6</v>
      </c>
      <c r="H16" s="350">
        <v>-6.0499999999999972</v>
      </c>
      <c r="I16" s="432"/>
      <c r="J16" s="328" t="s">
        <v>443</v>
      </c>
      <c r="K16" s="328">
        <v>84.85</v>
      </c>
      <c r="L16" s="328">
        <v>76.92</v>
      </c>
      <c r="M16" s="328">
        <v>64.25</v>
      </c>
      <c r="N16" s="328">
        <v>84.21</v>
      </c>
      <c r="O16" s="432"/>
      <c r="P16" s="328">
        <v>68.44</v>
      </c>
      <c r="Q16" s="328">
        <v>68.37</v>
      </c>
      <c r="R16" s="432"/>
      <c r="S16" s="328">
        <v>80</v>
      </c>
      <c r="T16" s="327">
        <v>55.35</v>
      </c>
      <c r="U16" s="328">
        <v>74.02</v>
      </c>
      <c r="V16" s="328">
        <v>73.02</v>
      </c>
      <c r="W16" s="328">
        <v>71.430000000000007</v>
      </c>
      <c r="X16" s="432"/>
      <c r="Y16" s="328">
        <v>73.680000000000007</v>
      </c>
      <c r="Z16" s="328">
        <v>66.67</v>
      </c>
      <c r="AA16" s="328">
        <v>63.72</v>
      </c>
      <c r="AB16" s="328">
        <v>65.569999999999993</v>
      </c>
      <c r="AC16" s="328">
        <v>76.92</v>
      </c>
      <c r="AD16" s="432"/>
      <c r="AE16" s="328">
        <v>67.959999999999994</v>
      </c>
      <c r="AF16" s="328">
        <v>80</v>
      </c>
      <c r="AG16" s="432"/>
      <c r="AH16" s="329">
        <v>86.63</v>
      </c>
      <c r="AI16" s="328">
        <v>73.33</v>
      </c>
      <c r="AJ16" s="327">
        <v>53.28</v>
      </c>
      <c r="AK16" s="327">
        <v>44.58</v>
      </c>
      <c r="AL16" s="432"/>
      <c r="AM16" s="332">
        <v>42.86</v>
      </c>
      <c r="AN16" s="328">
        <v>66.67</v>
      </c>
      <c r="AO16" s="327">
        <v>47.06</v>
      </c>
      <c r="AP16" s="328" t="s">
        <v>443</v>
      </c>
      <c r="AQ16" s="328" t="s">
        <v>443</v>
      </c>
      <c r="AR16" s="332">
        <v>42.51</v>
      </c>
      <c r="AS16" s="328" t="s">
        <v>443</v>
      </c>
      <c r="AT16" s="432"/>
      <c r="AU16" s="329">
        <v>85.71</v>
      </c>
      <c r="AV16" s="328">
        <v>71.150000000000006</v>
      </c>
      <c r="AW16" s="329">
        <v>90.24</v>
      </c>
      <c r="AX16" s="328" t="s">
        <v>443</v>
      </c>
      <c r="AY16" s="328" t="s">
        <v>443</v>
      </c>
      <c r="AZ16" s="328">
        <v>71.430000000000007</v>
      </c>
      <c r="BA16" s="327">
        <v>58.82</v>
      </c>
      <c r="BB16" s="432"/>
      <c r="BC16" s="328" t="s">
        <v>443</v>
      </c>
      <c r="BD16" s="328" t="s">
        <v>443</v>
      </c>
      <c r="BE16" s="328">
        <v>79.44</v>
      </c>
      <c r="BF16" s="328" t="s">
        <v>443</v>
      </c>
      <c r="BG16" s="328">
        <v>75</v>
      </c>
      <c r="BH16" s="332">
        <v>33.33</v>
      </c>
      <c r="BI16" s="327">
        <v>57.89</v>
      </c>
      <c r="BJ16" s="432"/>
      <c r="BK16" s="328" t="s">
        <v>443</v>
      </c>
      <c r="BL16" s="332">
        <v>33.33</v>
      </c>
      <c r="BM16" s="432"/>
      <c r="BN16" s="328" t="s">
        <v>443</v>
      </c>
      <c r="BO16" s="328" t="s">
        <v>443</v>
      </c>
      <c r="BP16" s="328" t="s">
        <v>443</v>
      </c>
      <c r="BQ16" s="328" t="s">
        <v>443</v>
      </c>
      <c r="BR16" s="432"/>
      <c r="BS16" s="328" t="s">
        <v>443</v>
      </c>
      <c r="BT16" s="328" t="s">
        <v>443</v>
      </c>
      <c r="BU16" s="327">
        <v>53.13</v>
      </c>
      <c r="BV16" s="332">
        <v>35.29</v>
      </c>
      <c r="BW16" s="432"/>
      <c r="BX16" s="328" t="s">
        <v>443</v>
      </c>
      <c r="BY16" s="328" t="s">
        <v>443</v>
      </c>
      <c r="BZ16" s="432"/>
      <c r="CA16" s="328" t="s">
        <v>443</v>
      </c>
      <c r="CB16" s="328" t="s">
        <v>443</v>
      </c>
      <c r="CC16" s="432"/>
      <c r="CD16" s="332">
        <v>37.04</v>
      </c>
      <c r="CE16" s="327">
        <v>53.85</v>
      </c>
      <c r="CF16" s="432"/>
      <c r="CG16" s="328" t="s">
        <v>443</v>
      </c>
      <c r="CH16" s="328" t="s">
        <v>443</v>
      </c>
      <c r="CI16" s="432"/>
      <c r="CJ16" s="328" t="s">
        <v>443</v>
      </c>
      <c r="CK16" s="328" t="s">
        <v>443</v>
      </c>
      <c r="CL16" s="328" t="s">
        <v>443</v>
      </c>
      <c r="CM16" s="329">
        <v>90.91</v>
      </c>
      <c r="CN16" s="432"/>
      <c r="CO16" s="329">
        <v>87.51</v>
      </c>
      <c r="CP16" s="328">
        <v>70.290000000000006</v>
      </c>
      <c r="CQ16" s="328">
        <v>70</v>
      </c>
      <c r="CR16" s="432"/>
      <c r="CS16" s="329">
        <v>85.71</v>
      </c>
      <c r="CT16" s="328" t="s">
        <v>443</v>
      </c>
      <c r="CU16" s="329">
        <v>100</v>
      </c>
      <c r="CV16" s="329">
        <v>100</v>
      </c>
      <c r="CW16" s="328">
        <v>66.67</v>
      </c>
      <c r="CX16" s="328" t="s">
        <v>443</v>
      </c>
      <c r="CY16" s="432"/>
      <c r="CZ16" s="328" t="s">
        <v>443</v>
      </c>
      <c r="DA16" s="432"/>
      <c r="DB16" s="328" t="s">
        <v>443</v>
      </c>
      <c r="DC16" s="432"/>
      <c r="DD16" s="328">
        <v>71.430000000000007</v>
      </c>
      <c r="DE16" s="432"/>
      <c r="DF16" s="327">
        <v>58.82</v>
      </c>
      <c r="DG16" s="432"/>
      <c r="DH16" s="328" t="s">
        <v>443</v>
      </c>
      <c r="DI16" s="432"/>
      <c r="DJ16" s="328" t="s">
        <v>443</v>
      </c>
      <c r="DK16" s="432"/>
      <c r="DL16" s="328" t="s">
        <v>443</v>
      </c>
      <c r="DM16" s="328">
        <v>71.430000000000007</v>
      </c>
      <c r="DN16" s="328">
        <v>81.819999999999993</v>
      </c>
      <c r="DO16" s="329">
        <v>87.51</v>
      </c>
      <c r="DP16" s="328" t="s">
        <v>443</v>
      </c>
      <c r="DQ16" s="328">
        <v>77.78</v>
      </c>
      <c r="DR16" s="328">
        <v>68.97</v>
      </c>
      <c r="DS16" s="328">
        <v>84.62</v>
      </c>
      <c r="DT16" s="329">
        <v>87.51</v>
      </c>
      <c r="DU16" s="328" t="s">
        <v>443</v>
      </c>
      <c r="DV16" s="329">
        <v>85.71</v>
      </c>
      <c r="DW16" s="432"/>
      <c r="DX16" s="328" t="s">
        <v>443</v>
      </c>
      <c r="DY16" s="432"/>
      <c r="DZ16" s="328" t="s">
        <v>443</v>
      </c>
      <c r="EA16" s="328" t="s">
        <v>443</v>
      </c>
      <c r="EB16" s="328" t="s">
        <v>443</v>
      </c>
      <c r="EC16" s="432"/>
      <c r="ED16" s="328" t="s">
        <v>443</v>
      </c>
      <c r="EE16" s="328" t="s">
        <v>443</v>
      </c>
      <c r="EF16" s="432"/>
      <c r="EG16" s="327">
        <v>52.63</v>
      </c>
      <c r="EH16" s="328">
        <v>63.16</v>
      </c>
      <c r="EI16" s="432"/>
      <c r="EJ16" s="327">
        <v>48.28</v>
      </c>
      <c r="EK16" s="328">
        <v>73.989999999999995</v>
      </c>
      <c r="EL16" s="432"/>
      <c r="EM16" s="327">
        <v>59.42</v>
      </c>
      <c r="EN16" s="328">
        <v>72.09</v>
      </c>
      <c r="EO16" s="332">
        <v>20</v>
      </c>
      <c r="EP16" s="328">
        <v>81.95</v>
      </c>
      <c r="EQ16" s="332">
        <v>35.71</v>
      </c>
    </row>
    <row r="17" spans="1:147">
      <c r="A17" s="494"/>
      <c r="B17" s="325">
        <v>13</v>
      </c>
      <c r="C17" s="326" t="s">
        <v>16</v>
      </c>
      <c r="D17" s="380">
        <v>58.57</v>
      </c>
      <c r="E17" s="441">
        <v>72.86</v>
      </c>
      <c r="F17" s="442">
        <v>81.56</v>
      </c>
      <c r="G17" s="350">
        <v>-14.29</v>
      </c>
      <c r="H17" s="350">
        <v>-22.990000000000002</v>
      </c>
      <c r="I17" s="432"/>
      <c r="J17" s="328" t="s">
        <v>443</v>
      </c>
      <c r="K17" s="328">
        <v>78.790000000000006</v>
      </c>
      <c r="L17" s="328">
        <v>66.67</v>
      </c>
      <c r="M17" s="327">
        <v>55.42</v>
      </c>
      <c r="N17" s="332">
        <v>44.44</v>
      </c>
      <c r="O17" s="432"/>
      <c r="P17" s="327">
        <v>58.93</v>
      </c>
      <c r="Q17" s="327">
        <v>57.95</v>
      </c>
      <c r="R17" s="432"/>
      <c r="S17" s="332">
        <v>33.33</v>
      </c>
      <c r="T17" s="327">
        <v>51.57</v>
      </c>
      <c r="U17" s="328">
        <v>61.19</v>
      </c>
      <c r="V17" s="328">
        <v>67.459999999999994</v>
      </c>
      <c r="W17" s="328">
        <v>61.9</v>
      </c>
      <c r="X17" s="432"/>
      <c r="Y17" s="327">
        <v>46.58</v>
      </c>
      <c r="Z17" s="327">
        <v>53.14</v>
      </c>
      <c r="AA17" s="327">
        <v>59.82</v>
      </c>
      <c r="AB17" s="328">
        <v>75.41</v>
      </c>
      <c r="AC17" s="328">
        <v>69.23</v>
      </c>
      <c r="AD17" s="432"/>
      <c r="AE17" s="327">
        <v>59.18</v>
      </c>
      <c r="AF17" s="332">
        <v>42.11</v>
      </c>
      <c r="AG17" s="432"/>
      <c r="AH17" s="328">
        <v>70.650000000000006</v>
      </c>
      <c r="AI17" s="327">
        <v>58.1</v>
      </c>
      <c r="AJ17" s="327">
        <v>53.28</v>
      </c>
      <c r="AK17" s="332">
        <v>40.24</v>
      </c>
      <c r="AL17" s="432"/>
      <c r="AM17" s="332">
        <v>28.57</v>
      </c>
      <c r="AN17" s="327">
        <v>60</v>
      </c>
      <c r="AO17" s="332">
        <v>31.37</v>
      </c>
      <c r="AP17" s="328" t="s">
        <v>443</v>
      </c>
      <c r="AQ17" s="328" t="s">
        <v>443</v>
      </c>
      <c r="AR17" s="332">
        <v>32.51</v>
      </c>
      <c r="AS17" s="328" t="s">
        <v>443</v>
      </c>
      <c r="AT17" s="432"/>
      <c r="AU17" s="328">
        <v>66.67</v>
      </c>
      <c r="AV17" s="328">
        <v>67.739999999999995</v>
      </c>
      <c r="AW17" s="328">
        <v>78.05</v>
      </c>
      <c r="AX17" s="328" t="s">
        <v>443</v>
      </c>
      <c r="AY17" s="328" t="s">
        <v>443</v>
      </c>
      <c r="AZ17" s="329">
        <v>85.71</v>
      </c>
      <c r="BA17" s="327">
        <v>47.06</v>
      </c>
      <c r="BB17" s="432"/>
      <c r="BC17" s="328" t="s">
        <v>443</v>
      </c>
      <c r="BD17" s="328" t="s">
        <v>443</v>
      </c>
      <c r="BE17" s="328">
        <v>65.09</v>
      </c>
      <c r="BF17" s="328" t="s">
        <v>443</v>
      </c>
      <c r="BG17" s="328">
        <v>75</v>
      </c>
      <c r="BH17" s="328">
        <v>66.67</v>
      </c>
      <c r="BI17" s="327">
        <v>45.95</v>
      </c>
      <c r="BJ17" s="432"/>
      <c r="BK17" s="328" t="s">
        <v>443</v>
      </c>
      <c r="BL17" s="332">
        <v>33.33</v>
      </c>
      <c r="BM17" s="432"/>
      <c r="BN17" s="328" t="s">
        <v>443</v>
      </c>
      <c r="BO17" s="328" t="s">
        <v>443</v>
      </c>
      <c r="BP17" s="328" t="s">
        <v>443</v>
      </c>
      <c r="BQ17" s="328" t="s">
        <v>443</v>
      </c>
      <c r="BR17" s="432"/>
      <c r="BS17" s="328" t="s">
        <v>443</v>
      </c>
      <c r="BT17" s="328" t="s">
        <v>443</v>
      </c>
      <c r="BU17" s="332">
        <v>21.88</v>
      </c>
      <c r="BV17" s="332">
        <v>41.18</v>
      </c>
      <c r="BW17" s="432"/>
      <c r="BX17" s="328" t="s">
        <v>443</v>
      </c>
      <c r="BY17" s="328" t="s">
        <v>443</v>
      </c>
      <c r="BZ17" s="432"/>
      <c r="CA17" s="328" t="s">
        <v>443</v>
      </c>
      <c r="CB17" s="328" t="s">
        <v>443</v>
      </c>
      <c r="CC17" s="432"/>
      <c r="CD17" s="332">
        <v>33.33</v>
      </c>
      <c r="CE17" s="332">
        <v>30.77</v>
      </c>
      <c r="CF17" s="432"/>
      <c r="CG17" s="328" t="s">
        <v>443</v>
      </c>
      <c r="CH17" s="328" t="s">
        <v>443</v>
      </c>
      <c r="CI17" s="432"/>
      <c r="CJ17" s="328" t="s">
        <v>443</v>
      </c>
      <c r="CK17" s="328" t="s">
        <v>443</v>
      </c>
      <c r="CL17" s="328" t="s">
        <v>443</v>
      </c>
      <c r="CM17" s="328">
        <v>72.73</v>
      </c>
      <c r="CN17" s="432"/>
      <c r="CO17" s="328">
        <v>62.51</v>
      </c>
      <c r="CP17" s="328">
        <v>66.42</v>
      </c>
      <c r="CQ17" s="329">
        <v>90</v>
      </c>
      <c r="CR17" s="432"/>
      <c r="CS17" s="328">
        <v>71.430000000000007</v>
      </c>
      <c r="CT17" s="328" t="s">
        <v>443</v>
      </c>
      <c r="CU17" s="329">
        <v>85.71</v>
      </c>
      <c r="CV17" s="328">
        <v>78.569999999999993</v>
      </c>
      <c r="CW17" s="328">
        <v>66.67</v>
      </c>
      <c r="CX17" s="328" t="s">
        <v>443</v>
      </c>
      <c r="CY17" s="432"/>
      <c r="CZ17" s="328" t="s">
        <v>443</v>
      </c>
      <c r="DA17" s="432"/>
      <c r="DB17" s="328" t="s">
        <v>443</v>
      </c>
      <c r="DC17" s="432"/>
      <c r="DD17" s="329">
        <v>85.71</v>
      </c>
      <c r="DE17" s="432"/>
      <c r="DF17" s="327">
        <v>47.06</v>
      </c>
      <c r="DG17" s="432"/>
      <c r="DH17" s="328" t="s">
        <v>443</v>
      </c>
      <c r="DI17" s="432"/>
      <c r="DJ17" s="328" t="s">
        <v>443</v>
      </c>
      <c r="DK17" s="432"/>
      <c r="DL17" s="328" t="s">
        <v>443</v>
      </c>
      <c r="DM17" s="327">
        <v>57.14</v>
      </c>
      <c r="DN17" s="328">
        <v>81.819999999999993</v>
      </c>
      <c r="DO17" s="328">
        <v>80</v>
      </c>
      <c r="DP17" s="328" t="s">
        <v>443</v>
      </c>
      <c r="DQ17" s="327">
        <v>55.56</v>
      </c>
      <c r="DR17" s="327">
        <v>48.28</v>
      </c>
      <c r="DS17" s="328">
        <v>69.23</v>
      </c>
      <c r="DT17" s="328">
        <v>75</v>
      </c>
      <c r="DU17" s="328" t="s">
        <v>443</v>
      </c>
      <c r="DV17" s="329">
        <v>85.71</v>
      </c>
      <c r="DW17" s="432"/>
      <c r="DX17" s="328" t="s">
        <v>443</v>
      </c>
      <c r="DY17" s="432"/>
      <c r="DZ17" s="328" t="s">
        <v>443</v>
      </c>
      <c r="EA17" s="328" t="s">
        <v>443</v>
      </c>
      <c r="EB17" s="328" t="s">
        <v>443</v>
      </c>
      <c r="EC17" s="432"/>
      <c r="ED17" s="328" t="s">
        <v>443</v>
      </c>
      <c r="EE17" s="328" t="s">
        <v>443</v>
      </c>
      <c r="EF17" s="432"/>
      <c r="EG17" s="328">
        <v>66.67</v>
      </c>
      <c r="EH17" s="332">
        <v>26.32</v>
      </c>
      <c r="EI17" s="432"/>
      <c r="EJ17" s="332">
        <v>31.3</v>
      </c>
      <c r="EK17" s="328">
        <v>66.11</v>
      </c>
      <c r="EL17" s="432"/>
      <c r="EM17" s="327">
        <v>54.74</v>
      </c>
      <c r="EN17" s="328">
        <v>63.41</v>
      </c>
      <c r="EO17" s="327">
        <v>50</v>
      </c>
      <c r="EP17" s="328">
        <v>66.42</v>
      </c>
      <c r="EQ17" s="332">
        <v>30.36</v>
      </c>
    </row>
    <row r="18" spans="1:147">
      <c r="A18" s="495"/>
      <c r="B18" s="325">
        <v>14</v>
      </c>
      <c r="C18" s="326" t="s">
        <v>17</v>
      </c>
      <c r="D18" s="377">
        <v>80.34</v>
      </c>
      <c r="E18" s="443">
        <v>86.39</v>
      </c>
      <c r="F18" s="444">
        <v>86.62</v>
      </c>
      <c r="G18" s="350">
        <v>-6.0499999999999972</v>
      </c>
      <c r="H18" s="350">
        <v>-6.2800000000000011</v>
      </c>
      <c r="I18" s="432"/>
      <c r="J18" s="328" t="s">
        <v>443</v>
      </c>
      <c r="K18" s="329">
        <v>87.88</v>
      </c>
      <c r="L18" s="328">
        <v>84.62</v>
      </c>
      <c r="M18" s="328">
        <v>78.45</v>
      </c>
      <c r="N18" s="328">
        <v>84.21</v>
      </c>
      <c r="O18" s="432"/>
      <c r="P18" s="328">
        <v>79.349999999999994</v>
      </c>
      <c r="Q18" s="328">
        <v>82.05</v>
      </c>
      <c r="R18" s="432"/>
      <c r="S18" s="328">
        <v>76</v>
      </c>
      <c r="T18" s="328">
        <v>71.069999999999993</v>
      </c>
      <c r="U18" s="328">
        <v>84.73</v>
      </c>
      <c r="V18" s="328">
        <v>84.13</v>
      </c>
      <c r="W18" s="329">
        <v>90.48</v>
      </c>
      <c r="X18" s="432"/>
      <c r="Y18" s="328">
        <v>84.21</v>
      </c>
      <c r="Z18" s="328">
        <v>78.260000000000005</v>
      </c>
      <c r="AA18" s="328">
        <v>76.790000000000006</v>
      </c>
      <c r="AB18" s="328">
        <v>78.69</v>
      </c>
      <c r="AC18" s="329">
        <v>88.46</v>
      </c>
      <c r="AD18" s="432"/>
      <c r="AE18" s="328">
        <v>80.16</v>
      </c>
      <c r="AF18" s="328">
        <v>85</v>
      </c>
      <c r="AG18" s="432"/>
      <c r="AH18" s="329">
        <v>92.47</v>
      </c>
      <c r="AI18" s="329">
        <v>86.67</v>
      </c>
      <c r="AJ18" s="328">
        <v>70.8</v>
      </c>
      <c r="AK18" s="328">
        <v>62.65</v>
      </c>
      <c r="AL18" s="432"/>
      <c r="AM18" s="328">
        <v>71.430000000000007</v>
      </c>
      <c r="AN18" s="328">
        <v>80</v>
      </c>
      <c r="AO18" s="328">
        <v>64.709999999999994</v>
      </c>
      <c r="AP18" s="328" t="s">
        <v>443</v>
      </c>
      <c r="AQ18" s="328" t="s">
        <v>443</v>
      </c>
      <c r="AR18" s="328">
        <v>65</v>
      </c>
      <c r="AS18" s="328" t="s">
        <v>443</v>
      </c>
      <c r="AT18" s="432"/>
      <c r="AU18" s="329">
        <v>85.71</v>
      </c>
      <c r="AV18" s="328">
        <v>83.97</v>
      </c>
      <c r="AW18" s="329">
        <v>95.12</v>
      </c>
      <c r="AX18" s="328" t="s">
        <v>443</v>
      </c>
      <c r="AY18" s="328" t="s">
        <v>443</v>
      </c>
      <c r="AZ18" s="329">
        <v>100</v>
      </c>
      <c r="BA18" s="328">
        <v>76.47</v>
      </c>
      <c r="BB18" s="432"/>
      <c r="BC18" s="328" t="s">
        <v>443</v>
      </c>
      <c r="BD18" s="328" t="s">
        <v>443</v>
      </c>
      <c r="BE18" s="328">
        <v>84.11</v>
      </c>
      <c r="BF18" s="328" t="s">
        <v>443</v>
      </c>
      <c r="BG18" s="329">
        <v>87.51</v>
      </c>
      <c r="BH18" s="329">
        <v>100</v>
      </c>
      <c r="BI18" s="328">
        <v>71.05</v>
      </c>
      <c r="BJ18" s="432"/>
      <c r="BK18" s="328" t="s">
        <v>443</v>
      </c>
      <c r="BL18" s="328">
        <v>66.67</v>
      </c>
      <c r="BM18" s="432"/>
      <c r="BN18" s="328" t="s">
        <v>443</v>
      </c>
      <c r="BO18" s="328" t="s">
        <v>443</v>
      </c>
      <c r="BP18" s="328" t="s">
        <v>443</v>
      </c>
      <c r="BQ18" s="328" t="s">
        <v>443</v>
      </c>
      <c r="BR18" s="432"/>
      <c r="BS18" s="328" t="s">
        <v>443</v>
      </c>
      <c r="BT18" s="328" t="s">
        <v>443</v>
      </c>
      <c r="BU18" s="328">
        <v>65.63</v>
      </c>
      <c r="BV18" s="327">
        <v>58.82</v>
      </c>
      <c r="BW18" s="432"/>
      <c r="BX18" s="328" t="s">
        <v>443</v>
      </c>
      <c r="BY18" s="328" t="s">
        <v>443</v>
      </c>
      <c r="BZ18" s="432"/>
      <c r="CA18" s="328" t="s">
        <v>443</v>
      </c>
      <c r="CB18" s="328" t="s">
        <v>443</v>
      </c>
      <c r="CC18" s="432"/>
      <c r="CD18" s="328">
        <v>62.96</v>
      </c>
      <c r="CE18" s="328">
        <v>69.23</v>
      </c>
      <c r="CF18" s="432"/>
      <c r="CG18" s="328" t="s">
        <v>443</v>
      </c>
      <c r="CH18" s="328" t="s">
        <v>443</v>
      </c>
      <c r="CI18" s="432"/>
      <c r="CJ18" s="328" t="s">
        <v>443</v>
      </c>
      <c r="CK18" s="328" t="s">
        <v>443</v>
      </c>
      <c r="CL18" s="328" t="s">
        <v>443</v>
      </c>
      <c r="CM18" s="329">
        <v>90.91</v>
      </c>
      <c r="CN18" s="432"/>
      <c r="CO18" s="329">
        <v>100</v>
      </c>
      <c r="CP18" s="328">
        <v>81.88</v>
      </c>
      <c r="CQ18" s="329">
        <v>100</v>
      </c>
      <c r="CR18" s="432"/>
      <c r="CS18" s="329">
        <v>100</v>
      </c>
      <c r="CT18" s="328" t="s">
        <v>443</v>
      </c>
      <c r="CU18" s="329">
        <v>85.71</v>
      </c>
      <c r="CV18" s="329">
        <v>100</v>
      </c>
      <c r="CW18" s="328">
        <v>83.33</v>
      </c>
      <c r="CX18" s="328" t="s">
        <v>443</v>
      </c>
      <c r="CY18" s="432"/>
      <c r="CZ18" s="328" t="s">
        <v>443</v>
      </c>
      <c r="DA18" s="432"/>
      <c r="DB18" s="328" t="s">
        <v>443</v>
      </c>
      <c r="DC18" s="432"/>
      <c r="DD18" s="329">
        <v>100</v>
      </c>
      <c r="DE18" s="432"/>
      <c r="DF18" s="328">
        <v>76.47</v>
      </c>
      <c r="DG18" s="432"/>
      <c r="DH18" s="328" t="s">
        <v>443</v>
      </c>
      <c r="DI18" s="432"/>
      <c r="DJ18" s="328" t="s">
        <v>443</v>
      </c>
      <c r="DK18" s="432"/>
      <c r="DL18" s="328" t="s">
        <v>443</v>
      </c>
      <c r="DM18" s="328">
        <v>71.430000000000007</v>
      </c>
      <c r="DN18" s="328">
        <v>81.819999999999993</v>
      </c>
      <c r="DO18" s="329">
        <v>87.51</v>
      </c>
      <c r="DP18" s="328" t="s">
        <v>443</v>
      </c>
      <c r="DQ18" s="329">
        <v>88.89</v>
      </c>
      <c r="DR18" s="328">
        <v>75.86</v>
      </c>
      <c r="DS18" s="328">
        <v>84.62</v>
      </c>
      <c r="DT18" s="329">
        <v>100</v>
      </c>
      <c r="DU18" s="328" t="s">
        <v>443</v>
      </c>
      <c r="DV18" s="329">
        <v>100</v>
      </c>
      <c r="DW18" s="432"/>
      <c r="DX18" s="328" t="s">
        <v>443</v>
      </c>
      <c r="DY18" s="432"/>
      <c r="DZ18" s="328" t="s">
        <v>443</v>
      </c>
      <c r="EA18" s="328" t="s">
        <v>443</v>
      </c>
      <c r="EB18" s="328" t="s">
        <v>443</v>
      </c>
      <c r="EC18" s="432"/>
      <c r="ED18" s="328" t="s">
        <v>443</v>
      </c>
      <c r="EE18" s="328" t="s">
        <v>443</v>
      </c>
      <c r="EF18" s="432"/>
      <c r="EG18" s="328">
        <v>73.680000000000007</v>
      </c>
      <c r="EH18" s="328">
        <v>68.42</v>
      </c>
      <c r="EI18" s="432"/>
      <c r="EJ18" s="328">
        <v>65.22</v>
      </c>
      <c r="EK18" s="328">
        <v>84.49</v>
      </c>
      <c r="EL18" s="432"/>
      <c r="EM18" s="328">
        <v>74.45</v>
      </c>
      <c r="EN18" s="328">
        <v>83.72</v>
      </c>
      <c r="EO18" s="327">
        <v>60</v>
      </c>
      <c r="EP18" s="329">
        <v>89.1</v>
      </c>
      <c r="EQ18" s="327">
        <v>57.14</v>
      </c>
    </row>
    <row r="19" spans="1:147">
      <c r="A19" s="496" t="s">
        <v>444</v>
      </c>
      <c r="B19" s="497"/>
      <c r="C19" s="498"/>
      <c r="D19" s="379">
        <v>69.59</v>
      </c>
      <c r="E19" s="445">
        <v>74.33</v>
      </c>
      <c r="F19" s="446">
        <v>79.150000000000006</v>
      </c>
      <c r="G19" s="351">
        <v>-4.7399999999999949</v>
      </c>
      <c r="H19" s="447">
        <v>-9.5600000000000023</v>
      </c>
      <c r="I19" s="432"/>
      <c r="J19" s="331" t="s">
        <v>443</v>
      </c>
      <c r="K19" s="330">
        <v>85.64</v>
      </c>
      <c r="L19" s="330">
        <v>74.56</v>
      </c>
      <c r="M19" s="330">
        <v>66.25</v>
      </c>
      <c r="N19" s="330">
        <v>83.58</v>
      </c>
      <c r="O19" s="432"/>
      <c r="P19" s="330">
        <v>69.12</v>
      </c>
      <c r="Q19" s="330">
        <v>70.400000000000006</v>
      </c>
      <c r="R19" s="432"/>
      <c r="S19" s="330">
        <v>78.599999999999994</v>
      </c>
      <c r="T19" s="330">
        <v>58.36</v>
      </c>
      <c r="U19" s="330">
        <v>73.680000000000007</v>
      </c>
      <c r="V19" s="330">
        <v>74.14</v>
      </c>
      <c r="W19" s="330">
        <v>76.87</v>
      </c>
      <c r="X19" s="432"/>
      <c r="Y19" s="330">
        <v>72.09</v>
      </c>
      <c r="Z19" s="330">
        <v>66.86</v>
      </c>
      <c r="AA19" s="330">
        <v>65.319999999999993</v>
      </c>
      <c r="AB19" s="330">
        <v>71.78</v>
      </c>
      <c r="AC19" s="330">
        <v>78.86</v>
      </c>
      <c r="AD19" s="432"/>
      <c r="AE19" s="330">
        <v>69.150000000000006</v>
      </c>
      <c r="AF19" s="330">
        <v>80.83</v>
      </c>
      <c r="AG19" s="432"/>
      <c r="AH19" s="330">
        <v>85.24</v>
      </c>
      <c r="AI19" s="330">
        <v>74.47</v>
      </c>
      <c r="AJ19" s="330">
        <v>59.55</v>
      </c>
      <c r="AK19" s="330">
        <v>45.68</v>
      </c>
      <c r="AL19" s="432"/>
      <c r="AM19" s="330">
        <v>48.98</v>
      </c>
      <c r="AN19" s="330">
        <v>76.430000000000007</v>
      </c>
      <c r="AO19" s="330">
        <v>49.46</v>
      </c>
      <c r="AP19" s="331" t="s">
        <v>443</v>
      </c>
      <c r="AQ19" s="331" t="s">
        <v>443</v>
      </c>
      <c r="AR19" s="330">
        <v>49.01</v>
      </c>
      <c r="AS19" s="331" t="s">
        <v>443</v>
      </c>
      <c r="AT19" s="432"/>
      <c r="AU19" s="330">
        <v>85.59</v>
      </c>
      <c r="AV19" s="330">
        <v>73.02</v>
      </c>
      <c r="AW19" s="330">
        <v>87.98</v>
      </c>
      <c r="AX19" s="331" t="s">
        <v>443</v>
      </c>
      <c r="AY19" s="331" t="s">
        <v>443</v>
      </c>
      <c r="AZ19" s="330">
        <v>89.8</v>
      </c>
      <c r="BA19" s="330">
        <v>60.51</v>
      </c>
      <c r="BB19" s="432"/>
      <c r="BC19" s="331" t="s">
        <v>443</v>
      </c>
      <c r="BD19" s="331" t="s">
        <v>443</v>
      </c>
      <c r="BE19" s="330">
        <v>76.2</v>
      </c>
      <c r="BF19" s="331" t="s">
        <v>443</v>
      </c>
      <c r="BG19" s="330">
        <v>72.62</v>
      </c>
      <c r="BH19" s="330">
        <v>65.48</v>
      </c>
      <c r="BI19" s="330">
        <v>59.21</v>
      </c>
      <c r="BJ19" s="432"/>
      <c r="BK19" s="331" t="s">
        <v>443</v>
      </c>
      <c r="BL19" s="330">
        <v>46.43</v>
      </c>
      <c r="BM19" s="432"/>
      <c r="BN19" s="331" t="s">
        <v>443</v>
      </c>
      <c r="BO19" s="331" t="s">
        <v>443</v>
      </c>
      <c r="BP19" s="331" t="s">
        <v>443</v>
      </c>
      <c r="BQ19" s="331" t="s">
        <v>443</v>
      </c>
      <c r="BR19" s="432"/>
      <c r="BS19" s="331" t="s">
        <v>443</v>
      </c>
      <c r="BT19" s="331" t="s">
        <v>443</v>
      </c>
      <c r="BU19" s="330">
        <v>50.44</v>
      </c>
      <c r="BV19" s="330">
        <v>44.12</v>
      </c>
      <c r="BW19" s="432"/>
      <c r="BX19" s="331" t="s">
        <v>443</v>
      </c>
      <c r="BY19" s="331" t="s">
        <v>443</v>
      </c>
      <c r="BZ19" s="432"/>
      <c r="CA19" s="331" t="s">
        <v>443</v>
      </c>
      <c r="CB19" s="331" t="s">
        <v>443</v>
      </c>
      <c r="CC19" s="432"/>
      <c r="CD19" s="330">
        <v>46.93</v>
      </c>
      <c r="CE19" s="330">
        <v>53.3</v>
      </c>
      <c r="CF19" s="432"/>
      <c r="CG19" s="331" t="s">
        <v>443</v>
      </c>
      <c r="CH19" s="331" t="s">
        <v>443</v>
      </c>
      <c r="CI19" s="432"/>
      <c r="CJ19" s="331" t="s">
        <v>443</v>
      </c>
      <c r="CK19" s="331" t="s">
        <v>443</v>
      </c>
      <c r="CL19" s="331" t="s">
        <v>443</v>
      </c>
      <c r="CM19" s="330">
        <v>88.96</v>
      </c>
      <c r="CN19" s="432"/>
      <c r="CO19" s="330">
        <v>89.29</v>
      </c>
      <c r="CP19" s="330">
        <v>71.72</v>
      </c>
      <c r="CQ19" s="330">
        <v>77.86</v>
      </c>
      <c r="CR19" s="432"/>
      <c r="CS19" s="330">
        <v>84.69</v>
      </c>
      <c r="CT19" s="331" t="s">
        <v>443</v>
      </c>
      <c r="CU19" s="330">
        <v>95.92</v>
      </c>
      <c r="CV19" s="330">
        <v>93.88</v>
      </c>
      <c r="CW19" s="330">
        <v>70.239999999999995</v>
      </c>
      <c r="CX19" s="331" t="s">
        <v>443</v>
      </c>
      <c r="CY19" s="432"/>
      <c r="CZ19" s="331" t="s">
        <v>443</v>
      </c>
      <c r="DA19" s="432"/>
      <c r="DB19" s="331" t="s">
        <v>443</v>
      </c>
      <c r="DC19" s="432"/>
      <c r="DD19" s="330">
        <v>89.8</v>
      </c>
      <c r="DE19" s="432"/>
      <c r="DF19" s="330">
        <v>60.51</v>
      </c>
      <c r="DG19" s="432"/>
      <c r="DH19" s="331" t="s">
        <v>443</v>
      </c>
      <c r="DI19" s="432"/>
      <c r="DJ19" s="331" t="s">
        <v>443</v>
      </c>
      <c r="DK19" s="432"/>
      <c r="DL19" s="331" t="s">
        <v>443</v>
      </c>
      <c r="DM19" s="330">
        <v>66.540000000000006</v>
      </c>
      <c r="DN19" s="330">
        <v>79.22</v>
      </c>
      <c r="DO19" s="330">
        <v>80.819999999999993</v>
      </c>
      <c r="DP19" s="331" t="s">
        <v>443</v>
      </c>
      <c r="DQ19" s="330">
        <v>83.33</v>
      </c>
      <c r="DR19" s="330">
        <v>62.32</v>
      </c>
      <c r="DS19" s="330">
        <v>81.23</v>
      </c>
      <c r="DT19" s="330">
        <v>90.18</v>
      </c>
      <c r="DU19" s="331" t="s">
        <v>443</v>
      </c>
      <c r="DV19" s="330">
        <v>91.84</v>
      </c>
      <c r="DW19" s="432"/>
      <c r="DX19" s="331" t="s">
        <v>443</v>
      </c>
      <c r="DY19" s="432"/>
      <c r="DZ19" s="331" t="s">
        <v>443</v>
      </c>
      <c r="EA19" s="331" t="s">
        <v>443</v>
      </c>
      <c r="EB19" s="331" t="s">
        <v>443</v>
      </c>
      <c r="EC19" s="432"/>
      <c r="ED19" s="331" t="s">
        <v>443</v>
      </c>
      <c r="EE19" s="331" t="s">
        <v>443</v>
      </c>
      <c r="EF19" s="432"/>
      <c r="EG19" s="330">
        <v>55.51</v>
      </c>
      <c r="EH19" s="330">
        <v>62.99</v>
      </c>
      <c r="EI19" s="432"/>
      <c r="EJ19" s="330">
        <v>51.6</v>
      </c>
      <c r="EK19" s="330">
        <v>74.599999999999994</v>
      </c>
      <c r="EL19" s="432"/>
      <c r="EM19" s="330">
        <v>65.7</v>
      </c>
      <c r="EN19" s="330">
        <v>67.92</v>
      </c>
      <c r="EO19" s="330">
        <v>45.24</v>
      </c>
      <c r="EP19" s="330">
        <v>79.849999999999994</v>
      </c>
      <c r="EQ19" s="330">
        <v>40.35</v>
      </c>
    </row>
    <row r="20" spans="1:147" ht="13.5" customHeight="1">
      <c r="A20" s="493" t="s">
        <v>18</v>
      </c>
      <c r="B20" s="325">
        <v>15</v>
      </c>
      <c r="C20" s="326" t="s">
        <v>19</v>
      </c>
      <c r="D20" s="377">
        <v>69.599999999999994</v>
      </c>
      <c r="E20" s="441">
        <v>67.510000000000005</v>
      </c>
      <c r="F20" s="442">
        <v>75.58</v>
      </c>
      <c r="G20" s="350">
        <v>2.0899999999999892</v>
      </c>
      <c r="H20" s="350">
        <v>-5.980000000000004</v>
      </c>
      <c r="I20" s="432"/>
      <c r="J20" s="328" t="s">
        <v>443</v>
      </c>
      <c r="K20" s="329">
        <v>91.18</v>
      </c>
      <c r="L20" s="328">
        <v>82.28</v>
      </c>
      <c r="M20" s="328">
        <v>64.06</v>
      </c>
      <c r="N20" s="329">
        <v>89.47</v>
      </c>
      <c r="O20" s="432"/>
      <c r="P20" s="328">
        <v>69.08</v>
      </c>
      <c r="Q20" s="328">
        <v>70.510000000000005</v>
      </c>
      <c r="R20" s="432"/>
      <c r="S20" s="328">
        <v>84</v>
      </c>
      <c r="T20" s="327">
        <v>59.51</v>
      </c>
      <c r="U20" s="328">
        <v>71.77</v>
      </c>
      <c r="V20" s="328">
        <v>76.56</v>
      </c>
      <c r="W20" s="328">
        <v>66.67</v>
      </c>
      <c r="X20" s="432"/>
      <c r="Y20" s="328">
        <v>77.92</v>
      </c>
      <c r="Z20" s="328">
        <v>69.63</v>
      </c>
      <c r="AA20" s="328">
        <v>60.87</v>
      </c>
      <c r="AB20" s="328">
        <v>67.209999999999994</v>
      </c>
      <c r="AC20" s="328">
        <v>75.95</v>
      </c>
      <c r="AD20" s="432"/>
      <c r="AE20" s="328">
        <v>68.819999999999993</v>
      </c>
      <c r="AF20" s="329">
        <v>90</v>
      </c>
      <c r="AG20" s="432"/>
      <c r="AH20" s="328">
        <v>82.89</v>
      </c>
      <c r="AI20" s="328">
        <v>74.290000000000006</v>
      </c>
      <c r="AJ20" s="327">
        <v>56.2</v>
      </c>
      <c r="AK20" s="327">
        <v>53.01</v>
      </c>
      <c r="AL20" s="432"/>
      <c r="AM20" s="327">
        <v>57.14</v>
      </c>
      <c r="AN20" s="328">
        <v>83.33</v>
      </c>
      <c r="AO20" s="328">
        <v>61.11</v>
      </c>
      <c r="AP20" s="328" t="s">
        <v>443</v>
      </c>
      <c r="AQ20" s="328" t="s">
        <v>443</v>
      </c>
      <c r="AR20" s="332">
        <v>41.46</v>
      </c>
      <c r="AS20" s="328" t="s">
        <v>443</v>
      </c>
      <c r="AT20" s="432"/>
      <c r="AU20" s="328">
        <v>81.819999999999993</v>
      </c>
      <c r="AV20" s="328">
        <v>64.33</v>
      </c>
      <c r="AW20" s="328">
        <v>75.61</v>
      </c>
      <c r="AX20" s="328" t="s">
        <v>443</v>
      </c>
      <c r="AY20" s="328" t="s">
        <v>443</v>
      </c>
      <c r="AZ20" s="329">
        <v>85.71</v>
      </c>
      <c r="BA20" s="327">
        <v>58.82</v>
      </c>
      <c r="BB20" s="432"/>
      <c r="BC20" s="328" t="s">
        <v>443</v>
      </c>
      <c r="BD20" s="328" t="s">
        <v>443</v>
      </c>
      <c r="BE20" s="328">
        <v>85.45</v>
      </c>
      <c r="BF20" s="328" t="s">
        <v>443</v>
      </c>
      <c r="BG20" s="329">
        <v>88.89</v>
      </c>
      <c r="BH20" s="328">
        <v>66.67</v>
      </c>
      <c r="BI20" s="328">
        <v>65.790000000000006</v>
      </c>
      <c r="BJ20" s="432"/>
      <c r="BK20" s="328" t="s">
        <v>443</v>
      </c>
      <c r="BL20" s="327">
        <v>50</v>
      </c>
      <c r="BM20" s="432"/>
      <c r="BN20" s="328" t="s">
        <v>443</v>
      </c>
      <c r="BO20" s="328" t="s">
        <v>443</v>
      </c>
      <c r="BP20" s="328" t="s">
        <v>443</v>
      </c>
      <c r="BQ20" s="328" t="s">
        <v>443</v>
      </c>
      <c r="BR20" s="432"/>
      <c r="BS20" s="328" t="s">
        <v>443</v>
      </c>
      <c r="BT20" s="328" t="s">
        <v>443</v>
      </c>
      <c r="BU20" s="328">
        <v>71.430000000000007</v>
      </c>
      <c r="BV20" s="332">
        <v>41.18</v>
      </c>
      <c r="BW20" s="432"/>
      <c r="BX20" s="328" t="s">
        <v>443</v>
      </c>
      <c r="BY20" s="328" t="s">
        <v>443</v>
      </c>
      <c r="BZ20" s="432"/>
      <c r="CA20" s="328" t="s">
        <v>443</v>
      </c>
      <c r="CB20" s="328" t="s">
        <v>443</v>
      </c>
      <c r="CC20" s="432"/>
      <c r="CD20" s="332">
        <v>28.57</v>
      </c>
      <c r="CE20" s="328">
        <v>69.23</v>
      </c>
      <c r="CF20" s="432"/>
      <c r="CG20" s="328" t="s">
        <v>443</v>
      </c>
      <c r="CH20" s="328" t="s">
        <v>443</v>
      </c>
      <c r="CI20" s="432"/>
      <c r="CJ20" s="328" t="s">
        <v>443</v>
      </c>
      <c r="CK20" s="328" t="s">
        <v>443</v>
      </c>
      <c r="CL20" s="328" t="s">
        <v>443</v>
      </c>
      <c r="CM20" s="328">
        <v>72.73</v>
      </c>
      <c r="CN20" s="432"/>
      <c r="CO20" s="328">
        <v>75</v>
      </c>
      <c r="CP20" s="328">
        <v>63.31</v>
      </c>
      <c r="CQ20" s="328">
        <v>70</v>
      </c>
      <c r="CR20" s="432"/>
      <c r="CS20" s="328">
        <v>71.430000000000007</v>
      </c>
      <c r="CT20" s="328" t="s">
        <v>443</v>
      </c>
      <c r="CU20" s="329">
        <v>100</v>
      </c>
      <c r="CV20" s="329">
        <v>85.71</v>
      </c>
      <c r="CW20" s="332">
        <v>33.33</v>
      </c>
      <c r="CX20" s="328" t="s">
        <v>443</v>
      </c>
      <c r="CY20" s="432"/>
      <c r="CZ20" s="328" t="s">
        <v>443</v>
      </c>
      <c r="DA20" s="432"/>
      <c r="DB20" s="328" t="s">
        <v>443</v>
      </c>
      <c r="DC20" s="432"/>
      <c r="DD20" s="329">
        <v>85.71</v>
      </c>
      <c r="DE20" s="432"/>
      <c r="DF20" s="327">
        <v>58.82</v>
      </c>
      <c r="DG20" s="432"/>
      <c r="DH20" s="328" t="s">
        <v>443</v>
      </c>
      <c r="DI20" s="432"/>
      <c r="DJ20" s="328" t="s">
        <v>443</v>
      </c>
      <c r="DK20" s="432"/>
      <c r="DL20" s="328" t="s">
        <v>443</v>
      </c>
      <c r="DM20" s="328">
        <v>75</v>
      </c>
      <c r="DN20" s="329">
        <v>90.91</v>
      </c>
      <c r="DO20" s="328">
        <v>82.35</v>
      </c>
      <c r="DP20" s="328" t="s">
        <v>443</v>
      </c>
      <c r="DQ20" s="328">
        <v>77.78</v>
      </c>
      <c r="DR20" s="328">
        <v>83.33</v>
      </c>
      <c r="DS20" s="328">
        <v>84.62</v>
      </c>
      <c r="DT20" s="329">
        <v>100</v>
      </c>
      <c r="DU20" s="328" t="s">
        <v>443</v>
      </c>
      <c r="DV20" s="329">
        <v>100</v>
      </c>
      <c r="DW20" s="432"/>
      <c r="DX20" s="328" t="s">
        <v>443</v>
      </c>
      <c r="DY20" s="432"/>
      <c r="DZ20" s="328" t="s">
        <v>443</v>
      </c>
      <c r="EA20" s="328" t="s">
        <v>443</v>
      </c>
      <c r="EB20" s="328" t="s">
        <v>443</v>
      </c>
      <c r="EC20" s="432"/>
      <c r="ED20" s="328" t="s">
        <v>443</v>
      </c>
      <c r="EE20" s="328" t="s">
        <v>443</v>
      </c>
      <c r="EF20" s="432"/>
      <c r="EG20" s="328">
        <v>68.42</v>
      </c>
      <c r="EH20" s="328">
        <v>63.16</v>
      </c>
      <c r="EI20" s="432"/>
      <c r="EJ20" s="327">
        <v>55.37</v>
      </c>
      <c r="EK20" s="328">
        <v>73.650000000000006</v>
      </c>
      <c r="EL20" s="432"/>
      <c r="EM20" s="328">
        <v>63.04</v>
      </c>
      <c r="EN20" s="328">
        <v>67.44</v>
      </c>
      <c r="EO20" s="332">
        <v>20</v>
      </c>
      <c r="EP20" s="328">
        <v>82.33</v>
      </c>
      <c r="EQ20" s="332">
        <v>33.93</v>
      </c>
    </row>
    <row r="21" spans="1:147">
      <c r="A21" s="494"/>
      <c r="B21" s="325">
        <v>16</v>
      </c>
      <c r="C21" s="326" t="s">
        <v>20</v>
      </c>
      <c r="D21" s="377">
        <v>82.6</v>
      </c>
      <c r="E21" s="441">
        <v>81.510000000000005</v>
      </c>
      <c r="F21" s="442">
        <v>80.12</v>
      </c>
      <c r="G21" s="350">
        <v>1.0899999999999892</v>
      </c>
      <c r="H21" s="350">
        <v>2.4799999999999898</v>
      </c>
      <c r="I21" s="432"/>
      <c r="J21" s="328" t="s">
        <v>443</v>
      </c>
      <c r="K21" s="329">
        <v>91.18</v>
      </c>
      <c r="L21" s="329">
        <v>92.41</v>
      </c>
      <c r="M21" s="328">
        <v>79.22</v>
      </c>
      <c r="N21" s="329">
        <v>100</v>
      </c>
      <c r="O21" s="432"/>
      <c r="P21" s="328">
        <v>82.37</v>
      </c>
      <c r="Q21" s="328">
        <v>83</v>
      </c>
      <c r="R21" s="432"/>
      <c r="S21" s="329">
        <v>96</v>
      </c>
      <c r="T21" s="328">
        <v>73.62</v>
      </c>
      <c r="U21" s="328">
        <v>83.25</v>
      </c>
      <c r="V21" s="329">
        <v>87.51</v>
      </c>
      <c r="W21" s="329">
        <v>100</v>
      </c>
      <c r="X21" s="432"/>
      <c r="Y21" s="328">
        <v>81.819999999999993</v>
      </c>
      <c r="Z21" s="328">
        <v>81.31</v>
      </c>
      <c r="AA21" s="328">
        <v>78.260000000000005</v>
      </c>
      <c r="AB21" s="328">
        <v>81.97</v>
      </c>
      <c r="AC21" s="329">
        <v>93.67</v>
      </c>
      <c r="AD21" s="432"/>
      <c r="AE21" s="328">
        <v>81.94</v>
      </c>
      <c r="AF21" s="329">
        <v>100</v>
      </c>
      <c r="AG21" s="432"/>
      <c r="AH21" s="329">
        <v>88.77</v>
      </c>
      <c r="AI21" s="329">
        <v>85.71</v>
      </c>
      <c r="AJ21" s="328">
        <v>75.91</v>
      </c>
      <c r="AK21" s="328">
        <v>78.31</v>
      </c>
      <c r="AL21" s="432"/>
      <c r="AM21" s="328">
        <v>71.430000000000007</v>
      </c>
      <c r="AN21" s="328">
        <v>83.33</v>
      </c>
      <c r="AO21" s="328">
        <v>83.33</v>
      </c>
      <c r="AP21" s="328" t="s">
        <v>443</v>
      </c>
      <c r="AQ21" s="328" t="s">
        <v>443</v>
      </c>
      <c r="AR21" s="327">
        <v>48.78</v>
      </c>
      <c r="AS21" s="328" t="s">
        <v>443</v>
      </c>
      <c r="AT21" s="432"/>
      <c r="AU21" s="329">
        <v>86.36</v>
      </c>
      <c r="AV21" s="328">
        <v>84.71</v>
      </c>
      <c r="AW21" s="328">
        <v>85.37</v>
      </c>
      <c r="AX21" s="328" t="s">
        <v>443</v>
      </c>
      <c r="AY21" s="328" t="s">
        <v>443</v>
      </c>
      <c r="AZ21" s="329">
        <v>85.71</v>
      </c>
      <c r="BA21" s="329">
        <v>88.24</v>
      </c>
      <c r="BB21" s="432"/>
      <c r="BC21" s="328" t="s">
        <v>443</v>
      </c>
      <c r="BD21" s="328" t="s">
        <v>443</v>
      </c>
      <c r="BE21" s="329">
        <v>88.18</v>
      </c>
      <c r="BF21" s="328" t="s">
        <v>443</v>
      </c>
      <c r="BG21" s="329">
        <v>88.89</v>
      </c>
      <c r="BH21" s="329">
        <v>100</v>
      </c>
      <c r="BI21" s="328">
        <v>76.319999999999993</v>
      </c>
      <c r="BJ21" s="432"/>
      <c r="BK21" s="328" t="s">
        <v>443</v>
      </c>
      <c r="BL21" s="328">
        <v>66.67</v>
      </c>
      <c r="BM21" s="432"/>
      <c r="BN21" s="328" t="s">
        <v>443</v>
      </c>
      <c r="BO21" s="328" t="s">
        <v>443</v>
      </c>
      <c r="BP21" s="328" t="s">
        <v>443</v>
      </c>
      <c r="BQ21" s="328" t="s">
        <v>443</v>
      </c>
      <c r="BR21" s="432"/>
      <c r="BS21" s="328" t="s">
        <v>443</v>
      </c>
      <c r="BT21" s="328" t="s">
        <v>443</v>
      </c>
      <c r="BU21" s="329">
        <v>85.71</v>
      </c>
      <c r="BV21" s="328">
        <v>76.47</v>
      </c>
      <c r="BW21" s="432"/>
      <c r="BX21" s="328" t="s">
        <v>443</v>
      </c>
      <c r="BY21" s="328" t="s">
        <v>443</v>
      </c>
      <c r="BZ21" s="432"/>
      <c r="CA21" s="328" t="s">
        <v>443</v>
      </c>
      <c r="CB21" s="328" t="s">
        <v>443</v>
      </c>
      <c r="CC21" s="432"/>
      <c r="CD21" s="332">
        <v>35.71</v>
      </c>
      <c r="CE21" s="328">
        <v>76.92</v>
      </c>
      <c r="CF21" s="432"/>
      <c r="CG21" s="328" t="s">
        <v>443</v>
      </c>
      <c r="CH21" s="328" t="s">
        <v>443</v>
      </c>
      <c r="CI21" s="432"/>
      <c r="CJ21" s="328" t="s">
        <v>443</v>
      </c>
      <c r="CK21" s="328" t="s">
        <v>443</v>
      </c>
      <c r="CL21" s="328" t="s">
        <v>443</v>
      </c>
      <c r="CM21" s="328">
        <v>72.73</v>
      </c>
      <c r="CN21" s="432"/>
      <c r="CO21" s="329">
        <v>100</v>
      </c>
      <c r="CP21" s="328">
        <v>83.45</v>
      </c>
      <c r="CQ21" s="329">
        <v>90</v>
      </c>
      <c r="CR21" s="432"/>
      <c r="CS21" s="329">
        <v>85.71</v>
      </c>
      <c r="CT21" s="328" t="s">
        <v>443</v>
      </c>
      <c r="CU21" s="329">
        <v>85.71</v>
      </c>
      <c r="CV21" s="329">
        <v>85.71</v>
      </c>
      <c r="CW21" s="328">
        <v>83.33</v>
      </c>
      <c r="CX21" s="328" t="s">
        <v>443</v>
      </c>
      <c r="CY21" s="432"/>
      <c r="CZ21" s="328" t="s">
        <v>443</v>
      </c>
      <c r="DA21" s="432"/>
      <c r="DB21" s="328" t="s">
        <v>443</v>
      </c>
      <c r="DC21" s="432"/>
      <c r="DD21" s="329">
        <v>85.71</v>
      </c>
      <c r="DE21" s="432"/>
      <c r="DF21" s="329">
        <v>88.24</v>
      </c>
      <c r="DG21" s="432"/>
      <c r="DH21" s="328" t="s">
        <v>443</v>
      </c>
      <c r="DI21" s="432"/>
      <c r="DJ21" s="328" t="s">
        <v>443</v>
      </c>
      <c r="DK21" s="432"/>
      <c r="DL21" s="328" t="s">
        <v>443</v>
      </c>
      <c r="DM21" s="328">
        <v>75</v>
      </c>
      <c r="DN21" s="328">
        <v>72.73</v>
      </c>
      <c r="DO21" s="329">
        <v>94.12</v>
      </c>
      <c r="DP21" s="328" t="s">
        <v>443</v>
      </c>
      <c r="DQ21" s="328">
        <v>77.78</v>
      </c>
      <c r="DR21" s="329">
        <v>96.67</v>
      </c>
      <c r="DS21" s="329">
        <v>100</v>
      </c>
      <c r="DT21" s="328">
        <v>62.51</v>
      </c>
      <c r="DU21" s="328" t="s">
        <v>443</v>
      </c>
      <c r="DV21" s="329">
        <v>100</v>
      </c>
      <c r="DW21" s="432"/>
      <c r="DX21" s="328" t="s">
        <v>443</v>
      </c>
      <c r="DY21" s="432"/>
      <c r="DZ21" s="328" t="s">
        <v>443</v>
      </c>
      <c r="EA21" s="328" t="s">
        <v>443</v>
      </c>
      <c r="EB21" s="328" t="s">
        <v>443</v>
      </c>
      <c r="EC21" s="432"/>
      <c r="ED21" s="328" t="s">
        <v>443</v>
      </c>
      <c r="EE21" s="328" t="s">
        <v>443</v>
      </c>
      <c r="EF21" s="432"/>
      <c r="EG21" s="328">
        <v>68.42</v>
      </c>
      <c r="EH21" s="328">
        <v>84.21</v>
      </c>
      <c r="EI21" s="432"/>
      <c r="EJ21" s="328">
        <v>71.069999999999993</v>
      </c>
      <c r="EK21" s="329">
        <v>85.88</v>
      </c>
      <c r="EL21" s="432"/>
      <c r="EM21" s="328">
        <v>84.78</v>
      </c>
      <c r="EN21" s="328">
        <v>81.400000000000006</v>
      </c>
      <c r="EO21" s="327">
        <v>60</v>
      </c>
      <c r="EP21" s="329">
        <v>87.22</v>
      </c>
      <c r="EQ21" s="328">
        <v>64.290000000000006</v>
      </c>
    </row>
    <row r="22" spans="1:147">
      <c r="A22" s="494"/>
      <c r="B22" s="325">
        <v>17</v>
      </c>
      <c r="C22" s="326" t="s">
        <v>21</v>
      </c>
      <c r="D22" s="377">
        <v>62.27</v>
      </c>
      <c r="E22" s="441">
        <v>68.33</v>
      </c>
      <c r="F22" s="442">
        <v>72.39</v>
      </c>
      <c r="G22" s="350">
        <v>-6.0599999999999952</v>
      </c>
      <c r="H22" s="350">
        <v>-10.119999999999997</v>
      </c>
      <c r="I22" s="432"/>
      <c r="J22" s="328" t="s">
        <v>443</v>
      </c>
      <c r="K22" s="329">
        <v>88.24</v>
      </c>
      <c r="L22" s="328">
        <v>63.29</v>
      </c>
      <c r="M22" s="327">
        <v>59.17</v>
      </c>
      <c r="N22" s="328">
        <v>68.42</v>
      </c>
      <c r="O22" s="432"/>
      <c r="P22" s="328">
        <v>61.85</v>
      </c>
      <c r="Q22" s="328">
        <v>63</v>
      </c>
      <c r="R22" s="432"/>
      <c r="S22" s="328">
        <v>72</v>
      </c>
      <c r="T22" s="327">
        <v>49.69</v>
      </c>
      <c r="U22" s="328">
        <v>67.459999999999994</v>
      </c>
      <c r="V22" s="328">
        <v>67.97</v>
      </c>
      <c r="W22" s="328">
        <v>61.9</v>
      </c>
      <c r="X22" s="432"/>
      <c r="Y22" s="328">
        <v>64.94</v>
      </c>
      <c r="Z22" s="327">
        <v>60.28</v>
      </c>
      <c r="AA22" s="327">
        <v>60</v>
      </c>
      <c r="AB22" s="328">
        <v>63.93</v>
      </c>
      <c r="AC22" s="328">
        <v>67.09</v>
      </c>
      <c r="AD22" s="432"/>
      <c r="AE22" s="328">
        <v>62.17</v>
      </c>
      <c r="AF22" s="328">
        <v>65</v>
      </c>
      <c r="AG22" s="432"/>
      <c r="AH22" s="328">
        <v>82.89</v>
      </c>
      <c r="AI22" s="328">
        <v>66.67</v>
      </c>
      <c r="AJ22" s="327">
        <v>48.18</v>
      </c>
      <c r="AK22" s="332">
        <v>36.14</v>
      </c>
      <c r="AL22" s="432"/>
      <c r="AM22" s="332">
        <v>28.57</v>
      </c>
      <c r="AN22" s="332">
        <v>33.33</v>
      </c>
      <c r="AO22" s="327">
        <v>51.85</v>
      </c>
      <c r="AP22" s="328" t="s">
        <v>443</v>
      </c>
      <c r="AQ22" s="328" t="s">
        <v>443</v>
      </c>
      <c r="AR22" s="327">
        <v>48.78</v>
      </c>
      <c r="AS22" s="328" t="s">
        <v>443</v>
      </c>
      <c r="AT22" s="432"/>
      <c r="AU22" s="328">
        <v>77.27</v>
      </c>
      <c r="AV22" s="328">
        <v>62.42</v>
      </c>
      <c r="AW22" s="328">
        <v>80.489999999999995</v>
      </c>
      <c r="AX22" s="328" t="s">
        <v>443</v>
      </c>
      <c r="AY22" s="328" t="s">
        <v>443</v>
      </c>
      <c r="AZ22" s="327">
        <v>57.14</v>
      </c>
      <c r="BA22" s="327">
        <v>47.06</v>
      </c>
      <c r="BB22" s="432"/>
      <c r="BC22" s="328" t="s">
        <v>443</v>
      </c>
      <c r="BD22" s="328" t="s">
        <v>443</v>
      </c>
      <c r="BE22" s="328">
        <v>72.73</v>
      </c>
      <c r="BF22" s="328" t="s">
        <v>443</v>
      </c>
      <c r="BG22" s="328">
        <v>77.78</v>
      </c>
      <c r="BH22" s="327">
        <v>50</v>
      </c>
      <c r="BI22" s="327">
        <v>44.74</v>
      </c>
      <c r="BJ22" s="432"/>
      <c r="BK22" s="328" t="s">
        <v>443</v>
      </c>
      <c r="BL22" s="332">
        <v>33.33</v>
      </c>
      <c r="BM22" s="432"/>
      <c r="BN22" s="328" t="s">
        <v>443</v>
      </c>
      <c r="BO22" s="328" t="s">
        <v>443</v>
      </c>
      <c r="BP22" s="328" t="s">
        <v>443</v>
      </c>
      <c r="BQ22" s="328" t="s">
        <v>443</v>
      </c>
      <c r="BR22" s="432"/>
      <c r="BS22" s="328" t="s">
        <v>443</v>
      </c>
      <c r="BT22" s="328" t="s">
        <v>443</v>
      </c>
      <c r="BU22" s="327">
        <v>57.14</v>
      </c>
      <c r="BV22" s="332">
        <v>41.18</v>
      </c>
      <c r="BW22" s="432"/>
      <c r="BX22" s="328" t="s">
        <v>443</v>
      </c>
      <c r="BY22" s="328" t="s">
        <v>443</v>
      </c>
      <c r="BZ22" s="432"/>
      <c r="CA22" s="328" t="s">
        <v>443</v>
      </c>
      <c r="CB22" s="328" t="s">
        <v>443</v>
      </c>
      <c r="CC22" s="432"/>
      <c r="CD22" s="332">
        <v>42.86</v>
      </c>
      <c r="CE22" s="328">
        <v>61.54</v>
      </c>
      <c r="CF22" s="432"/>
      <c r="CG22" s="328" t="s">
        <v>443</v>
      </c>
      <c r="CH22" s="328" t="s">
        <v>443</v>
      </c>
      <c r="CI22" s="432"/>
      <c r="CJ22" s="328" t="s">
        <v>443</v>
      </c>
      <c r="CK22" s="328" t="s">
        <v>443</v>
      </c>
      <c r="CL22" s="328" t="s">
        <v>443</v>
      </c>
      <c r="CM22" s="328">
        <v>81.819999999999993</v>
      </c>
      <c r="CN22" s="432"/>
      <c r="CO22" s="329">
        <v>87.51</v>
      </c>
      <c r="CP22" s="327">
        <v>59.71</v>
      </c>
      <c r="CQ22" s="328">
        <v>80</v>
      </c>
      <c r="CR22" s="432"/>
      <c r="CS22" s="329">
        <v>85.71</v>
      </c>
      <c r="CT22" s="328" t="s">
        <v>443</v>
      </c>
      <c r="CU22" s="329">
        <v>100</v>
      </c>
      <c r="CV22" s="329">
        <v>92.86</v>
      </c>
      <c r="CW22" s="332">
        <v>16.670000000000002</v>
      </c>
      <c r="CX22" s="328" t="s">
        <v>443</v>
      </c>
      <c r="CY22" s="432"/>
      <c r="CZ22" s="328" t="s">
        <v>443</v>
      </c>
      <c r="DA22" s="432"/>
      <c r="DB22" s="328" t="s">
        <v>443</v>
      </c>
      <c r="DC22" s="432"/>
      <c r="DD22" s="327">
        <v>57.14</v>
      </c>
      <c r="DE22" s="432"/>
      <c r="DF22" s="327">
        <v>47.06</v>
      </c>
      <c r="DG22" s="432"/>
      <c r="DH22" s="328" t="s">
        <v>443</v>
      </c>
      <c r="DI22" s="432"/>
      <c r="DJ22" s="328" t="s">
        <v>443</v>
      </c>
      <c r="DK22" s="432"/>
      <c r="DL22" s="328" t="s">
        <v>443</v>
      </c>
      <c r="DM22" s="328">
        <v>75</v>
      </c>
      <c r="DN22" s="328">
        <v>72.73</v>
      </c>
      <c r="DO22" s="328">
        <v>70.59</v>
      </c>
      <c r="DP22" s="328" t="s">
        <v>443</v>
      </c>
      <c r="DQ22" s="329">
        <v>88.89</v>
      </c>
      <c r="DR22" s="327">
        <v>60</v>
      </c>
      <c r="DS22" s="328">
        <v>69.23</v>
      </c>
      <c r="DT22" s="329">
        <v>100</v>
      </c>
      <c r="DU22" s="328" t="s">
        <v>443</v>
      </c>
      <c r="DV22" s="329">
        <v>85.71</v>
      </c>
      <c r="DW22" s="432"/>
      <c r="DX22" s="328" t="s">
        <v>443</v>
      </c>
      <c r="DY22" s="432"/>
      <c r="DZ22" s="328" t="s">
        <v>443</v>
      </c>
      <c r="EA22" s="328" t="s">
        <v>443</v>
      </c>
      <c r="EB22" s="328" t="s">
        <v>443</v>
      </c>
      <c r="EC22" s="432"/>
      <c r="ED22" s="328" t="s">
        <v>443</v>
      </c>
      <c r="EE22" s="328" t="s">
        <v>443</v>
      </c>
      <c r="EF22" s="432"/>
      <c r="EG22" s="332">
        <v>36.840000000000003</v>
      </c>
      <c r="EH22" s="327">
        <v>52.63</v>
      </c>
      <c r="EI22" s="432"/>
      <c r="EJ22" s="327">
        <v>49.59</v>
      </c>
      <c r="EK22" s="328">
        <v>65.88</v>
      </c>
      <c r="EL22" s="432"/>
      <c r="EM22" s="327">
        <v>54.35</v>
      </c>
      <c r="EN22" s="327">
        <v>58.14</v>
      </c>
      <c r="EO22" s="332">
        <v>30</v>
      </c>
      <c r="EP22" s="328">
        <v>77.069999999999993</v>
      </c>
      <c r="EQ22" s="332">
        <v>21.43</v>
      </c>
    </row>
    <row r="23" spans="1:147">
      <c r="A23" s="494"/>
      <c r="B23" s="325">
        <v>18</v>
      </c>
      <c r="C23" s="326" t="s">
        <v>22</v>
      </c>
      <c r="D23" s="377">
        <v>74.72</v>
      </c>
      <c r="E23" s="441">
        <v>78.8</v>
      </c>
      <c r="F23" s="442">
        <v>80.569999999999993</v>
      </c>
      <c r="G23" s="350">
        <v>-4.0799999999999983</v>
      </c>
      <c r="H23" s="350">
        <v>-5.8499999999999943</v>
      </c>
      <c r="I23" s="432"/>
      <c r="J23" s="328" t="s">
        <v>443</v>
      </c>
      <c r="K23" s="329">
        <v>91.18</v>
      </c>
      <c r="L23" s="328">
        <v>78.48</v>
      </c>
      <c r="M23" s="328">
        <v>71.67</v>
      </c>
      <c r="N23" s="329">
        <v>88.89</v>
      </c>
      <c r="O23" s="432"/>
      <c r="P23" s="328">
        <v>74.930000000000007</v>
      </c>
      <c r="Q23" s="328">
        <v>74.37</v>
      </c>
      <c r="R23" s="432"/>
      <c r="S23" s="328">
        <v>79.17</v>
      </c>
      <c r="T23" s="328">
        <v>63.58</v>
      </c>
      <c r="U23" s="328">
        <v>79.709999999999994</v>
      </c>
      <c r="V23" s="328">
        <v>78.91</v>
      </c>
      <c r="W23" s="328">
        <v>80.95</v>
      </c>
      <c r="X23" s="432"/>
      <c r="Y23" s="328">
        <v>73.33</v>
      </c>
      <c r="Z23" s="328">
        <v>74.650000000000006</v>
      </c>
      <c r="AA23" s="328">
        <v>71.930000000000007</v>
      </c>
      <c r="AB23" s="328">
        <v>77.05</v>
      </c>
      <c r="AC23" s="328">
        <v>78.48</v>
      </c>
      <c r="AD23" s="432"/>
      <c r="AE23" s="328">
        <v>74.38</v>
      </c>
      <c r="AF23" s="328">
        <v>84.21</v>
      </c>
      <c r="AG23" s="432"/>
      <c r="AH23" s="329">
        <v>89.78</v>
      </c>
      <c r="AI23" s="328">
        <v>72.38</v>
      </c>
      <c r="AJ23" s="328">
        <v>68.61</v>
      </c>
      <c r="AK23" s="327">
        <v>54.88</v>
      </c>
      <c r="AL23" s="432"/>
      <c r="AM23" s="329">
        <v>100</v>
      </c>
      <c r="AN23" s="328">
        <v>83.33</v>
      </c>
      <c r="AO23" s="327">
        <v>55.56</v>
      </c>
      <c r="AP23" s="328" t="s">
        <v>443</v>
      </c>
      <c r="AQ23" s="328" t="s">
        <v>443</v>
      </c>
      <c r="AR23" s="327">
        <v>55</v>
      </c>
      <c r="AS23" s="328" t="s">
        <v>443</v>
      </c>
      <c r="AT23" s="432"/>
      <c r="AU23" s="329">
        <v>100</v>
      </c>
      <c r="AV23" s="328">
        <v>80.13</v>
      </c>
      <c r="AW23" s="329">
        <v>87.8</v>
      </c>
      <c r="AX23" s="328" t="s">
        <v>443</v>
      </c>
      <c r="AY23" s="328" t="s">
        <v>443</v>
      </c>
      <c r="AZ23" s="328">
        <v>71.430000000000007</v>
      </c>
      <c r="BA23" s="328">
        <v>64.709999999999994</v>
      </c>
      <c r="BB23" s="432"/>
      <c r="BC23" s="328" t="s">
        <v>443</v>
      </c>
      <c r="BD23" s="328" t="s">
        <v>443</v>
      </c>
      <c r="BE23" s="328">
        <v>75.930000000000007</v>
      </c>
      <c r="BF23" s="328" t="s">
        <v>443</v>
      </c>
      <c r="BG23" s="329">
        <v>88.89</v>
      </c>
      <c r="BH23" s="327">
        <v>50</v>
      </c>
      <c r="BI23" s="328">
        <v>68.42</v>
      </c>
      <c r="BJ23" s="432"/>
      <c r="BK23" s="328" t="s">
        <v>443</v>
      </c>
      <c r="BL23" s="329">
        <v>100</v>
      </c>
      <c r="BM23" s="432"/>
      <c r="BN23" s="328" t="s">
        <v>443</v>
      </c>
      <c r="BO23" s="328" t="s">
        <v>443</v>
      </c>
      <c r="BP23" s="328" t="s">
        <v>443</v>
      </c>
      <c r="BQ23" s="328" t="s">
        <v>443</v>
      </c>
      <c r="BR23" s="432"/>
      <c r="BS23" s="328" t="s">
        <v>443</v>
      </c>
      <c r="BT23" s="328" t="s">
        <v>443</v>
      </c>
      <c r="BU23" s="327">
        <v>57.14</v>
      </c>
      <c r="BV23" s="327">
        <v>47.06</v>
      </c>
      <c r="BW23" s="432"/>
      <c r="BX23" s="328" t="s">
        <v>443</v>
      </c>
      <c r="BY23" s="328" t="s">
        <v>443</v>
      </c>
      <c r="BZ23" s="432"/>
      <c r="CA23" s="328" t="s">
        <v>443</v>
      </c>
      <c r="CB23" s="328" t="s">
        <v>443</v>
      </c>
      <c r="CC23" s="432"/>
      <c r="CD23" s="327">
        <v>55.56</v>
      </c>
      <c r="CE23" s="327">
        <v>53.85</v>
      </c>
      <c r="CF23" s="432"/>
      <c r="CG23" s="328" t="s">
        <v>443</v>
      </c>
      <c r="CH23" s="328" t="s">
        <v>443</v>
      </c>
      <c r="CI23" s="432"/>
      <c r="CJ23" s="328" t="s">
        <v>443</v>
      </c>
      <c r="CK23" s="328" t="s">
        <v>443</v>
      </c>
      <c r="CL23" s="328" t="s">
        <v>443</v>
      </c>
      <c r="CM23" s="329">
        <v>100</v>
      </c>
      <c r="CN23" s="432"/>
      <c r="CO23" s="329">
        <v>87.51</v>
      </c>
      <c r="CP23" s="328">
        <v>79.709999999999994</v>
      </c>
      <c r="CQ23" s="328">
        <v>80</v>
      </c>
      <c r="CR23" s="432"/>
      <c r="CS23" s="329">
        <v>85.71</v>
      </c>
      <c r="CT23" s="328" t="s">
        <v>443</v>
      </c>
      <c r="CU23" s="329">
        <v>100</v>
      </c>
      <c r="CV23" s="329">
        <v>92.86</v>
      </c>
      <c r="CW23" s="328">
        <v>66.67</v>
      </c>
      <c r="CX23" s="328" t="s">
        <v>443</v>
      </c>
      <c r="CY23" s="432"/>
      <c r="CZ23" s="328" t="s">
        <v>443</v>
      </c>
      <c r="DA23" s="432"/>
      <c r="DB23" s="328" t="s">
        <v>443</v>
      </c>
      <c r="DC23" s="432"/>
      <c r="DD23" s="328">
        <v>71.430000000000007</v>
      </c>
      <c r="DE23" s="432"/>
      <c r="DF23" s="328">
        <v>64.709999999999994</v>
      </c>
      <c r="DG23" s="432"/>
      <c r="DH23" s="328" t="s">
        <v>443</v>
      </c>
      <c r="DI23" s="432"/>
      <c r="DJ23" s="328" t="s">
        <v>443</v>
      </c>
      <c r="DK23" s="432"/>
      <c r="DL23" s="328" t="s">
        <v>443</v>
      </c>
      <c r="DM23" s="329">
        <v>87.51</v>
      </c>
      <c r="DN23" s="328">
        <v>72.73</v>
      </c>
      <c r="DO23" s="328">
        <v>81.25</v>
      </c>
      <c r="DP23" s="328" t="s">
        <v>443</v>
      </c>
      <c r="DQ23" s="329">
        <v>88.89</v>
      </c>
      <c r="DR23" s="327">
        <v>44.83</v>
      </c>
      <c r="DS23" s="329">
        <v>92.31</v>
      </c>
      <c r="DT23" s="329">
        <v>100</v>
      </c>
      <c r="DU23" s="328" t="s">
        <v>443</v>
      </c>
      <c r="DV23" s="329">
        <v>100</v>
      </c>
      <c r="DW23" s="432"/>
      <c r="DX23" s="328" t="s">
        <v>443</v>
      </c>
      <c r="DY23" s="432"/>
      <c r="DZ23" s="328" t="s">
        <v>443</v>
      </c>
      <c r="EA23" s="328" t="s">
        <v>443</v>
      </c>
      <c r="EB23" s="328" t="s">
        <v>443</v>
      </c>
      <c r="EC23" s="432"/>
      <c r="ED23" s="328" t="s">
        <v>443</v>
      </c>
      <c r="EE23" s="328" t="s">
        <v>443</v>
      </c>
      <c r="EF23" s="432"/>
      <c r="EG23" s="328">
        <v>68.42</v>
      </c>
      <c r="EH23" s="328">
        <v>68.42</v>
      </c>
      <c r="EI23" s="432"/>
      <c r="EJ23" s="328">
        <v>60.83</v>
      </c>
      <c r="EK23" s="328">
        <v>78.67</v>
      </c>
      <c r="EL23" s="432"/>
      <c r="EM23" s="328">
        <v>75.36</v>
      </c>
      <c r="EN23" s="328">
        <v>66.67</v>
      </c>
      <c r="EO23" s="332">
        <v>30</v>
      </c>
      <c r="EP23" s="328">
        <v>83.02</v>
      </c>
      <c r="EQ23" s="327">
        <v>51.79</v>
      </c>
    </row>
    <row r="24" spans="1:147">
      <c r="A24" s="494"/>
      <c r="B24" s="325">
        <v>19</v>
      </c>
      <c r="C24" s="326" t="s">
        <v>23</v>
      </c>
      <c r="D24" s="377">
        <v>68.319999999999993</v>
      </c>
      <c r="E24" s="441">
        <v>72.95</v>
      </c>
      <c r="F24" s="442">
        <v>75.97</v>
      </c>
      <c r="G24" s="350">
        <v>-4.6300000000000097</v>
      </c>
      <c r="H24" s="350">
        <v>-7.6500000000000057</v>
      </c>
      <c r="I24" s="432"/>
      <c r="J24" s="328" t="s">
        <v>443</v>
      </c>
      <c r="K24" s="328">
        <v>85.29</v>
      </c>
      <c r="L24" s="328">
        <v>74.680000000000007</v>
      </c>
      <c r="M24" s="328">
        <v>64.37</v>
      </c>
      <c r="N24" s="329">
        <v>88.89</v>
      </c>
      <c r="O24" s="432"/>
      <c r="P24" s="328">
        <v>66.86</v>
      </c>
      <c r="Q24" s="328">
        <v>70.849999999999994</v>
      </c>
      <c r="R24" s="432"/>
      <c r="S24" s="329">
        <v>87.51</v>
      </c>
      <c r="T24" s="327">
        <v>56.79</v>
      </c>
      <c r="U24" s="328">
        <v>73.08</v>
      </c>
      <c r="V24" s="328">
        <v>70.31</v>
      </c>
      <c r="W24" s="328">
        <v>76.19</v>
      </c>
      <c r="X24" s="432"/>
      <c r="Y24" s="328">
        <v>71.05</v>
      </c>
      <c r="Z24" s="328">
        <v>69.48</v>
      </c>
      <c r="AA24" s="328">
        <v>61.4</v>
      </c>
      <c r="AB24" s="328">
        <v>67.209999999999994</v>
      </c>
      <c r="AC24" s="328">
        <v>73.42</v>
      </c>
      <c r="AD24" s="432"/>
      <c r="AE24" s="328">
        <v>67.75</v>
      </c>
      <c r="AF24" s="328">
        <v>84.21</v>
      </c>
      <c r="AG24" s="432"/>
      <c r="AH24" s="329">
        <v>89.3</v>
      </c>
      <c r="AI24" s="328">
        <v>70.48</v>
      </c>
      <c r="AJ24" s="327">
        <v>53.28</v>
      </c>
      <c r="AK24" s="332">
        <v>42.68</v>
      </c>
      <c r="AL24" s="432"/>
      <c r="AM24" s="332">
        <v>28.57</v>
      </c>
      <c r="AN24" s="328">
        <v>83.33</v>
      </c>
      <c r="AO24" s="327">
        <v>46.3</v>
      </c>
      <c r="AP24" s="328" t="s">
        <v>443</v>
      </c>
      <c r="AQ24" s="328" t="s">
        <v>443</v>
      </c>
      <c r="AR24" s="327">
        <v>52.51</v>
      </c>
      <c r="AS24" s="328" t="s">
        <v>443</v>
      </c>
      <c r="AT24" s="432"/>
      <c r="AU24" s="329">
        <v>86.36</v>
      </c>
      <c r="AV24" s="328">
        <v>69.23</v>
      </c>
      <c r="AW24" s="328">
        <v>85.37</v>
      </c>
      <c r="AX24" s="328" t="s">
        <v>443</v>
      </c>
      <c r="AY24" s="328" t="s">
        <v>443</v>
      </c>
      <c r="AZ24" s="329">
        <v>100</v>
      </c>
      <c r="BA24" s="328">
        <v>64.709999999999994</v>
      </c>
      <c r="BB24" s="432"/>
      <c r="BC24" s="328" t="s">
        <v>443</v>
      </c>
      <c r="BD24" s="328" t="s">
        <v>443</v>
      </c>
      <c r="BE24" s="328">
        <v>78.900000000000006</v>
      </c>
      <c r="BF24" s="328" t="s">
        <v>443</v>
      </c>
      <c r="BG24" s="329">
        <v>88.89</v>
      </c>
      <c r="BH24" s="327">
        <v>50</v>
      </c>
      <c r="BI24" s="327">
        <v>52.63</v>
      </c>
      <c r="BJ24" s="432"/>
      <c r="BK24" s="328" t="s">
        <v>443</v>
      </c>
      <c r="BL24" s="332">
        <v>33.33</v>
      </c>
      <c r="BM24" s="432"/>
      <c r="BN24" s="328" t="s">
        <v>443</v>
      </c>
      <c r="BO24" s="328" t="s">
        <v>443</v>
      </c>
      <c r="BP24" s="328" t="s">
        <v>443</v>
      </c>
      <c r="BQ24" s="328" t="s">
        <v>443</v>
      </c>
      <c r="BR24" s="432"/>
      <c r="BS24" s="328" t="s">
        <v>443</v>
      </c>
      <c r="BT24" s="328" t="s">
        <v>443</v>
      </c>
      <c r="BU24" s="327">
        <v>48.57</v>
      </c>
      <c r="BV24" s="332">
        <v>41.18</v>
      </c>
      <c r="BW24" s="432"/>
      <c r="BX24" s="328" t="s">
        <v>443</v>
      </c>
      <c r="BY24" s="328" t="s">
        <v>443</v>
      </c>
      <c r="BZ24" s="432"/>
      <c r="CA24" s="328" t="s">
        <v>443</v>
      </c>
      <c r="CB24" s="328" t="s">
        <v>443</v>
      </c>
      <c r="CC24" s="432"/>
      <c r="CD24" s="327">
        <v>48.15</v>
      </c>
      <c r="CE24" s="328">
        <v>61.54</v>
      </c>
      <c r="CF24" s="432"/>
      <c r="CG24" s="328" t="s">
        <v>443</v>
      </c>
      <c r="CH24" s="328" t="s">
        <v>443</v>
      </c>
      <c r="CI24" s="432"/>
      <c r="CJ24" s="328" t="s">
        <v>443</v>
      </c>
      <c r="CK24" s="328" t="s">
        <v>443</v>
      </c>
      <c r="CL24" s="328" t="s">
        <v>443</v>
      </c>
      <c r="CM24" s="329">
        <v>90.91</v>
      </c>
      <c r="CN24" s="432"/>
      <c r="CO24" s="329">
        <v>87.51</v>
      </c>
      <c r="CP24" s="328">
        <v>69.569999999999993</v>
      </c>
      <c r="CQ24" s="327">
        <v>50</v>
      </c>
      <c r="CR24" s="432"/>
      <c r="CS24" s="329">
        <v>85.71</v>
      </c>
      <c r="CT24" s="328" t="s">
        <v>443</v>
      </c>
      <c r="CU24" s="329">
        <v>100</v>
      </c>
      <c r="CV24" s="329">
        <v>100</v>
      </c>
      <c r="CW24" s="332">
        <v>33.33</v>
      </c>
      <c r="CX24" s="328" t="s">
        <v>443</v>
      </c>
      <c r="CY24" s="432"/>
      <c r="CZ24" s="328" t="s">
        <v>443</v>
      </c>
      <c r="DA24" s="432"/>
      <c r="DB24" s="328" t="s">
        <v>443</v>
      </c>
      <c r="DC24" s="432"/>
      <c r="DD24" s="329">
        <v>100</v>
      </c>
      <c r="DE24" s="432"/>
      <c r="DF24" s="328">
        <v>64.709999999999994</v>
      </c>
      <c r="DG24" s="432"/>
      <c r="DH24" s="328" t="s">
        <v>443</v>
      </c>
      <c r="DI24" s="432"/>
      <c r="DJ24" s="328" t="s">
        <v>443</v>
      </c>
      <c r="DK24" s="432"/>
      <c r="DL24" s="328" t="s">
        <v>443</v>
      </c>
      <c r="DM24" s="329">
        <v>87.51</v>
      </c>
      <c r="DN24" s="329">
        <v>90.91</v>
      </c>
      <c r="DO24" s="328">
        <v>81.25</v>
      </c>
      <c r="DP24" s="328" t="s">
        <v>443</v>
      </c>
      <c r="DQ24" s="329">
        <v>88.89</v>
      </c>
      <c r="DR24" s="327">
        <v>53.33</v>
      </c>
      <c r="DS24" s="328">
        <v>84.62</v>
      </c>
      <c r="DT24" s="329">
        <v>100</v>
      </c>
      <c r="DU24" s="328" t="s">
        <v>443</v>
      </c>
      <c r="DV24" s="329">
        <v>100</v>
      </c>
      <c r="DW24" s="432"/>
      <c r="DX24" s="328" t="s">
        <v>443</v>
      </c>
      <c r="DY24" s="432"/>
      <c r="DZ24" s="328" t="s">
        <v>443</v>
      </c>
      <c r="EA24" s="328" t="s">
        <v>443</v>
      </c>
      <c r="EB24" s="328" t="s">
        <v>443</v>
      </c>
      <c r="EC24" s="432"/>
      <c r="ED24" s="328" t="s">
        <v>443</v>
      </c>
      <c r="EE24" s="328" t="s">
        <v>443</v>
      </c>
      <c r="EF24" s="432"/>
      <c r="EG24" s="332">
        <v>42.11</v>
      </c>
      <c r="EH24" s="328">
        <v>63.16</v>
      </c>
      <c r="EI24" s="432"/>
      <c r="EJ24" s="327">
        <v>50.83</v>
      </c>
      <c r="EK24" s="328">
        <v>73.290000000000006</v>
      </c>
      <c r="EL24" s="432"/>
      <c r="EM24" s="328">
        <v>64.489999999999995</v>
      </c>
      <c r="EN24" s="327">
        <v>57.14</v>
      </c>
      <c r="EO24" s="332">
        <v>20</v>
      </c>
      <c r="EP24" s="328">
        <v>81.95</v>
      </c>
      <c r="EQ24" s="332">
        <v>32.14</v>
      </c>
    </row>
    <row r="25" spans="1:147">
      <c r="A25" s="494"/>
      <c r="B25" s="325">
        <v>20</v>
      </c>
      <c r="C25" s="326" t="s">
        <v>24</v>
      </c>
      <c r="D25" s="377">
        <v>60.82</v>
      </c>
      <c r="E25" s="441">
        <v>66.89</v>
      </c>
      <c r="F25" s="442">
        <v>69.849999999999994</v>
      </c>
      <c r="G25" s="350">
        <v>-6.07</v>
      </c>
      <c r="H25" s="350">
        <v>-9.029999999999994</v>
      </c>
      <c r="I25" s="432"/>
      <c r="J25" s="328" t="s">
        <v>443</v>
      </c>
      <c r="K25" s="328">
        <v>78.790000000000006</v>
      </c>
      <c r="L25" s="328">
        <v>67.95</v>
      </c>
      <c r="M25" s="327">
        <v>57.11</v>
      </c>
      <c r="N25" s="328">
        <v>68.42</v>
      </c>
      <c r="O25" s="432"/>
      <c r="P25" s="328">
        <v>60.88</v>
      </c>
      <c r="Q25" s="328">
        <v>60.71</v>
      </c>
      <c r="R25" s="432"/>
      <c r="S25" s="327">
        <v>56</v>
      </c>
      <c r="T25" s="327">
        <v>49.69</v>
      </c>
      <c r="U25" s="328">
        <v>66.83</v>
      </c>
      <c r="V25" s="328">
        <v>65.08</v>
      </c>
      <c r="W25" s="328">
        <v>66.67</v>
      </c>
      <c r="X25" s="432"/>
      <c r="Y25" s="327">
        <v>59.74</v>
      </c>
      <c r="Z25" s="327">
        <v>57.97</v>
      </c>
      <c r="AA25" s="327">
        <v>54.87</v>
      </c>
      <c r="AB25" s="328">
        <v>63.93</v>
      </c>
      <c r="AC25" s="328">
        <v>75.64</v>
      </c>
      <c r="AD25" s="432"/>
      <c r="AE25" s="328">
        <v>60.66</v>
      </c>
      <c r="AF25" s="328">
        <v>65</v>
      </c>
      <c r="AG25" s="432"/>
      <c r="AH25" s="328">
        <v>80.75</v>
      </c>
      <c r="AI25" s="328">
        <v>63.81</v>
      </c>
      <c r="AJ25" s="327">
        <v>48.18</v>
      </c>
      <c r="AK25" s="332">
        <v>33.729999999999997</v>
      </c>
      <c r="AL25" s="432"/>
      <c r="AM25" s="332">
        <v>28.57</v>
      </c>
      <c r="AN25" s="327">
        <v>50</v>
      </c>
      <c r="AO25" s="332">
        <v>39.22</v>
      </c>
      <c r="AP25" s="328" t="s">
        <v>443</v>
      </c>
      <c r="AQ25" s="328" t="s">
        <v>443</v>
      </c>
      <c r="AR25" s="332">
        <v>42.51</v>
      </c>
      <c r="AS25" s="328" t="s">
        <v>443</v>
      </c>
      <c r="AT25" s="432"/>
      <c r="AU25" s="329">
        <v>85.71</v>
      </c>
      <c r="AV25" s="328">
        <v>69.23</v>
      </c>
      <c r="AW25" s="328">
        <v>80.489999999999995</v>
      </c>
      <c r="AX25" s="328" t="s">
        <v>443</v>
      </c>
      <c r="AY25" s="328" t="s">
        <v>443</v>
      </c>
      <c r="AZ25" s="329">
        <v>100</v>
      </c>
      <c r="BA25" s="332">
        <v>41.18</v>
      </c>
      <c r="BB25" s="432"/>
      <c r="BC25" s="328" t="s">
        <v>443</v>
      </c>
      <c r="BD25" s="328" t="s">
        <v>443</v>
      </c>
      <c r="BE25" s="328">
        <v>62.04</v>
      </c>
      <c r="BF25" s="328" t="s">
        <v>443</v>
      </c>
      <c r="BG25" s="328">
        <v>62.51</v>
      </c>
      <c r="BH25" s="328">
        <v>66.67</v>
      </c>
      <c r="BI25" s="327">
        <v>47.37</v>
      </c>
      <c r="BJ25" s="432"/>
      <c r="BK25" s="328" t="s">
        <v>443</v>
      </c>
      <c r="BL25" s="332">
        <v>33.33</v>
      </c>
      <c r="BM25" s="432"/>
      <c r="BN25" s="328" t="s">
        <v>443</v>
      </c>
      <c r="BO25" s="328" t="s">
        <v>443</v>
      </c>
      <c r="BP25" s="328" t="s">
        <v>443</v>
      </c>
      <c r="BQ25" s="328" t="s">
        <v>443</v>
      </c>
      <c r="BR25" s="432"/>
      <c r="BS25" s="328" t="s">
        <v>443</v>
      </c>
      <c r="BT25" s="328" t="s">
        <v>443</v>
      </c>
      <c r="BU25" s="332">
        <v>40.630000000000003</v>
      </c>
      <c r="BV25" s="332">
        <v>35.29</v>
      </c>
      <c r="BW25" s="432"/>
      <c r="BX25" s="328" t="s">
        <v>443</v>
      </c>
      <c r="BY25" s="328" t="s">
        <v>443</v>
      </c>
      <c r="BZ25" s="432"/>
      <c r="CA25" s="328" t="s">
        <v>443</v>
      </c>
      <c r="CB25" s="328" t="s">
        <v>443</v>
      </c>
      <c r="CC25" s="432"/>
      <c r="CD25" s="332">
        <v>44.44</v>
      </c>
      <c r="CE25" s="332">
        <v>38.46</v>
      </c>
      <c r="CF25" s="432"/>
      <c r="CG25" s="328" t="s">
        <v>443</v>
      </c>
      <c r="CH25" s="328" t="s">
        <v>443</v>
      </c>
      <c r="CI25" s="432"/>
      <c r="CJ25" s="328" t="s">
        <v>443</v>
      </c>
      <c r="CK25" s="328" t="s">
        <v>443</v>
      </c>
      <c r="CL25" s="328" t="s">
        <v>443</v>
      </c>
      <c r="CM25" s="329">
        <v>90.91</v>
      </c>
      <c r="CN25" s="432"/>
      <c r="CO25" s="329">
        <v>87.51</v>
      </c>
      <c r="CP25" s="328">
        <v>66.67</v>
      </c>
      <c r="CQ25" s="329">
        <v>90</v>
      </c>
      <c r="CR25" s="432"/>
      <c r="CS25" s="328">
        <v>71.430000000000007</v>
      </c>
      <c r="CT25" s="328" t="s">
        <v>443</v>
      </c>
      <c r="CU25" s="329">
        <v>100</v>
      </c>
      <c r="CV25" s="329">
        <v>92.86</v>
      </c>
      <c r="CW25" s="332">
        <v>33.33</v>
      </c>
      <c r="CX25" s="328" t="s">
        <v>443</v>
      </c>
      <c r="CY25" s="432"/>
      <c r="CZ25" s="328" t="s">
        <v>443</v>
      </c>
      <c r="DA25" s="432"/>
      <c r="DB25" s="328" t="s">
        <v>443</v>
      </c>
      <c r="DC25" s="432"/>
      <c r="DD25" s="329">
        <v>100</v>
      </c>
      <c r="DE25" s="432"/>
      <c r="DF25" s="332">
        <v>41.18</v>
      </c>
      <c r="DG25" s="432"/>
      <c r="DH25" s="328" t="s">
        <v>443</v>
      </c>
      <c r="DI25" s="432"/>
      <c r="DJ25" s="328" t="s">
        <v>443</v>
      </c>
      <c r="DK25" s="432"/>
      <c r="DL25" s="328" t="s">
        <v>443</v>
      </c>
      <c r="DM25" s="327">
        <v>57.14</v>
      </c>
      <c r="DN25" s="328">
        <v>63.64</v>
      </c>
      <c r="DO25" s="328">
        <v>62.51</v>
      </c>
      <c r="DP25" s="328" t="s">
        <v>443</v>
      </c>
      <c r="DQ25" s="328">
        <v>77.78</v>
      </c>
      <c r="DR25" s="332">
        <v>36.67</v>
      </c>
      <c r="DS25" s="328">
        <v>69.23</v>
      </c>
      <c r="DT25" s="329">
        <v>87.51</v>
      </c>
      <c r="DU25" s="328" t="s">
        <v>443</v>
      </c>
      <c r="DV25" s="329">
        <v>100</v>
      </c>
      <c r="DW25" s="432"/>
      <c r="DX25" s="328" t="s">
        <v>443</v>
      </c>
      <c r="DY25" s="432"/>
      <c r="DZ25" s="328" t="s">
        <v>443</v>
      </c>
      <c r="EA25" s="328" t="s">
        <v>443</v>
      </c>
      <c r="EB25" s="328" t="s">
        <v>443</v>
      </c>
      <c r="EC25" s="432"/>
      <c r="ED25" s="328" t="s">
        <v>443</v>
      </c>
      <c r="EE25" s="328" t="s">
        <v>443</v>
      </c>
      <c r="EF25" s="432"/>
      <c r="EG25" s="332">
        <v>42.11</v>
      </c>
      <c r="EH25" s="327">
        <v>52.63</v>
      </c>
      <c r="EI25" s="432"/>
      <c r="EJ25" s="332">
        <v>40.520000000000003</v>
      </c>
      <c r="EK25" s="328">
        <v>66.430000000000007</v>
      </c>
      <c r="EL25" s="432"/>
      <c r="EM25" s="328">
        <v>60.87</v>
      </c>
      <c r="EN25" s="327">
        <v>46.51</v>
      </c>
      <c r="EO25" s="332">
        <v>20</v>
      </c>
      <c r="EP25" s="328">
        <v>70.680000000000007</v>
      </c>
      <c r="EQ25" s="332">
        <v>33.93</v>
      </c>
    </row>
    <row r="26" spans="1:147">
      <c r="A26" s="494"/>
      <c r="B26" s="325">
        <v>21</v>
      </c>
      <c r="C26" s="326" t="s">
        <v>25</v>
      </c>
      <c r="D26" s="378">
        <v>95.04</v>
      </c>
      <c r="E26" s="443">
        <v>95.33</v>
      </c>
      <c r="F26" s="444">
        <v>87.06</v>
      </c>
      <c r="G26" s="350">
        <v>-0.28999999999999204</v>
      </c>
      <c r="H26" s="350">
        <v>7.980000000000004</v>
      </c>
      <c r="I26" s="432"/>
      <c r="J26" s="328" t="s">
        <v>443</v>
      </c>
      <c r="K26" s="329">
        <v>100</v>
      </c>
      <c r="L26" s="329">
        <v>97.47</v>
      </c>
      <c r="M26" s="329">
        <v>93.86</v>
      </c>
      <c r="N26" s="329">
        <v>100</v>
      </c>
      <c r="O26" s="432"/>
      <c r="P26" s="329">
        <v>94.49</v>
      </c>
      <c r="Q26" s="329">
        <v>95.98</v>
      </c>
      <c r="R26" s="432"/>
      <c r="S26" s="329">
        <v>96</v>
      </c>
      <c r="T26" s="329">
        <v>93.25</v>
      </c>
      <c r="U26" s="329">
        <v>95.65</v>
      </c>
      <c r="V26" s="329">
        <v>96.09</v>
      </c>
      <c r="W26" s="329">
        <v>95.24</v>
      </c>
      <c r="X26" s="432"/>
      <c r="Y26" s="329">
        <v>100</v>
      </c>
      <c r="Z26" s="329">
        <v>94.84</v>
      </c>
      <c r="AA26" s="329">
        <v>92.17</v>
      </c>
      <c r="AB26" s="329">
        <v>93.44</v>
      </c>
      <c r="AC26" s="329">
        <v>96.2</v>
      </c>
      <c r="AD26" s="432"/>
      <c r="AE26" s="329">
        <v>94.85</v>
      </c>
      <c r="AF26" s="329">
        <v>100</v>
      </c>
      <c r="AG26" s="432"/>
      <c r="AH26" s="329">
        <v>97.31</v>
      </c>
      <c r="AI26" s="329">
        <v>93.33</v>
      </c>
      <c r="AJ26" s="329">
        <v>94.12</v>
      </c>
      <c r="AK26" s="329">
        <v>96.39</v>
      </c>
      <c r="AL26" s="432"/>
      <c r="AM26" s="329">
        <v>100</v>
      </c>
      <c r="AN26" s="328">
        <v>83.33</v>
      </c>
      <c r="AO26" s="329">
        <v>92.59</v>
      </c>
      <c r="AP26" s="328" t="s">
        <v>443</v>
      </c>
      <c r="AQ26" s="328" t="s">
        <v>443</v>
      </c>
      <c r="AR26" s="328">
        <v>82.93</v>
      </c>
      <c r="AS26" s="328" t="s">
        <v>443</v>
      </c>
      <c r="AT26" s="432"/>
      <c r="AU26" s="329">
        <v>100</v>
      </c>
      <c r="AV26" s="329">
        <v>95.54</v>
      </c>
      <c r="AW26" s="329">
        <v>97.51</v>
      </c>
      <c r="AX26" s="328" t="s">
        <v>443</v>
      </c>
      <c r="AY26" s="328" t="s">
        <v>443</v>
      </c>
      <c r="AZ26" s="329">
        <v>100</v>
      </c>
      <c r="BA26" s="329">
        <v>94.12</v>
      </c>
      <c r="BB26" s="432"/>
      <c r="BC26" s="328" t="s">
        <v>443</v>
      </c>
      <c r="BD26" s="328" t="s">
        <v>443</v>
      </c>
      <c r="BE26" s="329">
        <v>100</v>
      </c>
      <c r="BF26" s="328" t="s">
        <v>443</v>
      </c>
      <c r="BG26" s="329">
        <v>100</v>
      </c>
      <c r="BH26" s="329">
        <v>100</v>
      </c>
      <c r="BI26" s="329">
        <v>86.49</v>
      </c>
      <c r="BJ26" s="432"/>
      <c r="BK26" s="328" t="s">
        <v>443</v>
      </c>
      <c r="BL26" s="329">
        <v>100</v>
      </c>
      <c r="BM26" s="432"/>
      <c r="BN26" s="328" t="s">
        <v>443</v>
      </c>
      <c r="BO26" s="328" t="s">
        <v>443</v>
      </c>
      <c r="BP26" s="328" t="s">
        <v>443</v>
      </c>
      <c r="BQ26" s="328" t="s">
        <v>443</v>
      </c>
      <c r="BR26" s="432"/>
      <c r="BS26" s="328" t="s">
        <v>443</v>
      </c>
      <c r="BT26" s="328" t="s">
        <v>443</v>
      </c>
      <c r="BU26" s="329">
        <v>94.29</v>
      </c>
      <c r="BV26" s="329">
        <v>88.24</v>
      </c>
      <c r="BW26" s="432"/>
      <c r="BX26" s="328" t="s">
        <v>443</v>
      </c>
      <c r="BY26" s="328" t="s">
        <v>443</v>
      </c>
      <c r="BZ26" s="432"/>
      <c r="CA26" s="328" t="s">
        <v>443</v>
      </c>
      <c r="CB26" s="328" t="s">
        <v>443</v>
      </c>
      <c r="CC26" s="432"/>
      <c r="CD26" s="328">
        <v>82.14</v>
      </c>
      <c r="CE26" s="328">
        <v>84.62</v>
      </c>
      <c r="CF26" s="432"/>
      <c r="CG26" s="328" t="s">
        <v>443</v>
      </c>
      <c r="CH26" s="328" t="s">
        <v>443</v>
      </c>
      <c r="CI26" s="432"/>
      <c r="CJ26" s="328" t="s">
        <v>443</v>
      </c>
      <c r="CK26" s="328" t="s">
        <v>443</v>
      </c>
      <c r="CL26" s="328" t="s">
        <v>443</v>
      </c>
      <c r="CM26" s="329">
        <v>100</v>
      </c>
      <c r="CN26" s="432"/>
      <c r="CO26" s="329">
        <v>100</v>
      </c>
      <c r="CP26" s="329">
        <v>94.96</v>
      </c>
      <c r="CQ26" s="329">
        <v>100</v>
      </c>
      <c r="CR26" s="432"/>
      <c r="CS26" s="329">
        <v>100</v>
      </c>
      <c r="CT26" s="328" t="s">
        <v>443</v>
      </c>
      <c r="CU26" s="329">
        <v>100</v>
      </c>
      <c r="CV26" s="329">
        <v>92.31</v>
      </c>
      <c r="CW26" s="329">
        <v>100</v>
      </c>
      <c r="CX26" s="328" t="s">
        <v>443</v>
      </c>
      <c r="CY26" s="432"/>
      <c r="CZ26" s="328" t="s">
        <v>443</v>
      </c>
      <c r="DA26" s="432"/>
      <c r="DB26" s="328" t="s">
        <v>443</v>
      </c>
      <c r="DC26" s="432"/>
      <c r="DD26" s="329">
        <v>100</v>
      </c>
      <c r="DE26" s="432"/>
      <c r="DF26" s="329">
        <v>94.12</v>
      </c>
      <c r="DG26" s="432"/>
      <c r="DH26" s="328" t="s">
        <v>443</v>
      </c>
      <c r="DI26" s="432"/>
      <c r="DJ26" s="328" t="s">
        <v>443</v>
      </c>
      <c r="DK26" s="432"/>
      <c r="DL26" s="328" t="s">
        <v>443</v>
      </c>
      <c r="DM26" s="329">
        <v>100</v>
      </c>
      <c r="DN26" s="329">
        <v>100</v>
      </c>
      <c r="DO26" s="329">
        <v>100</v>
      </c>
      <c r="DP26" s="328" t="s">
        <v>443</v>
      </c>
      <c r="DQ26" s="329">
        <v>100</v>
      </c>
      <c r="DR26" s="329">
        <v>100</v>
      </c>
      <c r="DS26" s="329">
        <v>100</v>
      </c>
      <c r="DT26" s="329">
        <v>100</v>
      </c>
      <c r="DU26" s="328" t="s">
        <v>443</v>
      </c>
      <c r="DV26" s="329">
        <v>100</v>
      </c>
      <c r="DW26" s="432"/>
      <c r="DX26" s="328" t="s">
        <v>443</v>
      </c>
      <c r="DY26" s="432"/>
      <c r="DZ26" s="328" t="s">
        <v>443</v>
      </c>
      <c r="EA26" s="328" t="s">
        <v>443</v>
      </c>
      <c r="EB26" s="328" t="s">
        <v>443</v>
      </c>
      <c r="EC26" s="432"/>
      <c r="ED26" s="328" t="s">
        <v>443</v>
      </c>
      <c r="EE26" s="328" t="s">
        <v>443</v>
      </c>
      <c r="EF26" s="432"/>
      <c r="EG26" s="329">
        <v>94.44</v>
      </c>
      <c r="EH26" s="328">
        <v>78.95</v>
      </c>
      <c r="EI26" s="432"/>
      <c r="EJ26" s="329">
        <v>89.26</v>
      </c>
      <c r="EK26" s="329">
        <v>96.69</v>
      </c>
      <c r="EL26" s="432"/>
      <c r="EM26" s="329">
        <v>97.1</v>
      </c>
      <c r="EN26" s="329">
        <v>97.62</v>
      </c>
      <c r="EO26" s="329">
        <v>90</v>
      </c>
      <c r="EP26" s="329">
        <v>96.6</v>
      </c>
      <c r="EQ26" s="329">
        <v>87.51</v>
      </c>
    </row>
    <row r="27" spans="1:147">
      <c r="A27" s="494"/>
      <c r="B27" s="325">
        <v>22</v>
      </c>
      <c r="C27" s="326" t="s">
        <v>26</v>
      </c>
      <c r="D27" s="380">
        <v>58.21</v>
      </c>
      <c r="E27" s="441">
        <v>67.39</v>
      </c>
      <c r="F27" s="442">
        <v>75.239999999999995</v>
      </c>
      <c r="G27" s="350">
        <v>-9.18</v>
      </c>
      <c r="H27" s="350">
        <v>-17.029999999999994</v>
      </c>
      <c r="I27" s="432"/>
      <c r="J27" s="328" t="s">
        <v>443</v>
      </c>
      <c r="K27" s="328">
        <v>69.7</v>
      </c>
      <c r="L27" s="328">
        <v>71.790000000000006</v>
      </c>
      <c r="M27" s="327">
        <v>53.87</v>
      </c>
      <c r="N27" s="328">
        <v>68.42</v>
      </c>
      <c r="O27" s="432"/>
      <c r="P27" s="327">
        <v>56.18</v>
      </c>
      <c r="Q27" s="328">
        <v>61.73</v>
      </c>
      <c r="R27" s="432"/>
      <c r="S27" s="328">
        <v>72</v>
      </c>
      <c r="T27" s="327">
        <v>50.31</v>
      </c>
      <c r="U27" s="328">
        <v>61.46</v>
      </c>
      <c r="V27" s="327">
        <v>59.52</v>
      </c>
      <c r="W27" s="328">
        <v>61.9</v>
      </c>
      <c r="X27" s="432"/>
      <c r="Y27" s="327">
        <v>57.14</v>
      </c>
      <c r="Z27" s="327">
        <v>55.07</v>
      </c>
      <c r="AA27" s="327">
        <v>57.52</v>
      </c>
      <c r="AB27" s="327">
        <v>54.1</v>
      </c>
      <c r="AC27" s="328">
        <v>71.790000000000006</v>
      </c>
      <c r="AD27" s="432"/>
      <c r="AE27" s="327">
        <v>57.95</v>
      </c>
      <c r="AF27" s="328">
        <v>65</v>
      </c>
      <c r="AG27" s="432"/>
      <c r="AH27" s="328">
        <v>67.38</v>
      </c>
      <c r="AI27" s="328">
        <v>68.569999999999993</v>
      </c>
      <c r="AJ27" s="327">
        <v>51.82</v>
      </c>
      <c r="AK27" s="332">
        <v>36.14</v>
      </c>
      <c r="AL27" s="432"/>
      <c r="AM27" s="332">
        <v>42.86</v>
      </c>
      <c r="AN27" s="328">
        <v>66.67</v>
      </c>
      <c r="AO27" s="327">
        <v>47.06</v>
      </c>
      <c r="AP27" s="328" t="s">
        <v>443</v>
      </c>
      <c r="AQ27" s="328" t="s">
        <v>443</v>
      </c>
      <c r="AR27" s="332">
        <v>42.51</v>
      </c>
      <c r="AS27" s="328" t="s">
        <v>443</v>
      </c>
      <c r="AT27" s="432"/>
      <c r="AU27" s="328">
        <v>71.430000000000007</v>
      </c>
      <c r="AV27" s="328">
        <v>69.23</v>
      </c>
      <c r="AW27" s="328">
        <v>70.73</v>
      </c>
      <c r="AX27" s="328" t="s">
        <v>443</v>
      </c>
      <c r="AY27" s="328" t="s">
        <v>443</v>
      </c>
      <c r="AZ27" s="327">
        <v>57.14</v>
      </c>
      <c r="BA27" s="327">
        <v>47.06</v>
      </c>
      <c r="BB27" s="432"/>
      <c r="BC27" s="328" t="s">
        <v>443</v>
      </c>
      <c r="BD27" s="328" t="s">
        <v>443</v>
      </c>
      <c r="BE27" s="332">
        <v>44.44</v>
      </c>
      <c r="BF27" s="328" t="s">
        <v>443</v>
      </c>
      <c r="BG27" s="329">
        <v>87.51</v>
      </c>
      <c r="BH27" s="328">
        <v>83.33</v>
      </c>
      <c r="BI27" s="327">
        <v>47.37</v>
      </c>
      <c r="BJ27" s="432"/>
      <c r="BK27" s="328" t="s">
        <v>443</v>
      </c>
      <c r="BL27" s="332">
        <v>33.33</v>
      </c>
      <c r="BM27" s="432"/>
      <c r="BN27" s="328" t="s">
        <v>443</v>
      </c>
      <c r="BO27" s="328" t="s">
        <v>443</v>
      </c>
      <c r="BP27" s="328" t="s">
        <v>443</v>
      </c>
      <c r="BQ27" s="328" t="s">
        <v>443</v>
      </c>
      <c r="BR27" s="432"/>
      <c r="BS27" s="328" t="s">
        <v>443</v>
      </c>
      <c r="BT27" s="328" t="s">
        <v>443</v>
      </c>
      <c r="BU27" s="327">
        <v>56.25</v>
      </c>
      <c r="BV27" s="332">
        <v>29.41</v>
      </c>
      <c r="BW27" s="432"/>
      <c r="BX27" s="328" t="s">
        <v>443</v>
      </c>
      <c r="BY27" s="328" t="s">
        <v>443</v>
      </c>
      <c r="BZ27" s="432"/>
      <c r="CA27" s="328" t="s">
        <v>443</v>
      </c>
      <c r="CB27" s="328" t="s">
        <v>443</v>
      </c>
      <c r="CC27" s="432"/>
      <c r="CD27" s="332">
        <v>44.44</v>
      </c>
      <c r="CE27" s="332">
        <v>38.46</v>
      </c>
      <c r="CF27" s="432"/>
      <c r="CG27" s="328" t="s">
        <v>443</v>
      </c>
      <c r="CH27" s="328" t="s">
        <v>443</v>
      </c>
      <c r="CI27" s="432"/>
      <c r="CJ27" s="328" t="s">
        <v>443</v>
      </c>
      <c r="CK27" s="328" t="s">
        <v>443</v>
      </c>
      <c r="CL27" s="328" t="s">
        <v>443</v>
      </c>
      <c r="CM27" s="328">
        <v>63.64</v>
      </c>
      <c r="CN27" s="432"/>
      <c r="CO27" s="329">
        <v>87.51</v>
      </c>
      <c r="CP27" s="328">
        <v>69.569999999999993</v>
      </c>
      <c r="CQ27" s="327">
        <v>50</v>
      </c>
      <c r="CR27" s="432"/>
      <c r="CS27" s="328">
        <v>71.430000000000007</v>
      </c>
      <c r="CT27" s="328" t="s">
        <v>443</v>
      </c>
      <c r="CU27" s="328">
        <v>71.430000000000007</v>
      </c>
      <c r="CV27" s="328">
        <v>71.430000000000007</v>
      </c>
      <c r="CW27" s="328">
        <v>66.67</v>
      </c>
      <c r="CX27" s="328" t="s">
        <v>443</v>
      </c>
      <c r="CY27" s="432"/>
      <c r="CZ27" s="328" t="s">
        <v>443</v>
      </c>
      <c r="DA27" s="432"/>
      <c r="DB27" s="328" t="s">
        <v>443</v>
      </c>
      <c r="DC27" s="432"/>
      <c r="DD27" s="327">
        <v>57.14</v>
      </c>
      <c r="DE27" s="432"/>
      <c r="DF27" s="327">
        <v>47.06</v>
      </c>
      <c r="DG27" s="432"/>
      <c r="DH27" s="328" t="s">
        <v>443</v>
      </c>
      <c r="DI27" s="432"/>
      <c r="DJ27" s="328" t="s">
        <v>443</v>
      </c>
      <c r="DK27" s="432"/>
      <c r="DL27" s="328" t="s">
        <v>443</v>
      </c>
      <c r="DM27" s="332">
        <v>28.57</v>
      </c>
      <c r="DN27" s="327">
        <v>45.45</v>
      </c>
      <c r="DO27" s="332">
        <v>31.25</v>
      </c>
      <c r="DP27" s="328" t="s">
        <v>443</v>
      </c>
      <c r="DQ27" s="328">
        <v>66.67</v>
      </c>
      <c r="DR27" s="332">
        <v>26.67</v>
      </c>
      <c r="DS27" s="327">
        <v>53.85</v>
      </c>
      <c r="DT27" s="327">
        <v>50</v>
      </c>
      <c r="DU27" s="328" t="s">
        <v>443</v>
      </c>
      <c r="DV27" s="329">
        <v>85.71</v>
      </c>
      <c r="DW27" s="432"/>
      <c r="DX27" s="328" t="s">
        <v>443</v>
      </c>
      <c r="DY27" s="432"/>
      <c r="DZ27" s="328" t="s">
        <v>443</v>
      </c>
      <c r="EA27" s="328" t="s">
        <v>443</v>
      </c>
      <c r="EB27" s="328" t="s">
        <v>443</v>
      </c>
      <c r="EC27" s="432"/>
      <c r="ED27" s="328" t="s">
        <v>443</v>
      </c>
      <c r="EE27" s="328" t="s">
        <v>443</v>
      </c>
      <c r="EF27" s="432"/>
      <c r="EG27" s="327">
        <v>47.37</v>
      </c>
      <c r="EH27" s="327">
        <v>47.37</v>
      </c>
      <c r="EI27" s="432"/>
      <c r="EJ27" s="327">
        <v>46.55</v>
      </c>
      <c r="EK27" s="328">
        <v>61.43</v>
      </c>
      <c r="EL27" s="432"/>
      <c r="EM27" s="328">
        <v>66.67</v>
      </c>
      <c r="EN27" s="332">
        <v>39.53</v>
      </c>
      <c r="EO27" s="332">
        <v>30</v>
      </c>
      <c r="EP27" s="328">
        <v>65.790000000000006</v>
      </c>
      <c r="EQ27" s="332">
        <v>26.79</v>
      </c>
    </row>
    <row r="28" spans="1:147">
      <c r="A28" s="494"/>
      <c r="B28" s="325">
        <v>23</v>
      </c>
      <c r="C28" s="326" t="s">
        <v>27</v>
      </c>
      <c r="D28" s="378">
        <v>90.24</v>
      </c>
      <c r="E28" s="443">
        <v>91.14</v>
      </c>
      <c r="F28" s="442">
        <v>79.72</v>
      </c>
      <c r="G28" s="350">
        <v>-0.90000000000000568</v>
      </c>
      <c r="H28" s="350">
        <v>10.519999999999996</v>
      </c>
      <c r="I28" s="432"/>
      <c r="J28" s="328" t="s">
        <v>443</v>
      </c>
      <c r="K28" s="329">
        <v>93.94</v>
      </c>
      <c r="L28" s="329">
        <v>96.15</v>
      </c>
      <c r="M28" s="329">
        <v>88.19</v>
      </c>
      <c r="N28" s="329">
        <v>100</v>
      </c>
      <c r="O28" s="432"/>
      <c r="P28" s="329">
        <v>89.09</v>
      </c>
      <c r="Q28" s="329">
        <v>92.27</v>
      </c>
      <c r="R28" s="432"/>
      <c r="S28" s="329">
        <v>96</v>
      </c>
      <c r="T28" s="328">
        <v>85.44</v>
      </c>
      <c r="U28" s="329">
        <v>94.09</v>
      </c>
      <c r="V28" s="329">
        <v>89.68</v>
      </c>
      <c r="W28" s="329">
        <v>85.71</v>
      </c>
      <c r="X28" s="432"/>
      <c r="Y28" s="329">
        <v>97.33</v>
      </c>
      <c r="Z28" s="329">
        <v>88.83</v>
      </c>
      <c r="AA28" s="329">
        <v>85.84</v>
      </c>
      <c r="AB28" s="329">
        <v>88.52</v>
      </c>
      <c r="AC28" s="329">
        <v>94.87</v>
      </c>
      <c r="AD28" s="432"/>
      <c r="AE28" s="329">
        <v>89.86</v>
      </c>
      <c r="AF28" s="329">
        <v>100</v>
      </c>
      <c r="AG28" s="432"/>
      <c r="AH28" s="329">
        <v>94.65</v>
      </c>
      <c r="AI28" s="329">
        <v>93.27</v>
      </c>
      <c r="AJ28" s="329">
        <v>86.76</v>
      </c>
      <c r="AK28" s="329">
        <v>85.54</v>
      </c>
      <c r="AL28" s="432"/>
      <c r="AM28" s="328">
        <v>71.430000000000007</v>
      </c>
      <c r="AN28" s="328">
        <v>83.33</v>
      </c>
      <c r="AO28" s="328">
        <v>82</v>
      </c>
      <c r="AP28" s="328" t="s">
        <v>443</v>
      </c>
      <c r="AQ28" s="328" t="s">
        <v>443</v>
      </c>
      <c r="AR28" s="328">
        <v>70</v>
      </c>
      <c r="AS28" s="328" t="s">
        <v>443</v>
      </c>
      <c r="AT28" s="432"/>
      <c r="AU28" s="329">
        <v>95.24</v>
      </c>
      <c r="AV28" s="329">
        <v>96.15</v>
      </c>
      <c r="AW28" s="329">
        <v>92.68</v>
      </c>
      <c r="AX28" s="328" t="s">
        <v>443</v>
      </c>
      <c r="AY28" s="328" t="s">
        <v>443</v>
      </c>
      <c r="AZ28" s="329">
        <v>100</v>
      </c>
      <c r="BA28" s="328">
        <v>76.47</v>
      </c>
      <c r="BB28" s="432"/>
      <c r="BC28" s="328" t="s">
        <v>443</v>
      </c>
      <c r="BD28" s="328" t="s">
        <v>443</v>
      </c>
      <c r="BE28" s="329">
        <v>96.23</v>
      </c>
      <c r="BF28" s="328" t="s">
        <v>443</v>
      </c>
      <c r="BG28" s="329">
        <v>87.51</v>
      </c>
      <c r="BH28" s="329">
        <v>100</v>
      </c>
      <c r="BI28" s="328">
        <v>84.21</v>
      </c>
      <c r="BJ28" s="432"/>
      <c r="BK28" s="328" t="s">
        <v>443</v>
      </c>
      <c r="BL28" s="328">
        <v>66.67</v>
      </c>
      <c r="BM28" s="432"/>
      <c r="BN28" s="328" t="s">
        <v>443</v>
      </c>
      <c r="BO28" s="328" t="s">
        <v>443</v>
      </c>
      <c r="BP28" s="328" t="s">
        <v>443</v>
      </c>
      <c r="BQ28" s="328" t="s">
        <v>443</v>
      </c>
      <c r="BR28" s="432"/>
      <c r="BS28" s="328" t="s">
        <v>443</v>
      </c>
      <c r="BT28" s="328" t="s">
        <v>443</v>
      </c>
      <c r="BU28" s="328">
        <v>83.87</v>
      </c>
      <c r="BV28" s="328">
        <v>76.47</v>
      </c>
      <c r="BW28" s="432"/>
      <c r="BX28" s="328" t="s">
        <v>443</v>
      </c>
      <c r="BY28" s="328" t="s">
        <v>443</v>
      </c>
      <c r="BZ28" s="432"/>
      <c r="CA28" s="328" t="s">
        <v>443</v>
      </c>
      <c r="CB28" s="328" t="s">
        <v>443</v>
      </c>
      <c r="CC28" s="432"/>
      <c r="CD28" s="327">
        <v>59.26</v>
      </c>
      <c r="CE28" s="329">
        <v>92.31</v>
      </c>
      <c r="CF28" s="432"/>
      <c r="CG28" s="328" t="s">
        <v>443</v>
      </c>
      <c r="CH28" s="328" t="s">
        <v>443</v>
      </c>
      <c r="CI28" s="432"/>
      <c r="CJ28" s="328" t="s">
        <v>443</v>
      </c>
      <c r="CK28" s="328" t="s">
        <v>443</v>
      </c>
      <c r="CL28" s="328" t="s">
        <v>443</v>
      </c>
      <c r="CM28" s="329">
        <v>90.91</v>
      </c>
      <c r="CN28" s="432"/>
      <c r="CO28" s="329">
        <v>100</v>
      </c>
      <c r="CP28" s="329">
        <v>95.65</v>
      </c>
      <c r="CQ28" s="329">
        <v>100</v>
      </c>
      <c r="CR28" s="432"/>
      <c r="CS28" s="329">
        <v>85.71</v>
      </c>
      <c r="CT28" s="328" t="s">
        <v>443</v>
      </c>
      <c r="CU28" s="329">
        <v>100</v>
      </c>
      <c r="CV28" s="329">
        <v>92.86</v>
      </c>
      <c r="CW28" s="328">
        <v>83.33</v>
      </c>
      <c r="CX28" s="328" t="s">
        <v>443</v>
      </c>
      <c r="CY28" s="432"/>
      <c r="CZ28" s="328" t="s">
        <v>443</v>
      </c>
      <c r="DA28" s="432"/>
      <c r="DB28" s="328" t="s">
        <v>443</v>
      </c>
      <c r="DC28" s="432"/>
      <c r="DD28" s="329">
        <v>100</v>
      </c>
      <c r="DE28" s="432"/>
      <c r="DF28" s="328">
        <v>76.47</v>
      </c>
      <c r="DG28" s="432"/>
      <c r="DH28" s="328" t="s">
        <v>443</v>
      </c>
      <c r="DI28" s="432"/>
      <c r="DJ28" s="328" t="s">
        <v>443</v>
      </c>
      <c r="DK28" s="432"/>
      <c r="DL28" s="328" t="s">
        <v>443</v>
      </c>
      <c r="DM28" s="329">
        <v>100</v>
      </c>
      <c r="DN28" s="329">
        <v>90.91</v>
      </c>
      <c r="DO28" s="329">
        <v>93.75</v>
      </c>
      <c r="DP28" s="328" t="s">
        <v>443</v>
      </c>
      <c r="DQ28" s="329">
        <v>100</v>
      </c>
      <c r="DR28" s="329">
        <v>100</v>
      </c>
      <c r="DS28" s="329">
        <v>91.67</v>
      </c>
      <c r="DT28" s="329">
        <v>87.51</v>
      </c>
      <c r="DU28" s="328" t="s">
        <v>443</v>
      </c>
      <c r="DV28" s="329">
        <v>100</v>
      </c>
      <c r="DW28" s="432"/>
      <c r="DX28" s="328" t="s">
        <v>443</v>
      </c>
      <c r="DY28" s="432"/>
      <c r="DZ28" s="328" t="s">
        <v>443</v>
      </c>
      <c r="EA28" s="328" t="s">
        <v>443</v>
      </c>
      <c r="EB28" s="328" t="s">
        <v>443</v>
      </c>
      <c r="EC28" s="432"/>
      <c r="ED28" s="328" t="s">
        <v>443</v>
      </c>
      <c r="EE28" s="328" t="s">
        <v>443</v>
      </c>
      <c r="EF28" s="432"/>
      <c r="EG28" s="329">
        <v>89.47</v>
      </c>
      <c r="EH28" s="328">
        <v>78.95</v>
      </c>
      <c r="EI28" s="432"/>
      <c r="EJ28" s="328">
        <v>76.52</v>
      </c>
      <c r="EK28" s="329">
        <v>94.02</v>
      </c>
      <c r="EL28" s="432"/>
      <c r="EM28" s="329">
        <v>89.78</v>
      </c>
      <c r="EN28" s="329">
        <v>88.37</v>
      </c>
      <c r="EO28" s="328">
        <v>70</v>
      </c>
      <c r="EP28" s="329">
        <v>95.85</v>
      </c>
      <c r="EQ28" s="328">
        <v>76.790000000000006</v>
      </c>
    </row>
    <row r="29" spans="1:147">
      <c r="A29" s="494"/>
      <c r="B29" s="325">
        <v>24</v>
      </c>
      <c r="C29" s="326" t="s">
        <v>28</v>
      </c>
      <c r="D29" s="377">
        <v>83.52</v>
      </c>
      <c r="E29" s="441">
        <v>84.92</v>
      </c>
      <c r="F29" s="442">
        <v>84.38</v>
      </c>
      <c r="G29" s="350">
        <v>-1.4000000000000057</v>
      </c>
      <c r="H29" s="350">
        <v>-0.85999999999999943</v>
      </c>
      <c r="I29" s="432"/>
      <c r="J29" s="328" t="s">
        <v>443</v>
      </c>
      <c r="K29" s="328">
        <v>84.85</v>
      </c>
      <c r="L29" s="329">
        <v>87.18</v>
      </c>
      <c r="M29" s="328">
        <v>82.21</v>
      </c>
      <c r="N29" s="329">
        <v>89.47</v>
      </c>
      <c r="O29" s="432"/>
      <c r="P29" s="328">
        <v>83.14</v>
      </c>
      <c r="Q29" s="328">
        <v>84.18</v>
      </c>
      <c r="R29" s="432"/>
      <c r="S29" s="329">
        <v>92</v>
      </c>
      <c r="T29" s="328">
        <v>79.25</v>
      </c>
      <c r="U29" s="329">
        <v>85.71</v>
      </c>
      <c r="V29" s="328">
        <v>81.75</v>
      </c>
      <c r="W29" s="329">
        <v>95.24</v>
      </c>
      <c r="X29" s="432"/>
      <c r="Y29" s="328">
        <v>78.95</v>
      </c>
      <c r="Z29" s="328">
        <v>83.01</v>
      </c>
      <c r="AA29" s="328">
        <v>83.19</v>
      </c>
      <c r="AB29" s="328">
        <v>85.25</v>
      </c>
      <c r="AC29" s="329">
        <v>88.46</v>
      </c>
      <c r="AD29" s="432"/>
      <c r="AE29" s="328">
        <v>83.27</v>
      </c>
      <c r="AF29" s="329">
        <v>90</v>
      </c>
      <c r="AG29" s="432"/>
      <c r="AH29" s="329">
        <v>93.05</v>
      </c>
      <c r="AI29" s="328">
        <v>84.76</v>
      </c>
      <c r="AJ29" s="328">
        <v>78.83</v>
      </c>
      <c r="AK29" s="328">
        <v>69.88</v>
      </c>
      <c r="AL29" s="432"/>
      <c r="AM29" s="329">
        <v>85.71</v>
      </c>
      <c r="AN29" s="328">
        <v>83.33</v>
      </c>
      <c r="AO29" s="328">
        <v>72.55</v>
      </c>
      <c r="AP29" s="328" t="s">
        <v>443</v>
      </c>
      <c r="AQ29" s="328" t="s">
        <v>443</v>
      </c>
      <c r="AR29" s="328">
        <v>70</v>
      </c>
      <c r="AS29" s="328" t="s">
        <v>443</v>
      </c>
      <c r="AT29" s="432"/>
      <c r="AU29" s="329">
        <v>95.24</v>
      </c>
      <c r="AV29" s="329">
        <v>86.54</v>
      </c>
      <c r="AW29" s="329">
        <v>87.8</v>
      </c>
      <c r="AX29" s="328" t="s">
        <v>443</v>
      </c>
      <c r="AY29" s="328" t="s">
        <v>443</v>
      </c>
      <c r="AZ29" s="329">
        <v>100</v>
      </c>
      <c r="BA29" s="329">
        <v>88.24</v>
      </c>
      <c r="BB29" s="432"/>
      <c r="BC29" s="328" t="s">
        <v>443</v>
      </c>
      <c r="BD29" s="328" t="s">
        <v>443</v>
      </c>
      <c r="BE29" s="328">
        <v>82.08</v>
      </c>
      <c r="BF29" s="328" t="s">
        <v>443</v>
      </c>
      <c r="BG29" s="329">
        <v>100</v>
      </c>
      <c r="BH29" s="329">
        <v>100</v>
      </c>
      <c r="BI29" s="328">
        <v>81.58</v>
      </c>
      <c r="BJ29" s="432"/>
      <c r="BK29" s="328" t="s">
        <v>443</v>
      </c>
      <c r="BL29" s="328">
        <v>83.33</v>
      </c>
      <c r="BM29" s="432"/>
      <c r="BN29" s="328" t="s">
        <v>443</v>
      </c>
      <c r="BO29" s="328" t="s">
        <v>443</v>
      </c>
      <c r="BP29" s="328" t="s">
        <v>443</v>
      </c>
      <c r="BQ29" s="328" t="s">
        <v>443</v>
      </c>
      <c r="BR29" s="432"/>
      <c r="BS29" s="328" t="s">
        <v>443</v>
      </c>
      <c r="BT29" s="328" t="s">
        <v>443</v>
      </c>
      <c r="BU29" s="328">
        <v>75</v>
      </c>
      <c r="BV29" s="328">
        <v>64.709999999999994</v>
      </c>
      <c r="BW29" s="432"/>
      <c r="BX29" s="328" t="s">
        <v>443</v>
      </c>
      <c r="BY29" s="328" t="s">
        <v>443</v>
      </c>
      <c r="BZ29" s="432"/>
      <c r="CA29" s="328" t="s">
        <v>443</v>
      </c>
      <c r="CB29" s="328" t="s">
        <v>443</v>
      </c>
      <c r="CC29" s="432"/>
      <c r="CD29" s="328">
        <v>66.67</v>
      </c>
      <c r="CE29" s="328">
        <v>76.92</v>
      </c>
      <c r="CF29" s="432"/>
      <c r="CG29" s="328" t="s">
        <v>443</v>
      </c>
      <c r="CH29" s="328" t="s">
        <v>443</v>
      </c>
      <c r="CI29" s="432"/>
      <c r="CJ29" s="328" t="s">
        <v>443</v>
      </c>
      <c r="CK29" s="328" t="s">
        <v>443</v>
      </c>
      <c r="CL29" s="328" t="s">
        <v>443</v>
      </c>
      <c r="CM29" s="329">
        <v>90.91</v>
      </c>
      <c r="CN29" s="432"/>
      <c r="CO29" s="329">
        <v>100</v>
      </c>
      <c r="CP29" s="329">
        <v>85.51</v>
      </c>
      <c r="CQ29" s="329">
        <v>90</v>
      </c>
      <c r="CR29" s="432"/>
      <c r="CS29" s="329">
        <v>85.71</v>
      </c>
      <c r="CT29" s="328" t="s">
        <v>443</v>
      </c>
      <c r="CU29" s="329">
        <v>100</v>
      </c>
      <c r="CV29" s="329">
        <v>85.71</v>
      </c>
      <c r="CW29" s="328">
        <v>83.33</v>
      </c>
      <c r="CX29" s="328" t="s">
        <v>443</v>
      </c>
      <c r="CY29" s="432"/>
      <c r="CZ29" s="328" t="s">
        <v>443</v>
      </c>
      <c r="DA29" s="432"/>
      <c r="DB29" s="328" t="s">
        <v>443</v>
      </c>
      <c r="DC29" s="432"/>
      <c r="DD29" s="329">
        <v>100</v>
      </c>
      <c r="DE29" s="432"/>
      <c r="DF29" s="329">
        <v>88.24</v>
      </c>
      <c r="DG29" s="432"/>
      <c r="DH29" s="328" t="s">
        <v>443</v>
      </c>
      <c r="DI29" s="432"/>
      <c r="DJ29" s="328" t="s">
        <v>443</v>
      </c>
      <c r="DK29" s="432"/>
      <c r="DL29" s="328" t="s">
        <v>443</v>
      </c>
      <c r="DM29" s="328">
        <v>66.67</v>
      </c>
      <c r="DN29" s="329">
        <v>90.91</v>
      </c>
      <c r="DO29" s="329">
        <v>87.51</v>
      </c>
      <c r="DP29" s="328" t="s">
        <v>443</v>
      </c>
      <c r="DQ29" s="329">
        <v>100</v>
      </c>
      <c r="DR29" s="328">
        <v>65.52</v>
      </c>
      <c r="DS29" s="329">
        <v>92.31</v>
      </c>
      <c r="DT29" s="329">
        <v>100</v>
      </c>
      <c r="DU29" s="328" t="s">
        <v>443</v>
      </c>
      <c r="DV29" s="329">
        <v>85.71</v>
      </c>
      <c r="DW29" s="432"/>
      <c r="DX29" s="328" t="s">
        <v>443</v>
      </c>
      <c r="DY29" s="432"/>
      <c r="DZ29" s="328" t="s">
        <v>443</v>
      </c>
      <c r="EA29" s="328" t="s">
        <v>443</v>
      </c>
      <c r="EB29" s="328" t="s">
        <v>443</v>
      </c>
      <c r="EC29" s="432"/>
      <c r="ED29" s="328" t="s">
        <v>443</v>
      </c>
      <c r="EE29" s="328" t="s">
        <v>443</v>
      </c>
      <c r="EF29" s="432"/>
      <c r="EG29" s="328">
        <v>78.95</v>
      </c>
      <c r="EH29" s="328">
        <v>84.21</v>
      </c>
      <c r="EI29" s="432"/>
      <c r="EJ29" s="328">
        <v>73.28</v>
      </c>
      <c r="EK29" s="329">
        <v>86.36</v>
      </c>
      <c r="EL29" s="432"/>
      <c r="EM29" s="329">
        <v>92.03</v>
      </c>
      <c r="EN29" s="328">
        <v>74.42</v>
      </c>
      <c r="EO29" s="328">
        <v>70</v>
      </c>
      <c r="EP29" s="329">
        <v>87.97</v>
      </c>
      <c r="EQ29" s="327">
        <v>55.36</v>
      </c>
    </row>
    <row r="30" spans="1:147">
      <c r="A30" s="494"/>
      <c r="B30" s="325">
        <v>25</v>
      </c>
      <c r="C30" s="326" t="s">
        <v>29</v>
      </c>
      <c r="D30" s="380">
        <v>56.82</v>
      </c>
      <c r="E30" s="448">
        <v>58.36</v>
      </c>
      <c r="F30" s="442">
        <v>71.58</v>
      </c>
      <c r="G30" s="350">
        <v>-1.5399999999999991</v>
      </c>
      <c r="H30" s="350">
        <v>-14.759999999999998</v>
      </c>
      <c r="I30" s="432"/>
      <c r="J30" s="328" t="s">
        <v>443</v>
      </c>
      <c r="K30" s="328">
        <v>60.61</v>
      </c>
      <c r="L30" s="328">
        <v>65.38</v>
      </c>
      <c r="M30" s="327">
        <v>54</v>
      </c>
      <c r="N30" s="328">
        <v>68.42</v>
      </c>
      <c r="O30" s="432"/>
      <c r="P30" s="327">
        <v>54.57</v>
      </c>
      <c r="Q30" s="328">
        <v>60.71</v>
      </c>
      <c r="R30" s="432"/>
      <c r="S30" s="327">
        <v>60</v>
      </c>
      <c r="T30" s="327">
        <v>49.06</v>
      </c>
      <c r="U30" s="328">
        <v>63.73</v>
      </c>
      <c r="V30" s="327">
        <v>57.94</v>
      </c>
      <c r="W30" s="332">
        <v>38.1</v>
      </c>
      <c r="X30" s="432"/>
      <c r="Y30" s="327">
        <v>52.63</v>
      </c>
      <c r="Z30" s="327">
        <v>55.07</v>
      </c>
      <c r="AA30" s="327">
        <v>55.75</v>
      </c>
      <c r="AB30" s="327">
        <v>55.74</v>
      </c>
      <c r="AC30" s="328">
        <v>67.95</v>
      </c>
      <c r="AD30" s="432"/>
      <c r="AE30" s="327">
        <v>56.51</v>
      </c>
      <c r="AF30" s="328">
        <v>65</v>
      </c>
      <c r="AG30" s="432"/>
      <c r="AH30" s="328">
        <v>70.05</v>
      </c>
      <c r="AI30" s="327">
        <v>60</v>
      </c>
      <c r="AJ30" s="327">
        <v>48.91</v>
      </c>
      <c r="AK30" s="332">
        <v>40.96</v>
      </c>
      <c r="AL30" s="432"/>
      <c r="AM30" s="332">
        <v>42.86</v>
      </c>
      <c r="AN30" s="328">
        <v>66.67</v>
      </c>
      <c r="AO30" s="332">
        <v>41.18</v>
      </c>
      <c r="AP30" s="328" t="s">
        <v>443</v>
      </c>
      <c r="AQ30" s="328" t="s">
        <v>443</v>
      </c>
      <c r="AR30" s="327">
        <v>50</v>
      </c>
      <c r="AS30" s="328" t="s">
        <v>443</v>
      </c>
      <c r="AT30" s="432"/>
      <c r="AU30" s="328">
        <v>66.67</v>
      </c>
      <c r="AV30" s="328">
        <v>62.82</v>
      </c>
      <c r="AW30" s="328">
        <v>73.17</v>
      </c>
      <c r="AX30" s="328" t="s">
        <v>443</v>
      </c>
      <c r="AY30" s="328" t="s">
        <v>443</v>
      </c>
      <c r="AZ30" s="328">
        <v>71.430000000000007</v>
      </c>
      <c r="BA30" s="327">
        <v>52.94</v>
      </c>
      <c r="BB30" s="432"/>
      <c r="BC30" s="328" t="s">
        <v>443</v>
      </c>
      <c r="BD30" s="328" t="s">
        <v>443</v>
      </c>
      <c r="BE30" s="327">
        <v>51.4</v>
      </c>
      <c r="BF30" s="328" t="s">
        <v>443</v>
      </c>
      <c r="BG30" s="328">
        <v>62.51</v>
      </c>
      <c r="BH30" s="329">
        <v>100</v>
      </c>
      <c r="BI30" s="332">
        <v>36.840000000000003</v>
      </c>
      <c r="BJ30" s="432"/>
      <c r="BK30" s="328" t="s">
        <v>443</v>
      </c>
      <c r="BL30" s="332">
        <v>33.33</v>
      </c>
      <c r="BM30" s="432"/>
      <c r="BN30" s="328" t="s">
        <v>443</v>
      </c>
      <c r="BO30" s="328" t="s">
        <v>443</v>
      </c>
      <c r="BP30" s="328" t="s">
        <v>443</v>
      </c>
      <c r="BQ30" s="328" t="s">
        <v>443</v>
      </c>
      <c r="BR30" s="432"/>
      <c r="BS30" s="328" t="s">
        <v>443</v>
      </c>
      <c r="BT30" s="328" t="s">
        <v>443</v>
      </c>
      <c r="BU30" s="332">
        <v>43.75</v>
      </c>
      <c r="BV30" s="332">
        <v>29.41</v>
      </c>
      <c r="BW30" s="432"/>
      <c r="BX30" s="328" t="s">
        <v>443</v>
      </c>
      <c r="BY30" s="328" t="s">
        <v>443</v>
      </c>
      <c r="BZ30" s="432"/>
      <c r="CA30" s="328" t="s">
        <v>443</v>
      </c>
      <c r="CB30" s="328" t="s">
        <v>443</v>
      </c>
      <c r="CC30" s="432"/>
      <c r="CD30" s="327">
        <v>55.56</v>
      </c>
      <c r="CE30" s="332">
        <v>38.46</v>
      </c>
      <c r="CF30" s="432"/>
      <c r="CG30" s="328" t="s">
        <v>443</v>
      </c>
      <c r="CH30" s="328" t="s">
        <v>443</v>
      </c>
      <c r="CI30" s="432"/>
      <c r="CJ30" s="328" t="s">
        <v>443</v>
      </c>
      <c r="CK30" s="328" t="s">
        <v>443</v>
      </c>
      <c r="CL30" s="328" t="s">
        <v>443</v>
      </c>
      <c r="CM30" s="327">
        <v>54.55</v>
      </c>
      <c r="CN30" s="432"/>
      <c r="CO30" s="329">
        <v>87.51</v>
      </c>
      <c r="CP30" s="328">
        <v>61.59</v>
      </c>
      <c r="CQ30" s="327">
        <v>60</v>
      </c>
      <c r="CR30" s="432"/>
      <c r="CS30" s="328">
        <v>71.430000000000007</v>
      </c>
      <c r="CT30" s="328" t="s">
        <v>443</v>
      </c>
      <c r="CU30" s="329">
        <v>85.71</v>
      </c>
      <c r="CV30" s="328">
        <v>71.430000000000007</v>
      </c>
      <c r="CW30" s="327">
        <v>50</v>
      </c>
      <c r="CX30" s="328" t="s">
        <v>443</v>
      </c>
      <c r="CY30" s="432"/>
      <c r="CZ30" s="328" t="s">
        <v>443</v>
      </c>
      <c r="DA30" s="432"/>
      <c r="DB30" s="328" t="s">
        <v>443</v>
      </c>
      <c r="DC30" s="432"/>
      <c r="DD30" s="328">
        <v>71.430000000000007</v>
      </c>
      <c r="DE30" s="432"/>
      <c r="DF30" s="327">
        <v>52.94</v>
      </c>
      <c r="DG30" s="432"/>
      <c r="DH30" s="328" t="s">
        <v>443</v>
      </c>
      <c r="DI30" s="432"/>
      <c r="DJ30" s="328" t="s">
        <v>443</v>
      </c>
      <c r="DK30" s="432"/>
      <c r="DL30" s="328" t="s">
        <v>443</v>
      </c>
      <c r="DM30" s="332">
        <v>14.29</v>
      </c>
      <c r="DN30" s="327">
        <v>45.45</v>
      </c>
      <c r="DO30" s="327">
        <v>50</v>
      </c>
      <c r="DP30" s="328" t="s">
        <v>443</v>
      </c>
      <c r="DQ30" s="328">
        <v>66.67</v>
      </c>
      <c r="DR30" s="332">
        <v>37.93</v>
      </c>
      <c r="DS30" s="328">
        <v>69.23</v>
      </c>
      <c r="DT30" s="327">
        <v>50</v>
      </c>
      <c r="DU30" s="328" t="s">
        <v>443</v>
      </c>
      <c r="DV30" s="329">
        <v>100</v>
      </c>
      <c r="DW30" s="432"/>
      <c r="DX30" s="328" t="s">
        <v>443</v>
      </c>
      <c r="DY30" s="432"/>
      <c r="DZ30" s="328" t="s">
        <v>443</v>
      </c>
      <c r="EA30" s="328" t="s">
        <v>443</v>
      </c>
      <c r="EB30" s="328" t="s">
        <v>443</v>
      </c>
      <c r="EC30" s="432"/>
      <c r="ED30" s="328" t="s">
        <v>443</v>
      </c>
      <c r="EE30" s="328" t="s">
        <v>443</v>
      </c>
      <c r="EF30" s="432"/>
      <c r="EG30" s="332">
        <v>31.58</v>
      </c>
      <c r="EH30" s="332">
        <v>42.11</v>
      </c>
      <c r="EI30" s="432"/>
      <c r="EJ30" s="327">
        <v>47.41</v>
      </c>
      <c r="EK30" s="327">
        <v>59.43</v>
      </c>
      <c r="EL30" s="432"/>
      <c r="EM30" s="328">
        <v>69.569999999999993</v>
      </c>
      <c r="EN30" s="332">
        <v>44.19</v>
      </c>
      <c r="EO30" s="332">
        <v>30</v>
      </c>
      <c r="EP30" s="328">
        <v>61.28</v>
      </c>
      <c r="EQ30" s="332">
        <v>25</v>
      </c>
    </row>
    <row r="31" spans="1:147">
      <c r="A31" s="494"/>
      <c r="B31" s="325">
        <v>26</v>
      </c>
      <c r="C31" s="326" t="s">
        <v>30</v>
      </c>
      <c r="D31" s="377">
        <v>68.22</v>
      </c>
      <c r="E31" s="441">
        <v>74.040000000000006</v>
      </c>
      <c r="F31" s="442">
        <v>78.52</v>
      </c>
      <c r="G31" s="350">
        <v>-5.8200000000000074</v>
      </c>
      <c r="H31" s="350">
        <v>-10.299999999999997</v>
      </c>
      <c r="I31" s="432"/>
      <c r="J31" s="328" t="s">
        <v>443</v>
      </c>
      <c r="K31" s="328">
        <v>84.85</v>
      </c>
      <c r="L31" s="328">
        <v>73.08</v>
      </c>
      <c r="M31" s="328">
        <v>65.510000000000005</v>
      </c>
      <c r="N31" s="328">
        <v>68.42</v>
      </c>
      <c r="O31" s="432"/>
      <c r="P31" s="328">
        <v>66.959999999999994</v>
      </c>
      <c r="Q31" s="328">
        <v>70.41</v>
      </c>
      <c r="R31" s="432"/>
      <c r="S31" s="328">
        <v>64</v>
      </c>
      <c r="T31" s="327">
        <v>55.35</v>
      </c>
      <c r="U31" s="328">
        <v>72.55</v>
      </c>
      <c r="V31" s="328">
        <v>77.78</v>
      </c>
      <c r="W31" s="328">
        <v>71.430000000000007</v>
      </c>
      <c r="X31" s="432"/>
      <c r="Y31" s="328">
        <v>67.11</v>
      </c>
      <c r="Z31" s="328">
        <v>66.180000000000007</v>
      </c>
      <c r="AA31" s="328">
        <v>65.489999999999995</v>
      </c>
      <c r="AB31" s="328">
        <v>63.93</v>
      </c>
      <c r="AC31" s="328">
        <v>82.05</v>
      </c>
      <c r="AD31" s="432"/>
      <c r="AE31" s="328">
        <v>68.349999999999994</v>
      </c>
      <c r="AF31" s="328">
        <v>65</v>
      </c>
      <c r="AG31" s="432"/>
      <c r="AH31" s="329">
        <v>86.1</v>
      </c>
      <c r="AI31" s="328">
        <v>74.290000000000006</v>
      </c>
      <c r="AJ31" s="327">
        <v>57.66</v>
      </c>
      <c r="AK31" s="332">
        <v>37.35</v>
      </c>
      <c r="AL31" s="432"/>
      <c r="AM31" s="332">
        <v>42.86</v>
      </c>
      <c r="AN31" s="328">
        <v>66.67</v>
      </c>
      <c r="AO31" s="327">
        <v>52.94</v>
      </c>
      <c r="AP31" s="328" t="s">
        <v>443</v>
      </c>
      <c r="AQ31" s="328" t="s">
        <v>443</v>
      </c>
      <c r="AR31" s="327">
        <v>55</v>
      </c>
      <c r="AS31" s="328" t="s">
        <v>443</v>
      </c>
      <c r="AT31" s="432"/>
      <c r="AU31" s="329">
        <v>90.48</v>
      </c>
      <c r="AV31" s="328">
        <v>69.23</v>
      </c>
      <c r="AW31" s="328">
        <v>82.93</v>
      </c>
      <c r="AX31" s="328" t="s">
        <v>443</v>
      </c>
      <c r="AY31" s="328" t="s">
        <v>443</v>
      </c>
      <c r="AZ31" s="328">
        <v>71.430000000000007</v>
      </c>
      <c r="BA31" s="327">
        <v>47.06</v>
      </c>
      <c r="BB31" s="432"/>
      <c r="BC31" s="328" t="s">
        <v>443</v>
      </c>
      <c r="BD31" s="328" t="s">
        <v>443</v>
      </c>
      <c r="BE31" s="328">
        <v>71.959999999999994</v>
      </c>
      <c r="BF31" s="328" t="s">
        <v>443</v>
      </c>
      <c r="BG31" s="329">
        <v>87.51</v>
      </c>
      <c r="BH31" s="328">
        <v>66.67</v>
      </c>
      <c r="BI31" s="328">
        <v>63.16</v>
      </c>
      <c r="BJ31" s="432"/>
      <c r="BK31" s="328" t="s">
        <v>443</v>
      </c>
      <c r="BL31" s="332">
        <v>33.33</v>
      </c>
      <c r="BM31" s="432"/>
      <c r="BN31" s="328" t="s">
        <v>443</v>
      </c>
      <c r="BO31" s="328" t="s">
        <v>443</v>
      </c>
      <c r="BP31" s="328" t="s">
        <v>443</v>
      </c>
      <c r="BQ31" s="328" t="s">
        <v>443</v>
      </c>
      <c r="BR31" s="432"/>
      <c r="BS31" s="328" t="s">
        <v>443</v>
      </c>
      <c r="BT31" s="328" t="s">
        <v>443</v>
      </c>
      <c r="BU31" s="327">
        <v>59.38</v>
      </c>
      <c r="BV31" s="332">
        <v>35.29</v>
      </c>
      <c r="BW31" s="432"/>
      <c r="BX31" s="328" t="s">
        <v>443</v>
      </c>
      <c r="BY31" s="328" t="s">
        <v>443</v>
      </c>
      <c r="BZ31" s="432"/>
      <c r="CA31" s="328" t="s">
        <v>443</v>
      </c>
      <c r="CB31" s="328" t="s">
        <v>443</v>
      </c>
      <c r="CC31" s="432"/>
      <c r="CD31" s="327">
        <v>48.15</v>
      </c>
      <c r="CE31" s="328">
        <v>69.23</v>
      </c>
      <c r="CF31" s="432"/>
      <c r="CG31" s="328" t="s">
        <v>443</v>
      </c>
      <c r="CH31" s="328" t="s">
        <v>443</v>
      </c>
      <c r="CI31" s="432"/>
      <c r="CJ31" s="328" t="s">
        <v>443</v>
      </c>
      <c r="CK31" s="328" t="s">
        <v>443</v>
      </c>
      <c r="CL31" s="328" t="s">
        <v>443</v>
      </c>
      <c r="CM31" s="329">
        <v>90.91</v>
      </c>
      <c r="CN31" s="432"/>
      <c r="CO31" s="329">
        <v>87.51</v>
      </c>
      <c r="CP31" s="328">
        <v>67.39</v>
      </c>
      <c r="CQ31" s="328">
        <v>80</v>
      </c>
      <c r="CR31" s="432"/>
      <c r="CS31" s="329">
        <v>85.71</v>
      </c>
      <c r="CT31" s="328" t="s">
        <v>443</v>
      </c>
      <c r="CU31" s="329">
        <v>100</v>
      </c>
      <c r="CV31" s="329">
        <v>100</v>
      </c>
      <c r="CW31" s="332">
        <v>16.670000000000002</v>
      </c>
      <c r="CX31" s="328" t="s">
        <v>443</v>
      </c>
      <c r="CY31" s="432"/>
      <c r="CZ31" s="328" t="s">
        <v>443</v>
      </c>
      <c r="DA31" s="432"/>
      <c r="DB31" s="328" t="s">
        <v>443</v>
      </c>
      <c r="DC31" s="432"/>
      <c r="DD31" s="328">
        <v>71.430000000000007</v>
      </c>
      <c r="DE31" s="432"/>
      <c r="DF31" s="327">
        <v>47.06</v>
      </c>
      <c r="DG31" s="432"/>
      <c r="DH31" s="328" t="s">
        <v>443</v>
      </c>
      <c r="DI31" s="432"/>
      <c r="DJ31" s="328" t="s">
        <v>443</v>
      </c>
      <c r="DK31" s="432"/>
      <c r="DL31" s="328" t="s">
        <v>443</v>
      </c>
      <c r="DM31" s="328">
        <v>71.430000000000007</v>
      </c>
      <c r="DN31" s="328">
        <v>63.64</v>
      </c>
      <c r="DO31" s="328">
        <v>75</v>
      </c>
      <c r="DP31" s="328" t="s">
        <v>443</v>
      </c>
      <c r="DQ31" s="329">
        <v>88.89</v>
      </c>
      <c r="DR31" s="327">
        <v>48.28</v>
      </c>
      <c r="DS31" s="328">
        <v>76.92</v>
      </c>
      <c r="DT31" s="329">
        <v>100</v>
      </c>
      <c r="DU31" s="328" t="s">
        <v>443</v>
      </c>
      <c r="DV31" s="329">
        <v>100</v>
      </c>
      <c r="DW31" s="432"/>
      <c r="DX31" s="328" t="s">
        <v>443</v>
      </c>
      <c r="DY31" s="432"/>
      <c r="DZ31" s="328" t="s">
        <v>443</v>
      </c>
      <c r="EA31" s="328" t="s">
        <v>443</v>
      </c>
      <c r="EB31" s="328" t="s">
        <v>443</v>
      </c>
      <c r="EC31" s="432"/>
      <c r="ED31" s="328" t="s">
        <v>443</v>
      </c>
      <c r="EE31" s="328" t="s">
        <v>443</v>
      </c>
      <c r="EF31" s="432"/>
      <c r="EG31" s="328">
        <v>63.16</v>
      </c>
      <c r="EH31" s="328">
        <v>63.16</v>
      </c>
      <c r="EI31" s="432"/>
      <c r="EJ31" s="327">
        <v>55.17</v>
      </c>
      <c r="EK31" s="328">
        <v>71.84</v>
      </c>
      <c r="EL31" s="432"/>
      <c r="EM31" s="328">
        <v>65.22</v>
      </c>
      <c r="EN31" s="327">
        <v>46.51</v>
      </c>
      <c r="EO31" s="332">
        <v>10</v>
      </c>
      <c r="EP31" s="328">
        <v>81.58</v>
      </c>
      <c r="EQ31" s="332">
        <v>37.51</v>
      </c>
    </row>
    <row r="32" spans="1:147">
      <c r="A32" s="495"/>
      <c r="B32" s="325">
        <v>27</v>
      </c>
      <c r="C32" s="326" t="s">
        <v>31</v>
      </c>
      <c r="D32" s="380">
        <v>48.6</v>
      </c>
      <c r="E32" s="448">
        <v>52.43</v>
      </c>
      <c r="F32" s="442">
        <v>72.95</v>
      </c>
      <c r="G32" s="350">
        <v>-3.8299999999999983</v>
      </c>
      <c r="H32" s="350">
        <v>-24.35</v>
      </c>
      <c r="I32" s="432"/>
      <c r="J32" s="328" t="s">
        <v>443</v>
      </c>
      <c r="K32" s="327">
        <v>51.52</v>
      </c>
      <c r="L32" s="327">
        <v>52.56</v>
      </c>
      <c r="M32" s="327">
        <v>46.51</v>
      </c>
      <c r="N32" s="328">
        <v>68.42</v>
      </c>
      <c r="O32" s="432"/>
      <c r="P32" s="327">
        <v>48.08</v>
      </c>
      <c r="Q32" s="327">
        <v>49.49</v>
      </c>
      <c r="R32" s="432"/>
      <c r="S32" s="327">
        <v>60</v>
      </c>
      <c r="T32" s="327">
        <v>49.06</v>
      </c>
      <c r="U32" s="327">
        <v>49.51</v>
      </c>
      <c r="V32" s="332">
        <v>43.65</v>
      </c>
      <c r="W32" s="327">
        <v>52.38</v>
      </c>
      <c r="X32" s="432"/>
      <c r="Y32" s="328">
        <v>60.53</v>
      </c>
      <c r="Z32" s="327">
        <v>47.34</v>
      </c>
      <c r="AA32" s="332">
        <v>44.25</v>
      </c>
      <c r="AB32" s="327">
        <v>45.9</v>
      </c>
      <c r="AC32" s="327">
        <v>48.72</v>
      </c>
      <c r="AD32" s="432"/>
      <c r="AE32" s="327">
        <v>47.96</v>
      </c>
      <c r="AF32" s="328">
        <v>65</v>
      </c>
      <c r="AG32" s="432"/>
      <c r="AH32" s="328">
        <v>64.17</v>
      </c>
      <c r="AI32" s="327">
        <v>48.57</v>
      </c>
      <c r="AJ32" s="332">
        <v>39.42</v>
      </c>
      <c r="AK32" s="332">
        <v>32.53</v>
      </c>
      <c r="AL32" s="432"/>
      <c r="AM32" s="332">
        <v>14.29</v>
      </c>
      <c r="AN32" s="327">
        <v>50</v>
      </c>
      <c r="AO32" s="332">
        <v>41.18</v>
      </c>
      <c r="AP32" s="328" t="s">
        <v>443</v>
      </c>
      <c r="AQ32" s="328" t="s">
        <v>443</v>
      </c>
      <c r="AR32" s="327">
        <v>45</v>
      </c>
      <c r="AS32" s="328" t="s">
        <v>443</v>
      </c>
      <c r="AT32" s="432"/>
      <c r="AU32" s="327">
        <v>52.38</v>
      </c>
      <c r="AV32" s="327">
        <v>48.72</v>
      </c>
      <c r="AW32" s="327">
        <v>46.34</v>
      </c>
      <c r="AX32" s="328" t="s">
        <v>443</v>
      </c>
      <c r="AY32" s="328" t="s">
        <v>443</v>
      </c>
      <c r="AZ32" s="328">
        <v>71.430000000000007</v>
      </c>
      <c r="BA32" s="332">
        <v>41.18</v>
      </c>
      <c r="BB32" s="432"/>
      <c r="BC32" s="328" t="s">
        <v>443</v>
      </c>
      <c r="BD32" s="328" t="s">
        <v>443</v>
      </c>
      <c r="BE32" s="327">
        <v>54.21</v>
      </c>
      <c r="BF32" s="328" t="s">
        <v>443</v>
      </c>
      <c r="BG32" s="332">
        <v>25</v>
      </c>
      <c r="BH32" s="327">
        <v>50</v>
      </c>
      <c r="BI32" s="327">
        <v>50</v>
      </c>
      <c r="BJ32" s="432"/>
      <c r="BK32" s="328" t="s">
        <v>443</v>
      </c>
      <c r="BL32" s="332">
        <v>16.670000000000002</v>
      </c>
      <c r="BM32" s="432"/>
      <c r="BN32" s="328" t="s">
        <v>443</v>
      </c>
      <c r="BO32" s="328" t="s">
        <v>443</v>
      </c>
      <c r="BP32" s="328" t="s">
        <v>443</v>
      </c>
      <c r="BQ32" s="328" t="s">
        <v>443</v>
      </c>
      <c r="BR32" s="432"/>
      <c r="BS32" s="328" t="s">
        <v>443</v>
      </c>
      <c r="BT32" s="328" t="s">
        <v>443</v>
      </c>
      <c r="BU32" s="327">
        <v>50</v>
      </c>
      <c r="BV32" s="332">
        <v>23.53</v>
      </c>
      <c r="BW32" s="432"/>
      <c r="BX32" s="328" t="s">
        <v>443</v>
      </c>
      <c r="BY32" s="328" t="s">
        <v>443</v>
      </c>
      <c r="BZ32" s="432"/>
      <c r="CA32" s="328" t="s">
        <v>443</v>
      </c>
      <c r="CB32" s="328" t="s">
        <v>443</v>
      </c>
      <c r="CC32" s="432"/>
      <c r="CD32" s="327">
        <v>59.26</v>
      </c>
      <c r="CE32" s="332">
        <v>15.38</v>
      </c>
      <c r="CF32" s="432"/>
      <c r="CG32" s="328" t="s">
        <v>443</v>
      </c>
      <c r="CH32" s="328" t="s">
        <v>443</v>
      </c>
      <c r="CI32" s="432"/>
      <c r="CJ32" s="328" t="s">
        <v>443</v>
      </c>
      <c r="CK32" s="328" t="s">
        <v>443</v>
      </c>
      <c r="CL32" s="328" t="s">
        <v>443</v>
      </c>
      <c r="CM32" s="328">
        <v>63.64</v>
      </c>
      <c r="CN32" s="432"/>
      <c r="CO32" s="329">
        <v>87.51</v>
      </c>
      <c r="CP32" s="327">
        <v>45.65</v>
      </c>
      <c r="CQ32" s="327">
        <v>60</v>
      </c>
      <c r="CR32" s="432"/>
      <c r="CS32" s="332">
        <v>28.57</v>
      </c>
      <c r="CT32" s="328" t="s">
        <v>443</v>
      </c>
      <c r="CU32" s="327">
        <v>57.14</v>
      </c>
      <c r="CV32" s="328">
        <v>64.290000000000006</v>
      </c>
      <c r="CW32" s="332">
        <v>33.33</v>
      </c>
      <c r="CX32" s="328" t="s">
        <v>443</v>
      </c>
      <c r="CY32" s="432"/>
      <c r="CZ32" s="328" t="s">
        <v>443</v>
      </c>
      <c r="DA32" s="432"/>
      <c r="DB32" s="328" t="s">
        <v>443</v>
      </c>
      <c r="DC32" s="432"/>
      <c r="DD32" s="328">
        <v>71.430000000000007</v>
      </c>
      <c r="DE32" s="432"/>
      <c r="DF32" s="332">
        <v>41.18</v>
      </c>
      <c r="DG32" s="432"/>
      <c r="DH32" s="328" t="s">
        <v>443</v>
      </c>
      <c r="DI32" s="432"/>
      <c r="DJ32" s="328" t="s">
        <v>443</v>
      </c>
      <c r="DK32" s="432"/>
      <c r="DL32" s="328" t="s">
        <v>443</v>
      </c>
      <c r="DM32" s="327">
        <v>57.14</v>
      </c>
      <c r="DN32" s="327">
        <v>54.55</v>
      </c>
      <c r="DO32" s="327">
        <v>56.25</v>
      </c>
      <c r="DP32" s="328" t="s">
        <v>443</v>
      </c>
      <c r="DQ32" s="328">
        <v>66.67</v>
      </c>
      <c r="DR32" s="327">
        <v>48.28</v>
      </c>
      <c r="DS32" s="332">
        <v>30.77</v>
      </c>
      <c r="DT32" s="328">
        <v>62.51</v>
      </c>
      <c r="DU32" s="328" t="s">
        <v>443</v>
      </c>
      <c r="DV32" s="327">
        <v>57.14</v>
      </c>
      <c r="DW32" s="432"/>
      <c r="DX32" s="328" t="s">
        <v>443</v>
      </c>
      <c r="DY32" s="432"/>
      <c r="DZ32" s="328" t="s">
        <v>443</v>
      </c>
      <c r="EA32" s="328" t="s">
        <v>443</v>
      </c>
      <c r="EB32" s="328" t="s">
        <v>443</v>
      </c>
      <c r="EC32" s="432"/>
      <c r="ED32" s="328" t="s">
        <v>443</v>
      </c>
      <c r="EE32" s="328" t="s">
        <v>443</v>
      </c>
      <c r="EF32" s="432"/>
      <c r="EG32" s="327">
        <v>57.89</v>
      </c>
      <c r="EH32" s="332">
        <v>42.11</v>
      </c>
      <c r="EI32" s="432"/>
      <c r="EJ32" s="332">
        <v>40.520000000000003</v>
      </c>
      <c r="EK32" s="327">
        <v>50.84</v>
      </c>
      <c r="EL32" s="432"/>
      <c r="EM32" s="332">
        <v>44.2</v>
      </c>
      <c r="EN32" s="327">
        <v>51.16</v>
      </c>
      <c r="EO32" s="332">
        <v>30</v>
      </c>
      <c r="EP32" s="327">
        <v>55.26</v>
      </c>
      <c r="EQ32" s="332">
        <v>33.93</v>
      </c>
    </row>
    <row r="33" spans="1:147">
      <c r="A33" s="496" t="s">
        <v>445</v>
      </c>
      <c r="B33" s="497"/>
      <c r="C33" s="498"/>
      <c r="D33" s="379">
        <v>70.69</v>
      </c>
      <c r="E33" s="445">
        <v>73.81</v>
      </c>
      <c r="F33" s="446">
        <v>77.23</v>
      </c>
      <c r="G33" s="351">
        <v>-3.1200000000000045</v>
      </c>
      <c r="H33" s="447">
        <v>-6.5400000000000063</v>
      </c>
      <c r="I33" s="432"/>
      <c r="J33" s="331" t="s">
        <v>443</v>
      </c>
      <c r="K33" s="330">
        <v>82.41</v>
      </c>
      <c r="L33" s="330">
        <v>77.13</v>
      </c>
      <c r="M33" s="330">
        <v>67.67</v>
      </c>
      <c r="N33" s="330">
        <v>82.1</v>
      </c>
      <c r="O33" s="432"/>
      <c r="P33" s="330">
        <v>69.88</v>
      </c>
      <c r="Q33" s="330">
        <v>72.09</v>
      </c>
      <c r="R33" s="432"/>
      <c r="S33" s="330">
        <v>78.05</v>
      </c>
      <c r="T33" s="330">
        <v>62.66</v>
      </c>
      <c r="U33" s="330">
        <v>74.22</v>
      </c>
      <c r="V33" s="330">
        <v>73.290000000000006</v>
      </c>
      <c r="W33" s="330">
        <v>73.260000000000005</v>
      </c>
      <c r="X33" s="432"/>
      <c r="Y33" s="330">
        <v>72.489999999999995</v>
      </c>
      <c r="Z33" s="330">
        <v>69.510000000000005</v>
      </c>
      <c r="AA33" s="330">
        <v>67.040000000000006</v>
      </c>
      <c r="AB33" s="330">
        <v>69.86</v>
      </c>
      <c r="AC33" s="330">
        <v>78.02</v>
      </c>
      <c r="AD33" s="432"/>
      <c r="AE33" s="330">
        <v>70.34</v>
      </c>
      <c r="AF33" s="330">
        <v>79.88</v>
      </c>
      <c r="AG33" s="432"/>
      <c r="AH33" s="330">
        <v>83.62</v>
      </c>
      <c r="AI33" s="330">
        <v>73.55</v>
      </c>
      <c r="AJ33" s="330">
        <v>62.15</v>
      </c>
      <c r="AK33" s="330">
        <v>53.66</v>
      </c>
      <c r="AL33" s="432"/>
      <c r="AM33" s="330">
        <v>54.95</v>
      </c>
      <c r="AN33" s="330">
        <v>70.510000000000005</v>
      </c>
      <c r="AO33" s="330">
        <v>58.99</v>
      </c>
      <c r="AP33" s="331" t="s">
        <v>443</v>
      </c>
      <c r="AQ33" s="331" t="s">
        <v>443</v>
      </c>
      <c r="AR33" s="330">
        <v>54.19</v>
      </c>
      <c r="AS33" s="331" t="s">
        <v>443</v>
      </c>
      <c r="AT33" s="432"/>
      <c r="AU33" s="330">
        <v>83.77</v>
      </c>
      <c r="AV33" s="330">
        <v>73.709999999999994</v>
      </c>
      <c r="AW33" s="330">
        <v>80.48</v>
      </c>
      <c r="AX33" s="331" t="s">
        <v>443</v>
      </c>
      <c r="AY33" s="331" t="s">
        <v>443</v>
      </c>
      <c r="AZ33" s="330">
        <v>82.42</v>
      </c>
      <c r="BA33" s="330">
        <v>62.44</v>
      </c>
      <c r="BB33" s="432"/>
      <c r="BC33" s="331" t="s">
        <v>443</v>
      </c>
      <c r="BD33" s="331" t="s">
        <v>443</v>
      </c>
      <c r="BE33" s="330">
        <v>74.12</v>
      </c>
      <c r="BF33" s="331" t="s">
        <v>443</v>
      </c>
      <c r="BG33" s="330">
        <v>80.45</v>
      </c>
      <c r="BH33" s="330">
        <v>75.64</v>
      </c>
      <c r="BI33" s="330">
        <v>61.92</v>
      </c>
      <c r="BJ33" s="432"/>
      <c r="BK33" s="331" t="s">
        <v>443</v>
      </c>
      <c r="BL33" s="330">
        <v>52.56</v>
      </c>
      <c r="BM33" s="432"/>
      <c r="BN33" s="331" t="s">
        <v>443</v>
      </c>
      <c r="BO33" s="331" t="s">
        <v>443</v>
      </c>
      <c r="BP33" s="331" t="s">
        <v>443</v>
      </c>
      <c r="BQ33" s="331" t="s">
        <v>443</v>
      </c>
      <c r="BR33" s="432"/>
      <c r="BS33" s="331" t="s">
        <v>443</v>
      </c>
      <c r="BT33" s="331" t="s">
        <v>443</v>
      </c>
      <c r="BU33" s="330">
        <v>63.32</v>
      </c>
      <c r="BV33" s="330">
        <v>48.42</v>
      </c>
      <c r="BW33" s="432"/>
      <c r="BX33" s="331" t="s">
        <v>443</v>
      </c>
      <c r="BY33" s="331" t="s">
        <v>443</v>
      </c>
      <c r="BZ33" s="432"/>
      <c r="CA33" s="331" t="s">
        <v>443</v>
      </c>
      <c r="CB33" s="331" t="s">
        <v>443</v>
      </c>
      <c r="CC33" s="432"/>
      <c r="CD33" s="330">
        <v>51.6</v>
      </c>
      <c r="CE33" s="330">
        <v>59.76</v>
      </c>
      <c r="CF33" s="432"/>
      <c r="CG33" s="331" t="s">
        <v>443</v>
      </c>
      <c r="CH33" s="331" t="s">
        <v>443</v>
      </c>
      <c r="CI33" s="432"/>
      <c r="CJ33" s="331" t="s">
        <v>443</v>
      </c>
      <c r="CK33" s="331" t="s">
        <v>443</v>
      </c>
      <c r="CL33" s="331" t="s">
        <v>443</v>
      </c>
      <c r="CM33" s="330">
        <v>81.819999999999993</v>
      </c>
      <c r="CN33" s="432"/>
      <c r="CO33" s="330">
        <v>90.38</v>
      </c>
      <c r="CP33" s="330">
        <v>72.52</v>
      </c>
      <c r="CQ33" s="330">
        <v>76.92</v>
      </c>
      <c r="CR33" s="432"/>
      <c r="CS33" s="330">
        <v>78.02</v>
      </c>
      <c r="CT33" s="331" t="s">
        <v>443</v>
      </c>
      <c r="CU33" s="330">
        <v>92.31</v>
      </c>
      <c r="CV33" s="330">
        <v>86.77</v>
      </c>
      <c r="CW33" s="330">
        <v>53.85</v>
      </c>
      <c r="CX33" s="331" t="s">
        <v>443</v>
      </c>
      <c r="CY33" s="432"/>
      <c r="CZ33" s="331" t="s">
        <v>443</v>
      </c>
      <c r="DA33" s="432"/>
      <c r="DB33" s="331" t="s">
        <v>443</v>
      </c>
      <c r="DC33" s="432"/>
      <c r="DD33" s="330">
        <v>82.42</v>
      </c>
      <c r="DE33" s="432"/>
      <c r="DF33" s="330">
        <v>62.44</v>
      </c>
      <c r="DG33" s="432"/>
      <c r="DH33" s="331" t="s">
        <v>443</v>
      </c>
      <c r="DI33" s="432"/>
      <c r="DJ33" s="331" t="s">
        <v>443</v>
      </c>
      <c r="DK33" s="432"/>
      <c r="DL33" s="331" t="s">
        <v>443</v>
      </c>
      <c r="DM33" s="330">
        <v>68.86</v>
      </c>
      <c r="DN33" s="330">
        <v>73.430000000000007</v>
      </c>
      <c r="DO33" s="330">
        <v>74.290000000000006</v>
      </c>
      <c r="DP33" s="331" t="s">
        <v>443</v>
      </c>
      <c r="DQ33" s="330">
        <v>83.76</v>
      </c>
      <c r="DR33" s="330">
        <v>61.65</v>
      </c>
      <c r="DS33" s="330">
        <v>78.06</v>
      </c>
      <c r="DT33" s="330">
        <v>84.62</v>
      </c>
      <c r="DU33" s="331" t="s">
        <v>443</v>
      </c>
      <c r="DV33" s="330">
        <v>93.41</v>
      </c>
      <c r="DW33" s="432"/>
      <c r="DX33" s="331" t="s">
        <v>443</v>
      </c>
      <c r="DY33" s="432"/>
      <c r="DZ33" s="331" t="s">
        <v>443</v>
      </c>
      <c r="EA33" s="331" t="s">
        <v>443</v>
      </c>
      <c r="EB33" s="331" t="s">
        <v>443</v>
      </c>
      <c r="EC33" s="432"/>
      <c r="ED33" s="331" t="s">
        <v>443</v>
      </c>
      <c r="EE33" s="331" t="s">
        <v>443</v>
      </c>
      <c r="EF33" s="432"/>
      <c r="EG33" s="330">
        <v>60.71</v>
      </c>
      <c r="EH33" s="330">
        <v>63.16</v>
      </c>
      <c r="EI33" s="432"/>
      <c r="EJ33" s="330">
        <v>58.23</v>
      </c>
      <c r="EK33" s="330">
        <v>74.180000000000007</v>
      </c>
      <c r="EL33" s="432"/>
      <c r="EM33" s="330">
        <v>71.34</v>
      </c>
      <c r="EN33" s="330">
        <v>63.01</v>
      </c>
      <c r="EO33" s="330">
        <v>39.229999999999997</v>
      </c>
      <c r="EP33" s="330">
        <v>78.97</v>
      </c>
      <c r="EQ33" s="330">
        <v>44.64</v>
      </c>
    </row>
    <row r="34" spans="1:147" ht="13.5" customHeight="1">
      <c r="A34" s="493" t="s">
        <v>32</v>
      </c>
      <c r="B34" s="325">
        <v>28</v>
      </c>
      <c r="C34" s="326" t="s">
        <v>33</v>
      </c>
      <c r="D34" s="449">
        <v>31.49</v>
      </c>
      <c r="E34" s="450">
        <v>37.9</v>
      </c>
      <c r="F34" s="451">
        <v>53.61</v>
      </c>
      <c r="G34" s="350">
        <v>-6.41</v>
      </c>
      <c r="H34" s="350">
        <v>-22.12</v>
      </c>
      <c r="I34" s="432"/>
      <c r="J34" s="328" t="s">
        <v>443</v>
      </c>
      <c r="K34" s="327">
        <v>47.06</v>
      </c>
      <c r="L34" s="332">
        <v>31.65</v>
      </c>
      <c r="M34" s="332">
        <v>28.33</v>
      </c>
      <c r="N34" s="327">
        <v>57.89</v>
      </c>
      <c r="O34" s="432"/>
      <c r="P34" s="332">
        <v>34.299999999999997</v>
      </c>
      <c r="Q34" s="332">
        <v>26.63</v>
      </c>
      <c r="R34" s="432"/>
      <c r="S34" s="332">
        <v>44</v>
      </c>
      <c r="T34" s="332">
        <v>21.6</v>
      </c>
      <c r="U34" s="332">
        <v>36.06</v>
      </c>
      <c r="V34" s="332">
        <v>35.159999999999997</v>
      </c>
      <c r="W34" s="332">
        <v>25</v>
      </c>
      <c r="X34" s="432"/>
      <c r="Y34" s="327">
        <v>45.45</v>
      </c>
      <c r="Z34" s="332">
        <v>26.42</v>
      </c>
      <c r="AA34" s="332">
        <v>29.82</v>
      </c>
      <c r="AB34" s="332">
        <v>36.07</v>
      </c>
      <c r="AC34" s="332">
        <v>30.38</v>
      </c>
      <c r="AD34" s="432"/>
      <c r="AE34" s="332">
        <v>30.59</v>
      </c>
      <c r="AF34" s="327">
        <v>55</v>
      </c>
      <c r="AG34" s="432"/>
      <c r="AH34" s="327">
        <v>45.16</v>
      </c>
      <c r="AI34" s="332">
        <v>35.24</v>
      </c>
      <c r="AJ34" s="332">
        <v>24.09</v>
      </c>
      <c r="AK34" s="332">
        <v>7.23</v>
      </c>
      <c r="AL34" s="432"/>
      <c r="AM34" s="332">
        <v>28.57</v>
      </c>
      <c r="AN34" s="332">
        <v>16.670000000000002</v>
      </c>
      <c r="AO34" s="332">
        <v>9.26</v>
      </c>
      <c r="AP34" s="328" t="s">
        <v>443</v>
      </c>
      <c r="AQ34" s="328" t="s">
        <v>443</v>
      </c>
      <c r="AR34" s="332">
        <v>12.51</v>
      </c>
      <c r="AS34" s="328" t="s">
        <v>443</v>
      </c>
      <c r="AT34" s="432"/>
      <c r="AU34" s="327">
        <v>45.45</v>
      </c>
      <c r="AV34" s="332">
        <v>31.85</v>
      </c>
      <c r="AW34" s="332">
        <v>34.15</v>
      </c>
      <c r="AX34" s="328" t="s">
        <v>443</v>
      </c>
      <c r="AY34" s="328" t="s">
        <v>443</v>
      </c>
      <c r="AZ34" s="328">
        <v>71.430000000000007</v>
      </c>
      <c r="BA34" s="332">
        <v>35.29</v>
      </c>
      <c r="BB34" s="432"/>
      <c r="BC34" s="328" t="s">
        <v>443</v>
      </c>
      <c r="BD34" s="328" t="s">
        <v>443</v>
      </c>
      <c r="BE34" s="327">
        <v>47.22</v>
      </c>
      <c r="BF34" s="328" t="s">
        <v>443</v>
      </c>
      <c r="BG34" s="332">
        <v>33.33</v>
      </c>
      <c r="BH34" s="332">
        <v>33.33</v>
      </c>
      <c r="BI34" s="332">
        <v>21.05</v>
      </c>
      <c r="BJ34" s="432"/>
      <c r="BK34" s="328" t="s">
        <v>443</v>
      </c>
      <c r="BL34" s="332">
        <v>33.33</v>
      </c>
      <c r="BM34" s="432"/>
      <c r="BN34" s="328" t="s">
        <v>443</v>
      </c>
      <c r="BO34" s="328" t="s">
        <v>443</v>
      </c>
      <c r="BP34" s="328" t="s">
        <v>443</v>
      </c>
      <c r="BQ34" s="328" t="s">
        <v>443</v>
      </c>
      <c r="BR34" s="432"/>
      <c r="BS34" s="328" t="s">
        <v>443</v>
      </c>
      <c r="BT34" s="328" t="s">
        <v>443</v>
      </c>
      <c r="BU34" s="332">
        <v>8.57</v>
      </c>
      <c r="BV34" s="332">
        <v>5.88</v>
      </c>
      <c r="BW34" s="432"/>
      <c r="BX34" s="328" t="s">
        <v>443</v>
      </c>
      <c r="BY34" s="328" t="s">
        <v>443</v>
      </c>
      <c r="BZ34" s="432"/>
      <c r="CA34" s="328" t="s">
        <v>443</v>
      </c>
      <c r="CB34" s="328" t="s">
        <v>443</v>
      </c>
      <c r="CC34" s="432"/>
      <c r="CD34" s="332">
        <v>14.81</v>
      </c>
      <c r="CE34" s="332">
        <v>7.69</v>
      </c>
      <c r="CF34" s="432"/>
      <c r="CG34" s="328" t="s">
        <v>443</v>
      </c>
      <c r="CH34" s="328" t="s">
        <v>443</v>
      </c>
      <c r="CI34" s="432"/>
      <c r="CJ34" s="328" t="s">
        <v>443</v>
      </c>
      <c r="CK34" s="328" t="s">
        <v>443</v>
      </c>
      <c r="CL34" s="328" t="s">
        <v>443</v>
      </c>
      <c r="CM34" s="327">
        <v>45.45</v>
      </c>
      <c r="CN34" s="432"/>
      <c r="CO34" s="328">
        <v>62.51</v>
      </c>
      <c r="CP34" s="332">
        <v>27.34</v>
      </c>
      <c r="CQ34" s="328">
        <v>70</v>
      </c>
      <c r="CR34" s="432"/>
      <c r="CS34" s="332">
        <v>42.86</v>
      </c>
      <c r="CT34" s="328" t="s">
        <v>443</v>
      </c>
      <c r="CU34" s="332">
        <v>42.86</v>
      </c>
      <c r="CV34" s="332">
        <v>28.57</v>
      </c>
      <c r="CW34" s="332">
        <v>0</v>
      </c>
      <c r="CX34" s="328" t="s">
        <v>443</v>
      </c>
      <c r="CY34" s="432"/>
      <c r="CZ34" s="328" t="s">
        <v>443</v>
      </c>
      <c r="DA34" s="432"/>
      <c r="DB34" s="328" t="s">
        <v>443</v>
      </c>
      <c r="DC34" s="432"/>
      <c r="DD34" s="328">
        <v>71.430000000000007</v>
      </c>
      <c r="DE34" s="432"/>
      <c r="DF34" s="332">
        <v>35.29</v>
      </c>
      <c r="DG34" s="432"/>
      <c r="DH34" s="328" t="s">
        <v>443</v>
      </c>
      <c r="DI34" s="432"/>
      <c r="DJ34" s="328" t="s">
        <v>443</v>
      </c>
      <c r="DK34" s="432"/>
      <c r="DL34" s="328" t="s">
        <v>443</v>
      </c>
      <c r="DM34" s="328">
        <v>75</v>
      </c>
      <c r="DN34" s="328">
        <v>81.819999999999993</v>
      </c>
      <c r="DO34" s="332">
        <v>37.51</v>
      </c>
      <c r="DP34" s="328" t="s">
        <v>443</v>
      </c>
      <c r="DQ34" s="332">
        <v>37.51</v>
      </c>
      <c r="DR34" s="332">
        <v>36.67</v>
      </c>
      <c r="DS34" s="332">
        <v>30.77</v>
      </c>
      <c r="DT34" s="328">
        <v>62.51</v>
      </c>
      <c r="DU34" s="328" t="s">
        <v>443</v>
      </c>
      <c r="DV34" s="328">
        <v>71.430000000000007</v>
      </c>
      <c r="DW34" s="432"/>
      <c r="DX34" s="328" t="s">
        <v>443</v>
      </c>
      <c r="DY34" s="432"/>
      <c r="DZ34" s="328" t="s">
        <v>443</v>
      </c>
      <c r="EA34" s="328" t="s">
        <v>443</v>
      </c>
      <c r="EB34" s="328" t="s">
        <v>443</v>
      </c>
      <c r="EC34" s="432"/>
      <c r="ED34" s="328" t="s">
        <v>443</v>
      </c>
      <c r="EE34" s="328" t="s">
        <v>443</v>
      </c>
      <c r="EF34" s="432"/>
      <c r="EG34" s="332">
        <v>26.32</v>
      </c>
      <c r="EH34" s="332">
        <v>15.79</v>
      </c>
      <c r="EI34" s="432"/>
      <c r="EJ34" s="332">
        <v>13.33</v>
      </c>
      <c r="EK34" s="332">
        <v>36.64</v>
      </c>
      <c r="EL34" s="432"/>
      <c r="EM34" s="332">
        <v>24.64</v>
      </c>
      <c r="EN34" s="327">
        <v>53.49</v>
      </c>
      <c r="EO34" s="332">
        <v>0</v>
      </c>
      <c r="EP34" s="332">
        <v>38.11</v>
      </c>
      <c r="EQ34" s="332">
        <v>3.57</v>
      </c>
    </row>
    <row r="35" spans="1:147">
      <c r="A35" s="494"/>
      <c r="B35" s="325">
        <v>29</v>
      </c>
      <c r="C35" s="326" t="s">
        <v>770</v>
      </c>
      <c r="D35" s="449">
        <v>26.1</v>
      </c>
      <c r="E35" s="450">
        <v>29.26</v>
      </c>
      <c r="F35" s="451">
        <v>46.37</v>
      </c>
      <c r="G35" s="350">
        <v>-3.16</v>
      </c>
      <c r="H35" s="350">
        <v>-20.269999999999996</v>
      </c>
      <c r="I35" s="432"/>
      <c r="J35" s="328" t="s">
        <v>443</v>
      </c>
      <c r="K35" s="327">
        <v>47.06</v>
      </c>
      <c r="L35" s="332">
        <v>26.58</v>
      </c>
      <c r="M35" s="332">
        <v>23.1</v>
      </c>
      <c r="N35" s="332">
        <v>36.840000000000003</v>
      </c>
      <c r="O35" s="432"/>
      <c r="P35" s="332">
        <v>27.54</v>
      </c>
      <c r="Q35" s="332">
        <v>23.62</v>
      </c>
      <c r="R35" s="432"/>
      <c r="S35" s="332">
        <v>28</v>
      </c>
      <c r="T35" s="332">
        <v>19.14</v>
      </c>
      <c r="U35" s="332">
        <v>26.92</v>
      </c>
      <c r="V35" s="332">
        <v>33.590000000000003</v>
      </c>
      <c r="W35" s="332">
        <v>23.81</v>
      </c>
      <c r="X35" s="432"/>
      <c r="Y35" s="332">
        <v>33.770000000000003</v>
      </c>
      <c r="Z35" s="332">
        <v>23.47</v>
      </c>
      <c r="AA35" s="332">
        <v>18.420000000000002</v>
      </c>
      <c r="AB35" s="332">
        <v>32.79</v>
      </c>
      <c r="AC35" s="332">
        <v>31.65</v>
      </c>
      <c r="AD35" s="432"/>
      <c r="AE35" s="332">
        <v>25.76</v>
      </c>
      <c r="AF35" s="332">
        <v>35</v>
      </c>
      <c r="AG35" s="432"/>
      <c r="AH35" s="332">
        <v>40.11</v>
      </c>
      <c r="AI35" s="332">
        <v>25.71</v>
      </c>
      <c r="AJ35" s="332">
        <v>21.17</v>
      </c>
      <c r="AK35" s="332">
        <v>6.02</v>
      </c>
      <c r="AL35" s="432"/>
      <c r="AM35" s="332">
        <v>14.29</v>
      </c>
      <c r="AN35" s="332">
        <v>0</v>
      </c>
      <c r="AO35" s="332">
        <v>7.41</v>
      </c>
      <c r="AP35" s="328" t="s">
        <v>443</v>
      </c>
      <c r="AQ35" s="328" t="s">
        <v>443</v>
      </c>
      <c r="AR35" s="332">
        <v>10</v>
      </c>
      <c r="AS35" s="328" t="s">
        <v>443</v>
      </c>
      <c r="AT35" s="432"/>
      <c r="AU35" s="332">
        <v>36.36</v>
      </c>
      <c r="AV35" s="332">
        <v>32.479999999999997</v>
      </c>
      <c r="AW35" s="332">
        <v>31.71</v>
      </c>
      <c r="AX35" s="328" t="s">
        <v>443</v>
      </c>
      <c r="AY35" s="328" t="s">
        <v>443</v>
      </c>
      <c r="AZ35" s="332">
        <v>28.57</v>
      </c>
      <c r="BA35" s="332">
        <v>17.649999999999999</v>
      </c>
      <c r="BB35" s="432"/>
      <c r="BC35" s="328" t="s">
        <v>443</v>
      </c>
      <c r="BD35" s="328" t="s">
        <v>443</v>
      </c>
      <c r="BE35" s="332">
        <v>39.450000000000003</v>
      </c>
      <c r="BF35" s="328" t="s">
        <v>443</v>
      </c>
      <c r="BG35" s="332">
        <v>11.11</v>
      </c>
      <c r="BH35" s="332">
        <v>33.33</v>
      </c>
      <c r="BI35" s="332">
        <v>5.26</v>
      </c>
      <c r="BJ35" s="432"/>
      <c r="BK35" s="328" t="s">
        <v>443</v>
      </c>
      <c r="BL35" s="332">
        <v>16.670000000000002</v>
      </c>
      <c r="BM35" s="432"/>
      <c r="BN35" s="328" t="s">
        <v>443</v>
      </c>
      <c r="BO35" s="328" t="s">
        <v>443</v>
      </c>
      <c r="BP35" s="328" t="s">
        <v>443</v>
      </c>
      <c r="BQ35" s="328" t="s">
        <v>443</v>
      </c>
      <c r="BR35" s="432"/>
      <c r="BS35" s="328" t="s">
        <v>443</v>
      </c>
      <c r="BT35" s="328" t="s">
        <v>443</v>
      </c>
      <c r="BU35" s="332">
        <v>8.57</v>
      </c>
      <c r="BV35" s="332">
        <v>0</v>
      </c>
      <c r="BW35" s="432"/>
      <c r="BX35" s="328" t="s">
        <v>443</v>
      </c>
      <c r="BY35" s="328" t="s">
        <v>443</v>
      </c>
      <c r="BZ35" s="432"/>
      <c r="CA35" s="328" t="s">
        <v>443</v>
      </c>
      <c r="CB35" s="328" t="s">
        <v>443</v>
      </c>
      <c r="CC35" s="432"/>
      <c r="CD35" s="332">
        <v>7.41</v>
      </c>
      <c r="CE35" s="332">
        <v>15.38</v>
      </c>
      <c r="CF35" s="432"/>
      <c r="CG35" s="328" t="s">
        <v>443</v>
      </c>
      <c r="CH35" s="328" t="s">
        <v>443</v>
      </c>
      <c r="CI35" s="432"/>
      <c r="CJ35" s="328" t="s">
        <v>443</v>
      </c>
      <c r="CK35" s="328" t="s">
        <v>443</v>
      </c>
      <c r="CL35" s="328" t="s">
        <v>443</v>
      </c>
      <c r="CM35" s="332">
        <v>36.36</v>
      </c>
      <c r="CN35" s="432"/>
      <c r="CO35" s="328">
        <v>62.51</v>
      </c>
      <c r="CP35" s="332">
        <v>28.78</v>
      </c>
      <c r="CQ35" s="327">
        <v>60</v>
      </c>
      <c r="CR35" s="432"/>
      <c r="CS35" s="327">
        <v>57.14</v>
      </c>
      <c r="CT35" s="328" t="s">
        <v>443</v>
      </c>
      <c r="CU35" s="332">
        <v>28.57</v>
      </c>
      <c r="CV35" s="332">
        <v>21.43</v>
      </c>
      <c r="CW35" s="332">
        <v>0</v>
      </c>
      <c r="CX35" s="328" t="s">
        <v>443</v>
      </c>
      <c r="CY35" s="432"/>
      <c r="CZ35" s="328" t="s">
        <v>443</v>
      </c>
      <c r="DA35" s="432"/>
      <c r="DB35" s="328" t="s">
        <v>443</v>
      </c>
      <c r="DC35" s="432"/>
      <c r="DD35" s="332">
        <v>28.57</v>
      </c>
      <c r="DE35" s="432"/>
      <c r="DF35" s="332">
        <v>17.649999999999999</v>
      </c>
      <c r="DG35" s="432"/>
      <c r="DH35" s="328" t="s">
        <v>443</v>
      </c>
      <c r="DI35" s="432"/>
      <c r="DJ35" s="328" t="s">
        <v>443</v>
      </c>
      <c r="DK35" s="432"/>
      <c r="DL35" s="328" t="s">
        <v>443</v>
      </c>
      <c r="DM35" s="327">
        <v>50</v>
      </c>
      <c r="DN35" s="328">
        <v>63.64</v>
      </c>
      <c r="DO35" s="332">
        <v>31.25</v>
      </c>
      <c r="DP35" s="328" t="s">
        <v>443</v>
      </c>
      <c r="DQ35" s="332">
        <v>33.33</v>
      </c>
      <c r="DR35" s="332">
        <v>30</v>
      </c>
      <c r="DS35" s="332">
        <v>23.08</v>
      </c>
      <c r="DT35" s="327">
        <v>50</v>
      </c>
      <c r="DU35" s="328" t="s">
        <v>443</v>
      </c>
      <c r="DV35" s="328">
        <v>71.430000000000007</v>
      </c>
      <c r="DW35" s="432"/>
      <c r="DX35" s="328" t="s">
        <v>443</v>
      </c>
      <c r="DY35" s="432"/>
      <c r="DZ35" s="328" t="s">
        <v>443</v>
      </c>
      <c r="EA35" s="328" t="s">
        <v>443</v>
      </c>
      <c r="EB35" s="328" t="s">
        <v>443</v>
      </c>
      <c r="EC35" s="432"/>
      <c r="ED35" s="328" t="s">
        <v>443</v>
      </c>
      <c r="EE35" s="328" t="s">
        <v>443</v>
      </c>
      <c r="EF35" s="432"/>
      <c r="EG35" s="332">
        <v>10.53</v>
      </c>
      <c r="EH35" s="332">
        <v>0</v>
      </c>
      <c r="EI35" s="432"/>
      <c r="EJ35" s="332">
        <v>9.17</v>
      </c>
      <c r="EK35" s="332">
        <v>30.9</v>
      </c>
      <c r="EL35" s="432"/>
      <c r="EM35" s="332">
        <v>16.670000000000002</v>
      </c>
      <c r="EN35" s="332">
        <v>44.19</v>
      </c>
      <c r="EO35" s="332">
        <v>0</v>
      </c>
      <c r="EP35" s="332">
        <v>34.96</v>
      </c>
      <c r="EQ35" s="332">
        <v>0</v>
      </c>
    </row>
    <row r="36" spans="1:147">
      <c r="A36" s="494"/>
      <c r="B36" s="325">
        <v>30</v>
      </c>
      <c r="C36" s="326" t="s">
        <v>35</v>
      </c>
      <c r="D36" s="380">
        <v>54.95</v>
      </c>
      <c r="E36" s="448">
        <v>56.17</v>
      </c>
      <c r="F36" s="442">
        <v>68.23</v>
      </c>
      <c r="G36" s="350">
        <v>-1.2199999999999989</v>
      </c>
      <c r="H36" s="350">
        <v>-13.280000000000001</v>
      </c>
      <c r="I36" s="432"/>
      <c r="J36" s="328" t="s">
        <v>443</v>
      </c>
      <c r="K36" s="328">
        <v>76.47</v>
      </c>
      <c r="L36" s="327">
        <v>58.23</v>
      </c>
      <c r="M36" s="327">
        <v>51.34</v>
      </c>
      <c r="N36" s="328">
        <v>68.42</v>
      </c>
      <c r="O36" s="432"/>
      <c r="P36" s="327">
        <v>53.76</v>
      </c>
      <c r="Q36" s="327">
        <v>57</v>
      </c>
      <c r="R36" s="432"/>
      <c r="S36" s="327">
        <v>60</v>
      </c>
      <c r="T36" s="327">
        <v>47.24</v>
      </c>
      <c r="U36" s="327">
        <v>57.89</v>
      </c>
      <c r="V36" s="327">
        <v>57.03</v>
      </c>
      <c r="W36" s="328">
        <v>66.67</v>
      </c>
      <c r="X36" s="432"/>
      <c r="Y36" s="328">
        <v>66.23</v>
      </c>
      <c r="Z36" s="327">
        <v>53.27</v>
      </c>
      <c r="AA36" s="327">
        <v>49.57</v>
      </c>
      <c r="AB36" s="327">
        <v>49.18</v>
      </c>
      <c r="AC36" s="328">
        <v>60.76</v>
      </c>
      <c r="AD36" s="432"/>
      <c r="AE36" s="327">
        <v>54.56</v>
      </c>
      <c r="AF36" s="328">
        <v>65</v>
      </c>
      <c r="AG36" s="432"/>
      <c r="AH36" s="328">
        <v>71.12</v>
      </c>
      <c r="AI36" s="327">
        <v>59.05</v>
      </c>
      <c r="AJ36" s="332">
        <v>42.34</v>
      </c>
      <c r="AK36" s="332">
        <v>34.94</v>
      </c>
      <c r="AL36" s="432"/>
      <c r="AM36" s="332">
        <v>28.57</v>
      </c>
      <c r="AN36" s="332">
        <v>16.670000000000002</v>
      </c>
      <c r="AO36" s="332">
        <v>33.33</v>
      </c>
      <c r="AP36" s="328" t="s">
        <v>443</v>
      </c>
      <c r="AQ36" s="328" t="s">
        <v>443</v>
      </c>
      <c r="AR36" s="327">
        <v>46.34</v>
      </c>
      <c r="AS36" s="328" t="s">
        <v>443</v>
      </c>
      <c r="AT36" s="432"/>
      <c r="AU36" s="328">
        <v>77.27</v>
      </c>
      <c r="AV36" s="327">
        <v>55.41</v>
      </c>
      <c r="AW36" s="327">
        <v>58.54</v>
      </c>
      <c r="AX36" s="328" t="s">
        <v>443</v>
      </c>
      <c r="AY36" s="328" t="s">
        <v>443</v>
      </c>
      <c r="AZ36" s="327">
        <v>57.14</v>
      </c>
      <c r="BA36" s="327">
        <v>52.94</v>
      </c>
      <c r="BB36" s="432"/>
      <c r="BC36" s="328" t="s">
        <v>443</v>
      </c>
      <c r="BD36" s="328" t="s">
        <v>443</v>
      </c>
      <c r="BE36" s="328">
        <v>69.09</v>
      </c>
      <c r="BF36" s="328" t="s">
        <v>443</v>
      </c>
      <c r="BG36" s="332">
        <v>44.44</v>
      </c>
      <c r="BH36" s="327">
        <v>50</v>
      </c>
      <c r="BI36" s="327">
        <v>50</v>
      </c>
      <c r="BJ36" s="432"/>
      <c r="BK36" s="328" t="s">
        <v>443</v>
      </c>
      <c r="BL36" s="332">
        <v>33.33</v>
      </c>
      <c r="BM36" s="432"/>
      <c r="BN36" s="328" t="s">
        <v>443</v>
      </c>
      <c r="BO36" s="328" t="s">
        <v>443</v>
      </c>
      <c r="BP36" s="328" t="s">
        <v>443</v>
      </c>
      <c r="BQ36" s="328" t="s">
        <v>443</v>
      </c>
      <c r="BR36" s="432"/>
      <c r="BS36" s="328" t="s">
        <v>443</v>
      </c>
      <c r="BT36" s="328" t="s">
        <v>443</v>
      </c>
      <c r="BU36" s="332">
        <v>34.29</v>
      </c>
      <c r="BV36" s="332">
        <v>29.41</v>
      </c>
      <c r="BW36" s="432"/>
      <c r="BX36" s="328" t="s">
        <v>443</v>
      </c>
      <c r="BY36" s="328" t="s">
        <v>443</v>
      </c>
      <c r="BZ36" s="432"/>
      <c r="CA36" s="328" t="s">
        <v>443</v>
      </c>
      <c r="CB36" s="328" t="s">
        <v>443</v>
      </c>
      <c r="CC36" s="432"/>
      <c r="CD36" s="332">
        <v>39.29</v>
      </c>
      <c r="CE36" s="328">
        <v>61.54</v>
      </c>
      <c r="CF36" s="432"/>
      <c r="CG36" s="328" t="s">
        <v>443</v>
      </c>
      <c r="CH36" s="328" t="s">
        <v>443</v>
      </c>
      <c r="CI36" s="432"/>
      <c r="CJ36" s="328" t="s">
        <v>443</v>
      </c>
      <c r="CK36" s="328" t="s">
        <v>443</v>
      </c>
      <c r="CL36" s="328" t="s">
        <v>443</v>
      </c>
      <c r="CM36" s="328">
        <v>72.73</v>
      </c>
      <c r="CN36" s="432"/>
      <c r="CO36" s="328">
        <v>75</v>
      </c>
      <c r="CP36" s="327">
        <v>52.52</v>
      </c>
      <c r="CQ36" s="328">
        <v>80</v>
      </c>
      <c r="CR36" s="432"/>
      <c r="CS36" s="328">
        <v>71.430000000000007</v>
      </c>
      <c r="CT36" s="328" t="s">
        <v>443</v>
      </c>
      <c r="CU36" s="327">
        <v>57.14</v>
      </c>
      <c r="CV36" s="328">
        <v>71.430000000000007</v>
      </c>
      <c r="CW36" s="332">
        <v>0</v>
      </c>
      <c r="CX36" s="328" t="s">
        <v>443</v>
      </c>
      <c r="CY36" s="432"/>
      <c r="CZ36" s="328" t="s">
        <v>443</v>
      </c>
      <c r="DA36" s="432"/>
      <c r="DB36" s="328" t="s">
        <v>443</v>
      </c>
      <c r="DC36" s="432"/>
      <c r="DD36" s="327">
        <v>57.14</v>
      </c>
      <c r="DE36" s="432"/>
      <c r="DF36" s="327">
        <v>52.94</v>
      </c>
      <c r="DG36" s="432"/>
      <c r="DH36" s="328" t="s">
        <v>443</v>
      </c>
      <c r="DI36" s="432"/>
      <c r="DJ36" s="328" t="s">
        <v>443</v>
      </c>
      <c r="DK36" s="432"/>
      <c r="DL36" s="328" t="s">
        <v>443</v>
      </c>
      <c r="DM36" s="328">
        <v>62.51</v>
      </c>
      <c r="DN36" s="328">
        <v>72.73</v>
      </c>
      <c r="DO36" s="328">
        <v>76.47</v>
      </c>
      <c r="DP36" s="328" t="s">
        <v>443</v>
      </c>
      <c r="DQ36" s="329">
        <v>88.89</v>
      </c>
      <c r="DR36" s="328">
        <v>66.67</v>
      </c>
      <c r="DS36" s="327">
        <v>46.15</v>
      </c>
      <c r="DT36" s="328">
        <v>75</v>
      </c>
      <c r="DU36" s="328" t="s">
        <v>443</v>
      </c>
      <c r="DV36" s="329">
        <v>85.71</v>
      </c>
      <c r="DW36" s="432"/>
      <c r="DX36" s="328" t="s">
        <v>443</v>
      </c>
      <c r="DY36" s="432"/>
      <c r="DZ36" s="328" t="s">
        <v>443</v>
      </c>
      <c r="EA36" s="328" t="s">
        <v>443</v>
      </c>
      <c r="EB36" s="328" t="s">
        <v>443</v>
      </c>
      <c r="EC36" s="432"/>
      <c r="ED36" s="328" t="s">
        <v>443</v>
      </c>
      <c r="EE36" s="328" t="s">
        <v>443</v>
      </c>
      <c r="EF36" s="432"/>
      <c r="EG36" s="332">
        <v>42.11</v>
      </c>
      <c r="EH36" s="327">
        <v>57.89</v>
      </c>
      <c r="EI36" s="432"/>
      <c r="EJ36" s="332">
        <v>36.36</v>
      </c>
      <c r="EK36" s="327">
        <v>60.24</v>
      </c>
      <c r="EL36" s="432"/>
      <c r="EM36" s="332">
        <v>44.2</v>
      </c>
      <c r="EN36" s="327">
        <v>53.49</v>
      </c>
      <c r="EO36" s="332">
        <v>30</v>
      </c>
      <c r="EP36" s="328">
        <v>69.55</v>
      </c>
      <c r="EQ36" s="332">
        <v>21.43</v>
      </c>
    </row>
    <row r="37" spans="1:147">
      <c r="A37" s="494"/>
      <c r="B37" s="325">
        <v>31</v>
      </c>
      <c r="C37" s="326" t="s">
        <v>36</v>
      </c>
      <c r="D37" s="377">
        <v>79.59</v>
      </c>
      <c r="E37" s="441">
        <v>85.43</v>
      </c>
      <c r="F37" s="444">
        <v>90.73</v>
      </c>
      <c r="G37" s="350">
        <v>-5.8400000000000034</v>
      </c>
      <c r="H37" s="350">
        <v>-11.14</v>
      </c>
      <c r="I37" s="432"/>
      <c r="J37" s="328" t="s">
        <v>443</v>
      </c>
      <c r="K37" s="329">
        <v>87.88</v>
      </c>
      <c r="L37" s="328">
        <v>80.77</v>
      </c>
      <c r="M37" s="328">
        <v>78.7</v>
      </c>
      <c r="N37" s="328">
        <v>73.680000000000007</v>
      </c>
      <c r="O37" s="432"/>
      <c r="P37" s="328">
        <v>78.400000000000006</v>
      </c>
      <c r="Q37" s="328">
        <v>81.63</v>
      </c>
      <c r="R37" s="432"/>
      <c r="S37" s="328">
        <v>76</v>
      </c>
      <c r="T37" s="328">
        <v>73.58</v>
      </c>
      <c r="U37" s="328">
        <v>82.76</v>
      </c>
      <c r="V37" s="328">
        <v>80.16</v>
      </c>
      <c r="W37" s="329">
        <v>95.24</v>
      </c>
      <c r="X37" s="432"/>
      <c r="Y37" s="328">
        <v>82.89</v>
      </c>
      <c r="Z37" s="328">
        <v>75.239999999999995</v>
      </c>
      <c r="AA37" s="328">
        <v>79.650000000000006</v>
      </c>
      <c r="AB37" s="328">
        <v>80.33</v>
      </c>
      <c r="AC37" s="329">
        <v>87.18</v>
      </c>
      <c r="AD37" s="432"/>
      <c r="AE37" s="328">
        <v>79.77</v>
      </c>
      <c r="AF37" s="328">
        <v>75</v>
      </c>
      <c r="AG37" s="432"/>
      <c r="AH37" s="329">
        <v>90.91</v>
      </c>
      <c r="AI37" s="328">
        <v>84.76</v>
      </c>
      <c r="AJ37" s="328">
        <v>76.64</v>
      </c>
      <c r="AK37" s="327">
        <v>54.22</v>
      </c>
      <c r="AL37" s="432"/>
      <c r="AM37" s="328">
        <v>71.430000000000007</v>
      </c>
      <c r="AN37" s="328">
        <v>83.33</v>
      </c>
      <c r="AO37" s="328">
        <v>62.75</v>
      </c>
      <c r="AP37" s="328" t="s">
        <v>443</v>
      </c>
      <c r="AQ37" s="328" t="s">
        <v>443</v>
      </c>
      <c r="AR37" s="328">
        <v>67.510000000000005</v>
      </c>
      <c r="AS37" s="328" t="s">
        <v>443</v>
      </c>
      <c r="AT37" s="432"/>
      <c r="AU37" s="329">
        <v>95.24</v>
      </c>
      <c r="AV37" s="329">
        <v>85.9</v>
      </c>
      <c r="AW37" s="328">
        <v>85.37</v>
      </c>
      <c r="AX37" s="328" t="s">
        <v>443</v>
      </c>
      <c r="AY37" s="328" t="s">
        <v>443</v>
      </c>
      <c r="AZ37" s="329">
        <v>85.71</v>
      </c>
      <c r="BA37" s="327">
        <v>58.82</v>
      </c>
      <c r="BB37" s="432"/>
      <c r="BC37" s="328" t="s">
        <v>443</v>
      </c>
      <c r="BD37" s="328" t="s">
        <v>443</v>
      </c>
      <c r="BE37" s="328">
        <v>84.91</v>
      </c>
      <c r="BF37" s="328" t="s">
        <v>443</v>
      </c>
      <c r="BG37" s="329">
        <v>87.51</v>
      </c>
      <c r="BH37" s="328">
        <v>83.33</v>
      </c>
      <c r="BI37" s="328">
        <v>68.42</v>
      </c>
      <c r="BJ37" s="432"/>
      <c r="BK37" s="328" t="s">
        <v>443</v>
      </c>
      <c r="BL37" s="328">
        <v>66.67</v>
      </c>
      <c r="BM37" s="432"/>
      <c r="BN37" s="328" t="s">
        <v>443</v>
      </c>
      <c r="BO37" s="328" t="s">
        <v>443</v>
      </c>
      <c r="BP37" s="328" t="s">
        <v>443</v>
      </c>
      <c r="BQ37" s="328" t="s">
        <v>443</v>
      </c>
      <c r="BR37" s="432"/>
      <c r="BS37" s="328" t="s">
        <v>443</v>
      </c>
      <c r="BT37" s="328" t="s">
        <v>443</v>
      </c>
      <c r="BU37" s="328">
        <v>65.63</v>
      </c>
      <c r="BV37" s="327">
        <v>52.94</v>
      </c>
      <c r="BW37" s="432"/>
      <c r="BX37" s="328" t="s">
        <v>443</v>
      </c>
      <c r="BY37" s="328" t="s">
        <v>443</v>
      </c>
      <c r="BZ37" s="432"/>
      <c r="CA37" s="328" t="s">
        <v>443</v>
      </c>
      <c r="CB37" s="328" t="s">
        <v>443</v>
      </c>
      <c r="CC37" s="432"/>
      <c r="CD37" s="327">
        <v>55.56</v>
      </c>
      <c r="CE37" s="329">
        <v>92.31</v>
      </c>
      <c r="CF37" s="432"/>
      <c r="CG37" s="328" t="s">
        <v>443</v>
      </c>
      <c r="CH37" s="328" t="s">
        <v>443</v>
      </c>
      <c r="CI37" s="432"/>
      <c r="CJ37" s="328" t="s">
        <v>443</v>
      </c>
      <c r="CK37" s="328" t="s">
        <v>443</v>
      </c>
      <c r="CL37" s="328" t="s">
        <v>443</v>
      </c>
      <c r="CM37" s="329">
        <v>100</v>
      </c>
      <c r="CN37" s="432"/>
      <c r="CO37" s="329">
        <v>87.51</v>
      </c>
      <c r="CP37" s="329">
        <v>85.51</v>
      </c>
      <c r="CQ37" s="329">
        <v>90</v>
      </c>
      <c r="CR37" s="432"/>
      <c r="CS37" s="328">
        <v>71.430000000000007</v>
      </c>
      <c r="CT37" s="328" t="s">
        <v>443</v>
      </c>
      <c r="CU37" s="329">
        <v>85.71</v>
      </c>
      <c r="CV37" s="329">
        <v>85.71</v>
      </c>
      <c r="CW37" s="328">
        <v>83.33</v>
      </c>
      <c r="CX37" s="328" t="s">
        <v>443</v>
      </c>
      <c r="CY37" s="432"/>
      <c r="CZ37" s="328" t="s">
        <v>443</v>
      </c>
      <c r="DA37" s="432"/>
      <c r="DB37" s="328" t="s">
        <v>443</v>
      </c>
      <c r="DC37" s="432"/>
      <c r="DD37" s="329">
        <v>85.71</v>
      </c>
      <c r="DE37" s="432"/>
      <c r="DF37" s="327">
        <v>58.82</v>
      </c>
      <c r="DG37" s="432"/>
      <c r="DH37" s="328" t="s">
        <v>443</v>
      </c>
      <c r="DI37" s="432"/>
      <c r="DJ37" s="328" t="s">
        <v>443</v>
      </c>
      <c r="DK37" s="432"/>
      <c r="DL37" s="328" t="s">
        <v>443</v>
      </c>
      <c r="DM37" s="328">
        <v>66.67</v>
      </c>
      <c r="DN37" s="329">
        <v>90.91</v>
      </c>
      <c r="DO37" s="328">
        <v>81.25</v>
      </c>
      <c r="DP37" s="328" t="s">
        <v>443</v>
      </c>
      <c r="DQ37" s="329">
        <v>100</v>
      </c>
      <c r="DR37" s="328">
        <v>72.41</v>
      </c>
      <c r="DS37" s="329">
        <v>92.31</v>
      </c>
      <c r="DT37" s="329">
        <v>100</v>
      </c>
      <c r="DU37" s="328" t="s">
        <v>443</v>
      </c>
      <c r="DV37" s="329">
        <v>100</v>
      </c>
      <c r="DW37" s="432"/>
      <c r="DX37" s="328" t="s">
        <v>443</v>
      </c>
      <c r="DY37" s="432"/>
      <c r="DZ37" s="328" t="s">
        <v>443</v>
      </c>
      <c r="EA37" s="328" t="s">
        <v>443</v>
      </c>
      <c r="EB37" s="328" t="s">
        <v>443</v>
      </c>
      <c r="EC37" s="432"/>
      <c r="ED37" s="328" t="s">
        <v>443</v>
      </c>
      <c r="EE37" s="328" t="s">
        <v>443</v>
      </c>
      <c r="EF37" s="432"/>
      <c r="EG37" s="328">
        <v>63.16</v>
      </c>
      <c r="EH37" s="328">
        <v>73.680000000000007</v>
      </c>
      <c r="EI37" s="432"/>
      <c r="EJ37" s="328">
        <v>66.38</v>
      </c>
      <c r="EK37" s="328">
        <v>83.25</v>
      </c>
      <c r="EL37" s="432"/>
      <c r="EM37" s="328">
        <v>76.81</v>
      </c>
      <c r="EN37" s="328">
        <v>74.42</v>
      </c>
      <c r="EO37" s="327">
        <v>50</v>
      </c>
      <c r="EP37" s="329">
        <v>90.23</v>
      </c>
      <c r="EQ37" s="327">
        <v>50</v>
      </c>
    </row>
    <row r="38" spans="1:147">
      <c r="A38" s="494"/>
      <c r="B38" s="325">
        <v>32</v>
      </c>
      <c r="C38" s="326" t="s">
        <v>37</v>
      </c>
      <c r="D38" s="380">
        <v>48.96</v>
      </c>
      <c r="E38" s="448">
        <v>57.21</v>
      </c>
      <c r="F38" s="451">
        <v>60.01</v>
      </c>
      <c r="G38" s="350">
        <v>-8.25</v>
      </c>
      <c r="H38" s="350">
        <v>-11.049999999999997</v>
      </c>
      <c r="I38" s="432"/>
      <c r="J38" s="328" t="s">
        <v>443</v>
      </c>
      <c r="K38" s="328">
        <v>75.760000000000005</v>
      </c>
      <c r="L38" s="328">
        <v>62.34</v>
      </c>
      <c r="M38" s="332">
        <v>43.72</v>
      </c>
      <c r="N38" s="332">
        <v>43.75</v>
      </c>
      <c r="O38" s="432"/>
      <c r="P38" s="327">
        <v>50.3</v>
      </c>
      <c r="Q38" s="327">
        <v>46.67</v>
      </c>
      <c r="R38" s="432"/>
      <c r="S38" s="332">
        <v>31.82</v>
      </c>
      <c r="T38" s="332">
        <v>35.67</v>
      </c>
      <c r="U38" s="327">
        <v>55.67</v>
      </c>
      <c r="V38" s="327">
        <v>57.94</v>
      </c>
      <c r="W38" s="327">
        <v>47.62</v>
      </c>
      <c r="X38" s="432"/>
      <c r="Y38" s="327">
        <v>50</v>
      </c>
      <c r="Z38" s="327">
        <v>44.88</v>
      </c>
      <c r="AA38" s="327">
        <v>45.13</v>
      </c>
      <c r="AB38" s="327">
        <v>52.46</v>
      </c>
      <c r="AC38" s="328">
        <v>61.54</v>
      </c>
      <c r="AD38" s="432"/>
      <c r="AE38" s="327">
        <v>49.22</v>
      </c>
      <c r="AF38" s="332">
        <v>41.18</v>
      </c>
      <c r="AG38" s="432"/>
      <c r="AH38" s="328">
        <v>63.59</v>
      </c>
      <c r="AI38" s="327">
        <v>52.38</v>
      </c>
      <c r="AJ38" s="332">
        <v>40.74</v>
      </c>
      <c r="AK38" s="332">
        <v>24.39</v>
      </c>
      <c r="AL38" s="432"/>
      <c r="AM38" s="332">
        <v>14.29</v>
      </c>
      <c r="AN38" s="332">
        <v>33.33</v>
      </c>
      <c r="AO38" s="332">
        <v>34</v>
      </c>
      <c r="AP38" s="328" t="s">
        <v>443</v>
      </c>
      <c r="AQ38" s="328" t="s">
        <v>443</v>
      </c>
      <c r="AR38" s="332">
        <v>30</v>
      </c>
      <c r="AS38" s="328" t="s">
        <v>443</v>
      </c>
      <c r="AT38" s="432"/>
      <c r="AU38" s="328">
        <v>71.430000000000007</v>
      </c>
      <c r="AV38" s="327">
        <v>52.29</v>
      </c>
      <c r="AW38" s="328">
        <v>63.41</v>
      </c>
      <c r="AX38" s="328" t="s">
        <v>443</v>
      </c>
      <c r="AY38" s="328" t="s">
        <v>443</v>
      </c>
      <c r="AZ38" s="332">
        <v>33.33</v>
      </c>
      <c r="BA38" s="327">
        <v>47.06</v>
      </c>
      <c r="BB38" s="432"/>
      <c r="BC38" s="328" t="s">
        <v>443</v>
      </c>
      <c r="BD38" s="328" t="s">
        <v>443</v>
      </c>
      <c r="BE38" s="327">
        <v>55.14</v>
      </c>
      <c r="BF38" s="328" t="s">
        <v>443</v>
      </c>
      <c r="BG38" s="327">
        <v>50</v>
      </c>
      <c r="BH38" s="328">
        <v>66.67</v>
      </c>
      <c r="BI38" s="327">
        <v>45.95</v>
      </c>
      <c r="BJ38" s="432"/>
      <c r="BK38" s="328" t="s">
        <v>443</v>
      </c>
      <c r="BL38" s="332">
        <v>16.670000000000002</v>
      </c>
      <c r="BM38" s="432"/>
      <c r="BN38" s="328" t="s">
        <v>443</v>
      </c>
      <c r="BO38" s="328" t="s">
        <v>443</v>
      </c>
      <c r="BP38" s="328" t="s">
        <v>443</v>
      </c>
      <c r="BQ38" s="328" t="s">
        <v>443</v>
      </c>
      <c r="BR38" s="432"/>
      <c r="BS38" s="328" t="s">
        <v>443</v>
      </c>
      <c r="BT38" s="328" t="s">
        <v>443</v>
      </c>
      <c r="BU38" s="332">
        <v>32.26</v>
      </c>
      <c r="BV38" s="332">
        <v>35.29</v>
      </c>
      <c r="BW38" s="432"/>
      <c r="BX38" s="328" t="s">
        <v>443</v>
      </c>
      <c r="BY38" s="328" t="s">
        <v>443</v>
      </c>
      <c r="BZ38" s="432"/>
      <c r="CA38" s="328" t="s">
        <v>443</v>
      </c>
      <c r="CB38" s="328" t="s">
        <v>443</v>
      </c>
      <c r="CC38" s="432"/>
      <c r="CD38" s="332">
        <v>33.33</v>
      </c>
      <c r="CE38" s="332">
        <v>23.08</v>
      </c>
      <c r="CF38" s="432"/>
      <c r="CG38" s="328" t="s">
        <v>443</v>
      </c>
      <c r="CH38" s="328" t="s">
        <v>443</v>
      </c>
      <c r="CI38" s="432"/>
      <c r="CJ38" s="328" t="s">
        <v>443</v>
      </c>
      <c r="CK38" s="328" t="s">
        <v>443</v>
      </c>
      <c r="CL38" s="328" t="s">
        <v>443</v>
      </c>
      <c r="CM38" s="328">
        <v>63.64</v>
      </c>
      <c r="CN38" s="432"/>
      <c r="CO38" s="329">
        <v>87.51</v>
      </c>
      <c r="CP38" s="327">
        <v>48.89</v>
      </c>
      <c r="CQ38" s="328">
        <v>70</v>
      </c>
      <c r="CR38" s="432"/>
      <c r="CS38" s="328">
        <v>71.430000000000007</v>
      </c>
      <c r="CT38" s="328" t="s">
        <v>443</v>
      </c>
      <c r="CU38" s="328">
        <v>71.430000000000007</v>
      </c>
      <c r="CV38" s="328">
        <v>71.430000000000007</v>
      </c>
      <c r="CW38" s="332">
        <v>16.670000000000002</v>
      </c>
      <c r="CX38" s="328" t="s">
        <v>443</v>
      </c>
      <c r="CY38" s="432"/>
      <c r="CZ38" s="328" t="s">
        <v>443</v>
      </c>
      <c r="DA38" s="432"/>
      <c r="DB38" s="328" t="s">
        <v>443</v>
      </c>
      <c r="DC38" s="432"/>
      <c r="DD38" s="332">
        <v>33.33</v>
      </c>
      <c r="DE38" s="432"/>
      <c r="DF38" s="327">
        <v>47.06</v>
      </c>
      <c r="DG38" s="432"/>
      <c r="DH38" s="328" t="s">
        <v>443</v>
      </c>
      <c r="DI38" s="432"/>
      <c r="DJ38" s="328" t="s">
        <v>443</v>
      </c>
      <c r="DK38" s="432"/>
      <c r="DL38" s="328" t="s">
        <v>443</v>
      </c>
      <c r="DM38" s="332">
        <v>42.86</v>
      </c>
      <c r="DN38" s="328">
        <v>81.819999999999993</v>
      </c>
      <c r="DO38" s="328">
        <v>62.51</v>
      </c>
      <c r="DP38" s="328" t="s">
        <v>443</v>
      </c>
      <c r="DQ38" s="327">
        <v>55.56</v>
      </c>
      <c r="DR38" s="332">
        <v>27.59</v>
      </c>
      <c r="DS38" s="327">
        <v>46.15</v>
      </c>
      <c r="DT38" s="328">
        <v>75</v>
      </c>
      <c r="DU38" s="328" t="s">
        <v>443</v>
      </c>
      <c r="DV38" s="329">
        <v>85.71</v>
      </c>
      <c r="DW38" s="432"/>
      <c r="DX38" s="328" t="s">
        <v>443</v>
      </c>
      <c r="DY38" s="432"/>
      <c r="DZ38" s="328" t="s">
        <v>443</v>
      </c>
      <c r="EA38" s="328" t="s">
        <v>443</v>
      </c>
      <c r="EB38" s="328" t="s">
        <v>443</v>
      </c>
      <c r="EC38" s="432"/>
      <c r="ED38" s="328" t="s">
        <v>443</v>
      </c>
      <c r="EE38" s="328" t="s">
        <v>443</v>
      </c>
      <c r="EF38" s="432"/>
      <c r="EG38" s="332">
        <v>44.44</v>
      </c>
      <c r="EH38" s="327">
        <v>47.37</v>
      </c>
      <c r="EI38" s="432"/>
      <c r="EJ38" s="332">
        <v>30.43</v>
      </c>
      <c r="EK38" s="327">
        <v>54.11</v>
      </c>
      <c r="EL38" s="432"/>
      <c r="EM38" s="332">
        <v>40.880000000000003</v>
      </c>
      <c r="EN38" s="327">
        <v>48.78</v>
      </c>
      <c r="EO38" s="332">
        <v>30</v>
      </c>
      <c r="EP38" s="328">
        <v>60.69</v>
      </c>
      <c r="EQ38" s="332">
        <v>19.64</v>
      </c>
    </row>
    <row r="39" spans="1:147">
      <c r="A39" s="494"/>
      <c r="B39" s="325">
        <v>33</v>
      </c>
      <c r="C39" s="326" t="s">
        <v>38</v>
      </c>
      <c r="D39" s="377">
        <v>63.36</v>
      </c>
      <c r="E39" s="441">
        <v>63.48</v>
      </c>
      <c r="F39" s="442">
        <v>64.290000000000006</v>
      </c>
      <c r="G39" s="350">
        <v>-0.11999999999999744</v>
      </c>
      <c r="H39" s="350">
        <v>-0.93000000000000682</v>
      </c>
      <c r="I39" s="432"/>
      <c r="J39" s="328" t="s">
        <v>443</v>
      </c>
      <c r="K39" s="328">
        <v>69.7</v>
      </c>
      <c r="L39" s="328">
        <v>73.08</v>
      </c>
      <c r="M39" s="327">
        <v>59.1</v>
      </c>
      <c r="N39" s="329">
        <v>94.44</v>
      </c>
      <c r="O39" s="432"/>
      <c r="P39" s="328">
        <v>66.08</v>
      </c>
      <c r="Q39" s="327">
        <v>58.67</v>
      </c>
      <c r="R39" s="432"/>
      <c r="S39" s="329">
        <v>91.67</v>
      </c>
      <c r="T39" s="327">
        <v>50.94</v>
      </c>
      <c r="U39" s="328">
        <v>65.37</v>
      </c>
      <c r="V39" s="328">
        <v>69.05</v>
      </c>
      <c r="W39" s="328">
        <v>71.430000000000007</v>
      </c>
      <c r="X39" s="432"/>
      <c r="Y39" s="328">
        <v>75</v>
      </c>
      <c r="Z39" s="327">
        <v>58.94</v>
      </c>
      <c r="AA39" s="327">
        <v>59.29</v>
      </c>
      <c r="AB39" s="328">
        <v>67.209999999999994</v>
      </c>
      <c r="AC39" s="328">
        <v>66.67</v>
      </c>
      <c r="AD39" s="432"/>
      <c r="AE39" s="328">
        <v>62.4</v>
      </c>
      <c r="AF39" s="329">
        <v>89.47</v>
      </c>
      <c r="AG39" s="432"/>
      <c r="AH39" s="328">
        <v>80.650000000000006</v>
      </c>
      <c r="AI39" s="328">
        <v>70.48</v>
      </c>
      <c r="AJ39" s="327">
        <v>50.36</v>
      </c>
      <c r="AK39" s="332">
        <v>38.549999999999997</v>
      </c>
      <c r="AL39" s="432"/>
      <c r="AM39" s="327">
        <v>57.14</v>
      </c>
      <c r="AN39" s="328">
        <v>66.67</v>
      </c>
      <c r="AO39" s="327">
        <v>49.02</v>
      </c>
      <c r="AP39" s="328" t="s">
        <v>443</v>
      </c>
      <c r="AQ39" s="328" t="s">
        <v>443</v>
      </c>
      <c r="AR39" s="332">
        <v>37.51</v>
      </c>
      <c r="AS39" s="328" t="s">
        <v>443</v>
      </c>
      <c r="AT39" s="432"/>
      <c r="AU39" s="329">
        <v>90.48</v>
      </c>
      <c r="AV39" s="328">
        <v>68.39</v>
      </c>
      <c r="AW39" s="328">
        <v>80.489999999999995</v>
      </c>
      <c r="AX39" s="328" t="s">
        <v>443</v>
      </c>
      <c r="AY39" s="328" t="s">
        <v>443</v>
      </c>
      <c r="AZ39" s="332">
        <v>28.57</v>
      </c>
      <c r="BA39" s="332">
        <v>35.29</v>
      </c>
      <c r="BB39" s="432"/>
      <c r="BC39" s="328" t="s">
        <v>443</v>
      </c>
      <c r="BD39" s="328" t="s">
        <v>443</v>
      </c>
      <c r="BE39" s="328">
        <v>66.67</v>
      </c>
      <c r="BF39" s="328" t="s">
        <v>443</v>
      </c>
      <c r="BG39" s="328">
        <v>62.51</v>
      </c>
      <c r="BH39" s="327">
        <v>50</v>
      </c>
      <c r="BI39" s="328">
        <v>63.16</v>
      </c>
      <c r="BJ39" s="432"/>
      <c r="BK39" s="328" t="s">
        <v>443</v>
      </c>
      <c r="BL39" s="327">
        <v>50</v>
      </c>
      <c r="BM39" s="432"/>
      <c r="BN39" s="328" t="s">
        <v>443</v>
      </c>
      <c r="BO39" s="328" t="s">
        <v>443</v>
      </c>
      <c r="BP39" s="328" t="s">
        <v>443</v>
      </c>
      <c r="BQ39" s="328" t="s">
        <v>443</v>
      </c>
      <c r="BR39" s="432"/>
      <c r="BS39" s="328" t="s">
        <v>443</v>
      </c>
      <c r="BT39" s="328" t="s">
        <v>443</v>
      </c>
      <c r="BU39" s="332">
        <v>43.75</v>
      </c>
      <c r="BV39" s="327">
        <v>58.82</v>
      </c>
      <c r="BW39" s="432"/>
      <c r="BX39" s="328" t="s">
        <v>443</v>
      </c>
      <c r="BY39" s="328" t="s">
        <v>443</v>
      </c>
      <c r="BZ39" s="432"/>
      <c r="CA39" s="328" t="s">
        <v>443</v>
      </c>
      <c r="CB39" s="328" t="s">
        <v>443</v>
      </c>
      <c r="CC39" s="432"/>
      <c r="CD39" s="332">
        <v>37.04</v>
      </c>
      <c r="CE39" s="332">
        <v>38.46</v>
      </c>
      <c r="CF39" s="432"/>
      <c r="CG39" s="328" t="s">
        <v>443</v>
      </c>
      <c r="CH39" s="328" t="s">
        <v>443</v>
      </c>
      <c r="CI39" s="432"/>
      <c r="CJ39" s="328" t="s">
        <v>443</v>
      </c>
      <c r="CK39" s="328" t="s">
        <v>443</v>
      </c>
      <c r="CL39" s="328" t="s">
        <v>443</v>
      </c>
      <c r="CM39" s="329">
        <v>100</v>
      </c>
      <c r="CN39" s="432"/>
      <c r="CO39" s="329">
        <v>87.51</v>
      </c>
      <c r="CP39" s="328">
        <v>67.88</v>
      </c>
      <c r="CQ39" s="327">
        <v>60</v>
      </c>
      <c r="CR39" s="432"/>
      <c r="CS39" s="328">
        <v>71.430000000000007</v>
      </c>
      <c r="CT39" s="328" t="s">
        <v>443</v>
      </c>
      <c r="CU39" s="329">
        <v>85.71</v>
      </c>
      <c r="CV39" s="329">
        <v>92.86</v>
      </c>
      <c r="CW39" s="327">
        <v>50</v>
      </c>
      <c r="CX39" s="328" t="s">
        <v>443</v>
      </c>
      <c r="CY39" s="432"/>
      <c r="CZ39" s="328" t="s">
        <v>443</v>
      </c>
      <c r="DA39" s="432"/>
      <c r="DB39" s="328" t="s">
        <v>443</v>
      </c>
      <c r="DC39" s="432"/>
      <c r="DD39" s="332">
        <v>28.57</v>
      </c>
      <c r="DE39" s="432"/>
      <c r="DF39" s="332">
        <v>35.29</v>
      </c>
      <c r="DG39" s="432"/>
      <c r="DH39" s="328" t="s">
        <v>443</v>
      </c>
      <c r="DI39" s="432"/>
      <c r="DJ39" s="328" t="s">
        <v>443</v>
      </c>
      <c r="DK39" s="432"/>
      <c r="DL39" s="328" t="s">
        <v>443</v>
      </c>
      <c r="DM39" s="327">
        <v>57.14</v>
      </c>
      <c r="DN39" s="328">
        <v>72.73</v>
      </c>
      <c r="DO39" s="328">
        <v>75</v>
      </c>
      <c r="DP39" s="328" t="s">
        <v>443</v>
      </c>
      <c r="DQ39" s="329">
        <v>88.89</v>
      </c>
      <c r="DR39" s="332">
        <v>43.33</v>
      </c>
      <c r="DS39" s="328">
        <v>76.92</v>
      </c>
      <c r="DT39" s="328">
        <v>62.51</v>
      </c>
      <c r="DU39" s="328" t="s">
        <v>443</v>
      </c>
      <c r="DV39" s="329">
        <v>100</v>
      </c>
      <c r="DW39" s="432"/>
      <c r="DX39" s="328" t="s">
        <v>443</v>
      </c>
      <c r="DY39" s="432"/>
      <c r="DZ39" s="328" t="s">
        <v>443</v>
      </c>
      <c r="EA39" s="328" t="s">
        <v>443</v>
      </c>
      <c r="EB39" s="328" t="s">
        <v>443</v>
      </c>
      <c r="EC39" s="432"/>
      <c r="ED39" s="328" t="s">
        <v>443</v>
      </c>
      <c r="EE39" s="328" t="s">
        <v>443</v>
      </c>
      <c r="EF39" s="432"/>
      <c r="EG39" s="328">
        <v>63.16</v>
      </c>
      <c r="EH39" s="328">
        <v>63.16</v>
      </c>
      <c r="EI39" s="432"/>
      <c r="EJ39" s="327">
        <v>47.41</v>
      </c>
      <c r="EK39" s="328">
        <v>67.78</v>
      </c>
      <c r="EL39" s="432"/>
      <c r="EM39" s="327">
        <v>59.42</v>
      </c>
      <c r="EN39" s="327">
        <v>60.47</v>
      </c>
      <c r="EO39" s="332">
        <v>30</v>
      </c>
      <c r="EP39" s="328">
        <v>73.959999999999994</v>
      </c>
      <c r="EQ39" s="332">
        <v>37.51</v>
      </c>
    </row>
    <row r="40" spans="1:147">
      <c r="A40" s="494"/>
      <c r="B40" s="325">
        <v>34</v>
      </c>
      <c r="C40" s="326" t="s">
        <v>39</v>
      </c>
      <c r="D40" s="380">
        <v>53.31</v>
      </c>
      <c r="E40" s="448">
        <v>59.3</v>
      </c>
      <c r="F40" s="442">
        <v>68.75</v>
      </c>
      <c r="G40" s="350">
        <v>-5.9899999999999949</v>
      </c>
      <c r="H40" s="350">
        <v>-15.439999999999998</v>
      </c>
      <c r="I40" s="432"/>
      <c r="J40" s="328" t="s">
        <v>443</v>
      </c>
      <c r="K40" s="327">
        <v>48.48</v>
      </c>
      <c r="L40" s="328">
        <v>66.67</v>
      </c>
      <c r="M40" s="327">
        <v>50.25</v>
      </c>
      <c r="N40" s="328">
        <v>70.59</v>
      </c>
      <c r="O40" s="432"/>
      <c r="P40" s="327">
        <v>52.99</v>
      </c>
      <c r="Q40" s="327">
        <v>53.85</v>
      </c>
      <c r="R40" s="432"/>
      <c r="S40" s="328">
        <v>60.87</v>
      </c>
      <c r="T40" s="332">
        <v>42.31</v>
      </c>
      <c r="U40" s="327">
        <v>56.65</v>
      </c>
      <c r="V40" s="327">
        <v>60.32</v>
      </c>
      <c r="W40" s="327">
        <v>52.38</v>
      </c>
      <c r="X40" s="432"/>
      <c r="Y40" s="327">
        <v>55.56</v>
      </c>
      <c r="Z40" s="327">
        <v>48.29</v>
      </c>
      <c r="AA40" s="327">
        <v>47.79</v>
      </c>
      <c r="AB40" s="328">
        <v>65.569999999999993</v>
      </c>
      <c r="AC40" s="328">
        <v>62.82</v>
      </c>
      <c r="AD40" s="432"/>
      <c r="AE40" s="327">
        <v>52.84</v>
      </c>
      <c r="AF40" s="328">
        <v>66.67</v>
      </c>
      <c r="AG40" s="432"/>
      <c r="AH40" s="328">
        <v>65.41</v>
      </c>
      <c r="AI40" s="327">
        <v>59.05</v>
      </c>
      <c r="AJ40" s="327">
        <v>46.67</v>
      </c>
      <c r="AK40" s="332">
        <v>31.71</v>
      </c>
      <c r="AL40" s="432"/>
      <c r="AM40" s="332">
        <v>42.86</v>
      </c>
      <c r="AN40" s="332">
        <v>33.33</v>
      </c>
      <c r="AO40" s="332">
        <v>33.33</v>
      </c>
      <c r="AP40" s="328" t="s">
        <v>443</v>
      </c>
      <c r="AQ40" s="328" t="s">
        <v>443</v>
      </c>
      <c r="AR40" s="332">
        <v>23.08</v>
      </c>
      <c r="AS40" s="328" t="s">
        <v>443</v>
      </c>
      <c r="AT40" s="432"/>
      <c r="AU40" s="327">
        <v>47.62</v>
      </c>
      <c r="AV40" s="328">
        <v>66.23</v>
      </c>
      <c r="AW40" s="328">
        <v>60.98</v>
      </c>
      <c r="AX40" s="328" t="s">
        <v>443</v>
      </c>
      <c r="AY40" s="328" t="s">
        <v>443</v>
      </c>
      <c r="AZ40" s="328">
        <v>83.33</v>
      </c>
      <c r="BA40" s="332">
        <v>41.18</v>
      </c>
      <c r="BB40" s="432"/>
      <c r="BC40" s="328" t="s">
        <v>443</v>
      </c>
      <c r="BD40" s="328" t="s">
        <v>443</v>
      </c>
      <c r="BE40" s="327">
        <v>51.89</v>
      </c>
      <c r="BF40" s="328" t="s">
        <v>443</v>
      </c>
      <c r="BG40" s="328">
        <v>75</v>
      </c>
      <c r="BH40" s="328">
        <v>66.67</v>
      </c>
      <c r="BI40" s="327">
        <v>51.35</v>
      </c>
      <c r="BJ40" s="432"/>
      <c r="BK40" s="328" t="s">
        <v>443</v>
      </c>
      <c r="BL40" s="332">
        <v>33.33</v>
      </c>
      <c r="BM40" s="432"/>
      <c r="BN40" s="328" t="s">
        <v>443</v>
      </c>
      <c r="BO40" s="328" t="s">
        <v>443</v>
      </c>
      <c r="BP40" s="328" t="s">
        <v>443</v>
      </c>
      <c r="BQ40" s="328" t="s">
        <v>443</v>
      </c>
      <c r="BR40" s="432"/>
      <c r="BS40" s="328" t="s">
        <v>443</v>
      </c>
      <c r="BT40" s="328" t="s">
        <v>443</v>
      </c>
      <c r="BU40" s="332">
        <v>28.13</v>
      </c>
      <c r="BV40" s="332">
        <v>41.18</v>
      </c>
      <c r="BW40" s="432"/>
      <c r="BX40" s="328" t="s">
        <v>443</v>
      </c>
      <c r="BY40" s="328" t="s">
        <v>443</v>
      </c>
      <c r="BZ40" s="432"/>
      <c r="CA40" s="328" t="s">
        <v>443</v>
      </c>
      <c r="CB40" s="328" t="s">
        <v>443</v>
      </c>
      <c r="CC40" s="432"/>
      <c r="CD40" s="332">
        <v>15.38</v>
      </c>
      <c r="CE40" s="332">
        <v>38.46</v>
      </c>
      <c r="CF40" s="432"/>
      <c r="CG40" s="328" t="s">
        <v>443</v>
      </c>
      <c r="CH40" s="328" t="s">
        <v>443</v>
      </c>
      <c r="CI40" s="432"/>
      <c r="CJ40" s="328" t="s">
        <v>443</v>
      </c>
      <c r="CK40" s="328" t="s">
        <v>443</v>
      </c>
      <c r="CL40" s="328" t="s">
        <v>443</v>
      </c>
      <c r="CM40" s="327">
        <v>54.55</v>
      </c>
      <c r="CN40" s="432"/>
      <c r="CO40" s="328">
        <v>75</v>
      </c>
      <c r="CP40" s="328">
        <v>67.650000000000006</v>
      </c>
      <c r="CQ40" s="332">
        <v>40</v>
      </c>
      <c r="CR40" s="432"/>
      <c r="CS40" s="332">
        <v>42.86</v>
      </c>
      <c r="CT40" s="328" t="s">
        <v>443</v>
      </c>
      <c r="CU40" s="328">
        <v>71.430000000000007</v>
      </c>
      <c r="CV40" s="328">
        <v>78.569999999999993</v>
      </c>
      <c r="CW40" s="332">
        <v>33.33</v>
      </c>
      <c r="CX40" s="328" t="s">
        <v>443</v>
      </c>
      <c r="CY40" s="432"/>
      <c r="CZ40" s="328" t="s">
        <v>443</v>
      </c>
      <c r="DA40" s="432"/>
      <c r="DB40" s="328" t="s">
        <v>443</v>
      </c>
      <c r="DC40" s="432"/>
      <c r="DD40" s="328">
        <v>83.33</v>
      </c>
      <c r="DE40" s="432"/>
      <c r="DF40" s="332">
        <v>41.18</v>
      </c>
      <c r="DG40" s="432"/>
      <c r="DH40" s="328" t="s">
        <v>443</v>
      </c>
      <c r="DI40" s="432"/>
      <c r="DJ40" s="328" t="s">
        <v>443</v>
      </c>
      <c r="DK40" s="432"/>
      <c r="DL40" s="328" t="s">
        <v>443</v>
      </c>
      <c r="DM40" s="332">
        <v>28.57</v>
      </c>
      <c r="DN40" s="327">
        <v>54.55</v>
      </c>
      <c r="DO40" s="327">
        <v>60</v>
      </c>
      <c r="DP40" s="328" t="s">
        <v>443</v>
      </c>
      <c r="DQ40" s="328">
        <v>66.67</v>
      </c>
      <c r="DR40" s="332">
        <v>37.93</v>
      </c>
      <c r="DS40" s="332">
        <v>38.46</v>
      </c>
      <c r="DT40" s="328">
        <v>75</v>
      </c>
      <c r="DU40" s="328" t="s">
        <v>443</v>
      </c>
      <c r="DV40" s="329">
        <v>85.71</v>
      </c>
      <c r="DW40" s="432"/>
      <c r="DX40" s="328" t="s">
        <v>443</v>
      </c>
      <c r="DY40" s="432"/>
      <c r="DZ40" s="328" t="s">
        <v>443</v>
      </c>
      <c r="EA40" s="328" t="s">
        <v>443</v>
      </c>
      <c r="EB40" s="328" t="s">
        <v>443</v>
      </c>
      <c r="EC40" s="432"/>
      <c r="ED40" s="328" t="s">
        <v>443</v>
      </c>
      <c r="EE40" s="328" t="s">
        <v>443</v>
      </c>
      <c r="EF40" s="432"/>
      <c r="EG40" s="328">
        <v>72.22</v>
      </c>
      <c r="EH40" s="332">
        <v>31.58</v>
      </c>
      <c r="EI40" s="432"/>
      <c r="EJ40" s="332">
        <v>31.3</v>
      </c>
      <c r="EK40" s="327">
        <v>59.42</v>
      </c>
      <c r="EL40" s="432"/>
      <c r="EM40" s="327">
        <v>57.66</v>
      </c>
      <c r="EN40" s="332">
        <v>37.51</v>
      </c>
      <c r="EO40" s="332">
        <v>11.11</v>
      </c>
      <c r="EP40" s="328">
        <v>61.89</v>
      </c>
      <c r="EQ40" s="332">
        <v>23.21</v>
      </c>
    </row>
    <row r="41" spans="1:147">
      <c r="A41" s="494"/>
      <c r="B41" s="325">
        <v>35</v>
      </c>
      <c r="C41" s="326" t="s">
        <v>40</v>
      </c>
      <c r="D41" s="378">
        <v>86.17</v>
      </c>
      <c r="E41" s="443">
        <v>87.96</v>
      </c>
      <c r="F41" s="444">
        <v>88.94</v>
      </c>
      <c r="G41" s="350">
        <v>-1.789999999999992</v>
      </c>
      <c r="H41" s="350">
        <v>-2.769999999999996</v>
      </c>
      <c r="I41" s="432"/>
      <c r="J41" s="328" t="s">
        <v>443</v>
      </c>
      <c r="K41" s="329">
        <v>100</v>
      </c>
      <c r="L41" s="329">
        <v>87.18</v>
      </c>
      <c r="M41" s="328">
        <v>84.75</v>
      </c>
      <c r="N41" s="328">
        <v>84.21</v>
      </c>
      <c r="O41" s="432"/>
      <c r="P41" s="328">
        <v>85</v>
      </c>
      <c r="Q41" s="329">
        <v>88.21</v>
      </c>
      <c r="R41" s="432"/>
      <c r="S41" s="328">
        <v>84</v>
      </c>
      <c r="T41" s="328">
        <v>77.849999999999994</v>
      </c>
      <c r="U41" s="329">
        <v>89.76</v>
      </c>
      <c r="V41" s="329">
        <v>91.27</v>
      </c>
      <c r="W41" s="329">
        <v>85.71</v>
      </c>
      <c r="X41" s="432"/>
      <c r="Y41" s="328">
        <v>79.22</v>
      </c>
      <c r="Z41" s="328">
        <v>85.44</v>
      </c>
      <c r="AA41" s="329">
        <v>86.73</v>
      </c>
      <c r="AB41" s="328">
        <v>85.25</v>
      </c>
      <c r="AC41" s="329">
        <v>94.87</v>
      </c>
      <c r="AD41" s="432"/>
      <c r="AE41" s="329">
        <v>86.21</v>
      </c>
      <c r="AF41" s="328">
        <v>85</v>
      </c>
      <c r="AG41" s="432"/>
      <c r="AH41" s="329">
        <v>96.24</v>
      </c>
      <c r="AI41" s="329">
        <v>86.67</v>
      </c>
      <c r="AJ41" s="328">
        <v>82.48</v>
      </c>
      <c r="AK41" s="328">
        <v>69.88</v>
      </c>
      <c r="AL41" s="432"/>
      <c r="AM41" s="329">
        <v>85.71</v>
      </c>
      <c r="AN41" s="328">
        <v>83.33</v>
      </c>
      <c r="AO41" s="328">
        <v>62.75</v>
      </c>
      <c r="AP41" s="328" t="s">
        <v>443</v>
      </c>
      <c r="AQ41" s="328" t="s">
        <v>443</v>
      </c>
      <c r="AR41" s="328">
        <v>79.489999999999995</v>
      </c>
      <c r="AS41" s="328" t="s">
        <v>443</v>
      </c>
      <c r="AT41" s="432"/>
      <c r="AU41" s="329">
        <v>100</v>
      </c>
      <c r="AV41" s="329">
        <v>91.03</v>
      </c>
      <c r="AW41" s="329">
        <v>97.56</v>
      </c>
      <c r="AX41" s="328" t="s">
        <v>443</v>
      </c>
      <c r="AY41" s="328" t="s">
        <v>443</v>
      </c>
      <c r="AZ41" s="329">
        <v>100</v>
      </c>
      <c r="BA41" s="329">
        <v>94.12</v>
      </c>
      <c r="BB41" s="432"/>
      <c r="BC41" s="328" t="s">
        <v>443</v>
      </c>
      <c r="BD41" s="328" t="s">
        <v>443</v>
      </c>
      <c r="BE41" s="328">
        <v>84.26</v>
      </c>
      <c r="BF41" s="328" t="s">
        <v>443</v>
      </c>
      <c r="BG41" s="329">
        <v>100</v>
      </c>
      <c r="BH41" s="329">
        <v>100</v>
      </c>
      <c r="BI41" s="328">
        <v>78.95</v>
      </c>
      <c r="BJ41" s="432"/>
      <c r="BK41" s="328" t="s">
        <v>443</v>
      </c>
      <c r="BL41" s="328">
        <v>83.33</v>
      </c>
      <c r="BM41" s="432"/>
      <c r="BN41" s="328" t="s">
        <v>443</v>
      </c>
      <c r="BO41" s="328" t="s">
        <v>443</v>
      </c>
      <c r="BP41" s="328" t="s">
        <v>443</v>
      </c>
      <c r="BQ41" s="328" t="s">
        <v>443</v>
      </c>
      <c r="BR41" s="432"/>
      <c r="BS41" s="328" t="s">
        <v>443</v>
      </c>
      <c r="BT41" s="328" t="s">
        <v>443</v>
      </c>
      <c r="BU41" s="328">
        <v>62.51</v>
      </c>
      <c r="BV41" s="327">
        <v>58.82</v>
      </c>
      <c r="BW41" s="432"/>
      <c r="BX41" s="328" t="s">
        <v>443</v>
      </c>
      <c r="BY41" s="328" t="s">
        <v>443</v>
      </c>
      <c r="BZ41" s="432"/>
      <c r="CA41" s="328" t="s">
        <v>443</v>
      </c>
      <c r="CB41" s="328" t="s">
        <v>443</v>
      </c>
      <c r="CC41" s="432"/>
      <c r="CD41" s="328">
        <v>73.08</v>
      </c>
      <c r="CE41" s="329">
        <v>92.31</v>
      </c>
      <c r="CF41" s="432"/>
      <c r="CG41" s="328" t="s">
        <v>443</v>
      </c>
      <c r="CH41" s="328" t="s">
        <v>443</v>
      </c>
      <c r="CI41" s="432"/>
      <c r="CJ41" s="328" t="s">
        <v>443</v>
      </c>
      <c r="CK41" s="328" t="s">
        <v>443</v>
      </c>
      <c r="CL41" s="328" t="s">
        <v>443</v>
      </c>
      <c r="CM41" s="329">
        <v>100</v>
      </c>
      <c r="CN41" s="432"/>
      <c r="CO41" s="329">
        <v>100</v>
      </c>
      <c r="CP41" s="329">
        <v>91.3</v>
      </c>
      <c r="CQ41" s="328">
        <v>80</v>
      </c>
      <c r="CR41" s="432"/>
      <c r="CS41" s="329">
        <v>100</v>
      </c>
      <c r="CT41" s="328" t="s">
        <v>443</v>
      </c>
      <c r="CU41" s="329">
        <v>100</v>
      </c>
      <c r="CV41" s="329">
        <v>100</v>
      </c>
      <c r="CW41" s="328">
        <v>83.33</v>
      </c>
      <c r="CX41" s="328" t="s">
        <v>443</v>
      </c>
      <c r="CY41" s="432"/>
      <c r="CZ41" s="328" t="s">
        <v>443</v>
      </c>
      <c r="DA41" s="432"/>
      <c r="DB41" s="328" t="s">
        <v>443</v>
      </c>
      <c r="DC41" s="432"/>
      <c r="DD41" s="329">
        <v>100</v>
      </c>
      <c r="DE41" s="432"/>
      <c r="DF41" s="329">
        <v>94.12</v>
      </c>
      <c r="DG41" s="432"/>
      <c r="DH41" s="328" t="s">
        <v>443</v>
      </c>
      <c r="DI41" s="432"/>
      <c r="DJ41" s="328" t="s">
        <v>443</v>
      </c>
      <c r="DK41" s="432"/>
      <c r="DL41" s="328" t="s">
        <v>443</v>
      </c>
      <c r="DM41" s="329">
        <v>85.71</v>
      </c>
      <c r="DN41" s="328">
        <v>81.819999999999993</v>
      </c>
      <c r="DO41" s="329">
        <v>93.75</v>
      </c>
      <c r="DP41" s="328" t="s">
        <v>443</v>
      </c>
      <c r="DQ41" s="329">
        <v>100</v>
      </c>
      <c r="DR41" s="327">
        <v>60</v>
      </c>
      <c r="DS41" s="329">
        <v>92.31</v>
      </c>
      <c r="DT41" s="329">
        <v>100</v>
      </c>
      <c r="DU41" s="328" t="s">
        <v>443</v>
      </c>
      <c r="DV41" s="329">
        <v>100</v>
      </c>
      <c r="DW41" s="432"/>
      <c r="DX41" s="328" t="s">
        <v>443</v>
      </c>
      <c r="DY41" s="432"/>
      <c r="DZ41" s="328" t="s">
        <v>443</v>
      </c>
      <c r="EA41" s="328" t="s">
        <v>443</v>
      </c>
      <c r="EB41" s="328" t="s">
        <v>443</v>
      </c>
      <c r="EC41" s="432"/>
      <c r="ED41" s="328" t="s">
        <v>443</v>
      </c>
      <c r="EE41" s="328" t="s">
        <v>443</v>
      </c>
      <c r="EF41" s="432"/>
      <c r="EG41" s="328">
        <v>73.680000000000007</v>
      </c>
      <c r="EH41" s="328">
        <v>84.21</v>
      </c>
      <c r="EI41" s="432"/>
      <c r="EJ41" s="328">
        <v>72.17</v>
      </c>
      <c r="EK41" s="329">
        <v>90</v>
      </c>
      <c r="EL41" s="432"/>
      <c r="EM41" s="329">
        <v>89.13</v>
      </c>
      <c r="EN41" s="328">
        <v>76.739999999999995</v>
      </c>
      <c r="EO41" s="328">
        <v>66.67</v>
      </c>
      <c r="EP41" s="329">
        <v>92.11</v>
      </c>
      <c r="EQ41" s="328">
        <v>64.290000000000006</v>
      </c>
    </row>
    <row r="42" spans="1:147">
      <c r="A42" s="494"/>
      <c r="B42" s="325">
        <v>36</v>
      </c>
      <c r="C42" s="326" t="s">
        <v>41</v>
      </c>
      <c r="D42" s="378">
        <v>93.62</v>
      </c>
      <c r="E42" s="443">
        <v>95.31</v>
      </c>
      <c r="F42" s="444">
        <v>94.99</v>
      </c>
      <c r="G42" s="350">
        <v>-1.6899999999999977</v>
      </c>
      <c r="H42" s="350">
        <v>-1.3699999999999903</v>
      </c>
      <c r="I42" s="432"/>
      <c r="J42" s="328" t="s">
        <v>443</v>
      </c>
      <c r="K42" s="329">
        <v>100</v>
      </c>
      <c r="L42" s="329">
        <v>96.15</v>
      </c>
      <c r="M42" s="329">
        <v>92.71</v>
      </c>
      <c r="N42" s="329">
        <v>89.47</v>
      </c>
      <c r="O42" s="432"/>
      <c r="P42" s="329">
        <v>93.2</v>
      </c>
      <c r="Q42" s="329">
        <v>94.36</v>
      </c>
      <c r="R42" s="432"/>
      <c r="S42" s="329">
        <v>92</v>
      </c>
      <c r="T42" s="329">
        <v>87.9</v>
      </c>
      <c r="U42" s="329">
        <v>97.55</v>
      </c>
      <c r="V42" s="329">
        <v>94.44</v>
      </c>
      <c r="W42" s="329">
        <v>95.24</v>
      </c>
      <c r="X42" s="432"/>
      <c r="Y42" s="329">
        <v>92.11</v>
      </c>
      <c r="Z42" s="329">
        <v>91.75</v>
      </c>
      <c r="AA42" s="329">
        <v>93.75</v>
      </c>
      <c r="AB42" s="329">
        <v>95.08</v>
      </c>
      <c r="AC42" s="329">
        <v>98.72</v>
      </c>
      <c r="AD42" s="432"/>
      <c r="AE42" s="329">
        <v>93.76</v>
      </c>
      <c r="AF42" s="329">
        <v>90</v>
      </c>
      <c r="AG42" s="432"/>
      <c r="AH42" s="329">
        <v>98.92</v>
      </c>
      <c r="AI42" s="329">
        <v>95.24</v>
      </c>
      <c r="AJ42" s="329">
        <v>91.18</v>
      </c>
      <c r="AK42" s="329">
        <v>85.54</v>
      </c>
      <c r="AL42" s="432"/>
      <c r="AM42" s="328">
        <v>71.430000000000007</v>
      </c>
      <c r="AN42" s="329">
        <v>100</v>
      </c>
      <c r="AO42" s="328">
        <v>78</v>
      </c>
      <c r="AP42" s="328" t="s">
        <v>443</v>
      </c>
      <c r="AQ42" s="328" t="s">
        <v>443</v>
      </c>
      <c r="AR42" s="328">
        <v>84.62</v>
      </c>
      <c r="AS42" s="328" t="s">
        <v>443</v>
      </c>
      <c r="AT42" s="432"/>
      <c r="AU42" s="329">
        <v>100</v>
      </c>
      <c r="AV42" s="329">
        <v>97.44</v>
      </c>
      <c r="AW42" s="329">
        <v>100</v>
      </c>
      <c r="AX42" s="328" t="s">
        <v>443</v>
      </c>
      <c r="AY42" s="328" t="s">
        <v>443</v>
      </c>
      <c r="AZ42" s="329">
        <v>100</v>
      </c>
      <c r="BA42" s="329">
        <v>94.12</v>
      </c>
      <c r="BB42" s="432"/>
      <c r="BC42" s="328" t="s">
        <v>443</v>
      </c>
      <c r="BD42" s="328" t="s">
        <v>443</v>
      </c>
      <c r="BE42" s="329">
        <v>96.26</v>
      </c>
      <c r="BF42" s="328" t="s">
        <v>443</v>
      </c>
      <c r="BG42" s="329">
        <v>100</v>
      </c>
      <c r="BH42" s="329">
        <v>100</v>
      </c>
      <c r="BI42" s="329">
        <v>89.47</v>
      </c>
      <c r="BJ42" s="432"/>
      <c r="BK42" s="328" t="s">
        <v>443</v>
      </c>
      <c r="BL42" s="328">
        <v>66.67</v>
      </c>
      <c r="BM42" s="432"/>
      <c r="BN42" s="328" t="s">
        <v>443</v>
      </c>
      <c r="BO42" s="328" t="s">
        <v>443</v>
      </c>
      <c r="BP42" s="328" t="s">
        <v>443</v>
      </c>
      <c r="BQ42" s="328" t="s">
        <v>443</v>
      </c>
      <c r="BR42" s="432"/>
      <c r="BS42" s="328" t="s">
        <v>443</v>
      </c>
      <c r="BT42" s="328" t="s">
        <v>443</v>
      </c>
      <c r="BU42" s="328">
        <v>75</v>
      </c>
      <c r="BV42" s="328">
        <v>82.35</v>
      </c>
      <c r="BW42" s="432"/>
      <c r="BX42" s="328" t="s">
        <v>443</v>
      </c>
      <c r="BY42" s="328" t="s">
        <v>443</v>
      </c>
      <c r="BZ42" s="432"/>
      <c r="CA42" s="328" t="s">
        <v>443</v>
      </c>
      <c r="CB42" s="328" t="s">
        <v>443</v>
      </c>
      <c r="CC42" s="432"/>
      <c r="CD42" s="328">
        <v>76.92</v>
      </c>
      <c r="CE42" s="329">
        <v>100</v>
      </c>
      <c r="CF42" s="432"/>
      <c r="CG42" s="328" t="s">
        <v>443</v>
      </c>
      <c r="CH42" s="328" t="s">
        <v>443</v>
      </c>
      <c r="CI42" s="432"/>
      <c r="CJ42" s="328" t="s">
        <v>443</v>
      </c>
      <c r="CK42" s="328" t="s">
        <v>443</v>
      </c>
      <c r="CL42" s="328" t="s">
        <v>443</v>
      </c>
      <c r="CM42" s="329">
        <v>100</v>
      </c>
      <c r="CN42" s="432"/>
      <c r="CO42" s="329">
        <v>100</v>
      </c>
      <c r="CP42" s="329">
        <v>97.1</v>
      </c>
      <c r="CQ42" s="329">
        <v>100</v>
      </c>
      <c r="CR42" s="432"/>
      <c r="CS42" s="329">
        <v>100</v>
      </c>
      <c r="CT42" s="328" t="s">
        <v>443</v>
      </c>
      <c r="CU42" s="329">
        <v>100</v>
      </c>
      <c r="CV42" s="329">
        <v>100</v>
      </c>
      <c r="CW42" s="329">
        <v>100</v>
      </c>
      <c r="CX42" s="328" t="s">
        <v>443</v>
      </c>
      <c r="CY42" s="432"/>
      <c r="CZ42" s="328" t="s">
        <v>443</v>
      </c>
      <c r="DA42" s="432"/>
      <c r="DB42" s="328" t="s">
        <v>443</v>
      </c>
      <c r="DC42" s="432"/>
      <c r="DD42" s="329">
        <v>100</v>
      </c>
      <c r="DE42" s="432"/>
      <c r="DF42" s="329">
        <v>94.12</v>
      </c>
      <c r="DG42" s="432"/>
      <c r="DH42" s="328" t="s">
        <v>443</v>
      </c>
      <c r="DI42" s="432"/>
      <c r="DJ42" s="328" t="s">
        <v>443</v>
      </c>
      <c r="DK42" s="432"/>
      <c r="DL42" s="328" t="s">
        <v>443</v>
      </c>
      <c r="DM42" s="329">
        <v>100</v>
      </c>
      <c r="DN42" s="329">
        <v>100</v>
      </c>
      <c r="DO42" s="329">
        <v>100</v>
      </c>
      <c r="DP42" s="328" t="s">
        <v>443</v>
      </c>
      <c r="DQ42" s="329">
        <v>100</v>
      </c>
      <c r="DR42" s="329">
        <v>89.66</v>
      </c>
      <c r="DS42" s="329">
        <v>92.31</v>
      </c>
      <c r="DT42" s="329">
        <v>100</v>
      </c>
      <c r="DU42" s="328" t="s">
        <v>443</v>
      </c>
      <c r="DV42" s="329">
        <v>100</v>
      </c>
      <c r="DW42" s="432"/>
      <c r="DX42" s="328" t="s">
        <v>443</v>
      </c>
      <c r="DY42" s="432"/>
      <c r="DZ42" s="328" t="s">
        <v>443</v>
      </c>
      <c r="EA42" s="328" t="s">
        <v>443</v>
      </c>
      <c r="EB42" s="328" t="s">
        <v>443</v>
      </c>
      <c r="EC42" s="432"/>
      <c r="ED42" s="328" t="s">
        <v>443</v>
      </c>
      <c r="EE42" s="328" t="s">
        <v>443</v>
      </c>
      <c r="EF42" s="432"/>
      <c r="EG42" s="329">
        <v>89.47</v>
      </c>
      <c r="EH42" s="329">
        <v>89.47</v>
      </c>
      <c r="EI42" s="432"/>
      <c r="EJ42" s="328">
        <v>81.58</v>
      </c>
      <c r="EK42" s="329">
        <v>96.9</v>
      </c>
      <c r="EL42" s="432"/>
      <c r="EM42" s="329">
        <v>93.48</v>
      </c>
      <c r="EN42" s="329">
        <v>90.7</v>
      </c>
      <c r="EO42" s="328">
        <v>77.78</v>
      </c>
      <c r="EP42" s="329">
        <v>97.74</v>
      </c>
      <c r="EQ42" s="328">
        <v>81.819999999999993</v>
      </c>
    </row>
    <row r="43" spans="1:147">
      <c r="A43" s="494"/>
      <c r="B43" s="325">
        <v>37</v>
      </c>
      <c r="C43" s="326" t="s">
        <v>42</v>
      </c>
      <c r="D43" s="378">
        <v>93.41</v>
      </c>
      <c r="E43" s="443">
        <v>94.79</v>
      </c>
      <c r="F43" s="444">
        <v>94.39</v>
      </c>
      <c r="G43" s="350">
        <v>-1.3800000000000097</v>
      </c>
      <c r="H43" s="350">
        <v>-0.98000000000000398</v>
      </c>
      <c r="I43" s="432"/>
      <c r="J43" s="328" t="s">
        <v>443</v>
      </c>
      <c r="K43" s="329">
        <v>96.97</v>
      </c>
      <c r="L43" s="329">
        <v>94.87</v>
      </c>
      <c r="M43" s="329">
        <v>93.18</v>
      </c>
      <c r="N43" s="328">
        <v>84.21</v>
      </c>
      <c r="O43" s="432"/>
      <c r="P43" s="329">
        <v>94.05</v>
      </c>
      <c r="Q43" s="329">
        <v>92.31</v>
      </c>
      <c r="R43" s="432"/>
      <c r="S43" s="329">
        <v>88</v>
      </c>
      <c r="T43" s="329">
        <v>88.46</v>
      </c>
      <c r="U43" s="329">
        <v>96.06</v>
      </c>
      <c r="V43" s="329">
        <v>95.24</v>
      </c>
      <c r="W43" s="329">
        <v>100</v>
      </c>
      <c r="X43" s="432"/>
      <c r="Y43" s="329">
        <v>90.79</v>
      </c>
      <c r="Z43" s="329">
        <v>94.61</v>
      </c>
      <c r="AA43" s="329">
        <v>90.18</v>
      </c>
      <c r="AB43" s="329">
        <v>91.8</v>
      </c>
      <c r="AC43" s="329">
        <v>98.72</v>
      </c>
      <c r="AD43" s="432"/>
      <c r="AE43" s="329">
        <v>93.74</v>
      </c>
      <c r="AF43" s="328">
        <v>85</v>
      </c>
      <c r="AG43" s="432"/>
      <c r="AH43" s="329">
        <v>97.85</v>
      </c>
      <c r="AI43" s="329">
        <v>93.33</v>
      </c>
      <c r="AJ43" s="329">
        <v>91.18</v>
      </c>
      <c r="AK43" s="329">
        <v>87.8</v>
      </c>
      <c r="AL43" s="432"/>
      <c r="AM43" s="328">
        <v>66.67</v>
      </c>
      <c r="AN43" s="329">
        <v>100</v>
      </c>
      <c r="AO43" s="329">
        <v>86</v>
      </c>
      <c r="AP43" s="328" t="s">
        <v>443</v>
      </c>
      <c r="AQ43" s="328" t="s">
        <v>443</v>
      </c>
      <c r="AR43" s="329">
        <v>87.18</v>
      </c>
      <c r="AS43" s="328" t="s">
        <v>443</v>
      </c>
      <c r="AT43" s="432"/>
      <c r="AU43" s="329">
        <v>100</v>
      </c>
      <c r="AV43" s="329">
        <v>95.51</v>
      </c>
      <c r="AW43" s="329">
        <v>100</v>
      </c>
      <c r="AX43" s="328" t="s">
        <v>443</v>
      </c>
      <c r="AY43" s="328" t="s">
        <v>443</v>
      </c>
      <c r="AZ43" s="329">
        <v>100</v>
      </c>
      <c r="BA43" s="329">
        <v>88.24</v>
      </c>
      <c r="BB43" s="432"/>
      <c r="BC43" s="328" t="s">
        <v>443</v>
      </c>
      <c r="BD43" s="328" t="s">
        <v>443</v>
      </c>
      <c r="BE43" s="329">
        <v>95.33</v>
      </c>
      <c r="BF43" s="328" t="s">
        <v>443</v>
      </c>
      <c r="BG43" s="329">
        <v>87.51</v>
      </c>
      <c r="BH43" s="329">
        <v>100</v>
      </c>
      <c r="BI43" s="329">
        <v>89.47</v>
      </c>
      <c r="BJ43" s="432"/>
      <c r="BK43" s="328" t="s">
        <v>443</v>
      </c>
      <c r="BL43" s="327">
        <v>60</v>
      </c>
      <c r="BM43" s="432"/>
      <c r="BN43" s="328" t="s">
        <v>443</v>
      </c>
      <c r="BO43" s="328" t="s">
        <v>443</v>
      </c>
      <c r="BP43" s="328" t="s">
        <v>443</v>
      </c>
      <c r="BQ43" s="328" t="s">
        <v>443</v>
      </c>
      <c r="BR43" s="432"/>
      <c r="BS43" s="328" t="s">
        <v>443</v>
      </c>
      <c r="BT43" s="328" t="s">
        <v>443</v>
      </c>
      <c r="BU43" s="328">
        <v>84.38</v>
      </c>
      <c r="BV43" s="329">
        <v>88.24</v>
      </c>
      <c r="BW43" s="432"/>
      <c r="BX43" s="328" t="s">
        <v>443</v>
      </c>
      <c r="BY43" s="328" t="s">
        <v>443</v>
      </c>
      <c r="BZ43" s="432"/>
      <c r="CA43" s="328" t="s">
        <v>443</v>
      </c>
      <c r="CB43" s="328" t="s">
        <v>443</v>
      </c>
      <c r="CC43" s="432"/>
      <c r="CD43" s="328">
        <v>84.62</v>
      </c>
      <c r="CE43" s="329">
        <v>92.31</v>
      </c>
      <c r="CF43" s="432"/>
      <c r="CG43" s="328" t="s">
        <v>443</v>
      </c>
      <c r="CH43" s="328" t="s">
        <v>443</v>
      </c>
      <c r="CI43" s="432"/>
      <c r="CJ43" s="328" t="s">
        <v>443</v>
      </c>
      <c r="CK43" s="328" t="s">
        <v>443</v>
      </c>
      <c r="CL43" s="328" t="s">
        <v>443</v>
      </c>
      <c r="CM43" s="329">
        <v>100</v>
      </c>
      <c r="CN43" s="432"/>
      <c r="CO43" s="329">
        <v>100</v>
      </c>
      <c r="CP43" s="329">
        <v>94.93</v>
      </c>
      <c r="CQ43" s="329">
        <v>100</v>
      </c>
      <c r="CR43" s="432"/>
      <c r="CS43" s="329">
        <v>100</v>
      </c>
      <c r="CT43" s="328" t="s">
        <v>443</v>
      </c>
      <c r="CU43" s="329">
        <v>100</v>
      </c>
      <c r="CV43" s="329">
        <v>100</v>
      </c>
      <c r="CW43" s="329">
        <v>100</v>
      </c>
      <c r="CX43" s="328" t="s">
        <v>443</v>
      </c>
      <c r="CY43" s="432"/>
      <c r="CZ43" s="328" t="s">
        <v>443</v>
      </c>
      <c r="DA43" s="432"/>
      <c r="DB43" s="328" t="s">
        <v>443</v>
      </c>
      <c r="DC43" s="432"/>
      <c r="DD43" s="329">
        <v>100</v>
      </c>
      <c r="DE43" s="432"/>
      <c r="DF43" s="329">
        <v>88.24</v>
      </c>
      <c r="DG43" s="432"/>
      <c r="DH43" s="328" t="s">
        <v>443</v>
      </c>
      <c r="DI43" s="432"/>
      <c r="DJ43" s="328" t="s">
        <v>443</v>
      </c>
      <c r="DK43" s="432"/>
      <c r="DL43" s="328" t="s">
        <v>443</v>
      </c>
      <c r="DM43" s="329">
        <v>100</v>
      </c>
      <c r="DN43" s="329">
        <v>90.91</v>
      </c>
      <c r="DO43" s="329">
        <v>100</v>
      </c>
      <c r="DP43" s="328" t="s">
        <v>443</v>
      </c>
      <c r="DQ43" s="329">
        <v>100</v>
      </c>
      <c r="DR43" s="329">
        <v>89.66</v>
      </c>
      <c r="DS43" s="329">
        <v>92.31</v>
      </c>
      <c r="DT43" s="329">
        <v>100</v>
      </c>
      <c r="DU43" s="328" t="s">
        <v>443</v>
      </c>
      <c r="DV43" s="329">
        <v>100</v>
      </c>
      <c r="DW43" s="432"/>
      <c r="DX43" s="328" t="s">
        <v>443</v>
      </c>
      <c r="DY43" s="432"/>
      <c r="DZ43" s="328" t="s">
        <v>443</v>
      </c>
      <c r="EA43" s="328" t="s">
        <v>443</v>
      </c>
      <c r="EB43" s="328" t="s">
        <v>443</v>
      </c>
      <c r="EC43" s="432"/>
      <c r="ED43" s="328" t="s">
        <v>443</v>
      </c>
      <c r="EE43" s="328" t="s">
        <v>443</v>
      </c>
      <c r="EF43" s="432"/>
      <c r="EG43" s="329">
        <v>89.47</v>
      </c>
      <c r="EH43" s="329">
        <v>89.47</v>
      </c>
      <c r="EI43" s="432"/>
      <c r="EJ43" s="329">
        <v>86.61</v>
      </c>
      <c r="EK43" s="329">
        <v>95.23</v>
      </c>
      <c r="EL43" s="432"/>
      <c r="EM43" s="329">
        <v>92.7</v>
      </c>
      <c r="EN43" s="329">
        <v>90.7</v>
      </c>
      <c r="EO43" s="329">
        <v>88.89</v>
      </c>
      <c r="EP43" s="329">
        <v>96.62</v>
      </c>
      <c r="EQ43" s="328">
        <v>83.64</v>
      </c>
    </row>
    <row r="44" spans="1:147">
      <c r="A44" s="494"/>
      <c r="B44" s="325">
        <v>38</v>
      </c>
      <c r="C44" s="326" t="s">
        <v>43</v>
      </c>
      <c r="D44" s="378">
        <v>90.26</v>
      </c>
      <c r="E44" s="443">
        <v>93.8</v>
      </c>
      <c r="F44" s="444">
        <v>92.77</v>
      </c>
      <c r="G44" s="350">
        <v>-3.539999999999992</v>
      </c>
      <c r="H44" s="350">
        <v>-2.5099999999999909</v>
      </c>
      <c r="I44" s="432"/>
      <c r="J44" s="328" t="s">
        <v>443</v>
      </c>
      <c r="K44" s="329">
        <v>96.97</v>
      </c>
      <c r="L44" s="329">
        <v>93.59</v>
      </c>
      <c r="M44" s="329">
        <v>88.72</v>
      </c>
      <c r="N44" s="329">
        <v>94.74</v>
      </c>
      <c r="O44" s="432"/>
      <c r="P44" s="329">
        <v>92.33</v>
      </c>
      <c r="Q44" s="329">
        <v>86.67</v>
      </c>
      <c r="R44" s="432"/>
      <c r="S44" s="329">
        <v>96</v>
      </c>
      <c r="T44" s="328">
        <v>81.650000000000006</v>
      </c>
      <c r="U44" s="329">
        <v>93.63</v>
      </c>
      <c r="V44" s="329">
        <v>93.65</v>
      </c>
      <c r="W44" s="329">
        <v>95.24</v>
      </c>
      <c r="X44" s="432"/>
      <c r="Y44" s="329">
        <v>92.11</v>
      </c>
      <c r="Z44" s="329">
        <v>88.35</v>
      </c>
      <c r="AA44" s="329">
        <v>88.49</v>
      </c>
      <c r="AB44" s="329">
        <v>90.16</v>
      </c>
      <c r="AC44" s="329">
        <v>96.15</v>
      </c>
      <c r="AD44" s="432"/>
      <c r="AE44" s="329">
        <v>90.27</v>
      </c>
      <c r="AF44" s="329">
        <v>90</v>
      </c>
      <c r="AG44" s="432"/>
      <c r="AH44" s="329">
        <v>98.39</v>
      </c>
      <c r="AI44" s="329">
        <v>89.52</v>
      </c>
      <c r="AJ44" s="329">
        <v>86.86</v>
      </c>
      <c r="AK44" s="328">
        <v>80.72</v>
      </c>
      <c r="AL44" s="432"/>
      <c r="AM44" s="329">
        <v>85.71</v>
      </c>
      <c r="AN44" s="328">
        <v>83.33</v>
      </c>
      <c r="AO44" s="328">
        <v>72.55</v>
      </c>
      <c r="AP44" s="328" t="s">
        <v>443</v>
      </c>
      <c r="AQ44" s="328" t="s">
        <v>443</v>
      </c>
      <c r="AR44" s="328">
        <v>74.36</v>
      </c>
      <c r="AS44" s="328" t="s">
        <v>443</v>
      </c>
      <c r="AT44" s="432"/>
      <c r="AU44" s="329">
        <v>95.24</v>
      </c>
      <c r="AV44" s="329">
        <v>94.23</v>
      </c>
      <c r="AW44" s="329">
        <v>100</v>
      </c>
      <c r="AX44" s="328" t="s">
        <v>443</v>
      </c>
      <c r="AY44" s="328" t="s">
        <v>443</v>
      </c>
      <c r="AZ44" s="329">
        <v>85.71</v>
      </c>
      <c r="BA44" s="328">
        <v>82.35</v>
      </c>
      <c r="BB44" s="432"/>
      <c r="BC44" s="328" t="s">
        <v>443</v>
      </c>
      <c r="BD44" s="328" t="s">
        <v>443</v>
      </c>
      <c r="BE44" s="329">
        <v>95.33</v>
      </c>
      <c r="BF44" s="328" t="s">
        <v>443</v>
      </c>
      <c r="BG44" s="329">
        <v>100</v>
      </c>
      <c r="BH44" s="329">
        <v>100</v>
      </c>
      <c r="BI44" s="329">
        <v>89.47</v>
      </c>
      <c r="BJ44" s="432"/>
      <c r="BK44" s="328" t="s">
        <v>443</v>
      </c>
      <c r="BL44" s="328">
        <v>83.33</v>
      </c>
      <c r="BM44" s="432"/>
      <c r="BN44" s="328" t="s">
        <v>443</v>
      </c>
      <c r="BO44" s="328" t="s">
        <v>443</v>
      </c>
      <c r="BP44" s="328" t="s">
        <v>443</v>
      </c>
      <c r="BQ44" s="328" t="s">
        <v>443</v>
      </c>
      <c r="BR44" s="432"/>
      <c r="BS44" s="328" t="s">
        <v>443</v>
      </c>
      <c r="BT44" s="328" t="s">
        <v>443</v>
      </c>
      <c r="BU44" s="328">
        <v>71.88</v>
      </c>
      <c r="BV44" s="328">
        <v>70.59</v>
      </c>
      <c r="BW44" s="432"/>
      <c r="BX44" s="328" t="s">
        <v>443</v>
      </c>
      <c r="BY44" s="328" t="s">
        <v>443</v>
      </c>
      <c r="BZ44" s="432"/>
      <c r="CA44" s="328" t="s">
        <v>443</v>
      </c>
      <c r="CB44" s="328" t="s">
        <v>443</v>
      </c>
      <c r="CC44" s="432"/>
      <c r="CD44" s="328">
        <v>69.23</v>
      </c>
      <c r="CE44" s="328">
        <v>84.62</v>
      </c>
      <c r="CF44" s="432"/>
      <c r="CG44" s="328" t="s">
        <v>443</v>
      </c>
      <c r="CH44" s="328" t="s">
        <v>443</v>
      </c>
      <c r="CI44" s="432"/>
      <c r="CJ44" s="328" t="s">
        <v>443</v>
      </c>
      <c r="CK44" s="328" t="s">
        <v>443</v>
      </c>
      <c r="CL44" s="328" t="s">
        <v>443</v>
      </c>
      <c r="CM44" s="329">
        <v>100</v>
      </c>
      <c r="CN44" s="432"/>
      <c r="CO44" s="329">
        <v>100</v>
      </c>
      <c r="CP44" s="329">
        <v>93.48</v>
      </c>
      <c r="CQ44" s="329">
        <v>100</v>
      </c>
      <c r="CR44" s="432"/>
      <c r="CS44" s="329">
        <v>100</v>
      </c>
      <c r="CT44" s="328" t="s">
        <v>443</v>
      </c>
      <c r="CU44" s="329">
        <v>100</v>
      </c>
      <c r="CV44" s="329">
        <v>100</v>
      </c>
      <c r="CW44" s="329">
        <v>100</v>
      </c>
      <c r="CX44" s="328" t="s">
        <v>443</v>
      </c>
      <c r="CY44" s="432"/>
      <c r="CZ44" s="328" t="s">
        <v>443</v>
      </c>
      <c r="DA44" s="432"/>
      <c r="DB44" s="328" t="s">
        <v>443</v>
      </c>
      <c r="DC44" s="432"/>
      <c r="DD44" s="329">
        <v>85.71</v>
      </c>
      <c r="DE44" s="432"/>
      <c r="DF44" s="328">
        <v>82.35</v>
      </c>
      <c r="DG44" s="432"/>
      <c r="DH44" s="328" t="s">
        <v>443</v>
      </c>
      <c r="DI44" s="432"/>
      <c r="DJ44" s="328" t="s">
        <v>443</v>
      </c>
      <c r="DK44" s="432"/>
      <c r="DL44" s="328" t="s">
        <v>443</v>
      </c>
      <c r="DM44" s="329">
        <v>100</v>
      </c>
      <c r="DN44" s="329">
        <v>100</v>
      </c>
      <c r="DO44" s="329">
        <v>100</v>
      </c>
      <c r="DP44" s="328" t="s">
        <v>443</v>
      </c>
      <c r="DQ44" s="329">
        <v>88.89</v>
      </c>
      <c r="DR44" s="329">
        <v>89.66</v>
      </c>
      <c r="DS44" s="329">
        <v>92.31</v>
      </c>
      <c r="DT44" s="329">
        <v>100</v>
      </c>
      <c r="DU44" s="328" t="s">
        <v>443</v>
      </c>
      <c r="DV44" s="329">
        <v>100</v>
      </c>
      <c r="DW44" s="432"/>
      <c r="DX44" s="328" t="s">
        <v>443</v>
      </c>
      <c r="DY44" s="432"/>
      <c r="DZ44" s="328" t="s">
        <v>443</v>
      </c>
      <c r="EA44" s="328" t="s">
        <v>443</v>
      </c>
      <c r="EB44" s="328" t="s">
        <v>443</v>
      </c>
      <c r="EC44" s="432"/>
      <c r="ED44" s="328" t="s">
        <v>443</v>
      </c>
      <c r="EE44" s="328" t="s">
        <v>443</v>
      </c>
      <c r="EF44" s="432"/>
      <c r="EG44" s="329">
        <v>89.47</v>
      </c>
      <c r="EH44" s="329">
        <v>89.47</v>
      </c>
      <c r="EI44" s="432"/>
      <c r="EJ44" s="328">
        <v>75.650000000000006</v>
      </c>
      <c r="EK44" s="329">
        <v>94.27</v>
      </c>
      <c r="EL44" s="432"/>
      <c r="EM44" s="329">
        <v>87.68</v>
      </c>
      <c r="EN44" s="329">
        <v>90.7</v>
      </c>
      <c r="EO44" s="328">
        <v>77.78</v>
      </c>
      <c r="EP44" s="329">
        <v>95.49</v>
      </c>
      <c r="EQ44" s="328">
        <v>75</v>
      </c>
    </row>
    <row r="45" spans="1:147">
      <c r="A45" s="495"/>
      <c r="B45" s="325">
        <v>39</v>
      </c>
      <c r="C45" s="326" t="s">
        <v>556</v>
      </c>
      <c r="D45" s="377">
        <v>71.62</v>
      </c>
      <c r="E45" s="441">
        <v>76.209999999999994</v>
      </c>
      <c r="F45" s="442">
        <v>82.14</v>
      </c>
      <c r="G45" s="350">
        <v>-4.5899999999999892</v>
      </c>
      <c r="H45" s="350">
        <v>-10.519999999999996</v>
      </c>
      <c r="I45" s="432"/>
      <c r="J45" s="328" t="s">
        <v>443</v>
      </c>
      <c r="K45" s="328">
        <v>78.790000000000006</v>
      </c>
      <c r="L45" s="328">
        <v>77.92</v>
      </c>
      <c r="M45" s="328">
        <v>68.84</v>
      </c>
      <c r="N45" s="328">
        <v>84.21</v>
      </c>
      <c r="O45" s="432"/>
      <c r="P45" s="328">
        <v>71.010000000000005</v>
      </c>
      <c r="Q45" s="328">
        <v>72.680000000000007</v>
      </c>
      <c r="R45" s="432"/>
      <c r="S45" s="329">
        <v>88</v>
      </c>
      <c r="T45" s="328">
        <v>62.03</v>
      </c>
      <c r="U45" s="328">
        <v>75.25</v>
      </c>
      <c r="V45" s="328">
        <v>75.400000000000006</v>
      </c>
      <c r="W45" s="328">
        <v>66.67</v>
      </c>
      <c r="X45" s="432"/>
      <c r="Y45" s="328">
        <v>78.95</v>
      </c>
      <c r="Z45" s="328">
        <v>69.760000000000005</v>
      </c>
      <c r="AA45" s="328">
        <v>64.290000000000006</v>
      </c>
      <c r="AB45" s="328">
        <v>75.41</v>
      </c>
      <c r="AC45" s="328">
        <v>76.92</v>
      </c>
      <c r="AD45" s="432"/>
      <c r="AE45" s="328">
        <v>71.290000000000006</v>
      </c>
      <c r="AF45" s="328">
        <v>80</v>
      </c>
      <c r="AG45" s="432"/>
      <c r="AH45" s="329">
        <v>89.84</v>
      </c>
      <c r="AI45" s="328">
        <v>70.19</v>
      </c>
      <c r="AJ45" s="328">
        <v>63.24</v>
      </c>
      <c r="AK45" s="327">
        <v>44.58</v>
      </c>
      <c r="AL45" s="432"/>
      <c r="AM45" s="332">
        <v>42.86</v>
      </c>
      <c r="AN45" s="328">
        <v>83.33</v>
      </c>
      <c r="AO45" s="327">
        <v>52</v>
      </c>
      <c r="AP45" s="328" t="s">
        <v>443</v>
      </c>
      <c r="AQ45" s="328" t="s">
        <v>443</v>
      </c>
      <c r="AR45" s="327">
        <v>47.51</v>
      </c>
      <c r="AS45" s="328" t="s">
        <v>443</v>
      </c>
      <c r="AT45" s="432"/>
      <c r="AU45" s="329">
        <v>100</v>
      </c>
      <c r="AV45" s="328">
        <v>76.13</v>
      </c>
      <c r="AW45" s="329">
        <v>90.24</v>
      </c>
      <c r="AX45" s="328" t="s">
        <v>443</v>
      </c>
      <c r="AY45" s="328" t="s">
        <v>443</v>
      </c>
      <c r="AZ45" s="329">
        <v>100</v>
      </c>
      <c r="BA45" s="328">
        <v>64.709999999999994</v>
      </c>
      <c r="BB45" s="432"/>
      <c r="BC45" s="328" t="s">
        <v>443</v>
      </c>
      <c r="BD45" s="328" t="s">
        <v>443</v>
      </c>
      <c r="BE45" s="328">
        <v>78.3</v>
      </c>
      <c r="BF45" s="328" t="s">
        <v>443</v>
      </c>
      <c r="BG45" s="328">
        <v>75</v>
      </c>
      <c r="BH45" s="328">
        <v>83.33</v>
      </c>
      <c r="BI45" s="327">
        <v>55.26</v>
      </c>
      <c r="BJ45" s="432"/>
      <c r="BK45" s="328" t="s">
        <v>443</v>
      </c>
      <c r="BL45" s="327">
        <v>50</v>
      </c>
      <c r="BM45" s="432"/>
      <c r="BN45" s="328" t="s">
        <v>443</v>
      </c>
      <c r="BO45" s="328" t="s">
        <v>443</v>
      </c>
      <c r="BP45" s="328" t="s">
        <v>443</v>
      </c>
      <c r="BQ45" s="328" t="s">
        <v>443</v>
      </c>
      <c r="BR45" s="432"/>
      <c r="BS45" s="328" t="s">
        <v>443</v>
      </c>
      <c r="BT45" s="328" t="s">
        <v>443</v>
      </c>
      <c r="BU45" s="327">
        <v>54.84</v>
      </c>
      <c r="BV45" s="327">
        <v>47.06</v>
      </c>
      <c r="BW45" s="432"/>
      <c r="BX45" s="328" t="s">
        <v>443</v>
      </c>
      <c r="BY45" s="328" t="s">
        <v>443</v>
      </c>
      <c r="BZ45" s="432"/>
      <c r="CA45" s="328" t="s">
        <v>443</v>
      </c>
      <c r="CB45" s="328" t="s">
        <v>443</v>
      </c>
      <c r="CC45" s="432"/>
      <c r="CD45" s="327">
        <v>48.15</v>
      </c>
      <c r="CE45" s="327">
        <v>46.15</v>
      </c>
      <c r="CF45" s="432"/>
      <c r="CG45" s="328" t="s">
        <v>443</v>
      </c>
      <c r="CH45" s="328" t="s">
        <v>443</v>
      </c>
      <c r="CI45" s="432"/>
      <c r="CJ45" s="328" t="s">
        <v>443</v>
      </c>
      <c r="CK45" s="328" t="s">
        <v>443</v>
      </c>
      <c r="CL45" s="328" t="s">
        <v>443</v>
      </c>
      <c r="CM45" s="329">
        <v>100</v>
      </c>
      <c r="CN45" s="432"/>
      <c r="CO45" s="329">
        <v>100</v>
      </c>
      <c r="CP45" s="328">
        <v>75.91</v>
      </c>
      <c r="CQ45" s="327">
        <v>60</v>
      </c>
      <c r="CR45" s="432"/>
      <c r="CS45" s="328">
        <v>71.430000000000007</v>
      </c>
      <c r="CT45" s="328" t="s">
        <v>443</v>
      </c>
      <c r="CU45" s="329">
        <v>100</v>
      </c>
      <c r="CV45" s="329">
        <v>100</v>
      </c>
      <c r="CW45" s="328">
        <v>83.33</v>
      </c>
      <c r="CX45" s="328" t="s">
        <v>443</v>
      </c>
      <c r="CY45" s="432"/>
      <c r="CZ45" s="328" t="s">
        <v>443</v>
      </c>
      <c r="DA45" s="432"/>
      <c r="DB45" s="328" t="s">
        <v>443</v>
      </c>
      <c r="DC45" s="432"/>
      <c r="DD45" s="329">
        <v>100</v>
      </c>
      <c r="DE45" s="432"/>
      <c r="DF45" s="328">
        <v>64.709999999999994</v>
      </c>
      <c r="DG45" s="432"/>
      <c r="DH45" s="328" t="s">
        <v>443</v>
      </c>
      <c r="DI45" s="432"/>
      <c r="DJ45" s="328" t="s">
        <v>443</v>
      </c>
      <c r="DK45" s="432"/>
      <c r="DL45" s="328" t="s">
        <v>443</v>
      </c>
      <c r="DM45" s="328">
        <v>71.430000000000007</v>
      </c>
      <c r="DN45" s="328">
        <v>72.73</v>
      </c>
      <c r="DO45" s="328">
        <v>68.75</v>
      </c>
      <c r="DP45" s="328" t="s">
        <v>443</v>
      </c>
      <c r="DQ45" s="329">
        <v>88.89</v>
      </c>
      <c r="DR45" s="328">
        <v>68.97</v>
      </c>
      <c r="DS45" s="328">
        <v>83.33</v>
      </c>
      <c r="DT45" s="329">
        <v>100</v>
      </c>
      <c r="DU45" s="328" t="s">
        <v>443</v>
      </c>
      <c r="DV45" s="329">
        <v>100</v>
      </c>
      <c r="DW45" s="432"/>
      <c r="DX45" s="328" t="s">
        <v>443</v>
      </c>
      <c r="DY45" s="432"/>
      <c r="DZ45" s="328" t="s">
        <v>443</v>
      </c>
      <c r="EA45" s="328" t="s">
        <v>443</v>
      </c>
      <c r="EB45" s="328" t="s">
        <v>443</v>
      </c>
      <c r="EC45" s="432"/>
      <c r="ED45" s="328" t="s">
        <v>443</v>
      </c>
      <c r="EE45" s="328" t="s">
        <v>443</v>
      </c>
      <c r="EF45" s="432"/>
      <c r="EG45" s="327">
        <v>57.89</v>
      </c>
      <c r="EH45" s="327">
        <v>52.63</v>
      </c>
      <c r="EI45" s="432"/>
      <c r="EJ45" s="327">
        <v>51.3</v>
      </c>
      <c r="EK45" s="328">
        <v>77.22</v>
      </c>
      <c r="EL45" s="432"/>
      <c r="EM45" s="328">
        <v>67.150000000000006</v>
      </c>
      <c r="EN45" s="328">
        <v>65.12</v>
      </c>
      <c r="EO45" s="332">
        <v>30</v>
      </c>
      <c r="EP45" s="328">
        <v>84.21</v>
      </c>
      <c r="EQ45" s="332">
        <v>38.18</v>
      </c>
    </row>
    <row r="46" spans="1:147">
      <c r="A46" s="496" t="s">
        <v>446</v>
      </c>
      <c r="B46" s="497"/>
      <c r="C46" s="498"/>
      <c r="D46" s="379">
        <v>66.069999999999993</v>
      </c>
      <c r="E46" s="445">
        <v>69.739999999999995</v>
      </c>
      <c r="F46" s="446">
        <v>75.44</v>
      </c>
      <c r="G46" s="351">
        <v>-3.6700000000000017</v>
      </c>
      <c r="H46" s="447">
        <v>-9.3700000000000045</v>
      </c>
      <c r="I46" s="432"/>
      <c r="J46" s="331" t="s">
        <v>443</v>
      </c>
      <c r="K46" s="330">
        <v>77.09</v>
      </c>
      <c r="L46" s="330">
        <v>70.75</v>
      </c>
      <c r="M46" s="330">
        <v>63.56</v>
      </c>
      <c r="N46" s="330">
        <v>73.540000000000006</v>
      </c>
      <c r="O46" s="432"/>
      <c r="P46" s="330">
        <v>66.58</v>
      </c>
      <c r="Q46" s="330">
        <v>65.19</v>
      </c>
      <c r="R46" s="432"/>
      <c r="S46" s="330">
        <v>70.03</v>
      </c>
      <c r="T46" s="330">
        <v>57.36</v>
      </c>
      <c r="U46" s="330">
        <v>69.459999999999994</v>
      </c>
      <c r="V46" s="330">
        <v>70.27</v>
      </c>
      <c r="W46" s="330">
        <v>68.75</v>
      </c>
      <c r="X46" s="432"/>
      <c r="Y46" s="330">
        <v>70.17</v>
      </c>
      <c r="Z46" s="330">
        <v>63.37</v>
      </c>
      <c r="AA46" s="330">
        <v>62.76</v>
      </c>
      <c r="AB46" s="330">
        <v>68.44</v>
      </c>
      <c r="AC46" s="330">
        <v>72.2</v>
      </c>
      <c r="AD46" s="432"/>
      <c r="AE46" s="330">
        <v>65.87</v>
      </c>
      <c r="AF46" s="330">
        <v>71.44</v>
      </c>
      <c r="AG46" s="432"/>
      <c r="AH46" s="330">
        <v>78.180000000000007</v>
      </c>
      <c r="AI46" s="330">
        <v>68.47</v>
      </c>
      <c r="AJ46" s="330">
        <v>59.74</v>
      </c>
      <c r="AK46" s="330">
        <v>47.13</v>
      </c>
      <c r="AL46" s="432"/>
      <c r="AM46" s="330">
        <v>50.79</v>
      </c>
      <c r="AN46" s="330">
        <v>58.33</v>
      </c>
      <c r="AO46" s="330">
        <v>48.37</v>
      </c>
      <c r="AP46" s="331" t="s">
        <v>443</v>
      </c>
      <c r="AQ46" s="331" t="s">
        <v>443</v>
      </c>
      <c r="AR46" s="330">
        <v>50</v>
      </c>
      <c r="AS46" s="331" t="s">
        <v>443</v>
      </c>
      <c r="AT46" s="432"/>
      <c r="AU46" s="330">
        <v>79.92</v>
      </c>
      <c r="AV46" s="330">
        <v>70.569999999999993</v>
      </c>
      <c r="AW46" s="330">
        <v>75.2</v>
      </c>
      <c r="AX46" s="331" t="s">
        <v>443</v>
      </c>
      <c r="AY46" s="331" t="s">
        <v>443</v>
      </c>
      <c r="AZ46" s="330">
        <v>72.819999999999993</v>
      </c>
      <c r="BA46" s="330">
        <v>59.31</v>
      </c>
      <c r="BB46" s="432"/>
      <c r="BC46" s="331" t="s">
        <v>443</v>
      </c>
      <c r="BD46" s="331" t="s">
        <v>443</v>
      </c>
      <c r="BE46" s="330">
        <v>71.989999999999995</v>
      </c>
      <c r="BF46" s="331" t="s">
        <v>443</v>
      </c>
      <c r="BG46" s="330">
        <v>68.87</v>
      </c>
      <c r="BH46" s="330">
        <v>72.22</v>
      </c>
      <c r="BI46" s="330">
        <v>58.99</v>
      </c>
      <c r="BJ46" s="432"/>
      <c r="BK46" s="331" t="s">
        <v>443</v>
      </c>
      <c r="BL46" s="330">
        <v>49.44</v>
      </c>
      <c r="BM46" s="432"/>
      <c r="BN46" s="331" t="s">
        <v>443</v>
      </c>
      <c r="BO46" s="331" t="s">
        <v>443</v>
      </c>
      <c r="BP46" s="331" t="s">
        <v>443</v>
      </c>
      <c r="BQ46" s="331" t="s">
        <v>443</v>
      </c>
      <c r="BR46" s="432"/>
      <c r="BS46" s="331" t="s">
        <v>443</v>
      </c>
      <c r="BT46" s="331" t="s">
        <v>443</v>
      </c>
      <c r="BU46" s="330">
        <v>47.48</v>
      </c>
      <c r="BV46" s="330">
        <v>47.55</v>
      </c>
      <c r="BW46" s="432"/>
      <c r="BX46" s="331" t="s">
        <v>443</v>
      </c>
      <c r="BY46" s="331" t="s">
        <v>443</v>
      </c>
      <c r="BZ46" s="432"/>
      <c r="CA46" s="331" t="s">
        <v>443</v>
      </c>
      <c r="CB46" s="331" t="s">
        <v>443</v>
      </c>
      <c r="CC46" s="432"/>
      <c r="CD46" s="330">
        <v>46.23</v>
      </c>
      <c r="CE46" s="330">
        <v>57.69</v>
      </c>
      <c r="CF46" s="432"/>
      <c r="CG46" s="331" t="s">
        <v>443</v>
      </c>
      <c r="CH46" s="331" t="s">
        <v>443</v>
      </c>
      <c r="CI46" s="432"/>
      <c r="CJ46" s="331" t="s">
        <v>443</v>
      </c>
      <c r="CK46" s="331" t="s">
        <v>443</v>
      </c>
      <c r="CL46" s="331" t="s">
        <v>443</v>
      </c>
      <c r="CM46" s="330">
        <v>81.06</v>
      </c>
      <c r="CN46" s="432"/>
      <c r="CO46" s="330">
        <v>86.46</v>
      </c>
      <c r="CP46" s="330">
        <v>69.27</v>
      </c>
      <c r="CQ46" s="330">
        <v>75.83</v>
      </c>
      <c r="CR46" s="432"/>
      <c r="CS46" s="330">
        <v>75</v>
      </c>
      <c r="CT46" s="331" t="s">
        <v>443</v>
      </c>
      <c r="CU46" s="330">
        <v>78.569999999999993</v>
      </c>
      <c r="CV46" s="330">
        <v>79.17</v>
      </c>
      <c r="CW46" s="330">
        <v>54.17</v>
      </c>
      <c r="CX46" s="331" t="s">
        <v>443</v>
      </c>
      <c r="CY46" s="432"/>
      <c r="CZ46" s="331" t="s">
        <v>443</v>
      </c>
      <c r="DA46" s="432"/>
      <c r="DB46" s="331" t="s">
        <v>443</v>
      </c>
      <c r="DC46" s="432"/>
      <c r="DD46" s="330">
        <v>72.819999999999993</v>
      </c>
      <c r="DE46" s="432"/>
      <c r="DF46" s="330">
        <v>59.31</v>
      </c>
      <c r="DG46" s="432"/>
      <c r="DH46" s="331" t="s">
        <v>443</v>
      </c>
      <c r="DI46" s="432"/>
      <c r="DJ46" s="331" t="s">
        <v>443</v>
      </c>
      <c r="DK46" s="432"/>
      <c r="DL46" s="331" t="s">
        <v>443</v>
      </c>
      <c r="DM46" s="330">
        <v>69.989999999999995</v>
      </c>
      <c r="DN46" s="330">
        <v>80.3</v>
      </c>
      <c r="DO46" s="330">
        <v>73.87</v>
      </c>
      <c r="DP46" s="331" t="s">
        <v>443</v>
      </c>
      <c r="DQ46" s="330">
        <v>79.05</v>
      </c>
      <c r="DR46" s="330">
        <v>59.38</v>
      </c>
      <c r="DS46" s="330">
        <v>67.2</v>
      </c>
      <c r="DT46" s="330">
        <v>83.33</v>
      </c>
      <c r="DU46" s="331" t="s">
        <v>443</v>
      </c>
      <c r="DV46" s="330">
        <v>91.67</v>
      </c>
      <c r="DW46" s="432"/>
      <c r="DX46" s="331" t="s">
        <v>443</v>
      </c>
      <c r="DY46" s="432"/>
      <c r="DZ46" s="331" t="s">
        <v>443</v>
      </c>
      <c r="EA46" s="331" t="s">
        <v>443</v>
      </c>
      <c r="EB46" s="331" t="s">
        <v>443</v>
      </c>
      <c r="EC46" s="432"/>
      <c r="ED46" s="331" t="s">
        <v>443</v>
      </c>
      <c r="EE46" s="331" t="s">
        <v>443</v>
      </c>
      <c r="EF46" s="432"/>
      <c r="EG46" s="330">
        <v>60.16</v>
      </c>
      <c r="EH46" s="330">
        <v>57.89</v>
      </c>
      <c r="EI46" s="432"/>
      <c r="EJ46" s="330">
        <v>50.14</v>
      </c>
      <c r="EK46" s="330">
        <v>70.489999999999995</v>
      </c>
      <c r="EL46" s="432"/>
      <c r="EM46" s="330">
        <v>62.54</v>
      </c>
      <c r="EN46" s="330">
        <v>65.52</v>
      </c>
      <c r="EO46" s="330">
        <v>41.02</v>
      </c>
      <c r="EP46" s="330">
        <v>74.63</v>
      </c>
      <c r="EQ46" s="330">
        <v>41.52</v>
      </c>
    </row>
    <row r="47" spans="1:147" ht="13.5" customHeight="1">
      <c r="A47" s="493" t="s">
        <v>45</v>
      </c>
      <c r="B47" s="325">
        <v>40</v>
      </c>
      <c r="C47" s="326" t="s">
        <v>46</v>
      </c>
      <c r="D47" s="377">
        <v>70.790000000000006</v>
      </c>
      <c r="E47" s="441">
        <v>73.37</v>
      </c>
      <c r="F47" s="442">
        <v>77.91</v>
      </c>
      <c r="G47" s="350">
        <v>-2.5799999999999983</v>
      </c>
      <c r="H47" s="350">
        <v>-7.1199999999999903</v>
      </c>
      <c r="I47" s="432"/>
      <c r="J47" s="328" t="s">
        <v>443</v>
      </c>
      <c r="K47" s="329">
        <v>87.88</v>
      </c>
      <c r="L47" s="328">
        <v>79.489999999999995</v>
      </c>
      <c r="M47" s="328">
        <v>68.67</v>
      </c>
      <c r="N47" s="332">
        <v>42.11</v>
      </c>
      <c r="O47" s="432"/>
      <c r="P47" s="328">
        <v>69.53</v>
      </c>
      <c r="Q47" s="328">
        <v>72.959999999999994</v>
      </c>
      <c r="R47" s="432"/>
      <c r="S47" s="332">
        <v>40</v>
      </c>
      <c r="T47" s="327">
        <v>59.75</v>
      </c>
      <c r="U47" s="328">
        <v>76.349999999999994</v>
      </c>
      <c r="V47" s="328">
        <v>79.37</v>
      </c>
      <c r="W47" s="329">
        <v>85.71</v>
      </c>
      <c r="X47" s="432"/>
      <c r="Y47" s="328">
        <v>61.84</v>
      </c>
      <c r="Z47" s="328">
        <v>71.36</v>
      </c>
      <c r="AA47" s="328">
        <v>69.91</v>
      </c>
      <c r="AB47" s="328">
        <v>72.13</v>
      </c>
      <c r="AC47" s="328">
        <v>78.209999999999994</v>
      </c>
      <c r="AD47" s="432"/>
      <c r="AE47" s="328">
        <v>71.98</v>
      </c>
      <c r="AF47" s="332">
        <v>40</v>
      </c>
      <c r="AG47" s="432"/>
      <c r="AH47" s="329">
        <v>87.7</v>
      </c>
      <c r="AI47" s="328">
        <v>72.38</v>
      </c>
      <c r="AJ47" s="328">
        <v>62.77</v>
      </c>
      <c r="AK47" s="327">
        <v>46.99</v>
      </c>
      <c r="AL47" s="432"/>
      <c r="AM47" s="327">
        <v>57.14</v>
      </c>
      <c r="AN47" s="328">
        <v>83.33</v>
      </c>
      <c r="AO47" s="327">
        <v>49.02</v>
      </c>
      <c r="AP47" s="328" t="s">
        <v>443</v>
      </c>
      <c r="AQ47" s="328" t="s">
        <v>443</v>
      </c>
      <c r="AR47" s="327">
        <v>57.51</v>
      </c>
      <c r="AS47" s="328" t="s">
        <v>443</v>
      </c>
      <c r="AT47" s="432"/>
      <c r="AU47" s="328">
        <v>76.19</v>
      </c>
      <c r="AV47" s="328">
        <v>71.150000000000006</v>
      </c>
      <c r="AW47" s="329">
        <v>90.24</v>
      </c>
      <c r="AX47" s="328" t="s">
        <v>443</v>
      </c>
      <c r="AY47" s="328" t="s">
        <v>443</v>
      </c>
      <c r="AZ47" s="328">
        <v>71.430000000000007</v>
      </c>
      <c r="BA47" s="328">
        <v>64.709999999999994</v>
      </c>
      <c r="BB47" s="432"/>
      <c r="BC47" s="328" t="s">
        <v>443</v>
      </c>
      <c r="BD47" s="328" t="s">
        <v>443</v>
      </c>
      <c r="BE47" s="328">
        <v>79.25</v>
      </c>
      <c r="BF47" s="328" t="s">
        <v>443</v>
      </c>
      <c r="BG47" s="329">
        <v>87.51</v>
      </c>
      <c r="BH47" s="328">
        <v>66.67</v>
      </c>
      <c r="BI47" s="328">
        <v>71.05</v>
      </c>
      <c r="BJ47" s="432"/>
      <c r="BK47" s="328" t="s">
        <v>443</v>
      </c>
      <c r="BL47" s="327">
        <v>50</v>
      </c>
      <c r="BM47" s="432"/>
      <c r="BN47" s="328" t="s">
        <v>443</v>
      </c>
      <c r="BO47" s="328" t="s">
        <v>443</v>
      </c>
      <c r="BP47" s="328" t="s">
        <v>443</v>
      </c>
      <c r="BQ47" s="328" t="s">
        <v>443</v>
      </c>
      <c r="BR47" s="432"/>
      <c r="BS47" s="328" t="s">
        <v>443</v>
      </c>
      <c r="BT47" s="328" t="s">
        <v>443</v>
      </c>
      <c r="BU47" s="327">
        <v>53.13</v>
      </c>
      <c r="BV47" s="332">
        <v>41.18</v>
      </c>
      <c r="BW47" s="432"/>
      <c r="BX47" s="328" t="s">
        <v>443</v>
      </c>
      <c r="BY47" s="328" t="s">
        <v>443</v>
      </c>
      <c r="BZ47" s="432"/>
      <c r="CA47" s="328" t="s">
        <v>443</v>
      </c>
      <c r="CB47" s="328" t="s">
        <v>443</v>
      </c>
      <c r="CC47" s="432"/>
      <c r="CD47" s="332">
        <v>44.44</v>
      </c>
      <c r="CE47" s="328">
        <v>84.62</v>
      </c>
      <c r="CF47" s="432"/>
      <c r="CG47" s="328" t="s">
        <v>443</v>
      </c>
      <c r="CH47" s="328" t="s">
        <v>443</v>
      </c>
      <c r="CI47" s="432"/>
      <c r="CJ47" s="328" t="s">
        <v>443</v>
      </c>
      <c r="CK47" s="328" t="s">
        <v>443</v>
      </c>
      <c r="CL47" s="328" t="s">
        <v>443</v>
      </c>
      <c r="CM47" s="328">
        <v>63.64</v>
      </c>
      <c r="CN47" s="432"/>
      <c r="CO47" s="329">
        <v>87.51</v>
      </c>
      <c r="CP47" s="328">
        <v>70.290000000000006</v>
      </c>
      <c r="CQ47" s="328">
        <v>70</v>
      </c>
      <c r="CR47" s="432"/>
      <c r="CS47" s="329">
        <v>100</v>
      </c>
      <c r="CT47" s="328" t="s">
        <v>443</v>
      </c>
      <c r="CU47" s="329">
        <v>85.71</v>
      </c>
      <c r="CV47" s="329">
        <v>85.71</v>
      </c>
      <c r="CW47" s="329">
        <v>100</v>
      </c>
      <c r="CX47" s="328" t="s">
        <v>443</v>
      </c>
      <c r="CY47" s="432"/>
      <c r="CZ47" s="328" t="s">
        <v>443</v>
      </c>
      <c r="DA47" s="432"/>
      <c r="DB47" s="328" t="s">
        <v>443</v>
      </c>
      <c r="DC47" s="432"/>
      <c r="DD47" s="328">
        <v>71.430000000000007</v>
      </c>
      <c r="DE47" s="432"/>
      <c r="DF47" s="328">
        <v>64.709999999999994</v>
      </c>
      <c r="DG47" s="432"/>
      <c r="DH47" s="328" t="s">
        <v>443</v>
      </c>
      <c r="DI47" s="432"/>
      <c r="DJ47" s="328" t="s">
        <v>443</v>
      </c>
      <c r="DK47" s="432"/>
      <c r="DL47" s="328" t="s">
        <v>443</v>
      </c>
      <c r="DM47" s="328">
        <v>83.33</v>
      </c>
      <c r="DN47" s="329">
        <v>90.91</v>
      </c>
      <c r="DO47" s="328">
        <v>81.25</v>
      </c>
      <c r="DP47" s="328" t="s">
        <v>443</v>
      </c>
      <c r="DQ47" s="328">
        <v>77.78</v>
      </c>
      <c r="DR47" s="327">
        <v>58.62</v>
      </c>
      <c r="DS47" s="328">
        <v>76.92</v>
      </c>
      <c r="DT47" s="329">
        <v>100</v>
      </c>
      <c r="DU47" s="328" t="s">
        <v>443</v>
      </c>
      <c r="DV47" s="329">
        <v>100</v>
      </c>
      <c r="DW47" s="432"/>
      <c r="DX47" s="328" t="s">
        <v>443</v>
      </c>
      <c r="DY47" s="432"/>
      <c r="DZ47" s="328" t="s">
        <v>443</v>
      </c>
      <c r="EA47" s="328" t="s">
        <v>443</v>
      </c>
      <c r="EB47" s="328" t="s">
        <v>443</v>
      </c>
      <c r="EC47" s="432"/>
      <c r="ED47" s="328" t="s">
        <v>443</v>
      </c>
      <c r="EE47" s="328" t="s">
        <v>443</v>
      </c>
      <c r="EF47" s="432"/>
      <c r="EG47" s="328">
        <v>68.42</v>
      </c>
      <c r="EH47" s="328">
        <v>73.680000000000007</v>
      </c>
      <c r="EI47" s="432"/>
      <c r="EJ47" s="327">
        <v>53.45</v>
      </c>
      <c r="EK47" s="328">
        <v>75.599999999999994</v>
      </c>
      <c r="EL47" s="432"/>
      <c r="EM47" s="327">
        <v>60.14</v>
      </c>
      <c r="EN47" s="328">
        <v>62.79</v>
      </c>
      <c r="EO47" s="327">
        <v>50</v>
      </c>
      <c r="EP47" s="329">
        <v>86.09</v>
      </c>
      <c r="EQ47" s="332">
        <v>37.51</v>
      </c>
    </row>
    <row r="48" spans="1:147">
      <c r="A48" s="494"/>
      <c r="B48" s="325">
        <v>41</v>
      </c>
      <c r="C48" s="326" t="s">
        <v>47</v>
      </c>
      <c r="D48" s="377">
        <v>61.51</v>
      </c>
      <c r="E48" s="441">
        <v>63.55</v>
      </c>
      <c r="F48" s="442">
        <v>75.81</v>
      </c>
      <c r="G48" s="350">
        <v>-2.0399999999999991</v>
      </c>
      <c r="H48" s="350">
        <v>-14.300000000000004</v>
      </c>
      <c r="I48" s="432"/>
      <c r="J48" s="328" t="s">
        <v>443</v>
      </c>
      <c r="K48" s="328">
        <v>76.47</v>
      </c>
      <c r="L48" s="328">
        <v>65.819999999999993</v>
      </c>
      <c r="M48" s="327">
        <v>59.61</v>
      </c>
      <c r="N48" s="327">
        <v>47.37</v>
      </c>
      <c r="O48" s="432"/>
      <c r="P48" s="327">
        <v>58.43</v>
      </c>
      <c r="Q48" s="328">
        <v>66.83</v>
      </c>
      <c r="R48" s="432"/>
      <c r="S48" s="327">
        <v>48</v>
      </c>
      <c r="T48" s="327">
        <v>46.3</v>
      </c>
      <c r="U48" s="328">
        <v>67.63</v>
      </c>
      <c r="V48" s="328">
        <v>72.66</v>
      </c>
      <c r="W48" s="328">
        <v>66.67</v>
      </c>
      <c r="X48" s="432"/>
      <c r="Y48" s="327">
        <v>59.74</v>
      </c>
      <c r="Z48" s="327">
        <v>56.6</v>
      </c>
      <c r="AA48" s="327">
        <v>57.89</v>
      </c>
      <c r="AB48" s="328">
        <v>67.209999999999994</v>
      </c>
      <c r="AC48" s="328">
        <v>77.22</v>
      </c>
      <c r="AD48" s="432"/>
      <c r="AE48" s="328">
        <v>62.14</v>
      </c>
      <c r="AF48" s="327">
        <v>45</v>
      </c>
      <c r="AG48" s="432"/>
      <c r="AH48" s="328">
        <v>77.540000000000006</v>
      </c>
      <c r="AI48" s="328">
        <v>67.62</v>
      </c>
      <c r="AJ48" s="327">
        <v>48.91</v>
      </c>
      <c r="AK48" s="332">
        <v>40.96</v>
      </c>
      <c r="AL48" s="432"/>
      <c r="AM48" s="332">
        <v>28.57</v>
      </c>
      <c r="AN48" s="328">
        <v>83.33</v>
      </c>
      <c r="AO48" s="332">
        <v>41.51</v>
      </c>
      <c r="AP48" s="328" t="s">
        <v>443</v>
      </c>
      <c r="AQ48" s="328" t="s">
        <v>443</v>
      </c>
      <c r="AR48" s="327">
        <v>50</v>
      </c>
      <c r="AS48" s="328" t="s">
        <v>443</v>
      </c>
      <c r="AT48" s="432"/>
      <c r="AU48" s="328">
        <v>72.73</v>
      </c>
      <c r="AV48" s="328">
        <v>62.42</v>
      </c>
      <c r="AW48" s="328">
        <v>78.05</v>
      </c>
      <c r="AX48" s="328" t="s">
        <v>443</v>
      </c>
      <c r="AY48" s="328" t="s">
        <v>443</v>
      </c>
      <c r="AZ48" s="328">
        <v>71.430000000000007</v>
      </c>
      <c r="BA48" s="332">
        <v>35.29</v>
      </c>
      <c r="BB48" s="432"/>
      <c r="BC48" s="328" t="s">
        <v>443</v>
      </c>
      <c r="BD48" s="328" t="s">
        <v>443</v>
      </c>
      <c r="BE48" s="328">
        <v>69.72</v>
      </c>
      <c r="BF48" s="328" t="s">
        <v>443</v>
      </c>
      <c r="BG48" s="328">
        <v>66.67</v>
      </c>
      <c r="BH48" s="328">
        <v>66.67</v>
      </c>
      <c r="BI48" s="328">
        <v>60.53</v>
      </c>
      <c r="BJ48" s="432"/>
      <c r="BK48" s="328" t="s">
        <v>443</v>
      </c>
      <c r="BL48" s="332">
        <v>16.670000000000002</v>
      </c>
      <c r="BM48" s="432"/>
      <c r="BN48" s="328" t="s">
        <v>443</v>
      </c>
      <c r="BO48" s="328" t="s">
        <v>443</v>
      </c>
      <c r="BP48" s="328" t="s">
        <v>443</v>
      </c>
      <c r="BQ48" s="328" t="s">
        <v>443</v>
      </c>
      <c r="BR48" s="432"/>
      <c r="BS48" s="328" t="s">
        <v>443</v>
      </c>
      <c r="BT48" s="328" t="s">
        <v>443</v>
      </c>
      <c r="BU48" s="332">
        <v>44.12</v>
      </c>
      <c r="BV48" s="332">
        <v>35.29</v>
      </c>
      <c r="BW48" s="432"/>
      <c r="BX48" s="328" t="s">
        <v>443</v>
      </c>
      <c r="BY48" s="328" t="s">
        <v>443</v>
      </c>
      <c r="BZ48" s="432"/>
      <c r="CA48" s="328" t="s">
        <v>443</v>
      </c>
      <c r="CB48" s="328" t="s">
        <v>443</v>
      </c>
      <c r="CC48" s="432"/>
      <c r="CD48" s="332">
        <v>40.74</v>
      </c>
      <c r="CE48" s="328">
        <v>69.23</v>
      </c>
      <c r="CF48" s="432"/>
      <c r="CG48" s="328" t="s">
        <v>443</v>
      </c>
      <c r="CH48" s="328" t="s">
        <v>443</v>
      </c>
      <c r="CI48" s="432"/>
      <c r="CJ48" s="328" t="s">
        <v>443</v>
      </c>
      <c r="CK48" s="328" t="s">
        <v>443</v>
      </c>
      <c r="CL48" s="328" t="s">
        <v>443</v>
      </c>
      <c r="CM48" s="328">
        <v>63.64</v>
      </c>
      <c r="CN48" s="432"/>
      <c r="CO48" s="329">
        <v>100</v>
      </c>
      <c r="CP48" s="327">
        <v>58.99</v>
      </c>
      <c r="CQ48" s="328">
        <v>80</v>
      </c>
      <c r="CR48" s="432"/>
      <c r="CS48" s="329">
        <v>85.71</v>
      </c>
      <c r="CT48" s="328" t="s">
        <v>443</v>
      </c>
      <c r="CU48" s="329">
        <v>85.71</v>
      </c>
      <c r="CV48" s="329">
        <v>85.71</v>
      </c>
      <c r="CW48" s="332">
        <v>16.670000000000002</v>
      </c>
      <c r="CX48" s="328" t="s">
        <v>443</v>
      </c>
      <c r="CY48" s="432"/>
      <c r="CZ48" s="328" t="s">
        <v>443</v>
      </c>
      <c r="DA48" s="432"/>
      <c r="DB48" s="328" t="s">
        <v>443</v>
      </c>
      <c r="DC48" s="432"/>
      <c r="DD48" s="328">
        <v>71.430000000000007</v>
      </c>
      <c r="DE48" s="432"/>
      <c r="DF48" s="332">
        <v>35.29</v>
      </c>
      <c r="DG48" s="432"/>
      <c r="DH48" s="328" t="s">
        <v>443</v>
      </c>
      <c r="DI48" s="432"/>
      <c r="DJ48" s="328" t="s">
        <v>443</v>
      </c>
      <c r="DK48" s="432"/>
      <c r="DL48" s="328" t="s">
        <v>443</v>
      </c>
      <c r="DM48" s="328">
        <v>62.51</v>
      </c>
      <c r="DN48" s="328">
        <v>63.64</v>
      </c>
      <c r="DO48" s="327">
        <v>56.25</v>
      </c>
      <c r="DP48" s="328" t="s">
        <v>443</v>
      </c>
      <c r="DQ48" s="328">
        <v>66.67</v>
      </c>
      <c r="DR48" s="327">
        <v>56.67</v>
      </c>
      <c r="DS48" s="328">
        <v>76.92</v>
      </c>
      <c r="DT48" s="329">
        <v>100</v>
      </c>
      <c r="DU48" s="328" t="s">
        <v>443</v>
      </c>
      <c r="DV48" s="329">
        <v>100</v>
      </c>
      <c r="DW48" s="432"/>
      <c r="DX48" s="328" t="s">
        <v>443</v>
      </c>
      <c r="DY48" s="432"/>
      <c r="DZ48" s="328" t="s">
        <v>443</v>
      </c>
      <c r="EA48" s="328" t="s">
        <v>443</v>
      </c>
      <c r="EB48" s="328" t="s">
        <v>443</v>
      </c>
      <c r="EC48" s="432"/>
      <c r="ED48" s="328" t="s">
        <v>443</v>
      </c>
      <c r="EE48" s="328" t="s">
        <v>443</v>
      </c>
      <c r="EF48" s="432"/>
      <c r="EG48" s="327">
        <v>57.89</v>
      </c>
      <c r="EH48" s="328">
        <v>63.16</v>
      </c>
      <c r="EI48" s="432"/>
      <c r="EJ48" s="327">
        <v>46.22</v>
      </c>
      <c r="EK48" s="328">
        <v>65.8</v>
      </c>
      <c r="EL48" s="432"/>
      <c r="EM48" s="327">
        <v>50</v>
      </c>
      <c r="EN48" s="327">
        <v>51.16</v>
      </c>
      <c r="EO48" s="332">
        <v>10</v>
      </c>
      <c r="EP48" s="328">
        <v>77.44</v>
      </c>
      <c r="EQ48" s="332">
        <v>35.71</v>
      </c>
    </row>
    <row r="49" spans="1:147">
      <c r="A49" s="494"/>
      <c r="B49" s="325">
        <v>42</v>
      </c>
      <c r="C49" s="326" t="s">
        <v>48</v>
      </c>
      <c r="D49" s="377">
        <v>76.47</v>
      </c>
      <c r="E49" s="441">
        <v>79.930000000000007</v>
      </c>
      <c r="F49" s="444">
        <v>87.14</v>
      </c>
      <c r="G49" s="350">
        <v>-3.460000000000008</v>
      </c>
      <c r="H49" s="350">
        <v>-10.670000000000002</v>
      </c>
      <c r="I49" s="432"/>
      <c r="J49" s="328" t="s">
        <v>443</v>
      </c>
      <c r="K49" s="329">
        <v>88.24</v>
      </c>
      <c r="L49" s="328">
        <v>75.95</v>
      </c>
      <c r="M49" s="328">
        <v>75.180000000000007</v>
      </c>
      <c r="N49" s="328">
        <v>78.95</v>
      </c>
      <c r="O49" s="432"/>
      <c r="P49" s="328">
        <v>73.91</v>
      </c>
      <c r="Q49" s="328">
        <v>80.900000000000006</v>
      </c>
      <c r="R49" s="432"/>
      <c r="S49" s="328">
        <v>76</v>
      </c>
      <c r="T49" s="328">
        <v>66.05</v>
      </c>
      <c r="U49" s="328">
        <v>80.77</v>
      </c>
      <c r="V49" s="328">
        <v>81.25</v>
      </c>
      <c r="W49" s="329">
        <v>85.71</v>
      </c>
      <c r="X49" s="432"/>
      <c r="Y49" s="328">
        <v>83.12</v>
      </c>
      <c r="Z49" s="328">
        <v>74.180000000000007</v>
      </c>
      <c r="AA49" s="328">
        <v>72.81</v>
      </c>
      <c r="AB49" s="328">
        <v>77.05</v>
      </c>
      <c r="AC49" s="328">
        <v>81.010000000000005</v>
      </c>
      <c r="AD49" s="432"/>
      <c r="AE49" s="328">
        <v>76.53</v>
      </c>
      <c r="AF49" s="328">
        <v>75</v>
      </c>
      <c r="AG49" s="432"/>
      <c r="AH49" s="329">
        <v>91.98</v>
      </c>
      <c r="AI49" s="328">
        <v>76.19</v>
      </c>
      <c r="AJ49" s="328">
        <v>67.88</v>
      </c>
      <c r="AK49" s="327">
        <v>59.04</v>
      </c>
      <c r="AL49" s="432"/>
      <c r="AM49" s="328">
        <v>71.430000000000007</v>
      </c>
      <c r="AN49" s="328">
        <v>83.33</v>
      </c>
      <c r="AO49" s="327">
        <v>50</v>
      </c>
      <c r="AP49" s="328" t="s">
        <v>443</v>
      </c>
      <c r="AQ49" s="328" t="s">
        <v>443</v>
      </c>
      <c r="AR49" s="328">
        <v>67.510000000000005</v>
      </c>
      <c r="AS49" s="328" t="s">
        <v>443</v>
      </c>
      <c r="AT49" s="432"/>
      <c r="AU49" s="329">
        <v>86.36</v>
      </c>
      <c r="AV49" s="328">
        <v>74.52</v>
      </c>
      <c r="AW49" s="329">
        <v>92.68</v>
      </c>
      <c r="AX49" s="328" t="s">
        <v>443</v>
      </c>
      <c r="AY49" s="328" t="s">
        <v>443</v>
      </c>
      <c r="AZ49" s="329">
        <v>85.71</v>
      </c>
      <c r="BA49" s="328">
        <v>76.47</v>
      </c>
      <c r="BB49" s="432"/>
      <c r="BC49" s="328" t="s">
        <v>443</v>
      </c>
      <c r="BD49" s="328" t="s">
        <v>443</v>
      </c>
      <c r="BE49" s="329">
        <v>88.07</v>
      </c>
      <c r="BF49" s="328" t="s">
        <v>443</v>
      </c>
      <c r="BG49" s="329">
        <v>88.89</v>
      </c>
      <c r="BH49" s="328">
        <v>83.33</v>
      </c>
      <c r="BI49" s="328">
        <v>76.319999999999993</v>
      </c>
      <c r="BJ49" s="432"/>
      <c r="BK49" s="328" t="s">
        <v>443</v>
      </c>
      <c r="BL49" s="328">
        <v>66.67</v>
      </c>
      <c r="BM49" s="432"/>
      <c r="BN49" s="328" t="s">
        <v>443</v>
      </c>
      <c r="BO49" s="328" t="s">
        <v>443</v>
      </c>
      <c r="BP49" s="328" t="s">
        <v>443</v>
      </c>
      <c r="BQ49" s="328" t="s">
        <v>443</v>
      </c>
      <c r="BR49" s="432"/>
      <c r="BS49" s="328" t="s">
        <v>443</v>
      </c>
      <c r="BT49" s="328" t="s">
        <v>443</v>
      </c>
      <c r="BU49" s="327">
        <v>51.43</v>
      </c>
      <c r="BV49" s="327">
        <v>47.06</v>
      </c>
      <c r="BW49" s="432"/>
      <c r="BX49" s="328" t="s">
        <v>443</v>
      </c>
      <c r="BY49" s="328" t="s">
        <v>443</v>
      </c>
      <c r="BZ49" s="432"/>
      <c r="CA49" s="328" t="s">
        <v>443</v>
      </c>
      <c r="CB49" s="328" t="s">
        <v>443</v>
      </c>
      <c r="CC49" s="432"/>
      <c r="CD49" s="327">
        <v>55.56</v>
      </c>
      <c r="CE49" s="329">
        <v>92.31</v>
      </c>
      <c r="CF49" s="432"/>
      <c r="CG49" s="328" t="s">
        <v>443</v>
      </c>
      <c r="CH49" s="328" t="s">
        <v>443</v>
      </c>
      <c r="CI49" s="432"/>
      <c r="CJ49" s="328" t="s">
        <v>443</v>
      </c>
      <c r="CK49" s="328" t="s">
        <v>443</v>
      </c>
      <c r="CL49" s="328" t="s">
        <v>443</v>
      </c>
      <c r="CM49" s="328">
        <v>81.819999999999993</v>
      </c>
      <c r="CN49" s="432"/>
      <c r="CO49" s="329">
        <v>100</v>
      </c>
      <c r="CP49" s="328">
        <v>74.099999999999994</v>
      </c>
      <c r="CQ49" s="327">
        <v>60</v>
      </c>
      <c r="CR49" s="432"/>
      <c r="CS49" s="329">
        <v>100</v>
      </c>
      <c r="CT49" s="328" t="s">
        <v>443</v>
      </c>
      <c r="CU49" s="329">
        <v>100</v>
      </c>
      <c r="CV49" s="329">
        <v>92.86</v>
      </c>
      <c r="CW49" s="328">
        <v>66.67</v>
      </c>
      <c r="CX49" s="328" t="s">
        <v>443</v>
      </c>
      <c r="CY49" s="432"/>
      <c r="CZ49" s="328" t="s">
        <v>443</v>
      </c>
      <c r="DA49" s="432"/>
      <c r="DB49" s="328" t="s">
        <v>443</v>
      </c>
      <c r="DC49" s="432"/>
      <c r="DD49" s="329">
        <v>85.71</v>
      </c>
      <c r="DE49" s="432"/>
      <c r="DF49" s="328">
        <v>76.47</v>
      </c>
      <c r="DG49" s="432"/>
      <c r="DH49" s="328" t="s">
        <v>443</v>
      </c>
      <c r="DI49" s="432"/>
      <c r="DJ49" s="328" t="s">
        <v>443</v>
      </c>
      <c r="DK49" s="432"/>
      <c r="DL49" s="328" t="s">
        <v>443</v>
      </c>
      <c r="DM49" s="329">
        <v>87.51</v>
      </c>
      <c r="DN49" s="329">
        <v>90.91</v>
      </c>
      <c r="DO49" s="328">
        <v>81.25</v>
      </c>
      <c r="DP49" s="328" t="s">
        <v>443</v>
      </c>
      <c r="DQ49" s="328">
        <v>77.78</v>
      </c>
      <c r="DR49" s="328">
        <v>83.33</v>
      </c>
      <c r="DS49" s="329">
        <v>92.31</v>
      </c>
      <c r="DT49" s="329">
        <v>100</v>
      </c>
      <c r="DU49" s="328" t="s">
        <v>443</v>
      </c>
      <c r="DV49" s="329">
        <v>100</v>
      </c>
      <c r="DW49" s="432"/>
      <c r="DX49" s="328" t="s">
        <v>443</v>
      </c>
      <c r="DY49" s="432"/>
      <c r="DZ49" s="328" t="s">
        <v>443</v>
      </c>
      <c r="EA49" s="328" t="s">
        <v>443</v>
      </c>
      <c r="EB49" s="328" t="s">
        <v>443</v>
      </c>
      <c r="EC49" s="432"/>
      <c r="ED49" s="328" t="s">
        <v>443</v>
      </c>
      <c r="EE49" s="328" t="s">
        <v>443</v>
      </c>
      <c r="EF49" s="432"/>
      <c r="EG49" s="328">
        <v>68.42</v>
      </c>
      <c r="EH49" s="328">
        <v>84.21</v>
      </c>
      <c r="EI49" s="432"/>
      <c r="EJ49" s="327">
        <v>59.17</v>
      </c>
      <c r="EK49" s="328">
        <v>81.37</v>
      </c>
      <c r="EL49" s="432"/>
      <c r="EM49" s="328">
        <v>71.739999999999995</v>
      </c>
      <c r="EN49" s="328">
        <v>72.09</v>
      </c>
      <c r="EO49" s="332">
        <v>30</v>
      </c>
      <c r="EP49" s="329">
        <v>90.23</v>
      </c>
      <c r="EQ49" s="332">
        <v>37.51</v>
      </c>
    </row>
    <row r="50" spans="1:147">
      <c r="A50" s="494"/>
      <c r="B50" s="325">
        <v>43</v>
      </c>
      <c r="C50" s="326" t="s">
        <v>49</v>
      </c>
      <c r="D50" s="377">
        <v>66.42</v>
      </c>
      <c r="E50" s="441">
        <v>69.17</v>
      </c>
      <c r="F50" s="442">
        <v>73.77</v>
      </c>
      <c r="G50" s="350">
        <v>-2.75</v>
      </c>
      <c r="H50" s="350">
        <v>-7.3499999999999943</v>
      </c>
      <c r="I50" s="432"/>
      <c r="J50" s="328" t="s">
        <v>443</v>
      </c>
      <c r="K50" s="328">
        <v>85.29</v>
      </c>
      <c r="L50" s="328">
        <v>70.89</v>
      </c>
      <c r="M50" s="328">
        <v>63.57</v>
      </c>
      <c r="N50" s="328">
        <v>66.67</v>
      </c>
      <c r="O50" s="432"/>
      <c r="P50" s="328">
        <v>68.12</v>
      </c>
      <c r="Q50" s="328">
        <v>63.51</v>
      </c>
      <c r="R50" s="432"/>
      <c r="S50" s="328">
        <v>62.51</v>
      </c>
      <c r="T50" s="327">
        <v>52.76</v>
      </c>
      <c r="U50" s="328">
        <v>73.680000000000007</v>
      </c>
      <c r="V50" s="328">
        <v>71.88</v>
      </c>
      <c r="W50" s="328">
        <v>71.430000000000007</v>
      </c>
      <c r="X50" s="432"/>
      <c r="Y50" s="328">
        <v>71.05</v>
      </c>
      <c r="Z50" s="327">
        <v>59.35</v>
      </c>
      <c r="AA50" s="328">
        <v>66.09</v>
      </c>
      <c r="AB50" s="328">
        <v>73.77</v>
      </c>
      <c r="AC50" s="328">
        <v>75.95</v>
      </c>
      <c r="AD50" s="432"/>
      <c r="AE50" s="328">
        <v>66.540000000000006</v>
      </c>
      <c r="AF50" s="328">
        <v>63.16</v>
      </c>
      <c r="AG50" s="432"/>
      <c r="AH50" s="328">
        <v>75.94</v>
      </c>
      <c r="AI50" s="328">
        <v>71.430000000000007</v>
      </c>
      <c r="AJ50" s="328">
        <v>63.51</v>
      </c>
      <c r="AK50" s="327">
        <v>45.12</v>
      </c>
      <c r="AL50" s="432"/>
      <c r="AM50" s="327">
        <v>57.14</v>
      </c>
      <c r="AN50" s="328">
        <v>66.67</v>
      </c>
      <c r="AO50" s="332">
        <v>44.44</v>
      </c>
      <c r="AP50" s="328" t="s">
        <v>443</v>
      </c>
      <c r="AQ50" s="328" t="s">
        <v>443</v>
      </c>
      <c r="AR50" s="332">
        <v>39.020000000000003</v>
      </c>
      <c r="AS50" s="328" t="s">
        <v>443</v>
      </c>
      <c r="AT50" s="432"/>
      <c r="AU50" s="328">
        <v>72.73</v>
      </c>
      <c r="AV50" s="328">
        <v>77.56</v>
      </c>
      <c r="AW50" s="328">
        <v>73.17</v>
      </c>
      <c r="AX50" s="328" t="s">
        <v>443</v>
      </c>
      <c r="AY50" s="328" t="s">
        <v>443</v>
      </c>
      <c r="AZ50" s="327">
        <v>57.14</v>
      </c>
      <c r="BA50" s="328">
        <v>64.709999999999994</v>
      </c>
      <c r="BB50" s="432"/>
      <c r="BC50" s="328" t="s">
        <v>443</v>
      </c>
      <c r="BD50" s="328" t="s">
        <v>443</v>
      </c>
      <c r="BE50" s="328">
        <v>70.91</v>
      </c>
      <c r="BF50" s="328" t="s">
        <v>443</v>
      </c>
      <c r="BG50" s="328">
        <v>77.78</v>
      </c>
      <c r="BH50" s="328">
        <v>83.33</v>
      </c>
      <c r="BI50" s="328">
        <v>63.16</v>
      </c>
      <c r="BJ50" s="432"/>
      <c r="BK50" s="328" t="s">
        <v>443</v>
      </c>
      <c r="BL50" s="327">
        <v>50</v>
      </c>
      <c r="BM50" s="432"/>
      <c r="BN50" s="328" t="s">
        <v>443</v>
      </c>
      <c r="BO50" s="328" t="s">
        <v>443</v>
      </c>
      <c r="BP50" s="328" t="s">
        <v>443</v>
      </c>
      <c r="BQ50" s="328" t="s">
        <v>443</v>
      </c>
      <c r="BR50" s="432"/>
      <c r="BS50" s="328" t="s">
        <v>443</v>
      </c>
      <c r="BT50" s="328" t="s">
        <v>443</v>
      </c>
      <c r="BU50" s="332">
        <v>40</v>
      </c>
      <c r="BV50" s="327">
        <v>47.06</v>
      </c>
      <c r="BW50" s="432"/>
      <c r="BX50" s="328" t="s">
        <v>443</v>
      </c>
      <c r="BY50" s="328" t="s">
        <v>443</v>
      </c>
      <c r="BZ50" s="432"/>
      <c r="CA50" s="328" t="s">
        <v>443</v>
      </c>
      <c r="CB50" s="328" t="s">
        <v>443</v>
      </c>
      <c r="CC50" s="432"/>
      <c r="CD50" s="332">
        <v>28.57</v>
      </c>
      <c r="CE50" s="328">
        <v>61.54</v>
      </c>
      <c r="CF50" s="432"/>
      <c r="CG50" s="328" t="s">
        <v>443</v>
      </c>
      <c r="CH50" s="328" t="s">
        <v>443</v>
      </c>
      <c r="CI50" s="432"/>
      <c r="CJ50" s="328" t="s">
        <v>443</v>
      </c>
      <c r="CK50" s="328" t="s">
        <v>443</v>
      </c>
      <c r="CL50" s="328" t="s">
        <v>443</v>
      </c>
      <c r="CM50" s="328">
        <v>81.819999999999993</v>
      </c>
      <c r="CN50" s="432"/>
      <c r="CO50" s="329">
        <v>87.51</v>
      </c>
      <c r="CP50" s="328">
        <v>76.81</v>
      </c>
      <c r="CQ50" s="328">
        <v>80</v>
      </c>
      <c r="CR50" s="432"/>
      <c r="CS50" s="329">
        <v>85.71</v>
      </c>
      <c r="CT50" s="328" t="s">
        <v>443</v>
      </c>
      <c r="CU50" s="328">
        <v>71.430000000000007</v>
      </c>
      <c r="CV50" s="328">
        <v>78.569999999999993</v>
      </c>
      <c r="CW50" s="327">
        <v>50</v>
      </c>
      <c r="CX50" s="328" t="s">
        <v>443</v>
      </c>
      <c r="CY50" s="432"/>
      <c r="CZ50" s="328" t="s">
        <v>443</v>
      </c>
      <c r="DA50" s="432"/>
      <c r="DB50" s="328" t="s">
        <v>443</v>
      </c>
      <c r="DC50" s="432"/>
      <c r="DD50" s="327">
        <v>57.14</v>
      </c>
      <c r="DE50" s="432"/>
      <c r="DF50" s="328">
        <v>64.709999999999994</v>
      </c>
      <c r="DG50" s="432"/>
      <c r="DH50" s="328" t="s">
        <v>443</v>
      </c>
      <c r="DI50" s="432"/>
      <c r="DJ50" s="328" t="s">
        <v>443</v>
      </c>
      <c r="DK50" s="432"/>
      <c r="DL50" s="328" t="s">
        <v>443</v>
      </c>
      <c r="DM50" s="332">
        <v>37.51</v>
      </c>
      <c r="DN50" s="329">
        <v>90.91</v>
      </c>
      <c r="DO50" s="328">
        <v>70.59</v>
      </c>
      <c r="DP50" s="328" t="s">
        <v>443</v>
      </c>
      <c r="DQ50" s="328">
        <v>77.78</v>
      </c>
      <c r="DR50" s="328">
        <v>70</v>
      </c>
      <c r="DS50" s="327">
        <v>53.85</v>
      </c>
      <c r="DT50" s="329">
        <v>87.51</v>
      </c>
      <c r="DU50" s="328" t="s">
        <v>443</v>
      </c>
      <c r="DV50" s="329">
        <v>100</v>
      </c>
      <c r="DW50" s="432"/>
      <c r="DX50" s="328" t="s">
        <v>443</v>
      </c>
      <c r="DY50" s="432"/>
      <c r="DZ50" s="328" t="s">
        <v>443</v>
      </c>
      <c r="EA50" s="328" t="s">
        <v>443</v>
      </c>
      <c r="EB50" s="328" t="s">
        <v>443</v>
      </c>
      <c r="EC50" s="432"/>
      <c r="ED50" s="328" t="s">
        <v>443</v>
      </c>
      <c r="EE50" s="328" t="s">
        <v>443</v>
      </c>
      <c r="EF50" s="432"/>
      <c r="EG50" s="328">
        <v>63.16</v>
      </c>
      <c r="EH50" s="328">
        <v>63.16</v>
      </c>
      <c r="EI50" s="432"/>
      <c r="EJ50" s="332">
        <v>43.8</v>
      </c>
      <c r="EK50" s="328">
        <v>72.88</v>
      </c>
      <c r="EL50" s="432"/>
      <c r="EM50" s="328">
        <v>62.32</v>
      </c>
      <c r="EN50" s="328">
        <v>64.290000000000006</v>
      </c>
      <c r="EO50" s="327">
        <v>60</v>
      </c>
      <c r="EP50" s="328">
        <v>76.319999999999993</v>
      </c>
      <c r="EQ50" s="332">
        <v>35.71</v>
      </c>
    </row>
    <row r="51" spans="1:147">
      <c r="A51" s="494"/>
      <c r="B51" s="325">
        <v>44</v>
      </c>
      <c r="C51" s="326" t="s">
        <v>50</v>
      </c>
      <c r="D51" s="377">
        <v>64.790000000000006</v>
      </c>
      <c r="E51" s="441">
        <v>72.7</v>
      </c>
      <c r="F51" s="442">
        <v>80.959999999999994</v>
      </c>
      <c r="G51" s="350">
        <v>-7.9099999999999966</v>
      </c>
      <c r="H51" s="350">
        <v>-16.169999999999987</v>
      </c>
      <c r="I51" s="432"/>
      <c r="J51" s="328" t="s">
        <v>443</v>
      </c>
      <c r="K51" s="328">
        <v>84.85</v>
      </c>
      <c r="L51" s="328">
        <v>65.38</v>
      </c>
      <c r="M51" s="328">
        <v>64.41</v>
      </c>
      <c r="N51" s="332">
        <v>31.58</v>
      </c>
      <c r="O51" s="432"/>
      <c r="P51" s="328">
        <v>61.83</v>
      </c>
      <c r="Q51" s="328">
        <v>69.900000000000006</v>
      </c>
      <c r="R51" s="432"/>
      <c r="S51" s="332">
        <v>40</v>
      </c>
      <c r="T51" s="327">
        <v>54.72</v>
      </c>
      <c r="U51" s="328">
        <v>71.430000000000007</v>
      </c>
      <c r="V51" s="328">
        <v>72.22</v>
      </c>
      <c r="W51" s="328">
        <v>61.9</v>
      </c>
      <c r="X51" s="432"/>
      <c r="Y51" s="328">
        <v>61.84</v>
      </c>
      <c r="Z51" s="328">
        <v>63.59</v>
      </c>
      <c r="AA51" s="328">
        <v>61.06</v>
      </c>
      <c r="AB51" s="328">
        <v>73.77</v>
      </c>
      <c r="AC51" s="328">
        <v>69.23</v>
      </c>
      <c r="AD51" s="432"/>
      <c r="AE51" s="328">
        <v>66.150000000000006</v>
      </c>
      <c r="AF51" s="332">
        <v>30</v>
      </c>
      <c r="AG51" s="432"/>
      <c r="AH51" s="328">
        <v>83.42</v>
      </c>
      <c r="AI51" s="328">
        <v>67.62</v>
      </c>
      <c r="AJ51" s="327">
        <v>54.01</v>
      </c>
      <c r="AK51" s="332">
        <v>40.96</v>
      </c>
      <c r="AL51" s="432"/>
      <c r="AM51" s="332">
        <v>42.86</v>
      </c>
      <c r="AN51" s="328">
        <v>66.67</v>
      </c>
      <c r="AO51" s="327">
        <v>47.06</v>
      </c>
      <c r="AP51" s="328" t="s">
        <v>443</v>
      </c>
      <c r="AQ51" s="328" t="s">
        <v>443</v>
      </c>
      <c r="AR51" s="327">
        <v>60</v>
      </c>
      <c r="AS51" s="328" t="s">
        <v>443</v>
      </c>
      <c r="AT51" s="432"/>
      <c r="AU51" s="328">
        <v>76.19</v>
      </c>
      <c r="AV51" s="328">
        <v>62.18</v>
      </c>
      <c r="AW51" s="328">
        <v>80.489999999999995</v>
      </c>
      <c r="AX51" s="328" t="s">
        <v>443</v>
      </c>
      <c r="AY51" s="328" t="s">
        <v>443</v>
      </c>
      <c r="AZ51" s="328">
        <v>71.430000000000007</v>
      </c>
      <c r="BA51" s="327">
        <v>52.94</v>
      </c>
      <c r="BB51" s="432"/>
      <c r="BC51" s="328" t="s">
        <v>443</v>
      </c>
      <c r="BD51" s="328" t="s">
        <v>443</v>
      </c>
      <c r="BE51" s="328">
        <v>72.64</v>
      </c>
      <c r="BF51" s="328" t="s">
        <v>443</v>
      </c>
      <c r="BG51" s="328">
        <v>75</v>
      </c>
      <c r="BH51" s="328">
        <v>83.33</v>
      </c>
      <c r="BI51" s="327">
        <v>57.89</v>
      </c>
      <c r="BJ51" s="432"/>
      <c r="BK51" s="328" t="s">
        <v>443</v>
      </c>
      <c r="BL51" s="332">
        <v>33.33</v>
      </c>
      <c r="BM51" s="432"/>
      <c r="BN51" s="328" t="s">
        <v>443</v>
      </c>
      <c r="BO51" s="328" t="s">
        <v>443</v>
      </c>
      <c r="BP51" s="328" t="s">
        <v>443</v>
      </c>
      <c r="BQ51" s="328" t="s">
        <v>443</v>
      </c>
      <c r="BR51" s="432"/>
      <c r="BS51" s="328" t="s">
        <v>443</v>
      </c>
      <c r="BT51" s="328" t="s">
        <v>443</v>
      </c>
      <c r="BU51" s="327">
        <v>56.25</v>
      </c>
      <c r="BV51" s="332">
        <v>29.41</v>
      </c>
      <c r="BW51" s="432"/>
      <c r="BX51" s="328" t="s">
        <v>443</v>
      </c>
      <c r="BY51" s="328" t="s">
        <v>443</v>
      </c>
      <c r="BZ51" s="432"/>
      <c r="CA51" s="328" t="s">
        <v>443</v>
      </c>
      <c r="CB51" s="328" t="s">
        <v>443</v>
      </c>
      <c r="CC51" s="432"/>
      <c r="CD51" s="327">
        <v>55.56</v>
      </c>
      <c r="CE51" s="328">
        <v>69.23</v>
      </c>
      <c r="CF51" s="432"/>
      <c r="CG51" s="328" t="s">
        <v>443</v>
      </c>
      <c r="CH51" s="328" t="s">
        <v>443</v>
      </c>
      <c r="CI51" s="432"/>
      <c r="CJ51" s="328" t="s">
        <v>443</v>
      </c>
      <c r="CK51" s="328" t="s">
        <v>443</v>
      </c>
      <c r="CL51" s="328" t="s">
        <v>443</v>
      </c>
      <c r="CM51" s="328">
        <v>63.64</v>
      </c>
      <c r="CN51" s="432"/>
      <c r="CO51" s="329">
        <v>87.51</v>
      </c>
      <c r="CP51" s="327">
        <v>60.14</v>
      </c>
      <c r="CQ51" s="328">
        <v>70</v>
      </c>
      <c r="CR51" s="432"/>
      <c r="CS51" s="328">
        <v>71.430000000000007</v>
      </c>
      <c r="CT51" s="328" t="s">
        <v>443</v>
      </c>
      <c r="CU51" s="329">
        <v>100</v>
      </c>
      <c r="CV51" s="329">
        <v>85.71</v>
      </c>
      <c r="CW51" s="327">
        <v>50</v>
      </c>
      <c r="CX51" s="328" t="s">
        <v>443</v>
      </c>
      <c r="CY51" s="432"/>
      <c r="CZ51" s="328" t="s">
        <v>443</v>
      </c>
      <c r="DA51" s="432"/>
      <c r="DB51" s="328" t="s">
        <v>443</v>
      </c>
      <c r="DC51" s="432"/>
      <c r="DD51" s="328">
        <v>71.430000000000007</v>
      </c>
      <c r="DE51" s="432"/>
      <c r="DF51" s="327">
        <v>52.94</v>
      </c>
      <c r="DG51" s="432"/>
      <c r="DH51" s="328" t="s">
        <v>443</v>
      </c>
      <c r="DI51" s="432"/>
      <c r="DJ51" s="328" t="s">
        <v>443</v>
      </c>
      <c r="DK51" s="432"/>
      <c r="DL51" s="328" t="s">
        <v>443</v>
      </c>
      <c r="DM51" s="327">
        <v>50</v>
      </c>
      <c r="DN51" s="328">
        <v>72.73</v>
      </c>
      <c r="DO51" s="328">
        <v>68.75</v>
      </c>
      <c r="DP51" s="328" t="s">
        <v>443</v>
      </c>
      <c r="DQ51" s="328">
        <v>77.78</v>
      </c>
      <c r="DR51" s="328">
        <v>62.07</v>
      </c>
      <c r="DS51" s="328">
        <v>76.92</v>
      </c>
      <c r="DT51" s="329">
        <v>100</v>
      </c>
      <c r="DU51" s="328" t="s">
        <v>443</v>
      </c>
      <c r="DV51" s="329">
        <v>100</v>
      </c>
      <c r="DW51" s="432"/>
      <c r="DX51" s="328" t="s">
        <v>443</v>
      </c>
      <c r="DY51" s="432"/>
      <c r="DZ51" s="328" t="s">
        <v>443</v>
      </c>
      <c r="EA51" s="328" t="s">
        <v>443</v>
      </c>
      <c r="EB51" s="328" t="s">
        <v>443</v>
      </c>
      <c r="EC51" s="432"/>
      <c r="ED51" s="328" t="s">
        <v>443</v>
      </c>
      <c r="EE51" s="328" t="s">
        <v>443</v>
      </c>
      <c r="EF51" s="432"/>
      <c r="EG51" s="328">
        <v>63.16</v>
      </c>
      <c r="EH51" s="327">
        <v>52.63</v>
      </c>
      <c r="EI51" s="432"/>
      <c r="EJ51" s="327">
        <v>53.45</v>
      </c>
      <c r="EK51" s="328">
        <v>67.94</v>
      </c>
      <c r="EL51" s="432"/>
      <c r="EM51" s="327">
        <v>52.9</v>
      </c>
      <c r="EN51" s="327">
        <v>53.49</v>
      </c>
      <c r="EO51" s="332">
        <v>20</v>
      </c>
      <c r="EP51" s="328">
        <v>81.95</v>
      </c>
      <c r="EQ51" s="332">
        <v>33.93</v>
      </c>
    </row>
    <row r="52" spans="1:147">
      <c r="A52" s="494"/>
      <c r="B52" s="325">
        <v>45</v>
      </c>
      <c r="C52" s="326" t="s">
        <v>51</v>
      </c>
      <c r="D52" s="377">
        <v>76.819999999999993</v>
      </c>
      <c r="E52" s="441">
        <v>80.900000000000006</v>
      </c>
      <c r="F52" s="444">
        <v>86.83</v>
      </c>
      <c r="G52" s="350">
        <v>-4.0800000000000125</v>
      </c>
      <c r="H52" s="350">
        <v>-10.010000000000005</v>
      </c>
      <c r="I52" s="432"/>
      <c r="J52" s="328" t="s">
        <v>443</v>
      </c>
      <c r="K52" s="329">
        <v>87.88</v>
      </c>
      <c r="L52" s="328">
        <v>79.489999999999995</v>
      </c>
      <c r="M52" s="328">
        <v>74.75</v>
      </c>
      <c r="N52" s="328">
        <v>84.21</v>
      </c>
      <c r="O52" s="432"/>
      <c r="P52" s="328">
        <v>74.040000000000006</v>
      </c>
      <c r="Q52" s="328">
        <v>81.63</v>
      </c>
      <c r="R52" s="432"/>
      <c r="S52" s="329">
        <v>88</v>
      </c>
      <c r="T52" s="328">
        <v>71.7</v>
      </c>
      <c r="U52" s="328">
        <v>76.959999999999994</v>
      </c>
      <c r="V52" s="328">
        <v>80.95</v>
      </c>
      <c r="W52" s="328">
        <v>76.19</v>
      </c>
      <c r="X52" s="432"/>
      <c r="Y52" s="329">
        <v>85.53</v>
      </c>
      <c r="Z52" s="328">
        <v>77.290000000000006</v>
      </c>
      <c r="AA52" s="328">
        <v>69.91</v>
      </c>
      <c r="AB52" s="328">
        <v>77.05</v>
      </c>
      <c r="AC52" s="328">
        <v>76.92</v>
      </c>
      <c r="AD52" s="432"/>
      <c r="AE52" s="328">
        <v>76.510000000000005</v>
      </c>
      <c r="AF52" s="328">
        <v>85</v>
      </c>
      <c r="AG52" s="432"/>
      <c r="AH52" s="329">
        <v>89.3</v>
      </c>
      <c r="AI52" s="328">
        <v>80.95</v>
      </c>
      <c r="AJ52" s="328">
        <v>68.61</v>
      </c>
      <c r="AK52" s="328">
        <v>62.65</v>
      </c>
      <c r="AL52" s="432"/>
      <c r="AM52" s="327">
        <v>57.14</v>
      </c>
      <c r="AN52" s="328">
        <v>66.67</v>
      </c>
      <c r="AO52" s="328">
        <v>62.75</v>
      </c>
      <c r="AP52" s="328" t="s">
        <v>443</v>
      </c>
      <c r="AQ52" s="328" t="s">
        <v>443</v>
      </c>
      <c r="AR52" s="328">
        <v>72.510000000000005</v>
      </c>
      <c r="AS52" s="328" t="s">
        <v>443</v>
      </c>
      <c r="AT52" s="432"/>
      <c r="AU52" s="329">
        <v>95.24</v>
      </c>
      <c r="AV52" s="328">
        <v>77.56</v>
      </c>
      <c r="AW52" s="328">
        <v>80.489999999999995</v>
      </c>
      <c r="AX52" s="328" t="s">
        <v>443</v>
      </c>
      <c r="AY52" s="328" t="s">
        <v>443</v>
      </c>
      <c r="AZ52" s="329">
        <v>85.71</v>
      </c>
      <c r="BA52" s="328">
        <v>70.59</v>
      </c>
      <c r="BB52" s="432"/>
      <c r="BC52" s="328" t="s">
        <v>443</v>
      </c>
      <c r="BD52" s="328" t="s">
        <v>443</v>
      </c>
      <c r="BE52" s="328">
        <v>84.11</v>
      </c>
      <c r="BF52" s="328" t="s">
        <v>443</v>
      </c>
      <c r="BG52" s="329">
        <v>87.51</v>
      </c>
      <c r="BH52" s="329">
        <v>100</v>
      </c>
      <c r="BI52" s="328">
        <v>65.790000000000006</v>
      </c>
      <c r="BJ52" s="432"/>
      <c r="BK52" s="328" t="s">
        <v>443</v>
      </c>
      <c r="BL52" s="327">
        <v>50</v>
      </c>
      <c r="BM52" s="432"/>
      <c r="BN52" s="328" t="s">
        <v>443</v>
      </c>
      <c r="BO52" s="328" t="s">
        <v>443</v>
      </c>
      <c r="BP52" s="328" t="s">
        <v>443</v>
      </c>
      <c r="BQ52" s="328" t="s">
        <v>443</v>
      </c>
      <c r="BR52" s="432"/>
      <c r="BS52" s="328" t="s">
        <v>443</v>
      </c>
      <c r="BT52" s="328" t="s">
        <v>443</v>
      </c>
      <c r="BU52" s="328">
        <v>71.88</v>
      </c>
      <c r="BV52" s="332">
        <v>41.18</v>
      </c>
      <c r="BW52" s="432"/>
      <c r="BX52" s="328" t="s">
        <v>443</v>
      </c>
      <c r="BY52" s="328" t="s">
        <v>443</v>
      </c>
      <c r="BZ52" s="432"/>
      <c r="CA52" s="328" t="s">
        <v>443</v>
      </c>
      <c r="CB52" s="328" t="s">
        <v>443</v>
      </c>
      <c r="CC52" s="432"/>
      <c r="CD52" s="328">
        <v>62.96</v>
      </c>
      <c r="CE52" s="329">
        <v>92.31</v>
      </c>
      <c r="CF52" s="432"/>
      <c r="CG52" s="328" t="s">
        <v>443</v>
      </c>
      <c r="CH52" s="328" t="s">
        <v>443</v>
      </c>
      <c r="CI52" s="432"/>
      <c r="CJ52" s="328" t="s">
        <v>443</v>
      </c>
      <c r="CK52" s="328" t="s">
        <v>443</v>
      </c>
      <c r="CL52" s="328" t="s">
        <v>443</v>
      </c>
      <c r="CM52" s="329">
        <v>100</v>
      </c>
      <c r="CN52" s="432"/>
      <c r="CO52" s="329">
        <v>100</v>
      </c>
      <c r="CP52" s="328">
        <v>76.09</v>
      </c>
      <c r="CQ52" s="328">
        <v>80</v>
      </c>
      <c r="CR52" s="432"/>
      <c r="CS52" s="329">
        <v>85.71</v>
      </c>
      <c r="CT52" s="328" t="s">
        <v>443</v>
      </c>
      <c r="CU52" s="328">
        <v>71.430000000000007</v>
      </c>
      <c r="CV52" s="329">
        <v>85.71</v>
      </c>
      <c r="CW52" s="328">
        <v>66.67</v>
      </c>
      <c r="CX52" s="328" t="s">
        <v>443</v>
      </c>
      <c r="CY52" s="432"/>
      <c r="CZ52" s="328" t="s">
        <v>443</v>
      </c>
      <c r="DA52" s="432"/>
      <c r="DB52" s="328" t="s">
        <v>443</v>
      </c>
      <c r="DC52" s="432"/>
      <c r="DD52" s="329">
        <v>85.71</v>
      </c>
      <c r="DE52" s="432"/>
      <c r="DF52" s="328">
        <v>70.59</v>
      </c>
      <c r="DG52" s="432"/>
      <c r="DH52" s="328" t="s">
        <v>443</v>
      </c>
      <c r="DI52" s="432"/>
      <c r="DJ52" s="328" t="s">
        <v>443</v>
      </c>
      <c r="DK52" s="432"/>
      <c r="DL52" s="328" t="s">
        <v>443</v>
      </c>
      <c r="DM52" s="328">
        <v>71.430000000000007</v>
      </c>
      <c r="DN52" s="328">
        <v>72.73</v>
      </c>
      <c r="DO52" s="328">
        <v>81.25</v>
      </c>
      <c r="DP52" s="328" t="s">
        <v>443</v>
      </c>
      <c r="DQ52" s="328">
        <v>77.78</v>
      </c>
      <c r="DR52" s="328">
        <v>82.76</v>
      </c>
      <c r="DS52" s="328">
        <v>84.62</v>
      </c>
      <c r="DT52" s="329">
        <v>100</v>
      </c>
      <c r="DU52" s="328" t="s">
        <v>443</v>
      </c>
      <c r="DV52" s="329">
        <v>100</v>
      </c>
      <c r="DW52" s="432"/>
      <c r="DX52" s="328" t="s">
        <v>443</v>
      </c>
      <c r="DY52" s="432"/>
      <c r="DZ52" s="328" t="s">
        <v>443</v>
      </c>
      <c r="EA52" s="328" t="s">
        <v>443</v>
      </c>
      <c r="EB52" s="328" t="s">
        <v>443</v>
      </c>
      <c r="EC52" s="432"/>
      <c r="ED52" s="328" t="s">
        <v>443</v>
      </c>
      <c r="EE52" s="328" t="s">
        <v>443</v>
      </c>
      <c r="EF52" s="432"/>
      <c r="EG52" s="328">
        <v>73.680000000000007</v>
      </c>
      <c r="EH52" s="327">
        <v>57.89</v>
      </c>
      <c r="EI52" s="432"/>
      <c r="EJ52" s="328">
        <v>65.52</v>
      </c>
      <c r="EK52" s="328">
        <v>79.95</v>
      </c>
      <c r="EL52" s="432"/>
      <c r="EM52" s="328">
        <v>68.84</v>
      </c>
      <c r="EN52" s="328">
        <v>79.069999999999993</v>
      </c>
      <c r="EO52" s="332">
        <v>30</v>
      </c>
      <c r="EP52" s="329">
        <v>90.98</v>
      </c>
      <c r="EQ52" s="327">
        <v>46.43</v>
      </c>
    </row>
    <row r="53" spans="1:147">
      <c r="A53" s="494"/>
      <c r="B53" s="325">
        <v>46</v>
      </c>
      <c r="C53" s="326" t="s">
        <v>52</v>
      </c>
      <c r="D53" s="377">
        <v>62.87</v>
      </c>
      <c r="E53" s="441">
        <v>67.67</v>
      </c>
      <c r="F53" s="442">
        <v>79.239999999999995</v>
      </c>
      <c r="G53" s="350">
        <v>-4.8000000000000043</v>
      </c>
      <c r="H53" s="350">
        <v>-16.369999999999997</v>
      </c>
      <c r="I53" s="432"/>
      <c r="J53" s="328" t="s">
        <v>443</v>
      </c>
      <c r="K53" s="328">
        <v>81.819999999999993</v>
      </c>
      <c r="L53" s="328">
        <v>71.790000000000006</v>
      </c>
      <c r="M53" s="327">
        <v>58.85</v>
      </c>
      <c r="N53" s="328">
        <v>68.42</v>
      </c>
      <c r="O53" s="432"/>
      <c r="P53" s="327">
        <v>60.29</v>
      </c>
      <c r="Q53" s="328">
        <v>67.349999999999994</v>
      </c>
      <c r="R53" s="432"/>
      <c r="S53" s="328">
        <v>68</v>
      </c>
      <c r="T53" s="327">
        <v>52.2</v>
      </c>
      <c r="U53" s="328">
        <v>66.83</v>
      </c>
      <c r="V53" s="328">
        <v>70.63</v>
      </c>
      <c r="W53" s="327">
        <v>52.38</v>
      </c>
      <c r="X53" s="432"/>
      <c r="Y53" s="328">
        <v>72.73</v>
      </c>
      <c r="Z53" s="327">
        <v>57.49</v>
      </c>
      <c r="AA53" s="327">
        <v>55.75</v>
      </c>
      <c r="AB53" s="328">
        <v>67.209999999999994</v>
      </c>
      <c r="AC53" s="328">
        <v>74.36</v>
      </c>
      <c r="AD53" s="432"/>
      <c r="AE53" s="328">
        <v>62.6</v>
      </c>
      <c r="AF53" s="328">
        <v>70</v>
      </c>
      <c r="AG53" s="432"/>
      <c r="AH53" s="328">
        <v>74.87</v>
      </c>
      <c r="AI53" s="328">
        <v>69.52</v>
      </c>
      <c r="AJ53" s="327">
        <v>54.01</v>
      </c>
      <c r="AK53" s="332">
        <v>43.37</v>
      </c>
      <c r="AL53" s="432"/>
      <c r="AM53" s="332">
        <v>42.86</v>
      </c>
      <c r="AN53" s="328">
        <v>66.67</v>
      </c>
      <c r="AO53" s="327">
        <v>52.94</v>
      </c>
      <c r="AP53" s="328" t="s">
        <v>443</v>
      </c>
      <c r="AQ53" s="328" t="s">
        <v>443</v>
      </c>
      <c r="AR53" s="332">
        <v>37.51</v>
      </c>
      <c r="AS53" s="328" t="s">
        <v>443</v>
      </c>
      <c r="AT53" s="432"/>
      <c r="AU53" s="328">
        <v>80.95</v>
      </c>
      <c r="AV53" s="328">
        <v>67.31</v>
      </c>
      <c r="AW53" s="328">
        <v>75.61</v>
      </c>
      <c r="AX53" s="328" t="s">
        <v>443</v>
      </c>
      <c r="AY53" s="328" t="s">
        <v>443</v>
      </c>
      <c r="AZ53" s="327">
        <v>57.14</v>
      </c>
      <c r="BA53" s="327">
        <v>47.06</v>
      </c>
      <c r="BB53" s="432"/>
      <c r="BC53" s="328" t="s">
        <v>443</v>
      </c>
      <c r="BD53" s="328" t="s">
        <v>443</v>
      </c>
      <c r="BE53" s="328">
        <v>70.37</v>
      </c>
      <c r="BF53" s="328" t="s">
        <v>443</v>
      </c>
      <c r="BG53" s="328">
        <v>75</v>
      </c>
      <c r="BH53" s="328">
        <v>83.33</v>
      </c>
      <c r="BI53" s="327">
        <v>47.37</v>
      </c>
      <c r="BJ53" s="432"/>
      <c r="BK53" s="328" t="s">
        <v>443</v>
      </c>
      <c r="BL53" s="332">
        <v>33.33</v>
      </c>
      <c r="BM53" s="432"/>
      <c r="BN53" s="328" t="s">
        <v>443</v>
      </c>
      <c r="BO53" s="328" t="s">
        <v>443</v>
      </c>
      <c r="BP53" s="328" t="s">
        <v>443</v>
      </c>
      <c r="BQ53" s="328" t="s">
        <v>443</v>
      </c>
      <c r="BR53" s="432"/>
      <c r="BS53" s="328" t="s">
        <v>443</v>
      </c>
      <c r="BT53" s="328" t="s">
        <v>443</v>
      </c>
      <c r="BU53" s="328">
        <v>62.51</v>
      </c>
      <c r="BV53" s="332">
        <v>35.29</v>
      </c>
      <c r="BW53" s="432"/>
      <c r="BX53" s="328" t="s">
        <v>443</v>
      </c>
      <c r="BY53" s="328" t="s">
        <v>443</v>
      </c>
      <c r="BZ53" s="432"/>
      <c r="CA53" s="328" t="s">
        <v>443</v>
      </c>
      <c r="CB53" s="328" t="s">
        <v>443</v>
      </c>
      <c r="CC53" s="432"/>
      <c r="CD53" s="332">
        <v>33.33</v>
      </c>
      <c r="CE53" s="327">
        <v>46.15</v>
      </c>
      <c r="CF53" s="432"/>
      <c r="CG53" s="328" t="s">
        <v>443</v>
      </c>
      <c r="CH53" s="328" t="s">
        <v>443</v>
      </c>
      <c r="CI53" s="432"/>
      <c r="CJ53" s="328" t="s">
        <v>443</v>
      </c>
      <c r="CK53" s="328" t="s">
        <v>443</v>
      </c>
      <c r="CL53" s="328" t="s">
        <v>443</v>
      </c>
      <c r="CM53" s="328">
        <v>81.819999999999993</v>
      </c>
      <c r="CN53" s="432"/>
      <c r="CO53" s="329">
        <v>87.51</v>
      </c>
      <c r="CP53" s="328">
        <v>66.67</v>
      </c>
      <c r="CQ53" s="327">
        <v>60</v>
      </c>
      <c r="CR53" s="432"/>
      <c r="CS53" s="328">
        <v>71.430000000000007</v>
      </c>
      <c r="CT53" s="328" t="s">
        <v>443</v>
      </c>
      <c r="CU53" s="329">
        <v>85.71</v>
      </c>
      <c r="CV53" s="329">
        <v>92.86</v>
      </c>
      <c r="CW53" s="332">
        <v>16.670000000000002</v>
      </c>
      <c r="CX53" s="328" t="s">
        <v>443</v>
      </c>
      <c r="CY53" s="432"/>
      <c r="CZ53" s="328" t="s">
        <v>443</v>
      </c>
      <c r="DA53" s="432"/>
      <c r="DB53" s="328" t="s">
        <v>443</v>
      </c>
      <c r="DC53" s="432"/>
      <c r="DD53" s="327">
        <v>57.14</v>
      </c>
      <c r="DE53" s="432"/>
      <c r="DF53" s="327">
        <v>47.06</v>
      </c>
      <c r="DG53" s="432"/>
      <c r="DH53" s="328" t="s">
        <v>443</v>
      </c>
      <c r="DI53" s="432"/>
      <c r="DJ53" s="328" t="s">
        <v>443</v>
      </c>
      <c r="DK53" s="432"/>
      <c r="DL53" s="328" t="s">
        <v>443</v>
      </c>
      <c r="DM53" s="332">
        <v>42.86</v>
      </c>
      <c r="DN53" s="328">
        <v>81.819999999999993</v>
      </c>
      <c r="DO53" s="327">
        <v>56.25</v>
      </c>
      <c r="DP53" s="328" t="s">
        <v>443</v>
      </c>
      <c r="DQ53" s="329">
        <v>100</v>
      </c>
      <c r="DR53" s="327">
        <v>53.33</v>
      </c>
      <c r="DS53" s="328">
        <v>69.23</v>
      </c>
      <c r="DT53" s="329">
        <v>87.51</v>
      </c>
      <c r="DU53" s="328" t="s">
        <v>443</v>
      </c>
      <c r="DV53" s="329">
        <v>100</v>
      </c>
      <c r="DW53" s="432"/>
      <c r="DX53" s="328" t="s">
        <v>443</v>
      </c>
      <c r="DY53" s="432"/>
      <c r="DZ53" s="328" t="s">
        <v>443</v>
      </c>
      <c r="EA53" s="328" t="s">
        <v>443</v>
      </c>
      <c r="EB53" s="328" t="s">
        <v>443</v>
      </c>
      <c r="EC53" s="432"/>
      <c r="ED53" s="328" t="s">
        <v>443</v>
      </c>
      <c r="EE53" s="328" t="s">
        <v>443</v>
      </c>
      <c r="EF53" s="432"/>
      <c r="EG53" s="327">
        <v>52.63</v>
      </c>
      <c r="EH53" s="332">
        <v>42.11</v>
      </c>
      <c r="EI53" s="432"/>
      <c r="EJ53" s="327">
        <v>45.69</v>
      </c>
      <c r="EK53" s="328">
        <v>67.62</v>
      </c>
      <c r="EL53" s="432"/>
      <c r="EM53" s="328">
        <v>63.04</v>
      </c>
      <c r="EN53" s="328">
        <v>62.79</v>
      </c>
      <c r="EO53" s="332">
        <v>10</v>
      </c>
      <c r="EP53" s="328">
        <v>72.930000000000007</v>
      </c>
      <c r="EQ53" s="332">
        <v>28.57</v>
      </c>
    </row>
    <row r="54" spans="1:147">
      <c r="A54" s="495"/>
      <c r="B54" s="325">
        <v>47</v>
      </c>
      <c r="C54" s="326" t="s">
        <v>53</v>
      </c>
      <c r="D54" s="380">
        <v>57.79</v>
      </c>
      <c r="E54" s="441">
        <v>64.14</v>
      </c>
      <c r="F54" s="442">
        <v>80.56</v>
      </c>
      <c r="G54" s="350">
        <v>-6.3500000000000014</v>
      </c>
      <c r="H54" s="350">
        <v>-22.770000000000003</v>
      </c>
      <c r="I54" s="432"/>
      <c r="J54" s="328" t="s">
        <v>443</v>
      </c>
      <c r="K54" s="328">
        <v>69.7</v>
      </c>
      <c r="L54" s="328">
        <v>66.23</v>
      </c>
      <c r="M54" s="327">
        <v>55.14</v>
      </c>
      <c r="N54" s="327">
        <v>57.89</v>
      </c>
      <c r="O54" s="432"/>
      <c r="P54" s="327">
        <v>56.93</v>
      </c>
      <c r="Q54" s="327">
        <v>59.28</v>
      </c>
      <c r="R54" s="432"/>
      <c r="S54" s="327">
        <v>48</v>
      </c>
      <c r="T54" s="332">
        <v>43.04</v>
      </c>
      <c r="U54" s="328">
        <v>66.67</v>
      </c>
      <c r="V54" s="328">
        <v>61.6</v>
      </c>
      <c r="W54" s="328">
        <v>71.430000000000007</v>
      </c>
      <c r="X54" s="432"/>
      <c r="Y54" s="327">
        <v>50</v>
      </c>
      <c r="Z54" s="327">
        <v>55.83</v>
      </c>
      <c r="AA54" s="327">
        <v>55.75</v>
      </c>
      <c r="AB54" s="328">
        <v>61.67</v>
      </c>
      <c r="AC54" s="328">
        <v>70.510000000000005</v>
      </c>
      <c r="AD54" s="432"/>
      <c r="AE54" s="327">
        <v>57.89</v>
      </c>
      <c r="AF54" s="327">
        <v>55</v>
      </c>
      <c r="AG54" s="432"/>
      <c r="AH54" s="328">
        <v>71.349999999999994</v>
      </c>
      <c r="AI54" s="327">
        <v>59.05</v>
      </c>
      <c r="AJ54" s="327">
        <v>54.01</v>
      </c>
      <c r="AK54" s="332">
        <v>36.590000000000003</v>
      </c>
      <c r="AL54" s="432"/>
      <c r="AM54" s="328">
        <v>71.430000000000007</v>
      </c>
      <c r="AN54" s="328">
        <v>66.67</v>
      </c>
      <c r="AO54" s="327">
        <v>45.1</v>
      </c>
      <c r="AP54" s="328" t="s">
        <v>443</v>
      </c>
      <c r="AQ54" s="328" t="s">
        <v>443</v>
      </c>
      <c r="AR54" s="327">
        <v>46.15</v>
      </c>
      <c r="AS54" s="328" t="s">
        <v>443</v>
      </c>
      <c r="AT54" s="432"/>
      <c r="AU54" s="328">
        <v>80.95</v>
      </c>
      <c r="AV54" s="328">
        <v>63.23</v>
      </c>
      <c r="AW54" s="328">
        <v>60.98</v>
      </c>
      <c r="AX54" s="328" t="s">
        <v>443</v>
      </c>
      <c r="AY54" s="328" t="s">
        <v>443</v>
      </c>
      <c r="AZ54" s="328">
        <v>71.430000000000007</v>
      </c>
      <c r="BA54" s="327">
        <v>47.06</v>
      </c>
      <c r="BB54" s="432"/>
      <c r="BC54" s="328" t="s">
        <v>443</v>
      </c>
      <c r="BD54" s="328" t="s">
        <v>443</v>
      </c>
      <c r="BE54" s="327">
        <v>51.85</v>
      </c>
      <c r="BF54" s="328" t="s">
        <v>443</v>
      </c>
      <c r="BG54" s="327">
        <v>50</v>
      </c>
      <c r="BH54" s="328">
        <v>83.33</v>
      </c>
      <c r="BI54" s="327">
        <v>59.46</v>
      </c>
      <c r="BJ54" s="432"/>
      <c r="BK54" s="328" t="s">
        <v>443</v>
      </c>
      <c r="BL54" s="328">
        <v>66.67</v>
      </c>
      <c r="BM54" s="432"/>
      <c r="BN54" s="328" t="s">
        <v>443</v>
      </c>
      <c r="BO54" s="328" t="s">
        <v>443</v>
      </c>
      <c r="BP54" s="328" t="s">
        <v>443</v>
      </c>
      <c r="BQ54" s="328" t="s">
        <v>443</v>
      </c>
      <c r="BR54" s="432"/>
      <c r="BS54" s="328" t="s">
        <v>443</v>
      </c>
      <c r="BT54" s="328" t="s">
        <v>443</v>
      </c>
      <c r="BU54" s="327">
        <v>46.88</v>
      </c>
      <c r="BV54" s="332">
        <v>41.18</v>
      </c>
      <c r="BW54" s="432"/>
      <c r="BX54" s="328" t="s">
        <v>443</v>
      </c>
      <c r="BY54" s="328" t="s">
        <v>443</v>
      </c>
      <c r="BZ54" s="432"/>
      <c r="CA54" s="328" t="s">
        <v>443</v>
      </c>
      <c r="CB54" s="328" t="s">
        <v>443</v>
      </c>
      <c r="CC54" s="432"/>
      <c r="CD54" s="327">
        <v>46.15</v>
      </c>
      <c r="CE54" s="327">
        <v>46.15</v>
      </c>
      <c r="CF54" s="432"/>
      <c r="CG54" s="328" t="s">
        <v>443</v>
      </c>
      <c r="CH54" s="328" t="s">
        <v>443</v>
      </c>
      <c r="CI54" s="432"/>
      <c r="CJ54" s="328" t="s">
        <v>443</v>
      </c>
      <c r="CK54" s="328" t="s">
        <v>443</v>
      </c>
      <c r="CL54" s="328" t="s">
        <v>443</v>
      </c>
      <c r="CM54" s="328">
        <v>72.73</v>
      </c>
      <c r="CN54" s="432"/>
      <c r="CO54" s="329">
        <v>100</v>
      </c>
      <c r="CP54" s="328">
        <v>60.58</v>
      </c>
      <c r="CQ54" s="328">
        <v>70</v>
      </c>
      <c r="CR54" s="432"/>
      <c r="CS54" s="328">
        <v>71.430000000000007</v>
      </c>
      <c r="CT54" s="328" t="s">
        <v>443</v>
      </c>
      <c r="CU54" s="329">
        <v>100</v>
      </c>
      <c r="CV54" s="327">
        <v>50</v>
      </c>
      <c r="CW54" s="327">
        <v>50</v>
      </c>
      <c r="CX54" s="328" t="s">
        <v>443</v>
      </c>
      <c r="CY54" s="432"/>
      <c r="CZ54" s="328" t="s">
        <v>443</v>
      </c>
      <c r="DA54" s="432"/>
      <c r="DB54" s="328" t="s">
        <v>443</v>
      </c>
      <c r="DC54" s="432"/>
      <c r="DD54" s="328">
        <v>71.430000000000007</v>
      </c>
      <c r="DE54" s="432"/>
      <c r="DF54" s="327">
        <v>47.06</v>
      </c>
      <c r="DG54" s="432"/>
      <c r="DH54" s="328" t="s">
        <v>443</v>
      </c>
      <c r="DI54" s="432"/>
      <c r="DJ54" s="328" t="s">
        <v>443</v>
      </c>
      <c r="DK54" s="432"/>
      <c r="DL54" s="328" t="s">
        <v>443</v>
      </c>
      <c r="DM54" s="332">
        <v>42.86</v>
      </c>
      <c r="DN54" s="332">
        <v>36.36</v>
      </c>
      <c r="DO54" s="327">
        <v>56.25</v>
      </c>
      <c r="DP54" s="328" t="s">
        <v>443</v>
      </c>
      <c r="DQ54" s="328">
        <v>66.67</v>
      </c>
      <c r="DR54" s="332">
        <v>30</v>
      </c>
      <c r="DS54" s="327">
        <v>46.15</v>
      </c>
      <c r="DT54" s="329">
        <v>87.51</v>
      </c>
      <c r="DU54" s="328" t="s">
        <v>443</v>
      </c>
      <c r="DV54" s="329">
        <v>100</v>
      </c>
      <c r="DW54" s="432"/>
      <c r="DX54" s="328" t="s">
        <v>443</v>
      </c>
      <c r="DY54" s="432"/>
      <c r="DZ54" s="328" t="s">
        <v>443</v>
      </c>
      <c r="EA54" s="328" t="s">
        <v>443</v>
      </c>
      <c r="EB54" s="328" t="s">
        <v>443</v>
      </c>
      <c r="EC54" s="432"/>
      <c r="ED54" s="328" t="s">
        <v>443</v>
      </c>
      <c r="EE54" s="328" t="s">
        <v>443</v>
      </c>
      <c r="EF54" s="432"/>
      <c r="EG54" s="328">
        <v>72.22</v>
      </c>
      <c r="EH54" s="327">
        <v>47.37</v>
      </c>
      <c r="EI54" s="432"/>
      <c r="EJ54" s="327">
        <v>48.7</v>
      </c>
      <c r="EK54" s="327">
        <v>60.29</v>
      </c>
      <c r="EL54" s="432"/>
      <c r="EM54" s="327">
        <v>51.45</v>
      </c>
      <c r="EN54" s="327">
        <v>51.16</v>
      </c>
      <c r="EO54" s="332">
        <v>22.22</v>
      </c>
      <c r="EP54" s="328">
        <v>67.8</v>
      </c>
      <c r="EQ54" s="327">
        <v>44.64</v>
      </c>
    </row>
    <row r="55" spans="1:147">
      <c r="A55" s="496" t="s">
        <v>447</v>
      </c>
      <c r="B55" s="497"/>
      <c r="C55" s="498"/>
      <c r="D55" s="379">
        <v>67.180000000000007</v>
      </c>
      <c r="E55" s="445">
        <v>71.430000000000007</v>
      </c>
      <c r="F55" s="446">
        <v>80.28</v>
      </c>
      <c r="G55" s="351">
        <v>-4.25</v>
      </c>
      <c r="H55" s="447">
        <v>-13.099999999999994</v>
      </c>
      <c r="I55" s="432"/>
      <c r="J55" s="331" t="s">
        <v>443</v>
      </c>
      <c r="K55" s="330">
        <v>82.77</v>
      </c>
      <c r="L55" s="330">
        <v>71.88</v>
      </c>
      <c r="M55" s="330">
        <v>65.02</v>
      </c>
      <c r="N55" s="330">
        <v>59.65</v>
      </c>
      <c r="O55" s="432"/>
      <c r="P55" s="330">
        <v>65.39</v>
      </c>
      <c r="Q55" s="330">
        <v>70.290000000000006</v>
      </c>
      <c r="R55" s="432"/>
      <c r="S55" s="330">
        <v>58.81</v>
      </c>
      <c r="T55" s="330">
        <v>55.81</v>
      </c>
      <c r="U55" s="330">
        <v>72.540000000000006</v>
      </c>
      <c r="V55" s="330">
        <v>73.819999999999993</v>
      </c>
      <c r="W55" s="330">
        <v>71.430000000000007</v>
      </c>
      <c r="X55" s="432"/>
      <c r="Y55" s="330">
        <v>68.23</v>
      </c>
      <c r="Z55" s="330">
        <v>64.459999999999994</v>
      </c>
      <c r="AA55" s="330">
        <v>63.65</v>
      </c>
      <c r="AB55" s="330">
        <v>71.23</v>
      </c>
      <c r="AC55" s="330">
        <v>75.430000000000007</v>
      </c>
      <c r="AD55" s="432"/>
      <c r="AE55" s="330">
        <v>67.540000000000006</v>
      </c>
      <c r="AF55" s="330">
        <v>57.89</v>
      </c>
      <c r="AG55" s="432"/>
      <c r="AH55" s="330">
        <v>81.510000000000005</v>
      </c>
      <c r="AI55" s="330">
        <v>70.599999999999994</v>
      </c>
      <c r="AJ55" s="330">
        <v>59.22</v>
      </c>
      <c r="AK55" s="330">
        <v>46.96</v>
      </c>
      <c r="AL55" s="432"/>
      <c r="AM55" s="330">
        <v>53.57</v>
      </c>
      <c r="AN55" s="330">
        <v>72.92</v>
      </c>
      <c r="AO55" s="330">
        <v>49.1</v>
      </c>
      <c r="AP55" s="331" t="s">
        <v>443</v>
      </c>
      <c r="AQ55" s="331" t="s">
        <v>443</v>
      </c>
      <c r="AR55" s="330">
        <v>53.77</v>
      </c>
      <c r="AS55" s="331" t="s">
        <v>443</v>
      </c>
      <c r="AT55" s="432"/>
      <c r="AU55" s="330">
        <v>80.17</v>
      </c>
      <c r="AV55" s="330">
        <v>69.489999999999995</v>
      </c>
      <c r="AW55" s="330">
        <v>78.959999999999994</v>
      </c>
      <c r="AX55" s="331" t="s">
        <v>443</v>
      </c>
      <c r="AY55" s="331" t="s">
        <v>443</v>
      </c>
      <c r="AZ55" s="330">
        <v>71.430000000000007</v>
      </c>
      <c r="BA55" s="330">
        <v>57.35</v>
      </c>
      <c r="BB55" s="432"/>
      <c r="BC55" s="331" t="s">
        <v>443</v>
      </c>
      <c r="BD55" s="331" t="s">
        <v>443</v>
      </c>
      <c r="BE55" s="330">
        <v>73.37</v>
      </c>
      <c r="BF55" s="331" t="s">
        <v>443</v>
      </c>
      <c r="BG55" s="330">
        <v>76.040000000000006</v>
      </c>
      <c r="BH55" s="330">
        <v>81.25</v>
      </c>
      <c r="BI55" s="330">
        <v>62.7</v>
      </c>
      <c r="BJ55" s="432"/>
      <c r="BK55" s="331" t="s">
        <v>443</v>
      </c>
      <c r="BL55" s="330">
        <v>45.83</v>
      </c>
      <c r="BM55" s="432"/>
      <c r="BN55" s="331" t="s">
        <v>443</v>
      </c>
      <c r="BO55" s="331" t="s">
        <v>443</v>
      </c>
      <c r="BP55" s="331" t="s">
        <v>443</v>
      </c>
      <c r="BQ55" s="331" t="s">
        <v>443</v>
      </c>
      <c r="BR55" s="432"/>
      <c r="BS55" s="331" t="s">
        <v>443</v>
      </c>
      <c r="BT55" s="331" t="s">
        <v>443</v>
      </c>
      <c r="BU55" s="330">
        <v>53.27</v>
      </c>
      <c r="BV55" s="330">
        <v>39.71</v>
      </c>
      <c r="BW55" s="432"/>
      <c r="BX55" s="331" t="s">
        <v>443</v>
      </c>
      <c r="BY55" s="331" t="s">
        <v>443</v>
      </c>
      <c r="BZ55" s="432"/>
      <c r="CA55" s="331" t="s">
        <v>443</v>
      </c>
      <c r="CB55" s="331" t="s">
        <v>443</v>
      </c>
      <c r="CC55" s="432"/>
      <c r="CD55" s="330">
        <v>45.91</v>
      </c>
      <c r="CE55" s="330">
        <v>70.19</v>
      </c>
      <c r="CF55" s="432"/>
      <c r="CG55" s="331" t="s">
        <v>443</v>
      </c>
      <c r="CH55" s="331" t="s">
        <v>443</v>
      </c>
      <c r="CI55" s="432"/>
      <c r="CJ55" s="331" t="s">
        <v>443</v>
      </c>
      <c r="CK55" s="331" t="s">
        <v>443</v>
      </c>
      <c r="CL55" s="331" t="s">
        <v>443</v>
      </c>
      <c r="CM55" s="330">
        <v>76.14</v>
      </c>
      <c r="CN55" s="432"/>
      <c r="CO55" s="330">
        <v>93.75</v>
      </c>
      <c r="CP55" s="330">
        <v>67.959999999999994</v>
      </c>
      <c r="CQ55" s="330">
        <v>71.25</v>
      </c>
      <c r="CR55" s="432"/>
      <c r="CS55" s="330">
        <v>83.93</v>
      </c>
      <c r="CT55" s="331" t="s">
        <v>443</v>
      </c>
      <c r="CU55" s="330">
        <v>87.51</v>
      </c>
      <c r="CV55" s="330">
        <v>82.14</v>
      </c>
      <c r="CW55" s="330">
        <v>52.08</v>
      </c>
      <c r="CX55" s="331" t="s">
        <v>443</v>
      </c>
      <c r="CY55" s="432"/>
      <c r="CZ55" s="331" t="s">
        <v>443</v>
      </c>
      <c r="DA55" s="432"/>
      <c r="DB55" s="331" t="s">
        <v>443</v>
      </c>
      <c r="DC55" s="432"/>
      <c r="DD55" s="330">
        <v>71.430000000000007</v>
      </c>
      <c r="DE55" s="432"/>
      <c r="DF55" s="330">
        <v>57.35</v>
      </c>
      <c r="DG55" s="432"/>
      <c r="DH55" s="331" t="s">
        <v>443</v>
      </c>
      <c r="DI55" s="432"/>
      <c r="DJ55" s="331" t="s">
        <v>443</v>
      </c>
      <c r="DK55" s="432"/>
      <c r="DL55" s="331" t="s">
        <v>443</v>
      </c>
      <c r="DM55" s="330">
        <v>59.75</v>
      </c>
      <c r="DN55" s="330">
        <v>75</v>
      </c>
      <c r="DO55" s="330">
        <v>68.98</v>
      </c>
      <c r="DP55" s="331" t="s">
        <v>443</v>
      </c>
      <c r="DQ55" s="330">
        <v>77.78</v>
      </c>
      <c r="DR55" s="330">
        <v>62.1</v>
      </c>
      <c r="DS55" s="330">
        <v>72.12</v>
      </c>
      <c r="DT55" s="330">
        <v>95.31</v>
      </c>
      <c r="DU55" s="331" t="s">
        <v>443</v>
      </c>
      <c r="DV55" s="330">
        <v>100</v>
      </c>
      <c r="DW55" s="432"/>
      <c r="DX55" s="331" t="s">
        <v>443</v>
      </c>
      <c r="DY55" s="432"/>
      <c r="DZ55" s="331" t="s">
        <v>443</v>
      </c>
      <c r="EA55" s="331" t="s">
        <v>443</v>
      </c>
      <c r="EB55" s="331" t="s">
        <v>443</v>
      </c>
      <c r="EC55" s="432"/>
      <c r="ED55" s="331" t="s">
        <v>443</v>
      </c>
      <c r="EE55" s="331" t="s">
        <v>443</v>
      </c>
      <c r="EF55" s="432"/>
      <c r="EG55" s="330">
        <v>64.95</v>
      </c>
      <c r="EH55" s="330">
        <v>60.53</v>
      </c>
      <c r="EI55" s="432"/>
      <c r="EJ55" s="330">
        <v>52</v>
      </c>
      <c r="EK55" s="330">
        <v>71.430000000000007</v>
      </c>
      <c r="EL55" s="432"/>
      <c r="EM55" s="330">
        <v>60.05</v>
      </c>
      <c r="EN55" s="330">
        <v>62.11</v>
      </c>
      <c r="EO55" s="330">
        <v>29.03</v>
      </c>
      <c r="EP55" s="330">
        <v>80.47</v>
      </c>
      <c r="EQ55" s="330">
        <v>37.51</v>
      </c>
    </row>
    <row r="56" spans="1:147" ht="13.5" customHeight="1">
      <c r="A56" s="493" t="s">
        <v>54</v>
      </c>
      <c r="B56" s="325">
        <v>48</v>
      </c>
      <c r="C56" s="326" t="s">
        <v>55</v>
      </c>
      <c r="D56" s="377">
        <v>80.19</v>
      </c>
      <c r="E56" s="441">
        <v>84.62</v>
      </c>
      <c r="F56" s="444">
        <v>87.83</v>
      </c>
      <c r="G56" s="350">
        <v>-4.4300000000000068</v>
      </c>
      <c r="H56" s="350">
        <v>-7.6400000000000006</v>
      </c>
      <c r="I56" s="432"/>
      <c r="J56" s="328" t="s">
        <v>443</v>
      </c>
      <c r="K56" s="329">
        <v>90.91</v>
      </c>
      <c r="L56" s="329">
        <v>85.9</v>
      </c>
      <c r="M56" s="328">
        <v>77.75</v>
      </c>
      <c r="N56" s="329">
        <v>89.47</v>
      </c>
      <c r="O56" s="432"/>
      <c r="P56" s="328">
        <v>78.760000000000005</v>
      </c>
      <c r="Q56" s="328">
        <v>82.65</v>
      </c>
      <c r="R56" s="432"/>
      <c r="S56" s="328">
        <v>84</v>
      </c>
      <c r="T56" s="328">
        <v>75.47</v>
      </c>
      <c r="U56" s="328">
        <v>83.33</v>
      </c>
      <c r="V56" s="328">
        <v>80.95</v>
      </c>
      <c r="W56" s="328">
        <v>76.19</v>
      </c>
      <c r="X56" s="432"/>
      <c r="Y56" s="328">
        <v>82.89</v>
      </c>
      <c r="Z56" s="328">
        <v>78.739999999999995</v>
      </c>
      <c r="AA56" s="328">
        <v>76.989999999999995</v>
      </c>
      <c r="AB56" s="328">
        <v>81.97</v>
      </c>
      <c r="AC56" s="328">
        <v>84.62</v>
      </c>
      <c r="AD56" s="432"/>
      <c r="AE56" s="328">
        <v>80</v>
      </c>
      <c r="AF56" s="328">
        <v>85</v>
      </c>
      <c r="AG56" s="432"/>
      <c r="AH56" s="329">
        <v>93.05</v>
      </c>
      <c r="AI56" s="328">
        <v>82.86</v>
      </c>
      <c r="AJ56" s="328">
        <v>72.260000000000005</v>
      </c>
      <c r="AK56" s="327">
        <v>60.24</v>
      </c>
      <c r="AL56" s="432"/>
      <c r="AM56" s="329">
        <v>85.71</v>
      </c>
      <c r="AN56" s="328">
        <v>66.67</v>
      </c>
      <c r="AO56" s="327">
        <v>56.86</v>
      </c>
      <c r="AP56" s="328" t="s">
        <v>443</v>
      </c>
      <c r="AQ56" s="328" t="s">
        <v>443</v>
      </c>
      <c r="AR56" s="328">
        <v>62.51</v>
      </c>
      <c r="AS56" s="328" t="s">
        <v>443</v>
      </c>
      <c r="AT56" s="432"/>
      <c r="AU56" s="329">
        <v>90.48</v>
      </c>
      <c r="AV56" s="328">
        <v>83.97</v>
      </c>
      <c r="AW56" s="329">
        <v>90.24</v>
      </c>
      <c r="AX56" s="328" t="s">
        <v>443</v>
      </c>
      <c r="AY56" s="328" t="s">
        <v>443</v>
      </c>
      <c r="AZ56" s="329">
        <v>100</v>
      </c>
      <c r="BA56" s="328">
        <v>82.35</v>
      </c>
      <c r="BB56" s="432"/>
      <c r="BC56" s="328" t="s">
        <v>443</v>
      </c>
      <c r="BD56" s="328" t="s">
        <v>443</v>
      </c>
      <c r="BE56" s="329">
        <v>86.92</v>
      </c>
      <c r="BF56" s="328" t="s">
        <v>443</v>
      </c>
      <c r="BG56" s="329">
        <v>100</v>
      </c>
      <c r="BH56" s="328">
        <v>83.33</v>
      </c>
      <c r="BI56" s="328">
        <v>68.42</v>
      </c>
      <c r="BJ56" s="432"/>
      <c r="BK56" s="328" t="s">
        <v>443</v>
      </c>
      <c r="BL56" s="328">
        <v>83.33</v>
      </c>
      <c r="BM56" s="432"/>
      <c r="BN56" s="328" t="s">
        <v>443</v>
      </c>
      <c r="BO56" s="328" t="s">
        <v>443</v>
      </c>
      <c r="BP56" s="328" t="s">
        <v>443</v>
      </c>
      <c r="BQ56" s="328" t="s">
        <v>443</v>
      </c>
      <c r="BR56" s="432"/>
      <c r="BS56" s="328" t="s">
        <v>443</v>
      </c>
      <c r="BT56" s="328" t="s">
        <v>443</v>
      </c>
      <c r="BU56" s="327">
        <v>53.13</v>
      </c>
      <c r="BV56" s="327">
        <v>58.82</v>
      </c>
      <c r="BW56" s="432"/>
      <c r="BX56" s="328" t="s">
        <v>443</v>
      </c>
      <c r="BY56" s="328" t="s">
        <v>443</v>
      </c>
      <c r="BZ56" s="432"/>
      <c r="CA56" s="328" t="s">
        <v>443</v>
      </c>
      <c r="CB56" s="328" t="s">
        <v>443</v>
      </c>
      <c r="CC56" s="432"/>
      <c r="CD56" s="327">
        <v>55.56</v>
      </c>
      <c r="CE56" s="328">
        <v>76.92</v>
      </c>
      <c r="CF56" s="432"/>
      <c r="CG56" s="328" t="s">
        <v>443</v>
      </c>
      <c r="CH56" s="328" t="s">
        <v>443</v>
      </c>
      <c r="CI56" s="432"/>
      <c r="CJ56" s="328" t="s">
        <v>443</v>
      </c>
      <c r="CK56" s="328" t="s">
        <v>443</v>
      </c>
      <c r="CL56" s="328" t="s">
        <v>443</v>
      </c>
      <c r="CM56" s="329">
        <v>90.91</v>
      </c>
      <c r="CN56" s="432"/>
      <c r="CO56" s="329">
        <v>100</v>
      </c>
      <c r="CP56" s="328">
        <v>84.06</v>
      </c>
      <c r="CQ56" s="328">
        <v>70</v>
      </c>
      <c r="CR56" s="432"/>
      <c r="CS56" s="329">
        <v>85.71</v>
      </c>
      <c r="CT56" s="328" t="s">
        <v>443</v>
      </c>
      <c r="CU56" s="329">
        <v>100</v>
      </c>
      <c r="CV56" s="329">
        <v>92.86</v>
      </c>
      <c r="CW56" s="328">
        <v>83.33</v>
      </c>
      <c r="CX56" s="328" t="s">
        <v>443</v>
      </c>
      <c r="CY56" s="432"/>
      <c r="CZ56" s="328" t="s">
        <v>443</v>
      </c>
      <c r="DA56" s="432"/>
      <c r="DB56" s="328" t="s">
        <v>443</v>
      </c>
      <c r="DC56" s="432"/>
      <c r="DD56" s="329">
        <v>100</v>
      </c>
      <c r="DE56" s="432"/>
      <c r="DF56" s="328">
        <v>82.35</v>
      </c>
      <c r="DG56" s="432"/>
      <c r="DH56" s="328" t="s">
        <v>443</v>
      </c>
      <c r="DI56" s="432"/>
      <c r="DJ56" s="328" t="s">
        <v>443</v>
      </c>
      <c r="DK56" s="432"/>
      <c r="DL56" s="328" t="s">
        <v>443</v>
      </c>
      <c r="DM56" s="329">
        <v>85.71</v>
      </c>
      <c r="DN56" s="329">
        <v>90.91</v>
      </c>
      <c r="DO56" s="328">
        <v>81.25</v>
      </c>
      <c r="DP56" s="328" t="s">
        <v>443</v>
      </c>
      <c r="DQ56" s="329">
        <v>88.89</v>
      </c>
      <c r="DR56" s="328">
        <v>82.76</v>
      </c>
      <c r="DS56" s="328">
        <v>84.62</v>
      </c>
      <c r="DT56" s="329">
        <v>87.51</v>
      </c>
      <c r="DU56" s="328" t="s">
        <v>443</v>
      </c>
      <c r="DV56" s="329">
        <v>100</v>
      </c>
      <c r="DW56" s="432"/>
      <c r="DX56" s="328" t="s">
        <v>443</v>
      </c>
      <c r="DY56" s="432"/>
      <c r="DZ56" s="328" t="s">
        <v>443</v>
      </c>
      <c r="EA56" s="328" t="s">
        <v>443</v>
      </c>
      <c r="EB56" s="328" t="s">
        <v>443</v>
      </c>
      <c r="EC56" s="432"/>
      <c r="ED56" s="328" t="s">
        <v>443</v>
      </c>
      <c r="EE56" s="328" t="s">
        <v>443</v>
      </c>
      <c r="EF56" s="432"/>
      <c r="EG56" s="328">
        <v>63.16</v>
      </c>
      <c r="EH56" s="328">
        <v>73.680000000000007</v>
      </c>
      <c r="EI56" s="432"/>
      <c r="EJ56" s="328">
        <v>63.79</v>
      </c>
      <c r="EK56" s="328">
        <v>84.73</v>
      </c>
      <c r="EL56" s="432"/>
      <c r="EM56" s="328">
        <v>79.709999999999994</v>
      </c>
      <c r="EN56" s="328">
        <v>74.42</v>
      </c>
      <c r="EO56" s="332">
        <v>40</v>
      </c>
      <c r="EP56" s="329">
        <v>88.72</v>
      </c>
      <c r="EQ56" s="327">
        <v>55.36</v>
      </c>
    </row>
    <row r="57" spans="1:147">
      <c r="A57" s="494"/>
      <c r="B57" s="325">
        <v>49</v>
      </c>
      <c r="C57" s="326" t="s">
        <v>56</v>
      </c>
      <c r="D57" s="377">
        <v>67.98</v>
      </c>
      <c r="E57" s="441">
        <v>71.739999999999995</v>
      </c>
      <c r="F57" s="442">
        <v>84.51</v>
      </c>
      <c r="G57" s="350">
        <v>-3.7599999999999909</v>
      </c>
      <c r="H57" s="350">
        <v>-16.53</v>
      </c>
      <c r="I57" s="432"/>
      <c r="J57" s="328" t="s">
        <v>443</v>
      </c>
      <c r="K57" s="328">
        <v>84.85</v>
      </c>
      <c r="L57" s="328">
        <v>69.23</v>
      </c>
      <c r="M57" s="328">
        <v>65.16</v>
      </c>
      <c r="N57" s="329">
        <v>89.47</v>
      </c>
      <c r="O57" s="432"/>
      <c r="P57" s="328">
        <v>66.08</v>
      </c>
      <c r="Q57" s="328">
        <v>71.28</v>
      </c>
      <c r="R57" s="432"/>
      <c r="S57" s="328">
        <v>84</v>
      </c>
      <c r="T57" s="328">
        <v>62.89</v>
      </c>
      <c r="U57" s="328">
        <v>69.459999999999994</v>
      </c>
      <c r="V57" s="328">
        <v>69.05</v>
      </c>
      <c r="W57" s="328">
        <v>66.67</v>
      </c>
      <c r="X57" s="432"/>
      <c r="Y57" s="328">
        <v>77.63</v>
      </c>
      <c r="Z57" s="328">
        <v>70.87</v>
      </c>
      <c r="AA57" s="327">
        <v>59.29</v>
      </c>
      <c r="AB57" s="327">
        <v>57.38</v>
      </c>
      <c r="AC57" s="328">
        <v>71.790000000000006</v>
      </c>
      <c r="AD57" s="432"/>
      <c r="AE57" s="328">
        <v>67.319999999999993</v>
      </c>
      <c r="AF57" s="328">
        <v>85</v>
      </c>
      <c r="AG57" s="432"/>
      <c r="AH57" s="328">
        <v>81.28</v>
      </c>
      <c r="AI57" s="328">
        <v>67.31</v>
      </c>
      <c r="AJ57" s="327">
        <v>59.85</v>
      </c>
      <c r="AK57" s="327">
        <v>55.42</v>
      </c>
      <c r="AL57" s="432"/>
      <c r="AM57" s="328">
        <v>71.430000000000007</v>
      </c>
      <c r="AN57" s="328">
        <v>66.67</v>
      </c>
      <c r="AO57" s="328">
        <v>62.75</v>
      </c>
      <c r="AP57" s="328" t="s">
        <v>443</v>
      </c>
      <c r="AQ57" s="328" t="s">
        <v>443</v>
      </c>
      <c r="AR57" s="327">
        <v>57.51</v>
      </c>
      <c r="AS57" s="328" t="s">
        <v>443</v>
      </c>
      <c r="AT57" s="432"/>
      <c r="AU57" s="328">
        <v>80.95</v>
      </c>
      <c r="AV57" s="328">
        <v>69.23</v>
      </c>
      <c r="AW57" s="328">
        <v>63.41</v>
      </c>
      <c r="AX57" s="328" t="s">
        <v>443</v>
      </c>
      <c r="AY57" s="328" t="s">
        <v>443</v>
      </c>
      <c r="AZ57" s="329">
        <v>85.71</v>
      </c>
      <c r="BA57" s="327">
        <v>47.06</v>
      </c>
      <c r="BB57" s="432"/>
      <c r="BC57" s="328" t="s">
        <v>443</v>
      </c>
      <c r="BD57" s="328" t="s">
        <v>443</v>
      </c>
      <c r="BE57" s="328">
        <v>71.7</v>
      </c>
      <c r="BF57" s="328" t="s">
        <v>443</v>
      </c>
      <c r="BG57" s="329">
        <v>87.51</v>
      </c>
      <c r="BH57" s="328">
        <v>66.67</v>
      </c>
      <c r="BI57" s="328">
        <v>68.42</v>
      </c>
      <c r="BJ57" s="432"/>
      <c r="BK57" s="328" t="s">
        <v>443</v>
      </c>
      <c r="BL57" s="328">
        <v>66.67</v>
      </c>
      <c r="BM57" s="432"/>
      <c r="BN57" s="328" t="s">
        <v>443</v>
      </c>
      <c r="BO57" s="328" t="s">
        <v>443</v>
      </c>
      <c r="BP57" s="328" t="s">
        <v>443</v>
      </c>
      <c r="BQ57" s="328" t="s">
        <v>443</v>
      </c>
      <c r="BR57" s="432"/>
      <c r="BS57" s="328" t="s">
        <v>443</v>
      </c>
      <c r="BT57" s="328" t="s">
        <v>443</v>
      </c>
      <c r="BU57" s="328">
        <v>75</v>
      </c>
      <c r="BV57" s="332">
        <v>41.18</v>
      </c>
      <c r="BW57" s="432"/>
      <c r="BX57" s="328" t="s">
        <v>443</v>
      </c>
      <c r="BY57" s="328" t="s">
        <v>443</v>
      </c>
      <c r="BZ57" s="432"/>
      <c r="CA57" s="328" t="s">
        <v>443</v>
      </c>
      <c r="CB57" s="328" t="s">
        <v>443</v>
      </c>
      <c r="CC57" s="432"/>
      <c r="CD57" s="327">
        <v>55.56</v>
      </c>
      <c r="CE57" s="328">
        <v>61.54</v>
      </c>
      <c r="CF57" s="432"/>
      <c r="CG57" s="328" t="s">
        <v>443</v>
      </c>
      <c r="CH57" s="328" t="s">
        <v>443</v>
      </c>
      <c r="CI57" s="432"/>
      <c r="CJ57" s="328" t="s">
        <v>443</v>
      </c>
      <c r="CK57" s="328" t="s">
        <v>443</v>
      </c>
      <c r="CL57" s="328" t="s">
        <v>443</v>
      </c>
      <c r="CM57" s="328">
        <v>72.73</v>
      </c>
      <c r="CN57" s="432"/>
      <c r="CO57" s="329">
        <v>100</v>
      </c>
      <c r="CP57" s="328">
        <v>66.67</v>
      </c>
      <c r="CQ57" s="328">
        <v>80</v>
      </c>
      <c r="CR57" s="432"/>
      <c r="CS57" s="329">
        <v>85.71</v>
      </c>
      <c r="CT57" s="328" t="s">
        <v>443</v>
      </c>
      <c r="CU57" s="329">
        <v>85.71</v>
      </c>
      <c r="CV57" s="327">
        <v>57.14</v>
      </c>
      <c r="CW57" s="332">
        <v>0</v>
      </c>
      <c r="CX57" s="328" t="s">
        <v>443</v>
      </c>
      <c r="CY57" s="432"/>
      <c r="CZ57" s="328" t="s">
        <v>443</v>
      </c>
      <c r="DA57" s="432"/>
      <c r="DB57" s="328" t="s">
        <v>443</v>
      </c>
      <c r="DC57" s="432"/>
      <c r="DD57" s="329">
        <v>85.71</v>
      </c>
      <c r="DE57" s="432"/>
      <c r="DF57" s="327">
        <v>47.06</v>
      </c>
      <c r="DG57" s="432"/>
      <c r="DH57" s="328" t="s">
        <v>443</v>
      </c>
      <c r="DI57" s="432"/>
      <c r="DJ57" s="328" t="s">
        <v>443</v>
      </c>
      <c r="DK57" s="432"/>
      <c r="DL57" s="328" t="s">
        <v>443</v>
      </c>
      <c r="DM57" s="332">
        <v>42.86</v>
      </c>
      <c r="DN57" s="328">
        <v>81.819999999999993</v>
      </c>
      <c r="DO57" s="328">
        <v>62.51</v>
      </c>
      <c r="DP57" s="328" t="s">
        <v>443</v>
      </c>
      <c r="DQ57" s="328">
        <v>66.67</v>
      </c>
      <c r="DR57" s="328">
        <v>65.52</v>
      </c>
      <c r="DS57" s="328">
        <v>66.67</v>
      </c>
      <c r="DT57" s="329">
        <v>87.51</v>
      </c>
      <c r="DU57" s="328" t="s">
        <v>443</v>
      </c>
      <c r="DV57" s="329">
        <v>100</v>
      </c>
      <c r="DW57" s="432"/>
      <c r="DX57" s="328" t="s">
        <v>443</v>
      </c>
      <c r="DY57" s="432"/>
      <c r="DZ57" s="328" t="s">
        <v>443</v>
      </c>
      <c r="EA57" s="328" t="s">
        <v>443</v>
      </c>
      <c r="EB57" s="328" t="s">
        <v>443</v>
      </c>
      <c r="EC57" s="432"/>
      <c r="ED57" s="328" t="s">
        <v>443</v>
      </c>
      <c r="EE57" s="328" t="s">
        <v>443</v>
      </c>
      <c r="EF57" s="432"/>
      <c r="EG57" s="328">
        <v>68.42</v>
      </c>
      <c r="EH57" s="328">
        <v>68.42</v>
      </c>
      <c r="EI57" s="432"/>
      <c r="EJ57" s="327">
        <v>60.34</v>
      </c>
      <c r="EK57" s="328">
        <v>70.099999999999994</v>
      </c>
      <c r="EL57" s="432"/>
      <c r="EM57" s="328">
        <v>60.58</v>
      </c>
      <c r="EN57" s="328">
        <v>62.79</v>
      </c>
      <c r="EO57" s="332">
        <v>40</v>
      </c>
      <c r="EP57" s="328">
        <v>78.95</v>
      </c>
      <c r="EQ57" s="327">
        <v>48.21</v>
      </c>
    </row>
    <row r="58" spans="1:147">
      <c r="A58" s="494"/>
      <c r="B58" s="325">
        <v>50</v>
      </c>
      <c r="C58" s="326" t="s">
        <v>57</v>
      </c>
      <c r="D58" s="377">
        <v>65.790000000000006</v>
      </c>
      <c r="E58" s="441">
        <v>70.23</v>
      </c>
      <c r="F58" s="442">
        <v>80.680000000000007</v>
      </c>
      <c r="G58" s="350">
        <v>-4.4399999999999977</v>
      </c>
      <c r="H58" s="350">
        <v>-14.89</v>
      </c>
      <c r="I58" s="432"/>
      <c r="J58" s="328" t="s">
        <v>443</v>
      </c>
      <c r="K58" s="328">
        <v>75.760000000000005</v>
      </c>
      <c r="L58" s="328">
        <v>71.790000000000006</v>
      </c>
      <c r="M58" s="328">
        <v>63.75</v>
      </c>
      <c r="N58" s="328">
        <v>63.16</v>
      </c>
      <c r="O58" s="432"/>
      <c r="P58" s="328">
        <v>63.42</v>
      </c>
      <c r="Q58" s="328">
        <v>69.900000000000006</v>
      </c>
      <c r="R58" s="432"/>
      <c r="S58" s="328">
        <v>64</v>
      </c>
      <c r="T58" s="327">
        <v>60.38</v>
      </c>
      <c r="U58" s="328">
        <v>68.14</v>
      </c>
      <c r="V58" s="328">
        <v>69.05</v>
      </c>
      <c r="W58" s="328">
        <v>66.67</v>
      </c>
      <c r="X58" s="432"/>
      <c r="Y58" s="328">
        <v>63.16</v>
      </c>
      <c r="Z58" s="328">
        <v>60.87</v>
      </c>
      <c r="AA58" s="328">
        <v>67.260000000000005</v>
      </c>
      <c r="AB58" s="328">
        <v>65.569999999999993</v>
      </c>
      <c r="AC58" s="328">
        <v>79.489999999999995</v>
      </c>
      <c r="AD58" s="432"/>
      <c r="AE58" s="328">
        <v>66.02</v>
      </c>
      <c r="AF58" s="327">
        <v>60</v>
      </c>
      <c r="AG58" s="432"/>
      <c r="AH58" s="328">
        <v>75.400000000000006</v>
      </c>
      <c r="AI58" s="328">
        <v>73.33</v>
      </c>
      <c r="AJ58" s="327">
        <v>59.12</v>
      </c>
      <c r="AK58" s="327">
        <v>46.99</v>
      </c>
      <c r="AL58" s="432"/>
      <c r="AM58" s="332">
        <v>42.86</v>
      </c>
      <c r="AN58" s="328">
        <v>66.67</v>
      </c>
      <c r="AO58" s="327">
        <v>45.1</v>
      </c>
      <c r="AP58" s="328" t="s">
        <v>443</v>
      </c>
      <c r="AQ58" s="328" t="s">
        <v>443</v>
      </c>
      <c r="AR58" s="327">
        <v>50</v>
      </c>
      <c r="AS58" s="328" t="s">
        <v>443</v>
      </c>
      <c r="AT58" s="432"/>
      <c r="AU58" s="328">
        <v>76.19</v>
      </c>
      <c r="AV58" s="328">
        <v>75.64</v>
      </c>
      <c r="AW58" s="328">
        <v>70.73</v>
      </c>
      <c r="AX58" s="328" t="s">
        <v>443</v>
      </c>
      <c r="AY58" s="328" t="s">
        <v>443</v>
      </c>
      <c r="AZ58" s="328">
        <v>71.430000000000007</v>
      </c>
      <c r="BA58" s="328">
        <v>64.709999999999994</v>
      </c>
      <c r="BB58" s="432"/>
      <c r="BC58" s="328" t="s">
        <v>443</v>
      </c>
      <c r="BD58" s="328" t="s">
        <v>443</v>
      </c>
      <c r="BE58" s="328">
        <v>62.62</v>
      </c>
      <c r="BF58" s="328" t="s">
        <v>443</v>
      </c>
      <c r="BG58" s="329">
        <v>87.51</v>
      </c>
      <c r="BH58" s="328">
        <v>83.33</v>
      </c>
      <c r="BI58" s="328">
        <v>65.790000000000006</v>
      </c>
      <c r="BJ58" s="432"/>
      <c r="BK58" s="328" t="s">
        <v>443</v>
      </c>
      <c r="BL58" s="332">
        <v>33.33</v>
      </c>
      <c r="BM58" s="432"/>
      <c r="BN58" s="328" t="s">
        <v>443</v>
      </c>
      <c r="BO58" s="328" t="s">
        <v>443</v>
      </c>
      <c r="BP58" s="328" t="s">
        <v>443</v>
      </c>
      <c r="BQ58" s="328" t="s">
        <v>443</v>
      </c>
      <c r="BR58" s="432"/>
      <c r="BS58" s="328" t="s">
        <v>443</v>
      </c>
      <c r="BT58" s="328" t="s">
        <v>443</v>
      </c>
      <c r="BU58" s="327">
        <v>50</v>
      </c>
      <c r="BV58" s="332">
        <v>35.29</v>
      </c>
      <c r="BW58" s="432"/>
      <c r="BX58" s="328" t="s">
        <v>443</v>
      </c>
      <c r="BY58" s="328" t="s">
        <v>443</v>
      </c>
      <c r="BZ58" s="432"/>
      <c r="CA58" s="328" t="s">
        <v>443</v>
      </c>
      <c r="CB58" s="328" t="s">
        <v>443</v>
      </c>
      <c r="CC58" s="432"/>
      <c r="CD58" s="332">
        <v>40.74</v>
      </c>
      <c r="CE58" s="328">
        <v>69.23</v>
      </c>
      <c r="CF58" s="432"/>
      <c r="CG58" s="328" t="s">
        <v>443</v>
      </c>
      <c r="CH58" s="328" t="s">
        <v>443</v>
      </c>
      <c r="CI58" s="432"/>
      <c r="CJ58" s="328" t="s">
        <v>443</v>
      </c>
      <c r="CK58" s="328" t="s">
        <v>443</v>
      </c>
      <c r="CL58" s="328" t="s">
        <v>443</v>
      </c>
      <c r="CM58" s="328">
        <v>81.819999999999993</v>
      </c>
      <c r="CN58" s="432"/>
      <c r="CO58" s="329">
        <v>87.51</v>
      </c>
      <c r="CP58" s="328">
        <v>76.09</v>
      </c>
      <c r="CQ58" s="327">
        <v>60</v>
      </c>
      <c r="CR58" s="432"/>
      <c r="CS58" s="328">
        <v>71.430000000000007</v>
      </c>
      <c r="CT58" s="328" t="s">
        <v>443</v>
      </c>
      <c r="CU58" s="328">
        <v>71.430000000000007</v>
      </c>
      <c r="CV58" s="328">
        <v>78.569999999999993</v>
      </c>
      <c r="CW58" s="327">
        <v>50</v>
      </c>
      <c r="CX58" s="328" t="s">
        <v>443</v>
      </c>
      <c r="CY58" s="432"/>
      <c r="CZ58" s="328" t="s">
        <v>443</v>
      </c>
      <c r="DA58" s="432"/>
      <c r="DB58" s="328" t="s">
        <v>443</v>
      </c>
      <c r="DC58" s="432"/>
      <c r="DD58" s="328">
        <v>71.430000000000007</v>
      </c>
      <c r="DE58" s="432"/>
      <c r="DF58" s="328">
        <v>64.709999999999994</v>
      </c>
      <c r="DG58" s="432"/>
      <c r="DH58" s="328" t="s">
        <v>443</v>
      </c>
      <c r="DI58" s="432"/>
      <c r="DJ58" s="328" t="s">
        <v>443</v>
      </c>
      <c r="DK58" s="432"/>
      <c r="DL58" s="328" t="s">
        <v>443</v>
      </c>
      <c r="DM58" s="332">
        <v>42.86</v>
      </c>
      <c r="DN58" s="328">
        <v>72.73</v>
      </c>
      <c r="DO58" s="327">
        <v>56.25</v>
      </c>
      <c r="DP58" s="328" t="s">
        <v>443</v>
      </c>
      <c r="DQ58" s="328">
        <v>66.67</v>
      </c>
      <c r="DR58" s="327">
        <v>55.17</v>
      </c>
      <c r="DS58" s="327">
        <v>53.85</v>
      </c>
      <c r="DT58" s="328">
        <v>75</v>
      </c>
      <c r="DU58" s="328" t="s">
        <v>443</v>
      </c>
      <c r="DV58" s="329">
        <v>85.71</v>
      </c>
      <c r="DW58" s="432"/>
      <c r="DX58" s="328" t="s">
        <v>443</v>
      </c>
      <c r="DY58" s="432"/>
      <c r="DZ58" s="328" t="s">
        <v>443</v>
      </c>
      <c r="EA58" s="328" t="s">
        <v>443</v>
      </c>
      <c r="EB58" s="328" t="s">
        <v>443</v>
      </c>
      <c r="EC58" s="432"/>
      <c r="ED58" s="328" t="s">
        <v>443</v>
      </c>
      <c r="EE58" s="328" t="s">
        <v>443</v>
      </c>
      <c r="EF58" s="432"/>
      <c r="EG58" s="328">
        <v>68.42</v>
      </c>
      <c r="EH58" s="328">
        <v>63.16</v>
      </c>
      <c r="EI58" s="432"/>
      <c r="EJ58" s="327">
        <v>48.28</v>
      </c>
      <c r="EK58" s="328">
        <v>70.64</v>
      </c>
      <c r="EL58" s="432"/>
      <c r="EM58" s="328">
        <v>65.94</v>
      </c>
      <c r="EN58" s="327">
        <v>60.47</v>
      </c>
      <c r="EO58" s="332">
        <v>30</v>
      </c>
      <c r="EP58" s="328">
        <v>73.31</v>
      </c>
      <c r="EQ58" s="332">
        <v>37.51</v>
      </c>
    </row>
    <row r="59" spans="1:147">
      <c r="A59" s="494"/>
      <c r="B59" s="325">
        <v>51</v>
      </c>
      <c r="C59" s="326" t="s">
        <v>58</v>
      </c>
      <c r="D59" s="377">
        <v>77.84</v>
      </c>
      <c r="E59" s="441">
        <v>80.510000000000005</v>
      </c>
      <c r="F59" s="444">
        <v>88.53</v>
      </c>
      <c r="G59" s="350">
        <v>-2.6700000000000017</v>
      </c>
      <c r="H59" s="350">
        <v>-10.689999999999998</v>
      </c>
      <c r="I59" s="432"/>
      <c r="J59" s="328" t="s">
        <v>443</v>
      </c>
      <c r="K59" s="329">
        <v>88.24</v>
      </c>
      <c r="L59" s="328">
        <v>77.22</v>
      </c>
      <c r="M59" s="328">
        <v>76.53</v>
      </c>
      <c r="N59" s="329">
        <v>94.74</v>
      </c>
      <c r="O59" s="432"/>
      <c r="P59" s="328">
        <v>76.59</v>
      </c>
      <c r="Q59" s="328">
        <v>80</v>
      </c>
      <c r="R59" s="432"/>
      <c r="S59" s="329">
        <v>92</v>
      </c>
      <c r="T59" s="328">
        <v>72.39</v>
      </c>
      <c r="U59" s="328">
        <v>80.38</v>
      </c>
      <c r="V59" s="328">
        <v>78.91</v>
      </c>
      <c r="W59" s="328">
        <v>71.430000000000007</v>
      </c>
      <c r="X59" s="432"/>
      <c r="Y59" s="328">
        <v>80.52</v>
      </c>
      <c r="Z59" s="328">
        <v>77.569999999999993</v>
      </c>
      <c r="AA59" s="328">
        <v>72.17</v>
      </c>
      <c r="AB59" s="328">
        <v>75.41</v>
      </c>
      <c r="AC59" s="329">
        <v>86.08</v>
      </c>
      <c r="AD59" s="432"/>
      <c r="AE59" s="328">
        <v>77.19</v>
      </c>
      <c r="AF59" s="329">
        <v>95</v>
      </c>
      <c r="AG59" s="432"/>
      <c r="AH59" s="329">
        <v>87.17</v>
      </c>
      <c r="AI59" s="328">
        <v>81.900000000000006</v>
      </c>
      <c r="AJ59" s="328">
        <v>69.34</v>
      </c>
      <c r="AK59" s="328">
        <v>67.47</v>
      </c>
      <c r="AL59" s="432"/>
      <c r="AM59" s="328">
        <v>71.430000000000007</v>
      </c>
      <c r="AN59" s="328">
        <v>83.33</v>
      </c>
      <c r="AO59" s="328">
        <v>62.96</v>
      </c>
      <c r="AP59" s="328" t="s">
        <v>443</v>
      </c>
      <c r="AQ59" s="328" t="s">
        <v>443</v>
      </c>
      <c r="AR59" s="328">
        <v>63.41</v>
      </c>
      <c r="AS59" s="328" t="s">
        <v>443</v>
      </c>
      <c r="AT59" s="432"/>
      <c r="AU59" s="329">
        <v>90.91</v>
      </c>
      <c r="AV59" s="328">
        <v>84.08</v>
      </c>
      <c r="AW59" s="328">
        <v>73.17</v>
      </c>
      <c r="AX59" s="328" t="s">
        <v>443</v>
      </c>
      <c r="AY59" s="328" t="s">
        <v>443</v>
      </c>
      <c r="AZ59" s="329">
        <v>85.71</v>
      </c>
      <c r="BA59" s="328">
        <v>76.47</v>
      </c>
      <c r="BB59" s="432"/>
      <c r="BC59" s="328" t="s">
        <v>443</v>
      </c>
      <c r="BD59" s="328" t="s">
        <v>443</v>
      </c>
      <c r="BE59" s="328">
        <v>79.09</v>
      </c>
      <c r="BF59" s="328" t="s">
        <v>443</v>
      </c>
      <c r="BG59" s="329">
        <v>100</v>
      </c>
      <c r="BH59" s="329">
        <v>100</v>
      </c>
      <c r="BI59" s="328">
        <v>71.05</v>
      </c>
      <c r="BJ59" s="432"/>
      <c r="BK59" s="328" t="s">
        <v>443</v>
      </c>
      <c r="BL59" s="328">
        <v>66.67</v>
      </c>
      <c r="BM59" s="432"/>
      <c r="BN59" s="328" t="s">
        <v>443</v>
      </c>
      <c r="BO59" s="328" t="s">
        <v>443</v>
      </c>
      <c r="BP59" s="328" t="s">
        <v>443</v>
      </c>
      <c r="BQ59" s="328" t="s">
        <v>443</v>
      </c>
      <c r="BR59" s="432"/>
      <c r="BS59" s="328" t="s">
        <v>443</v>
      </c>
      <c r="BT59" s="328" t="s">
        <v>443</v>
      </c>
      <c r="BU59" s="328">
        <v>74.290000000000006</v>
      </c>
      <c r="BV59" s="332">
        <v>41.18</v>
      </c>
      <c r="BW59" s="432"/>
      <c r="BX59" s="328" t="s">
        <v>443</v>
      </c>
      <c r="BY59" s="328" t="s">
        <v>443</v>
      </c>
      <c r="BZ59" s="432"/>
      <c r="CA59" s="328" t="s">
        <v>443</v>
      </c>
      <c r="CB59" s="328" t="s">
        <v>443</v>
      </c>
      <c r="CC59" s="432"/>
      <c r="CD59" s="328">
        <v>60.71</v>
      </c>
      <c r="CE59" s="328">
        <v>69.23</v>
      </c>
      <c r="CF59" s="432"/>
      <c r="CG59" s="328" t="s">
        <v>443</v>
      </c>
      <c r="CH59" s="328" t="s">
        <v>443</v>
      </c>
      <c r="CI59" s="432"/>
      <c r="CJ59" s="328" t="s">
        <v>443</v>
      </c>
      <c r="CK59" s="328" t="s">
        <v>443</v>
      </c>
      <c r="CL59" s="328" t="s">
        <v>443</v>
      </c>
      <c r="CM59" s="329">
        <v>90.91</v>
      </c>
      <c r="CN59" s="432"/>
      <c r="CO59" s="329">
        <v>87.51</v>
      </c>
      <c r="CP59" s="328">
        <v>84.89</v>
      </c>
      <c r="CQ59" s="328">
        <v>70</v>
      </c>
      <c r="CR59" s="432"/>
      <c r="CS59" s="328">
        <v>71.430000000000007</v>
      </c>
      <c r="CT59" s="328" t="s">
        <v>443</v>
      </c>
      <c r="CU59" s="329">
        <v>85.71</v>
      </c>
      <c r="CV59" s="329">
        <v>85.71</v>
      </c>
      <c r="CW59" s="332">
        <v>33.33</v>
      </c>
      <c r="CX59" s="328" t="s">
        <v>443</v>
      </c>
      <c r="CY59" s="432"/>
      <c r="CZ59" s="328" t="s">
        <v>443</v>
      </c>
      <c r="DA59" s="432"/>
      <c r="DB59" s="328" t="s">
        <v>443</v>
      </c>
      <c r="DC59" s="432"/>
      <c r="DD59" s="329">
        <v>85.71</v>
      </c>
      <c r="DE59" s="432"/>
      <c r="DF59" s="328">
        <v>76.47</v>
      </c>
      <c r="DG59" s="432"/>
      <c r="DH59" s="328" t="s">
        <v>443</v>
      </c>
      <c r="DI59" s="432"/>
      <c r="DJ59" s="328" t="s">
        <v>443</v>
      </c>
      <c r="DK59" s="432"/>
      <c r="DL59" s="328" t="s">
        <v>443</v>
      </c>
      <c r="DM59" s="328">
        <v>75</v>
      </c>
      <c r="DN59" s="328">
        <v>81.819999999999993</v>
      </c>
      <c r="DO59" s="328">
        <v>64.709999999999994</v>
      </c>
      <c r="DP59" s="328" t="s">
        <v>443</v>
      </c>
      <c r="DQ59" s="329">
        <v>88.89</v>
      </c>
      <c r="DR59" s="328">
        <v>66.67</v>
      </c>
      <c r="DS59" s="329">
        <v>92.31</v>
      </c>
      <c r="DT59" s="329">
        <v>100</v>
      </c>
      <c r="DU59" s="328" t="s">
        <v>443</v>
      </c>
      <c r="DV59" s="329">
        <v>100</v>
      </c>
      <c r="DW59" s="432"/>
      <c r="DX59" s="328" t="s">
        <v>443</v>
      </c>
      <c r="DY59" s="432"/>
      <c r="DZ59" s="328" t="s">
        <v>443</v>
      </c>
      <c r="EA59" s="328" t="s">
        <v>443</v>
      </c>
      <c r="EB59" s="328" t="s">
        <v>443</v>
      </c>
      <c r="EC59" s="432"/>
      <c r="ED59" s="328" t="s">
        <v>443</v>
      </c>
      <c r="EE59" s="328" t="s">
        <v>443</v>
      </c>
      <c r="EF59" s="432"/>
      <c r="EG59" s="328">
        <v>63.16</v>
      </c>
      <c r="EH59" s="328">
        <v>78.95</v>
      </c>
      <c r="EI59" s="432"/>
      <c r="EJ59" s="328">
        <v>65.290000000000006</v>
      </c>
      <c r="EK59" s="328">
        <v>81.41</v>
      </c>
      <c r="EL59" s="432"/>
      <c r="EM59" s="329">
        <v>87.68</v>
      </c>
      <c r="EN59" s="327">
        <v>58.14</v>
      </c>
      <c r="EO59" s="332">
        <v>30</v>
      </c>
      <c r="EP59" s="328">
        <v>84.21</v>
      </c>
      <c r="EQ59" s="327">
        <v>53.57</v>
      </c>
    </row>
    <row r="60" spans="1:147">
      <c r="A60" s="494"/>
      <c r="B60" s="325">
        <v>52</v>
      </c>
      <c r="C60" s="326" t="s">
        <v>59</v>
      </c>
      <c r="D60" s="377">
        <v>71.72</v>
      </c>
      <c r="E60" s="441">
        <v>77.05</v>
      </c>
      <c r="F60" s="442">
        <v>83.38</v>
      </c>
      <c r="G60" s="350">
        <v>-5.3299999999999983</v>
      </c>
      <c r="H60" s="350">
        <v>-11.659999999999997</v>
      </c>
      <c r="I60" s="432"/>
      <c r="J60" s="328" t="s">
        <v>443</v>
      </c>
      <c r="K60" s="328">
        <v>84.85</v>
      </c>
      <c r="L60" s="328">
        <v>74.36</v>
      </c>
      <c r="M60" s="328">
        <v>69.67</v>
      </c>
      <c r="N60" s="328">
        <v>73.680000000000007</v>
      </c>
      <c r="O60" s="432"/>
      <c r="P60" s="328">
        <v>67.75</v>
      </c>
      <c r="Q60" s="328">
        <v>78.569999999999993</v>
      </c>
      <c r="R60" s="432"/>
      <c r="S60" s="328">
        <v>72</v>
      </c>
      <c r="T60" s="328">
        <v>62.89</v>
      </c>
      <c r="U60" s="328">
        <v>76.349999999999994</v>
      </c>
      <c r="V60" s="328">
        <v>76.19</v>
      </c>
      <c r="W60" s="328">
        <v>66.67</v>
      </c>
      <c r="X60" s="432"/>
      <c r="Y60" s="328">
        <v>81.58</v>
      </c>
      <c r="Z60" s="328">
        <v>67.48</v>
      </c>
      <c r="AA60" s="328">
        <v>69.03</v>
      </c>
      <c r="AB60" s="328">
        <v>70.489999999999995</v>
      </c>
      <c r="AC60" s="328">
        <v>78.209999999999994</v>
      </c>
      <c r="AD60" s="432"/>
      <c r="AE60" s="328">
        <v>71.599999999999994</v>
      </c>
      <c r="AF60" s="328">
        <v>75</v>
      </c>
      <c r="AG60" s="432"/>
      <c r="AH60" s="329">
        <v>85.56</v>
      </c>
      <c r="AI60" s="328">
        <v>80.95</v>
      </c>
      <c r="AJ60" s="328">
        <v>62.77</v>
      </c>
      <c r="AK60" s="327">
        <v>44.58</v>
      </c>
      <c r="AL60" s="432"/>
      <c r="AM60" s="327">
        <v>57.14</v>
      </c>
      <c r="AN60" s="328">
        <v>83.33</v>
      </c>
      <c r="AO60" s="327">
        <v>49.02</v>
      </c>
      <c r="AP60" s="328" t="s">
        <v>443</v>
      </c>
      <c r="AQ60" s="328" t="s">
        <v>443</v>
      </c>
      <c r="AR60" s="327">
        <v>57.51</v>
      </c>
      <c r="AS60" s="328" t="s">
        <v>443</v>
      </c>
      <c r="AT60" s="432"/>
      <c r="AU60" s="328">
        <v>80.95</v>
      </c>
      <c r="AV60" s="328">
        <v>71.790000000000006</v>
      </c>
      <c r="AW60" s="328">
        <v>82.93</v>
      </c>
      <c r="AX60" s="328" t="s">
        <v>443</v>
      </c>
      <c r="AY60" s="328" t="s">
        <v>443</v>
      </c>
      <c r="AZ60" s="328">
        <v>71.430000000000007</v>
      </c>
      <c r="BA60" s="327">
        <v>58.82</v>
      </c>
      <c r="BB60" s="432"/>
      <c r="BC60" s="328" t="s">
        <v>443</v>
      </c>
      <c r="BD60" s="328" t="s">
        <v>443</v>
      </c>
      <c r="BE60" s="329">
        <v>85.85</v>
      </c>
      <c r="BF60" s="328" t="s">
        <v>443</v>
      </c>
      <c r="BG60" s="329">
        <v>100</v>
      </c>
      <c r="BH60" s="328">
        <v>66.67</v>
      </c>
      <c r="BI60" s="328">
        <v>63.16</v>
      </c>
      <c r="BJ60" s="432"/>
      <c r="BK60" s="328" t="s">
        <v>443</v>
      </c>
      <c r="BL60" s="327">
        <v>50</v>
      </c>
      <c r="BM60" s="432"/>
      <c r="BN60" s="328" t="s">
        <v>443</v>
      </c>
      <c r="BO60" s="328" t="s">
        <v>443</v>
      </c>
      <c r="BP60" s="328" t="s">
        <v>443</v>
      </c>
      <c r="BQ60" s="328" t="s">
        <v>443</v>
      </c>
      <c r="BR60" s="432"/>
      <c r="BS60" s="328" t="s">
        <v>443</v>
      </c>
      <c r="BT60" s="328" t="s">
        <v>443</v>
      </c>
      <c r="BU60" s="327">
        <v>56.25</v>
      </c>
      <c r="BV60" s="332">
        <v>35.29</v>
      </c>
      <c r="BW60" s="432"/>
      <c r="BX60" s="328" t="s">
        <v>443</v>
      </c>
      <c r="BY60" s="328" t="s">
        <v>443</v>
      </c>
      <c r="BZ60" s="432"/>
      <c r="CA60" s="328" t="s">
        <v>443</v>
      </c>
      <c r="CB60" s="328" t="s">
        <v>443</v>
      </c>
      <c r="CC60" s="432"/>
      <c r="CD60" s="327">
        <v>48.15</v>
      </c>
      <c r="CE60" s="328">
        <v>76.92</v>
      </c>
      <c r="CF60" s="432"/>
      <c r="CG60" s="328" t="s">
        <v>443</v>
      </c>
      <c r="CH60" s="328" t="s">
        <v>443</v>
      </c>
      <c r="CI60" s="432"/>
      <c r="CJ60" s="328" t="s">
        <v>443</v>
      </c>
      <c r="CK60" s="328" t="s">
        <v>443</v>
      </c>
      <c r="CL60" s="328" t="s">
        <v>443</v>
      </c>
      <c r="CM60" s="328">
        <v>72.73</v>
      </c>
      <c r="CN60" s="432"/>
      <c r="CO60" s="329">
        <v>87.51</v>
      </c>
      <c r="CP60" s="328">
        <v>71.739999999999995</v>
      </c>
      <c r="CQ60" s="327">
        <v>60</v>
      </c>
      <c r="CR60" s="432"/>
      <c r="CS60" s="328">
        <v>71.430000000000007</v>
      </c>
      <c r="CT60" s="328" t="s">
        <v>443</v>
      </c>
      <c r="CU60" s="328">
        <v>71.430000000000007</v>
      </c>
      <c r="CV60" s="329">
        <v>85.71</v>
      </c>
      <c r="CW60" s="328">
        <v>83.33</v>
      </c>
      <c r="CX60" s="328" t="s">
        <v>443</v>
      </c>
      <c r="CY60" s="432"/>
      <c r="CZ60" s="328" t="s">
        <v>443</v>
      </c>
      <c r="DA60" s="432"/>
      <c r="DB60" s="328" t="s">
        <v>443</v>
      </c>
      <c r="DC60" s="432"/>
      <c r="DD60" s="328">
        <v>71.430000000000007</v>
      </c>
      <c r="DE60" s="432"/>
      <c r="DF60" s="327">
        <v>58.82</v>
      </c>
      <c r="DG60" s="432"/>
      <c r="DH60" s="328" t="s">
        <v>443</v>
      </c>
      <c r="DI60" s="432"/>
      <c r="DJ60" s="328" t="s">
        <v>443</v>
      </c>
      <c r="DK60" s="432"/>
      <c r="DL60" s="328" t="s">
        <v>443</v>
      </c>
      <c r="DM60" s="328">
        <v>66.67</v>
      </c>
      <c r="DN60" s="328">
        <v>81.819999999999993</v>
      </c>
      <c r="DO60" s="328">
        <v>75</v>
      </c>
      <c r="DP60" s="328" t="s">
        <v>443</v>
      </c>
      <c r="DQ60" s="329">
        <v>100</v>
      </c>
      <c r="DR60" s="328">
        <v>82.76</v>
      </c>
      <c r="DS60" s="329">
        <v>92.31</v>
      </c>
      <c r="DT60" s="329">
        <v>87.51</v>
      </c>
      <c r="DU60" s="328" t="s">
        <v>443</v>
      </c>
      <c r="DV60" s="329">
        <v>100</v>
      </c>
      <c r="DW60" s="432"/>
      <c r="DX60" s="328" t="s">
        <v>443</v>
      </c>
      <c r="DY60" s="432"/>
      <c r="DZ60" s="328" t="s">
        <v>443</v>
      </c>
      <c r="EA60" s="328" t="s">
        <v>443</v>
      </c>
      <c r="EB60" s="328" t="s">
        <v>443</v>
      </c>
      <c r="EC60" s="432"/>
      <c r="ED60" s="328" t="s">
        <v>443</v>
      </c>
      <c r="EE60" s="328" t="s">
        <v>443</v>
      </c>
      <c r="EF60" s="432"/>
      <c r="EG60" s="327">
        <v>47.37</v>
      </c>
      <c r="EH60" s="328">
        <v>78.95</v>
      </c>
      <c r="EI60" s="432"/>
      <c r="EJ60" s="327">
        <v>55.17</v>
      </c>
      <c r="EK60" s="328">
        <v>76.319999999999993</v>
      </c>
      <c r="EL60" s="432"/>
      <c r="EM60" s="328">
        <v>68.12</v>
      </c>
      <c r="EN60" s="328">
        <v>74.42</v>
      </c>
      <c r="EO60" s="332">
        <v>10</v>
      </c>
      <c r="EP60" s="328">
        <v>83.46</v>
      </c>
      <c r="EQ60" s="332">
        <v>39.29</v>
      </c>
    </row>
    <row r="61" spans="1:147">
      <c r="A61" s="494"/>
      <c r="B61" s="325">
        <v>53</v>
      </c>
      <c r="C61" s="326" t="s">
        <v>60</v>
      </c>
      <c r="D61" s="377">
        <v>76.92</v>
      </c>
      <c r="E61" s="441">
        <v>77.010000000000005</v>
      </c>
      <c r="F61" s="444">
        <v>90.59</v>
      </c>
      <c r="G61" s="350">
        <v>-9.0000000000003411E-2</v>
      </c>
      <c r="H61" s="350">
        <v>-13.670000000000002</v>
      </c>
      <c r="I61" s="432"/>
      <c r="J61" s="328" t="s">
        <v>443</v>
      </c>
      <c r="K61" s="328">
        <v>84.85</v>
      </c>
      <c r="L61" s="328">
        <v>81.819999999999993</v>
      </c>
      <c r="M61" s="328">
        <v>74.94</v>
      </c>
      <c r="N61" s="328">
        <v>84.21</v>
      </c>
      <c r="O61" s="432"/>
      <c r="P61" s="328">
        <v>74.849999999999994</v>
      </c>
      <c r="Q61" s="328">
        <v>80.510000000000005</v>
      </c>
      <c r="R61" s="432"/>
      <c r="S61" s="329">
        <v>88</v>
      </c>
      <c r="T61" s="328">
        <v>71.069999999999993</v>
      </c>
      <c r="U61" s="328">
        <v>80.69</v>
      </c>
      <c r="V61" s="328">
        <v>75.400000000000006</v>
      </c>
      <c r="W61" s="328">
        <v>80.95</v>
      </c>
      <c r="X61" s="432"/>
      <c r="Y61" s="328">
        <v>76.319999999999993</v>
      </c>
      <c r="Z61" s="328">
        <v>73.3</v>
      </c>
      <c r="AA61" s="328">
        <v>75</v>
      </c>
      <c r="AB61" s="328">
        <v>81.97</v>
      </c>
      <c r="AC61" s="329">
        <v>85.9</v>
      </c>
      <c r="AD61" s="432"/>
      <c r="AE61" s="328">
        <v>76.61</v>
      </c>
      <c r="AF61" s="328">
        <v>85</v>
      </c>
      <c r="AG61" s="432"/>
      <c r="AH61" s="329">
        <v>88.24</v>
      </c>
      <c r="AI61" s="328">
        <v>81.900000000000006</v>
      </c>
      <c r="AJ61" s="328">
        <v>69.12</v>
      </c>
      <c r="AK61" s="328">
        <v>61.45</v>
      </c>
      <c r="AL61" s="432"/>
      <c r="AM61" s="328">
        <v>71.430000000000007</v>
      </c>
      <c r="AN61" s="328">
        <v>66.67</v>
      </c>
      <c r="AO61" s="327">
        <v>56.86</v>
      </c>
      <c r="AP61" s="328" t="s">
        <v>443</v>
      </c>
      <c r="AQ61" s="328" t="s">
        <v>443</v>
      </c>
      <c r="AR61" s="328">
        <v>77.510000000000005</v>
      </c>
      <c r="AS61" s="328" t="s">
        <v>443</v>
      </c>
      <c r="AT61" s="432"/>
      <c r="AU61" s="329">
        <v>90.48</v>
      </c>
      <c r="AV61" s="329">
        <v>87.1</v>
      </c>
      <c r="AW61" s="328">
        <v>80.489999999999995</v>
      </c>
      <c r="AX61" s="328" t="s">
        <v>443</v>
      </c>
      <c r="AY61" s="328" t="s">
        <v>443</v>
      </c>
      <c r="AZ61" s="329">
        <v>85.71</v>
      </c>
      <c r="BA61" s="328">
        <v>64.709999999999994</v>
      </c>
      <c r="BB61" s="432"/>
      <c r="BC61" s="328" t="s">
        <v>443</v>
      </c>
      <c r="BD61" s="328" t="s">
        <v>443</v>
      </c>
      <c r="BE61" s="328">
        <v>71.7</v>
      </c>
      <c r="BF61" s="328" t="s">
        <v>443</v>
      </c>
      <c r="BG61" s="329">
        <v>87.51</v>
      </c>
      <c r="BH61" s="327">
        <v>50</v>
      </c>
      <c r="BI61" s="328">
        <v>76.319999999999993</v>
      </c>
      <c r="BJ61" s="432"/>
      <c r="BK61" s="328" t="s">
        <v>443</v>
      </c>
      <c r="BL61" s="328">
        <v>66.67</v>
      </c>
      <c r="BM61" s="432"/>
      <c r="BN61" s="328" t="s">
        <v>443</v>
      </c>
      <c r="BO61" s="328" t="s">
        <v>443</v>
      </c>
      <c r="BP61" s="328" t="s">
        <v>443</v>
      </c>
      <c r="BQ61" s="328" t="s">
        <v>443</v>
      </c>
      <c r="BR61" s="432"/>
      <c r="BS61" s="328" t="s">
        <v>443</v>
      </c>
      <c r="BT61" s="328" t="s">
        <v>443</v>
      </c>
      <c r="BU61" s="328">
        <v>65.63</v>
      </c>
      <c r="BV61" s="332">
        <v>41.18</v>
      </c>
      <c r="BW61" s="432"/>
      <c r="BX61" s="328" t="s">
        <v>443</v>
      </c>
      <c r="BY61" s="328" t="s">
        <v>443</v>
      </c>
      <c r="BZ61" s="432"/>
      <c r="CA61" s="328" t="s">
        <v>443</v>
      </c>
      <c r="CB61" s="328" t="s">
        <v>443</v>
      </c>
      <c r="CC61" s="432"/>
      <c r="CD61" s="328">
        <v>70.37</v>
      </c>
      <c r="CE61" s="329">
        <v>92.31</v>
      </c>
      <c r="CF61" s="432"/>
      <c r="CG61" s="328" t="s">
        <v>443</v>
      </c>
      <c r="CH61" s="328" t="s">
        <v>443</v>
      </c>
      <c r="CI61" s="432"/>
      <c r="CJ61" s="328" t="s">
        <v>443</v>
      </c>
      <c r="CK61" s="328" t="s">
        <v>443</v>
      </c>
      <c r="CL61" s="328" t="s">
        <v>443</v>
      </c>
      <c r="CM61" s="329">
        <v>90.91</v>
      </c>
      <c r="CN61" s="432"/>
      <c r="CO61" s="329">
        <v>100</v>
      </c>
      <c r="CP61" s="329">
        <v>86.13</v>
      </c>
      <c r="CQ61" s="329">
        <v>90</v>
      </c>
      <c r="CR61" s="432"/>
      <c r="CS61" s="328">
        <v>71.430000000000007</v>
      </c>
      <c r="CT61" s="328" t="s">
        <v>443</v>
      </c>
      <c r="CU61" s="329">
        <v>85.71</v>
      </c>
      <c r="CV61" s="329">
        <v>92.86</v>
      </c>
      <c r="CW61" s="328">
        <v>66.67</v>
      </c>
      <c r="CX61" s="328" t="s">
        <v>443</v>
      </c>
      <c r="CY61" s="432"/>
      <c r="CZ61" s="328" t="s">
        <v>443</v>
      </c>
      <c r="DA61" s="432"/>
      <c r="DB61" s="328" t="s">
        <v>443</v>
      </c>
      <c r="DC61" s="432"/>
      <c r="DD61" s="329">
        <v>85.71</v>
      </c>
      <c r="DE61" s="432"/>
      <c r="DF61" s="328">
        <v>64.709999999999994</v>
      </c>
      <c r="DG61" s="432"/>
      <c r="DH61" s="328" t="s">
        <v>443</v>
      </c>
      <c r="DI61" s="432"/>
      <c r="DJ61" s="328" t="s">
        <v>443</v>
      </c>
      <c r="DK61" s="432"/>
      <c r="DL61" s="328" t="s">
        <v>443</v>
      </c>
      <c r="DM61" s="327">
        <v>50</v>
      </c>
      <c r="DN61" s="328">
        <v>63.64</v>
      </c>
      <c r="DO61" s="328">
        <v>62.51</v>
      </c>
      <c r="DP61" s="328" t="s">
        <v>443</v>
      </c>
      <c r="DQ61" s="329">
        <v>88.89</v>
      </c>
      <c r="DR61" s="328">
        <v>65.52</v>
      </c>
      <c r="DS61" s="328">
        <v>84.62</v>
      </c>
      <c r="DT61" s="328">
        <v>62.51</v>
      </c>
      <c r="DU61" s="328" t="s">
        <v>443</v>
      </c>
      <c r="DV61" s="329">
        <v>100</v>
      </c>
      <c r="DW61" s="432"/>
      <c r="DX61" s="328" t="s">
        <v>443</v>
      </c>
      <c r="DY61" s="432"/>
      <c r="DZ61" s="328" t="s">
        <v>443</v>
      </c>
      <c r="EA61" s="328" t="s">
        <v>443</v>
      </c>
      <c r="EB61" s="328" t="s">
        <v>443</v>
      </c>
      <c r="EC61" s="432"/>
      <c r="ED61" s="328" t="s">
        <v>443</v>
      </c>
      <c r="EE61" s="328" t="s">
        <v>443</v>
      </c>
      <c r="EF61" s="432"/>
      <c r="EG61" s="328">
        <v>68.42</v>
      </c>
      <c r="EH61" s="328">
        <v>84.21</v>
      </c>
      <c r="EI61" s="432"/>
      <c r="EJ61" s="328">
        <v>65.52</v>
      </c>
      <c r="EK61" s="328">
        <v>80.099999999999994</v>
      </c>
      <c r="EL61" s="432"/>
      <c r="EM61" s="328">
        <v>75.36</v>
      </c>
      <c r="EN61" s="328">
        <v>65.12</v>
      </c>
      <c r="EO61" s="327">
        <v>50</v>
      </c>
      <c r="EP61" s="329">
        <v>87.59</v>
      </c>
      <c r="EQ61" s="327">
        <v>49.09</v>
      </c>
    </row>
    <row r="62" spans="1:147">
      <c r="A62" s="494"/>
      <c r="B62" s="325">
        <v>54</v>
      </c>
      <c r="C62" s="326" t="s">
        <v>61</v>
      </c>
      <c r="D62" s="377">
        <v>65.180000000000007</v>
      </c>
      <c r="E62" s="441">
        <v>66.55</v>
      </c>
      <c r="F62" s="442">
        <v>82.18</v>
      </c>
      <c r="G62" s="350">
        <v>-1.3699999999999903</v>
      </c>
      <c r="H62" s="350">
        <v>-17</v>
      </c>
      <c r="I62" s="432"/>
      <c r="J62" s="328" t="s">
        <v>443</v>
      </c>
      <c r="K62" s="328">
        <v>70.59</v>
      </c>
      <c r="L62" s="328">
        <v>72.73</v>
      </c>
      <c r="M62" s="328">
        <v>62.19</v>
      </c>
      <c r="N62" s="328">
        <v>84.21</v>
      </c>
      <c r="O62" s="432"/>
      <c r="P62" s="328">
        <v>64.040000000000006</v>
      </c>
      <c r="Q62" s="328">
        <v>67.180000000000007</v>
      </c>
      <c r="R62" s="432"/>
      <c r="S62" s="328">
        <v>72</v>
      </c>
      <c r="T62" s="327">
        <v>56.33</v>
      </c>
      <c r="U62" s="328">
        <v>69.760000000000005</v>
      </c>
      <c r="V62" s="328">
        <v>67.19</v>
      </c>
      <c r="W62" s="328">
        <v>66.67</v>
      </c>
      <c r="X62" s="432"/>
      <c r="Y62" s="328">
        <v>68.42</v>
      </c>
      <c r="Z62" s="327">
        <v>59.62</v>
      </c>
      <c r="AA62" s="328">
        <v>65.489999999999995</v>
      </c>
      <c r="AB62" s="328">
        <v>68.849999999999994</v>
      </c>
      <c r="AC62" s="328">
        <v>73.42</v>
      </c>
      <c r="AD62" s="432"/>
      <c r="AE62" s="328">
        <v>64.41</v>
      </c>
      <c r="AF62" s="328">
        <v>85</v>
      </c>
      <c r="AG62" s="432"/>
      <c r="AH62" s="328">
        <v>78.92</v>
      </c>
      <c r="AI62" s="328">
        <v>65.38</v>
      </c>
      <c r="AJ62" s="327">
        <v>57.78</v>
      </c>
      <c r="AK62" s="327">
        <v>46.34</v>
      </c>
      <c r="AL62" s="432"/>
      <c r="AM62" s="328">
        <v>66.67</v>
      </c>
      <c r="AN62" s="328">
        <v>83.33</v>
      </c>
      <c r="AO62" s="332">
        <v>42.31</v>
      </c>
      <c r="AP62" s="328" t="s">
        <v>443</v>
      </c>
      <c r="AQ62" s="328" t="s">
        <v>443</v>
      </c>
      <c r="AR62" s="327">
        <v>53.85</v>
      </c>
      <c r="AS62" s="328" t="s">
        <v>443</v>
      </c>
      <c r="AT62" s="432"/>
      <c r="AU62" s="329">
        <v>90.91</v>
      </c>
      <c r="AV62" s="328">
        <v>75</v>
      </c>
      <c r="AW62" s="328">
        <v>78.05</v>
      </c>
      <c r="AX62" s="328" t="s">
        <v>443</v>
      </c>
      <c r="AY62" s="328" t="s">
        <v>443</v>
      </c>
      <c r="AZ62" s="328">
        <v>71.430000000000007</v>
      </c>
      <c r="BA62" s="332">
        <v>35.29</v>
      </c>
      <c r="BB62" s="432"/>
      <c r="BC62" s="328" t="s">
        <v>443</v>
      </c>
      <c r="BD62" s="328" t="s">
        <v>443</v>
      </c>
      <c r="BE62" s="328">
        <v>68.22</v>
      </c>
      <c r="BF62" s="328" t="s">
        <v>443</v>
      </c>
      <c r="BG62" s="327">
        <v>55.56</v>
      </c>
      <c r="BH62" s="327">
        <v>50</v>
      </c>
      <c r="BI62" s="327">
        <v>55.26</v>
      </c>
      <c r="BJ62" s="432"/>
      <c r="BK62" s="328" t="s">
        <v>443</v>
      </c>
      <c r="BL62" s="327">
        <v>60</v>
      </c>
      <c r="BM62" s="432"/>
      <c r="BN62" s="328" t="s">
        <v>443</v>
      </c>
      <c r="BO62" s="328" t="s">
        <v>443</v>
      </c>
      <c r="BP62" s="328" t="s">
        <v>443</v>
      </c>
      <c r="BQ62" s="328" t="s">
        <v>443</v>
      </c>
      <c r="BR62" s="432"/>
      <c r="BS62" s="328" t="s">
        <v>443</v>
      </c>
      <c r="BT62" s="328" t="s">
        <v>443</v>
      </c>
      <c r="BU62" s="327">
        <v>51.52</v>
      </c>
      <c r="BV62" s="332">
        <v>17.649999999999999</v>
      </c>
      <c r="BW62" s="432"/>
      <c r="BX62" s="328" t="s">
        <v>443</v>
      </c>
      <c r="BY62" s="328" t="s">
        <v>443</v>
      </c>
      <c r="BZ62" s="432"/>
      <c r="CA62" s="328" t="s">
        <v>443</v>
      </c>
      <c r="CB62" s="328" t="s">
        <v>443</v>
      </c>
      <c r="CC62" s="432"/>
      <c r="CD62" s="332">
        <v>42.31</v>
      </c>
      <c r="CE62" s="328">
        <v>76.92</v>
      </c>
      <c r="CF62" s="432"/>
      <c r="CG62" s="328" t="s">
        <v>443</v>
      </c>
      <c r="CH62" s="328" t="s">
        <v>443</v>
      </c>
      <c r="CI62" s="432"/>
      <c r="CJ62" s="328" t="s">
        <v>443</v>
      </c>
      <c r="CK62" s="328" t="s">
        <v>443</v>
      </c>
      <c r="CL62" s="328" t="s">
        <v>443</v>
      </c>
      <c r="CM62" s="329">
        <v>90.91</v>
      </c>
      <c r="CN62" s="432"/>
      <c r="CO62" s="329">
        <v>100</v>
      </c>
      <c r="CP62" s="328">
        <v>73.91</v>
      </c>
      <c r="CQ62" s="328">
        <v>70</v>
      </c>
      <c r="CR62" s="432"/>
      <c r="CS62" s="328">
        <v>71.430000000000007</v>
      </c>
      <c r="CT62" s="328" t="s">
        <v>443</v>
      </c>
      <c r="CU62" s="329">
        <v>100</v>
      </c>
      <c r="CV62" s="329">
        <v>85.71</v>
      </c>
      <c r="CW62" s="328">
        <v>66.67</v>
      </c>
      <c r="CX62" s="328" t="s">
        <v>443</v>
      </c>
      <c r="CY62" s="432"/>
      <c r="CZ62" s="328" t="s">
        <v>443</v>
      </c>
      <c r="DA62" s="432"/>
      <c r="DB62" s="328" t="s">
        <v>443</v>
      </c>
      <c r="DC62" s="432"/>
      <c r="DD62" s="328">
        <v>71.430000000000007</v>
      </c>
      <c r="DE62" s="432"/>
      <c r="DF62" s="332">
        <v>35.29</v>
      </c>
      <c r="DG62" s="432"/>
      <c r="DH62" s="328" t="s">
        <v>443</v>
      </c>
      <c r="DI62" s="432"/>
      <c r="DJ62" s="328" t="s">
        <v>443</v>
      </c>
      <c r="DK62" s="432"/>
      <c r="DL62" s="328" t="s">
        <v>443</v>
      </c>
      <c r="DM62" s="327">
        <v>50</v>
      </c>
      <c r="DN62" s="328">
        <v>81.819999999999993</v>
      </c>
      <c r="DO62" s="327">
        <v>50</v>
      </c>
      <c r="DP62" s="328" t="s">
        <v>443</v>
      </c>
      <c r="DQ62" s="329">
        <v>88.89</v>
      </c>
      <c r="DR62" s="328">
        <v>62.07</v>
      </c>
      <c r="DS62" s="328">
        <v>66.67</v>
      </c>
      <c r="DT62" s="328">
        <v>75</v>
      </c>
      <c r="DU62" s="328" t="s">
        <v>443</v>
      </c>
      <c r="DV62" s="329">
        <v>100</v>
      </c>
      <c r="DW62" s="432"/>
      <c r="DX62" s="328" t="s">
        <v>443</v>
      </c>
      <c r="DY62" s="432"/>
      <c r="DZ62" s="328" t="s">
        <v>443</v>
      </c>
      <c r="EA62" s="328" t="s">
        <v>443</v>
      </c>
      <c r="EB62" s="328" t="s">
        <v>443</v>
      </c>
      <c r="EC62" s="432"/>
      <c r="ED62" s="328" t="s">
        <v>443</v>
      </c>
      <c r="EE62" s="328" t="s">
        <v>443</v>
      </c>
      <c r="EF62" s="432"/>
      <c r="EG62" s="327">
        <v>57.89</v>
      </c>
      <c r="EH62" s="327">
        <v>52.63</v>
      </c>
      <c r="EI62" s="432"/>
      <c r="EJ62" s="327">
        <v>50</v>
      </c>
      <c r="EK62" s="328">
        <v>69.36</v>
      </c>
      <c r="EL62" s="432"/>
      <c r="EM62" s="328">
        <v>63.97</v>
      </c>
      <c r="EN62" s="328">
        <v>65.12</v>
      </c>
      <c r="EO62" s="332">
        <v>22.22</v>
      </c>
      <c r="EP62" s="328">
        <v>75</v>
      </c>
      <c r="EQ62" s="332">
        <v>30.91</v>
      </c>
    </row>
    <row r="63" spans="1:147">
      <c r="A63" s="494"/>
      <c r="B63" s="325">
        <v>55</v>
      </c>
      <c r="C63" s="326" t="s">
        <v>62</v>
      </c>
      <c r="D63" s="380">
        <v>57.49</v>
      </c>
      <c r="E63" s="441">
        <v>64.88</v>
      </c>
      <c r="F63" s="442">
        <v>78.38</v>
      </c>
      <c r="G63" s="350">
        <v>-7.3899999999999935</v>
      </c>
      <c r="H63" s="350">
        <v>-20.889999999999993</v>
      </c>
      <c r="I63" s="432"/>
      <c r="J63" s="328" t="s">
        <v>443</v>
      </c>
      <c r="K63" s="328">
        <v>69.7</v>
      </c>
      <c r="L63" s="328">
        <v>64.099999999999994</v>
      </c>
      <c r="M63" s="327">
        <v>54.89</v>
      </c>
      <c r="N63" s="328">
        <v>63.16</v>
      </c>
      <c r="O63" s="432"/>
      <c r="P63" s="327">
        <v>56.05</v>
      </c>
      <c r="Q63" s="327">
        <v>60</v>
      </c>
      <c r="R63" s="432"/>
      <c r="S63" s="327">
        <v>60</v>
      </c>
      <c r="T63" s="327">
        <v>52.2</v>
      </c>
      <c r="U63" s="328">
        <v>60.59</v>
      </c>
      <c r="V63" s="327">
        <v>60.32</v>
      </c>
      <c r="W63" s="327">
        <v>47.62</v>
      </c>
      <c r="X63" s="432"/>
      <c r="Y63" s="327">
        <v>56.58</v>
      </c>
      <c r="Z63" s="327">
        <v>55.07</v>
      </c>
      <c r="AA63" s="327">
        <v>55.36</v>
      </c>
      <c r="AB63" s="328">
        <v>62.3</v>
      </c>
      <c r="AC63" s="328">
        <v>64.099999999999994</v>
      </c>
      <c r="AD63" s="432"/>
      <c r="AE63" s="327">
        <v>57.39</v>
      </c>
      <c r="AF63" s="327">
        <v>60</v>
      </c>
      <c r="AG63" s="432"/>
      <c r="AH63" s="328">
        <v>73.12</v>
      </c>
      <c r="AI63" s="328">
        <v>60.95</v>
      </c>
      <c r="AJ63" s="327">
        <v>46.72</v>
      </c>
      <c r="AK63" s="332">
        <v>42.17</v>
      </c>
      <c r="AL63" s="432"/>
      <c r="AM63" s="332">
        <v>42.86</v>
      </c>
      <c r="AN63" s="327">
        <v>60</v>
      </c>
      <c r="AO63" s="332">
        <v>31.37</v>
      </c>
      <c r="AP63" s="328" t="s">
        <v>443</v>
      </c>
      <c r="AQ63" s="328" t="s">
        <v>443</v>
      </c>
      <c r="AR63" s="327">
        <v>47.51</v>
      </c>
      <c r="AS63" s="328" t="s">
        <v>443</v>
      </c>
      <c r="AT63" s="432"/>
      <c r="AU63" s="328">
        <v>66.67</v>
      </c>
      <c r="AV63" s="328">
        <v>67.95</v>
      </c>
      <c r="AW63" s="327">
        <v>58.54</v>
      </c>
      <c r="AX63" s="328" t="s">
        <v>443</v>
      </c>
      <c r="AY63" s="328" t="s">
        <v>443</v>
      </c>
      <c r="AZ63" s="328">
        <v>71.430000000000007</v>
      </c>
      <c r="BA63" s="332">
        <v>35.29</v>
      </c>
      <c r="BB63" s="432"/>
      <c r="BC63" s="328" t="s">
        <v>443</v>
      </c>
      <c r="BD63" s="328" t="s">
        <v>443</v>
      </c>
      <c r="BE63" s="328">
        <v>61.68</v>
      </c>
      <c r="BF63" s="328" t="s">
        <v>443</v>
      </c>
      <c r="BG63" s="328">
        <v>75</v>
      </c>
      <c r="BH63" s="328">
        <v>66.67</v>
      </c>
      <c r="BI63" s="327">
        <v>50</v>
      </c>
      <c r="BJ63" s="432"/>
      <c r="BK63" s="328" t="s">
        <v>443</v>
      </c>
      <c r="BL63" s="332">
        <v>33.33</v>
      </c>
      <c r="BM63" s="432"/>
      <c r="BN63" s="328" t="s">
        <v>443</v>
      </c>
      <c r="BO63" s="328" t="s">
        <v>443</v>
      </c>
      <c r="BP63" s="328" t="s">
        <v>443</v>
      </c>
      <c r="BQ63" s="328" t="s">
        <v>443</v>
      </c>
      <c r="BR63" s="432"/>
      <c r="BS63" s="328" t="s">
        <v>443</v>
      </c>
      <c r="BT63" s="328" t="s">
        <v>443</v>
      </c>
      <c r="BU63" s="332">
        <v>34.380000000000003</v>
      </c>
      <c r="BV63" s="332">
        <v>23.53</v>
      </c>
      <c r="BW63" s="432"/>
      <c r="BX63" s="328" t="s">
        <v>443</v>
      </c>
      <c r="BY63" s="328" t="s">
        <v>443</v>
      </c>
      <c r="BZ63" s="432"/>
      <c r="CA63" s="328" t="s">
        <v>443</v>
      </c>
      <c r="CB63" s="328" t="s">
        <v>443</v>
      </c>
      <c r="CC63" s="432"/>
      <c r="CD63" s="332">
        <v>44.44</v>
      </c>
      <c r="CE63" s="327">
        <v>53.85</v>
      </c>
      <c r="CF63" s="432"/>
      <c r="CG63" s="328" t="s">
        <v>443</v>
      </c>
      <c r="CH63" s="328" t="s">
        <v>443</v>
      </c>
      <c r="CI63" s="432"/>
      <c r="CJ63" s="328" t="s">
        <v>443</v>
      </c>
      <c r="CK63" s="328" t="s">
        <v>443</v>
      </c>
      <c r="CL63" s="328" t="s">
        <v>443</v>
      </c>
      <c r="CM63" s="328">
        <v>72.73</v>
      </c>
      <c r="CN63" s="432"/>
      <c r="CO63" s="329">
        <v>87.51</v>
      </c>
      <c r="CP63" s="328">
        <v>68.84</v>
      </c>
      <c r="CQ63" s="332">
        <v>40</v>
      </c>
      <c r="CR63" s="432"/>
      <c r="CS63" s="328">
        <v>71.430000000000007</v>
      </c>
      <c r="CT63" s="328" t="s">
        <v>443</v>
      </c>
      <c r="CU63" s="327">
        <v>57.14</v>
      </c>
      <c r="CV63" s="329">
        <v>85.71</v>
      </c>
      <c r="CW63" s="332">
        <v>16.670000000000002</v>
      </c>
      <c r="CX63" s="328" t="s">
        <v>443</v>
      </c>
      <c r="CY63" s="432"/>
      <c r="CZ63" s="328" t="s">
        <v>443</v>
      </c>
      <c r="DA63" s="432"/>
      <c r="DB63" s="328" t="s">
        <v>443</v>
      </c>
      <c r="DC63" s="432"/>
      <c r="DD63" s="328">
        <v>71.430000000000007</v>
      </c>
      <c r="DE63" s="432"/>
      <c r="DF63" s="332">
        <v>35.29</v>
      </c>
      <c r="DG63" s="432"/>
      <c r="DH63" s="328" t="s">
        <v>443</v>
      </c>
      <c r="DI63" s="432"/>
      <c r="DJ63" s="328" t="s">
        <v>443</v>
      </c>
      <c r="DK63" s="432"/>
      <c r="DL63" s="328" t="s">
        <v>443</v>
      </c>
      <c r="DM63" s="332">
        <v>42.86</v>
      </c>
      <c r="DN63" s="328">
        <v>72.73</v>
      </c>
      <c r="DO63" s="328">
        <v>62.51</v>
      </c>
      <c r="DP63" s="328" t="s">
        <v>443</v>
      </c>
      <c r="DQ63" s="328">
        <v>66.67</v>
      </c>
      <c r="DR63" s="328">
        <v>62.07</v>
      </c>
      <c r="DS63" s="327">
        <v>53.85</v>
      </c>
      <c r="DT63" s="327">
        <v>50</v>
      </c>
      <c r="DU63" s="328" t="s">
        <v>443</v>
      </c>
      <c r="DV63" s="329">
        <v>85.71</v>
      </c>
      <c r="DW63" s="432"/>
      <c r="DX63" s="328" t="s">
        <v>443</v>
      </c>
      <c r="DY63" s="432"/>
      <c r="DZ63" s="328" t="s">
        <v>443</v>
      </c>
      <c r="EA63" s="328" t="s">
        <v>443</v>
      </c>
      <c r="EB63" s="328" t="s">
        <v>443</v>
      </c>
      <c r="EC63" s="432"/>
      <c r="ED63" s="328" t="s">
        <v>443</v>
      </c>
      <c r="EE63" s="328" t="s">
        <v>443</v>
      </c>
      <c r="EF63" s="432"/>
      <c r="EG63" s="327">
        <v>47.37</v>
      </c>
      <c r="EH63" s="327">
        <v>52.63</v>
      </c>
      <c r="EI63" s="432"/>
      <c r="EJ63" s="332">
        <v>40</v>
      </c>
      <c r="EK63" s="328">
        <v>62.29</v>
      </c>
      <c r="EL63" s="432"/>
      <c r="EM63" s="327">
        <v>55.47</v>
      </c>
      <c r="EN63" s="327">
        <v>46.51</v>
      </c>
      <c r="EO63" s="332">
        <v>10</v>
      </c>
      <c r="EP63" s="328">
        <v>68.8</v>
      </c>
      <c r="EQ63" s="332">
        <v>28.57</v>
      </c>
    </row>
    <row r="64" spans="1:147">
      <c r="A64" s="494"/>
      <c r="B64" s="325">
        <v>56</v>
      </c>
      <c r="C64" s="326" t="s">
        <v>63</v>
      </c>
      <c r="D64" s="380">
        <v>58.54</v>
      </c>
      <c r="E64" s="441">
        <v>67.39</v>
      </c>
      <c r="F64" s="442">
        <v>75.88</v>
      </c>
      <c r="G64" s="350">
        <v>-8.8500000000000014</v>
      </c>
      <c r="H64" s="350">
        <v>-17.339999999999996</v>
      </c>
      <c r="I64" s="432"/>
      <c r="J64" s="328" t="s">
        <v>443</v>
      </c>
      <c r="K64" s="328">
        <v>78.790000000000006</v>
      </c>
      <c r="L64" s="327">
        <v>56.41</v>
      </c>
      <c r="M64" s="327">
        <v>56.53</v>
      </c>
      <c r="N64" s="328">
        <v>63.16</v>
      </c>
      <c r="O64" s="432"/>
      <c r="P64" s="327">
        <v>57.4</v>
      </c>
      <c r="Q64" s="328">
        <v>60.51</v>
      </c>
      <c r="R64" s="432"/>
      <c r="S64" s="328">
        <v>64</v>
      </c>
      <c r="T64" s="327">
        <v>51.9</v>
      </c>
      <c r="U64" s="328">
        <v>61.08</v>
      </c>
      <c r="V64" s="328">
        <v>63.49</v>
      </c>
      <c r="W64" s="327">
        <v>47.62</v>
      </c>
      <c r="X64" s="432"/>
      <c r="Y64" s="328">
        <v>60.53</v>
      </c>
      <c r="Z64" s="327">
        <v>57</v>
      </c>
      <c r="AA64" s="327">
        <v>55.86</v>
      </c>
      <c r="AB64" s="328">
        <v>60.66</v>
      </c>
      <c r="AC64" s="328">
        <v>62.82</v>
      </c>
      <c r="AD64" s="432"/>
      <c r="AE64" s="327">
        <v>58.48</v>
      </c>
      <c r="AF64" s="327">
        <v>60</v>
      </c>
      <c r="AG64" s="432"/>
      <c r="AH64" s="328">
        <v>74.19</v>
      </c>
      <c r="AI64" s="328">
        <v>60.95</v>
      </c>
      <c r="AJ64" s="327">
        <v>51.47</v>
      </c>
      <c r="AK64" s="332">
        <v>33.729999999999997</v>
      </c>
      <c r="AL64" s="432"/>
      <c r="AM64" s="327">
        <v>57.14</v>
      </c>
      <c r="AN64" s="332">
        <v>40</v>
      </c>
      <c r="AO64" s="332">
        <v>40</v>
      </c>
      <c r="AP64" s="328" t="s">
        <v>443</v>
      </c>
      <c r="AQ64" s="328" t="s">
        <v>443</v>
      </c>
      <c r="AR64" s="332">
        <v>42.51</v>
      </c>
      <c r="AS64" s="328" t="s">
        <v>443</v>
      </c>
      <c r="AT64" s="432"/>
      <c r="AU64" s="328">
        <v>76.19</v>
      </c>
      <c r="AV64" s="328">
        <v>66.67</v>
      </c>
      <c r="AW64" s="328">
        <v>68.290000000000006</v>
      </c>
      <c r="AX64" s="328" t="s">
        <v>443</v>
      </c>
      <c r="AY64" s="328" t="s">
        <v>443</v>
      </c>
      <c r="AZ64" s="329">
        <v>100</v>
      </c>
      <c r="BA64" s="327">
        <v>52.94</v>
      </c>
      <c r="BB64" s="432"/>
      <c r="BC64" s="328" t="s">
        <v>443</v>
      </c>
      <c r="BD64" s="328" t="s">
        <v>443</v>
      </c>
      <c r="BE64" s="327">
        <v>59.81</v>
      </c>
      <c r="BF64" s="328" t="s">
        <v>443</v>
      </c>
      <c r="BG64" s="328">
        <v>62.51</v>
      </c>
      <c r="BH64" s="327">
        <v>50</v>
      </c>
      <c r="BI64" s="327">
        <v>44.74</v>
      </c>
      <c r="BJ64" s="432"/>
      <c r="BK64" s="328" t="s">
        <v>443</v>
      </c>
      <c r="BL64" s="327">
        <v>50</v>
      </c>
      <c r="BM64" s="432"/>
      <c r="BN64" s="328" t="s">
        <v>443</v>
      </c>
      <c r="BO64" s="328" t="s">
        <v>443</v>
      </c>
      <c r="BP64" s="328" t="s">
        <v>443</v>
      </c>
      <c r="BQ64" s="328" t="s">
        <v>443</v>
      </c>
      <c r="BR64" s="432"/>
      <c r="BS64" s="328" t="s">
        <v>443</v>
      </c>
      <c r="BT64" s="328" t="s">
        <v>443</v>
      </c>
      <c r="BU64" s="332">
        <v>43.75</v>
      </c>
      <c r="BV64" s="332">
        <v>29.41</v>
      </c>
      <c r="BW64" s="432"/>
      <c r="BX64" s="328" t="s">
        <v>443</v>
      </c>
      <c r="BY64" s="328" t="s">
        <v>443</v>
      </c>
      <c r="BZ64" s="432"/>
      <c r="CA64" s="328" t="s">
        <v>443</v>
      </c>
      <c r="CB64" s="328" t="s">
        <v>443</v>
      </c>
      <c r="CC64" s="432"/>
      <c r="CD64" s="332">
        <v>37.04</v>
      </c>
      <c r="CE64" s="327">
        <v>53.85</v>
      </c>
      <c r="CF64" s="432"/>
      <c r="CG64" s="328" t="s">
        <v>443</v>
      </c>
      <c r="CH64" s="328" t="s">
        <v>443</v>
      </c>
      <c r="CI64" s="432"/>
      <c r="CJ64" s="328" t="s">
        <v>443</v>
      </c>
      <c r="CK64" s="328" t="s">
        <v>443</v>
      </c>
      <c r="CL64" s="328" t="s">
        <v>443</v>
      </c>
      <c r="CM64" s="328">
        <v>81.819999999999993</v>
      </c>
      <c r="CN64" s="432"/>
      <c r="CO64" s="328">
        <v>75</v>
      </c>
      <c r="CP64" s="328">
        <v>66.67</v>
      </c>
      <c r="CQ64" s="327">
        <v>60</v>
      </c>
      <c r="CR64" s="432"/>
      <c r="CS64" s="328">
        <v>71.430000000000007</v>
      </c>
      <c r="CT64" s="328" t="s">
        <v>443</v>
      </c>
      <c r="CU64" s="328">
        <v>71.430000000000007</v>
      </c>
      <c r="CV64" s="328">
        <v>71.430000000000007</v>
      </c>
      <c r="CW64" s="332">
        <v>33.33</v>
      </c>
      <c r="CX64" s="328" t="s">
        <v>443</v>
      </c>
      <c r="CY64" s="432"/>
      <c r="CZ64" s="328" t="s">
        <v>443</v>
      </c>
      <c r="DA64" s="432"/>
      <c r="DB64" s="328" t="s">
        <v>443</v>
      </c>
      <c r="DC64" s="432"/>
      <c r="DD64" s="329">
        <v>100</v>
      </c>
      <c r="DE64" s="432"/>
      <c r="DF64" s="327">
        <v>52.94</v>
      </c>
      <c r="DG64" s="432"/>
      <c r="DH64" s="328" t="s">
        <v>443</v>
      </c>
      <c r="DI64" s="432"/>
      <c r="DJ64" s="328" t="s">
        <v>443</v>
      </c>
      <c r="DK64" s="432"/>
      <c r="DL64" s="328" t="s">
        <v>443</v>
      </c>
      <c r="DM64" s="327">
        <v>57.14</v>
      </c>
      <c r="DN64" s="327">
        <v>45.45</v>
      </c>
      <c r="DO64" s="328">
        <v>62.51</v>
      </c>
      <c r="DP64" s="328" t="s">
        <v>443</v>
      </c>
      <c r="DQ64" s="328">
        <v>66.67</v>
      </c>
      <c r="DR64" s="327">
        <v>55.17</v>
      </c>
      <c r="DS64" s="328">
        <v>61.54</v>
      </c>
      <c r="DT64" s="328">
        <v>62.51</v>
      </c>
      <c r="DU64" s="328" t="s">
        <v>443</v>
      </c>
      <c r="DV64" s="328">
        <v>71.430000000000007</v>
      </c>
      <c r="DW64" s="432"/>
      <c r="DX64" s="328" t="s">
        <v>443</v>
      </c>
      <c r="DY64" s="432"/>
      <c r="DZ64" s="328" t="s">
        <v>443</v>
      </c>
      <c r="EA64" s="328" t="s">
        <v>443</v>
      </c>
      <c r="EB64" s="328" t="s">
        <v>443</v>
      </c>
      <c r="EC64" s="432"/>
      <c r="ED64" s="328" t="s">
        <v>443</v>
      </c>
      <c r="EE64" s="328" t="s">
        <v>443</v>
      </c>
      <c r="EF64" s="432"/>
      <c r="EG64" s="327">
        <v>47.37</v>
      </c>
      <c r="EH64" s="332">
        <v>42.11</v>
      </c>
      <c r="EI64" s="432"/>
      <c r="EJ64" s="332">
        <v>41.23</v>
      </c>
      <c r="EK64" s="328">
        <v>63.25</v>
      </c>
      <c r="EL64" s="432"/>
      <c r="EM64" s="327">
        <v>52.55</v>
      </c>
      <c r="EN64" s="327">
        <v>48.84</v>
      </c>
      <c r="EO64" s="332">
        <v>20</v>
      </c>
      <c r="EP64" s="328">
        <v>72.180000000000007</v>
      </c>
      <c r="EQ64" s="332">
        <v>27.27</v>
      </c>
    </row>
    <row r="65" spans="1:147">
      <c r="A65" s="495"/>
      <c r="B65" s="325">
        <v>57</v>
      </c>
      <c r="C65" s="326" t="s">
        <v>64</v>
      </c>
      <c r="D65" s="377">
        <v>71.25</v>
      </c>
      <c r="E65" s="441">
        <v>74.33</v>
      </c>
      <c r="F65" s="442">
        <v>81.12</v>
      </c>
      <c r="G65" s="350">
        <v>-3.0799999999999983</v>
      </c>
      <c r="H65" s="350">
        <v>-9.8700000000000045</v>
      </c>
      <c r="I65" s="432"/>
      <c r="J65" s="328" t="s">
        <v>443</v>
      </c>
      <c r="K65" s="328">
        <v>82.35</v>
      </c>
      <c r="L65" s="328">
        <v>73.42</v>
      </c>
      <c r="M65" s="328">
        <v>68.7</v>
      </c>
      <c r="N65" s="329">
        <v>94.74</v>
      </c>
      <c r="O65" s="432"/>
      <c r="P65" s="328">
        <v>71.099999999999994</v>
      </c>
      <c r="Q65" s="328">
        <v>71.510000000000005</v>
      </c>
      <c r="R65" s="432"/>
      <c r="S65" s="329">
        <v>92</v>
      </c>
      <c r="T65" s="328">
        <v>62.58</v>
      </c>
      <c r="U65" s="328">
        <v>73.680000000000007</v>
      </c>
      <c r="V65" s="328">
        <v>72.66</v>
      </c>
      <c r="W65" s="328">
        <v>80.95</v>
      </c>
      <c r="X65" s="432"/>
      <c r="Y65" s="328">
        <v>79.22</v>
      </c>
      <c r="Z65" s="328">
        <v>64.489999999999995</v>
      </c>
      <c r="AA65" s="328">
        <v>71.3</v>
      </c>
      <c r="AB65" s="328">
        <v>75.41</v>
      </c>
      <c r="AC65" s="328">
        <v>78.48</v>
      </c>
      <c r="AD65" s="432"/>
      <c r="AE65" s="328">
        <v>70.53</v>
      </c>
      <c r="AF65" s="329">
        <v>90</v>
      </c>
      <c r="AG65" s="432"/>
      <c r="AH65" s="328">
        <v>81.28</v>
      </c>
      <c r="AI65" s="328">
        <v>79.05</v>
      </c>
      <c r="AJ65" s="328">
        <v>63.51</v>
      </c>
      <c r="AK65" s="327">
        <v>55.42</v>
      </c>
      <c r="AL65" s="432"/>
      <c r="AM65" s="328">
        <v>71.430000000000007</v>
      </c>
      <c r="AN65" s="328">
        <v>83.33</v>
      </c>
      <c r="AO65" s="327">
        <v>53.7</v>
      </c>
      <c r="AP65" s="328" t="s">
        <v>443</v>
      </c>
      <c r="AQ65" s="328" t="s">
        <v>443</v>
      </c>
      <c r="AR65" s="327">
        <v>51.22</v>
      </c>
      <c r="AS65" s="328" t="s">
        <v>443</v>
      </c>
      <c r="AT65" s="432"/>
      <c r="AU65" s="328">
        <v>72.73</v>
      </c>
      <c r="AV65" s="328">
        <v>83.44</v>
      </c>
      <c r="AW65" s="328">
        <v>75.61</v>
      </c>
      <c r="AX65" s="328" t="s">
        <v>443</v>
      </c>
      <c r="AY65" s="328" t="s">
        <v>443</v>
      </c>
      <c r="AZ65" s="329">
        <v>85.71</v>
      </c>
      <c r="BA65" s="327">
        <v>47.06</v>
      </c>
      <c r="BB65" s="432"/>
      <c r="BC65" s="328" t="s">
        <v>443</v>
      </c>
      <c r="BD65" s="328" t="s">
        <v>443</v>
      </c>
      <c r="BE65" s="328">
        <v>73.64</v>
      </c>
      <c r="BF65" s="328" t="s">
        <v>443</v>
      </c>
      <c r="BG65" s="329">
        <v>100</v>
      </c>
      <c r="BH65" s="327">
        <v>50</v>
      </c>
      <c r="BI65" s="328">
        <v>65.790000000000006</v>
      </c>
      <c r="BJ65" s="432"/>
      <c r="BK65" s="328" t="s">
        <v>443</v>
      </c>
      <c r="BL65" s="328">
        <v>66.67</v>
      </c>
      <c r="BM65" s="432"/>
      <c r="BN65" s="328" t="s">
        <v>443</v>
      </c>
      <c r="BO65" s="328" t="s">
        <v>443</v>
      </c>
      <c r="BP65" s="328" t="s">
        <v>443</v>
      </c>
      <c r="BQ65" s="328" t="s">
        <v>443</v>
      </c>
      <c r="BR65" s="432"/>
      <c r="BS65" s="328" t="s">
        <v>443</v>
      </c>
      <c r="BT65" s="328" t="s">
        <v>443</v>
      </c>
      <c r="BU65" s="327">
        <v>57.14</v>
      </c>
      <c r="BV65" s="327">
        <v>47.06</v>
      </c>
      <c r="BW65" s="432"/>
      <c r="BX65" s="328" t="s">
        <v>443</v>
      </c>
      <c r="BY65" s="328" t="s">
        <v>443</v>
      </c>
      <c r="BZ65" s="432"/>
      <c r="CA65" s="328" t="s">
        <v>443</v>
      </c>
      <c r="CB65" s="328" t="s">
        <v>443</v>
      </c>
      <c r="CC65" s="432"/>
      <c r="CD65" s="332">
        <v>35.71</v>
      </c>
      <c r="CE65" s="328">
        <v>84.62</v>
      </c>
      <c r="CF65" s="432"/>
      <c r="CG65" s="328" t="s">
        <v>443</v>
      </c>
      <c r="CH65" s="328" t="s">
        <v>443</v>
      </c>
      <c r="CI65" s="432"/>
      <c r="CJ65" s="328" t="s">
        <v>443</v>
      </c>
      <c r="CK65" s="328" t="s">
        <v>443</v>
      </c>
      <c r="CL65" s="328" t="s">
        <v>443</v>
      </c>
      <c r="CM65" s="328">
        <v>72.73</v>
      </c>
      <c r="CN65" s="432"/>
      <c r="CO65" s="329">
        <v>87.51</v>
      </c>
      <c r="CP65" s="328">
        <v>84.17</v>
      </c>
      <c r="CQ65" s="328">
        <v>70</v>
      </c>
      <c r="CR65" s="432"/>
      <c r="CS65" s="328">
        <v>71.430000000000007</v>
      </c>
      <c r="CT65" s="328" t="s">
        <v>443</v>
      </c>
      <c r="CU65" s="328">
        <v>71.430000000000007</v>
      </c>
      <c r="CV65" s="328">
        <v>78.569999999999993</v>
      </c>
      <c r="CW65" s="328">
        <v>66.67</v>
      </c>
      <c r="CX65" s="328" t="s">
        <v>443</v>
      </c>
      <c r="CY65" s="432"/>
      <c r="CZ65" s="328" t="s">
        <v>443</v>
      </c>
      <c r="DA65" s="432"/>
      <c r="DB65" s="328" t="s">
        <v>443</v>
      </c>
      <c r="DC65" s="432"/>
      <c r="DD65" s="329">
        <v>85.71</v>
      </c>
      <c r="DE65" s="432"/>
      <c r="DF65" s="327">
        <v>47.06</v>
      </c>
      <c r="DG65" s="432"/>
      <c r="DH65" s="328" t="s">
        <v>443</v>
      </c>
      <c r="DI65" s="432"/>
      <c r="DJ65" s="328" t="s">
        <v>443</v>
      </c>
      <c r="DK65" s="432"/>
      <c r="DL65" s="328" t="s">
        <v>443</v>
      </c>
      <c r="DM65" s="327">
        <v>50</v>
      </c>
      <c r="DN65" s="328">
        <v>72.73</v>
      </c>
      <c r="DO65" s="328">
        <v>64.709999999999994</v>
      </c>
      <c r="DP65" s="328" t="s">
        <v>443</v>
      </c>
      <c r="DQ65" s="328">
        <v>77.78</v>
      </c>
      <c r="DR65" s="328">
        <v>80</v>
      </c>
      <c r="DS65" s="328">
        <v>76.92</v>
      </c>
      <c r="DT65" s="328">
        <v>75</v>
      </c>
      <c r="DU65" s="328" t="s">
        <v>443</v>
      </c>
      <c r="DV65" s="329">
        <v>85.71</v>
      </c>
      <c r="DW65" s="432"/>
      <c r="DX65" s="328" t="s">
        <v>443</v>
      </c>
      <c r="DY65" s="432"/>
      <c r="DZ65" s="328" t="s">
        <v>443</v>
      </c>
      <c r="EA65" s="328" t="s">
        <v>443</v>
      </c>
      <c r="EB65" s="328" t="s">
        <v>443</v>
      </c>
      <c r="EC65" s="432"/>
      <c r="ED65" s="328" t="s">
        <v>443</v>
      </c>
      <c r="EE65" s="328" t="s">
        <v>443</v>
      </c>
      <c r="EF65" s="432"/>
      <c r="EG65" s="327">
        <v>57.89</v>
      </c>
      <c r="EH65" s="328">
        <v>73.680000000000007</v>
      </c>
      <c r="EI65" s="432"/>
      <c r="EJ65" s="327">
        <v>55.37</v>
      </c>
      <c r="EK65" s="328">
        <v>75.760000000000005</v>
      </c>
      <c r="EL65" s="432"/>
      <c r="EM65" s="328">
        <v>76.09</v>
      </c>
      <c r="EN65" s="328">
        <v>74.42</v>
      </c>
      <c r="EO65" s="332">
        <v>30</v>
      </c>
      <c r="EP65" s="328">
        <v>77.819999999999993</v>
      </c>
      <c r="EQ65" s="332">
        <v>39.29</v>
      </c>
    </row>
    <row r="66" spans="1:147">
      <c r="A66" s="496" t="s">
        <v>448</v>
      </c>
      <c r="B66" s="497"/>
      <c r="C66" s="498"/>
      <c r="D66" s="379">
        <v>69.290000000000006</v>
      </c>
      <c r="E66" s="445">
        <v>73.430000000000007</v>
      </c>
      <c r="F66" s="446">
        <v>83.31</v>
      </c>
      <c r="G66" s="351">
        <v>-4.1400000000000006</v>
      </c>
      <c r="H66" s="447">
        <v>-14.019999999999996</v>
      </c>
      <c r="I66" s="432"/>
      <c r="J66" s="331" t="s">
        <v>443</v>
      </c>
      <c r="K66" s="330">
        <v>81.09</v>
      </c>
      <c r="L66" s="330">
        <v>72.7</v>
      </c>
      <c r="M66" s="330">
        <v>67.010000000000005</v>
      </c>
      <c r="N66" s="330">
        <v>80</v>
      </c>
      <c r="O66" s="432"/>
      <c r="P66" s="330">
        <v>67.599999999999994</v>
      </c>
      <c r="Q66" s="330">
        <v>72.209999999999994</v>
      </c>
      <c r="R66" s="432"/>
      <c r="S66" s="330">
        <v>77.2</v>
      </c>
      <c r="T66" s="330">
        <v>62.81</v>
      </c>
      <c r="U66" s="330">
        <v>72.349999999999994</v>
      </c>
      <c r="V66" s="330">
        <v>71.319999999999993</v>
      </c>
      <c r="W66" s="330">
        <v>67.14</v>
      </c>
      <c r="X66" s="432"/>
      <c r="Y66" s="330">
        <v>72.680000000000007</v>
      </c>
      <c r="Z66" s="330">
        <v>66.510000000000005</v>
      </c>
      <c r="AA66" s="330">
        <v>66.77</v>
      </c>
      <c r="AB66" s="330">
        <v>70</v>
      </c>
      <c r="AC66" s="330">
        <v>76.489999999999995</v>
      </c>
      <c r="AD66" s="432"/>
      <c r="AE66" s="330">
        <v>68.95</v>
      </c>
      <c r="AF66" s="330">
        <v>78</v>
      </c>
      <c r="AG66" s="432"/>
      <c r="AH66" s="330">
        <v>81.819999999999993</v>
      </c>
      <c r="AI66" s="330">
        <v>73.459999999999994</v>
      </c>
      <c r="AJ66" s="330">
        <v>61.19</v>
      </c>
      <c r="AK66" s="330">
        <v>51.38</v>
      </c>
      <c r="AL66" s="432"/>
      <c r="AM66" s="330">
        <v>63.81</v>
      </c>
      <c r="AN66" s="330">
        <v>70</v>
      </c>
      <c r="AO66" s="330">
        <v>50.09</v>
      </c>
      <c r="AP66" s="331" t="s">
        <v>443</v>
      </c>
      <c r="AQ66" s="331" t="s">
        <v>443</v>
      </c>
      <c r="AR66" s="330">
        <v>56.35</v>
      </c>
      <c r="AS66" s="331" t="s">
        <v>443</v>
      </c>
      <c r="AT66" s="432"/>
      <c r="AU66" s="330">
        <v>81.650000000000006</v>
      </c>
      <c r="AV66" s="330">
        <v>76.489999999999995</v>
      </c>
      <c r="AW66" s="330">
        <v>74.150000000000006</v>
      </c>
      <c r="AX66" s="331" t="s">
        <v>443</v>
      </c>
      <c r="AY66" s="331" t="s">
        <v>443</v>
      </c>
      <c r="AZ66" s="330">
        <v>82.86</v>
      </c>
      <c r="BA66" s="330">
        <v>56.47</v>
      </c>
      <c r="BB66" s="432"/>
      <c r="BC66" s="331" t="s">
        <v>443</v>
      </c>
      <c r="BD66" s="331" t="s">
        <v>443</v>
      </c>
      <c r="BE66" s="330">
        <v>72.12</v>
      </c>
      <c r="BF66" s="331" t="s">
        <v>443</v>
      </c>
      <c r="BG66" s="330">
        <v>85.56</v>
      </c>
      <c r="BH66" s="330">
        <v>66.67</v>
      </c>
      <c r="BI66" s="330">
        <v>62.89</v>
      </c>
      <c r="BJ66" s="432"/>
      <c r="BK66" s="331" t="s">
        <v>443</v>
      </c>
      <c r="BL66" s="330">
        <v>57.67</v>
      </c>
      <c r="BM66" s="432"/>
      <c r="BN66" s="331" t="s">
        <v>443</v>
      </c>
      <c r="BO66" s="331" t="s">
        <v>443</v>
      </c>
      <c r="BP66" s="331" t="s">
        <v>443</v>
      </c>
      <c r="BQ66" s="331" t="s">
        <v>443</v>
      </c>
      <c r="BR66" s="432"/>
      <c r="BS66" s="331" t="s">
        <v>443</v>
      </c>
      <c r="BT66" s="331" t="s">
        <v>443</v>
      </c>
      <c r="BU66" s="330">
        <v>56.11</v>
      </c>
      <c r="BV66" s="330">
        <v>37.06</v>
      </c>
      <c r="BW66" s="432"/>
      <c r="BX66" s="331" t="s">
        <v>443</v>
      </c>
      <c r="BY66" s="331" t="s">
        <v>443</v>
      </c>
      <c r="BZ66" s="432"/>
      <c r="CA66" s="331" t="s">
        <v>443</v>
      </c>
      <c r="CB66" s="331" t="s">
        <v>443</v>
      </c>
      <c r="CC66" s="432"/>
      <c r="CD66" s="330">
        <v>49.06</v>
      </c>
      <c r="CE66" s="330">
        <v>71.540000000000006</v>
      </c>
      <c r="CF66" s="432"/>
      <c r="CG66" s="331" t="s">
        <v>443</v>
      </c>
      <c r="CH66" s="331" t="s">
        <v>443</v>
      </c>
      <c r="CI66" s="432"/>
      <c r="CJ66" s="331" t="s">
        <v>443</v>
      </c>
      <c r="CK66" s="331" t="s">
        <v>443</v>
      </c>
      <c r="CL66" s="331" t="s">
        <v>443</v>
      </c>
      <c r="CM66" s="330">
        <v>81.819999999999993</v>
      </c>
      <c r="CN66" s="432"/>
      <c r="CO66" s="330">
        <v>91.25</v>
      </c>
      <c r="CP66" s="330">
        <v>76.319999999999993</v>
      </c>
      <c r="CQ66" s="330">
        <v>67</v>
      </c>
      <c r="CR66" s="432"/>
      <c r="CS66" s="330">
        <v>74.290000000000006</v>
      </c>
      <c r="CT66" s="331" t="s">
        <v>443</v>
      </c>
      <c r="CU66" s="330">
        <v>80</v>
      </c>
      <c r="CV66" s="330">
        <v>81.430000000000007</v>
      </c>
      <c r="CW66" s="330">
        <v>50</v>
      </c>
      <c r="CX66" s="331" t="s">
        <v>443</v>
      </c>
      <c r="CY66" s="432"/>
      <c r="CZ66" s="331" t="s">
        <v>443</v>
      </c>
      <c r="DA66" s="432"/>
      <c r="DB66" s="331" t="s">
        <v>443</v>
      </c>
      <c r="DC66" s="432"/>
      <c r="DD66" s="330">
        <v>82.86</v>
      </c>
      <c r="DE66" s="432"/>
      <c r="DF66" s="330">
        <v>56.47</v>
      </c>
      <c r="DG66" s="432"/>
      <c r="DH66" s="331" t="s">
        <v>443</v>
      </c>
      <c r="DI66" s="432"/>
      <c r="DJ66" s="331" t="s">
        <v>443</v>
      </c>
      <c r="DK66" s="432"/>
      <c r="DL66" s="331" t="s">
        <v>443</v>
      </c>
      <c r="DM66" s="330">
        <v>56.31</v>
      </c>
      <c r="DN66" s="330">
        <v>74.55</v>
      </c>
      <c r="DO66" s="330">
        <v>64.19</v>
      </c>
      <c r="DP66" s="331" t="s">
        <v>443</v>
      </c>
      <c r="DQ66" s="330">
        <v>80</v>
      </c>
      <c r="DR66" s="330">
        <v>67.77</v>
      </c>
      <c r="DS66" s="330">
        <v>73.33</v>
      </c>
      <c r="DT66" s="330">
        <v>76.25</v>
      </c>
      <c r="DU66" s="331" t="s">
        <v>443</v>
      </c>
      <c r="DV66" s="330">
        <v>92.86</v>
      </c>
      <c r="DW66" s="432"/>
      <c r="DX66" s="331" t="s">
        <v>443</v>
      </c>
      <c r="DY66" s="432"/>
      <c r="DZ66" s="331" t="s">
        <v>443</v>
      </c>
      <c r="EA66" s="331" t="s">
        <v>443</v>
      </c>
      <c r="EB66" s="331" t="s">
        <v>443</v>
      </c>
      <c r="EC66" s="432"/>
      <c r="ED66" s="331" t="s">
        <v>443</v>
      </c>
      <c r="EE66" s="331" t="s">
        <v>443</v>
      </c>
      <c r="EF66" s="432"/>
      <c r="EG66" s="330">
        <v>58.95</v>
      </c>
      <c r="EH66" s="330">
        <v>66.84</v>
      </c>
      <c r="EI66" s="432"/>
      <c r="EJ66" s="330">
        <v>54.49</v>
      </c>
      <c r="EK66" s="330">
        <v>73.39</v>
      </c>
      <c r="EL66" s="432"/>
      <c r="EM66" s="330">
        <v>68.55</v>
      </c>
      <c r="EN66" s="330">
        <v>63.02</v>
      </c>
      <c r="EO66" s="330">
        <v>28.22</v>
      </c>
      <c r="EP66" s="330">
        <v>79</v>
      </c>
      <c r="EQ66" s="330">
        <v>40.909999999999997</v>
      </c>
    </row>
    <row r="67" spans="1:147" ht="13.5" customHeight="1">
      <c r="A67" s="333" t="s">
        <v>65</v>
      </c>
      <c r="B67" s="325">
        <v>58</v>
      </c>
      <c r="C67" s="326" t="s">
        <v>66</v>
      </c>
      <c r="D67" s="377">
        <v>66.099999999999994</v>
      </c>
      <c r="E67" s="441">
        <v>70.81</v>
      </c>
      <c r="F67" s="442">
        <v>82.28</v>
      </c>
      <c r="G67" s="350">
        <v>-4.710000000000008</v>
      </c>
      <c r="H67" s="350">
        <v>-16.180000000000007</v>
      </c>
      <c r="I67" s="432"/>
      <c r="J67" s="328" t="s">
        <v>443</v>
      </c>
      <c r="K67" s="328">
        <v>84.85</v>
      </c>
      <c r="L67" s="328">
        <v>73.08</v>
      </c>
      <c r="M67" s="328">
        <v>61.9</v>
      </c>
      <c r="N67" s="328">
        <v>84.21</v>
      </c>
      <c r="O67" s="432"/>
      <c r="P67" s="328">
        <v>65.09</v>
      </c>
      <c r="Q67" s="328">
        <v>67.86</v>
      </c>
      <c r="R67" s="432"/>
      <c r="S67" s="328">
        <v>84</v>
      </c>
      <c r="T67" s="327">
        <v>57.86</v>
      </c>
      <c r="U67" s="328">
        <v>67.98</v>
      </c>
      <c r="V67" s="328">
        <v>70.63</v>
      </c>
      <c r="W67" s="328">
        <v>61.9</v>
      </c>
      <c r="X67" s="432"/>
      <c r="Y67" s="328">
        <v>77.63</v>
      </c>
      <c r="Z67" s="328">
        <v>63.59</v>
      </c>
      <c r="AA67" s="327">
        <v>58.41</v>
      </c>
      <c r="AB67" s="328">
        <v>68.849999999999994</v>
      </c>
      <c r="AC67" s="328">
        <v>70.510000000000005</v>
      </c>
      <c r="AD67" s="432"/>
      <c r="AE67" s="328">
        <v>65.37</v>
      </c>
      <c r="AF67" s="328">
        <v>85</v>
      </c>
      <c r="AG67" s="432"/>
      <c r="AH67" s="328">
        <v>79.680000000000007</v>
      </c>
      <c r="AI67" s="328">
        <v>73.33</v>
      </c>
      <c r="AJ67" s="327">
        <v>58.39</v>
      </c>
      <c r="AK67" s="332">
        <v>40.96</v>
      </c>
      <c r="AL67" s="432"/>
      <c r="AM67" s="332">
        <v>42.86</v>
      </c>
      <c r="AN67" s="328">
        <v>66.67</v>
      </c>
      <c r="AO67" s="327">
        <v>52.94</v>
      </c>
      <c r="AP67" s="328" t="s">
        <v>443</v>
      </c>
      <c r="AQ67" s="328" t="s">
        <v>443</v>
      </c>
      <c r="AR67" s="332">
        <v>42.51</v>
      </c>
      <c r="AS67" s="328" t="s">
        <v>443</v>
      </c>
      <c r="AT67" s="432"/>
      <c r="AU67" s="329">
        <v>85.71</v>
      </c>
      <c r="AV67" s="328">
        <v>67.95</v>
      </c>
      <c r="AW67" s="328">
        <v>82.93</v>
      </c>
      <c r="AX67" s="328" t="s">
        <v>443</v>
      </c>
      <c r="AY67" s="328" t="s">
        <v>443</v>
      </c>
      <c r="AZ67" s="328">
        <v>71.430000000000007</v>
      </c>
      <c r="BA67" s="327">
        <v>58.82</v>
      </c>
      <c r="BB67" s="432"/>
      <c r="BC67" s="328" t="s">
        <v>443</v>
      </c>
      <c r="BD67" s="328" t="s">
        <v>443</v>
      </c>
      <c r="BE67" s="328">
        <v>72.64</v>
      </c>
      <c r="BF67" s="328" t="s">
        <v>443</v>
      </c>
      <c r="BG67" s="328">
        <v>62.51</v>
      </c>
      <c r="BH67" s="329">
        <v>100</v>
      </c>
      <c r="BI67" s="327">
        <v>57.89</v>
      </c>
      <c r="BJ67" s="432"/>
      <c r="BK67" s="328" t="s">
        <v>443</v>
      </c>
      <c r="BL67" s="332">
        <v>33.33</v>
      </c>
      <c r="BM67" s="432"/>
      <c r="BN67" s="328" t="s">
        <v>443</v>
      </c>
      <c r="BO67" s="328" t="s">
        <v>443</v>
      </c>
      <c r="BP67" s="328" t="s">
        <v>443</v>
      </c>
      <c r="BQ67" s="328" t="s">
        <v>443</v>
      </c>
      <c r="BR67" s="432"/>
      <c r="BS67" s="328" t="s">
        <v>443</v>
      </c>
      <c r="BT67" s="328" t="s">
        <v>443</v>
      </c>
      <c r="BU67" s="328">
        <v>62.51</v>
      </c>
      <c r="BV67" s="332">
        <v>35.29</v>
      </c>
      <c r="BW67" s="432"/>
      <c r="BX67" s="328" t="s">
        <v>443</v>
      </c>
      <c r="BY67" s="328" t="s">
        <v>443</v>
      </c>
      <c r="BZ67" s="432"/>
      <c r="CA67" s="328" t="s">
        <v>443</v>
      </c>
      <c r="CB67" s="328" t="s">
        <v>443</v>
      </c>
      <c r="CC67" s="432"/>
      <c r="CD67" s="332">
        <v>40.74</v>
      </c>
      <c r="CE67" s="327">
        <v>46.15</v>
      </c>
      <c r="CF67" s="432"/>
      <c r="CG67" s="328" t="s">
        <v>443</v>
      </c>
      <c r="CH67" s="328" t="s">
        <v>443</v>
      </c>
      <c r="CI67" s="432"/>
      <c r="CJ67" s="328" t="s">
        <v>443</v>
      </c>
      <c r="CK67" s="328" t="s">
        <v>443</v>
      </c>
      <c r="CL67" s="328" t="s">
        <v>443</v>
      </c>
      <c r="CM67" s="328">
        <v>81.819999999999993</v>
      </c>
      <c r="CN67" s="432"/>
      <c r="CO67" s="329">
        <v>87.51</v>
      </c>
      <c r="CP67" s="328">
        <v>66.67</v>
      </c>
      <c r="CQ67" s="328">
        <v>70</v>
      </c>
      <c r="CR67" s="432"/>
      <c r="CS67" s="328">
        <v>71.430000000000007</v>
      </c>
      <c r="CT67" s="328" t="s">
        <v>443</v>
      </c>
      <c r="CU67" s="329">
        <v>85.71</v>
      </c>
      <c r="CV67" s="329">
        <v>92.86</v>
      </c>
      <c r="CW67" s="327">
        <v>50</v>
      </c>
      <c r="CX67" s="328" t="s">
        <v>443</v>
      </c>
      <c r="CY67" s="432"/>
      <c r="CZ67" s="328" t="s">
        <v>443</v>
      </c>
      <c r="DA67" s="432"/>
      <c r="DB67" s="328" t="s">
        <v>443</v>
      </c>
      <c r="DC67" s="432"/>
      <c r="DD67" s="328">
        <v>71.430000000000007</v>
      </c>
      <c r="DE67" s="432"/>
      <c r="DF67" s="327">
        <v>58.82</v>
      </c>
      <c r="DG67" s="432"/>
      <c r="DH67" s="328" t="s">
        <v>443</v>
      </c>
      <c r="DI67" s="432"/>
      <c r="DJ67" s="328" t="s">
        <v>443</v>
      </c>
      <c r="DK67" s="432"/>
      <c r="DL67" s="328" t="s">
        <v>443</v>
      </c>
      <c r="DM67" s="332">
        <v>33.33</v>
      </c>
      <c r="DN67" s="328">
        <v>81.819999999999993</v>
      </c>
      <c r="DO67" s="328">
        <v>62.51</v>
      </c>
      <c r="DP67" s="328" t="s">
        <v>443</v>
      </c>
      <c r="DQ67" s="329">
        <v>88.89</v>
      </c>
      <c r="DR67" s="327">
        <v>58.62</v>
      </c>
      <c r="DS67" s="328">
        <v>76.92</v>
      </c>
      <c r="DT67" s="329">
        <v>100</v>
      </c>
      <c r="DU67" s="328" t="s">
        <v>443</v>
      </c>
      <c r="DV67" s="329">
        <v>100</v>
      </c>
      <c r="DW67" s="432"/>
      <c r="DX67" s="328" t="s">
        <v>443</v>
      </c>
      <c r="DY67" s="432"/>
      <c r="DZ67" s="328" t="s">
        <v>443</v>
      </c>
      <c r="EA67" s="328" t="s">
        <v>443</v>
      </c>
      <c r="EB67" s="328" t="s">
        <v>443</v>
      </c>
      <c r="EC67" s="432"/>
      <c r="ED67" s="328" t="s">
        <v>443</v>
      </c>
      <c r="EE67" s="328" t="s">
        <v>443</v>
      </c>
      <c r="EF67" s="432"/>
      <c r="EG67" s="328">
        <v>68.42</v>
      </c>
      <c r="EH67" s="327">
        <v>47.37</v>
      </c>
      <c r="EI67" s="432"/>
      <c r="EJ67" s="327">
        <v>48.28</v>
      </c>
      <c r="EK67" s="328">
        <v>71.05</v>
      </c>
      <c r="EL67" s="432"/>
      <c r="EM67" s="328">
        <v>62.32</v>
      </c>
      <c r="EN67" s="328">
        <v>62.79</v>
      </c>
      <c r="EO67" s="332">
        <v>30</v>
      </c>
      <c r="EP67" s="328">
        <v>78.95</v>
      </c>
      <c r="EQ67" s="332">
        <v>28.57</v>
      </c>
    </row>
    <row r="68" spans="1:147">
      <c r="A68" s="496" t="s">
        <v>164</v>
      </c>
      <c r="B68" s="497"/>
      <c r="C68" s="498"/>
      <c r="D68" s="379">
        <v>68.66</v>
      </c>
      <c r="E68" s="445">
        <v>72.650000000000006</v>
      </c>
      <c r="F68" s="446">
        <v>78.88</v>
      </c>
      <c r="G68" s="351">
        <v>-3.9900000000000091</v>
      </c>
      <c r="H68" s="447">
        <v>-10.219999999999999</v>
      </c>
      <c r="I68" s="432"/>
      <c r="J68" s="331" t="s">
        <v>443</v>
      </c>
      <c r="K68" s="330">
        <v>81.95</v>
      </c>
      <c r="L68" s="330">
        <v>73.63</v>
      </c>
      <c r="M68" s="330">
        <v>65.900000000000006</v>
      </c>
      <c r="N68" s="330">
        <v>77.260000000000005</v>
      </c>
      <c r="O68" s="432"/>
      <c r="P68" s="330">
        <v>67.92</v>
      </c>
      <c r="Q68" s="330">
        <v>69.959999999999994</v>
      </c>
      <c r="R68" s="432"/>
      <c r="S68" s="330">
        <v>73.83</v>
      </c>
      <c r="T68" s="330">
        <v>59.53</v>
      </c>
      <c r="U68" s="330">
        <v>72.44</v>
      </c>
      <c r="V68" s="330">
        <v>72.56</v>
      </c>
      <c r="W68" s="330">
        <v>71.7</v>
      </c>
      <c r="X68" s="432"/>
      <c r="Y68" s="330">
        <v>71.45</v>
      </c>
      <c r="Z68" s="330">
        <v>66.28</v>
      </c>
      <c r="AA68" s="330">
        <v>65.08</v>
      </c>
      <c r="AB68" s="330">
        <v>70.23</v>
      </c>
      <c r="AC68" s="330">
        <v>76.27</v>
      </c>
      <c r="AD68" s="432"/>
      <c r="AE68" s="330">
        <v>68.42</v>
      </c>
      <c r="AF68" s="330">
        <v>75.09</v>
      </c>
      <c r="AG68" s="432"/>
      <c r="AH68" s="330">
        <v>82.22</v>
      </c>
      <c r="AI68" s="330">
        <v>72.290000000000006</v>
      </c>
      <c r="AJ68" s="330">
        <v>60.39</v>
      </c>
      <c r="AK68" s="330">
        <v>48.85</v>
      </c>
      <c r="AL68" s="432"/>
      <c r="AM68" s="330">
        <v>53.78</v>
      </c>
      <c r="AN68" s="330">
        <v>69.599999999999994</v>
      </c>
      <c r="AO68" s="330">
        <v>51.49</v>
      </c>
      <c r="AP68" s="331" t="s">
        <v>443</v>
      </c>
      <c r="AQ68" s="331" t="s">
        <v>443</v>
      </c>
      <c r="AR68" s="330">
        <v>52.19</v>
      </c>
      <c r="AS68" s="331" t="s">
        <v>443</v>
      </c>
      <c r="AT68" s="432"/>
      <c r="AU68" s="330">
        <v>82.58</v>
      </c>
      <c r="AV68" s="330">
        <v>72.69</v>
      </c>
      <c r="AW68" s="330">
        <v>79.94</v>
      </c>
      <c r="AX68" s="331" t="s">
        <v>443</v>
      </c>
      <c r="AY68" s="331" t="s">
        <v>443</v>
      </c>
      <c r="AZ68" s="330">
        <v>80.58</v>
      </c>
      <c r="BA68" s="330">
        <v>59.53</v>
      </c>
      <c r="BB68" s="432"/>
      <c r="BC68" s="331" t="s">
        <v>443</v>
      </c>
      <c r="BD68" s="331" t="s">
        <v>443</v>
      </c>
      <c r="BE68" s="330">
        <v>73.709999999999994</v>
      </c>
      <c r="BF68" s="331" t="s">
        <v>443</v>
      </c>
      <c r="BG68" s="330">
        <v>76.13</v>
      </c>
      <c r="BH68" s="330">
        <v>72.13</v>
      </c>
      <c r="BI68" s="330">
        <v>60.86</v>
      </c>
      <c r="BJ68" s="432"/>
      <c r="BK68" s="331" t="s">
        <v>443</v>
      </c>
      <c r="BL68" s="330">
        <v>50.06</v>
      </c>
      <c r="BM68" s="432"/>
      <c r="BN68" s="331" t="s">
        <v>443</v>
      </c>
      <c r="BO68" s="331" t="s">
        <v>443</v>
      </c>
      <c r="BP68" s="331" t="s">
        <v>443</v>
      </c>
      <c r="BQ68" s="331" t="s">
        <v>443</v>
      </c>
      <c r="BR68" s="432"/>
      <c r="BS68" s="331" t="s">
        <v>443</v>
      </c>
      <c r="BT68" s="331" t="s">
        <v>443</v>
      </c>
      <c r="BU68" s="330">
        <v>54.29</v>
      </c>
      <c r="BV68" s="330">
        <v>43.81</v>
      </c>
      <c r="BW68" s="432"/>
      <c r="BX68" s="331" t="s">
        <v>443</v>
      </c>
      <c r="BY68" s="331" t="s">
        <v>443</v>
      </c>
      <c r="BZ68" s="432"/>
      <c r="CA68" s="331" t="s">
        <v>443</v>
      </c>
      <c r="CB68" s="331" t="s">
        <v>443</v>
      </c>
      <c r="CC68" s="432"/>
      <c r="CD68" s="330">
        <v>47.95</v>
      </c>
      <c r="CE68" s="330">
        <v>61.01</v>
      </c>
      <c r="CF68" s="432"/>
      <c r="CG68" s="331" t="s">
        <v>443</v>
      </c>
      <c r="CH68" s="331" t="s">
        <v>443</v>
      </c>
      <c r="CI68" s="432"/>
      <c r="CJ68" s="331" t="s">
        <v>443</v>
      </c>
      <c r="CK68" s="331" t="s">
        <v>443</v>
      </c>
      <c r="CL68" s="331" t="s">
        <v>443</v>
      </c>
      <c r="CM68" s="330">
        <v>82.6</v>
      </c>
      <c r="CN68" s="432"/>
      <c r="CO68" s="330">
        <v>89.87</v>
      </c>
      <c r="CP68" s="330">
        <v>71.58</v>
      </c>
      <c r="CQ68" s="330">
        <v>74.31</v>
      </c>
      <c r="CR68" s="432"/>
      <c r="CS68" s="330">
        <v>79.06</v>
      </c>
      <c r="CT68" s="331" t="s">
        <v>443</v>
      </c>
      <c r="CU68" s="330">
        <v>87.44</v>
      </c>
      <c r="CV68" s="330">
        <v>85.46</v>
      </c>
      <c r="CW68" s="330">
        <v>56.9</v>
      </c>
      <c r="CX68" s="331" t="s">
        <v>443</v>
      </c>
      <c r="CY68" s="432"/>
      <c r="CZ68" s="331" t="s">
        <v>443</v>
      </c>
      <c r="DA68" s="432"/>
      <c r="DB68" s="331" t="s">
        <v>443</v>
      </c>
      <c r="DC68" s="432"/>
      <c r="DD68" s="330">
        <v>80.58</v>
      </c>
      <c r="DE68" s="432"/>
      <c r="DF68" s="330">
        <v>59.53</v>
      </c>
      <c r="DG68" s="432"/>
      <c r="DH68" s="331" t="s">
        <v>443</v>
      </c>
      <c r="DI68" s="432"/>
      <c r="DJ68" s="331" t="s">
        <v>443</v>
      </c>
      <c r="DK68" s="432"/>
      <c r="DL68" s="331" t="s">
        <v>443</v>
      </c>
      <c r="DM68" s="330">
        <v>64.510000000000005</v>
      </c>
      <c r="DN68" s="330">
        <v>76.8</v>
      </c>
      <c r="DO68" s="330">
        <v>73.099999999999994</v>
      </c>
      <c r="DP68" s="331" t="s">
        <v>443</v>
      </c>
      <c r="DQ68" s="330">
        <v>81.3</v>
      </c>
      <c r="DR68" s="330">
        <v>62.41</v>
      </c>
      <c r="DS68" s="330">
        <v>74.92</v>
      </c>
      <c r="DT68" s="330">
        <v>85.99</v>
      </c>
      <c r="DU68" s="331" t="s">
        <v>443</v>
      </c>
      <c r="DV68" s="330">
        <v>93.6</v>
      </c>
      <c r="DW68" s="432"/>
      <c r="DX68" s="331" t="s">
        <v>443</v>
      </c>
      <c r="DY68" s="432"/>
      <c r="DZ68" s="331" t="s">
        <v>443</v>
      </c>
      <c r="EA68" s="331" t="s">
        <v>443</v>
      </c>
      <c r="EB68" s="331" t="s">
        <v>443</v>
      </c>
      <c r="EC68" s="432"/>
      <c r="ED68" s="331" t="s">
        <v>443</v>
      </c>
      <c r="EE68" s="331" t="s">
        <v>443</v>
      </c>
      <c r="EF68" s="432"/>
      <c r="EG68" s="330">
        <v>59.75</v>
      </c>
      <c r="EH68" s="330">
        <v>62.03</v>
      </c>
      <c r="EI68" s="432"/>
      <c r="EJ68" s="330">
        <v>53.28</v>
      </c>
      <c r="EK68" s="330">
        <v>72.95</v>
      </c>
      <c r="EL68" s="432"/>
      <c r="EM68" s="330">
        <v>65.959999999999994</v>
      </c>
      <c r="EN68" s="330">
        <v>64.59</v>
      </c>
      <c r="EO68" s="330">
        <v>37.590000000000003</v>
      </c>
      <c r="EP68" s="330">
        <v>78.489999999999995</v>
      </c>
      <c r="EQ68" s="330">
        <v>41.06</v>
      </c>
    </row>
    <row r="69" spans="1:147" ht="13.5" customHeight="1">
      <c r="A69" s="493" t="s">
        <v>898</v>
      </c>
      <c r="B69" s="325">
        <v>59</v>
      </c>
      <c r="C69" s="326" t="s">
        <v>771</v>
      </c>
      <c r="D69" s="377">
        <v>76.97</v>
      </c>
      <c r="E69" s="441">
        <v>80.84</v>
      </c>
      <c r="F69" s="328" t="s">
        <v>566</v>
      </c>
      <c r="G69" s="350">
        <v>-3.8700000000000045</v>
      </c>
      <c r="H69" s="328" t="s">
        <v>566</v>
      </c>
      <c r="I69" s="432"/>
      <c r="J69" s="328" t="s">
        <v>443</v>
      </c>
      <c r="K69" s="329">
        <v>93.94</v>
      </c>
      <c r="L69" s="329">
        <v>87.18</v>
      </c>
      <c r="M69" s="328">
        <v>72.680000000000007</v>
      </c>
      <c r="N69" s="329">
        <v>94.74</v>
      </c>
      <c r="O69" s="432"/>
      <c r="P69" s="328">
        <v>75.44</v>
      </c>
      <c r="Q69" s="328">
        <v>79.59</v>
      </c>
      <c r="R69" s="432"/>
      <c r="S69" s="329">
        <v>88</v>
      </c>
      <c r="T69" s="328">
        <v>68.55</v>
      </c>
      <c r="U69" s="328">
        <v>78.819999999999993</v>
      </c>
      <c r="V69" s="328">
        <v>80.95</v>
      </c>
      <c r="W69" s="329">
        <v>85.71</v>
      </c>
      <c r="X69" s="432"/>
      <c r="Y69" s="329">
        <v>86.84</v>
      </c>
      <c r="Z69" s="328">
        <v>71.36</v>
      </c>
      <c r="AA69" s="328">
        <v>74.34</v>
      </c>
      <c r="AB69" s="328">
        <v>75.41</v>
      </c>
      <c r="AC69" s="329">
        <v>87.18</v>
      </c>
      <c r="AD69" s="432"/>
      <c r="AE69" s="328">
        <v>76.260000000000005</v>
      </c>
      <c r="AF69" s="329">
        <v>95</v>
      </c>
      <c r="AG69" s="432"/>
      <c r="AH69" s="329">
        <v>86.1</v>
      </c>
      <c r="AI69" s="328">
        <v>83.81</v>
      </c>
      <c r="AJ69" s="328">
        <v>72.989999999999995</v>
      </c>
      <c r="AK69" s="327">
        <v>56.63</v>
      </c>
      <c r="AL69" s="432"/>
      <c r="AM69" s="329">
        <v>85.71</v>
      </c>
      <c r="AN69" s="328">
        <v>83.33</v>
      </c>
      <c r="AO69" s="327">
        <v>54.9</v>
      </c>
      <c r="AP69" s="328" t="s">
        <v>443</v>
      </c>
      <c r="AQ69" s="328" t="s">
        <v>443</v>
      </c>
      <c r="AR69" s="328">
        <v>65</v>
      </c>
      <c r="AS69" s="328" t="s">
        <v>443</v>
      </c>
      <c r="AT69" s="432"/>
      <c r="AU69" s="329">
        <v>90.48</v>
      </c>
      <c r="AV69" s="328">
        <v>80.13</v>
      </c>
      <c r="AW69" s="329">
        <v>90.24</v>
      </c>
      <c r="AX69" s="328" t="s">
        <v>443</v>
      </c>
      <c r="AY69" s="328" t="s">
        <v>443</v>
      </c>
      <c r="AZ69" s="329">
        <v>85.71</v>
      </c>
      <c r="BA69" s="328">
        <v>76.47</v>
      </c>
      <c r="BB69" s="432"/>
      <c r="BC69" s="328" t="s">
        <v>443</v>
      </c>
      <c r="BD69" s="328" t="s">
        <v>443</v>
      </c>
      <c r="BE69" s="328">
        <v>83.02</v>
      </c>
      <c r="BF69" s="328" t="s">
        <v>443</v>
      </c>
      <c r="BG69" s="327">
        <v>50</v>
      </c>
      <c r="BH69" s="328">
        <v>66.67</v>
      </c>
      <c r="BI69" s="328">
        <v>68.42</v>
      </c>
      <c r="BJ69" s="432"/>
      <c r="BK69" s="328" t="s">
        <v>443</v>
      </c>
      <c r="BL69" s="328">
        <v>83.33</v>
      </c>
      <c r="BM69" s="432"/>
      <c r="BN69" s="328" t="s">
        <v>443</v>
      </c>
      <c r="BO69" s="328" t="s">
        <v>443</v>
      </c>
      <c r="BP69" s="328" t="s">
        <v>443</v>
      </c>
      <c r="BQ69" s="328" t="s">
        <v>443</v>
      </c>
      <c r="BR69" s="432"/>
      <c r="BS69" s="328" t="s">
        <v>443</v>
      </c>
      <c r="BT69" s="328" t="s">
        <v>443</v>
      </c>
      <c r="BU69" s="328">
        <v>65.63</v>
      </c>
      <c r="BV69" s="332">
        <v>35.29</v>
      </c>
      <c r="BW69" s="432"/>
      <c r="BX69" s="328" t="s">
        <v>443</v>
      </c>
      <c r="BY69" s="328" t="s">
        <v>443</v>
      </c>
      <c r="BZ69" s="432"/>
      <c r="CA69" s="328" t="s">
        <v>443</v>
      </c>
      <c r="CB69" s="328" t="s">
        <v>443</v>
      </c>
      <c r="CC69" s="432"/>
      <c r="CD69" s="328">
        <v>62.96</v>
      </c>
      <c r="CE69" s="328">
        <v>69.23</v>
      </c>
      <c r="CF69" s="432"/>
      <c r="CG69" s="328" t="s">
        <v>443</v>
      </c>
      <c r="CH69" s="328" t="s">
        <v>443</v>
      </c>
      <c r="CI69" s="432"/>
      <c r="CJ69" s="328" t="s">
        <v>443</v>
      </c>
      <c r="CK69" s="328" t="s">
        <v>443</v>
      </c>
      <c r="CL69" s="328" t="s">
        <v>443</v>
      </c>
      <c r="CM69" s="328">
        <v>81.819999999999993</v>
      </c>
      <c r="CN69" s="432"/>
      <c r="CO69" s="329">
        <v>87.51</v>
      </c>
      <c r="CP69" s="328">
        <v>78.260000000000005</v>
      </c>
      <c r="CQ69" s="329">
        <v>100</v>
      </c>
      <c r="CR69" s="432"/>
      <c r="CS69" s="329">
        <v>85.71</v>
      </c>
      <c r="CT69" s="328" t="s">
        <v>443</v>
      </c>
      <c r="CU69" s="329">
        <v>100</v>
      </c>
      <c r="CV69" s="329">
        <v>100</v>
      </c>
      <c r="CW69" s="328">
        <v>66.67</v>
      </c>
      <c r="CX69" s="328" t="s">
        <v>443</v>
      </c>
      <c r="CY69" s="432"/>
      <c r="CZ69" s="328" t="s">
        <v>443</v>
      </c>
      <c r="DA69" s="432"/>
      <c r="DB69" s="328" t="s">
        <v>443</v>
      </c>
      <c r="DC69" s="432"/>
      <c r="DD69" s="329">
        <v>85.71</v>
      </c>
      <c r="DE69" s="432"/>
      <c r="DF69" s="328">
        <v>76.47</v>
      </c>
      <c r="DG69" s="432"/>
      <c r="DH69" s="328" t="s">
        <v>443</v>
      </c>
      <c r="DI69" s="432"/>
      <c r="DJ69" s="328" t="s">
        <v>443</v>
      </c>
      <c r="DK69" s="432"/>
      <c r="DL69" s="328" t="s">
        <v>443</v>
      </c>
      <c r="DM69" s="327">
        <v>50</v>
      </c>
      <c r="DN69" s="329">
        <v>90.91</v>
      </c>
      <c r="DO69" s="328">
        <v>81.25</v>
      </c>
      <c r="DP69" s="328" t="s">
        <v>443</v>
      </c>
      <c r="DQ69" s="329">
        <v>88.89</v>
      </c>
      <c r="DR69" s="328">
        <v>79.31</v>
      </c>
      <c r="DS69" s="328">
        <v>76.92</v>
      </c>
      <c r="DT69" s="329">
        <v>100</v>
      </c>
      <c r="DU69" s="328" t="s">
        <v>443</v>
      </c>
      <c r="DV69" s="329">
        <v>100</v>
      </c>
      <c r="DW69" s="432"/>
      <c r="DX69" s="328" t="s">
        <v>443</v>
      </c>
      <c r="DY69" s="432"/>
      <c r="DZ69" s="328" t="s">
        <v>443</v>
      </c>
      <c r="EA69" s="328" t="s">
        <v>443</v>
      </c>
      <c r="EB69" s="328" t="s">
        <v>443</v>
      </c>
      <c r="EC69" s="432"/>
      <c r="ED69" s="328" t="s">
        <v>443</v>
      </c>
      <c r="EE69" s="328" t="s">
        <v>443</v>
      </c>
      <c r="EF69" s="432"/>
      <c r="EG69" s="328">
        <v>73.680000000000007</v>
      </c>
      <c r="EH69" s="328">
        <v>63.16</v>
      </c>
      <c r="EI69" s="432"/>
      <c r="EJ69" s="328">
        <v>62.93</v>
      </c>
      <c r="EK69" s="328">
        <v>80.86</v>
      </c>
      <c r="EL69" s="432"/>
      <c r="EM69" s="328">
        <v>74.64</v>
      </c>
      <c r="EN69" s="328">
        <v>69.77</v>
      </c>
      <c r="EO69" s="328">
        <v>70</v>
      </c>
      <c r="EP69" s="328">
        <v>84.96</v>
      </c>
      <c r="EQ69" s="327">
        <v>57.14</v>
      </c>
    </row>
    <row r="70" spans="1:147">
      <c r="A70" s="494"/>
      <c r="B70" s="325">
        <v>60</v>
      </c>
      <c r="C70" s="326" t="s">
        <v>772</v>
      </c>
      <c r="D70" s="377">
        <v>80.900000000000006</v>
      </c>
      <c r="E70" s="441">
        <v>82.32</v>
      </c>
      <c r="F70" s="328" t="s">
        <v>566</v>
      </c>
      <c r="G70" s="350">
        <v>-1.4199999999999875</v>
      </c>
      <c r="H70" s="328" t="s">
        <v>566</v>
      </c>
      <c r="I70" s="432"/>
      <c r="J70" s="328" t="s">
        <v>443</v>
      </c>
      <c r="K70" s="329">
        <v>93.94</v>
      </c>
      <c r="L70" s="328">
        <v>84.62</v>
      </c>
      <c r="M70" s="328">
        <v>79.95</v>
      </c>
      <c r="N70" s="327">
        <v>57.89</v>
      </c>
      <c r="O70" s="432"/>
      <c r="P70" s="328">
        <v>79.290000000000006</v>
      </c>
      <c r="Q70" s="328">
        <v>83.67</v>
      </c>
      <c r="R70" s="432"/>
      <c r="S70" s="328">
        <v>68</v>
      </c>
      <c r="T70" s="328">
        <v>71.7</v>
      </c>
      <c r="U70" s="328">
        <v>83.74</v>
      </c>
      <c r="V70" s="329">
        <v>88.1</v>
      </c>
      <c r="W70" s="329">
        <v>95.24</v>
      </c>
      <c r="X70" s="432"/>
      <c r="Y70" s="328">
        <v>78.95</v>
      </c>
      <c r="Z70" s="328">
        <v>80.58</v>
      </c>
      <c r="AA70" s="328">
        <v>78.760000000000005</v>
      </c>
      <c r="AB70" s="328">
        <v>78.69</v>
      </c>
      <c r="AC70" s="329">
        <v>88.46</v>
      </c>
      <c r="AD70" s="432"/>
      <c r="AE70" s="328">
        <v>81.709999999999994</v>
      </c>
      <c r="AF70" s="327">
        <v>60</v>
      </c>
      <c r="AG70" s="432"/>
      <c r="AH70" s="329">
        <v>90.91</v>
      </c>
      <c r="AI70" s="328">
        <v>82.86</v>
      </c>
      <c r="AJ70" s="328">
        <v>75.91</v>
      </c>
      <c r="AK70" s="328">
        <v>66.27</v>
      </c>
      <c r="AL70" s="432"/>
      <c r="AM70" s="328">
        <v>71.430000000000007</v>
      </c>
      <c r="AN70" s="328">
        <v>83.33</v>
      </c>
      <c r="AO70" s="328">
        <v>66.67</v>
      </c>
      <c r="AP70" s="328" t="s">
        <v>443</v>
      </c>
      <c r="AQ70" s="328" t="s">
        <v>443</v>
      </c>
      <c r="AR70" s="328">
        <v>75</v>
      </c>
      <c r="AS70" s="328" t="s">
        <v>443</v>
      </c>
      <c r="AT70" s="432"/>
      <c r="AU70" s="329">
        <v>90.48</v>
      </c>
      <c r="AV70" s="329">
        <v>85.9</v>
      </c>
      <c r="AW70" s="329">
        <v>95.12</v>
      </c>
      <c r="AX70" s="328" t="s">
        <v>443</v>
      </c>
      <c r="AY70" s="328" t="s">
        <v>443</v>
      </c>
      <c r="AZ70" s="329">
        <v>85.71</v>
      </c>
      <c r="BA70" s="328">
        <v>64.709999999999994</v>
      </c>
      <c r="BB70" s="432"/>
      <c r="BC70" s="328" t="s">
        <v>443</v>
      </c>
      <c r="BD70" s="328" t="s">
        <v>443</v>
      </c>
      <c r="BE70" s="328">
        <v>81.13</v>
      </c>
      <c r="BF70" s="328" t="s">
        <v>443</v>
      </c>
      <c r="BG70" s="328">
        <v>62.51</v>
      </c>
      <c r="BH70" s="328">
        <v>83.33</v>
      </c>
      <c r="BI70" s="328">
        <v>76.319999999999993</v>
      </c>
      <c r="BJ70" s="432"/>
      <c r="BK70" s="328" t="s">
        <v>443</v>
      </c>
      <c r="BL70" s="328">
        <v>66.67</v>
      </c>
      <c r="BM70" s="432"/>
      <c r="BN70" s="328" t="s">
        <v>443</v>
      </c>
      <c r="BO70" s="328" t="s">
        <v>443</v>
      </c>
      <c r="BP70" s="328" t="s">
        <v>443</v>
      </c>
      <c r="BQ70" s="328" t="s">
        <v>443</v>
      </c>
      <c r="BR70" s="432"/>
      <c r="BS70" s="328" t="s">
        <v>443</v>
      </c>
      <c r="BT70" s="328" t="s">
        <v>443</v>
      </c>
      <c r="BU70" s="328">
        <v>75</v>
      </c>
      <c r="BV70" s="327">
        <v>52.94</v>
      </c>
      <c r="BW70" s="432"/>
      <c r="BX70" s="328" t="s">
        <v>443</v>
      </c>
      <c r="BY70" s="328" t="s">
        <v>443</v>
      </c>
      <c r="BZ70" s="432"/>
      <c r="CA70" s="328" t="s">
        <v>443</v>
      </c>
      <c r="CB70" s="328" t="s">
        <v>443</v>
      </c>
      <c r="CC70" s="432"/>
      <c r="CD70" s="328">
        <v>70.37</v>
      </c>
      <c r="CE70" s="328">
        <v>84.62</v>
      </c>
      <c r="CF70" s="432"/>
      <c r="CG70" s="328" t="s">
        <v>443</v>
      </c>
      <c r="CH70" s="328" t="s">
        <v>443</v>
      </c>
      <c r="CI70" s="432"/>
      <c r="CJ70" s="328" t="s">
        <v>443</v>
      </c>
      <c r="CK70" s="328" t="s">
        <v>443</v>
      </c>
      <c r="CL70" s="328" t="s">
        <v>443</v>
      </c>
      <c r="CM70" s="328">
        <v>81.819999999999993</v>
      </c>
      <c r="CN70" s="432"/>
      <c r="CO70" s="329">
        <v>100</v>
      </c>
      <c r="CP70" s="328">
        <v>84.06</v>
      </c>
      <c r="CQ70" s="329">
        <v>100</v>
      </c>
      <c r="CR70" s="432"/>
      <c r="CS70" s="329">
        <v>85.71</v>
      </c>
      <c r="CT70" s="328" t="s">
        <v>443</v>
      </c>
      <c r="CU70" s="329">
        <v>100</v>
      </c>
      <c r="CV70" s="329">
        <v>100</v>
      </c>
      <c r="CW70" s="328">
        <v>83.33</v>
      </c>
      <c r="CX70" s="328" t="s">
        <v>443</v>
      </c>
      <c r="CY70" s="432"/>
      <c r="CZ70" s="328" t="s">
        <v>443</v>
      </c>
      <c r="DA70" s="432"/>
      <c r="DB70" s="328" t="s">
        <v>443</v>
      </c>
      <c r="DC70" s="432"/>
      <c r="DD70" s="329">
        <v>85.71</v>
      </c>
      <c r="DE70" s="432"/>
      <c r="DF70" s="328">
        <v>64.709999999999994</v>
      </c>
      <c r="DG70" s="432"/>
      <c r="DH70" s="328" t="s">
        <v>443</v>
      </c>
      <c r="DI70" s="432"/>
      <c r="DJ70" s="328" t="s">
        <v>443</v>
      </c>
      <c r="DK70" s="432"/>
      <c r="DL70" s="328" t="s">
        <v>443</v>
      </c>
      <c r="DM70" s="328">
        <v>66.67</v>
      </c>
      <c r="DN70" s="328">
        <v>81.819999999999993</v>
      </c>
      <c r="DO70" s="329">
        <v>87.51</v>
      </c>
      <c r="DP70" s="328" t="s">
        <v>443</v>
      </c>
      <c r="DQ70" s="328">
        <v>66.67</v>
      </c>
      <c r="DR70" s="328">
        <v>72.41</v>
      </c>
      <c r="DS70" s="328">
        <v>76.92</v>
      </c>
      <c r="DT70" s="329">
        <v>100</v>
      </c>
      <c r="DU70" s="328" t="s">
        <v>443</v>
      </c>
      <c r="DV70" s="329">
        <v>100</v>
      </c>
      <c r="DW70" s="432"/>
      <c r="DX70" s="328" t="s">
        <v>443</v>
      </c>
      <c r="DY70" s="432"/>
      <c r="DZ70" s="328" t="s">
        <v>443</v>
      </c>
      <c r="EA70" s="328" t="s">
        <v>443</v>
      </c>
      <c r="EB70" s="328" t="s">
        <v>443</v>
      </c>
      <c r="EC70" s="432"/>
      <c r="ED70" s="328" t="s">
        <v>443</v>
      </c>
      <c r="EE70" s="328" t="s">
        <v>443</v>
      </c>
      <c r="EF70" s="432"/>
      <c r="EG70" s="328">
        <v>84.21</v>
      </c>
      <c r="EH70" s="328">
        <v>68.42</v>
      </c>
      <c r="EI70" s="432"/>
      <c r="EJ70" s="328">
        <v>69.83</v>
      </c>
      <c r="EK70" s="328">
        <v>83.97</v>
      </c>
      <c r="EL70" s="432"/>
      <c r="EM70" s="328">
        <v>76.09</v>
      </c>
      <c r="EN70" s="328">
        <v>74.42</v>
      </c>
      <c r="EO70" s="328">
        <v>80</v>
      </c>
      <c r="EP70" s="329">
        <v>89.1</v>
      </c>
      <c r="EQ70" s="328">
        <v>60.71</v>
      </c>
    </row>
    <row r="71" spans="1:147">
      <c r="A71" s="494"/>
      <c r="B71" s="325">
        <v>61</v>
      </c>
      <c r="C71" s="326" t="s">
        <v>773</v>
      </c>
      <c r="D71" s="377">
        <v>67.290000000000006</v>
      </c>
      <c r="E71" s="441">
        <v>74.37</v>
      </c>
      <c r="F71" s="328" t="s">
        <v>566</v>
      </c>
      <c r="G71" s="350">
        <v>-7.0799999999999983</v>
      </c>
      <c r="H71" s="328" t="s">
        <v>566</v>
      </c>
      <c r="I71" s="432"/>
      <c r="J71" s="328" t="s">
        <v>443</v>
      </c>
      <c r="K71" s="328">
        <v>78.790000000000006</v>
      </c>
      <c r="L71" s="328">
        <v>67.95</v>
      </c>
      <c r="M71" s="328">
        <v>66.33</v>
      </c>
      <c r="N71" s="327">
        <v>55.56</v>
      </c>
      <c r="O71" s="432"/>
      <c r="P71" s="328">
        <v>66.069999999999993</v>
      </c>
      <c r="Q71" s="328">
        <v>69.39</v>
      </c>
      <c r="R71" s="432"/>
      <c r="S71" s="327">
        <v>54.17</v>
      </c>
      <c r="T71" s="328">
        <v>62.66</v>
      </c>
      <c r="U71" s="328">
        <v>69.459999999999994</v>
      </c>
      <c r="V71" s="328">
        <v>69.84</v>
      </c>
      <c r="W71" s="328">
        <v>80.95</v>
      </c>
      <c r="X71" s="432"/>
      <c r="Y71" s="328">
        <v>66.67</v>
      </c>
      <c r="Z71" s="328">
        <v>65.05</v>
      </c>
      <c r="AA71" s="328">
        <v>66.959999999999994</v>
      </c>
      <c r="AB71" s="328">
        <v>63.93</v>
      </c>
      <c r="AC71" s="328">
        <v>76.92</v>
      </c>
      <c r="AD71" s="432"/>
      <c r="AE71" s="328">
        <v>67.84</v>
      </c>
      <c r="AF71" s="327">
        <v>52.63</v>
      </c>
      <c r="AG71" s="432"/>
      <c r="AH71" s="329">
        <v>90.91</v>
      </c>
      <c r="AI71" s="328">
        <v>73.33</v>
      </c>
      <c r="AJ71" s="327">
        <v>54.41</v>
      </c>
      <c r="AK71" s="332">
        <v>24.39</v>
      </c>
      <c r="AL71" s="432"/>
      <c r="AM71" s="332">
        <v>42.86</v>
      </c>
      <c r="AN71" s="328">
        <v>83.33</v>
      </c>
      <c r="AO71" s="327">
        <v>54</v>
      </c>
      <c r="AP71" s="328" t="s">
        <v>443</v>
      </c>
      <c r="AQ71" s="328" t="s">
        <v>443</v>
      </c>
      <c r="AR71" s="327">
        <v>55</v>
      </c>
      <c r="AS71" s="328" t="s">
        <v>443</v>
      </c>
      <c r="AT71" s="432"/>
      <c r="AU71" s="328">
        <v>80.95</v>
      </c>
      <c r="AV71" s="328">
        <v>69.03</v>
      </c>
      <c r="AW71" s="328">
        <v>80.489999999999995</v>
      </c>
      <c r="AX71" s="328" t="s">
        <v>443</v>
      </c>
      <c r="AY71" s="328" t="s">
        <v>443</v>
      </c>
      <c r="AZ71" s="329">
        <v>100</v>
      </c>
      <c r="BA71" s="327">
        <v>58.82</v>
      </c>
      <c r="BB71" s="432"/>
      <c r="BC71" s="328" t="s">
        <v>443</v>
      </c>
      <c r="BD71" s="328" t="s">
        <v>443</v>
      </c>
      <c r="BE71" s="328">
        <v>73.58</v>
      </c>
      <c r="BF71" s="328" t="s">
        <v>443</v>
      </c>
      <c r="BG71" s="327">
        <v>50</v>
      </c>
      <c r="BH71" s="328">
        <v>66.67</v>
      </c>
      <c r="BI71" s="327">
        <v>52.63</v>
      </c>
      <c r="BJ71" s="432"/>
      <c r="BK71" s="328" t="s">
        <v>443</v>
      </c>
      <c r="BL71" s="332">
        <v>33.33</v>
      </c>
      <c r="BM71" s="432"/>
      <c r="BN71" s="328" t="s">
        <v>443</v>
      </c>
      <c r="BO71" s="328" t="s">
        <v>443</v>
      </c>
      <c r="BP71" s="328" t="s">
        <v>443</v>
      </c>
      <c r="BQ71" s="328" t="s">
        <v>443</v>
      </c>
      <c r="BR71" s="432"/>
      <c r="BS71" s="328" t="s">
        <v>443</v>
      </c>
      <c r="BT71" s="328" t="s">
        <v>443</v>
      </c>
      <c r="BU71" s="327">
        <v>56.25</v>
      </c>
      <c r="BV71" s="327">
        <v>47.06</v>
      </c>
      <c r="BW71" s="432"/>
      <c r="BX71" s="328" t="s">
        <v>443</v>
      </c>
      <c r="BY71" s="328" t="s">
        <v>443</v>
      </c>
      <c r="BZ71" s="432"/>
      <c r="CA71" s="328" t="s">
        <v>443</v>
      </c>
      <c r="CB71" s="328" t="s">
        <v>443</v>
      </c>
      <c r="CC71" s="432"/>
      <c r="CD71" s="332">
        <v>44.44</v>
      </c>
      <c r="CE71" s="328">
        <v>76.92</v>
      </c>
      <c r="CF71" s="432"/>
      <c r="CG71" s="328" t="s">
        <v>443</v>
      </c>
      <c r="CH71" s="328" t="s">
        <v>443</v>
      </c>
      <c r="CI71" s="432"/>
      <c r="CJ71" s="328" t="s">
        <v>443</v>
      </c>
      <c r="CK71" s="328" t="s">
        <v>443</v>
      </c>
      <c r="CL71" s="328" t="s">
        <v>443</v>
      </c>
      <c r="CM71" s="328">
        <v>81.819999999999993</v>
      </c>
      <c r="CN71" s="432"/>
      <c r="CO71" s="329">
        <v>87.51</v>
      </c>
      <c r="CP71" s="328">
        <v>66.42</v>
      </c>
      <c r="CQ71" s="329">
        <v>90</v>
      </c>
      <c r="CR71" s="432"/>
      <c r="CS71" s="328">
        <v>71.430000000000007</v>
      </c>
      <c r="CT71" s="328" t="s">
        <v>443</v>
      </c>
      <c r="CU71" s="329">
        <v>100</v>
      </c>
      <c r="CV71" s="329">
        <v>85.71</v>
      </c>
      <c r="CW71" s="327">
        <v>50</v>
      </c>
      <c r="CX71" s="328" t="s">
        <v>443</v>
      </c>
      <c r="CY71" s="432"/>
      <c r="CZ71" s="328" t="s">
        <v>443</v>
      </c>
      <c r="DA71" s="432"/>
      <c r="DB71" s="328" t="s">
        <v>443</v>
      </c>
      <c r="DC71" s="432"/>
      <c r="DD71" s="329">
        <v>100</v>
      </c>
      <c r="DE71" s="432"/>
      <c r="DF71" s="327">
        <v>58.82</v>
      </c>
      <c r="DG71" s="432"/>
      <c r="DH71" s="328" t="s">
        <v>443</v>
      </c>
      <c r="DI71" s="432"/>
      <c r="DJ71" s="328" t="s">
        <v>443</v>
      </c>
      <c r="DK71" s="432"/>
      <c r="DL71" s="328" t="s">
        <v>443</v>
      </c>
      <c r="DM71" s="328">
        <v>83.33</v>
      </c>
      <c r="DN71" s="328">
        <v>72.73</v>
      </c>
      <c r="DO71" s="328">
        <v>62.51</v>
      </c>
      <c r="DP71" s="328" t="s">
        <v>443</v>
      </c>
      <c r="DQ71" s="328">
        <v>77.78</v>
      </c>
      <c r="DR71" s="328">
        <v>65.52</v>
      </c>
      <c r="DS71" s="328">
        <v>76.92</v>
      </c>
      <c r="DT71" s="329">
        <v>100</v>
      </c>
      <c r="DU71" s="328" t="s">
        <v>443</v>
      </c>
      <c r="DV71" s="329">
        <v>100</v>
      </c>
      <c r="DW71" s="432"/>
      <c r="DX71" s="328" t="s">
        <v>443</v>
      </c>
      <c r="DY71" s="432"/>
      <c r="DZ71" s="328" t="s">
        <v>443</v>
      </c>
      <c r="EA71" s="328" t="s">
        <v>443</v>
      </c>
      <c r="EB71" s="328" t="s">
        <v>443</v>
      </c>
      <c r="EC71" s="432"/>
      <c r="ED71" s="328" t="s">
        <v>443</v>
      </c>
      <c r="EE71" s="328" t="s">
        <v>443</v>
      </c>
      <c r="EF71" s="432"/>
      <c r="EG71" s="332">
        <v>31.58</v>
      </c>
      <c r="EH71" s="328">
        <v>73.680000000000007</v>
      </c>
      <c r="EI71" s="432"/>
      <c r="EJ71" s="327">
        <v>55.65</v>
      </c>
      <c r="EK71" s="328">
        <v>70.510000000000005</v>
      </c>
      <c r="EL71" s="432"/>
      <c r="EM71" s="327">
        <v>60.14</v>
      </c>
      <c r="EN71" s="327">
        <v>57.14</v>
      </c>
      <c r="EO71" s="332">
        <v>40</v>
      </c>
      <c r="EP71" s="328">
        <v>80.83</v>
      </c>
      <c r="EQ71" s="332">
        <v>30.91</v>
      </c>
    </row>
    <row r="72" spans="1:147">
      <c r="A72" s="494"/>
      <c r="B72" s="325">
        <v>62</v>
      </c>
      <c r="C72" s="326" t="s">
        <v>774</v>
      </c>
      <c r="D72" s="377">
        <v>69.62</v>
      </c>
      <c r="E72" s="441">
        <v>70.849999999999994</v>
      </c>
      <c r="F72" s="328" t="s">
        <v>566</v>
      </c>
      <c r="G72" s="350">
        <v>-1.2299999999999898</v>
      </c>
      <c r="H72" s="328" t="s">
        <v>566</v>
      </c>
      <c r="I72" s="432"/>
      <c r="J72" s="328" t="s">
        <v>443</v>
      </c>
      <c r="K72" s="329">
        <v>87.88</v>
      </c>
      <c r="L72" s="328">
        <v>72.73</v>
      </c>
      <c r="M72" s="328">
        <v>67.25</v>
      </c>
      <c r="N72" s="328">
        <v>66.67</v>
      </c>
      <c r="O72" s="432"/>
      <c r="P72" s="328">
        <v>69.14</v>
      </c>
      <c r="Q72" s="328">
        <v>70.47</v>
      </c>
      <c r="R72" s="432"/>
      <c r="S72" s="327">
        <v>58.33</v>
      </c>
      <c r="T72" s="328">
        <v>64.150000000000006</v>
      </c>
      <c r="U72" s="328">
        <v>70.150000000000006</v>
      </c>
      <c r="V72" s="328">
        <v>75.2</v>
      </c>
      <c r="W72" s="329">
        <v>85.71</v>
      </c>
      <c r="X72" s="432"/>
      <c r="Y72" s="328">
        <v>72</v>
      </c>
      <c r="Z72" s="328">
        <v>64.88</v>
      </c>
      <c r="AA72" s="328">
        <v>67.86</v>
      </c>
      <c r="AB72" s="328">
        <v>75</v>
      </c>
      <c r="AC72" s="328">
        <v>78.209999999999994</v>
      </c>
      <c r="AD72" s="432"/>
      <c r="AE72" s="328">
        <v>69.67</v>
      </c>
      <c r="AF72" s="328">
        <v>68.42</v>
      </c>
      <c r="AG72" s="432"/>
      <c r="AH72" s="328">
        <v>85.48</v>
      </c>
      <c r="AI72" s="328">
        <v>77.14</v>
      </c>
      <c r="AJ72" s="327">
        <v>58.09</v>
      </c>
      <c r="AK72" s="332">
        <v>41.98</v>
      </c>
      <c r="AL72" s="432"/>
      <c r="AM72" s="332">
        <v>42.86</v>
      </c>
      <c r="AN72" s="327">
        <v>60</v>
      </c>
      <c r="AO72" s="332">
        <v>43.14</v>
      </c>
      <c r="AP72" s="328" t="s">
        <v>443</v>
      </c>
      <c r="AQ72" s="328" t="s">
        <v>443</v>
      </c>
      <c r="AR72" s="327">
        <v>60</v>
      </c>
      <c r="AS72" s="328" t="s">
        <v>443</v>
      </c>
      <c r="AT72" s="432"/>
      <c r="AU72" s="329">
        <v>90.48</v>
      </c>
      <c r="AV72" s="328">
        <v>69.48</v>
      </c>
      <c r="AW72" s="329">
        <v>87.51</v>
      </c>
      <c r="AX72" s="328" t="s">
        <v>443</v>
      </c>
      <c r="AY72" s="328" t="s">
        <v>443</v>
      </c>
      <c r="AZ72" s="329">
        <v>85.71</v>
      </c>
      <c r="BA72" s="327">
        <v>58.82</v>
      </c>
      <c r="BB72" s="432"/>
      <c r="BC72" s="328" t="s">
        <v>443</v>
      </c>
      <c r="BD72" s="328" t="s">
        <v>443</v>
      </c>
      <c r="BE72" s="328">
        <v>79.25</v>
      </c>
      <c r="BF72" s="328" t="s">
        <v>443</v>
      </c>
      <c r="BG72" s="328">
        <v>62.51</v>
      </c>
      <c r="BH72" s="328">
        <v>66.67</v>
      </c>
      <c r="BI72" s="328">
        <v>60.53</v>
      </c>
      <c r="BJ72" s="432"/>
      <c r="BK72" s="328" t="s">
        <v>443</v>
      </c>
      <c r="BL72" s="332">
        <v>33.33</v>
      </c>
      <c r="BM72" s="432"/>
      <c r="BN72" s="328" t="s">
        <v>443</v>
      </c>
      <c r="BO72" s="328" t="s">
        <v>443</v>
      </c>
      <c r="BP72" s="328" t="s">
        <v>443</v>
      </c>
      <c r="BQ72" s="328" t="s">
        <v>443</v>
      </c>
      <c r="BR72" s="432"/>
      <c r="BS72" s="328" t="s">
        <v>443</v>
      </c>
      <c r="BT72" s="328" t="s">
        <v>443</v>
      </c>
      <c r="BU72" s="327">
        <v>53.13</v>
      </c>
      <c r="BV72" s="332">
        <v>23.53</v>
      </c>
      <c r="BW72" s="432"/>
      <c r="BX72" s="328" t="s">
        <v>443</v>
      </c>
      <c r="BY72" s="328" t="s">
        <v>443</v>
      </c>
      <c r="BZ72" s="432"/>
      <c r="CA72" s="328" t="s">
        <v>443</v>
      </c>
      <c r="CB72" s="328" t="s">
        <v>443</v>
      </c>
      <c r="CC72" s="432"/>
      <c r="CD72" s="327">
        <v>51.85</v>
      </c>
      <c r="CE72" s="328">
        <v>76.92</v>
      </c>
      <c r="CF72" s="432"/>
      <c r="CG72" s="328" t="s">
        <v>443</v>
      </c>
      <c r="CH72" s="328" t="s">
        <v>443</v>
      </c>
      <c r="CI72" s="432"/>
      <c r="CJ72" s="328" t="s">
        <v>443</v>
      </c>
      <c r="CK72" s="328" t="s">
        <v>443</v>
      </c>
      <c r="CL72" s="328" t="s">
        <v>443</v>
      </c>
      <c r="CM72" s="328">
        <v>81.819999999999993</v>
      </c>
      <c r="CN72" s="432"/>
      <c r="CO72" s="329">
        <v>87.51</v>
      </c>
      <c r="CP72" s="328">
        <v>66.180000000000007</v>
      </c>
      <c r="CQ72" s="329">
        <v>100</v>
      </c>
      <c r="CR72" s="432"/>
      <c r="CS72" s="328">
        <v>71.430000000000007</v>
      </c>
      <c r="CT72" s="328" t="s">
        <v>443</v>
      </c>
      <c r="CU72" s="329">
        <v>100</v>
      </c>
      <c r="CV72" s="328">
        <v>84.62</v>
      </c>
      <c r="CW72" s="329">
        <v>100</v>
      </c>
      <c r="CX72" s="328" t="s">
        <v>443</v>
      </c>
      <c r="CY72" s="432"/>
      <c r="CZ72" s="328" t="s">
        <v>443</v>
      </c>
      <c r="DA72" s="432"/>
      <c r="DB72" s="328" t="s">
        <v>443</v>
      </c>
      <c r="DC72" s="432"/>
      <c r="DD72" s="329">
        <v>85.71</v>
      </c>
      <c r="DE72" s="432"/>
      <c r="DF72" s="327">
        <v>58.82</v>
      </c>
      <c r="DG72" s="432"/>
      <c r="DH72" s="328" t="s">
        <v>443</v>
      </c>
      <c r="DI72" s="432"/>
      <c r="DJ72" s="328" t="s">
        <v>443</v>
      </c>
      <c r="DK72" s="432"/>
      <c r="DL72" s="328" t="s">
        <v>443</v>
      </c>
      <c r="DM72" s="327">
        <v>50</v>
      </c>
      <c r="DN72" s="328">
        <v>81.819999999999993</v>
      </c>
      <c r="DO72" s="328">
        <v>75</v>
      </c>
      <c r="DP72" s="328" t="s">
        <v>443</v>
      </c>
      <c r="DQ72" s="329">
        <v>88.89</v>
      </c>
      <c r="DR72" s="328">
        <v>79.31</v>
      </c>
      <c r="DS72" s="328">
        <v>76.92</v>
      </c>
      <c r="DT72" s="329">
        <v>100</v>
      </c>
      <c r="DU72" s="328" t="s">
        <v>443</v>
      </c>
      <c r="DV72" s="329">
        <v>100</v>
      </c>
      <c r="DW72" s="432"/>
      <c r="DX72" s="328" t="s">
        <v>443</v>
      </c>
      <c r="DY72" s="432"/>
      <c r="DZ72" s="328" t="s">
        <v>443</v>
      </c>
      <c r="EA72" s="328" t="s">
        <v>443</v>
      </c>
      <c r="EB72" s="328" t="s">
        <v>443</v>
      </c>
      <c r="EC72" s="432"/>
      <c r="ED72" s="328" t="s">
        <v>443</v>
      </c>
      <c r="EE72" s="328" t="s">
        <v>443</v>
      </c>
      <c r="EF72" s="432"/>
      <c r="EG72" s="327">
        <v>52.63</v>
      </c>
      <c r="EH72" s="328">
        <v>68.42</v>
      </c>
      <c r="EI72" s="432"/>
      <c r="EJ72" s="327">
        <v>51.3</v>
      </c>
      <c r="EK72" s="328">
        <v>74.7</v>
      </c>
      <c r="EL72" s="432"/>
      <c r="EM72" s="328">
        <v>60.58</v>
      </c>
      <c r="EN72" s="328">
        <v>70.73</v>
      </c>
      <c r="EO72" s="327">
        <v>50</v>
      </c>
      <c r="EP72" s="328">
        <v>81.89</v>
      </c>
      <c r="EQ72" s="332">
        <v>39.29</v>
      </c>
    </row>
    <row r="73" spans="1:147">
      <c r="A73" s="494"/>
      <c r="B73" s="325">
        <v>63</v>
      </c>
      <c r="C73" s="326" t="s">
        <v>775</v>
      </c>
      <c r="D73" s="377">
        <v>84.05</v>
      </c>
      <c r="E73" s="443">
        <v>89.77</v>
      </c>
      <c r="F73" s="328" t="s">
        <v>566</v>
      </c>
      <c r="G73" s="350">
        <v>-5.7199999999999989</v>
      </c>
      <c r="H73" s="328" t="s">
        <v>566</v>
      </c>
      <c r="I73" s="432"/>
      <c r="J73" s="328" t="s">
        <v>443</v>
      </c>
      <c r="K73" s="329">
        <v>93.94</v>
      </c>
      <c r="L73" s="328">
        <v>83.33</v>
      </c>
      <c r="M73" s="328">
        <v>83.42</v>
      </c>
      <c r="N73" s="328">
        <v>84.21</v>
      </c>
      <c r="O73" s="432"/>
      <c r="P73" s="328">
        <v>84.27</v>
      </c>
      <c r="Q73" s="328">
        <v>83.67</v>
      </c>
      <c r="R73" s="432"/>
      <c r="S73" s="328">
        <v>80</v>
      </c>
      <c r="T73" s="328">
        <v>76.58</v>
      </c>
      <c r="U73" s="329">
        <v>87.68</v>
      </c>
      <c r="V73" s="329">
        <v>87.3</v>
      </c>
      <c r="W73" s="329">
        <v>90.48</v>
      </c>
      <c r="X73" s="432"/>
      <c r="Y73" s="328">
        <v>81.58</v>
      </c>
      <c r="Z73" s="328">
        <v>82.04</v>
      </c>
      <c r="AA73" s="328">
        <v>84.82</v>
      </c>
      <c r="AB73" s="329">
        <v>86.89</v>
      </c>
      <c r="AC73" s="329">
        <v>88.46</v>
      </c>
      <c r="AD73" s="432"/>
      <c r="AE73" s="328">
        <v>84.02</v>
      </c>
      <c r="AF73" s="328">
        <v>85</v>
      </c>
      <c r="AG73" s="432"/>
      <c r="AH73" s="329">
        <v>96.26</v>
      </c>
      <c r="AI73" s="329">
        <v>85.71</v>
      </c>
      <c r="AJ73" s="328">
        <v>77.94</v>
      </c>
      <c r="AK73" s="328">
        <v>66.27</v>
      </c>
      <c r="AL73" s="432"/>
      <c r="AM73" s="328">
        <v>71.430000000000007</v>
      </c>
      <c r="AN73" s="328">
        <v>83.33</v>
      </c>
      <c r="AO73" s="328">
        <v>66</v>
      </c>
      <c r="AP73" s="328" t="s">
        <v>443</v>
      </c>
      <c r="AQ73" s="328" t="s">
        <v>443</v>
      </c>
      <c r="AR73" s="328">
        <v>77.510000000000005</v>
      </c>
      <c r="AS73" s="328" t="s">
        <v>443</v>
      </c>
      <c r="AT73" s="432"/>
      <c r="AU73" s="329">
        <v>100</v>
      </c>
      <c r="AV73" s="329">
        <v>88.46</v>
      </c>
      <c r="AW73" s="329">
        <v>87.8</v>
      </c>
      <c r="AX73" s="328" t="s">
        <v>443</v>
      </c>
      <c r="AY73" s="328" t="s">
        <v>443</v>
      </c>
      <c r="AZ73" s="329">
        <v>100</v>
      </c>
      <c r="BA73" s="328">
        <v>82.35</v>
      </c>
      <c r="BB73" s="432"/>
      <c r="BC73" s="328" t="s">
        <v>443</v>
      </c>
      <c r="BD73" s="328" t="s">
        <v>443</v>
      </c>
      <c r="BE73" s="329">
        <v>86.79</v>
      </c>
      <c r="BF73" s="328" t="s">
        <v>443</v>
      </c>
      <c r="BG73" s="329">
        <v>100</v>
      </c>
      <c r="BH73" s="328">
        <v>83.33</v>
      </c>
      <c r="BI73" s="328">
        <v>76.319999999999993</v>
      </c>
      <c r="BJ73" s="432"/>
      <c r="BK73" s="328" t="s">
        <v>443</v>
      </c>
      <c r="BL73" s="328">
        <v>66.67</v>
      </c>
      <c r="BM73" s="432"/>
      <c r="BN73" s="328" t="s">
        <v>443</v>
      </c>
      <c r="BO73" s="328" t="s">
        <v>443</v>
      </c>
      <c r="BP73" s="328" t="s">
        <v>443</v>
      </c>
      <c r="BQ73" s="328" t="s">
        <v>443</v>
      </c>
      <c r="BR73" s="432"/>
      <c r="BS73" s="328" t="s">
        <v>443</v>
      </c>
      <c r="BT73" s="328" t="s">
        <v>443</v>
      </c>
      <c r="BU73" s="327">
        <v>59.38</v>
      </c>
      <c r="BV73" s="328">
        <v>76.47</v>
      </c>
      <c r="BW73" s="432"/>
      <c r="BX73" s="328" t="s">
        <v>443</v>
      </c>
      <c r="BY73" s="328" t="s">
        <v>443</v>
      </c>
      <c r="BZ73" s="432"/>
      <c r="CA73" s="328" t="s">
        <v>443</v>
      </c>
      <c r="CB73" s="328" t="s">
        <v>443</v>
      </c>
      <c r="CC73" s="432"/>
      <c r="CD73" s="328">
        <v>70.37</v>
      </c>
      <c r="CE73" s="329">
        <v>92.31</v>
      </c>
      <c r="CF73" s="432"/>
      <c r="CG73" s="328" t="s">
        <v>443</v>
      </c>
      <c r="CH73" s="328" t="s">
        <v>443</v>
      </c>
      <c r="CI73" s="432"/>
      <c r="CJ73" s="328" t="s">
        <v>443</v>
      </c>
      <c r="CK73" s="328" t="s">
        <v>443</v>
      </c>
      <c r="CL73" s="328" t="s">
        <v>443</v>
      </c>
      <c r="CM73" s="329">
        <v>100</v>
      </c>
      <c r="CN73" s="432"/>
      <c r="CO73" s="329">
        <v>100</v>
      </c>
      <c r="CP73" s="329">
        <v>87.68</v>
      </c>
      <c r="CQ73" s="329">
        <v>90</v>
      </c>
      <c r="CR73" s="432"/>
      <c r="CS73" s="329">
        <v>85.71</v>
      </c>
      <c r="CT73" s="328" t="s">
        <v>443</v>
      </c>
      <c r="CU73" s="329">
        <v>100</v>
      </c>
      <c r="CV73" s="329">
        <v>85.71</v>
      </c>
      <c r="CW73" s="329">
        <v>100</v>
      </c>
      <c r="CX73" s="328" t="s">
        <v>443</v>
      </c>
      <c r="CY73" s="432"/>
      <c r="CZ73" s="328" t="s">
        <v>443</v>
      </c>
      <c r="DA73" s="432"/>
      <c r="DB73" s="328" t="s">
        <v>443</v>
      </c>
      <c r="DC73" s="432"/>
      <c r="DD73" s="329">
        <v>100</v>
      </c>
      <c r="DE73" s="432"/>
      <c r="DF73" s="328">
        <v>82.35</v>
      </c>
      <c r="DG73" s="432"/>
      <c r="DH73" s="328" t="s">
        <v>443</v>
      </c>
      <c r="DI73" s="432"/>
      <c r="DJ73" s="328" t="s">
        <v>443</v>
      </c>
      <c r="DK73" s="432"/>
      <c r="DL73" s="328" t="s">
        <v>443</v>
      </c>
      <c r="DM73" s="329">
        <v>100</v>
      </c>
      <c r="DN73" s="328">
        <v>81.819999999999993</v>
      </c>
      <c r="DO73" s="329">
        <v>87.51</v>
      </c>
      <c r="DP73" s="328" t="s">
        <v>443</v>
      </c>
      <c r="DQ73" s="329">
        <v>88.89</v>
      </c>
      <c r="DR73" s="328">
        <v>72.41</v>
      </c>
      <c r="DS73" s="329">
        <v>100</v>
      </c>
      <c r="DT73" s="329">
        <v>100</v>
      </c>
      <c r="DU73" s="328" t="s">
        <v>443</v>
      </c>
      <c r="DV73" s="329">
        <v>100</v>
      </c>
      <c r="DW73" s="432"/>
      <c r="DX73" s="328" t="s">
        <v>443</v>
      </c>
      <c r="DY73" s="432"/>
      <c r="DZ73" s="328" t="s">
        <v>443</v>
      </c>
      <c r="EA73" s="328" t="s">
        <v>443</v>
      </c>
      <c r="EB73" s="328" t="s">
        <v>443</v>
      </c>
      <c r="EC73" s="432"/>
      <c r="ED73" s="328" t="s">
        <v>443</v>
      </c>
      <c r="EE73" s="328" t="s">
        <v>443</v>
      </c>
      <c r="EF73" s="432"/>
      <c r="EG73" s="328">
        <v>68.42</v>
      </c>
      <c r="EH73" s="328">
        <v>84.21</v>
      </c>
      <c r="EI73" s="432"/>
      <c r="EJ73" s="328">
        <v>70.430000000000007</v>
      </c>
      <c r="EK73" s="329">
        <v>87.8</v>
      </c>
      <c r="EL73" s="432"/>
      <c r="EM73" s="329">
        <v>88.41</v>
      </c>
      <c r="EN73" s="328">
        <v>65.12</v>
      </c>
      <c r="EO73" s="328">
        <v>70</v>
      </c>
      <c r="EP73" s="329">
        <v>90.98</v>
      </c>
      <c r="EQ73" s="327">
        <v>60</v>
      </c>
    </row>
    <row r="74" spans="1:147">
      <c r="A74" s="494"/>
      <c r="B74" s="325">
        <v>64</v>
      </c>
      <c r="C74" s="326" t="s">
        <v>776</v>
      </c>
      <c r="D74" s="377">
        <v>82.2</v>
      </c>
      <c r="E74" s="441">
        <v>76.989999999999995</v>
      </c>
      <c r="F74" s="328" t="s">
        <v>566</v>
      </c>
      <c r="G74" s="350">
        <v>5.210000000000008</v>
      </c>
      <c r="H74" s="328" t="s">
        <v>566</v>
      </c>
      <c r="I74" s="432"/>
      <c r="J74" s="328" t="s">
        <v>443</v>
      </c>
      <c r="K74" s="328">
        <v>78.790000000000006</v>
      </c>
      <c r="L74" s="329">
        <v>88.31</v>
      </c>
      <c r="M74" s="328">
        <v>80.81</v>
      </c>
      <c r="N74" s="329">
        <v>88.24</v>
      </c>
      <c r="O74" s="432"/>
      <c r="P74" s="328">
        <v>79.040000000000006</v>
      </c>
      <c r="Q74" s="329">
        <v>87.63</v>
      </c>
      <c r="R74" s="432"/>
      <c r="S74" s="328">
        <v>82.61</v>
      </c>
      <c r="T74" s="328">
        <v>78.98</v>
      </c>
      <c r="U74" s="328">
        <v>85.07</v>
      </c>
      <c r="V74" s="328">
        <v>80.16</v>
      </c>
      <c r="W74" s="329">
        <v>90.48</v>
      </c>
      <c r="X74" s="432"/>
      <c r="Y74" s="328">
        <v>80.819999999999993</v>
      </c>
      <c r="Z74" s="328">
        <v>78.33</v>
      </c>
      <c r="AA74" s="329">
        <v>88.49</v>
      </c>
      <c r="AB74" s="328">
        <v>85.25</v>
      </c>
      <c r="AC74" s="328">
        <v>82.05</v>
      </c>
      <c r="AD74" s="432"/>
      <c r="AE74" s="328">
        <v>81.96</v>
      </c>
      <c r="AF74" s="329">
        <v>88.89</v>
      </c>
      <c r="AG74" s="432"/>
      <c r="AH74" s="329">
        <v>92.43</v>
      </c>
      <c r="AI74" s="329">
        <v>87.51</v>
      </c>
      <c r="AJ74" s="328">
        <v>74.069999999999993</v>
      </c>
      <c r="AK74" s="328">
        <v>66.27</v>
      </c>
      <c r="AL74" s="432"/>
      <c r="AM74" s="332">
        <v>42.86</v>
      </c>
      <c r="AN74" s="328">
        <v>83.33</v>
      </c>
      <c r="AO74" s="327">
        <v>45.83</v>
      </c>
      <c r="AP74" s="328" t="s">
        <v>443</v>
      </c>
      <c r="AQ74" s="328" t="s">
        <v>443</v>
      </c>
      <c r="AR74" s="329">
        <v>87.51</v>
      </c>
      <c r="AS74" s="328" t="s">
        <v>443</v>
      </c>
      <c r="AT74" s="432"/>
      <c r="AU74" s="329">
        <v>95</v>
      </c>
      <c r="AV74" s="329">
        <v>94.84</v>
      </c>
      <c r="AW74" s="328">
        <v>85.37</v>
      </c>
      <c r="AX74" s="328" t="s">
        <v>443</v>
      </c>
      <c r="AY74" s="328" t="s">
        <v>443</v>
      </c>
      <c r="AZ74" s="329">
        <v>100</v>
      </c>
      <c r="BA74" s="328">
        <v>64.709999999999994</v>
      </c>
      <c r="BB74" s="432"/>
      <c r="BC74" s="328" t="s">
        <v>443</v>
      </c>
      <c r="BD74" s="328" t="s">
        <v>443</v>
      </c>
      <c r="BE74" s="329">
        <v>85.85</v>
      </c>
      <c r="BF74" s="328" t="s">
        <v>443</v>
      </c>
      <c r="BG74" s="329">
        <v>87.51</v>
      </c>
      <c r="BH74" s="328">
        <v>83.33</v>
      </c>
      <c r="BI74" s="328">
        <v>72.97</v>
      </c>
      <c r="BJ74" s="432"/>
      <c r="BK74" s="328" t="s">
        <v>443</v>
      </c>
      <c r="BL74" s="332">
        <v>33.33</v>
      </c>
      <c r="BM74" s="432"/>
      <c r="BN74" s="328" t="s">
        <v>443</v>
      </c>
      <c r="BO74" s="328" t="s">
        <v>443</v>
      </c>
      <c r="BP74" s="328" t="s">
        <v>443</v>
      </c>
      <c r="BQ74" s="328" t="s">
        <v>443</v>
      </c>
      <c r="BR74" s="432"/>
      <c r="BS74" s="328" t="s">
        <v>443</v>
      </c>
      <c r="BT74" s="328" t="s">
        <v>443</v>
      </c>
      <c r="BU74" s="327">
        <v>44.83</v>
      </c>
      <c r="BV74" s="332">
        <v>41.18</v>
      </c>
      <c r="BW74" s="432"/>
      <c r="BX74" s="328" t="s">
        <v>443</v>
      </c>
      <c r="BY74" s="328" t="s">
        <v>443</v>
      </c>
      <c r="BZ74" s="432"/>
      <c r="CA74" s="328" t="s">
        <v>443</v>
      </c>
      <c r="CB74" s="328" t="s">
        <v>443</v>
      </c>
      <c r="CC74" s="432"/>
      <c r="CD74" s="329">
        <v>92.59</v>
      </c>
      <c r="CE74" s="328">
        <v>76.92</v>
      </c>
      <c r="CF74" s="432"/>
      <c r="CG74" s="328" t="s">
        <v>443</v>
      </c>
      <c r="CH74" s="328" t="s">
        <v>443</v>
      </c>
      <c r="CI74" s="432"/>
      <c r="CJ74" s="328" t="s">
        <v>443</v>
      </c>
      <c r="CK74" s="328" t="s">
        <v>443</v>
      </c>
      <c r="CL74" s="328" t="s">
        <v>443</v>
      </c>
      <c r="CM74" s="329">
        <v>100</v>
      </c>
      <c r="CN74" s="432"/>
      <c r="CO74" s="329">
        <v>100</v>
      </c>
      <c r="CP74" s="329">
        <v>94.89</v>
      </c>
      <c r="CQ74" s="329">
        <v>90</v>
      </c>
      <c r="CR74" s="432"/>
      <c r="CS74" s="329">
        <v>85.71</v>
      </c>
      <c r="CT74" s="328" t="s">
        <v>443</v>
      </c>
      <c r="CU74" s="329">
        <v>100</v>
      </c>
      <c r="CV74" s="329">
        <v>100</v>
      </c>
      <c r="CW74" s="327">
        <v>50</v>
      </c>
      <c r="CX74" s="328" t="s">
        <v>443</v>
      </c>
      <c r="CY74" s="432"/>
      <c r="CZ74" s="328" t="s">
        <v>443</v>
      </c>
      <c r="DA74" s="432"/>
      <c r="DB74" s="328" t="s">
        <v>443</v>
      </c>
      <c r="DC74" s="432"/>
      <c r="DD74" s="329">
        <v>100</v>
      </c>
      <c r="DE74" s="432"/>
      <c r="DF74" s="328">
        <v>64.709999999999994</v>
      </c>
      <c r="DG74" s="432"/>
      <c r="DH74" s="328" t="s">
        <v>443</v>
      </c>
      <c r="DI74" s="432"/>
      <c r="DJ74" s="328" t="s">
        <v>443</v>
      </c>
      <c r="DK74" s="432"/>
      <c r="DL74" s="328" t="s">
        <v>443</v>
      </c>
      <c r="DM74" s="328">
        <v>66.67</v>
      </c>
      <c r="DN74" s="328">
        <v>72.73</v>
      </c>
      <c r="DO74" s="328">
        <v>81.25</v>
      </c>
      <c r="DP74" s="328" t="s">
        <v>443</v>
      </c>
      <c r="DQ74" s="329">
        <v>100</v>
      </c>
      <c r="DR74" s="329">
        <v>89.66</v>
      </c>
      <c r="DS74" s="329">
        <v>92.31</v>
      </c>
      <c r="DT74" s="329">
        <v>100</v>
      </c>
      <c r="DU74" s="328" t="s">
        <v>443</v>
      </c>
      <c r="DV74" s="328">
        <v>71.430000000000007</v>
      </c>
      <c r="DW74" s="432"/>
      <c r="DX74" s="328" t="s">
        <v>443</v>
      </c>
      <c r="DY74" s="432"/>
      <c r="DZ74" s="328" t="s">
        <v>443</v>
      </c>
      <c r="EA74" s="328" t="s">
        <v>443</v>
      </c>
      <c r="EB74" s="328" t="s">
        <v>443</v>
      </c>
      <c r="EC74" s="432"/>
      <c r="ED74" s="328" t="s">
        <v>443</v>
      </c>
      <c r="EE74" s="328" t="s">
        <v>443</v>
      </c>
      <c r="EF74" s="432"/>
      <c r="EG74" s="327">
        <v>55.56</v>
      </c>
      <c r="EH74" s="329">
        <v>89.47</v>
      </c>
      <c r="EI74" s="432"/>
      <c r="EJ74" s="328">
        <v>61.06</v>
      </c>
      <c r="EK74" s="329">
        <v>87.95</v>
      </c>
      <c r="EL74" s="432"/>
      <c r="EM74" s="328">
        <v>82.61</v>
      </c>
      <c r="EN74" s="328">
        <v>73.81</v>
      </c>
      <c r="EO74" s="329">
        <v>90</v>
      </c>
      <c r="EP74" s="328">
        <v>84.35</v>
      </c>
      <c r="EQ74" s="328">
        <v>76.790000000000006</v>
      </c>
    </row>
    <row r="75" spans="1:147">
      <c r="A75" s="494"/>
      <c r="B75" s="325">
        <v>65</v>
      </c>
      <c r="C75" s="326" t="s">
        <v>777</v>
      </c>
      <c r="D75" s="377">
        <v>61.81</v>
      </c>
      <c r="E75" s="441">
        <v>65.650000000000006</v>
      </c>
      <c r="F75" s="328" t="s">
        <v>566</v>
      </c>
      <c r="G75" s="350">
        <v>-3.8400000000000034</v>
      </c>
      <c r="H75" s="328" t="s">
        <v>566</v>
      </c>
      <c r="I75" s="432"/>
      <c r="J75" s="328" t="s">
        <v>443</v>
      </c>
      <c r="K75" s="328">
        <v>72.73</v>
      </c>
      <c r="L75" s="328">
        <v>68.83</v>
      </c>
      <c r="M75" s="327">
        <v>59.09</v>
      </c>
      <c r="N75" s="328">
        <v>61.11</v>
      </c>
      <c r="O75" s="432"/>
      <c r="P75" s="327">
        <v>58.93</v>
      </c>
      <c r="Q75" s="328">
        <v>66.84</v>
      </c>
      <c r="R75" s="432"/>
      <c r="S75" s="327">
        <v>58.33</v>
      </c>
      <c r="T75" s="327">
        <v>53.8</v>
      </c>
      <c r="U75" s="328">
        <v>65.510000000000005</v>
      </c>
      <c r="V75" s="328">
        <v>64.290000000000006</v>
      </c>
      <c r="W75" s="328">
        <v>76.19</v>
      </c>
      <c r="X75" s="432"/>
      <c r="Y75" s="328">
        <v>66.22</v>
      </c>
      <c r="Z75" s="327">
        <v>55.88</v>
      </c>
      <c r="AA75" s="328">
        <v>64.290000000000006</v>
      </c>
      <c r="AB75" s="328">
        <v>63.93</v>
      </c>
      <c r="AC75" s="328">
        <v>67.95</v>
      </c>
      <c r="AD75" s="432"/>
      <c r="AE75" s="328">
        <v>61.76</v>
      </c>
      <c r="AF75" s="328">
        <v>63.16</v>
      </c>
      <c r="AG75" s="432"/>
      <c r="AH75" s="328">
        <v>78.8</v>
      </c>
      <c r="AI75" s="328">
        <v>67.31</v>
      </c>
      <c r="AJ75" s="327">
        <v>49.26</v>
      </c>
      <c r="AK75" s="332">
        <v>34.94</v>
      </c>
      <c r="AL75" s="432"/>
      <c r="AM75" s="332">
        <v>42.86</v>
      </c>
      <c r="AN75" s="328">
        <v>80</v>
      </c>
      <c r="AO75" s="332">
        <v>28.57</v>
      </c>
      <c r="AP75" s="328" t="s">
        <v>443</v>
      </c>
      <c r="AQ75" s="328" t="s">
        <v>443</v>
      </c>
      <c r="AR75" s="327">
        <v>55</v>
      </c>
      <c r="AS75" s="328" t="s">
        <v>443</v>
      </c>
      <c r="AT75" s="432"/>
      <c r="AU75" s="328">
        <v>85</v>
      </c>
      <c r="AV75" s="328">
        <v>71.790000000000006</v>
      </c>
      <c r="AW75" s="328">
        <v>73.17</v>
      </c>
      <c r="AX75" s="328" t="s">
        <v>443</v>
      </c>
      <c r="AY75" s="328" t="s">
        <v>443</v>
      </c>
      <c r="AZ75" s="329">
        <v>100</v>
      </c>
      <c r="BA75" s="332">
        <v>41.18</v>
      </c>
      <c r="BB75" s="432"/>
      <c r="BC75" s="328" t="s">
        <v>443</v>
      </c>
      <c r="BD75" s="328" t="s">
        <v>443</v>
      </c>
      <c r="BE75" s="328">
        <v>61.32</v>
      </c>
      <c r="BF75" s="328" t="s">
        <v>443</v>
      </c>
      <c r="BG75" s="327">
        <v>50</v>
      </c>
      <c r="BH75" s="327">
        <v>50</v>
      </c>
      <c r="BI75" s="327">
        <v>59.46</v>
      </c>
      <c r="BJ75" s="432"/>
      <c r="BK75" s="328" t="s">
        <v>443</v>
      </c>
      <c r="BL75" s="332">
        <v>33.33</v>
      </c>
      <c r="BM75" s="432"/>
      <c r="BN75" s="328" t="s">
        <v>443</v>
      </c>
      <c r="BO75" s="328" t="s">
        <v>443</v>
      </c>
      <c r="BP75" s="328" t="s">
        <v>443</v>
      </c>
      <c r="BQ75" s="328" t="s">
        <v>443</v>
      </c>
      <c r="BR75" s="432"/>
      <c r="BS75" s="328" t="s">
        <v>443</v>
      </c>
      <c r="BT75" s="328" t="s">
        <v>443</v>
      </c>
      <c r="BU75" s="332">
        <v>30</v>
      </c>
      <c r="BV75" s="332">
        <v>23.53</v>
      </c>
      <c r="BW75" s="432"/>
      <c r="BX75" s="328" t="s">
        <v>443</v>
      </c>
      <c r="BY75" s="328" t="s">
        <v>443</v>
      </c>
      <c r="BZ75" s="432"/>
      <c r="CA75" s="328" t="s">
        <v>443</v>
      </c>
      <c r="CB75" s="328" t="s">
        <v>443</v>
      </c>
      <c r="CC75" s="432"/>
      <c r="CD75" s="328">
        <v>62.96</v>
      </c>
      <c r="CE75" s="332">
        <v>38.46</v>
      </c>
      <c r="CF75" s="432"/>
      <c r="CG75" s="328" t="s">
        <v>443</v>
      </c>
      <c r="CH75" s="328" t="s">
        <v>443</v>
      </c>
      <c r="CI75" s="432"/>
      <c r="CJ75" s="328" t="s">
        <v>443</v>
      </c>
      <c r="CK75" s="328" t="s">
        <v>443</v>
      </c>
      <c r="CL75" s="328" t="s">
        <v>443</v>
      </c>
      <c r="CM75" s="329">
        <v>90</v>
      </c>
      <c r="CN75" s="432"/>
      <c r="CO75" s="328">
        <v>75</v>
      </c>
      <c r="CP75" s="328">
        <v>71.010000000000005</v>
      </c>
      <c r="CQ75" s="328">
        <v>80</v>
      </c>
      <c r="CR75" s="432"/>
      <c r="CS75" s="328">
        <v>71.430000000000007</v>
      </c>
      <c r="CT75" s="328" t="s">
        <v>443</v>
      </c>
      <c r="CU75" s="329">
        <v>100</v>
      </c>
      <c r="CV75" s="329">
        <v>85.71</v>
      </c>
      <c r="CW75" s="332">
        <v>16.670000000000002</v>
      </c>
      <c r="CX75" s="328" t="s">
        <v>443</v>
      </c>
      <c r="CY75" s="432"/>
      <c r="CZ75" s="328" t="s">
        <v>443</v>
      </c>
      <c r="DA75" s="432"/>
      <c r="DB75" s="328" t="s">
        <v>443</v>
      </c>
      <c r="DC75" s="432"/>
      <c r="DD75" s="329">
        <v>100</v>
      </c>
      <c r="DE75" s="432"/>
      <c r="DF75" s="332">
        <v>41.18</v>
      </c>
      <c r="DG75" s="432"/>
      <c r="DH75" s="328" t="s">
        <v>443</v>
      </c>
      <c r="DI75" s="432"/>
      <c r="DJ75" s="328" t="s">
        <v>443</v>
      </c>
      <c r="DK75" s="432"/>
      <c r="DL75" s="328" t="s">
        <v>443</v>
      </c>
      <c r="DM75" s="327">
        <v>50</v>
      </c>
      <c r="DN75" s="327">
        <v>54.55</v>
      </c>
      <c r="DO75" s="332">
        <v>37.51</v>
      </c>
      <c r="DP75" s="328" t="s">
        <v>443</v>
      </c>
      <c r="DQ75" s="328">
        <v>77.78</v>
      </c>
      <c r="DR75" s="328">
        <v>65.52</v>
      </c>
      <c r="DS75" s="327">
        <v>53.85</v>
      </c>
      <c r="DT75" s="329">
        <v>87.51</v>
      </c>
      <c r="DU75" s="328" t="s">
        <v>443</v>
      </c>
      <c r="DV75" s="328">
        <v>71.430000000000007</v>
      </c>
      <c r="DW75" s="432"/>
      <c r="DX75" s="328" t="s">
        <v>443</v>
      </c>
      <c r="DY75" s="432"/>
      <c r="DZ75" s="328" t="s">
        <v>443</v>
      </c>
      <c r="EA75" s="328" t="s">
        <v>443</v>
      </c>
      <c r="EB75" s="328" t="s">
        <v>443</v>
      </c>
      <c r="EC75" s="432"/>
      <c r="ED75" s="328" t="s">
        <v>443</v>
      </c>
      <c r="EE75" s="328" t="s">
        <v>443</v>
      </c>
      <c r="EF75" s="432"/>
      <c r="EG75" s="332">
        <v>33.33</v>
      </c>
      <c r="EH75" s="328">
        <v>84.21</v>
      </c>
      <c r="EI75" s="432"/>
      <c r="EJ75" s="332">
        <v>39.82</v>
      </c>
      <c r="EK75" s="328">
        <v>67.790000000000006</v>
      </c>
      <c r="EL75" s="432"/>
      <c r="EM75" s="328">
        <v>63.51</v>
      </c>
      <c r="EN75" s="327">
        <v>46.51</v>
      </c>
      <c r="EO75" s="327">
        <v>50</v>
      </c>
      <c r="EP75" s="328">
        <v>69.849999999999994</v>
      </c>
      <c r="EQ75" s="332">
        <v>33.93</v>
      </c>
    </row>
    <row r="76" spans="1:147">
      <c r="A76" s="494"/>
      <c r="B76" s="325">
        <v>66</v>
      </c>
      <c r="C76" s="326" t="s">
        <v>778</v>
      </c>
      <c r="D76" s="377">
        <v>62.17</v>
      </c>
      <c r="E76" s="441">
        <v>65.59</v>
      </c>
      <c r="F76" s="328" t="s">
        <v>566</v>
      </c>
      <c r="G76" s="350">
        <v>-3.4200000000000017</v>
      </c>
      <c r="H76" s="328" t="s">
        <v>566</v>
      </c>
      <c r="I76" s="432"/>
      <c r="J76" s="328" t="s">
        <v>443</v>
      </c>
      <c r="K76" s="328">
        <v>81.819999999999993</v>
      </c>
      <c r="L76" s="328">
        <v>66.23</v>
      </c>
      <c r="M76" s="327">
        <v>59.29</v>
      </c>
      <c r="N76" s="328">
        <v>66.67</v>
      </c>
      <c r="O76" s="432"/>
      <c r="P76" s="327">
        <v>59.7</v>
      </c>
      <c r="Q76" s="328">
        <v>66.489999999999995</v>
      </c>
      <c r="R76" s="432"/>
      <c r="S76" s="328">
        <v>66.67</v>
      </c>
      <c r="T76" s="327">
        <v>54.14</v>
      </c>
      <c r="U76" s="328">
        <v>67.17</v>
      </c>
      <c r="V76" s="328">
        <v>63.49</v>
      </c>
      <c r="W76" s="328">
        <v>61.9</v>
      </c>
      <c r="X76" s="432"/>
      <c r="Y76" s="328">
        <v>69.86</v>
      </c>
      <c r="Z76" s="327">
        <v>59.61</v>
      </c>
      <c r="AA76" s="327">
        <v>58.56</v>
      </c>
      <c r="AB76" s="328">
        <v>63.93</v>
      </c>
      <c r="AC76" s="328">
        <v>65.38</v>
      </c>
      <c r="AD76" s="432"/>
      <c r="AE76" s="328">
        <v>62.13</v>
      </c>
      <c r="AF76" s="328">
        <v>63.16</v>
      </c>
      <c r="AG76" s="432"/>
      <c r="AH76" s="328">
        <v>78.38</v>
      </c>
      <c r="AI76" s="328">
        <v>67.31</v>
      </c>
      <c r="AJ76" s="327">
        <v>51.13</v>
      </c>
      <c r="AK76" s="332">
        <v>37.799999999999997</v>
      </c>
      <c r="AL76" s="432"/>
      <c r="AM76" s="332">
        <v>42.86</v>
      </c>
      <c r="AN76" s="328">
        <v>80</v>
      </c>
      <c r="AO76" s="332">
        <v>44</v>
      </c>
      <c r="AP76" s="328" t="s">
        <v>443</v>
      </c>
      <c r="AQ76" s="328" t="s">
        <v>443</v>
      </c>
      <c r="AR76" s="327">
        <v>45</v>
      </c>
      <c r="AS76" s="328" t="s">
        <v>443</v>
      </c>
      <c r="AT76" s="432"/>
      <c r="AU76" s="329">
        <v>90.48</v>
      </c>
      <c r="AV76" s="328">
        <v>62.58</v>
      </c>
      <c r="AW76" s="328">
        <v>82.05</v>
      </c>
      <c r="AX76" s="328" t="s">
        <v>443</v>
      </c>
      <c r="AY76" s="328" t="s">
        <v>443</v>
      </c>
      <c r="AZ76" s="329">
        <v>85.71</v>
      </c>
      <c r="BA76" s="327">
        <v>58.82</v>
      </c>
      <c r="BB76" s="432"/>
      <c r="BC76" s="328" t="s">
        <v>443</v>
      </c>
      <c r="BD76" s="328" t="s">
        <v>443</v>
      </c>
      <c r="BE76" s="328">
        <v>67.62</v>
      </c>
      <c r="BF76" s="328" t="s">
        <v>443</v>
      </c>
      <c r="BG76" s="327">
        <v>50</v>
      </c>
      <c r="BH76" s="328">
        <v>66.67</v>
      </c>
      <c r="BI76" s="327">
        <v>52.78</v>
      </c>
      <c r="BJ76" s="432"/>
      <c r="BK76" s="328" t="s">
        <v>443</v>
      </c>
      <c r="BL76" s="332">
        <v>33.33</v>
      </c>
      <c r="BM76" s="432"/>
      <c r="BN76" s="328" t="s">
        <v>443</v>
      </c>
      <c r="BO76" s="328" t="s">
        <v>443</v>
      </c>
      <c r="BP76" s="328" t="s">
        <v>443</v>
      </c>
      <c r="BQ76" s="328" t="s">
        <v>443</v>
      </c>
      <c r="BR76" s="432"/>
      <c r="BS76" s="328" t="s">
        <v>443</v>
      </c>
      <c r="BT76" s="328" t="s">
        <v>443</v>
      </c>
      <c r="BU76" s="327">
        <v>48.39</v>
      </c>
      <c r="BV76" s="332">
        <v>29.41</v>
      </c>
      <c r="BW76" s="432"/>
      <c r="BX76" s="328" t="s">
        <v>443</v>
      </c>
      <c r="BY76" s="328" t="s">
        <v>443</v>
      </c>
      <c r="BZ76" s="432"/>
      <c r="CA76" s="328" t="s">
        <v>443</v>
      </c>
      <c r="CB76" s="328" t="s">
        <v>443</v>
      </c>
      <c r="CC76" s="432"/>
      <c r="CD76" s="332">
        <v>40.74</v>
      </c>
      <c r="CE76" s="327">
        <v>53.85</v>
      </c>
      <c r="CF76" s="432"/>
      <c r="CG76" s="328" t="s">
        <v>443</v>
      </c>
      <c r="CH76" s="328" t="s">
        <v>443</v>
      </c>
      <c r="CI76" s="432"/>
      <c r="CJ76" s="328" t="s">
        <v>443</v>
      </c>
      <c r="CK76" s="328" t="s">
        <v>443</v>
      </c>
      <c r="CL76" s="328" t="s">
        <v>443</v>
      </c>
      <c r="CM76" s="329">
        <v>90.91</v>
      </c>
      <c r="CN76" s="432"/>
      <c r="CO76" s="329">
        <v>87.51</v>
      </c>
      <c r="CP76" s="328">
        <v>60.58</v>
      </c>
      <c r="CQ76" s="328">
        <v>70</v>
      </c>
      <c r="CR76" s="432"/>
      <c r="CS76" s="328">
        <v>71.430000000000007</v>
      </c>
      <c r="CT76" s="328" t="s">
        <v>443</v>
      </c>
      <c r="CU76" s="329">
        <v>100</v>
      </c>
      <c r="CV76" s="329">
        <v>92.31</v>
      </c>
      <c r="CW76" s="332">
        <v>40</v>
      </c>
      <c r="CX76" s="328" t="s">
        <v>443</v>
      </c>
      <c r="CY76" s="432"/>
      <c r="CZ76" s="328" t="s">
        <v>443</v>
      </c>
      <c r="DA76" s="432"/>
      <c r="DB76" s="328" t="s">
        <v>443</v>
      </c>
      <c r="DC76" s="432"/>
      <c r="DD76" s="329">
        <v>85.71</v>
      </c>
      <c r="DE76" s="432"/>
      <c r="DF76" s="327">
        <v>58.82</v>
      </c>
      <c r="DG76" s="432"/>
      <c r="DH76" s="328" t="s">
        <v>443</v>
      </c>
      <c r="DI76" s="432"/>
      <c r="DJ76" s="328" t="s">
        <v>443</v>
      </c>
      <c r="DK76" s="432"/>
      <c r="DL76" s="328" t="s">
        <v>443</v>
      </c>
      <c r="DM76" s="327">
        <v>50</v>
      </c>
      <c r="DN76" s="328">
        <v>81.819999999999993</v>
      </c>
      <c r="DO76" s="327">
        <v>50</v>
      </c>
      <c r="DP76" s="328" t="s">
        <v>443</v>
      </c>
      <c r="DQ76" s="327">
        <v>55.56</v>
      </c>
      <c r="DR76" s="328">
        <v>62.07</v>
      </c>
      <c r="DS76" s="327">
        <v>58.33</v>
      </c>
      <c r="DT76" s="329">
        <v>100</v>
      </c>
      <c r="DU76" s="328" t="s">
        <v>443</v>
      </c>
      <c r="DV76" s="329">
        <v>100</v>
      </c>
      <c r="DW76" s="432"/>
      <c r="DX76" s="328" t="s">
        <v>443</v>
      </c>
      <c r="DY76" s="432"/>
      <c r="DZ76" s="328" t="s">
        <v>443</v>
      </c>
      <c r="EA76" s="328" t="s">
        <v>443</v>
      </c>
      <c r="EB76" s="328" t="s">
        <v>443</v>
      </c>
      <c r="EC76" s="432"/>
      <c r="ED76" s="328" t="s">
        <v>443</v>
      </c>
      <c r="EE76" s="328" t="s">
        <v>443</v>
      </c>
      <c r="EF76" s="432"/>
      <c r="EG76" s="327">
        <v>52.94</v>
      </c>
      <c r="EH76" s="327">
        <v>52.63</v>
      </c>
      <c r="EI76" s="432"/>
      <c r="EJ76" s="327">
        <v>44.74</v>
      </c>
      <c r="EK76" s="328">
        <v>66.989999999999995</v>
      </c>
      <c r="EL76" s="432"/>
      <c r="EM76" s="327">
        <v>57.78</v>
      </c>
      <c r="EN76" s="327">
        <v>51.22</v>
      </c>
      <c r="EO76" s="332">
        <v>20</v>
      </c>
      <c r="EP76" s="328">
        <v>75.67</v>
      </c>
      <c r="EQ76" s="332">
        <v>26.79</v>
      </c>
    </row>
    <row r="77" spans="1:147">
      <c r="A77" s="494"/>
      <c r="B77" s="325">
        <v>67</v>
      </c>
      <c r="C77" s="326" t="s">
        <v>779</v>
      </c>
      <c r="D77" s="377">
        <v>70.38</v>
      </c>
      <c r="E77" s="441">
        <v>76.09</v>
      </c>
      <c r="F77" s="328" t="s">
        <v>566</v>
      </c>
      <c r="G77" s="350">
        <v>-5.710000000000008</v>
      </c>
      <c r="H77" s="328" t="s">
        <v>566</v>
      </c>
      <c r="I77" s="432"/>
      <c r="J77" s="328" t="s">
        <v>443</v>
      </c>
      <c r="K77" s="328">
        <v>84.85</v>
      </c>
      <c r="L77" s="328">
        <v>75.319999999999993</v>
      </c>
      <c r="M77" s="328">
        <v>67.510000000000005</v>
      </c>
      <c r="N77" s="328">
        <v>77.78</v>
      </c>
      <c r="O77" s="432"/>
      <c r="P77" s="328">
        <v>68.150000000000006</v>
      </c>
      <c r="Q77" s="328">
        <v>74.23</v>
      </c>
      <c r="R77" s="432"/>
      <c r="S77" s="328">
        <v>70.83</v>
      </c>
      <c r="T77" s="327">
        <v>57.32</v>
      </c>
      <c r="U77" s="328">
        <v>76.849999999999994</v>
      </c>
      <c r="V77" s="328">
        <v>75.2</v>
      </c>
      <c r="W77" s="328">
        <v>76.19</v>
      </c>
      <c r="X77" s="432"/>
      <c r="Y77" s="328">
        <v>70.67</v>
      </c>
      <c r="Z77" s="328">
        <v>65.2</v>
      </c>
      <c r="AA77" s="328">
        <v>69.91</v>
      </c>
      <c r="AB77" s="328">
        <v>75</v>
      </c>
      <c r="AC77" s="328">
        <v>80.77</v>
      </c>
      <c r="AD77" s="432"/>
      <c r="AE77" s="328">
        <v>70.25</v>
      </c>
      <c r="AF77" s="328">
        <v>73.680000000000007</v>
      </c>
      <c r="AG77" s="432"/>
      <c r="AH77" s="329">
        <v>89.25</v>
      </c>
      <c r="AI77" s="328">
        <v>80.95</v>
      </c>
      <c r="AJ77" s="327">
        <v>55.47</v>
      </c>
      <c r="AK77" s="332">
        <v>37.04</v>
      </c>
      <c r="AL77" s="432"/>
      <c r="AM77" s="332">
        <v>42.86</v>
      </c>
      <c r="AN77" s="328">
        <v>83.33</v>
      </c>
      <c r="AO77" s="327">
        <v>54</v>
      </c>
      <c r="AP77" s="328" t="s">
        <v>443</v>
      </c>
      <c r="AQ77" s="328" t="s">
        <v>443</v>
      </c>
      <c r="AR77" s="327">
        <v>57.51</v>
      </c>
      <c r="AS77" s="328" t="s">
        <v>443</v>
      </c>
      <c r="AT77" s="432"/>
      <c r="AU77" s="328">
        <v>80.95</v>
      </c>
      <c r="AV77" s="328">
        <v>72.08</v>
      </c>
      <c r="AW77" s="329">
        <v>87.8</v>
      </c>
      <c r="AX77" s="328" t="s">
        <v>443</v>
      </c>
      <c r="AY77" s="328" t="s">
        <v>443</v>
      </c>
      <c r="AZ77" s="328">
        <v>83.33</v>
      </c>
      <c r="BA77" s="327">
        <v>52.94</v>
      </c>
      <c r="BB77" s="432"/>
      <c r="BC77" s="328" t="s">
        <v>443</v>
      </c>
      <c r="BD77" s="328" t="s">
        <v>443</v>
      </c>
      <c r="BE77" s="328">
        <v>78.3</v>
      </c>
      <c r="BF77" s="328" t="s">
        <v>443</v>
      </c>
      <c r="BG77" s="328">
        <v>75</v>
      </c>
      <c r="BH77" s="328">
        <v>66.67</v>
      </c>
      <c r="BI77" s="328">
        <v>60.53</v>
      </c>
      <c r="BJ77" s="432"/>
      <c r="BK77" s="328" t="s">
        <v>443</v>
      </c>
      <c r="BL77" s="332">
        <v>33.33</v>
      </c>
      <c r="BM77" s="432"/>
      <c r="BN77" s="328" t="s">
        <v>443</v>
      </c>
      <c r="BO77" s="328" t="s">
        <v>443</v>
      </c>
      <c r="BP77" s="328" t="s">
        <v>443</v>
      </c>
      <c r="BQ77" s="328" t="s">
        <v>443</v>
      </c>
      <c r="BR77" s="432"/>
      <c r="BS77" s="328" t="s">
        <v>443</v>
      </c>
      <c r="BT77" s="328" t="s">
        <v>443</v>
      </c>
      <c r="BU77" s="327">
        <v>54.84</v>
      </c>
      <c r="BV77" s="327">
        <v>47.06</v>
      </c>
      <c r="BW77" s="432"/>
      <c r="BX77" s="328" t="s">
        <v>443</v>
      </c>
      <c r="BY77" s="328" t="s">
        <v>443</v>
      </c>
      <c r="BZ77" s="432"/>
      <c r="CA77" s="328" t="s">
        <v>443</v>
      </c>
      <c r="CB77" s="328" t="s">
        <v>443</v>
      </c>
      <c r="CC77" s="432"/>
      <c r="CD77" s="327">
        <v>59.26</v>
      </c>
      <c r="CE77" s="327">
        <v>53.85</v>
      </c>
      <c r="CF77" s="432"/>
      <c r="CG77" s="328" t="s">
        <v>443</v>
      </c>
      <c r="CH77" s="328" t="s">
        <v>443</v>
      </c>
      <c r="CI77" s="432"/>
      <c r="CJ77" s="328" t="s">
        <v>443</v>
      </c>
      <c r="CK77" s="328" t="s">
        <v>443</v>
      </c>
      <c r="CL77" s="328" t="s">
        <v>443</v>
      </c>
      <c r="CM77" s="328">
        <v>81.819999999999993</v>
      </c>
      <c r="CN77" s="432"/>
      <c r="CO77" s="329">
        <v>100</v>
      </c>
      <c r="CP77" s="328">
        <v>69.849999999999994</v>
      </c>
      <c r="CQ77" s="328">
        <v>80</v>
      </c>
      <c r="CR77" s="432"/>
      <c r="CS77" s="329">
        <v>85.71</v>
      </c>
      <c r="CT77" s="328" t="s">
        <v>443</v>
      </c>
      <c r="CU77" s="329">
        <v>100</v>
      </c>
      <c r="CV77" s="329">
        <v>100</v>
      </c>
      <c r="CW77" s="332">
        <v>33.33</v>
      </c>
      <c r="CX77" s="328" t="s">
        <v>443</v>
      </c>
      <c r="CY77" s="432"/>
      <c r="CZ77" s="328" t="s">
        <v>443</v>
      </c>
      <c r="DA77" s="432"/>
      <c r="DB77" s="328" t="s">
        <v>443</v>
      </c>
      <c r="DC77" s="432"/>
      <c r="DD77" s="328">
        <v>83.33</v>
      </c>
      <c r="DE77" s="432"/>
      <c r="DF77" s="327">
        <v>52.94</v>
      </c>
      <c r="DG77" s="432"/>
      <c r="DH77" s="328" t="s">
        <v>443</v>
      </c>
      <c r="DI77" s="432"/>
      <c r="DJ77" s="328" t="s">
        <v>443</v>
      </c>
      <c r="DK77" s="432"/>
      <c r="DL77" s="328" t="s">
        <v>443</v>
      </c>
      <c r="DM77" s="328">
        <v>66.67</v>
      </c>
      <c r="DN77" s="328">
        <v>72.73</v>
      </c>
      <c r="DO77" s="329">
        <v>93.75</v>
      </c>
      <c r="DP77" s="328" t="s">
        <v>443</v>
      </c>
      <c r="DQ77" s="329">
        <v>88.89</v>
      </c>
      <c r="DR77" s="327">
        <v>58.62</v>
      </c>
      <c r="DS77" s="328">
        <v>76.92</v>
      </c>
      <c r="DT77" s="329">
        <v>100</v>
      </c>
      <c r="DU77" s="328" t="s">
        <v>443</v>
      </c>
      <c r="DV77" s="329">
        <v>100</v>
      </c>
      <c r="DW77" s="432"/>
      <c r="DX77" s="328" t="s">
        <v>443</v>
      </c>
      <c r="DY77" s="432"/>
      <c r="DZ77" s="328" t="s">
        <v>443</v>
      </c>
      <c r="EA77" s="328" t="s">
        <v>443</v>
      </c>
      <c r="EB77" s="328" t="s">
        <v>443</v>
      </c>
      <c r="EC77" s="432"/>
      <c r="ED77" s="328" t="s">
        <v>443</v>
      </c>
      <c r="EE77" s="328" t="s">
        <v>443</v>
      </c>
      <c r="EF77" s="432"/>
      <c r="EG77" s="327">
        <v>47.37</v>
      </c>
      <c r="EH77" s="328">
        <v>73.680000000000007</v>
      </c>
      <c r="EI77" s="432"/>
      <c r="EJ77" s="327">
        <v>55.65</v>
      </c>
      <c r="EK77" s="328">
        <v>74.459999999999994</v>
      </c>
      <c r="EL77" s="432"/>
      <c r="EM77" s="328">
        <v>63.04</v>
      </c>
      <c r="EN77" s="327">
        <v>58.54</v>
      </c>
      <c r="EO77" s="327">
        <v>50</v>
      </c>
      <c r="EP77" s="328">
        <v>81.13</v>
      </c>
      <c r="EQ77" s="327">
        <v>48.21</v>
      </c>
    </row>
    <row r="78" spans="1:147" ht="15.75" thickBot="1">
      <c r="A78" s="495"/>
      <c r="B78" s="325">
        <v>68</v>
      </c>
      <c r="C78" s="326" t="s">
        <v>780</v>
      </c>
      <c r="D78" s="452">
        <v>54.72</v>
      </c>
      <c r="E78" s="453">
        <v>62.61</v>
      </c>
      <c r="F78" s="328" t="s">
        <v>566</v>
      </c>
      <c r="G78" s="350">
        <v>-7.8900000000000006</v>
      </c>
      <c r="H78" s="328" t="s">
        <v>566</v>
      </c>
      <c r="I78" s="432"/>
      <c r="J78" s="328" t="s">
        <v>443</v>
      </c>
      <c r="K78" s="328">
        <v>66.67</v>
      </c>
      <c r="L78" s="327">
        <v>60.26</v>
      </c>
      <c r="M78" s="327">
        <v>52.78</v>
      </c>
      <c r="N78" s="332">
        <v>44.44</v>
      </c>
      <c r="O78" s="432"/>
      <c r="P78" s="327">
        <v>54.03</v>
      </c>
      <c r="Q78" s="327">
        <v>55.9</v>
      </c>
      <c r="R78" s="432"/>
      <c r="S78" s="332">
        <v>41.67</v>
      </c>
      <c r="T78" s="332">
        <v>42.68</v>
      </c>
      <c r="U78" s="327">
        <v>60.4</v>
      </c>
      <c r="V78" s="328">
        <v>61.9</v>
      </c>
      <c r="W78" s="328">
        <v>61.9</v>
      </c>
      <c r="X78" s="432"/>
      <c r="Y78" s="327">
        <v>47.3</v>
      </c>
      <c r="Z78" s="327">
        <v>50.24</v>
      </c>
      <c r="AA78" s="327">
        <v>53.57</v>
      </c>
      <c r="AB78" s="327">
        <v>59.02</v>
      </c>
      <c r="AC78" s="328">
        <v>71.790000000000006</v>
      </c>
      <c r="AD78" s="432"/>
      <c r="AE78" s="327">
        <v>55.19</v>
      </c>
      <c r="AF78" s="332">
        <v>42.11</v>
      </c>
      <c r="AG78" s="432"/>
      <c r="AH78" s="328">
        <v>79.89</v>
      </c>
      <c r="AI78" s="328">
        <v>64.760000000000005</v>
      </c>
      <c r="AJ78" s="332">
        <v>35.29</v>
      </c>
      <c r="AK78" s="332">
        <v>13.25</v>
      </c>
      <c r="AL78" s="432"/>
      <c r="AM78" s="332">
        <v>42.86</v>
      </c>
      <c r="AN78" s="328">
        <v>83.33</v>
      </c>
      <c r="AO78" s="332">
        <v>30</v>
      </c>
      <c r="AP78" s="328" t="s">
        <v>443</v>
      </c>
      <c r="AQ78" s="328" t="s">
        <v>443</v>
      </c>
      <c r="AR78" s="327">
        <v>45</v>
      </c>
      <c r="AS78" s="328" t="s">
        <v>443</v>
      </c>
      <c r="AT78" s="432"/>
      <c r="AU78" s="328">
        <v>66.67</v>
      </c>
      <c r="AV78" s="328">
        <v>62.58</v>
      </c>
      <c r="AW78" s="328">
        <v>70.73</v>
      </c>
      <c r="AX78" s="328" t="s">
        <v>443</v>
      </c>
      <c r="AY78" s="328" t="s">
        <v>443</v>
      </c>
      <c r="AZ78" s="328">
        <v>83.33</v>
      </c>
      <c r="BA78" s="332">
        <v>41.18</v>
      </c>
      <c r="BB78" s="432"/>
      <c r="BC78" s="328" t="s">
        <v>443</v>
      </c>
      <c r="BD78" s="328" t="s">
        <v>443</v>
      </c>
      <c r="BE78" s="327">
        <v>57.14</v>
      </c>
      <c r="BF78" s="328" t="s">
        <v>443</v>
      </c>
      <c r="BG78" s="327">
        <v>50</v>
      </c>
      <c r="BH78" s="327">
        <v>50</v>
      </c>
      <c r="BI78" s="332">
        <v>36.840000000000003</v>
      </c>
      <c r="BJ78" s="432"/>
      <c r="BK78" s="328" t="s">
        <v>443</v>
      </c>
      <c r="BL78" s="332">
        <v>33.33</v>
      </c>
      <c r="BM78" s="432"/>
      <c r="BN78" s="328" t="s">
        <v>443</v>
      </c>
      <c r="BO78" s="328" t="s">
        <v>443</v>
      </c>
      <c r="BP78" s="328" t="s">
        <v>443</v>
      </c>
      <c r="BQ78" s="328" t="s">
        <v>443</v>
      </c>
      <c r="BR78" s="432"/>
      <c r="BS78" s="328" t="s">
        <v>443</v>
      </c>
      <c r="BT78" s="328" t="s">
        <v>443</v>
      </c>
      <c r="BU78" s="332">
        <v>34.380000000000003</v>
      </c>
      <c r="BV78" s="332">
        <v>17.649999999999999</v>
      </c>
      <c r="BW78" s="432"/>
      <c r="BX78" s="328" t="s">
        <v>443</v>
      </c>
      <c r="BY78" s="328" t="s">
        <v>443</v>
      </c>
      <c r="BZ78" s="432"/>
      <c r="CA78" s="328" t="s">
        <v>443</v>
      </c>
      <c r="CB78" s="328" t="s">
        <v>443</v>
      </c>
      <c r="CC78" s="432"/>
      <c r="CD78" s="332">
        <v>33.33</v>
      </c>
      <c r="CE78" s="328">
        <v>69.23</v>
      </c>
      <c r="CF78" s="432"/>
      <c r="CG78" s="328" t="s">
        <v>443</v>
      </c>
      <c r="CH78" s="328" t="s">
        <v>443</v>
      </c>
      <c r="CI78" s="432"/>
      <c r="CJ78" s="328" t="s">
        <v>443</v>
      </c>
      <c r="CK78" s="328" t="s">
        <v>443</v>
      </c>
      <c r="CL78" s="328" t="s">
        <v>443</v>
      </c>
      <c r="CM78" s="328">
        <v>63.64</v>
      </c>
      <c r="CN78" s="432"/>
      <c r="CO78" s="327">
        <v>50</v>
      </c>
      <c r="CP78" s="328">
        <v>62.77</v>
      </c>
      <c r="CQ78" s="328">
        <v>70</v>
      </c>
      <c r="CR78" s="432"/>
      <c r="CS78" s="328">
        <v>71.430000000000007</v>
      </c>
      <c r="CT78" s="328" t="s">
        <v>443</v>
      </c>
      <c r="CU78" s="329">
        <v>85.71</v>
      </c>
      <c r="CV78" s="329">
        <v>85.71</v>
      </c>
      <c r="CW78" s="332">
        <v>16.670000000000002</v>
      </c>
      <c r="CX78" s="328" t="s">
        <v>443</v>
      </c>
      <c r="CY78" s="432"/>
      <c r="CZ78" s="328" t="s">
        <v>443</v>
      </c>
      <c r="DA78" s="432"/>
      <c r="DB78" s="328" t="s">
        <v>443</v>
      </c>
      <c r="DC78" s="432"/>
      <c r="DD78" s="328">
        <v>83.33</v>
      </c>
      <c r="DE78" s="432"/>
      <c r="DF78" s="332">
        <v>41.18</v>
      </c>
      <c r="DG78" s="432"/>
      <c r="DH78" s="328" t="s">
        <v>443</v>
      </c>
      <c r="DI78" s="432"/>
      <c r="DJ78" s="328" t="s">
        <v>443</v>
      </c>
      <c r="DK78" s="432"/>
      <c r="DL78" s="328" t="s">
        <v>443</v>
      </c>
      <c r="DM78" s="327">
        <v>50</v>
      </c>
      <c r="DN78" s="327">
        <v>45.45</v>
      </c>
      <c r="DO78" s="327">
        <v>50</v>
      </c>
      <c r="DP78" s="328" t="s">
        <v>443</v>
      </c>
      <c r="DQ78" s="327">
        <v>55.56</v>
      </c>
      <c r="DR78" s="327">
        <v>46.43</v>
      </c>
      <c r="DS78" s="328">
        <v>61.54</v>
      </c>
      <c r="DT78" s="329">
        <v>100</v>
      </c>
      <c r="DU78" s="328" t="s">
        <v>443</v>
      </c>
      <c r="DV78" s="329">
        <v>100</v>
      </c>
      <c r="DW78" s="432"/>
      <c r="DX78" s="328" t="s">
        <v>443</v>
      </c>
      <c r="DY78" s="432"/>
      <c r="DZ78" s="328" t="s">
        <v>443</v>
      </c>
      <c r="EA78" s="328" t="s">
        <v>443</v>
      </c>
      <c r="EB78" s="328" t="s">
        <v>443</v>
      </c>
      <c r="EC78" s="432"/>
      <c r="ED78" s="328" t="s">
        <v>443</v>
      </c>
      <c r="EE78" s="328" t="s">
        <v>443</v>
      </c>
      <c r="EF78" s="432"/>
      <c r="EG78" s="332">
        <v>26.32</v>
      </c>
      <c r="EH78" s="327">
        <v>47.37</v>
      </c>
      <c r="EI78" s="432"/>
      <c r="EJ78" s="332">
        <v>40</v>
      </c>
      <c r="EK78" s="327">
        <v>58.8</v>
      </c>
      <c r="EL78" s="432"/>
      <c r="EM78" s="327">
        <v>49.28</v>
      </c>
      <c r="EN78" s="332">
        <v>38.1</v>
      </c>
      <c r="EO78" s="332">
        <v>40</v>
      </c>
      <c r="EP78" s="328">
        <v>67.42</v>
      </c>
      <c r="EQ78" s="332">
        <v>20</v>
      </c>
    </row>
    <row r="79" spans="1:147">
      <c r="A79" s="454"/>
      <c r="B79" s="454"/>
      <c r="C79" s="454"/>
      <c r="D79" s="454"/>
      <c r="E79" s="454"/>
      <c r="F79" s="454"/>
      <c r="G79" s="454"/>
      <c r="H79" s="454"/>
      <c r="I79" s="454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  <c r="AL79" s="454"/>
      <c r="AM79" s="454"/>
      <c r="AN79" s="454"/>
      <c r="AT79" s="454"/>
      <c r="BB79" s="454"/>
      <c r="BK79" s="454"/>
      <c r="BL79" s="454"/>
      <c r="BN79" s="454"/>
      <c r="BO79" s="454"/>
    </row>
    <row r="80" spans="1:147">
      <c r="A80" s="454"/>
      <c r="B80" s="454"/>
      <c r="C80" s="454"/>
      <c r="D80" s="455" t="s">
        <v>805</v>
      </c>
      <c r="E80" s="456"/>
      <c r="G80" s="329"/>
      <c r="H80" s="455" t="s">
        <v>899</v>
      </c>
      <c r="K80" s="327"/>
      <c r="L80" s="455" t="s">
        <v>900</v>
      </c>
      <c r="N80" s="454"/>
      <c r="O80" s="454"/>
      <c r="P80" s="454"/>
      <c r="Q80" s="454"/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  <c r="AL80" s="454"/>
      <c r="AM80" s="454"/>
      <c r="AN80" s="454"/>
      <c r="AT80" s="454"/>
      <c r="BB80" s="454"/>
      <c r="BK80" s="454"/>
      <c r="BL80" s="454"/>
      <c r="BN80" s="454"/>
      <c r="BO80" s="454"/>
    </row>
    <row r="81" spans="1:77">
      <c r="A81" s="454"/>
      <c r="B81" s="454"/>
      <c r="C81" s="457" t="s">
        <v>901</v>
      </c>
      <c r="D81" s="454"/>
      <c r="E81" s="458"/>
      <c r="G81" s="328"/>
      <c r="H81" s="455" t="s">
        <v>902</v>
      </c>
      <c r="K81" s="332"/>
      <c r="L81" s="455" t="s">
        <v>903</v>
      </c>
      <c r="O81" s="454"/>
      <c r="P81" s="454"/>
      <c r="Q81" s="454"/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  <c r="AL81" s="454"/>
      <c r="AM81" s="454"/>
      <c r="AN81" s="454"/>
      <c r="AO81" s="454"/>
      <c r="AP81" s="454"/>
      <c r="AT81" s="454"/>
      <c r="BB81" s="454"/>
      <c r="BK81" s="454"/>
      <c r="BL81" s="454"/>
      <c r="BN81" s="454"/>
      <c r="BO81" s="454"/>
      <c r="BP81" s="454"/>
      <c r="BQ81" s="454"/>
      <c r="BS81" s="454"/>
      <c r="BT81" s="454"/>
      <c r="BU81" s="454"/>
      <c r="BV81" s="454"/>
      <c r="BX81" s="454"/>
      <c r="BY81" s="454"/>
    </row>
    <row r="82" spans="1:77">
      <c r="A82" s="454"/>
      <c r="B82" s="454"/>
      <c r="C82" s="454"/>
      <c r="F82" s="454"/>
      <c r="G82" s="454"/>
      <c r="H82" s="454"/>
      <c r="I82" s="454"/>
      <c r="J82" s="454"/>
      <c r="K82" s="454"/>
      <c r="L82" s="454"/>
      <c r="O82" s="454"/>
      <c r="P82" s="454"/>
      <c r="Q82" s="454"/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/>
      <c r="AG82" s="454"/>
      <c r="AH82" s="454"/>
      <c r="AI82" s="454"/>
      <c r="AJ82" s="454"/>
      <c r="AK82" s="454"/>
      <c r="AL82" s="454"/>
      <c r="AM82" s="454"/>
      <c r="AN82" s="454"/>
      <c r="AT82" s="454"/>
      <c r="BB82" s="454"/>
      <c r="BK82" s="454"/>
      <c r="BL82" s="454"/>
      <c r="BN82" s="454"/>
    </row>
    <row r="83" spans="1:77">
      <c r="A83" s="454"/>
      <c r="B83" s="454"/>
      <c r="C83" s="454"/>
      <c r="E83" s="454"/>
      <c r="F83" s="454"/>
      <c r="G83" s="454"/>
      <c r="H83" s="454"/>
      <c r="I83" s="454"/>
      <c r="J83" s="454"/>
      <c r="K83" s="454"/>
      <c r="L83" s="454"/>
      <c r="M83" s="454"/>
      <c r="N83" s="454"/>
      <c r="O83" s="454"/>
      <c r="P83" s="454"/>
      <c r="Q83" s="454"/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/>
      <c r="AG83" s="454"/>
      <c r="AH83" s="454"/>
      <c r="AI83" s="454"/>
      <c r="AJ83" s="454"/>
      <c r="AK83" s="454"/>
      <c r="AL83" s="454"/>
      <c r="AM83" s="454"/>
      <c r="AN83" s="454"/>
      <c r="AT83" s="454"/>
      <c r="BB83" s="454"/>
      <c r="BK83" s="454"/>
      <c r="BL83" s="454"/>
      <c r="BN83" s="454"/>
      <c r="BO83" s="454"/>
    </row>
    <row r="84" spans="1:77">
      <c r="A84" s="454"/>
      <c r="B84" s="454"/>
      <c r="C84" s="459" t="s">
        <v>808</v>
      </c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4"/>
      <c r="AJ84" s="454"/>
      <c r="AK84" s="454"/>
      <c r="AL84" s="454"/>
      <c r="AM84" s="454"/>
      <c r="AN84" s="454"/>
      <c r="AT84" s="454"/>
      <c r="BB84" s="454"/>
      <c r="BK84" s="454"/>
      <c r="BL84" s="454"/>
      <c r="BN84" s="454"/>
    </row>
    <row r="85" spans="1:77">
      <c r="A85" s="454"/>
      <c r="B85" s="454"/>
      <c r="C85" s="459" t="s">
        <v>809</v>
      </c>
      <c r="D85" s="454"/>
      <c r="E85" s="454"/>
      <c r="F85" s="454"/>
      <c r="G85" s="454"/>
      <c r="H85" s="454"/>
      <c r="I85" s="454"/>
      <c r="J85" s="454"/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/>
      <c r="AG85" s="454"/>
      <c r="AH85" s="454"/>
      <c r="AI85" s="454"/>
      <c r="AJ85" s="454"/>
      <c r="AK85" s="454"/>
      <c r="AL85" s="454"/>
      <c r="AM85" s="454"/>
      <c r="AN85" s="454"/>
      <c r="AT85" s="454"/>
      <c r="BB85" s="454"/>
      <c r="BK85" s="454"/>
      <c r="BL85" s="454"/>
      <c r="BN85" s="454"/>
    </row>
    <row r="86" spans="1:77">
      <c r="A86" s="454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</row>
  </sheetData>
  <mergeCells count="40">
    <mergeCell ref="A19:C19"/>
    <mergeCell ref="CJ1:CM1"/>
    <mergeCell ref="CO1:CQ1"/>
    <mergeCell ref="CS1:CX1"/>
    <mergeCell ref="DL1:DV1"/>
    <mergeCell ref="BN1:BQ1"/>
    <mergeCell ref="BS1:BV1"/>
    <mergeCell ref="BX1:BY1"/>
    <mergeCell ref="CA1:CB1"/>
    <mergeCell ref="CD1:CE1"/>
    <mergeCell ref="CG1:CH1"/>
    <mergeCell ref="AE1:AF1"/>
    <mergeCell ref="AH1:AK1"/>
    <mergeCell ref="AM1:AS1"/>
    <mergeCell ref="AU1:BA1"/>
    <mergeCell ref="BC1:BI1"/>
    <mergeCell ref="EG1:EH1"/>
    <mergeCell ref="EJ1:EK1"/>
    <mergeCell ref="EM1:EQ1"/>
    <mergeCell ref="A2:C2"/>
    <mergeCell ref="A5:A18"/>
    <mergeCell ref="DZ1:EB1"/>
    <mergeCell ref="ED1:EE1"/>
    <mergeCell ref="BK1:BL1"/>
    <mergeCell ref="A1:B1"/>
    <mergeCell ref="D1:H1"/>
    <mergeCell ref="J1:N1"/>
    <mergeCell ref="P1:Q1"/>
    <mergeCell ref="S1:W1"/>
    <mergeCell ref="Y1:AC1"/>
    <mergeCell ref="A56:A65"/>
    <mergeCell ref="A66:C66"/>
    <mergeCell ref="A68:C68"/>
    <mergeCell ref="A69:A78"/>
    <mergeCell ref="A20:A32"/>
    <mergeCell ref="A33:C33"/>
    <mergeCell ref="A34:A45"/>
    <mergeCell ref="A46:C46"/>
    <mergeCell ref="A47:A54"/>
    <mergeCell ref="A55:C55"/>
  </mergeCells>
  <conditionalFormatting sqref="F5">
    <cfRule type="cellIs" dxfId="9716" priority="15" operator="between">
      <formula>100</formula>
      <formula>85.5</formula>
    </cfRule>
  </conditionalFormatting>
  <conditionalFormatting sqref="F5">
    <cfRule type="cellIs" dxfId="9715" priority="13" operator="between">
      <formula>44.49</formula>
      <formula>0</formula>
    </cfRule>
    <cfRule type="cellIs" dxfId="9714" priority="14" operator="between">
      <formula>60.49</formula>
      <formula>44.5</formula>
    </cfRule>
  </conditionalFormatting>
  <conditionalFormatting sqref="F5">
    <cfRule type="cellIs" dxfId="9713" priority="12" operator="between">
      <formula>60.5</formula>
      <formula>85.49</formula>
    </cfRule>
  </conditionalFormatting>
  <conditionalFormatting sqref="F5">
    <cfRule type="cellIs" dxfId="9712" priority="11" operator="equal">
      <formula>"**"</formula>
    </cfRule>
  </conditionalFormatting>
  <conditionalFormatting sqref="F6:F18 F20:F32 F34:F45 F47:F54 F56:F62">
    <cfRule type="cellIs" dxfId="9711" priority="10" operator="between">
      <formula>100</formula>
      <formula>85.5</formula>
    </cfRule>
  </conditionalFormatting>
  <conditionalFormatting sqref="F6:F18 F20:F32 F34:F45 F47:F54 F56:F62">
    <cfRule type="cellIs" dxfId="9710" priority="8" operator="between">
      <formula>44.49</formula>
      <formula>0</formula>
    </cfRule>
    <cfRule type="cellIs" dxfId="9709" priority="9" operator="between">
      <formula>60.49</formula>
      <formula>44.5</formula>
    </cfRule>
  </conditionalFormatting>
  <conditionalFormatting sqref="F6:F18 F20:F32 F34:F45 F47:F54 F56:F62">
    <cfRule type="cellIs" dxfId="9708" priority="7" operator="between">
      <formula>60.5</formula>
      <formula>85.49</formula>
    </cfRule>
  </conditionalFormatting>
  <conditionalFormatting sqref="F6:F18 F20:F32 F34:F45 F47:F54 F56:F62">
    <cfRule type="cellIs" dxfId="9707" priority="6" operator="equal">
      <formula>"**"</formula>
    </cfRule>
  </conditionalFormatting>
  <conditionalFormatting sqref="F67 F63:F65">
    <cfRule type="cellIs" dxfId="9706" priority="5" operator="between">
      <formula>100</formula>
      <formula>85.5</formula>
    </cfRule>
  </conditionalFormatting>
  <conditionalFormatting sqref="F67 F63:F65">
    <cfRule type="cellIs" dxfId="9705" priority="3" operator="between">
      <formula>44.49</formula>
      <formula>0</formula>
    </cfRule>
    <cfRule type="cellIs" dxfId="9704" priority="4" operator="between">
      <formula>60.49</formula>
      <formula>44.5</formula>
    </cfRule>
  </conditionalFormatting>
  <conditionalFormatting sqref="F67 F63:F65">
    <cfRule type="cellIs" dxfId="9703" priority="2" operator="between">
      <formula>60.5</formula>
      <formula>85.49</formula>
    </cfRule>
  </conditionalFormatting>
  <conditionalFormatting sqref="F67 F63:F65">
    <cfRule type="cellIs" dxfId="9702" priority="1" operator="equal">
      <formula>"**"</formula>
    </cfRule>
  </conditionalFormatting>
  <pageMargins left="0.75" right="0.75" top="1" bottom="1" header="0.5" footer="0.5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U48"/>
  <sheetViews>
    <sheetView showGridLines="0" zoomScaleNormal="100" workbookViewId="0">
      <selection activeCell="A2" sqref="A2:K8"/>
    </sheetView>
  </sheetViews>
  <sheetFormatPr baseColWidth="10" defaultColWidth="11.42578125" defaultRowHeight="14.25"/>
  <cols>
    <col min="1" max="1" width="32" style="25" customWidth="1"/>
    <col min="2" max="2" width="11.42578125" style="25" customWidth="1"/>
    <col min="3" max="3" width="8.5703125" style="25" customWidth="1"/>
    <col min="4" max="4" width="10.85546875" style="25" customWidth="1"/>
    <col min="5" max="5" width="9.140625" style="25" customWidth="1"/>
    <col min="6" max="6" width="11.140625" style="25" customWidth="1"/>
    <col min="7" max="7" width="10" style="25" customWidth="1"/>
    <col min="8" max="8" width="9.140625" style="25" customWidth="1"/>
    <col min="9" max="9" width="10.5703125" style="25" customWidth="1"/>
    <col min="10" max="10" width="8" style="25" customWidth="1"/>
    <col min="11" max="11" width="10" style="21" customWidth="1"/>
    <col min="12" max="13" width="11.42578125" style="25"/>
    <col min="14" max="14" width="15.28515625" style="25" customWidth="1"/>
    <col min="15" max="16" width="11.42578125" style="25"/>
    <col min="17" max="17" width="15" style="25" bestFit="1" customWidth="1"/>
    <col min="18" max="18" width="9.140625" style="25" bestFit="1" customWidth="1"/>
    <col min="19" max="16384" width="11.42578125" style="25"/>
  </cols>
  <sheetData>
    <row r="1" spans="1:18" ht="15" thickBot="1"/>
    <row r="2" spans="1:18" ht="41.25" customHeight="1" thickBot="1">
      <c r="A2" s="484" t="s">
        <v>232</v>
      </c>
      <c r="B2" s="485">
        <v>2007</v>
      </c>
      <c r="C2" s="485">
        <v>2008</v>
      </c>
      <c r="D2" s="485">
        <v>2009</v>
      </c>
      <c r="E2" s="485">
        <v>2010</v>
      </c>
      <c r="F2" s="485">
        <v>2011</v>
      </c>
      <c r="G2" s="485">
        <v>2012</v>
      </c>
      <c r="H2" s="485">
        <v>2013</v>
      </c>
      <c r="I2" s="485">
        <v>2014</v>
      </c>
      <c r="J2" s="485">
        <v>2015</v>
      </c>
      <c r="K2" s="485">
        <v>2016</v>
      </c>
      <c r="L2" s="98"/>
    </row>
    <row r="3" spans="1:18" ht="25.5" customHeight="1" thickBot="1">
      <c r="A3" s="486" t="s">
        <v>233</v>
      </c>
      <c r="B3" s="487">
        <v>376</v>
      </c>
      <c r="C3" s="487">
        <v>387</v>
      </c>
      <c r="D3" s="487">
        <v>532</v>
      </c>
      <c r="E3" s="487">
        <v>581</v>
      </c>
      <c r="F3" s="487">
        <v>676</v>
      </c>
      <c r="G3" s="487">
        <v>704</v>
      </c>
      <c r="H3" s="487">
        <v>711</v>
      </c>
      <c r="I3" s="487">
        <v>669</v>
      </c>
      <c r="J3" s="487">
        <v>664</v>
      </c>
      <c r="K3" s="487">
        <v>669</v>
      </c>
      <c r="L3" s="98" t="s">
        <v>214</v>
      </c>
    </row>
    <row r="4" spans="1:18" ht="25.5" customHeight="1" thickBot="1">
      <c r="A4" s="486" t="s">
        <v>2</v>
      </c>
      <c r="B4" s="487">
        <v>336</v>
      </c>
      <c r="C4" s="487">
        <v>364</v>
      </c>
      <c r="D4" s="487">
        <v>491</v>
      </c>
      <c r="E4" s="487">
        <v>448</v>
      </c>
      <c r="F4" s="487">
        <v>560</v>
      </c>
      <c r="G4" s="487">
        <v>594</v>
      </c>
      <c r="H4" s="487">
        <v>610</v>
      </c>
      <c r="I4" s="487">
        <v>580</v>
      </c>
      <c r="J4" s="487">
        <v>600</v>
      </c>
      <c r="K4" s="487">
        <v>546</v>
      </c>
    </row>
    <row r="5" spans="1:18" ht="25.5" customHeight="1" thickBot="1">
      <c r="A5" s="486" t="s">
        <v>234</v>
      </c>
      <c r="B5" s="488">
        <v>0.9</v>
      </c>
      <c r="C5" s="488">
        <v>0.94099999999999995</v>
      </c>
      <c r="D5" s="488">
        <v>0.92</v>
      </c>
      <c r="E5" s="488">
        <v>0.77</v>
      </c>
      <c r="F5" s="488">
        <v>0.83</v>
      </c>
      <c r="G5" s="488">
        <v>0.84</v>
      </c>
      <c r="H5" s="488">
        <v>0.86</v>
      </c>
      <c r="I5" s="488">
        <v>0.87</v>
      </c>
      <c r="J5" s="488">
        <f>J4/J3</f>
        <v>0.90361445783132532</v>
      </c>
      <c r="K5" s="488">
        <f>K4/K3</f>
        <v>0.81614349775784756</v>
      </c>
    </row>
    <row r="6" spans="1:18" ht="25.5" customHeight="1" thickBot="1">
      <c r="A6" s="486" t="str">
        <f>"Margen de error ("&amp;TEXT(VLOOKUP(O30,$Q$14:$R$17,2,0),0&amp;"%")&amp;" Conf.)"</f>
        <v>Margen de error (95% Conf.)</v>
      </c>
      <c r="B6" s="489">
        <v>1.6400000000000001E-2</v>
      </c>
      <c r="C6" s="489">
        <v>1.2500000000000001E-2</v>
      </c>
      <c r="D6" s="489">
        <v>1.23E-2</v>
      </c>
      <c r="E6" s="489">
        <v>2.2200000000000001E-2</v>
      </c>
      <c r="F6" s="489">
        <v>1.72E-2</v>
      </c>
      <c r="G6" s="489">
        <v>1.5900000000000001E-2</v>
      </c>
      <c r="H6" s="489">
        <v>1.4999999999999999E-2</v>
      </c>
      <c r="I6" s="489">
        <v>1.4800000000000001E-2</v>
      </c>
      <c r="J6" s="489">
        <v>1.24E-2</v>
      </c>
      <c r="K6" s="489">
        <f>O41</f>
        <v>1.7983294280377496E-2</v>
      </c>
    </row>
    <row r="7" spans="1:18" ht="25.5" customHeight="1" thickBot="1">
      <c r="A7" s="486" t="s">
        <v>235</v>
      </c>
      <c r="B7" s="490">
        <v>41081</v>
      </c>
      <c r="C7" s="490">
        <v>41078</v>
      </c>
      <c r="D7" s="490">
        <v>41076</v>
      </c>
      <c r="E7" s="490">
        <v>41088</v>
      </c>
      <c r="F7" s="490">
        <v>41112</v>
      </c>
      <c r="G7" s="490">
        <v>41117</v>
      </c>
      <c r="H7" s="490">
        <v>41484</v>
      </c>
      <c r="I7" s="490">
        <v>41827</v>
      </c>
      <c r="J7" s="490">
        <v>42193</v>
      </c>
      <c r="K7" s="490">
        <v>42559</v>
      </c>
      <c r="L7" s="98" t="s">
        <v>214</v>
      </c>
    </row>
    <row r="8" spans="1:18" ht="25.5" customHeight="1" thickBot="1">
      <c r="A8" s="486" t="s">
        <v>236</v>
      </c>
      <c r="B8" s="487" t="s">
        <v>298</v>
      </c>
      <c r="C8" s="487" t="s">
        <v>298</v>
      </c>
      <c r="D8" s="487" t="s">
        <v>298</v>
      </c>
      <c r="E8" s="487" t="s">
        <v>298</v>
      </c>
      <c r="F8" s="487" t="s">
        <v>298</v>
      </c>
      <c r="G8" s="487" t="s">
        <v>298</v>
      </c>
      <c r="H8" s="487" t="s">
        <v>298</v>
      </c>
      <c r="I8" s="487" t="s">
        <v>298</v>
      </c>
      <c r="J8" s="487" t="s">
        <v>298</v>
      </c>
      <c r="K8" s="487" t="s">
        <v>298</v>
      </c>
      <c r="L8" s="98" t="s">
        <v>214</v>
      </c>
    </row>
    <row r="10" spans="1:18" ht="22.5">
      <c r="N10" s="100" t="s">
        <v>134</v>
      </c>
    </row>
    <row r="12" spans="1:18">
      <c r="N12" s="513" t="s">
        <v>135</v>
      </c>
      <c r="O12" s="513"/>
      <c r="Q12" s="514" t="s">
        <v>136</v>
      </c>
      <c r="R12" s="514"/>
    </row>
    <row r="13" spans="1:18">
      <c r="N13" s="101" t="s">
        <v>137</v>
      </c>
      <c r="O13" s="101">
        <v>1.96</v>
      </c>
      <c r="Q13" s="102" t="s">
        <v>137</v>
      </c>
      <c r="R13" s="102" t="s">
        <v>138</v>
      </c>
    </row>
    <row r="14" spans="1:18">
      <c r="N14" s="101" t="s">
        <v>139</v>
      </c>
      <c r="O14" s="101">
        <v>0.05</v>
      </c>
      <c r="P14" s="25">
        <v>1</v>
      </c>
      <c r="Q14" s="102">
        <v>1.282</v>
      </c>
      <c r="R14" s="103">
        <v>0.8</v>
      </c>
    </row>
    <row r="15" spans="1:18">
      <c r="N15" s="101" t="s">
        <v>140</v>
      </c>
      <c r="O15" s="101">
        <v>0.5</v>
      </c>
      <c r="P15" s="25">
        <v>2</v>
      </c>
      <c r="Q15" s="102">
        <v>1.44</v>
      </c>
      <c r="R15" s="103">
        <v>0.85</v>
      </c>
    </row>
    <row r="16" spans="1:18">
      <c r="N16" s="101" t="s">
        <v>141</v>
      </c>
      <c r="O16" s="101">
        <v>0.5</v>
      </c>
      <c r="P16" s="25">
        <v>3</v>
      </c>
      <c r="Q16" s="101">
        <v>1.65</v>
      </c>
      <c r="R16" s="104">
        <v>0.9</v>
      </c>
    </row>
    <row r="17" spans="13:18">
      <c r="N17" s="105" t="s">
        <v>142</v>
      </c>
      <c r="O17" s="105">
        <v>115</v>
      </c>
      <c r="P17" s="25">
        <v>4</v>
      </c>
      <c r="Q17" s="101">
        <v>1.96</v>
      </c>
      <c r="R17" s="104">
        <v>0.95</v>
      </c>
    </row>
    <row r="19" spans="13:18">
      <c r="N19" s="514" t="s">
        <v>143</v>
      </c>
      <c r="O19" s="514"/>
    </row>
    <row r="20" spans="13:18">
      <c r="N20" s="101" t="s">
        <v>144</v>
      </c>
      <c r="O20" s="101">
        <f>+(O15*O16)</f>
        <v>0.25</v>
      </c>
    </row>
    <row r="21" spans="13:18">
      <c r="N21" s="101" t="s">
        <v>145</v>
      </c>
      <c r="O21" s="106">
        <f>+O14/O13</f>
        <v>2.5510204081632654E-2</v>
      </c>
    </row>
    <row r="22" spans="13:18">
      <c r="N22" s="101" t="s">
        <v>146</v>
      </c>
      <c r="O22" s="106">
        <f>+O21*O21</f>
        <v>6.5077051228654734E-4</v>
      </c>
    </row>
    <row r="23" spans="13:18">
      <c r="N23" s="101" t="s">
        <v>147</v>
      </c>
      <c r="O23" s="101">
        <f>+O20/O17</f>
        <v>2.1739130434782609E-3</v>
      </c>
    </row>
    <row r="24" spans="13:18" ht="15" thickBot="1">
      <c r="N24" s="107" t="s">
        <v>148</v>
      </c>
      <c r="O24" s="108">
        <f>+O20/(O22+O23)</f>
        <v>88.505489221892788</v>
      </c>
    </row>
    <row r="25" spans="13:18" ht="15" thickBot="1">
      <c r="N25" s="107" t="s">
        <v>149</v>
      </c>
      <c r="O25" s="108">
        <f>+O24*2</f>
        <v>177.01097844378558</v>
      </c>
      <c r="Q25" s="109" t="s">
        <v>150</v>
      </c>
      <c r="R25" s="110">
        <f>0.5*0.5/((0.05/1.96)^2+0.5*0.5/275)</f>
        <v>160.2706474907458</v>
      </c>
    </row>
    <row r="27" spans="13:18" ht="22.5">
      <c r="N27" s="100" t="s">
        <v>151</v>
      </c>
    </row>
    <row r="29" spans="13:18">
      <c r="N29" s="513" t="s">
        <v>135</v>
      </c>
      <c r="O29" s="513"/>
      <c r="Q29" s="513" t="s">
        <v>135</v>
      </c>
      <c r="R29" s="513"/>
    </row>
    <row r="30" spans="13:18">
      <c r="M30" s="99">
        <v>4</v>
      </c>
      <c r="N30" s="101" t="s">
        <v>137</v>
      </c>
      <c r="O30" s="101">
        <f>VLOOKUP(M30,$P$14:$Q$17,2,0)</f>
        <v>1.96</v>
      </c>
      <c r="Q30" s="101" t="s">
        <v>137</v>
      </c>
      <c r="R30" s="101">
        <v>1.96</v>
      </c>
    </row>
    <row r="31" spans="13:18">
      <c r="N31" s="101" t="s">
        <v>140</v>
      </c>
      <c r="O31" s="101">
        <v>0.5</v>
      </c>
      <c r="Q31" s="101" t="s">
        <v>140</v>
      </c>
      <c r="R31" s="101">
        <v>0.5</v>
      </c>
    </row>
    <row r="32" spans="13:18" ht="15" thickBot="1">
      <c r="N32" s="101" t="s">
        <v>141</v>
      </c>
      <c r="O32" s="101">
        <v>0.5</v>
      </c>
      <c r="Q32" s="101" t="s">
        <v>141</v>
      </c>
      <c r="R32" s="101">
        <v>0.5</v>
      </c>
    </row>
    <row r="33" spans="14:21" ht="15" thickBot="1">
      <c r="N33" s="105" t="s">
        <v>142</v>
      </c>
      <c r="O33" s="105">
        <f>$K$3</f>
        <v>669</v>
      </c>
      <c r="Q33" s="105" t="s">
        <v>142</v>
      </c>
      <c r="R33" s="105">
        <f>$K$3</f>
        <v>669</v>
      </c>
      <c r="U33" s="111">
        <f>1.65*SQRT(0.5*0.5*(1/50-1/100))</f>
        <v>8.2500000000000004E-2</v>
      </c>
    </row>
    <row r="34" spans="14:21">
      <c r="N34" s="105" t="s">
        <v>148</v>
      </c>
      <c r="O34" s="105">
        <f>$K$4</f>
        <v>546</v>
      </c>
      <c r="Q34" s="105" t="s">
        <v>148</v>
      </c>
      <c r="R34" s="105">
        <f>$K$4</f>
        <v>546</v>
      </c>
    </row>
    <row r="36" spans="14:21">
      <c r="N36" s="514" t="s">
        <v>143</v>
      </c>
      <c r="O36" s="514"/>
      <c r="Q36" s="514" t="s">
        <v>143</v>
      </c>
      <c r="R36" s="514"/>
    </row>
    <row r="37" spans="14:21">
      <c r="N37" s="101" t="s">
        <v>144</v>
      </c>
      <c r="O37" s="101">
        <f>+(O31*O32)</f>
        <v>0.25</v>
      </c>
      <c r="Q37" s="101" t="s">
        <v>144</v>
      </c>
      <c r="R37" s="101">
        <f>+(R31*R32)</f>
        <v>0.25</v>
      </c>
    </row>
    <row r="38" spans="14:21">
      <c r="N38" s="101" t="s">
        <v>152</v>
      </c>
      <c r="O38" s="106">
        <f>1/O34-1/O33</f>
        <v>3.3673352059002278E-4</v>
      </c>
      <c r="Q38" s="101" t="s">
        <v>152</v>
      </c>
      <c r="R38" s="106">
        <f>1/R34-1/R33</f>
        <v>3.3673352059002278E-4</v>
      </c>
    </row>
    <row r="39" spans="14:21">
      <c r="N39" s="101" t="s">
        <v>153</v>
      </c>
      <c r="O39" s="106">
        <f>+O37*O38</f>
        <v>8.4183380147505695E-5</v>
      </c>
      <c r="Q39" s="101" t="s">
        <v>153</v>
      </c>
      <c r="R39" s="106">
        <f>+R37*R38</f>
        <v>8.4183380147505695E-5</v>
      </c>
    </row>
    <row r="40" spans="14:21" ht="15" thickBot="1">
      <c r="N40" s="101" t="s">
        <v>154</v>
      </c>
      <c r="O40" s="101">
        <f>SQRT(O39)</f>
        <v>9.1751501430497422E-3</v>
      </c>
      <c r="Q40" s="101" t="s">
        <v>154</v>
      </c>
      <c r="R40" s="101">
        <f>SQRT(R39)</f>
        <v>9.1751501430497422E-3</v>
      </c>
    </row>
    <row r="41" spans="14:21" ht="15" thickBot="1">
      <c r="N41" s="107" t="s">
        <v>155</v>
      </c>
      <c r="O41" s="112">
        <f>+O40*O30</f>
        <v>1.7983294280377496E-2</v>
      </c>
      <c r="Q41" s="107" t="s">
        <v>155</v>
      </c>
      <c r="R41" s="112">
        <f>+R40*R30</f>
        <v>1.7983294280377496E-2</v>
      </c>
      <c r="T41" s="109" t="s">
        <v>156</v>
      </c>
    </row>
    <row r="44" spans="14:21" ht="15" thickBot="1"/>
    <row r="45" spans="14:21" ht="18.75">
      <c r="N45" s="113"/>
    </row>
    <row r="46" spans="14:21">
      <c r="N46" s="114">
        <f>+O33</f>
        <v>669</v>
      </c>
    </row>
    <row r="47" spans="14:21">
      <c r="N47" s="114">
        <f>+O34</f>
        <v>546</v>
      </c>
    </row>
    <row r="48" spans="14:21" ht="15" thickBot="1">
      <c r="N48" s="115">
        <f>N47/N46*100</f>
        <v>81.61434977578476</v>
      </c>
    </row>
  </sheetData>
  <mergeCells count="7">
    <mergeCell ref="N12:O12"/>
    <mergeCell ref="Q12:R12"/>
    <mergeCell ref="N19:O19"/>
    <mergeCell ref="N29:O29"/>
    <mergeCell ref="N36:O36"/>
    <mergeCell ref="Q29:R29"/>
    <mergeCell ref="Q36:R36"/>
  </mergeCells>
  <pageMargins left="0.75" right="0.75" top="1" bottom="1" header="0" footer="0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Spinner 1">
              <controlPr defaultSize="0" autoPict="0">
                <anchor moveWithCells="1" sizeWithCells="1">
                  <from>
                    <xdr:col>12</xdr:col>
                    <xdr:colOff>38100</xdr:colOff>
                    <xdr:row>28</xdr:row>
                    <xdr:rowOff>114300</xdr:rowOff>
                  </from>
                  <to>
                    <xdr:col>12</xdr:col>
                    <xdr:colOff>695325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W92"/>
  <sheetViews>
    <sheetView showGridLines="0" topLeftCell="E29" zoomScale="80" zoomScaleNormal="80" workbookViewId="0">
      <selection activeCell="U42" sqref="U42"/>
    </sheetView>
  </sheetViews>
  <sheetFormatPr baseColWidth="10" defaultColWidth="11.42578125" defaultRowHeight="14.25"/>
  <cols>
    <col min="1" max="1" width="5" style="97" customWidth="1"/>
    <col min="2" max="2" width="15.28515625" style="22" customWidth="1"/>
    <col min="3" max="3" width="4.140625" style="22" customWidth="1"/>
    <col min="4" max="4" width="88" style="22" bestFit="1" customWidth="1"/>
    <col min="5" max="7" width="9.7109375" style="22" customWidth="1"/>
    <col min="8" max="9" width="11.42578125" style="22"/>
    <col min="10" max="10" width="11.85546875" style="22" bestFit="1" customWidth="1"/>
    <col min="11" max="11" width="28.140625" style="48" customWidth="1"/>
    <col min="12" max="12" width="8.85546875" style="48" customWidth="1"/>
    <col min="13" max="13" width="10.85546875" style="48" customWidth="1"/>
    <col min="14" max="14" width="11.85546875" style="48" customWidth="1"/>
    <col min="15" max="15" width="9.42578125" style="48" customWidth="1"/>
    <col min="16" max="16" width="14" style="48" customWidth="1"/>
    <col min="17" max="17" width="14.5703125" style="48" customWidth="1"/>
    <col min="18" max="18" width="11.42578125" style="49"/>
    <col min="19" max="19" width="13" style="48" bestFit="1" customWidth="1"/>
    <col min="20" max="16384" width="11.42578125" style="22"/>
  </cols>
  <sheetData>
    <row r="1" spans="1:23" ht="34.5" customHeight="1" thickBot="1">
      <c r="A1" s="515" t="s">
        <v>184</v>
      </c>
      <c r="B1" s="515"/>
      <c r="C1" s="46" t="s">
        <v>183</v>
      </c>
      <c r="E1" s="47">
        <v>5</v>
      </c>
      <c r="F1" s="47">
        <v>4</v>
      </c>
      <c r="G1" s="47" t="str">
        <f>IF(Tabla!$A$1=1,"5","6")</f>
        <v>6</v>
      </c>
      <c r="Q1" s="49">
        <f>E1</f>
        <v>5</v>
      </c>
      <c r="R1" s="49">
        <f>+F1</f>
        <v>4</v>
      </c>
      <c r="S1" s="49" t="str">
        <f>+G1</f>
        <v>6</v>
      </c>
      <c r="T1" s="21" t="e">
        <f>+#REF!</f>
        <v>#REF!</v>
      </c>
    </row>
    <row r="2" spans="1:23" ht="24.6" customHeight="1" thickBot="1">
      <c r="A2" s="50" t="s">
        <v>3</v>
      </c>
      <c r="B2" s="51"/>
      <c r="C2" s="52"/>
      <c r="D2" s="51"/>
      <c r="E2" s="51"/>
      <c r="F2" s="51"/>
      <c r="G2" s="51"/>
      <c r="H2" s="53"/>
      <c r="I2" s="53"/>
      <c r="J2" s="53"/>
      <c r="K2" s="54"/>
      <c r="L2" s="54"/>
      <c r="M2" s="54"/>
      <c r="N2" s="54"/>
      <c r="O2" s="54"/>
      <c r="P2" s="54"/>
      <c r="Q2" s="55">
        <f>E3</f>
        <v>2015</v>
      </c>
      <c r="R2" s="55">
        <f>F3</f>
        <v>2016</v>
      </c>
      <c r="S2" s="55" t="str">
        <f>G3</f>
        <v>BMK</v>
      </c>
      <c r="T2" s="55" t="e">
        <f>#REF!</f>
        <v>#REF!</v>
      </c>
      <c r="U2" s="55" t="e">
        <f>#REF!</f>
        <v>#REF!</v>
      </c>
    </row>
    <row r="3" spans="1:23" ht="24.95" customHeight="1" thickBot="1">
      <c r="A3" s="196" t="s">
        <v>67</v>
      </c>
      <c r="B3" s="197"/>
      <c r="C3" s="197" t="s">
        <v>68</v>
      </c>
      <c r="D3" s="197" t="s">
        <v>69</v>
      </c>
      <c r="E3" s="198">
        <v>2015</v>
      </c>
      <c r="F3" s="198">
        <v>2016</v>
      </c>
      <c r="G3" s="197" t="s">
        <v>787</v>
      </c>
      <c r="K3" s="56" t="s">
        <v>3</v>
      </c>
      <c r="L3" s="460"/>
      <c r="M3" s="460"/>
      <c r="N3" s="460"/>
      <c r="O3" s="460"/>
      <c r="P3" s="460"/>
      <c r="Q3" s="228">
        <f>ROUND(AVERAGE(E4:E17),0)</f>
        <v>74</v>
      </c>
      <c r="R3" s="228">
        <f>ROUND(AVERAGE(F4:F17),0)</f>
        <v>70</v>
      </c>
      <c r="S3" s="228">
        <f>ROUND(AVERAGE(G4:G17),0)</f>
        <v>79</v>
      </c>
      <c r="T3" s="228" t="e">
        <f>ROUND(AVERAGE(#REF!),0)</f>
        <v>#REF!</v>
      </c>
      <c r="U3" s="228">
        <f>ROUND(AVERAGE(H4:H17),0)</f>
        <v>-5</v>
      </c>
      <c r="V3" s="266"/>
      <c r="W3" s="266"/>
    </row>
    <row r="4" spans="1:23" ht="24.95" customHeight="1">
      <c r="A4" s="555" t="s">
        <v>70</v>
      </c>
      <c r="B4" s="556" t="s">
        <v>71</v>
      </c>
      <c r="C4" s="403">
        <v>1</v>
      </c>
      <c r="D4" s="404" t="s">
        <v>4</v>
      </c>
      <c r="E4" s="281">
        <v>65.11</v>
      </c>
      <c r="F4" s="281">
        <v>61.58</v>
      </c>
      <c r="G4" s="281">
        <v>73.260000000000005</v>
      </c>
      <c r="H4" s="279">
        <f t="shared" ref="H4:H17" si="0">F4-E4</f>
        <v>-3.5300000000000011</v>
      </c>
      <c r="I4" s="57"/>
      <c r="J4" s="58"/>
      <c r="K4" s="59" t="s">
        <v>70</v>
      </c>
      <c r="L4" s="59"/>
      <c r="M4" s="59"/>
      <c r="N4" s="59"/>
      <c r="O4" s="59"/>
      <c r="P4" s="59"/>
      <c r="Q4" s="229">
        <f>ROUND(AVERAGE(E4:E7),0)</f>
        <v>73</v>
      </c>
      <c r="R4" s="229">
        <f>ROUND(AVERAGE(F4:F7),0)</f>
        <v>69</v>
      </c>
      <c r="S4" s="229">
        <f>ROUND(AVERAGE(G4:G7),0)</f>
        <v>78</v>
      </c>
      <c r="T4" s="229" t="e">
        <f>ROUND(AVERAGE(#REF!),0)</f>
        <v>#REF!</v>
      </c>
      <c r="U4" s="229" t="e">
        <f>ROUND(AVERAGE(#REF!),0)</f>
        <v>#REF!</v>
      </c>
      <c r="V4" s="266"/>
      <c r="W4" s="266"/>
    </row>
    <row r="5" spans="1:23" ht="24.95" customHeight="1" thickBot="1">
      <c r="A5" s="551"/>
      <c r="B5" s="554"/>
      <c r="C5" s="405">
        <v>2</v>
      </c>
      <c r="D5" s="406" t="s">
        <v>5</v>
      </c>
      <c r="E5" s="280">
        <v>67.67</v>
      </c>
      <c r="F5" s="280">
        <v>64.290000000000006</v>
      </c>
      <c r="G5" s="280">
        <v>73.92</v>
      </c>
      <c r="H5" s="279">
        <f t="shared" si="0"/>
        <v>-3.3799999999999955</v>
      </c>
      <c r="I5" s="60"/>
      <c r="K5" s="61" t="s">
        <v>73</v>
      </c>
      <c r="L5" s="461"/>
      <c r="M5" s="461"/>
      <c r="N5" s="461"/>
      <c r="O5" s="461"/>
      <c r="P5" s="461"/>
      <c r="Q5" s="230">
        <f>ROUND(AVERAGE(E8:E13),0)</f>
        <v>75</v>
      </c>
      <c r="R5" s="230">
        <f>ROUND(AVERAGE(F8:F13),0)</f>
        <v>71</v>
      </c>
      <c r="S5" s="230">
        <f>ROUND(AVERAGE(G8:G13),0)</f>
        <v>80</v>
      </c>
      <c r="T5" s="230" t="e">
        <f>ROUND(AVERAGE(#REF!),0)</f>
        <v>#REF!</v>
      </c>
      <c r="U5" s="230" t="e">
        <f>ROUND(AVERAGE(#REF!),0)</f>
        <v>#REF!</v>
      </c>
      <c r="V5" s="266"/>
      <c r="W5" s="266"/>
    </row>
    <row r="6" spans="1:23" ht="24.95" customHeight="1" thickBot="1">
      <c r="A6" s="551"/>
      <c r="B6" s="553" t="s">
        <v>72</v>
      </c>
      <c r="C6" s="407">
        <v>3</v>
      </c>
      <c r="D6" s="408" t="s">
        <v>6</v>
      </c>
      <c r="E6" s="281">
        <v>76.33</v>
      </c>
      <c r="F6" s="281">
        <v>72.34</v>
      </c>
      <c r="G6" s="281">
        <v>81.55</v>
      </c>
      <c r="H6" s="279">
        <f t="shared" si="0"/>
        <v>-3.9899999999999949</v>
      </c>
      <c r="I6" s="60"/>
      <c r="K6" s="62" t="s">
        <v>77</v>
      </c>
      <c r="L6" s="462"/>
      <c r="M6" s="462"/>
      <c r="N6" s="462"/>
      <c r="O6" s="462"/>
      <c r="P6" s="462"/>
      <c r="Q6" s="231">
        <f>ROUND(AVERAGE(E14:E17),0)</f>
        <v>76</v>
      </c>
      <c r="R6" s="231">
        <f>ROUND(AVERAGE(F14:F17),0)</f>
        <v>68</v>
      </c>
      <c r="S6" s="231">
        <f>ROUND(AVERAGE(G14:G17),0)</f>
        <v>79</v>
      </c>
      <c r="T6" s="231" t="e">
        <f>ROUND(AVERAGE(#REF!),0)</f>
        <v>#REF!</v>
      </c>
      <c r="U6" s="231" t="e">
        <f>ROUND(AVERAGE(#REF!),0)</f>
        <v>#REF!</v>
      </c>
      <c r="V6" s="266"/>
      <c r="W6" s="266"/>
    </row>
    <row r="7" spans="1:23" ht="24.95" customHeight="1" thickBot="1">
      <c r="A7" s="552"/>
      <c r="B7" s="554"/>
      <c r="C7" s="405">
        <v>4</v>
      </c>
      <c r="D7" s="406" t="s">
        <v>7</v>
      </c>
      <c r="E7" s="282">
        <v>80.97</v>
      </c>
      <c r="F7" s="282">
        <v>77.94</v>
      </c>
      <c r="G7" s="282">
        <v>85.01</v>
      </c>
      <c r="H7" s="279">
        <f t="shared" si="0"/>
        <v>-3.0300000000000011</v>
      </c>
      <c r="K7" s="63" t="s">
        <v>18</v>
      </c>
      <c r="L7" s="463"/>
      <c r="M7" s="463"/>
      <c r="N7" s="463"/>
      <c r="O7" s="463"/>
      <c r="P7" s="463"/>
      <c r="Q7" s="232">
        <f>ROUND(AVERAGE(E20:E32),0)</f>
        <v>74</v>
      </c>
      <c r="R7" s="232">
        <f>ROUND(AVERAGE(F20:F32),0)</f>
        <v>71</v>
      </c>
      <c r="S7" s="232">
        <f>ROUND(AVERAGE(G20:G32),0)</f>
        <v>77</v>
      </c>
      <c r="T7" s="232" t="e">
        <f>ROUND(AVERAGE(#REF!),0)</f>
        <v>#REF!</v>
      </c>
      <c r="U7" s="232">
        <f>ROUND(AVERAGE(H20:H32),0)</f>
        <v>-3</v>
      </c>
      <c r="V7" s="266"/>
      <c r="W7" s="266"/>
    </row>
    <row r="8" spans="1:23" ht="24.95" customHeight="1">
      <c r="A8" s="551" t="s">
        <v>73</v>
      </c>
      <c r="B8" s="553" t="s">
        <v>74</v>
      </c>
      <c r="C8" s="407">
        <v>5</v>
      </c>
      <c r="D8" s="408" t="s">
        <v>8</v>
      </c>
      <c r="E8" s="281">
        <v>78.36</v>
      </c>
      <c r="F8" s="281">
        <v>71.540000000000006</v>
      </c>
      <c r="G8" s="281">
        <v>82.79</v>
      </c>
      <c r="H8" s="279">
        <f t="shared" si="0"/>
        <v>-6.8199999999999932</v>
      </c>
      <c r="K8" s="64" t="s">
        <v>80</v>
      </c>
      <c r="L8" s="464"/>
      <c r="M8" s="464"/>
      <c r="N8" s="464"/>
      <c r="O8" s="464"/>
      <c r="P8" s="464"/>
      <c r="Q8" s="233">
        <f>ROUND(AVERAGE(E20:E23),0)</f>
        <v>74</v>
      </c>
      <c r="R8" s="233">
        <f>ROUND(AVERAGE(F20:F23),0)</f>
        <v>72</v>
      </c>
      <c r="S8" s="233">
        <f>ROUND(AVERAGE(G20:G23),0)</f>
        <v>77</v>
      </c>
      <c r="T8" s="233" t="e">
        <f>ROUND(AVERAGE(#REF!),0)</f>
        <v>#REF!</v>
      </c>
      <c r="U8" s="233" t="e">
        <f>ROUND(AVERAGE(#REF!),0)</f>
        <v>#REF!</v>
      </c>
      <c r="V8" s="266"/>
      <c r="W8" s="266"/>
    </row>
    <row r="9" spans="1:23" ht="24.95" customHeight="1">
      <c r="A9" s="551"/>
      <c r="B9" s="553"/>
      <c r="C9" s="407">
        <v>6</v>
      </c>
      <c r="D9" s="408" t="s">
        <v>9</v>
      </c>
      <c r="E9" s="280">
        <v>68.62</v>
      </c>
      <c r="F9" s="280">
        <v>67.489999999999995</v>
      </c>
      <c r="G9" s="280">
        <v>77.66</v>
      </c>
      <c r="H9" s="279">
        <f t="shared" si="0"/>
        <v>-1.1300000000000097</v>
      </c>
      <c r="K9" s="64" t="s">
        <v>83</v>
      </c>
      <c r="L9" s="465"/>
      <c r="M9" s="465"/>
      <c r="N9" s="465"/>
      <c r="O9" s="465"/>
      <c r="P9" s="465"/>
      <c r="Q9" s="234">
        <f>ROUND(AVERAGE(E24:E25),0)</f>
        <v>70</v>
      </c>
      <c r="R9" s="234">
        <f>ROUND(AVERAGE(F24:F25),0)</f>
        <v>65</v>
      </c>
      <c r="S9" s="234">
        <f>ROUND(AVERAGE(G24:G25),0)</f>
        <v>73</v>
      </c>
      <c r="T9" s="234" t="e">
        <f>ROUND(AVERAGE(#REF!),0)</f>
        <v>#REF!</v>
      </c>
      <c r="U9" s="234" t="e">
        <f>ROUND(AVERAGE(#REF!),0)</f>
        <v>#REF!</v>
      </c>
      <c r="V9" s="266"/>
      <c r="W9" s="266"/>
    </row>
    <row r="10" spans="1:23" ht="24.95" customHeight="1" thickBot="1">
      <c r="A10" s="551"/>
      <c r="B10" s="554"/>
      <c r="C10" s="405">
        <v>7</v>
      </c>
      <c r="D10" s="406" t="s">
        <v>10</v>
      </c>
      <c r="E10" s="282">
        <v>65.89</v>
      </c>
      <c r="F10" s="282">
        <v>59.33</v>
      </c>
      <c r="G10" s="282">
        <v>69.28</v>
      </c>
      <c r="H10" s="279">
        <f t="shared" si="0"/>
        <v>-6.5600000000000023</v>
      </c>
      <c r="K10" s="66" t="s">
        <v>85</v>
      </c>
      <c r="L10" s="466"/>
      <c r="M10" s="466"/>
      <c r="N10" s="466"/>
      <c r="O10" s="466"/>
      <c r="P10" s="466"/>
      <c r="Q10" s="235">
        <f>ROUND(AVERAGE(E26:E32),0)</f>
        <v>75</v>
      </c>
      <c r="R10" s="235">
        <f>ROUND(AVERAGE(F26:F32),0)</f>
        <v>72</v>
      </c>
      <c r="S10" s="235">
        <f>ROUND(AVERAGE(G26:G32),0)</f>
        <v>78</v>
      </c>
      <c r="T10" s="235" t="e">
        <f>ROUND(AVERAGE(#REF!),0)</f>
        <v>#REF!</v>
      </c>
      <c r="U10" s="235" t="e">
        <f>ROUND(AVERAGE(#REF!),0)</f>
        <v>#REF!</v>
      </c>
      <c r="V10" s="266"/>
      <c r="W10" s="266"/>
    </row>
    <row r="11" spans="1:23" ht="24.95" customHeight="1" thickBot="1">
      <c r="A11" s="551"/>
      <c r="B11" s="553" t="s">
        <v>75</v>
      </c>
      <c r="C11" s="407">
        <v>8</v>
      </c>
      <c r="D11" s="408" t="s">
        <v>11</v>
      </c>
      <c r="E11" s="281">
        <v>78.430000000000007</v>
      </c>
      <c r="F11" s="281">
        <v>76.31</v>
      </c>
      <c r="G11" s="281">
        <v>83.23</v>
      </c>
      <c r="H11" s="279">
        <f t="shared" si="0"/>
        <v>-2.1200000000000045</v>
      </c>
      <c r="K11" s="67" t="s">
        <v>32</v>
      </c>
      <c r="L11" s="467"/>
      <c r="M11" s="467"/>
      <c r="N11" s="467"/>
      <c r="O11" s="467"/>
      <c r="P11" s="467"/>
      <c r="Q11" s="236">
        <f>ROUND(AVERAGE(E35:E46),0)</f>
        <v>70</v>
      </c>
      <c r="R11" s="236">
        <f>ROUND(AVERAGE(F35:F46),0)</f>
        <v>66</v>
      </c>
      <c r="S11" s="236">
        <f>ROUND(AVERAGE(G35:G46),0)</f>
        <v>75</v>
      </c>
      <c r="T11" s="236" t="e">
        <f>ROUND(AVERAGE(#REF!),0)</f>
        <v>#REF!</v>
      </c>
      <c r="U11" s="236">
        <f>ROUND(AVERAGE(H35:H46),0)</f>
        <v>-4</v>
      </c>
      <c r="V11" s="266"/>
      <c r="W11" s="266"/>
    </row>
    <row r="12" spans="1:23" ht="24.95" customHeight="1" thickBot="1">
      <c r="A12" s="551"/>
      <c r="B12" s="554"/>
      <c r="C12" s="405">
        <v>9</v>
      </c>
      <c r="D12" s="406" t="s">
        <v>12</v>
      </c>
      <c r="E12" s="282">
        <v>86.45</v>
      </c>
      <c r="F12" s="282">
        <v>84.7</v>
      </c>
      <c r="G12" s="282">
        <v>86.01</v>
      </c>
      <c r="H12" s="279">
        <f t="shared" si="0"/>
        <v>-1.75</v>
      </c>
      <c r="K12" s="68" t="s">
        <v>88</v>
      </c>
      <c r="L12" s="468"/>
      <c r="M12" s="468"/>
      <c r="N12" s="468"/>
      <c r="O12" s="468"/>
      <c r="P12" s="468"/>
      <c r="Q12" s="237">
        <f>ROUND(AVERAGE(E35:E38),0)</f>
        <v>52</v>
      </c>
      <c r="R12" s="237">
        <f>ROUND(AVERAGE(F35:F38),0)</f>
        <v>48</v>
      </c>
      <c r="S12" s="237">
        <f>ROUND(AVERAGE(G35:G38),0)</f>
        <v>65</v>
      </c>
      <c r="T12" s="237" t="e">
        <f>ROUND(AVERAGE(#REF!),0)</f>
        <v>#REF!</v>
      </c>
      <c r="U12" s="237" t="e">
        <f>ROUND(AVERAGE(#REF!),0)</f>
        <v>#REF!</v>
      </c>
      <c r="V12" s="266"/>
      <c r="W12" s="266"/>
    </row>
    <row r="13" spans="1:23" ht="24.95" customHeight="1" thickBot="1">
      <c r="A13" s="552"/>
      <c r="B13" s="195" t="s">
        <v>76</v>
      </c>
      <c r="C13" s="405">
        <v>10</v>
      </c>
      <c r="D13" s="406" t="s">
        <v>13</v>
      </c>
      <c r="E13" s="281">
        <v>69.569999999999993</v>
      </c>
      <c r="F13" s="281">
        <v>64.709999999999994</v>
      </c>
      <c r="G13" s="281">
        <v>78.319999999999993</v>
      </c>
      <c r="H13" s="279">
        <f t="shared" si="0"/>
        <v>-4.8599999999999994</v>
      </c>
      <c r="K13" s="69" t="s">
        <v>91</v>
      </c>
      <c r="L13" s="469"/>
      <c r="M13" s="469"/>
      <c r="N13" s="469"/>
      <c r="O13" s="469"/>
      <c r="P13" s="469"/>
      <c r="Q13" s="238">
        <f>ROUND(AVERAGE(E39:E41),0)</f>
        <v>60</v>
      </c>
      <c r="R13" s="238">
        <f>ROUND(AVERAGE(F39:F41),0)</f>
        <v>55</v>
      </c>
      <c r="S13" s="238">
        <f>ROUND(AVERAGE(G39:G41),0)</f>
        <v>64</v>
      </c>
      <c r="T13" s="238" t="e">
        <f>ROUND(AVERAGE(#REF!),0)</f>
        <v>#REF!</v>
      </c>
      <c r="U13" s="238" t="e">
        <f>ROUND(AVERAGE(#REF!),0)</f>
        <v>#REF!</v>
      </c>
      <c r="V13" s="266"/>
      <c r="W13" s="266"/>
    </row>
    <row r="14" spans="1:23" ht="24.95" customHeight="1" thickBot="1">
      <c r="A14" s="557" t="s">
        <v>77</v>
      </c>
      <c r="B14" s="553" t="s">
        <v>78</v>
      </c>
      <c r="C14" s="407">
        <v>11</v>
      </c>
      <c r="D14" s="408" t="s">
        <v>14</v>
      </c>
      <c r="E14" s="281">
        <v>69.569999999999993</v>
      </c>
      <c r="F14" s="281">
        <v>66.67</v>
      </c>
      <c r="G14" s="281">
        <v>74.48</v>
      </c>
      <c r="H14" s="279">
        <f t="shared" si="0"/>
        <v>-2.8999999999999915</v>
      </c>
      <c r="K14" s="70" t="s">
        <v>92</v>
      </c>
      <c r="L14" s="470"/>
      <c r="M14" s="470"/>
      <c r="N14" s="470"/>
      <c r="O14" s="470"/>
      <c r="P14" s="470"/>
      <c r="Q14" s="239">
        <f>ROUND(AVERAGE(E42:E46),0)</f>
        <v>90</v>
      </c>
      <c r="R14" s="239">
        <f>ROUND(AVERAGE(F42:F46),0)</f>
        <v>87</v>
      </c>
      <c r="S14" s="239">
        <f>ROUND(AVERAGE(G42:G46),0)</f>
        <v>91</v>
      </c>
      <c r="T14" s="239" t="e">
        <f>ROUND(AVERAGE(#REF!),0)</f>
        <v>#REF!</v>
      </c>
      <c r="U14" s="239" t="e">
        <f>ROUND(AVERAGE(#REF!),0)</f>
        <v>#REF!</v>
      </c>
      <c r="V14" s="266"/>
      <c r="W14" s="266"/>
    </row>
    <row r="15" spans="1:23" ht="24.95" customHeight="1" thickBot="1">
      <c r="A15" s="557"/>
      <c r="B15" s="553"/>
      <c r="C15" s="407">
        <v>12</v>
      </c>
      <c r="D15" s="408" t="s">
        <v>15</v>
      </c>
      <c r="E15" s="280">
        <v>74.41</v>
      </c>
      <c r="F15" s="280">
        <v>68.41</v>
      </c>
      <c r="G15" s="280">
        <v>74.459999999999994</v>
      </c>
      <c r="H15" s="279">
        <f t="shared" si="0"/>
        <v>-6</v>
      </c>
      <c r="K15" s="71" t="s">
        <v>45</v>
      </c>
      <c r="L15" s="471"/>
      <c r="M15" s="471"/>
      <c r="N15" s="471"/>
      <c r="O15" s="471"/>
      <c r="P15" s="471"/>
      <c r="Q15" s="240">
        <f>ROUND(AVERAGE(E49:E56),0)</f>
        <v>71</v>
      </c>
      <c r="R15" s="240">
        <f>ROUND(AVERAGE(F49:F56),0)</f>
        <v>67</v>
      </c>
      <c r="S15" s="240">
        <f>ROUND(AVERAGE(G49:G56),0)</f>
        <v>80</v>
      </c>
      <c r="T15" s="240" t="e">
        <f>ROUND(AVERAGE(#REF!),0)</f>
        <v>#REF!</v>
      </c>
      <c r="U15" s="240">
        <f>ROUND(AVERAGE(H49:H56),0)</f>
        <v>-4</v>
      </c>
      <c r="V15" s="266"/>
      <c r="W15" s="266"/>
    </row>
    <row r="16" spans="1:23" ht="24.95" customHeight="1" thickBot="1">
      <c r="A16" s="557"/>
      <c r="B16" s="554"/>
      <c r="C16" s="405">
        <v>13</v>
      </c>
      <c r="D16" s="406" t="s">
        <v>16</v>
      </c>
      <c r="E16" s="282">
        <v>72.86</v>
      </c>
      <c r="F16" s="282">
        <v>58.57</v>
      </c>
      <c r="G16" s="282">
        <v>81.56</v>
      </c>
      <c r="H16" s="279">
        <f t="shared" si="0"/>
        <v>-14.29</v>
      </c>
      <c r="K16" s="72" t="s">
        <v>95</v>
      </c>
      <c r="L16" s="472"/>
      <c r="M16" s="472"/>
      <c r="N16" s="472"/>
      <c r="O16" s="472"/>
      <c r="P16" s="472"/>
      <c r="Q16" s="241">
        <f>ROUND(AVERAGE(E49:E50),0)</f>
        <v>68</v>
      </c>
      <c r="R16" s="241">
        <f>ROUND(AVERAGE(F49:F50),0)</f>
        <v>66</v>
      </c>
      <c r="S16" s="241">
        <f>ROUND(AVERAGE(G49:G50),0)</f>
        <v>77</v>
      </c>
      <c r="T16" s="241" t="e">
        <f>ROUND(AVERAGE(#REF!),0)</f>
        <v>#REF!</v>
      </c>
      <c r="U16" s="241" t="e">
        <f>ROUND(AVERAGE(#REF!),0)</f>
        <v>#REF!</v>
      </c>
      <c r="V16" s="266"/>
      <c r="W16" s="266"/>
    </row>
    <row r="17" spans="1:23" ht="24.95" customHeight="1" thickBot="1">
      <c r="A17" s="558"/>
      <c r="B17" s="195" t="s">
        <v>79</v>
      </c>
      <c r="C17" s="405">
        <v>14</v>
      </c>
      <c r="D17" s="406" t="s">
        <v>17</v>
      </c>
      <c r="E17" s="311">
        <v>86.39</v>
      </c>
      <c r="F17" s="311">
        <v>80.34</v>
      </c>
      <c r="G17" s="311">
        <v>86.62</v>
      </c>
      <c r="H17" s="279">
        <f t="shared" si="0"/>
        <v>-6.0499999999999972</v>
      </c>
      <c r="K17" s="73" t="s">
        <v>96</v>
      </c>
      <c r="L17" s="473"/>
      <c r="M17" s="473"/>
      <c r="N17" s="473"/>
      <c r="O17" s="473"/>
      <c r="P17" s="473"/>
      <c r="Q17" s="242">
        <f>ROUND(AVERAGE(E51:E52),0)</f>
        <v>75</v>
      </c>
      <c r="R17" s="242">
        <f>ROUND(AVERAGE(F51:F52),0)</f>
        <v>71</v>
      </c>
      <c r="S17" s="242">
        <f>ROUND(AVERAGE(G51:G52),0)</f>
        <v>80</v>
      </c>
      <c r="T17" s="242" t="e">
        <f>ROUND(AVERAGE(#REF!),0)</f>
        <v>#REF!</v>
      </c>
      <c r="U17" s="242" t="e">
        <f>ROUND(AVERAGE(#REF!),0)</f>
        <v>#REF!</v>
      </c>
      <c r="V17" s="266"/>
      <c r="W17" s="266"/>
    </row>
    <row r="18" spans="1:23" ht="24.95" customHeight="1" thickBot="1">
      <c r="A18" s="74" t="s">
        <v>18</v>
      </c>
      <c r="B18" s="74"/>
      <c r="C18" s="74"/>
      <c r="D18" s="74"/>
      <c r="E18" s="224"/>
      <c r="F18" s="224"/>
      <c r="G18" s="224"/>
      <c r="H18" s="21"/>
      <c r="I18" s="53"/>
      <c r="K18" s="75" t="s">
        <v>97</v>
      </c>
      <c r="L18" s="474"/>
      <c r="M18" s="474"/>
      <c r="N18" s="474"/>
      <c r="O18" s="474"/>
      <c r="P18" s="474"/>
      <c r="Q18" s="243">
        <f>ROUND(AVERAGE(E53:E56),0)</f>
        <v>71</v>
      </c>
      <c r="R18" s="243">
        <f>ROUND(AVERAGE(F53:F56),0)</f>
        <v>66</v>
      </c>
      <c r="S18" s="243">
        <f>ROUND(AVERAGE(G53:G56),0)</f>
        <v>82</v>
      </c>
      <c r="T18" s="243" t="e">
        <f>ROUND(AVERAGE(#REF!),0)</f>
        <v>#REF!</v>
      </c>
      <c r="U18" s="243" t="e">
        <f>ROUND(AVERAGE(#REF!),0)</f>
        <v>#REF!</v>
      </c>
      <c r="V18" s="266"/>
      <c r="W18" s="266"/>
    </row>
    <row r="19" spans="1:23" ht="24.95" customHeight="1" thickBot="1">
      <c r="A19" s="199" t="s">
        <v>67</v>
      </c>
      <c r="B19" s="200"/>
      <c r="C19" s="200" t="s">
        <v>68</v>
      </c>
      <c r="D19" s="200" t="s">
        <v>69</v>
      </c>
      <c r="E19" s="261">
        <f>$E$3</f>
        <v>2015</v>
      </c>
      <c r="F19" s="261">
        <f>$F$3</f>
        <v>2016</v>
      </c>
      <c r="G19" s="225" t="str">
        <f>$G$3</f>
        <v>BMK</v>
      </c>
      <c r="H19" s="279">
        <f t="shared" ref="H19:H32" si="1">F19-E19</f>
        <v>1</v>
      </c>
      <c r="K19" s="76" t="s">
        <v>54</v>
      </c>
      <c r="L19" s="475"/>
      <c r="M19" s="475"/>
      <c r="N19" s="475"/>
      <c r="O19" s="475"/>
      <c r="P19" s="475"/>
      <c r="Q19" s="244">
        <f>ROUND(AVERAGE(E59:E68),0)</f>
        <v>73</v>
      </c>
      <c r="R19" s="244">
        <f>ROUND(AVERAGE(F59:F68),0)</f>
        <v>69</v>
      </c>
      <c r="S19" s="244">
        <f>ROUND(AVERAGE(G59:G68),0)</f>
        <v>83</v>
      </c>
      <c r="T19" s="244" t="e">
        <f>ROUND(AVERAGE(#REF!),0)</f>
        <v>#REF!</v>
      </c>
      <c r="U19" s="244">
        <f>ROUND(AVERAGE(H59:H68),0)</f>
        <v>-4</v>
      </c>
      <c r="V19" s="266"/>
      <c r="W19" s="266"/>
    </row>
    <row r="20" spans="1:23" ht="24.95" customHeight="1">
      <c r="A20" s="540" t="s">
        <v>80</v>
      </c>
      <c r="B20" s="559" t="s">
        <v>81</v>
      </c>
      <c r="C20" s="409">
        <v>15</v>
      </c>
      <c r="D20" s="404" t="s">
        <v>19</v>
      </c>
      <c r="E20" s="222">
        <v>67.510000000000005</v>
      </c>
      <c r="F20" s="222">
        <v>69.599999999999994</v>
      </c>
      <c r="G20" s="222">
        <v>75.58</v>
      </c>
      <c r="H20" s="279">
        <f t="shared" si="1"/>
        <v>2.0899999999999892</v>
      </c>
      <c r="K20" s="77" t="s">
        <v>98</v>
      </c>
      <c r="L20" s="476"/>
      <c r="M20" s="476"/>
      <c r="N20" s="476"/>
      <c r="O20" s="476"/>
      <c r="P20" s="476"/>
      <c r="Q20" s="245">
        <f>ROUND(AVERAGE(E59:E61),0)</f>
        <v>76</v>
      </c>
      <c r="R20" s="245">
        <f>ROUND(AVERAGE(F59:F61),0)</f>
        <v>71</v>
      </c>
      <c r="S20" s="245">
        <f>ROUND(AVERAGE(G59:G61),0)</f>
        <v>84</v>
      </c>
      <c r="T20" s="245" t="e">
        <f>ROUND(AVERAGE(#REF!),0)</f>
        <v>#REF!</v>
      </c>
      <c r="U20" s="245" t="e">
        <f>ROUND(AVERAGE(#REF!),0)</f>
        <v>#REF!</v>
      </c>
      <c r="V20" s="266"/>
      <c r="W20" s="266"/>
    </row>
    <row r="21" spans="1:23" ht="24.95" customHeight="1" thickBot="1">
      <c r="A21" s="541"/>
      <c r="B21" s="544"/>
      <c r="C21" s="410">
        <v>16</v>
      </c>
      <c r="D21" s="406" t="s">
        <v>20</v>
      </c>
      <c r="E21" s="223">
        <v>81.510000000000005</v>
      </c>
      <c r="F21" s="223">
        <v>82.6</v>
      </c>
      <c r="G21" s="223">
        <v>80.12</v>
      </c>
      <c r="H21" s="279">
        <f t="shared" si="1"/>
        <v>1.0899999999999892</v>
      </c>
      <c r="K21" s="78" t="s">
        <v>99</v>
      </c>
      <c r="L21" s="477"/>
      <c r="M21" s="477"/>
      <c r="N21" s="477"/>
      <c r="O21" s="477"/>
      <c r="P21" s="477"/>
      <c r="Q21" s="246">
        <f>ROUND(AVERAGE(E62:E65),0)</f>
        <v>75</v>
      </c>
      <c r="R21" s="246">
        <f>ROUND(AVERAGE(F62:F65),0)</f>
        <v>73</v>
      </c>
      <c r="S21" s="246">
        <f>ROUND(AVERAGE(G62:G65),0)</f>
        <v>86</v>
      </c>
      <c r="T21" s="246" t="e">
        <f>ROUND(AVERAGE(#REF!),0)</f>
        <v>#REF!</v>
      </c>
      <c r="U21" s="246" t="e">
        <f>ROUND(AVERAGE(#REF!),0)</f>
        <v>#REF!</v>
      </c>
      <c r="V21" s="266"/>
      <c r="W21" s="266"/>
    </row>
    <row r="22" spans="1:23" ht="24.95" customHeight="1" thickBot="1">
      <c r="A22" s="541"/>
      <c r="B22" s="543" t="s">
        <v>82</v>
      </c>
      <c r="C22" s="411">
        <v>17</v>
      </c>
      <c r="D22" s="408" t="s">
        <v>21</v>
      </c>
      <c r="E22" s="222">
        <v>68.33</v>
      </c>
      <c r="F22" s="222">
        <v>62.27</v>
      </c>
      <c r="G22" s="222">
        <v>72.39</v>
      </c>
      <c r="H22" s="279">
        <f t="shared" si="1"/>
        <v>-6.0599999999999952</v>
      </c>
      <c r="K22" s="79" t="s">
        <v>102</v>
      </c>
      <c r="L22" s="478"/>
      <c r="M22" s="478"/>
      <c r="N22" s="478"/>
      <c r="O22" s="478"/>
      <c r="P22" s="478"/>
      <c r="Q22" s="247">
        <f>ROUND(AVERAGE(E66:E68),0)</f>
        <v>69</v>
      </c>
      <c r="R22" s="247">
        <f>ROUND(AVERAGE(F66:F68),0)</f>
        <v>62</v>
      </c>
      <c r="S22" s="247">
        <f>ROUND(AVERAGE(G66:G68),0)</f>
        <v>78</v>
      </c>
      <c r="T22" s="247" t="e">
        <f>ROUND(AVERAGE(#REF!),0)</f>
        <v>#REF!</v>
      </c>
      <c r="U22" s="247" t="e">
        <f>ROUND(AVERAGE(#REF!),0)</f>
        <v>#REF!</v>
      </c>
      <c r="V22" s="266"/>
      <c r="W22" s="266"/>
    </row>
    <row r="23" spans="1:23" ht="24.95" customHeight="1" thickBot="1">
      <c r="A23" s="542"/>
      <c r="B23" s="544"/>
      <c r="C23" s="410">
        <v>18</v>
      </c>
      <c r="D23" s="406" t="s">
        <v>22</v>
      </c>
      <c r="E23" s="223">
        <v>78.8</v>
      </c>
      <c r="F23" s="223">
        <v>74.72</v>
      </c>
      <c r="G23" s="223">
        <v>80.569999999999993</v>
      </c>
      <c r="H23" s="279">
        <f t="shared" si="1"/>
        <v>-4.0799999999999983</v>
      </c>
      <c r="Q23" s="248">
        <f>$Q$2</f>
        <v>2015</v>
      </c>
      <c r="R23" s="248">
        <f>$R$2</f>
        <v>2016</v>
      </c>
      <c r="S23" s="248" t="str">
        <f>S$2</f>
        <v>BMK</v>
      </c>
      <c r="T23" s="248" t="e">
        <f>T$2</f>
        <v>#REF!</v>
      </c>
      <c r="U23" s="266"/>
      <c r="V23" s="266"/>
      <c r="W23" s="266"/>
    </row>
    <row r="24" spans="1:23" ht="24.95" customHeight="1" thickBot="1">
      <c r="A24" s="540" t="s">
        <v>83</v>
      </c>
      <c r="B24" s="543" t="s">
        <v>84</v>
      </c>
      <c r="C24" s="411">
        <v>19</v>
      </c>
      <c r="D24" s="408" t="s">
        <v>23</v>
      </c>
      <c r="E24" s="222">
        <v>72.95</v>
      </c>
      <c r="F24" s="222">
        <v>68.319999999999993</v>
      </c>
      <c r="G24" s="222">
        <v>75.97</v>
      </c>
      <c r="H24" s="279">
        <f t="shared" si="1"/>
        <v>-4.6300000000000097</v>
      </c>
      <c r="K24" s="56" t="s">
        <v>3</v>
      </c>
      <c r="L24" s="460"/>
      <c r="M24" s="460"/>
      <c r="N24" s="460"/>
      <c r="O24" s="460"/>
      <c r="P24" s="460"/>
      <c r="Q24" s="228">
        <f>Q3</f>
        <v>74</v>
      </c>
      <c r="R24" s="228">
        <f t="shared" ref="R24:T24" si="2">R3</f>
        <v>70</v>
      </c>
      <c r="S24" s="228">
        <f t="shared" si="2"/>
        <v>79</v>
      </c>
      <c r="T24" s="228" t="e">
        <f t="shared" si="2"/>
        <v>#REF!</v>
      </c>
      <c r="U24" s="266"/>
      <c r="V24" s="266"/>
      <c r="W24" s="266"/>
    </row>
    <row r="25" spans="1:23" ht="51" customHeight="1" thickBot="1">
      <c r="A25" s="542"/>
      <c r="B25" s="544"/>
      <c r="C25" s="410">
        <v>20</v>
      </c>
      <c r="D25" s="406" t="s">
        <v>24</v>
      </c>
      <c r="E25" s="223">
        <v>66.89</v>
      </c>
      <c r="F25" s="223">
        <v>60.82</v>
      </c>
      <c r="G25" s="223">
        <v>69.849999999999994</v>
      </c>
      <c r="H25" s="279">
        <f t="shared" si="1"/>
        <v>-6.07</v>
      </c>
      <c r="K25" s="63" t="s">
        <v>18</v>
      </c>
      <c r="L25" s="463"/>
      <c r="M25" s="463"/>
      <c r="N25" s="463"/>
      <c r="O25" s="463"/>
      <c r="P25" s="463"/>
      <c r="Q25" s="232">
        <f>Q7</f>
        <v>74</v>
      </c>
      <c r="R25" s="232">
        <f t="shared" ref="R25:T25" si="3">R7</f>
        <v>71</v>
      </c>
      <c r="S25" s="232">
        <f t="shared" si="3"/>
        <v>77</v>
      </c>
      <c r="T25" s="232" t="e">
        <f t="shared" si="3"/>
        <v>#REF!</v>
      </c>
      <c r="U25" s="266"/>
      <c r="V25" s="266"/>
      <c r="W25" s="266"/>
    </row>
    <row r="26" spans="1:23" ht="24.95" customHeight="1" thickBot="1">
      <c r="A26" s="540" t="s">
        <v>85</v>
      </c>
      <c r="B26" s="543" t="s">
        <v>86</v>
      </c>
      <c r="C26" s="411">
        <v>21</v>
      </c>
      <c r="D26" s="408" t="s">
        <v>25</v>
      </c>
      <c r="E26" s="222">
        <v>95.33</v>
      </c>
      <c r="F26" s="222">
        <v>95.04</v>
      </c>
      <c r="G26" s="222">
        <v>87.06</v>
      </c>
      <c r="H26" s="279">
        <f t="shared" si="1"/>
        <v>-0.28999999999999204</v>
      </c>
      <c r="K26" s="67" t="s">
        <v>32</v>
      </c>
      <c r="L26" s="467"/>
      <c r="M26" s="467"/>
      <c r="N26" s="467"/>
      <c r="O26" s="467"/>
      <c r="P26" s="467"/>
      <c r="Q26" s="236">
        <f>Q11</f>
        <v>70</v>
      </c>
      <c r="R26" s="236">
        <f t="shared" ref="R26:T26" si="4">R11</f>
        <v>66</v>
      </c>
      <c r="S26" s="236">
        <f t="shared" si="4"/>
        <v>75</v>
      </c>
      <c r="T26" s="236" t="e">
        <f t="shared" si="4"/>
        <v>#REF!</v>
      </c>
      <c r="U26" s="266"/>
      <c r="V26" s="266"/>
      <c r="W26" s="266"/>
    </row>
    <row r="27" spans="1:23" ht="24.95" customHeight="1" thickBot="1">
      <c r="A27" s="541"/>
      <c r="B27" s="543"/>
      <c r="C27" s="411">
        <v>22</v>
      </c>
      <c r="D27" s="408" t="s">
        <v>26</v>
      </c>
      <c r="E27" s="221">
        <v>67.39</v>
      </c>
      <c r="F27" s="221">
        <v>58.21</v>
      </c>
      <c r="G27" s="221">
        <v>75.239999999999995</v>
      </c>
      <c r="H27" s="279">
        <f t="shared" si="1"/>
        <v>-9.18</v>
      </c>
      <c r="K27" s="71" t="s">
        <v>45</v>
      </c>
      <c r="L27" s="471"/>
      <c r="M27" s="471"/>
      <c r="N27" s="471"/>
      <c r="O27" s="471"/>
      <c r="P27" s="471"/>
      <c r="Q27" s="240">
        <f>Q15</f>
        <v>71</v>
      </c>
      <c r="R27" s="240">
        <f t="shared" ref="R27:T27" si="5">R15</f>
        <v>67</v>
      </c>
      <c r="S27" s="240">
        <f t="shared" si="5"/>
        <v>80</v>
      </c>
      <c r="T27" s="240" t="e">
        <f t="shared" si="5"/>
        <v>#REF!</v>
      </c>
      <c r="U27" s="266"/>
      <c r="V27" s="266"/>
      <c r="W27" s="266"/>
    </row>
    <row r="28" spans="1:23" ht="24.95" customHeight="1" thickBot="1">
      <c r="A28" s="541"/>
      <c r="B28" s="544"/>
      <c r="C28" s="410">
        <v>23</v>
      </c>
      <c r="D28" s="406" t="s">
        <v>27</v>
      </c>
      <c r="E28" s="223">
        <v>91.14</v>
      </c>
      <c r="F28" s="223">
        <v>90.24</v>
      </c>
      <c r="G28" s="223">
        <v>79.72</v>
      </c>
      <c r="H28" s="279">
        <f t="shared" si="1"/>
        <v>-0.90000000000000568</v>
      </c>
      <c r="K28" s="76" t="s">
        <v>54</v>
      </c>
      <c r="L28" s="475"/>
      <c r="M28" s="475"/>
      <c r="N28" s="475"/>
      <c r="O28" s="475"/>
      <c r="P28" s="475"/>
      <c r="Q28" s="244">
        <f>Q19</f>
        <v>73</v>
      </c>
      <c r="R28" s="244">
        <f t="shared" ref="R28:T28" si="6">R19</f>
        <v>69</v>
      </c>
      <c r="S28" s="244">
        <f t="shared" si="6"/>
        <v>83</v>
      </c>
      <c r="T28" s="244" t="e">
        <f t="shared" si="6"/>
        <v>#REF!</v>
      </c>
      <c r="U28" s="266"/>
      <c r="V28" s="266"/>
      <c r="W28" s="266"/>
    </row>
    <row r="29" spans="1:23" ht="24.95" customHeight="1" thickBot="1">
      <c r="A29" s="541"/>
      <c r="B29" s="543" t="s">
        <v>87</v>
      </c>
      <c r="C29" s="411">
        <v>24</v>
      </c>
      <c r="D29" s="408" t="s">
        <v>28</v>
      </c>
      <c r="E29" s="222">
        <v>84.92</v>
      </c>
      <c r="F29" s="222">
        <v>83.52</v>
      </c>
      <c r="G29" s="222">
        <v>84.38</v>
      </c>
      <c r="H29" s="279">
        <f t="shared" si="1"/>
        <v>-1.4000000000000057</v>
      </c>
      <c r="Q29" s="248">
        <f>$Q$2</f>
        <v>2015</v>
      </c>
      <c r="R29" s="248">
        <f>$R$2</f>
        <v>2016</v>
      </c>
      <c r="S29" s="248" t="str">
        <f>S$2</f>
        <v>BMK</v>
      </c>
      <c r="T29" s="248" t="e">
        <f>T$2</f>
        <v>#REF!</v>
      </c>
      <c r="U29" s="266"/>
      <c r="V29" s="266"/>
      <c r="W29" s="266"/>
    </row>
    <row r="30" spans="1:23" ht="24.95" customHeight="1" thickBot="1">
      <c r="A30" s="541"/>
      <c r="B30" s="543"/>
      <c r="C30" s="411">
        <v>25</v>
      </c>
      <c r="D30" s="408" t="s">
        <v>29</v>
      </c>
      <c r="E30" s="221">
        <v>58.36</v>
      </c>
      <c r="F30" s="221">
        <v>56.82</v>
      </c>
      <c r="G30" s="221">
        <v>71.58</v>
      </c>
      <c r="H30" s="279">
        <f t="shared" si="1"/>
        <v>-1.5399999999999991</v>
      </c>
      <c r="K30" s="80" t="s">
        <v>186</v>
      </c>
      <c r="L30" s="479"/>
      <c r="M30" s="479"/>
      <c r="N30" s="479"/>
      <c r="O30" s="479"/>
      <c r="P30" s="479"/>
      <c r="Q30" s="249">
        <f>ROUND(AVERAGE(E4:E17,E20:E32,E35:E46),0)</f>
        <v>73</v>
      </c>
      <c r="R30" s="249">
        <f>ROUND(AVERAGE(F4:F17,F20:F32,F35:F46),0)</f>
        <v>69</v>
      </c>
      <c r="S30" s="249">
        <f>ROUND(AVERAGE(G4:G17,G20:G32,G35:G46),0)</f>
        <v>77</v>
      </c>
      <c r="T30" s="249" t="e">
        <f>ROUND(AVERAGE(#REF!,#REF!,#REF!),0)</f>
        <v>#REF!</v>
      </c>
      <c r="U30" s="266"/>
      <c r="V30" s="266"/>
      <c r="W30" s="266"/>
    </row>
    <row r="31" spans="1:23" ht="24.95" customHeight="1" thickBot="1">
      <c r="A31" s="541"/>
      <c r="B31" s="543"/>
      <c r="C31" s="411">
        <v>26</v>
      </c>
      <c r="D31" s="408" t="s">
        <v>30</v>
      </c>
      <c r="E31" s="221">
        <v>74.040000000000006</v>
      </c>
      <c r="F31" s="221">
        <v>68.22</v>
      </c>
      <c r="G31" s="221">
        <v>78.52</v>
      </c>
      <c r="H31" s="279">
        <f t="shared" si="1"/>
        <v>-5.8200000000000074</v>
      </c>
      <c r="K31" s="81" t="s">
        <v>164</v>
      </c>
      <c r="L31" s="480"/>
      <c r="M31" s="480"/>
      <c r="N31" s="480"/>
      <c r="O31" s="480"/>
      <c r="P31" s="480"/>
      <c r="Q31" s="250">
        <f>ROUND(AVERAGE(E4:E17,E20:E32,E35:E46,E49:E56,E59:E68,E71),0)</f>
        <v>73</v>
      </c>
      <c r="R31" s="250">
        <f>ROUND(AVERAGE(F4:F17,F20:F32,F35:F46,F49:F56,F59:F68,F71),0)</f>
        <v>69</v>
      </c>
      <c r="S31" s="250">
        <f>ROUND(AVERAGE(G4:G17,G20:G32,G35:G46,G49:G56,G59:G68,G71),0)</f>
        <v>79</v>
      </c>
      <c r="T31" s="250" t="e">
        <f>ROUND(AVERAGE(#REF!,#REF!,#REF!,#REF!,#REF!,#REF!),0)</f>
        <v>#REF!</v>
      </c>
      <c r="U31" s="266"/>
      <c r="V31" s="266"/>
      <c r="W31" s="266"/>
    </row>
    <row r="32" spans="1:23" ht="24.95" customHeight="1" thickBot="1">
      <c r="A32" s="542"/>
      <c r="B32" s="544"/>
      <c r="C32" s="410">
        <v>27</v>
      </c>
      <c r="D32" s="406" t="s">
        <v>31</v>
      </c>
      <c r="E32" s="226">
        <v>52.43</v>
      </c>
      <c r="F32" s="226">
        <v>48.6</v>
      </c>
      <c r="G32" s="226">
        <v>72.95</v>
      </c>
      <c r="H32" s="279">
        <f t="shared" si="1"/>
        <v>-3.8299999999999983</v>
      </c>
      <c r="K32" s="81" t="s">
        <v>185</v>
      </c>
      <c r="L32" s="480"/>
      <c r="M32" s="480"/>
      <c r="N32" s="480"/>
      <c r="O32" s="480"/>
      <c r="P32" s="480"/>
      <c r="Q32" s="251">
        <f>E71</f>
        <v>70.81</v>
      </c>
      <c r="R32" s="251">
        <f>F71</f>
        <v>66.099999999999994</v>
      </c>
      <c r="S32" s="251">
        <f>G71</f>
        <v>82.28</v>
      </c>
      <c r="T32" s="251" t="e">
        <f>#REF!</f>
        <v>#REF!</v>
      </c>
      <c r="U32" s="266"/>
      <c r="V32" s="266"/>
      <c r="W32" s="266"/>
    </row>
    <row r="33" spans="1:23" ht="24.95" customHeight="1" thickBot="1">
      <c r="A33" s="82" t="s">
        <v>32</v>
      </c>
      <c r="B33" s="74"/>
      <c r="C33" s="74"/>
      <c r="D33" s="74"/>
      <c r="E33" s="224"/>
      <c r="F33" s="224"/>
      <c r="G33" s="224"/>
      <c r="H33" s="21"/>
      <c r="I33" s="53"/>
      <c r="J33" s="53"/>
      <c r="K33" s="54"/>
      <c r="L33" s="54"/>
      <c r="M33" s="54"/>
      <c r="N33" s="54"/>
      <c r="O33" s="54"/>
      <c r="P33" s="54"/>
      <c r="Q33" s="267"/>
      <c r="R33" s="268"/>
      <c r="S33" s="267"/>
      <c r="T33" s="266"/>
      <c r="U33" s="266"/>
      <c r="V33" s="266"/>
      <c r="W33" s="266"/>
    </row>
    <row r="34" spans="1:23" ht="24.95" customHeight="1" thickBot="1">
      <c r="A34" s="199" t="s">
        <v>67</v>
      </c>
      <c r="B34" s="200"/>
      <c r="C34" s="200" t="s">
        <v>68</v>
      </c>
      <c r="D34" s="200" t="s">
        <v>69</v>
      </c>
      <c r="E34" s="261">
        <f>$E$3</f>
        <v>2015</v>
      </c>
      <c r="F34" s="261">
        <f>$F$3</f>
        <v>2016</v>
      </c>
      <c r="G34" s="225" t="str">
        <f>$G$3</f>
        <v>BMK</v>
      </c>
      <c r="H34" s="279">
        <f t="shared" ref="H34:H46" si="7">F34-E34</f>
        <v>1</v>
      </c>
      <c r="K34" s="83"/>
      <c r="L34" s="481">
        <v>2005</v>
      </c>
      <c r="M34" s="481">
        <v>2006</v>
      </c>
      <c r="N34" s="481">
        <v>2007</v>
      </c>
      <c r="O34" s="481">
        <v>2008</v>
      </c>
      <c r="P34" s="481">
        <v>2009</v>
      </c>
      <c r="Q34" s="481">
        <v>2010</v>
      </c>
      <c r="R34" s="481">
        <v>2011</v>
      </c>
      <c r="S34" s="481">
        <v>2012</v>
      </c>
      <c r="T34" s="481">
        <v>2013</v>
      </c>
      <c r="U34" s="269">
        <v>2014</v>
      </c>
      <c r="V34" s="269">
        <v>2015</v>
      </c>
      <c r="W34" s="269">
        <f>$R$2</f>
        <v>2016</v>
      </c>
    </row>
    <row r="35" spans="1:23" ht="24.95" customHeight="1" thickBot="1">
      <c r="A35" s="545" t="s">
        <v>88</v>
      </c>
      <c r="B35" s="547" t="s">
        <v>89</v>
      </c>
      <c r="C35" s="412">
        <v>28</v>
      </c>
      <c r="D35" s="413" t="s">
        <v>33</v>
      </c>
      <c r="E35" s="222">
        <v>37.9</v>
      </c>
      <c r="F35" s="222">
        <v>31.49</v>
      </c>
      <c r="G35" s="222">
        <v>53.61</v>
      </c>
      <c r="H35" s="279">
        <f t="shared" si="7"/>
        <v>-6.41</v>
      </c>
      <c r="K35" s="84" t="s">
        <v>3</v>
      </c>
      <c r="L35" s="270">
        <v>66.926923076923075</v>
      </c>
      <c r="M35" s="270">
        <v>67.15384615384616</v>
      </c>
      <c r="N35" s="270">
        <v>61.92307692307692</v>
      </c>
      <c r="O35" s="270">
        <v>66</v>
      </c>
      <c r="P35" s="270">
        <v>69</v>
      </c>
      <c r="Q35" s="270">
        <v>62</v>
      </c>
      <c r="R35" s="270">
        <v>65</v>
      </c>
      <c r="S35" s="270">
        <v>66</v>
      </c>
      <c r="T35" s="270">
        <v>66</v>
      </c>
      <c r="U35" s="252">
        <v>66.721428571428561</v>
      </c>
      <c r="V35" s="252">
        <v>74.330714285714294</v>
      </c>
      <c r="W35" s="252">
        <f>R24</f>
        <v>70</v>
      </c>
    </row>
    <row r="36" spans="1:23" ht="24.95" customHeight="1" thickBot="1">
      <c r="A36" s="545"/>
      <c r="B36" s="548"/>
      <c r="C36" s="411">
        <v>29</v>
      </c>
      <c r="D36" s="408" t="s">
        <v>34</v>
      </c>
      <c r="E36" s="223">
        <v>29.26</v>
      </c>
      <c r="F36" s="223">
        <v>26.1</v>
      </c>
      <c r="G36" s="223">
        <v>46.37</v>
      </c>
      <c r="H36" s="279">
        <f t="shared" si="7"/>
        <v>-3.16</v>
      </c>
      <c r="K36" s="86" t="s">
        <v>18</v>
      </c>
      <c r="L36" s="271">
        <v>59.937692307692302</v>
      </c>
      <c r="M36" s="271">
        <v>61</v>
      </c>
      <c r="N36" s="271">
        <v>59.615384615384613</v>
      </c>
      <c r="O36" s="271">
        <v>62</v>
      </c>
      <c r="P36" s="271">
        <v>67</v>
      </c>
      <c r="Q36" s="271">
        <v>61</v>
      </c>
      <c r="R36" s="271">
        <v>63</v>
      </c>
      <c r="S36" s="271">
        <v>64</v>
      </c>
      <c r="T36" s="271">
        <v>64</v>
      </c>
      <c r="U36" s="253">
        <v>66.944615384615389</v>
      </c>
      <c r="V36" s="253">
        <v>73.815384615384602</v>
      </c>
      <c r="W36" s="253">
        <f t="shared" ref="W36:W39" si="8">R25</f>
        <v>71</v>
      </c>
    </row>
    <row r="37" spans="1:23" ht="24.95" customHeight="1" thickBot="1">
      <c r="A37" s="545"/>
      <c r="B37" s="549" t="s">
        <v>90</v>
      </c>
      <c r="C37" s="409">
        <v>30</v>
      </c>
      <c r="D37" s="404" t="s">
        <v>35</v>
      </c>
      <c r="E37" s="222">
        <v>56.17</v>
      </c>
      <c r="F37" s="222">
        <v>54.95</v>
      </c>
      <c r="G37" s="222">
        <v>68.23</v>
      </c>
      <c r="H37" s="279">
        <f t="shared" si="7"/>
        <v>-1.2199999999999989</v>
      </c>
      <c r="K37" s="87" t="s">
        <v>32</v>
      </c>
      <c r="L37" s="272">
        <v>63.74666666666667</v>
      </c>
      <c r="M37" s="272">
        <v>59.083333333333336</v>
      </c>
      <c r="N37" s="272">
        <v>58.416666666666664</v>
      </c>
      <c r="O37" s="272">
        <v>63</v>
      </c>
      <c r="P37" s="272">
        <v>66</v>
      </c>
      <c r="Q37" s="272">
        <v>60</v>
      </c>
      <c r="R37" s="272">
        <v>61</v>
      </c>
      <c r="S37" s="272">
        <v>61</v>
      </c>
      <c r="T37" s="272">
        <v>61</v>
      </c>
      <c r="U37" s="254">
        <v>63.770833333333336</v>
      </c>
      <c r="V37" s="254">
        <v>69.734999999999999</v>
      </c>
      <c r="W37" s="254">
        <f t="shared" si="8"/>
        <v>66</v>
      </c>
    </row>
    <row r="38" spans="1:23" ht="24.95" customHeight="1" thickBot="1">
      <c r="A38" s="546"/>
      <c r="B38" s="550"/>
      <c r="C38" s="410">
        <v>31</v>
      </c>
      <c r="D38" s="406" t="s">
        <v>36</v>
      </c>
      <c r="E38" s="223">
        <v>85.43</v>
      </c>
      <c r="F38" s="223">
        <v>79.59</v>
      </c>
      <c r="G38" s="223">
        <v>90.73</v>
      </c>
      <c r="H38" s="279">
        <f t="shared" si="7"/>
        <v>-5.8400000000000034</v>
      </c>
      <c r="K38" s="88" t="s">
        <v>45</v>
      </c>
      <c r="L38" s="273">
        <v>63.75</v>
      </c>
      <c r="M38" s="273">
        <v>65</v>
      </c>
      <c r="N38" s="273">
        <v>64.25</v>
      </c>
      <c r="O38" s="273">
        <v>66</v>
      </c>
      <c r="P38" s="273">
        <v>68</v>
      </c>
      <c r="Q38" s="273">
        <v>62</v>
      </c>
      <c r="R38" s="273">
        <v>61</v>
      </c>
      <c r="S38" s="273">
        <v>58</v>
      </c>
      <c r="T38" s="273">
        <v>59</v>
      </c>
      <c r="U38" s="255">
        <v>61.237499999999997</v>
      </c>
      <c r="V38" s="255">
        <v>71.428750000000008</v>
      </c>
      <c r="W38" s="255">
        <f t="shared" si="8"/>
        <v>67</v>
      </c>
    </row>
    <row r="39" spans="1:23" ht="24.95" customHeight="1" thickBot="1">
      <c r="A39" s="522" t="s">
        <v>91</v>
      </c>
      <c r="B39" s="522"/>
      <c r="C39" s="411">
        <v>32</v>
      </c>
      <c r="D39" s="408" t="s">
        <v>37</v>
      </c>
      <c r="E39" s="222">
        <v>57.21</v>
      </c>
      <c r="F39" s="222">
        <v>48.96</v>
      </c>
      <c r="G39" s="222">
        <v>60.01</v>
      </c>
      <c r="H39" s="279">
        <f t="shared" si="7"/>
        <v>-8.25</v>
      </c>
      <c r="K39" s="89" t="s">
        <v>54</v>
      </c>
      <c r="L39" s="274">
        <v>59.8</v>
      </c>
      <c r="M39" s="274">
        <v>62.3</v>
      </c>
      <c r="N39" s="274">
        <v>63.5</v>
      </c>
      <c r="O39" s="274">
        <v>65</v>
      </c>
      <c r="P39" s="274">
        <v>68</v>
      </c>
      <c r="Q39" s="274">
        <v>66</v>
      </c>
      <c r="R39" s="274">
        <v>63</v>
      </c>
      <c r="S39" s="274">
        <v>62</v>
      </c>
      <c r="T39" s="274">
        <v>62</v>
      </c>
      <c r="U39" s="256">
        <v>65.471000000000004</v>
      </c>
      <c r="V39" s="256">
        <v>73.431000000000012</v>
      </c>
      <c r="W39" s="256">
        <f t="shared" si="8"/>
        <v>69</v>
      </c>
    </row>
    <row r="40" spans="1:23" ht="24.95" customHeight="1" thickBot="1">
      <c r="A40" s="523"/>
      <c r="B40" s="523"/>
      <c r="C40" s="411">
        <v>33</v>
      </c>
      <c r="D40" s="408" t="s">
        <v>38</v>
      </c>
      <c r="E40" s="221">
        <v>63.48</v>
      </c>
      <c r="F40" s="221">
        <v>63.36</v>
      </c>
      <c r="G40" s="221">
        <v>64.290000000000006</v>
      </c>
      <c r="H40" s="279">
        <f t="shared" si="7"/>
        <v>-0.11999999999999744</v>
      </c>
      <c r="K40" s="90"/>
      <c r="L40" s="276"/>
      <c r="M40" s="276"/>
      <c r="N40" s="276"/>
      <c r="O40" s="276"/>
      <c r="P40" s="276"/>
      <c r="Q40" s="276"/>
      <c r="R40" s="276"/>
      <c r="S40" s="276"/>
      <c r="T40" s="275"/>
      <c r="U40" s="275"/>
      <c r="V40" s="275"/>
      <c r="W40" s="257"/>
    </row>
    <row r="41" spans="1:23" ht="24.95" customHeight="1" thickBot="1">
      <c r="A41" s="524"/>
      <c r="B41" s="524"/>
      <c r="C41" s="410">
        <v>34</v>
      </c>
      <c r="D41" s="406" t="s">
        <v>39</v>
      </c>
      <c r="E41" s="223">
        <v>59.3</v>
      </c>
      <c r="F41" s="223">
        <v>53.31</v>
      </c>
      <c r="G41" s="223">
        <v>68.75</v>
      </c>
      <c r="H41" s="279">
        <f t="shared" si="7"/>
        <v>-5.9899999999999949</v>
      </c>
      <c r="K41" s="80"/>
      <c r="L41" s="482">
        <v>2005</v>
      </c>
      <c r="M41" s="482">
        <v>2006</v>
      </c>
      <c r="N41" s="482">
        <v>2007</v>
      </c>
      <c r="O41" s="482">
        <v>2008</v>
      </c>
      <c r="P41" s="482">
        <v>2009</v>
      </c>
      <c r="Q41" s="482">
        <v>2010</v>
      </c>
      <c r="R41" s="482">
        <v>2011</v>
      </c>
      <c r="S41" s="482">
        <v>2012</v>
      </c>
      <c r="T41" s="482">
        <v>2013</v>
      </c>
      <c r="U41" s="258">
        <v>2014</v>
      </c>
      <c r="V41" s="258">
        <v>2015</v>
      </c>
      <c r="W41" s="258">
        <f>$R$2</f>
        <v>2016</v>
      </c>
    </row>
    <row r="42" spans="1:23" ht="24.95" customHeight="1" thickBot="1">
      <c r="A42" s="560" t="s">
        <v>92</v>
      </c>
      <c r="B42" s="549" t="s">
        <v>93</v>
      </c>
      <c r="C42" s="409">
        <v>35</v>
      </c>
      <c r="D42" s="404" t="s">
        <v>40</v>
      </c>
      <c r="E42" s="222">
        <v>87.96</v>
      </c>
      <c r="F42" s="222">
        <v>86.17</v>
      </c>
      <c r="G42" s="222">
        <v>88.94</v>
      </c>
      <c r="H42" s="279">
        <f t="shared" si="7"/>
        <v>-1.789999999999992</v>
      </c>
      <c r="K42" s="81" t="s">
        <v>186</v>
      </c>
      <c r="L42" s="483">
        <v>63.53157894736843</v>
      </c>
      <c r="M42" s="483">
        <v>62.421052631578945</v>
      </c>
      <c r="N42" s="483">
        <v>60.026315789473685</v>
      </c>
      <c r="O42" s="483">
        <v>63.842105263157897</v>
      </c>
      <c r="P42" s="483">
        <v>67.07692307692308</v>
      </c>
      <c r="Q42" s="483">
        <v>61.179487179487182</v>
      </c>
      <c r="R42" s="483">
        <v>63.358974358974358</v>
      </c>
      <c r="S42" s="483">
        <v>63.615384615384613</v>
      </c>
      <c r="T42" s="483">
        <v>64</v>
      </c>
      <c r="U42" s="259">
        <v>66</v>
      </c>
      <c r="V42" s="259">
        <v>73</v>
      </c>
      <c r="W42" s="259">
        <f t="shared" ref="W42:W44" si="9">R30</f>
        <v>69</v>
      </c>
    </row>
    <row r="43" spans="1:23" ht="24.95" customHeight="1" thickBot="1">
      <c r="A43" s="545"/>
      <c r="B43" s="548"/>
      <c r="C43" s="411">
        <v>36</v>
      </c>
      <c r="D43" s="408" t="s">
        <v>41</v>
      </c>
      <c r="E43" s="221">
        <v>95.31</v>
      </c>
      <c r="F43" s="221">
        <v>93.62</v>
      </c>
      <c r="G43" s="221">
        <v>94.99</v>
      </c>
      <c r="H43" s="279">
        <f t="shared" si="7"/>
        <v>-1.6899999999999977</v>
      </c>
      <c r="K43" s="81" t="s">
        <v>164</v>
      </c>
      <c r="L43" s="483">
        <v>62.775438596491249</v>
      </c>
      <c r="M43" s="483">
        <v>62.666666666666664</v>
      </c>
      <c r="N43" s="483">
        <v>61.070175438596493</v>
      </c>
      <c r="O43" s="483">
        <v>64</v>
      </c>
      <c r="P43" s="483">
        <v>67</v>
      </c>
      <c r="Q43" s="483">
        <v>62</v>
      </c>
      <c r="R43" s="483">
        <v>63</v>
      </c>
      <c r="S43" s="483">
        <v>62</v>
      </c>
      <c r="T43" s="483">
        <v>62</v>
      </c>
      <c r="U43" s="260">
        <v>65</v>
      </c>
      <c r="V43" s="260">
        <v>73</v>
      </c>
      <c r="W43" s="260">
        <f t="shared" si="9"/>
        <v>69</v>
      </c>
    </row>
    <row r="44" spans="1:23" ht="24.95" customHeight="1" thickBot="1">
      <c r="A44" s="545"/>
      <c r="B44" s="548"/>
      <c r="C44" s="411">
        <v>37</v>
      </c>
      <c r="D44" s="408" t="s">
        <v>42</v>
      </c>
      <c r="E44" s="221">
        <v>94.79</v>
      </c>
      <c r="F44" s="221">
        <v>93.41</v>
      </c>
      <c r="G44" s="221">
        <v>94.39</v>
      </c>
      <c r="H44" s="279">
        <f t="shared" si="7"/>
        <v>-1.3800000000000097</v>
      </c>
      <c r="K44" s="81" t="s">
        <v>185</v>
      </c>
      <c r="L44" s="483">
        <v>56</v>
      </c>
      <c r="M44" s="483">
        <v>57</v>
      </c>
      <c r="N44" s="483">
        <v>51</v>
      </c>
      <c r="O44" s="483">
        <v>57</v>
      </c>
      <c r="P44" s="483">
        <v>62</v>
      </c>
      <c r="Q44" s="483">
        <v>51</v>
      </c>
      <c r="R44" s="483">
        <v>55</v>
      </c>
      <c r="S44" s="483">
        <v>52</v>
      </c>
      <c r="T44" s="483">
        <v>48</v>
      </c>
      <c r="U44" s="260">
        <v>57.02</v>
      </c>
      <c r="V44" s="260">
        <v>70.81</v>
      </c>
      <c r="W44" s="260">
        <f t="shared" si="9"/>
        <v>66.099999999999994</v>
      </c>
    </row>
    <row r="45" spans="1:23" ht="24.95" customHeight="1" thickBot="1">
      <c r="A45" s="545"/>
      <c r="B45" s="548"/>
      <c r="C45" s="411">
        <v>38</v>
      </c>
      <c r="D45" s="406" t="s">
        <v>43</v>
      </c>
      <c r="E45" s="223">
        <v>93.8</v>
      </c>
      <c r="F45" s="223">
        <v>90.26</v>
      </c>
      <c r="G45" s="223">
        <v>92.77</v>
      </c>
      <c r="H45" s="279">
        <f t="shared" si="7"/>
        <v>-3.539999999999992</v>
      </c>
    </row>
    <row r="46" spans="1:23" ht="30" customHeight="1" thickBot="1">
      <c r="A46" s="546"/>
      <c r="B46" s="312" t="s">
        <v>94</v>
      </c>
      <c r="C46" s="414">
        <v>39</v>
      </c>
      <c r="D46" s="406" t="s">
        <v>44</v>
      </c>
      <c r="E46" s="313">
        <v>76.209999999999994</v>
      </c>
      <c r="F46" s="313">
        <v>71.62</v>
      </c>
      <c r="G46" s="313">
        <v>82.14</v>
      </c>
      <c r="H46" s="279">
        <f t="shared" si="7"/>
        <v>-4.5899999999999892</v>
      </c>
    </row>
    <row r="47" spans="1:23" ht="24.95" customHeight="1">
      <c r="A47" s="91" t="s">
        <v>45</v>
      </c>
      <c r="B47" s="74"/>
      <c r="C47" s="74"/>
      <c r="D47" s="74"/>
      <c r="E47" s="224"/>
      <c r="F47" s="224"/>
      <c r="G47" s="224"/>
      <c r="H47" s="21"/>
      <c r="I47" s="53"/>
      <c r="J47" s="53"/>
      <c r="K47" s="54"/>
      <c r="L47" s="54"/>
      <c r="M47" s="54"/>
      <c r="N47" s="54"/>
      <c r="O47" s="54"/>
      <c r="P47" s="54"/>
    </row>
    <row r="48" spans="1:23" ht="24.95" customHeight="1" thickBot="1">
      <c r="A48" s="196" t="s">
        <v>67</v>
      </c>
      <c r="B48" s="197"/>
      <c r="C48" s="197" t="s">
        <v>68</v>
      </c>
      <c r="D48" s="197" t="s">
        <v>69</v>
      </c>
      <c r="E48" s="262">
        <f>$E$3</f>
        <v>2015</v>
      </c>
      <c r="F48" s="262">
        <f>$F$3</f>
        <v>2016</v>
      </c>
      <c r="G48" s="227" t="str">
        <f>$G$3</f>
        <v>BMK</v>
      </c>
      <c r="H48" s="279">
        <f t="shared" ref="H48:H56" si="10">F48-E48</f>
        <v>1</v>
      </c>
    </row>
    <row r="49" spans="1:18" ht="24.95" customHeight="1">
      <c r="A49" s="528" t="s">
        <v>95</v>
      </c>
      <c r="B49" s="529"/>
      <c r="C49" s="403">
        <v>40</v>
      </c>
      <c r="D49" s="404" t="s">
        <v>46</v>
      </c>
      <c r="E49" s="222">
        <v>73.37</v>
      </c>
      <c r="F49" s="222">
        <v>70.790000000000006</v>
      </c>
      <c r="G49" s="222">
        <v>77.91</v>
      </c>
      <c r="H49" s="279">
        <f t="shared" si="10"/>
        <v>-2.5799999999999983</v>
      </c>
    </row>
    <row r="50" spans="1:18" ht="24.95" customHeight="1" thickBot="1">
      <c r="A50" s="530"/>
      <c r="B50" s="531"/>
      <c r="C50" s="405">
        <v>41</v>
      </c>
      <c r="D50" s="406" t="s">
        <v>47</v>
      </c>
      <c r="E50" s="223">
        <v>63.55</v>
      </c>
      <c r="F50" s="223">
        <v>61.51</v>
      </c>
      <c r="G50" s="223">
        <v>75.81</v>
      </c>
      <c r="H50" s="279">
        <f t="shared" si="10"/>
        <v>-2.0399999999999991</v>
      </c>
    </row>
    <row r="51" spans="1:18" ht="24.95" customHeight="1">
      <c r="A51" s="528" t="s">
        <v>96</v>
      </c>
      <c r="B51" s="529"/>
      <c r="C51" s="403">
        <v>42</v>
      </c>
      <c r="D51" s="404" t="s">
        <v>48</v>
      </c>
      <c r="E51" s="222">
        <v>79.930000000000007</v>
      </c>
      <c r="F51" s="222">
        <v>76.47</v>
      </c>
      <c r="G51" s="222">
        <v>87.14</v>
      </c>
      <c r="H51" s="279">
        <f t="shared" si="10"/>
        <v>-3.460000000000008</v>
      </c>
    </row>
    <row r="52" spans="1:18" ht="24.95" customHeight="1" thickBot="1">
      <c r="A52" s="530"/>
      <c r="B52" s="531"/>
      <c r="C52" s="405">
        <v>43</v>
      </c>
      <c r="D52" s="406" t="s">
        <v>49</v>
      </c>
      <c r="E52" s="223">
        <v>69.17</v>
      </c>
      <c r="F52" s="223">
        <v>66.42</v>
      </c>
      <c r="G52" s="223">
        <v>73.77</v>
      </c>
      <c r="H52" s="279">
        <f t="shared" si="10"/>
        <v>-2.75</v>
      </c>
      <c r="R52" s="55"/>
    </row>
    <row r="53" spans="1:18" ht="24.95" customHeight="1">
      <c r="A53" s="528" t="s">
        <v>97</v>
      </c>
      <c r="B53" s="529"/>
      <c r="C53" s="403">
        <v>44</v>
      </c>
      <c r="D53" s="404" t="s">
        <v>50</v>
      </c>
      <c r="E53" s="222">
        <v>72.7</v>
      </c>
      <c r="F53" s="222">
        <v>64.790000000000006</v>
      </c>
      <c r="G53" s="222">
        <v>80.959999999999994</v>
      </c>
      <c r="H53" s="279">
        <f t="shared" si="10"/>
        <v>-7.9099999999999966</v>
      </c>
      <c r="Q53" s="54"/>
    </row>
    <row r="54" spans="1:18" ht="24.95" customHeight="1">
      <c r="A54" s="532"/>
      <c r="B54" s="533"/>
      <c r="C54" s="407">
        <v>45</v>
      </c>
      <c r="D54" s="408" t="s">
        <v>51</v>
      </c>
      <c r="E54" s="221">
        <v>80.900000000000006</v>
      </c>
      <c r="F54" s="221">
        <v>76.819999999999993</v>
      </c>
      <c r="G54" s="221">
        <v>86.83</v>
      </c>
      <c r="H54" s="279">
        <f t="shared" si="10"/>
        <v>-4.0800000000000125</v>
      </c>
    </row>
    <row r="55" spans="1:18" ht="24.95" customHeight="1">
      <c r="A55" s="532"/>
      <c r="B55" s="533"/>
      <c r="C55" s="407">
        <v>46</v>
      </c>
      <c r="D55" s="408" t="s">
        <v>52</v>
      </c>
      <c r="E55" s="221">
        <v>67.67</v>
      </c>
      <c r="F55" s="221">
        <v>62.87</v>
      </c>
      <c r="G55" s="221">
        <v>79.239999999999995</v>
      </c>
      <c r="H55" s="279">
        <f t="shared" si="10"/>
        <v>-4.8000000000000043</v>
      </c>
    </row>
    <row r="56" spans="1:18" ht="24.95" customHeight="1" thickBot="1">
      <c r="A56" s="530"/>
      <c r="B56" s="531"/>
      <c r="C56" s="405">
        <v>47</v>
      </c>
      <c r="D56" s="406" t="s">
        <v>53</v>
      </c>
      <c r="E56" s="223">
        <v>64.14</v>
      </c>
      <c r="F56" s="223">
        <v>57.79</v>
      </c>
      <c r="G56" s="223">
        <v>80.56</v>
      </c>
      <c r="H56" s="279">
        <f t="shared" si="10"/>
        <v>-6.3500000000000014</v>
      </c>
      <c r="Q56" s="54"/>
    </row>
    <row r="57" spans="1:18" ht="24.95" customHeight="1">
      <c r="A57" s="82" t="s">
        <v>54</v>
      </c>
      <c r="B57" s="74"/>
      <c r="C57" s="74"/>
      <c r="D57" s="74"/>
      <c r="E57" s="224"/>
      <c r="F57" s="224"/>
      <c r="G57" s="224"/>
      <c r="H57" s="21"/>
      <c r="I57" s="53"/>
      <c r="J57" s="53"/>
      <c r="K57" s="54"/>
      <c r="L57" s="54"/>
      <c r="M57" s="54"/>
      <c r="N57" s="54"/>
      <c r="O57" s="54"/>
      <c r="P57" s="54"/>
    </row>
    <row r="58" spans="1:18" ht="24.95" customHeight="1" thickBot="1">
      <c r="A58" s="196" t="s">
        <v>67</v>
      </c>
      <c r="B58" s="197"/>
      <c r="C58" s="197" t="s">
        <v>68</v>
      </c>
      <c r="D58" s="197" t="s">
        <v>69</v>
      </c>
      <c r="E58" s="262">
        <f>$E$3</f>
        <v>2015</v>
      </c>
      <c r="F58" s="262">
        <f>$F$3</f>
        <v>2016</v>
      </c>
      <c r="G58" s="227" t="str">
        <f>$G$3</f>
        <v>BMK</v>
      </c>
      <c r="H58" s="279">
        <f t="shared" ref="H58:H68" si="11">F58-E58</f>
        <v>1</v>
      </c>
    </row>
    <row r="59" spans="1:18" ht="24.95" customHeight="1">
      <c r="A59" s="525" t="s">
        <v>98</v>
      </c>
      <c r="B59" s="525"/>
      <c r="C59" s="415">
        <v>48</v>
      </c>
      <c r="D59" s="416" t="s">
        <v>55</v>
      </c>
      <c r="E59" s="222">
        <v>84.62</v>
      </c>
      <c r="F59" s="222">
        <v>80.19</v>
      </c>
      <c r="G59" s="222">
        <v>87.83</v>
      </c>
      <c r="H59" s="279">
        <f t="shared" si="11"/>
        <v>-4.4300000000000068</v>
      </c>
    </row>
    <row r="60" spans="1:18" ht="24.95" customHeight="1">
      <c r="A60" s="526"/>
      <c r="B60" s="526"/>
      <c r="C60" s="417">
        <v>49</v>
      </c>
      <c r="D60" s="418" t="s">
        <v>56</v>
      </c>
      <c r="E60" s="221">
        <v>71.739999999999995</v>
      </c>
      <c r="F60" s="221">
        <v>67.98</v>
      </c>
      <c r="G60" s="221">
        <v>84.51</v>
      </c>
      <c r="H60" s="279">
        <f t="shared" si="11"/>
        <v>-3.7599999999999909</v>
      </c>
    </row>
    <row r="61" spans="1:18" ht="24.95" customHeight="1" thickBot="1">
      <c r="A61" s="527"/>
      <c r="B61" s="527"/>
      <c r="C61" s="419">
        <v>50</v>
      </c>
      <c r="D61" s="420" t="s">
        <v>57</v>
      </c>
      <c r="E61" s="223">
        <v>70.23</v>
      </c>
      <c r="F61" s="223">
        <v>65.790000000000006</v>
      </c>
      <c r="G61" s="223">
        <v>80.680000000000007</v>
      </c>
      <c r="H61" s="279">
        <f t="shared" si="11"/>
        <v>-4.4399999999999977</v>
      </c>
    </row>
    <row r="62" spans="1:18" ht="24.95" customHeight="1">
      <c r="A62" s="534" t="s">
        <v>99</v>
      </c>
      <c r="B62" s="537" t="s">
        <v>100</v>
      </c>
      <c r="C62" s="415">
        <v>51</v>
      </c>
      <c r="D62" s="416" t="s">
        <v>58</v>
      </c>
      <c r="E62" s="222">
        <v>80.510000000000005</v>
      </c>
      <c r="F62" s="222">
        <v>77.84</v>
      </c>
      <c r="G62" s="222">
        <v>88.53</v>
      </c>
      <c r="H62" s="279">
        <f t="shared" si="11"/>
        <v>-2.6700000000000017</v>
      </c>
    </row>
    <row r="63" spans="1:18" ht="24.95" customHeight="1" thickBot="1">
      <c r="A63" s="535"/>
      <c r="B63" s="538"/>
      <c r="C63" s="419">
        <v>52</v>
      </c>
      <c r="D63" s="420" t="s">
        <v>59</v>
      </c>
      <c r="E63" s="223">
        <v>77.05</v>
      </c>
      <c r="F63" s="223">
        <v>71.72</v>
      </c>
      <c r="G63" s="223">
        <v>83.38</v>
      </c>
      <c r="H63" s="279">
        <f t="shared" si="11"/>
        <v>-5.3299999999999983</v>
      </c>
    </row>
    <row r="64" spans="1:18" ht="24.95" customHeight="1">
      <c r="A64" s="535"/>
      <c r="B64" s="537" t="s">
        <v>101</v>
      </c>
      <c r="C64" s="415">
        <v>53</v>
      </c>
      <c r="D64" s="416" t="s">
        <v>60</v>
      </c>
      <c r="E64" s="222">
        <v>77.010000000000005</v>
      </c>
      <c r="F64" s="222">
        <v>76.92</v>
      </c>
      <c r="G64" s="222">
        <v>90.59</v>
      </c>
      <c r="H64" s="279">
        <f t="shared" si="11"/>
        <v>-9.0000000000003411E-2</v>
      </c>
      <c r="R64" s="55"/>
    </row>
    <row r="65" spans="1:18" ht="30" customHeight="1" thickBot="1">
      <c r="A65" s="536"/>
      <c r="B65" s="539"/>
      <c r="C65" s="417">
        <v>54</v>
      </c>
      <c r="D65" s="418" t="s">
        <v>61</v>
      </c>
      <c r="E65" s="223">
        <v>66.55</v>
      </c>
      <c r="F65" s="223">
        <v>65.180000000000007</v>
      </c>
      <c r="G65" s="223">
        <v>82.18</v>
      </c>
      <c r="H65" s="279">
        <f t="shared" si="11"/>
        <v>-1.3699999999999903</v>
      </c>
    </row>
    <row r="66" spans="1:18" ht="24.95" customHeight="1">
      <c r="A66" s="525" t="s">
        <v>102</v>
      </c>
      <c r="B66" s="525"/>
      <c r="C66" s="415">
        <v>55</v>
      </c>
      <c r="D66" s="416" t="s">
        <v>62</v>
      </c>
      <c r="E66" s="222">
        <v>64.88</v>
      </c>
      <c r="F66" s="222">
        <v>57.49</v>
      </c>
      <c r="G66" s="222">
        <v>78.38</v>
      </c>
      <c r="H66" s="279">
        <f t="shared" si="11"/>
        <v>-7.3899999999999935</v>
      </c>
    </row>
    <row r="67" spans="1:18" ht="24.95" customHeight="1">
      <c r="A67" s="526"/>
      <c r="B67" s="526"/>
      <c r="C67" s="417">
        <v>56</v>
      </c>
      <c r="D67" s="418" t="s">
        <v>63</v>
      </c>
      <c r="E67" s="221">
        <v>67.39</v>
      </c>
      <c r="F67" s="221">
        <v>58.54</v>
      </c>
      <c r="G67" s="221">
        <v>75.88</v>
      </c>
      <c r="H67" s="279">
        <f t="shared" si="11"/>
        <v>-8.8500000000000014</v>
      </c>
      <c r="R67" s="55"/>
    </row>
    <row r="68" spans="1:18" ht="24.95" customHeight="1" thickBot="1">
      <c r="A68" s="527"/>
      <c r="B68" s="527"/>
      <c r="C68" s="419">
        <v>57</v>
      </c>
      <c r="D68" s="420" t="s">
        <v>64</v>
      </c>
      <c r="E68" s="223">
        <v>74.33</v>
      </c>
      <c r="F68" s="223">
        <v>71.25</v>
      </c>
      <c r="G68" s="223">
        <v>81.12</v>
      </c>
      <c r="H68" s="279">
        <f t="shared" si="11"/>
        <v>-3.0799999999999983</v>
      </c>
    </row>
    <row r="69" spans="1:18" ht="24.95" customHeight="1">
      <c r="A69" s="82" t="s">
        <v>65</v>
      </c>
      <c r="B69" s="74"/>
      <c r="C69" s="74"/>
      <c r="D69" s="74"/>
      <c r="E69" s="155"/>
      <c r="F69" s="155"/>
      <c r="G69" s="155"/>
      <c r="H69" s="21"/>
      <c r="I69" s="53"/>
      <c r="J69" s="53"/>
      <c r="K69" s="54"/>
      <c r="L69" s="54"/>
      <c r="M69" s="54"/>
      <c r="N69" s="54"/>
      <c r="O69" s="54"/>
      <c r="P69" s="54"/>
    </row>
    <row r="70" spans="1:18" ht="24.95" customHeight="1">
      <c r="A70" s="518" t="s">
        <v>67</v>
      </c>
      <c r="B70" s="519"/>
      <c r="C70" s="92" t="s">
        <v>68</v>
      </c>
      <c r="D70" s="92" t="s">
        <v>69</v>
      </c>
      <c r="E70" s="156"/>
      <c r="F70" s="157"/>
      <c r="G70" s="157"/>
      <c r="H70" s="279">
        <f>F70-E70</f>
        <v>0</v>
      </c>
    </row>
    <row r="71" spans="1:18" ht="24.95" customHeight="1">
      <c r="A71" s="520" t="s">
        <v>103</v>
      </c>
      <c r="B71" s="521"/>
      <c r="C71" s="93">
        <v>58</v>
      </c>
      <c r="D71" s="94" t="s">
        <v>66</v>
      </c>
      <c r="E71" s="158">
        <v>70.81</v>
      </c>
      <c r="F71" s="334">
        <v>66.099999999999994</v>
      </c>
      <c r="G71" s="158">
        <v>82.28</v>
      </c>
      <c r="H71" s="279">
        <f t="shared" ref="H71:H83" si="12">F71-E71</f>
        <v>-4.710000000000008</v>
      </c>
    </row>
    <row r="72" spans="1:18" ht="24.95" customHeight="1" thickBot="1">
      <c r="A72" s="50" t="s">
        <v>104</v>
      </c>
      <c r="B72" s="95"/>
      <c r="C72" s="95"/>
      <c r="D72" s="95"/>
      <c r="E72" s="159"/>
      <c r="F72" s="159"/>
      <c r="G72" s="159"/>
      <c r="H72" s="21"/>
      <c r="I72" s="53"/>
      <c r="J72" s="53"/>
      <c r="K72" s="54"/>
      <c r="L72" s="54"/>
      <c r="M72" s="54"/>
      <c r="N72" s="54"/>
      <c r="O72" s="54"/>
      <c r="P72" s="54"/>
    </row>
    <row r="73" spans="1:18" ht="24.95" customHeight="1" thickBot="1">
      <c r="A73" s="516" t="s">
        <v>67</v>
      </c>
      <c r="B73" s="517"/>
      <c r="C73" s="352" t="s">
        <v>68</v>
      </c>
      <c r="D73" s="353" t="s">
        <v>69</v>
      </c>
      <c r="E73" s="353">
        <v>2014</v>
      </c>
      <c r="F73" s="354">
        <v>2015</v>
      </c>
      <c r="G73" s="160"/>
      <c r="H73" s="279">
        <f t="shared" si="12"/>
        <v>1</v>
      </c>
    </row>
    <row r="74" spans="1:18" ht="32.25" customHeight="1">
      <c r="A74" s="516"/>
      <c r="B74" s="517"/>
      <c r="C74" s="355">
        <v>59</v>
      </c>
      <c r="D74" s="356" t="s">
        <v>771</v>
      </c>
      <c r="E74" s="357">
        <v>80.84</v>
      </c>
      <c r="F74" s="358">
        <v>76.97</v>
      </c>
      <c r="G74" s="158" t="s">
        <v>566</v>
      </c>
      <c r="H74" s="279">
        <f t="shared" si="12"/>
        <v>-3.8700000000000045</v>
      </c>
    </row>
    <row r="75" spans="1:18" ht="32.25" customHeight="1">
      <c r="A75" s="516"/>
      <c r="B75" s="517"/>
      <c r="C75" s="355">
        <v>60</v>
      </c>
      <c r="D75" s="94" t="s">
        <v>772</v>
      </c>
      <c r="E75" s="357">
        <v>82.32</v>
      </c>
      <c r="F75" s="358">
        <v>80.900000000000006</v>
      </c>
      <c r="G75" s="158" t="s">
        <v>566</v>
      </c>
      <c r="H75" s="279">
        <f t="shared" si="12"/>
        <v>-1.4199999999999875</v>
      </c>
    </row>
    <row r="76" spans="1:18" ht="32.25" customHeight="1">
      <c r="A76" s="516"/>
      <c r="B76" s="517"/>
      <c r="C76" s="355">
        <v>61</v>
      </c>
      <c r="D76" s="94" t="s">
        <v>773</v>
      </c>
      <c r="E76" s="357">
        <v>74.37</v>
      </c>
      <c r="F76" s="358">
        <v>67.290000000000006</v>
      </c>
      <c r="G76" s="158" t="s">
        <v>566</v>
      </c>
      <c r="H76" s="279">
        <f t="shared" si="12"/>
        <v>-7.0799999999999983</v>
      </c>
    </row>
    <row r="77" spans="1:18" ht="32.25" customHeight="1">
      <c r="A77" s="516"/>
      <c r="B77" s="517"/>
      <c r="C77" s="355">
        <v>62</v>
      </c>
      <c r="D77" s="94" t="s">
        <v>774</v>
      </c>
      <c r="E77" s="357">
        <v>70.849999999999994</v>
      </c>
      <c r="F77" s="358">
        <v>69.62</v>
      </c>
      <c r="G77" s="158" t="s">
        <v>566</v>
      </c>
      <c r="H77" s="279">
        <f t="shared" si="12"/>
        <v>-1.2299999999999898</v>
      </c>
    </row>
    <row r="78" spans="1:18" ht="32.25" customHeight="1">
      <c r="A78" s="516"/>
      <c r="B78" s="517"/>
      <c r="C78" s="355">
        <v>63</v>
      </c>
      <c r="D78" s="94" t="s">
        <v>775</v>
      </c>
      <c r="E78" s="357">
        <v>89.77</v>
      </c>
      <c r="F78" s="358">
        <v>84.05</v>
      </c>
      <c r="G78" s="158" t="s">
        <v>566</v>
      </c>
      <c r="H78" s="279">
        <f t="shared" si="12"/>
        <v>-5.7199999999999989</v>
      </c>
    </row>
    <row r="79" spans="1:18" ht="32.25" customHeight="1">
      <c r="A79" s="516"/>
      <c r="B79" s="517"/>
      <c r="C79" s="359">
        <v>64</v>
      </c>
      <c r="D79" s="96" t="s">
        <v>776</v>
      </c>
      <c r="E79" s="357">
        <v>76.989999999999995</v>
      </c>
      <c r="F79" s="358">
        <v>82.2</v>
      </c>
      <c r="G79" s="158" t="s">
        <v>566</v>
      </c>
      <c r="H79" s="279">
        <f t="shared" si="12"/>
        <v>5.210000000000008</v>
      </c>
    </row>
    <row r="80" spans="1:18" ht="32.25" customHeight="1">
      <c r="A80" s="516"/>
      <c r="B80" s="517"/>
      <c r="C80" s="355">
        <v>65</v>
      </c>
      <c r="D80" s="94" t="s">
        <v>777</v>
      </c>
      <c r="E80" s="357">
        <v>65.650000000000006</v>
      </c>
      <c r="F80" s="358">
        <v>61.81</v>
      </c>
      <c r="G80" s="65" t="s">
        <v>566</v>
      </c>
      <c r="H80" s="279">
        <f t="shared" si="12"/>
        <v>-3.8400000000000034</v>
      </c>
    </row>
    <row r="81" spans="1:8" ht="32.25" customHeight="1">
      <c r="A81" s="516"/>
      <c r="B81" s="517"/>
      <c r="C81" s="355">
        <v>66</v>
      </c>
      <c r="D81" s="94" t="s">
        <v>778</v>
      </c>
      <c r="E81" s="357">
        <v>65.59</v>
      </c>
      <c r="F81" s="358">
        <v>62.17</v>
      </c>
      <c r="G81" s="65" t="s">
        <v>566</v>
      </c>
      <c r="H81" s="279">
        <f t="shared" si="12"/>
        <v>-3.4200000000000017</v>
      </c>
    </row>
    <row r="82" spans="1:8" ht="32.25" customHeight="1">
      <c r="A82" s="516"/>
      <c r="B82" s="517"/>
      <c r="C82" s="355">
        <v>67</v>
      </c>
      <c r="D82" s="94" t="s">
        <v>779</v>
      </c>
      <c r="E82" s="357">
        <v>76.09</v>
      </c>
      <c r="F82" s="358">
        <v>70.38</v>
      </c>
      <c r="G82" s="65" t="s">
        <v>566</v>
      </c>
      <c r="H82" s="279">
        <f t="shared" si="12"/>
        <v>-5.710000000000008</v>
      </c>
    </row>
    <row r="83" spans="1:8" ht="32.25" customHeight="1" thickBot="1">
      <c r="A83" s="516"/>
      <c r="B83" s="517"/>
      <c r="C83" s="360">
        <v>68</v>
      </c>
      <c r="D83" s="361" t="s">
        <v>780</v>
      </c>
      <c r="E83" s="362">
        <v>62.61</v>
      </c>
      <c r="F83" s="363">
        <v>54.72</v>
      </c>
      <c r="G83" s="65" t="s">
        <v>566</v>
      </c>
      <c r="H83" s="279">
        <f t="shared" si="12"/>
        <v>-7.8900000000000006</v>
      </c>
    </row>
    <row r="84" spans="1:8" ht="32.1" customHeight="1" thickBot="1">
      <c r="A84" s="516"/>
      <c r="B84" s="517"/>
      <c r="C84" s="93">
        <f t="shared" ref="C84" si="13">C83+1</f>
        <v>69</v>
      </c>
      <c r="D84" s="94"/>
      <c r="E84" s="65"/>
      <c r="F84" s="65"/>
      <c r="G84" s="65"/>
    </row>
    <row r="85" spans="1:8" ht="32.1" customHeight="1" thickBot="1">
      <c r="A85" s="516" t="s">
        <v>67</v>
      </c>
      <c r="B85" s="517"/>
      <c r="C85" s="364" t="s">
        <v>68</v>
      </c>
      <c r="D85" s="365" t="s">
        <v>781</v>
      </c>
      <c r="E85" s="366">
        <f>$F$3</f>
        <v>2016</v>
      </c>
      <c r="F85" s="65" t="s">
        <v>566</v>
      </c>
    </row>
    <row r="86" spans="1:8" ht="32.1" customHeight="1">
      <c r="A86" s="516"/>
      <c r="B86" s="517"/>
      <c r="C86" s="367">
        <v>15</v>
      </c>
      <c r="D86" s="368" t="s">
        <v>19</v>
      </c>
      <c r="E86" s="372">
        <v>67.510000000000005</v>
      </c>
      <c r="F86" s="65">
        <v>69.599999999999994</v>
      </c>
      <c r="G86" s="22">
        <v>75.58</v>
      </c>
    </row>
    <row r="87" spans="1:8" ht="32.1" customHeight="1">
      <c r="A87" s="516"/>
      <c r="B87" s="517"/>
      <c r="C87" s="367">
        <v>59</v>
      </c>
      <c r="D87" s="369" t="s">
        <v>567</v>
      </c>
      <c r="E87" s="373">
        <v>80.84</v>
      </c>
      <c r="F87" s="65">
        <v>76.97</v>
      </c>
      <c r="G87" s="22" t="s">
        <v>566</v>
      </c>
    </row>
    <row r="88" spans="1:8" ht="32.1" customHeight="1">
      <c r="A88" s="516"/>
      <c r="B88" s="517"/>
      <c r="C88" s="367">
        <v>60</v>
      </c>
      <c r="D88" s="369" t="s">
        <v>568</v>
      </c>
      <c r="E88" s="373">
        <v>82.32</v>
      </c>
      <c r="F88" s="65">
        <v>80.900000000000006</v>
      </c>
      <c r="G88" s="22" t="s">
        <v>566</v>
      </c>
    </row>
    <row r="89" spans="1:8" ht="32.1" customHeight="1">
      <c r="A89" s="516"/>
      <c r="B89" s="517"/>
      <c r="C89" s="367">
        <v>61</v>
      </c>
      <c r="D89" s="369" t="s">
        <v>569</v>
      </c>
      <c r="E89" s="373">
        <v>74.37</v>
      </c>
      <c r="F89" s="65">
        <v>67.290000000000006</v>
      </c>
      <c r="G89" s="22" t="s">
        <v>566</v>
      </c>
    </row>
    <row r="90" spans="1:8" ht="32.1" customHeight="1">
      <c r="A90" s="516"/>
      <c r="B90" s="517"/>
      <c r="C90" s="367">
        <v>62</v>
      </c>
      <c r="D90" s="369" t="s">
        <v>570</v>
      </c>
      <c r="E90" s="373">
        <v>70.849999999999994</v>
      </c>
      <c r="F90" s="65">
        <v>69.62</v>
      </c>
      <c r="G90" s="22" t="s">
        <v>566</v>
      </c>
    </row>
    <row r="91" spans="1:8" ht="31.5" customHeight="1">
      <c r="A91" s="516"/>
      <c r="B91" s="517"/>
      <c r="C91" s="367">
        <v>63</v>
      </c>
      <c r="D91" s="369" t="s">
        <v>571</v>
      </c>
      <c r="E91" s="373">
        <v>89.77</v>
      </c>
      <c r="F91" s="85">
        <v>84.05</v>
      </c>
      <c r="G91" s="22" t="s">
        <v>566</v>
      </c>
    </row>
    <row r="92" spans="1:8" ht="31.5" customHeight="1" thickBot="1">
      <c r="A92" s="516"/>
      <c r="B92" s="517"/>
      <c r="C92" s="367">
        <v>64</v>
      </c>
      <c r="D92" s="370" t="s">
        <v>572</v>
      </c>
      <c r="E92" s="371">
        <v>76.989999999999995</v>
      </c>
      <c r="F92" s="22">
        <v>82.2</v>
      </c>
      <c r="G92" s="22" t="s">
        <v>566</v>
      </c>
    </row>
  </sheetData>
  <mergeCells count="53">
    <mergeCell ref="A92:B92"/>
    <mergeCell ref="A8:A13"/>
    <mergeCell ref="B8:B10"/>
    <mergeCell ref="B11:B12"/>
    <mergeCell ref="A4:A7"/>
    <mergeCell ref="B4:B5"/>
    <mergeCell ref="B6:B7"/>
    <mergeCell ref="A14:A17"/>
    <mergeCell ref="B14:B16"/>
    <mergeCell ref="A20:A23"/>
    <mergeCell ref="B20:B21"/>
    <mergeCell ref="B22:B23"/>
    <mergeCell ref="A42:A46"/>
    <mergeCell ref="B42:B45"/>
    <mergeCell ref="A24:A25"/>
    <mergeCell ref="B24:B25"/>
    <mergeCell ref="A26:A32"/>
    <mergeCell ref="B26:B28"/>
    <mergeCell ref="B29:B32"/>
    <mergeCell ref="A35:A38"/>
    <mergeCell ref="B35:B36"/>
    <mergeCell ref="B37:B38"/>
    <mergeCell ref="A39:B41"/>
    <mergeCell ref="A66:B68"/>
    <mergeCell ref="A49:B50"/>
    <mergeCell ref="A51:B52"/>
    <mergeCell ref="A53:B56"/>
    <mergeCell ref="A59:B61"/>
    <mergeCell ref="A62:A65"/>
    <mergeCell ref="B62:B63"/>
    <mergeCell ref="B64:B65"/>
    <mergeCell ref="A78:B78"/>
    <mergeCell ref="A79:B79"/>
    <mergeCell ref="A70:B70"/>
    <mergeCell ref="A71:B71"/>
    <mergeCell ref="A73:B73"/>
    <mergeCell ref="A74:B74"/>
    <mergeCell ref="A1:B1"/>
    <mergeCell ref="A91:B91"/>
    <mergeCell ref="A80:B80"/>
    <mergeCell ref="A81:B81"/>
    <mergeCell ref="A82:B82"/>
    <mergeCell ref="A83:B83"/>
    <mergeCell ref="A84:B84"/>
    <mergeCell ref="A85:B85"/>
    <mergeCell ref="A86:B86"/>
    <mergeCell ref="A87:B87"/>
    <mergeCell ref="A88:B88"/>
    <mergeCell ref="A89:B89"/>
    <mergeCell ref="A90:B90"/>
    <mergeCell ref="A75:B75"/>
    <mergeCell ref="A76:B76"/>
    <mergeCell ref="A77:B77"/>
  </mergeCells>
  <conditionalFormatting sqref="E71:G71 F85:F91">
    <cfRule type="expression" dxfId="9701" priority="242">
      <formula>E71=""</formula>
    </cfRule>
    <cfRule type="expression" dxfId="9700" priority="243">
      <formula>E71&lt;44.5</formula>
    </cfRule>
    <cfRule type="expression" dxfId="9699" priority="244">
      <formula>E71&lt;60.5</formula>
    </cfRule>
    <cfRule type="expression" dxfId="9698" priority="245">
      <formula>E71&lt;85.5</formula>
    </cfRule>
    <cfRule type="expression" dxfId="9697" priority="246">
      <formula>E71&gt;85.5</formula>
    </cfRule>
  </conditionalFormatting>
  <conditionalFormatting sqref="F71:G71">
    <cfRule type="expression" dxfId="9696" priority="153">
      <formula>F71=""</formula>
    </cfRule>
    <cfRule type="expression" dxfId="9695" priority="154">
      <formula>F71&lt;44.5</formula>
    </cfRule>
    <cfRule type="expression" dxfId="9694" priority="155">
      <formula>F71&lt;60.5</formula>
    </cfRule>
    <cfRule type="expression" dxfId="9693" priority="156">
      <formula>F71&lt;85.5</formula>
    </cfRule>
    <cfRule type="expression" dxfId="9692" priority="157">
      <formula>F71&gt;85.5</formula>
    </cfRule>
  </conditionalFormatting>
  <conditionalFormatting sqref="F4:F17">
    <cfRule type="expression" dxfId="9691" priority="134">
      <formula>F4=""</formula>
    </cfRule>
    <cfRule type="expression" dxfId="9690" priority="135">
      <formula>F4&lt;44.5</formula>
    </cfRule>
    <cfRule type="expression" dxfId="9689" priority="136">
      <formula>F4&lt;60.5</formula>
    </cfRule>
    <cfRule type="expression" dxfId="9688" priority="137">
      <formula>F4&lt;85.5</formula>
    </cfRule>
    <cfRule type="expression" dxfId="9687" priority="138">
      <formula>F4&gt;85.5</formula>
    </cfRule>
  </conditionalFormatting>
  <conditionalFormatting sqref="E4:E17">
    <cfRule type="expression" dxfId="9686" priority="120">
      <formula>E4=""</formula>
    </cfRule>
    <cfRule type="expression" dxfId="9685" priority="121">
      <formula>E4&lt;44.5</formula>
    </cfRule>
    <cfRule type="expression" dxfId="9684" priority="122">
      <formula>E4&lt;60.5</formula>
    </cfRule>
    <cfRule type="expression" dxfId="9683" priority="123">
      <formula>E4&lt;85.5</formula>
    </cfRule>
    <cfRule type="expression" dxfId="9682" priority="124">
      <formula>E4&gt;85.5</formula>
    </cfRule>
  </conditionalFormatting>
  <conditionalFormatting sqref="E84:G84 G74:G83">
    <cfRule type="expression" dxfId="9681" priority="61">
      <formula>E74=""</formula>
    </cfRule>
    <cfRule type="expression" dxfId="9680" priority="62">
      <formula>E74&lt;44.5</formula>
    </cfRule>
    <cfRule type="expression" dxfId="9679" priority="63">
      <formula>E74&lt;60.5</formula>
    </cfRule>
    <cfRule type="expression" dxfId="9678" priority="64">
      <formula>E74&lt;85.5</formula>
    </cfRule>
    <cfRule type="expression" dxfId="9677" priority="65">
      <formula>E74&gt;85.5</formula>
    </cfRule>
  </conditionalFormatting>
  <conditionalFormatting sqref="F84:G84 G74:G83">
    <cfRule type="expression" dxfId="9676" priority="56">
      <formula>F74=""</formula>
    </cfRule>
    <cfRule type="expression" dxfId="9675" priority="57">
      <formula>F74&lt;44.5</formula>
    </cfRule>
    <cfRule type="expression" dxfId="9674" priority="58">
      <formula>F74&lt;60.5</formula>
    </cfRule>
    <cfRule type="expression" dxfId="9673" priority="59">
      <formula>F74&lt;85.5</formula>
    </cfRule>
    <cfRule type="expression" dxfId="9672" priority="60">
      <formula>F74&gt;85.5</formula>
    </cfRule>
  </conditionalFormatting>
  <conditionalFormatting sqref="E4:G17">
    <cfRule type="expression" dxfId="9671" priority="51">
      <formula>E4=""</formula>
    </cfRule>
    <cfRule type="expression" dxfId="9670" priority="52">
      <formula>E4&lt;44.5</formula>
    </cfRule>
    <cfRule type="expression" dxfId="9669" priority="53">
      <formula>E4&lt;60.5</formula>
    </cfRule>
    <cfRule type="expression" dxfId="9668" priority="54">
      <formula>E4&lt;85.5</formula>
    </cfRule>
    <cfRule type="expression" dxfId="9667" priority="55">
      <formula>E4&gt;85.5</formula>
    </cfRule>
  </conditionalFormatting>
  <conditionalFormatting sqref="E20:G32">
    <cfRule type="expression" dxfId="9666" priority="41">
      <formula>E20=""</formula>
    </cfRule>
    <cfRule type="expression" dxfId="9665" priority="42">
      <formula>E20&lt;44.5</formula>
    </cfRule>
    <cfRule type="expression" dxfId="9664" priority="43">
      <formula>E20&lt;60.5</formula>
    </cfRule>
    <cfRule type="expression" dxfId="9663" priority="44">
      <formula>E20&lt;85.5</formula>
    </cfRule>
    <cfRule type="expression" dxfId="9662" priority="45">
      <formula>E20&gt;85.5</formula>
    </cfRule>
  </conditionalFormatting>
  <conditionalFormatting sqref="E35:G46">
    <cfRule type="expression" dxfId="9661" priority="36">
      <formula>E35=""</formula>
    </cfRule>
    <cfRule type="expression" dxfId="9660" priority="37">
      <formula>E35&lt;44.5</formula>
    </cfRule>
    <cfRule type="expression" dxfId="9659" priority="38">
      <formula>E35&lt;60.5</formula>
    </cfRule>
    <cfRule type="expression" dxfId="9658" priority="39">
      <formula>E35&lt;85.5</formula>
    </cfRule>
    <cfRule type="expression" dxfId="9657" priority="40">
      <formula>E35&gt;85.5</formula>
    </cfRule>
  </conditionalFormatting>
  <conditionalFormatting sqref="E49:G56">
    <cfRule type="expression" dxfId="9656" priority="31">
      <formula>E49=""</formula>
    </cfRule>
    <cfRule type="expression" dxfId="9655" priority="32">
      <formula>E49&lt;44.5</formula>
    </cfRule>
    <cfRule type="expression" dxfId="9654" priority="33">
      <formula>E49&lt;60.5</formula>
    </cfRule>
    <cfRule type="expression" dxfId="9653" priority="34">
      <formula>E49&lt;85.5</formula>
    </cfRule>
    <cfRule type="expression" dxfId="9652" priority="35">
      <formula>E49&gt;85.5</formula>
    </cfRule>
  </conditionalFormatting>
  <conditionalFormatting sqref="E59:G68">
    <cfRule type="expression" dxfId="9651" priority="26">
      <formula>E59=""</formula>
    </cfRule>
    <cfRule type="expression" dxfId="9650" priority="27">
      <formula>E59&lt;44.5</formula>
    </cfRule>
    <cfRule type="expression" dxfId="9649" priority="28">
      <formula>E59&lt;60.5</formula>
    </cfRule>
    <cfRule type="expression" dxfId="9648" priority="29">
      <formula>E59&lt;85.5</formula>
    </cfRule>
    <cfRule type="expression" dxfId="9647" priority="30">
      <formula>E59&gt;85.5</formula>
    </cfRule>
  </conditionalFormatting>
  <conditionalFormatting sqref="E74:F83">
    <cfRule type="expression" dxfId="9646" priority="16">
      <formula>E74=""</formula>
    </cfRule>
    <cfRule type="expression" dxfId="9645" priority="18">
      <formula>E74&lt;60.5</formula>
    </cfRule>
    <cfRule type="expression" dxfId="9644" priority="19">
      <formula>E74&lt;85.5</formula>
    </cfRule>
    <cfRule type="expression" dxfId="9643" priority="20">
      <formula>E74&gt;84.5</formula>
    </cfRule>
  </conditionalFormatting>
  <conditionalFormatting sqref="E74:F83">
    <cfRule type="expression" dxfId="9642" priority="17">
      <formula>E74&lt;44.5</formula>
    </cfRule>
  </conditionalFormatting>
  <conditionalFormatting sqref="E92">
    <cfRule type="expression" dxfId="9641" priority="6">
      <formula>E92=""</formula>
    </cfRule>
    <cfRule type="expression" dxfId="9640" priority="7">
      <formula>E92&lt;44.5</formula>
    </cfRule>
    <cfRule type="expression" dxfId="9639" priority="8">
      <formula>E92&lt;60.5</formula>
    </cfRule>
    <cfRule type="expression" dxfId="9638" priority="9">
      <formula>E92&lt;85.5</formula>
    </cfRule>
    <cfRule type="expression" dxfId="9637" priority="10">
      <formula>E92&gt;85.5</formula>
    </cfRule>
  </conditionalFormatting>
  <conditionalFormatting sqref="E86:E91">
    <cfRule type="expression" dxfId="9636" priority="1">
      <formula>E86=""</formula>
    </cfRule>
    <cfRule type="expression" dxfId="9635" priority="2">
      <formula>E86&lt;44.5</formula>
    </cfRule>
    <cfRule type="expression" dxfId="9634" priority="3">
      <formula>E86&lt;60.5</formula>
    </cfRule>
    <cfRule type="expression" dxfId="9633" priority="4">
      <formula>E86&lt;85.5</formula>
    </cfRule>
    <cfRule type="expression" dxfId="9632" priority="5">
      <formula>E86&gt;85.5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3:Q246"/>
  <sheetViews>
    <sheetView showGridLines="0" tabSelected="1" topLeftCell="A213" zoomScale="55" zoomScaleNormal="55" workbookViewId="0">
      <selection activeCell="U231" sqref="U231"/>
    </sheetView>
  </sheetViews>
  <sheetFormatPr baseColWidth="10" defaultColWidth="11.42578125" defaultRowHeight="14.25"/>
  <cols>
    <col min="1" max="1" width="11.42578125" style="25"/>
    <col min="2" max="2" width="3.5703125" style="25" customWidth="1"/>
    <col min="3" max="14" width="11.42578125" style="25"/>
    <col min="15" max="15" width="26.28515625" style="25" customWidth="1"/>
    <col min="16" max="16384" width="11.42578125" style="25"/>
  </cols>
  <sheetData>
    <row r="23" spans="1:13">
      <c r="A23" s="116"/>
      <c r="B23" s="116"/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</row>
    <row r="24" spans="1:13">
      <c r="A24" s="117"/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17"/>
      <c r="M24" s="117"/>
    </row>
    <row r="25" spans="1:13">
      <c r="A25" s="118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</row>
    <row r="26" spans="1:13">
      <c r="A26" s="118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</row>
    <row r="27" spans="1:13">
      <c r="A27" s="118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</row>
    <row r="28" spans="1:13">
      <c r="A28" s="118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</row>
    <row r="29" spans="1:13">
      <c r="A29" s="118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</row>
    <row r="30" spans="1:13">
      <c r="A30" s="118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</row>
    <row r="31" spans="1:13">
      <c r="A31" s="118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</row>
    <row r="32" spans="1:13">
      <c r="A32" s="118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</row>
    <row r="33" spans="1:13">
      <c r="A33" s="118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</row>
    <row r="34" spans="1:13">
      <c r="A34" s="118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</row>
    <row r="35" spans="1:13">
      <c r="A35" s="118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</row>
    <row r="36" spans="1:13">
      <c r="A36" s="118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</row>
    <row r="37" spans="1:13">
      <c r="A37" s="118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</row>
    <row r="38" spans="1:13">
      <c r="A38" s="118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</row>
    <row r="39" spans="1:13">
      <c r="A39" s="118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</row>
    <row r="40" spans="1:13">
      <c r="A40" s="118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</row>
    <row r="41" spans="1:13">
      <c r="A41" s="118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</row>
    <row r="42" spans="1:13">
      <c r="A42" s="118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</row>
    <row r="43" spans="1:13">
      <c r="A43" s="118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</row>
    <row r="44" spans="1:13">
      <c r="A44" s="118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</row>
    <row r="45" spans="1:13">
      <c r="A45" s="118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</row>
    <row r="46" spans="1:13">
      <c r="A46" s="116"/>
      <c r="B46" s="116"/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</row>
    <row r="47" spans="1:13">
      <c r="A47" s="117"/>
      <c r="B47" s="117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</row>
    <row r="48" spans="1:13">
      <c r="A48" s="118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</row>
    <row r="49" spans="1:13">
      <c r="A49" s="118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</row>
    <row r="50" spans="1:13">
      <c r="A50" s="118"/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</row>
    <row r="51" spans="1:13">
      <c r="A51" s="118"/>
      <c r="B51" s="118"/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</row>
    <row r="52" spans="1:13">
      <c r="A52" s="118"/>
      <c r="B52" s="118"/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</row>
    <row r="53" spans="1:13">
      <c r="A53" s="118"/>
      <c r="B53" s="118"/>
      <c r="C53" s="118"/>
      <c r="D53" s="118"/>
      <c r="E53" s="118"/>
      <c r="F53" s="118"/>
      <c r="G53" s="118"/>
      <c r="H53" s="118"/>
      <c r="I53" s="118"/>
      <c r="J53" s="118"/>
      <c r="K53" s="118"/>
      <c r="L53" s="118"/>
      <c r="M53" s="118"/>
    </row>
    <row r="54" spans="1:13">
      <c r="A54" s="118"/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</row>
    <row r="55" spans="1:13">
      <c r="A55" s="118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</row>
    <row r="56" spans="1:13">
      <c r="A56" s="118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</row>
    <row r="57" spans="1:13">
      <c r="A57" s="118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</row>
    <row r="58" spans="1:13">
      <c r="A58" s="118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</row>
    <row r="59" spans="1:13">
      <c r="A59" s="118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</row>
    <row r="60" spans="1:13">
      <c r="A60" s="118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</row>
    <row r="61" spans="1:13">
      <c r="A61" s="118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</row>
    <row r="62" spans="1:13">
      <c r="A62" s="118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</row>
    <row r="63" spans="1:13">
      <c r="A63" s="118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</row>
    <row r="64" spans="1:13">
      <c r="A64" s="118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</row>
    <row r="65" spans="1:13">
      <c r="A65" s="118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</row>
    <row r="66" spans="1:13">
      <c r="A66" s="118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</row>
    <row r="67" spans="1:13">
      <c r="A67" s="118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</row>
    <row r="68" spans="1:13">
      <c r="A68" s="118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</row>
    <row r="69" spans="1:13">
      <c r="A69" s="116"/>
      <c r="B69" s="116"/>
      <c r="C69" s="116"/>
      <c r="D69" s="116"/>
      <c r="E69" s="116"/>
      <c r="F69" s="116"/>
      <c r="G69" s="116"/>
      <c r="H69" s="116"/>
      <c r="I69" s="116"/>
      <c r="J69" s="116"/>
      <c r="K69" s="116"/>
      <c r="L69" s="116"/>
      <c r="M69" s="116"/>
    </row>
    <row r="70" spans="1:13">
      <c r="A70" s="117"/>
      <c r="B70" s="117"/>
      <c r="C70" s="117"/>
      <c r="D70" s="117"/>
      <c r="E70" s="117"/>
      <c r="F70" s="117"/>
      <c r="G70" s="117"/>
      <c r="H70" s="117"/>
      <c r="I70" s="117"/>
      <c r="J70" s="117"/>
      <c r="K70" s="117"/>
      <c r="L70" s="117"/>
      <c r="M70" s="117"/>
    </row>
    <row r="71" spans="1:13">
      <c r="A71" s="118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</row>
    <row r="72" spans="1:13">
      <c r="A72" s="118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</row>
    <row r="73" spans="1:13">
      <c r="A73" s="118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</row>
    <row r="74" spans="1:13">
      <c r="A74" s="118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</row>
    <row r="75" spans="1:13">
      <c r="A75" s="118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</row>
    <row r="76" spans="1:13">
      <c r="A76" s="118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</row>
    <row r="77" spans="1:13">
      <c r="A77" s="118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</row>
    <row r="78" spans="1:13">
      <c r="A78" s="118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</row>
    <row r="79" spans="1:13">
      <c r="A79" s="118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</row>
    <row r="80" spans="1:13">
      <c r="A80" s="118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</row>
    <row r="81" spans="1:13">
      <c r="A81" s="118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</row>
    <row r="82" spans="1:13">
      <c r="A82" s="118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</row>
    <row r="83" spans="1:13">
      <c r="A83" s="118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</row>
    <row r="84" spans="1:13">
      <c r="A84" s="118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</row>
    <row r="85" spans="1:13">
      <c r="A85" s="118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</row>
    <row r="86" spans="1:13">
      <c r="A86" s="118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</row>
    <row r="87" spans="1:13">
      <c r="A87" s="118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</row>
    <row r="88" spans="1:13">
      <c r="A88" s="118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</row>
    <row r="89" spans="1:13">
      <c r="A89" s="118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</row>
    <row r="90" spans="1:13">
      <c r="A90" s="118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</row>
    <row r="91" spans="1:13">
      <c r="A91" s="118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</row>
    <row r="92" spans="1:13">
      <c r="A92" s="116"/>
      <c r="B92" s="116"/>
      <c r="C92" s="116"/>
      <c r="D92" s="116"/>
      <c r="E92" s="116"/>
      <c r="F92" s="116"/>
      <c r="G92" s="116"/>
      <c r="H92" s="116"/>
      <c r="I92" s="116"/>
      <c r="J92" s="116"/>
      <c r="K92" s="116"/>
      <c r="L92" s="116"/>
      <c r="M92" s="116"/>
    </row>
    <row r="93" spans="1:13">
      <c r="A93" s="117"/>
      <c r="B93" s="117"/>
      <c r="C93" s="117"/>
      <c r="D93" s="117"/>
      <c r="E93" s="117"/>
      <c r="F93" s="117"/>
      <c r="G93" s="117"/>
      <c r="H93" s="117"/>
      <c r="I93" s="117"/>
      <c r="J93" s="117"/>
      <c r="K93" s="117"/>
      <c r="L93" s="117"/>
      <c r="M93" s="117"/>
    </row>
    <row r="94" spans="1:13">
      <c r="A94" s="118"/>
      <c r="B94" s="11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118"/>
    </row>
    <row r="95" spans="1:13">
      <c r="A95" s="118"/>
      <c r="B95" s="118"/>
      <c r="C95" s="118"/>
      <c r="D95" s="118"/>
      <c r="E95" s="118"/>
      <c r="F95" s="118"/>
      <c r="G95" s="118"/>
      <c r="H95" s="118"/>
      <c r="I95" s="118"/>
      <c r="J95" s="118"/>
      <c r="K95" s="118"/>
      <c r="L95" s="118"/>
      <c r="M95" s="118"/>
    </row>
    <row r="96" spans="1:13">
      <c r="A96" s="118"/>
      <c r="B96" s="118"/>
      <c r="C96" s="118"/>
      <c r="D96" s="118"/>
      <c r="E96" s="118"/>
      <c r="F96" s="118"/>
      <c r="G96" s="118"/>
      <c r="H96" s="118"/>
      <c r="I96" s="118"/>
      <c r="J96" s="118"/>
      <c r="K96" s="118"/>
      <c r="L96" s="118"/>
      <c r="M96" s="118"/>
    </row>
    <row r="97" spans="1:13">
      <c r="A97" s="118"/>
      <c r="B97" s="118"/>
      <c r="C97" s="118"/>
      <c r="D97" s="118"/>
      <c r="E97" s="118"/>
      <c r="F97" s="118"/>
      <c r="G97" s="118"/>
      <c r="H97" s="118"/>
      <c r="I97" s="118"/>
      <c r="J97" s="118"/>
      <c r="K97" s="118"/>
      <c r="L97" s="118"/>
      <c r="M97" s="118"/>
    </row>
    <row r="98" spans="1:13">
      <c r="A98" s="118"/>
      <c r="B98" s="118"/>
      <c r="C98" s="118"/>
      <c r="D98" s="118"/>
      <c r="E98" s="118"/>
      <c r="F98" s="118"/>
      <c r="G98" s="118"/>
      <c r="H98" s="118"/>
      <c r="I98" s="118"/>
      <c r="J98" s="118"/>
      <c r="K98" s="118"/>
      <c r="L98" s="118"/>
      <c r="M98" s="118"/>
    </row>
    <row r="99" spans="1:13">
      <c r="A99" s="118"/>
      <c r="B99" s="118"/>
      <c r="C99" s="118"/>
      <c r="D99" s="118"/>
      <c r="E99" s="118"/>
      <c r="F99" s="118"/>
      <c r="G99" s="118"/>
      <c r="H99" s="118"/>
      <c r="I99" s="118"/>
      <c r="J99" s="118"/>
      <c r="K99" s="118"/>
      <c r="L99" s="118"/>
      <c r="M99" s="118"/>
    </row>
    <row r="100" spans="1:13">
      <c r="A100" s="118"/>
      <c r="B100" s="118"/>
      <c r="C100" s="118"/>
      <c r="D100" s="118"/>
      <c r="E100" s="118"/>
      <c r="F100" s="118"/>
      <c r="G100" s="118"/>
      <c r="H100" s="118"/>
      <c r="I100" s="118"/>
      <c r="J100" s="118"/>
      <c r="K100" s="118"/>
      <c r="L100" s="118"/>
      <c r="M100" s="118"/>
    </row>
    <row r="101" spans="1:13">
      <c r="A101" s="118"/>
      <c r="B101" s="118"/>
      <c r="C101" s="118"/>
      <c r="D101" s="118"/>
      <c r="E101" s="118"/>
      <c r="F101" s="118"/>
      <c r="G101" s="118"/>
      <c r="H101" s="118"/>
      <c r="I101" s="118"/>
      <c r="J101" s="118"/>
      <c r="K101" s="118"/>
      <c r="L101" s="118"/>
      <c r="M101" s="118"/>
    </row>
    <row r="102" spans="1:13">
      <c r="A102" s="118"/>
      <c r="B102" s="118"/>
      <c r="C102" s="118"/>
      <c r="D102" s="118"/>
      <c r="E102" s="118"/>
      <c r="F102" s="118"/>
      <c r="G102" s="118"/>
      <c r="H102" s="118"/>
      <c r="I102" s="118"/>
      <c r="J102" s="118"/>
      <c r="K102" s="118"/>
      <c r="L102" s="118"/>
      <c r="M102" s="118"/>
    </row>
    <row r="103" spans="1:13">
      <c r="A103" s="118"/>
      <c r="B103" s="118"/>
      <c r="C103" s="118"/>
      <c r="D103" s="118"/>
      <c r="E103" s="118"/>
      <c r="F103" s="118"/>
      <c r="G103" s="118"/>
      <c r="H103" s="118"/>
      <c r="I103" s="118"/>
      <c r="J103" s="118"/>
      <c r="K103" s="118"/>
      <c r="L103" s="118"/>
      <c r="M103" s="118"/>
    </row>
    <row r="104" spans="1:13">
      <c r="A104" s="118"/>
      <c r="B104" s="118"/>
      <c r="C104" s="118"/>
      <c r="D104" s="118"/>
      <c r="E104" s="118"/>
      <c r="F104" s="118"/>
      <c r="G104" s="118"/>
      <c r="H104" s="118"/>
      <c r="I104" s="118"/>
      <c r="J104" s="118"/>
      <c r="K104" s="118"/>
      <c r="L104" s="118"/>
      <c r="M104" s="118"/>
    </row>
    <row r="105" spans="1:13">
      <c r="A105" s="118"/>
      <c r="B105" s="118"/>
      <c r="C105" s="118"/>
      <c r="D105" s="118"/>
      <c r="E105" s="118"/>
      <c r="F105" s="118"/>
      <c r="G105" s="118"/>
      <c r="H105" s="118"/>
      <c r="I105" s="118"/>
      <c r="J105" s="118"/>
      <c r="K105" s="118"/>
      <c r="L105" s="118"/>
      <c r="M105" s="118"/>
    </row>
    <row r="106" spans="1:13">
      <c r="A106" s="118"/>
      <c r="B106" s="118"/>
      <c r="C106" s="118"/>
      <c r="D106" s="118"/>
      <c r="E106" s="118"/>
      <c r="F106" s="118"/>
      <c r="G106" s="118"/>
      <c r="H106" s="118"/>
      <c r="I106" s="118"/>
      <c r="J106" s="118"/>
      <c r="K106" s="118"/>
      <c r="L106" s="118"/>
      <c r="M106" s="118"/>
    </row>
    <row r="107" spans="1:13">
      <c r="A107" s="118"/>
      <c r="B107" s="118"/>
      <c r="C107" s="118"/>
      <c r="D107" s="118"/>
      <c r="E107" s="118"/>
      <c r="F107" s="118"/>
      <c r="G107" s="118"/>
      <c r="H107" s="118"/>
      <c r="I107" s="118"/>
      <c r="J107" s="118"/>
      <c r="K107" s="118"/>
      <c r="L107" s="118"/>
      <c r="M107" s="118"/>
    </row>
    <row r="108" spans="1:13">
      <c r="A108" s="118"/>
      <c r="B108" s="118"/>
      <c r="C108" s="118"/>
      <c r="D108" s="118"/>
      <c r="E108" s="118"/>
      <c r="F108" s="118"/>
      <c r="G108" s="118"/>
      <c r="H108" s="118"/>
      <c r="I108" s="118"/>
      <c r="J108" s="118"/>
      <c r="K108" s="118"/>
      <c r="L108" s="118"/>
      <c r="M108" s="118"/>
    </row>
    <row r="109" spans="1:13">
      <c r="A109" s="118"/>
      <c r="B109" s="118"/>
      <c r="C109" s="118"/>
      <c r="D109" s="118"/>
      <c r="E109" s="118"/>
      <c r="F109" s="118"/>
      <c r="G109" s="118"/>
      <c r="H109" s="118"/>
      <c r="I109" s="118"/>
      <c r="J109" s="118"/>
      <c r="K109" s="118"/>
      <c r="L109" s="118"/>
      <c r="M109" s="118"/>
    </row>
    <row r="110" spans="1:13">
      <c r="A110" s="118"/>
      <c r="B110" s="118"/>
      <c r="C110" s="118"/>
      <c r="D110" s="118"/>
      <c r="E110" s="118"/>
      <c r="F110" s="118"/>
      <c r="G110" s="118"/>
      <c r="H110" s="118"/>
      <c r="I110" s="118"/>
      <c r="J110" s="118"/>
      <c r="K110" s="118"/>
      <c r="L110" s="118"/>
      <c r="M110" s="118"/>
    </row>
    <row r="111" spans="1:13">
      <c r="A111" s="118"/>
      <c r="B111" s="118"/>
      <c r="C111" s="118"/>
      <c r="D111" s="118"/>
      <c r="E111" s="118"/>
      <c r="F111" s="118"/>
      <c r="G111" s="118"/>
      <c r="H111" s="118"/>
      <c r="I111" s="118"/>
      <c r="J111" s="118"/>
      <c r="K111" s="118"/>
      <c r="L111" s="118"/>
      <c r="M111" s="118"/>
    </row>
    <row r="112" spans="1:13">
      <c r="A112" s="118"/>
      <c r="B112" s="118"/>
      <c r="C112" s="118"/>
      <c r="D112" s="118"/>
      <c r="E112" s="118"/>
      <c r="F112" s="118"/>
      <c r="G112" s="118"/>
      <c r="H112" s="118"/>
      <c r="I112" s="118"/>
      <c r="J112" s="118"/>
      <c r="K112" s="118"/>
      <c r="L112" s="118"/>
      <c r="M112" s="118"/>
    </row>
    <row r="113" spans="1:13">
      <c r="A113" s="118"/>
      <c r="B113" s="118"/>
      <c r="C113" s="118"/>
      <c r="D113" s="118"/>
      <c r="E113" s="118"/>
      <c r="F113" s="118"/>
      <c r="G113" s="118"/>
      <c r="H113" s="118"/>
      <c r="I113" s="118"/>
      <c r="J113" s="118"/>
      <c r="K113" s="118"/>
      <c r="L113" s="118"/>
      <c r="M113" s="118"/>
    </row>
    <row r="114" spans="1:13">
      <c r="A114" s="118"/>
      <c r="B114" s="118"/>
      <c r="C114" s="118"/>
      <c r="D114" s="118"/>
      <c r="E114" s="118"/>
      <c r="F114" s="118"/>
      <c r="G114" s="118"/>
      <c r="H114" s="118"/>
      <c r="I114" s="118"/>
      <c r="J114" s="118"/>
      <c r="K114" s="118"/>
      <c r="L114" s="118"/>
      <c r="M114" s="118"/>
    </row>
    <row r="115" spans="1:13">
      <c r="A115" s="116"/>
      <c r="B115" s="116"/>
      <c r="C115" s="116"/>
      <c r="D115" s="116"/>
      <c r="E115" s="116"/>
      <c r="F115" s="116"/>
      <c r="G115" s="116"/>
      <c r="H115" s="116"/>
      <c r="I115" s="116"/>
      <c r="J115" s="116"/>
      <c r="K115" s="116"/>
      <c r="L115" s="116"/>
      <c r="M115" s="116"/>
    </row>
    <row r="161" spans="2:12">
      <c r="B161" s="143"/>
      <c r="C161" s="143"/>
      <c r="D161" s="143"/>
      <c r="E161" s="143"/>
      <c r="F161" s="143"/>
      <c r="G161" s="143"/>
      <c r="H161" s="143"/>
      <c r="I161" s="143"/>
      <c r="J161" s="143"/>
      <c r="K161" s="143"/>
      <c r="L161" s="143"/>
    </row>
    <row r="162" spans="2:12">
      <c r="B162" s="143"/>
      <c r="C162" s="143"/>
      <c r="D162" s="143"/>
      <c r="E162" s="143"/>
      <c r="F162" s="143"/>
      <c r="G162" s="143"/>
      <c r="H162" s="143"/>
      <c r="I162" s="143"/>
      <c r="J162" s="143"/>
      <c r="K162" s="143"/>
      <c r="L162" s="143"/>
    </row>
    <row r="163" spans="2:12">
      <c r="B163" s="143"/>
      <c r="C163" s="143"/>
      <c r="D163" s="143"/>
      <c r="E163" s="143"/>
      <c r="F163" s="143"/>
      <c r="G163" s="143"/>
      <c r="H163" s="143"/>
      <c r="I163" s="143"/>
      <c r="J163" s="143"/>
      <c r="K163" s="143"/>
      <c r="L163" s="143"/>
    </row>
    <row r="164" spans="2:12">
      <c r="B164" s="143"/>
      <c r="C164" s="143"/>
      <c r="D164" s="143"/>
      <c r="E164" s="143"/>
      <c r="F164" s="143"/>
      <c r="G164" s="143"/>
      <c r="H164" s="143"/>
      <c r="I164" s="143"/>
      <c r="J164" s="143"/>
      <c r="K164" s="143"/>
      <c r="L164" s="143"/>
    </row>
    <row r="165" spans="2:12">
      <c r="B165" s="143"/>
      <c r="C165" s="143"/>
      <c r="D165" s="143"/>
      <c r="E165" s="143"/>
      <c r="F165" s="143"/>
      <c r="G165" s="143"/>
      <c r="H165" s="143"/>
      <c r="I165" s="143"/>
      <c r="J165" s="143"/>
      <c r="K165" s="143"/>
      <c r="L165" s="143"/>
    </row>
    <row r="166" spans="2:12">
      <c r="B166" s="143"/>
      <c r="C166" s="143"/>
      <c r="D166" s="143"/>
      <c r="E166" s="143"/>
      <c r="F166" s="143"/>
      <c r="G166" s="143"/>
      <c r="H166" s="143"/>
      <c r="I166" s="143"/>
      <c r="J166" s="143"/>
      <c r="K166" s="143"/>
      <c r="L166" s="143"/>
    </row>
    <row r="167" spans="2:12">
      <c r="B167" s="143"/>
      <c r="C167" s="143"/>
      <c r="D167" s="143"/>
      <c r="E167" s="143"/>
      <c r="F167" s="143"/>
      <c r="G167" s="143"/>
      <c r="H167" s="143"/>
      <c r="I167" s="143"/>
      <c r="J167" s="143"/>
      <c r="K167" s="143"/>
      <c r="L167" s="143"/>
    </row>
    <row r="168" spans="2:12">
      <c r="B168" s="143"/>
      <c r="C168" s="143"/>
      <c r="D168" s="143"/>
      <c r="E168" s="143"/>
      <c r="F168" s="143"/>
      <c r="G168" s="143"/>
      <c r="H168" s="143"/>
      <c r="I168" s="143"/>
      <c r="J168" s="143"/>
      <c r="K168" s="143"/>
      <c r="L168" s="143"/>
    </row>
    <row r="169" spans="2:12">
      <c r="B169" s="143"/>
      <c r="C169" s="143"/>
      <c r="D169" s="143"/>
      <c r="E169" s="143"/>
      <c r="F169" s="143"/>
      <c r="G169" s="143"/>
      <c r="H169" s="143"/>
      <c r="I169" s="143"/>
      <c r="J169" s="143"/>
      <c r="K169" s="143"/>
      <c r="L169" s="143"/>
    </row>
    <row r="170" spans="2:12">
      <c r="B170" s="143"/>
      <c r="C170" s="143"/>
      <c r="D170" s="143"/>
      <c r="E170" s="143"/>
      <c r="F170" s="143"/>
      <c r="G170" s="143"/>
      <c r="H170" s="143"/>
      <c r="I170" s="143"/>
      <c r="J170" s="143"/>
      <c r="K170" s="143"/>
      <c r="L170" s="143"/>
    </row>
    <row r="171" spans="2:12">
      <c r="B171" s="143"/>
      <c r="C171" s="143"/>
      <c r="D171" s="143"/>
      <c r="E171" s="143"/>
      <c r="F171" s="143"/>
      <c r="G171" s="143"/>
      <c r="H171" s="143"/>
      <c r="I171" s="143"/>
      <c r="J171" s="143"/>
      <c r="K171" s="143"/>
      <c r="L171" s="143"/>
    </row>
    <row r="172" spans="2:12">
      <c r="B172" s="143"/>
      <c r="C172" s="143"/>
      <c r="D172" s="143"/>
      <c r="E172" s="143"/>
      <c r="F172" s="143"/>
      <c r="G172" s="143"/>
      <c r="H172" s="143"/>
      <c r="I172" s="143"/>
      <c r="J172" s="143"/>
      <c r="K172" s="143"/>
      <c r="L172" s="143"/>
    </row>
    <row r="173" spans="2:12">
      <c r="B173" s="143"/>
      <c r="C173" s="143"/>
      <c r="D173" s="143"/>
      <c r="E173" s="143"/>
      <c r="F173" s="143"/>
      <c r="G173" s="143"/>
      <c r="H173" s="143"/>
      <c r="I173" s="143"/>
      <c r="J173" s="143"/>
      <c r="K173" s="143"/>
      <c r="L173" s="143"/>
    </row>
    <row r="174" spans="2:12">
      <c r="B174" s="143"/>
      <c r="C174" s="143"/>
      <c r="D174" s="143"/>
      <c r="E174" s="143"/>
      <c r="F174" s="143"/>
      <c r="G174" s="143"/>
      <c r="H174" s="143"/>
      <c r="I174" s="143"/>
      <c r="J174" s="143"/>
      <c r="K174" s="143"/>
      <c r="L174" s="143"/>
    </row>
    <row r="175" spans="2:12">
      <c r="B175" s="143"/>
      <c r="C175" s="143"/>
      <c r="D175" s="143"/>
      <c r="E175" s="143"/>
      <c r="F175" s="143"/>
      <c r="G175" s="143"/>
      <c r="H175" s="143"/>
      <c r="I175" s="143"/>
      <c r="J175" s="143"/>
      <c r="K175" s="143"/>
      <c r="L175" s="143"/>
    </row>
    <row r="176" spans="2:12">
      <c r="B176" s="143"/>
      <c r="C176" s="143"/>
      <c r="D176" s="143"/>
      <c r="E176" s="143"/>
      <c r="F176" s="143"/>
      <c r="G176" s="143"/>
      <c r="H176" s="143"/>
      <c r="I176" s="143"/>
      <c r="J176" s="143"/>
      <c r="K176" s="143"/>
      <c r="L176" s="143"/>
    </row>
    <row r="177" spans="2:12">
      <c r="B177" s="143"/>
      <c r="C177" s="143"/>
      <c r="D177" s="143"/>
      <c r="E177" s="143"/>
      <c r="F177" s="143"/>
      <c r="G177" s="143"/>
      <c r="H177" s="143"/>
      <c r="I177" s="143"/>
      <c r="J177" s="143"/>
      <c r="K177" s="143"/>
      <c r="L177" s="143"/>
    </row>
    <row r="178" spans="2:12">
      <c r="B178" s="143"/>
      <c r="C178" s="143"/>
      <c r="D178" s="143"/>
      <c r="E178" s="143"/>
      <c r="F178" s="143"/>
      <c r="G178" s="143"/>
      <c r="H178" s="143"/>
      <c r="I178" s="143"/>
      <c r="J178" s="143"/>
      <c r="K178" s="143"/>
      <c r="L178" s="143"/>
    </row>
    <row r="179" spans="2:12">
      <c r="B179" s="143"/>
      <c r="C179" s="143"/>
      <c r="D179" s="143"/>
      <c r="E179" s="143"/>
      <c r="F179" s="143"/>
      <c r="G179" s="143"/>
      <c r="H179" s="143"/>
      <c r="I179" s="143"/>
      <c r="J179" s="143"/>
      <c r="K179" s="143"/>
      <c r="L179" s="143"/>
    </row>
    <row r="180" spans="2:12">
      <c r="B180" s="143"/>
      <c r="C180" s="143"/>
      <c r="D180" s="143"/>
      <c r="E180" s="143"/>
      <c r="F180" s="143"/>
      <c r="G180" s="143"/>
      <c r="H180" s="143"/>
      <c r="I180" s="143"/>
      <c r="J180" s="143"/>
      <c r="K180" s="143"/>
      <c r="L180" s="143"/>
    </row>
    <row r="181" spans="2:12">
      <c r="B181" s="143"/>
      <c r="C181" s="143"/>
      <c r="D181" s="143"/>
      <c r="E181" s="143"/>
      <c r="F181" s="143"/>
      <c r="G181" s="143"/>
      <c r="H181" s="143"/>
      <c r="I181" s="143"/>
      <c r="J181" s="143"/>
      <c r="K181" s="143"/>
      <c r="L181" s="143"/>
    </row>
    <row r="182" spans="2:12">
      <c r="B182" s="143"/>
      <c r="C182" s="143"/>
      <c r="D182" s="143"/>
      <c r="E182" s="143"/>
      <c r="F182" s="143"/>
      <c r="G182" s="143"/>
      <c r="H182" s="143"/>
      <c r="I182" s="143"/>
      <c r="J182" s="143"/>
      <c r="K182" s="143"/>
      <c r="L182" s="143"/>
    </row>
    <row r="183" spans="2:12">
      <c r="B183" s="143"/>
      <c r="C183" s="143"/>
      <c r="D183" s="143"/>
      <c r="E183" s="143"/>
      <c r="F183" s="143"/>
      <c r="G183" s="143"/>
      <c r="H183" s="143"/>
      <c r="I183" s="143"/>
      <c r="J183" s="143"/>
      <c r="K183" s="143"/>
      <c r="L183" s="143"/>
    </row>
    <row r="184" spans="2:12">
      <c r="B184" s="143"/>
      <c r="C184" s="143"/>
      <c r="D184" s="143"/>
      <c r="E184" s="143"/>
      <c r="F184" s="143"/>
      <c r="G184" s="143"/>
      <c r="H184" s="143"/>
      <c r="I184" s="143"/>
      <c r="J184" s="143"/>
      <c r="K184" s="143"/>
      <c r="L184" s="143"/>
    </row>
    <row r="185" spans="2:12">
      <c r="B185" s="143"/>
      <c r="C185" s="143"/>
      <c r="D185" s="143"/>
      <c r="E185" s="143"/>
      <c r="F185" s="143"/>
      <c r="G185" s="143"/>
      <c r="H185" s="143"/>
      <c r="I185" s="143"/>
      <c r="J185" s="143"/>
      <c r="K185" s="143"/>
      <c r="L185" s="143"/>
    </row>
    <row r="186" spans="2:12">
      <c r="B186" s="143"/>
      <c r="C186" s="143"/>
      <c r="D186" s="143"/>
      <c r="E186" s="143"/>
      <c r="F186" s="143"/>
      <c r="G186" s="143"/>
      <c r="H186" s="143"/>
      <c r="I186" s="143"/>
      <c r="J186" s="143"/>
      <c r="K186" s="143"/>
      <c r="L186" s="143"/>
    </row>
    <row r="187" spans="2:12">
      <c r="B187" s="143"/>
      <c r="C187" s="143"/>
      <c r="D187" s="143"/>
      <c r="E187" s="143"/>
      <c r="F187" s="143"/>
      <c r="G187" s="143"/>
      <c r="H187" s="143"/>
      <c r="I187" s="143"/>
      <c r="J187" s="143"/>
      <c r="K187" s="143"/>
      <c r="L187" s="143"/>
    </row>
    <row r="188" spans="2:12">
      <c r="B188" s="143"/>
      <c r="C188" s="143"/>
      <c r="D188" s="143"/>
      <c r="E188" s="143"/>
      <c r="F188" s="143"/>
      <c r="G188" s="143"/>
      <c r="H188" s="143"/>
      <c r="I188" s="143"/>
      <c r="J188" s="143"/>
      <c r="K188" s="143"/>
      <c r="L188" s="143"/>
    </row>
    <row r="189" spans="2:12">
      <c r="B189" s="143"/>
      <c r="C189" s="143"/>
      <c r="D189" s="143"/>
      <c r="E189" s="143"/>
      <c r="F189" s="143"/>
      <c r="G189" s="143"/>
      <c r="H189" s="143"/>
      <c r="I189" s="143"/>
      <c r="J189" s="143"/>
      <c r="K189" s="143"/>
      <c r="L189" s="143"/>
    </row>
    <row r="190" spans="2:12"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</row>
    <row r="191" spans="2:12"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</row>
    <row r="192" spans="2:12"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</row>
    <row r="193" spans="2:12"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</row>
    <row r="194" spans="2:12">
      <c r="B194" s="119"/>
      <c r="C194" s="143"/>
      <c r="D194" s="143"/>
      <c r="E194" s="143"/>
      <c r="F194" s="143"/>
      <c r="G194" s="143"/>
      <c r="H194" s="143"/>
      <c r="I194" s="143"/>
      <c r="J194" s="143"/>
      <c r="K194" s="143"/>
      <c r="L194" s="143"/>
    </row>
    <row r="195" spans="2:12">
      <c r="B195" s="119"/>
      <c r="C195" s="143"/>
      <c r="D195" s="143"/>
      <c r="E195" s="143"/>
      <c r="F195" s="143"/>
      <c r="G195" s="143"/>
      <c r="H195" s="143"/>
      <c r="I195" s="143"/>
      <c r="J195" s="143"/>
      <c r="K195" s="143"/>
      <c r="L195" s="143"/>
    </row>
    <row r="196" spans="2:12">
      <c r="B196" s="119"/>
      <c r="C196" s="143"/>
      <c r="D196" s="143"/>
      <c r="E196" s="143"/>
      <c r="F196" s="143"/>
      <c r="G196" s="143"/>
      <c r="H196" s="143"/>
      <c r="I196" s="143"/>
      <c r="J196" s="143"/>
      <c r="K196" s="143"/>
      <c r="L196" s="143"/>
    </row>
    <row r="197" spans="2:12">
      <c r="B197" s="119"/>
      <c r="C197" s="143"/>
      <c r="D197" s="143"/>
      <c r="E197" s="143"/>
      <c r="F197" s="143"/>
      <c r="G197" s="143"/>
      <c r="H197" s="143"/>
      <c r="I197" s="143"/>
      <c r="J197" s="143"/>
      <c r="K197" s="143"/>
      <c r="L197" s="143"/>
    </row>
    <row r="198" spans="2:12">
      <c r="B198" s="119"/>
      <c r="C198" s="143"/>
      <c r="D198" s="143"/>
      <c r="E198" s="143"/>
      <c r="F198" s="143"/>
      <c r="G198" s="143"/>
      <c r="H198" s="143"/>
      <c r="I198" s="143"/>
      <c r="J198" s="143"/>
      <c r="K198" s="143"/>
      <c r="L198" s="143"/>
    </row>
    <row r="199" spans="2:12">
      <c r="B199" s="119"/>
      <c r="C199" s="143"/>
      <c r="D199" s="143"/>
      <c r="E199" s="143"/>
      <c r="F199" s="143"/>
      <c r="G199" s="143"/>
      <c r="H199" s="143"/>
      <c r="I199" s="143"/>
      <c r="J199" s="143"/>
      <c r="K199" s="143"/>
      <c r="L199" s="143"/>
    </row>
    <row r="200" spans="2:12">
      <c r="B200" s="119"/>
      <c r="C200" s="143"/>
      <c r="D200" s="143"/>
      <c r="E200" s="143"/>
      <c r="F200" s="143"/>
      <c r="G200" s="143"/>
      <c r="H200" s="143"/>
      <c r="I200" s="143"/>
      <c r="J200" s="143"/>
      <c r="K200" s="143"/>
      <c r="L200" s="143"/>
    </row>
    <row r="201" spans="2:12">
      <c r="B201" s="119"/>
      <c r="C201" s="143"/>
      <c r="D201" s="143"/>
      <c r="E201" s="143"/>
      <c r="F201" s="143"/>
      <c r="G201" s="143"/>
      <c r="H201" s="143"/>
      <c r="I201" s="143"/>
      <c r="J201" s="143"/>
      <c r="K201" s="143"/>
      <c r="L201" s="143"/>
    </row>
    <row r="202" spans="2:12">
      <c r="B202" s="119"/>
      <c r="C202" s="143"/>
      <c r="D202" s="143"/>
      <c r="E202" s="143"/>
      <c r="F202" s="143"/>
      <c r="G202" s="143"/>
      <c r="H202" s="143"/>
      <c r="I202" s="143"/>
      <c r="J202" s="143"/>
      <c r="K202" s="143"/>
      <c r="L202" s="143"/>
    </row>
    <row r="203" spans="2:12">
      <c r="B203" s="119"/>
      <c r="C203" s="143"/>
      <c r="D203" s="143"/>
      <c r="E203" s="143"/>
      <c r="F203" s="143"/>
      <c r="G203" s="143"/>
      <c r="H203" s="143"/>
      <c r="I203" s="143"/>
      <c r="J203" s="143"/>
      <c r="K203" s="143"/>
      <c r="L203" s="143"/>
    </row>
    <row r="204" spans="2:12">
      <c r="B204" s="119"/>
      <c r="C204" s="143"/>
      <c r="D204" s="143"/>
      <c r="E204" s="143"/>
      <c r="F204" s="143"/>
      <c r="G204" s="143"/>
      <c r="H204" s="143"/>
      <c r="I204" s="143"/>
      <c r="J204" s="143"/>
      <c r="K204" s="143"/>
      <c r="L204" s="143"/>
    </row>
    <row r="205" spans="2:12">
      <c r="B205" s="119"/>
      <c r="C205" s="143"/>
      <c r="D205" s="143"/>
      <c r="E205" s="143"/>
      <c r="F205" s="143"/>
      <c r="G205" s="143"/>
      <c r="H205" s="143"/>
      <c r="I205" s="143"/>
      <c r="J205" s="143"/>
      <c r="K205" s="143"/>
      <c r="L205" s="143"/>
    </row>
    <row r="206" spans="2:12">
      <c r="B206" s="119"/>
      <c r="C206" s="143"/>
      <c r="D206" s="143"/>
      <c r="E206" s="143"/>
      <c r="F206" s="143"/>
      <c r="G206" s="143"/>
      <c r="H206" s="143"/>
      <c r="I206" s="143"/>
      <c r="J206" s="143"/>
      <c r="K206" s="143"/>
      <c r="L206" s="143"/>
    </row>
    <row r="207" spans="2:12">
      <c r="B207" s="119"/>
      <c r="C207" s="143"/>
      <c r="D207" s="143"/>
      <c r="E207" s="143"/>
      <c r="F207" s="143"/>
      <c r="G207" s="143"/>
      <c r="H207" s="143"/>
      <c r="I207" s="143"/>
      <c r="J207" s="143"/>
      <c r="K207" s="143"/>
      <c r="L207" s="143"/>
    </row>
    <row r="208" spans="2:12">
      <c r="B208" s="119"/>
      <c r="C208" s="143"/>
      <c r="D208" s="143"/>
      <c r="E208" s="143"/>
      <c r="F208" s="143"/>
      <c r="G208" s="143"/>
      <c r="H208" s="143"/>
      <c r="I208" s="143"/>
      <c r="J208" s="143"/>
      <c r="K208" s="143"/>
      <c r="L208" s="143"/>
    </row>
    <row r="209" spans="2:17">
      <c r="B209" s="119"/>
      <c r="C209" s="143"/>
      <c r="D209" s="143"/>
      <c r="E209" s="143"/>
      <c r="F209" s="143"/>
      <c r="G209" s="143"/>
      <c r="H209" s="143"/>
      <c r="I209" s="143"/>
      <c r="J209" s="143"/>
      <c r="K209" s="143"/>
      <c r="L209" s="143"/>
    </row>
    <row r="210" spans="2:17">
      <c r="B210" s="119"/>
      <c r="C210" s="143"/>
      <c r="D210" s="143"/>
      <c r="E210" s="143"/>
      <c r="F210" s="143"/>
      <c r="G210" s="143"/>
      <c r="H210" s="143"/>
      <c r="I210" s="143"/>
      <c r="J210" s="143"/>
      <c r="K210" s="143"/>
      <c r="L210" s="143"/>
    </row>
    <row r="217" spans="2:17">
      <c r="M217" s="143"/>
      <c r="N217" s="143"/>
      <c r="O217" s="143"/>
      <c r="P217" s="143"/>
      <c r="Q217" s="143"/>
    </row>
    <row r="218" spans="2:17">
      <c r="M218" s="143"/>
      <c r="N218" s="143"/>
      <c r="O218" s="143"/>
      <c r="P218" s="143"/>
      <c r="Q218" s="143"/>
    </row>
    <row r="219" spans="2:17">
      <c r="B219" s="143"/>
      <c r="C219" s="143"/>
      <c r="D219" s="143"/>
      <c r="E219" s="143"/>
      <c r="F219" s="143"/>
      <c r="G219" s="143"/>
      <c r="H219" s="143"/>
      <c r="I219" s="143"/>
      <c r="J219" s="143"/>
      <c r="K219" s="143"/>
      <c r="L219" s="143"/>
      <c r="M219" s="143"/>
      <c r="N219" s="143"/>
      <c r="O219" s="143"/>
      <c r="P219" s="143"/>
      <c r="Q219" s="143"/>
    </row>
    <row r="220" spans="2:17">
      <c r="B220" s="143"/>
      <c r="C220" s="143"/>
      <c r="D220" s="143"/>
      <c r="E220" s="143"/>
      <c r="F220" s="143"/>
      <c r="G220" s="143"/>
      <c r="H220" s="143"/>
      <c r="I220" s="143"/>
      <c r="J220" s="143"/>
      <c r="K220" s="143"/>
      <c r="L220" s="143"/>
      <c r="M220" s="143"/>
      <c r="N220" s="143"/>
      <c r="O220" s="143"/>
      <c r="P220" s="143"/>
      <c r="Q220" s="143"/>
    </row>
    <row r="221" spans="2:17">
      <c r="B221" s="143"/>
      <c r="C221" s="143"/>
      <c r="D221" s="143"/>
      <c r="E221" s="143"/>
      <c r="F221" s="143"/>
      <c r="G221" s="143"/>
      <c r="H221" s="143"/>
      <c r="I221" s="143"/>
      <c r="J221" s="143"/>
      <c r="K221" s="143"/>
      <c r="L221" s="143"/>
      <c r="M221" s="143"/>
      <c r="N221" s="143"/>
      <c r="O221" s="143"/>
      <c r="P221" s="143"/>
      <c r="Q221" s="143"/>
    </row>
    <row r="222" spans="2:17">
      <c r="B222" s="143"/>
      <c r="C222" s="143"/>
      <c r="D222" s="143"/>
      <c r="E222" s="143"/>
      <c r="F222" s="143"/>
      <c r="G222" s="143"/>
      <c r="H222" s="143"/>
      <c r="I222" s="143"/>
      <c r="J222" s="143"/>
      <c r="K222" s="143"/>
      <c r="L222" s="143"/>
      <c r="M222" s="143"/>
      <c r="N222" s="143"/>
      <c r="O222" s="143"/>
      <c r="P222" s="143"/>
      <c r="Q222" s="143"/>
    </row>
    <row r="223" spans="2:17">
      <c r="B223" s="143"/>
      <c r="C223" s="143"/>
      <c r="D223" s="143"/>
      <c r="E223" s="143"/>
      <c r="F223" s="143"/>
      <c r="G223" s="143"/>
      <c r="H223" s="143"/>
      <c r="I223" s="143"/>
      <c r="J223" s="143"/>
      <c r="K223" s="143"/>
      <c r="L223" s="143"/>
      <c r="M223" s="143"/>
      <c r="N223" s="143"/>
      <c r="O223" s="143"/>
      <c r="P223" s="143"/>
      <c r="Q223" s="143"/>
    </row>
    <row r="224" spans="2:17">
      <c r="B224" s="143"/>
      <c r="C224" s="143"/>
      <c r="D224" s="143"/>
      <c r="E224" s="143"/>
      <c r="F224" s="143"/>
      <c r="G224" s="143"/>
      <c r="H224" s="143"/>
      <c r="I224" s="143"/>
      <c r="J224" s="143"/>
      <c r="K224" s="143"/>
      <c r="L224" s="143"/>
      <c r="M224" s="143"/>
      <c r="N224" s="143"/>
      <c r="O224" s="143"/>
      <c r="P224" s="143"/>
      <c r="Q224" s="143"/>
    </row>
    <row r="225" spans="2:17">
      <c r="B225" s="143"/>
      <c r="C225" s="143"/>
      <c r="D225" s="143"/>
      <c r="E225" s="143"/>
      <c r="F225" s="143"/>
      <c r="G225" s="143"/>
      <c r="H225" s="143"/>
      <c r="I225" s="143"/>
      <c r="J225" s="143"/>
      <c r="K225" s="143"/>
      <c r="L225" s="143"/>
      <c r="M225" s="143"/>
      <c r="N225" s="143"/>
      <c r="O225" s="143"/>
      <c r="P225" s="143"/>
      <c r="Q225" s="143"/>
    </row>
    <row r="226" spans="2:17">
      <c r="B226" s="143"/>
      <c r="C226" s="143"/>
      <c r="D226" s="143"/>
      <c r="E226" s="143"/>
      <c r="F226" s="143"/>
      <c r="G226" s="143"/>
      <c r="H226" s="143"/>
      <c r="I226" s="143"/>
      <c r="J226" s="143"/>
      <c r="K226" s="143"/>
      <c r="L226" s="143"/>
      <c r="M226" s="143"/>
      <c r="N226" s="143"/>
      <c r="O226" s="143"/>
      <c r="P226" s="143"/>
      <c r="Q226" s="143"/>
    </row>
    <row r="227" spans="2:17">
      <c r="B227" s="143"/>
      <c r="C227" s="143"/>
      <c r="D227" s="143"/>
      <c r="E227" s="143"/>
      <c r="F227" s="143"/>
      <c r="G227" s="143"/>
      <c r="H227" s="143"/>
      <c r="I227" s="143"/>
      <c r="J227" s="143"/>
      <c r="K227" s="143"/>
      <c r="L227" s="143"/>
      <c r="M227" s="143"/>
      <c r="N227" s="143"/>
      <c r="O227" s="143"/>
      <c r="P227" s="143"/>
      <c r="Q227" s="143"/>
    </row>
    <row r="228" spans="2:17">
      <c r="B228" s="143"/>
      <c r="C228" s="143"/>
      <c r="D228" s="143"/>
      <c r="E228" s="143"/>
      <c r="F228" s="143"/>
      <c r="G228" s="143"/>
      <c r="H228" s="143"/>
      <c r="I228" s="143"/>
      <c r="J228" s="143"/>
      <c r="K228" s="143"/>
      <c r="L228" s="143"/>
      <c r="M228" s="143"/>
      <c r="N228" s="143"/>
      <c r="O228" s="143"/>
      <c r="P228" s="143"/>
      <c r="Q228" s="143"/>
    </row>
    <row r="229" spans="2:17">
      <c r="B229" s="143"/>
      <c r="C229" s="143"/>
      <c r="D229" s="143"/>
      <c r="E229" s="143"/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</row>
    <row r="230" spans="2:17">
      <c r="B230" s="143"/>
      <c r="C230" s="143"/>
      <c r="D230" s="143"/>
      <c r="E230" s="143"/>
      <c r="F230" s="143"/>
      <c r="G230" s="143"/>
      <c r="H230" s="143"/>
      <c r="I230" s="143"/>
      <c r="J230" s="143"/>
      <c r="K230" s="143"/>
      <c r="L230" s="143"/>
      <c r="M230" s="143"/>
      <c r="N230" s="143"/>
      <c r="O230" s="143"/>
      <c r="P230" s="143"/>
      <c r="Q230" s="143"/>
    </row>
    <row r="231" spans="2:17">
      <c r="B231" s="143"/>
      <c r="C231" s="143"/>
      <c r="D231" s="143"/>
      <c r="E231" s="143"/>
      <c r="F231" s="143"/>
      <c r="G231" s="143"/>
      <c r="H231" s="143"/>
      <c r="I231" s="143"/>
      <c r="J231" s="143"/>
      <c r="K231" s="143"/>
      <c r="L231" s="143"/>
      <c r="M231" s="143"/>
      <c r="N231" s="143"/>
      <c r="O231" s="143"/>
      <c r="P231" s="143"/>
      <c r="Q231" s="143"/>
    </row>
    <row r="232" spans="2:17">
      <c r="B232" s="143"/>
      <c r="C232" s="143"/>
      <c r="D232" s="143"/>
      <c r="E232" s="143"/>
      <c r="F232" s="143"/>
      <c r="G232" s="143"/>
      <c r="H232" s="143"/>
      <c r="I232" s="143"/>
      <c r="J232" s="143"/>
      <c r="K232" s="143"/>
      <c r="L232" s="143"/>
      <c r="M232" s="143"/>
      <c r="N232" s="143"/>
      <c r="O232" s="143"/>
      <c r="P232" s="143"/>
      <c r="Q232" s="143"/>
    </row>
    <row r="233" spans="2:17">
      <c r="B233" s="143"/>
      <c r="C233" s="143"/>
      <c r="D233" s="143"/>
      <c r="E233" s="143"/>
      <c r="F233" s="143"/>
      <c r="G233" s="143"/>
      <c r="H233" s="143"/>
      <c r="I233" s="143"/>
      <c r="J233" s="143"/>
      <c r="K233" s="143"/>
      <c r="L233" s="143"/>
      <c r="M233" s="143"/>
      <c r="N233" s="143"/>
      <c r="O233" s="143"/>
      <c r="P233" s="143"/>
      <c r="Q233" s="143"/>
    </row>
    <row r="234" spans="2:17">
      <c r="B234" s="143"/>
      <c r="C234" s="143"/>
      <c r="D234" s="143"/>
      <c r="E234" s="143"/>
      <c r="F234" s="143"/>
      <c r="G234" s="143"/>
      <c r="H234" s="143"/>
      <c r="I234" s="143"/>
      <c r="J234" s="143"/>
      <c r="K234" s="143"/>
      <c r="L234" s="143"/>
      <c r="M234" s="143"/>
      <c r="N234" s="143"/>
      <c r="O234" s="143"/>
      <c r="P234" s="143"/>
      <c r="Q234" s="143"/>
    </row>
    <row r="235" spans="2:17">
      <c r="B235" s="143"/>
      <c r="C235" s="143"/>
      <c r="D235" s="143"/>
      <c r="E235" s="143"/>
      <c r="F235" s="143"/>
      <c r="G235" s="143"/>
      <c r="H235" s="143"/>
      <c r="I235" s="143"/>
      <c r="J235" s="143"/>
      <c r="K235" s="143"/>
      <c r="L235" s="143"/>
      <c r="M235" s="143"/>
      <c r="N235" s="143"/>
      <c r="O235" s="143"/>
      <c r="P235" s="143"/>
      <c r="Q235" s="143"/>
    </row>
    <row r="236" spans="2:17">
      <c r="B236" s="143"/>
      <c r="C236" s="143"/>
      <c r="D236" s="143"/>
      <c r="E236" s="143"/>
      <c r="F236" s="143"/>
      <c r="G236" s="143"/>
      <c r="H236" s="143"/>
      <c r="I236" s="143"/>
      <c r="J236" s="143"/>
      <c r="K236" s="143"/>
      <c r="L236" s="143"/>
      <c r="M236" s="143"/>
      <c r="N236" s="143"/>
      <c r="O236" s="143"/>
      <c r="P236" s="143"/>
      <c r="Q236" s="143"/>
    </row>
    <row r="237" spans="2:17">
      <c r="B237" s="143"/>
      <c r="C237" s="143"/>
      <c r="D237" s="143"/>
      <c r="E237" s="143"/>
      <c r="F237" s="143"/>
      <c r="G237" s="143"/>
      <c r="H237" s="143"/>
      <c r="I237" s="143"/>
      <c r="J237" s="143"/>
      <c r="K237" s="143"/>
      <c r="L237" s="143"/>
      <c r="M237" s="143"/>
      <c r="N237" s="143"/>
      <c r="O237" s="143"/>
      <c r="P237" s="143"/>
      <c r="Q237" s="143"/>
    </row>
    <row r="238" spans="2:17">
      <c r="B238" s="143"/>
      <c r="C238" s="143"/>
      <c r="D238" s="143"/>
      <c r="E238" s="143"/>
      <c r="F238" s="143"/>
      <c r="G238" s="143"/>
      <c r="H238" s="143"/>
      <c r="I238" s="143"/>
      <c r="J238" s="143"/>
      <c r="K238" s="143"/>
      <c r="L238" s="143"/>
      <c r="M238" s="143"/>
      <c r="N238" s="143"/>
      <c r="O238" s="143"/>
      <c r="P238" s="143"/>
      <c r="Q238" s="143"/>
    </row>
    <row r="239" spans="2:17">
      <c r="B239" s="143"/>
      <c r="C239" s="143"/>
      <c r="D239" s="143"/>
      <c r="E239" s="143"/>
      <c r="F239" s="143"/>
      <c r="G239" s="143"/>
      <c r="H239" s="143"/>
      <c r="I239" s="143"/>
      <c r="J239" s="143"/>
      <c r="K239" s="143"/>
      <c r="L239" s="143"/>
      <c r="M239" s="143"/>
      <c r="N239" s="143"/>
      <c r="O239" s="143"/>
      <c r="P239" s="143"/>
      <c r="Q239" s="143"/>
    </row>
    <row r="240" spans="2:17">
      <c r="B240" s="143"/>
      <c r="C240" s="143"/>
      <c r="D240" s="143"/>
      <c r="E240" s="143"/>
      <c r="F240" s="143"/>
      <c r="G240" s="143"/>
      <c r="H240" s="143"/>
      <c r="I240" s="143"/>
      <c r="J240" s="143"/>
      <c r="K240" s="143"/>
      <c r="L240" s="143"/>
      <c r="M240" s="143"/>
      <c r="N240" s="143"/>
      <c r="O240" s="143"/>
      <c r="P240" s="143"/>
      <c r="Q240" s="143"/>
    </row>
    <row r="241" spans="2:17">
      <c r="B241" s="143"/>
      <c r="C241" s="143"/>
      <c r="D241" s="143"/>
      <c r="E241" s="143"/>
      <c r="F241" s="143"/>
      <c r="G241" s="143"/>
      <c r="H241" s="143"/>
      <c r="I241" s="143"/>
      <c r="J241" s="143"/>
      <c r="K241" s="143"/>
      <c r="L241" s="143"/>
      <c r="M241" s="143"/>
      <c r="N241" s="143"/>
      <c r="O241" s="143"/>
      <c r="P241" s="143"/>
      <c r="Q241" s="143"/>
    </row>
    <row r="242" spans="2:17">
      <c r="B242" s="143"/>
      <c r="C242" s="143"/>
      <c r="D242" s="143"/>
      <c r="E242" s="143"/>
      <c r="F242" s="143"/>
      <c r="G242" s="143"/>
      <c r="H242" s="143"/>
      <c r="I242" s="143"/>
      <c r="J242" s="143"/>
      <c r="K242" s="143"/>
      <c r="L242" s="143"/>
      <c r="M242" s="143"/>
      <c r="N242" s="143"/>
      <c r="O242" s="143"/>
      <c r="P242" s="143"/>
      <c r="Q242" s="143"/>
    </row>
    <row r="243" spans="2:17">
      <c r="B243" s="143"/>
      <c r="C243" s="143"/>
      <c r="D243" s="143"/>
      <c r="E243" s="143"/>
      <c r="F243" s="143"/>
      <c r="G243" s="143"/>
      <c r="H243" s="143"/>
      <c r="I243" s="143"/>
      <c r="J243" s="143"/>
      <c r="K243" s="143"/>
      <c r="L243" s="143"/>
      <c r="M243" s="143"/>
      <c r="N243" s="143"/>
      <c r="O243" s="143"/>
      <c r="P243" s="143"/>
      <c r="Q243" s="143"/>
    </row>
    <row r="244" spans="2:17">
      <c r="B244" s="143"/>
      <c r="C244" s="143"/>
      <c r="D244" s="143"/>
      <c r="E244" s="143"/>
      <c r="F244" s="143"/>
      <c r="G244" s="143"/>
      <c r="H244" s="143"/>
      <c r="I244" s="143"/>
      <c r="J244" s="143"/>
      <c r="K244" s="143"/>
      <c r="L244" s="143"/>
      <c r="M244" s="143"/>
      <c r="N244" s="143"/>
      <c r="O244" s="143"/>
      <c r="P244" s="143"/>
      <c r="Q244" s="143"/>
    </row>
    <row r="245" spans="2:17">
      <c r="B245" s="143"/>
      <c r="C245" s="143"/>
      <c r="D245" s="143"/>
      <c r="E245" s="143"/>
      <c r="F245" s="143"/>
      <c r="G245" s="143"/>
      <c r="H245" s="143"/>
      <c r="I245" s="143"/>
      <c r="J245" s="143"/>
      <c r="K245" s="143"/>
      <c r="L245" s="143"/>
      <c r="M245" s="143"/>
      <c r="N245" s="143"/>
      <c r="O245" s="143"/>
      <c r="P245" s="143"/>
      <c r="Q245" s="143"/>
    </row>
    <row r="246" spans="2:17">
      <c r="B246" s="143"/>
      <c r="C246" s="143"/>
      <c r="D246" s="143"/>
      <c r="E246" s="143"/>
      <c r="F246" s="143"/>
      <c r="G246" s="143"/>
      <c r="H246" s="143"/>
      <c r="I246" s="143"/>
      <c r="J246" s="143"/>
      <c r="K246" s="143"/>
      <c r="L246" s="143"/>
      <c r="M246" s="143"/>
      <c r="N246" s="143"/>
      <c r="O246" s="143"/>
      <c r="P246" s="143"/>
      <c r="Q246" s="14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J96"/>
  <sheetViews>
    <sheetView showGridLines="0" topLeftCell="A40" zoomScale="90" zoomScaleNormal="90" workbookViewId="0"/>
  </sheetViews>
  <sheetFormatPr baseColWidth="10" defaultColWidth="11.42578125" defaultRowHeight="14.25"/>
  <cols>
    <col min="1" max="2" width="11.42578125" style="25"/>
    <col min="3" max="3" width="14" style="25" customWidth="1"/>
    <col min="4" max="4" width="19.7109375" style="25" customWidth="1"/>
    <col min="5" max="5" width="4.42578125" style="25" customWidth="1"/>
    <col min="6" max="6" width="56.85546875" style="25" customWidth="1"/>
    <col min="7" max="8" width="9.140625" style="25" customWidth="1"/>
    <col min="9" max="16384" width="11.42578125" style="25"/>
  </cols>
  <sheetData>
    <row r="1" spans="1:9">
      <c r="C1" s="118"/>
      <c r="D1" s="118"/>
      <c r="E1" s="118"/>
      <c r="F1" s="118"/>
      <c r="G1" s="120">
        <v>4</v>
      </c>
      <c r="H1" s="118"/>
    </row>
    <row r="2" spans="1:9" ht="24" customHeight="1">
      <c r="C2" s="129" t="s">
        <v>105</v>
      </c>
      <c r="D2" s="130" t="s">
        <v>106</v>
      </c>
      <c r="E2" s="131" t="s">
        <v>68</v>
      </c>
      <c r="F2" s="130" t="s">
        <v>69</v>
      </c>
      <c r="G2" s="131">
        <v>2015</v>
      </c>
      <c r="H2" s="132" t="str">
        <f>G2&amp;" - PG"</f>
        <v>2015 - PG</v>
      </c>
    </row>
    <row r="3" spans="1:9" ht="33" customHeight="1">
      <c r="A3" s="21">
        <f>RANK(I3,$I$3:$I$41,0)</f>
        <v>28</v>
      </c>
      <c r="B3" s="121">
        <f t="shared" ref="B3:B41" si="0">RANK(I3,$I$3:$I$41,1)</f>
        <v>12</v>
      </c>
      <c r="C3" s="138" t="s">
        <v>126</v>
      </c>
      <c r="D3" s="138" t="s">
        <v>70</v>
      </c>
      <c r="E3" s="134">
        <v>1</v>
      </c>
      <c r="F3" s="135" t="s">
        <v>4</v>
      </c>
      <c r="G3" s="139">
        <v>61.58</v>
      </c>
      <c r="H3" s="137">
        <v>-7.0799999999999983</v>
      </c>
      <c r="I3" s="8">
        <f t="shared" ref="I3:I41" si="1">H3+(E3/10000000)</f>
        <v>-7.079999899999998</v>
      </c>
    </row>
    <row r="4" spans="1:9" ht="33" customHeight="1">
      <c r="A4" s="21">
        <f t="shared" ref="A4:A41" si="2">RANK(I4,$I$3:$I$41,0)</f>
        <v>25</v>
      </c>
      <c r="B4" s="121">
        <f t="shared" si="0"/>
        <v>15</v>
      </c>
      <c r="C4" s="138" t="s">
        <v>126</v>
      </c>
      <c r="D4" s="138" t="s">
        <v>70</v>
      </c>
      <c r="E4" s="134">
        <v>2</v>
      </c>
      <c r="F4" s="135" t="s">
        <v>5</v>
      </c>
      <c r="G4" s="139">
        <v>64.290000000000006</v>
      </c>
      <c r="H4" s="137">
        <v>-4.3699999999999903</v>
      </c>
      <c r="I4" s="8">
        <f t="shared" si="1"/>
        <v>-4.3699997999999907</v>
      </c>
    </row>
    <row r="5" spans="1:9" ht="33" customHeight="1">
      <c r="A5" s="21">
        <f t="shared" si="2"/>
        <v>15</v>
      </c>
      <c r="B5" s="121">
        <f t="shared" si="0"/>
        <v>25</v>
      </c>
      <c r="C5" s="138" t="s">
        <v>126</v>
      </c>
      <c r="D5" s="138" t="s">
        <v>70</v>
      </c>
      <c r="E5" s="134">
        <v>3</v>
      </c>
      <c r="F5" s="135" t="s">
        <v>6</v>
      </c>
      <c r="G5" s="139">
        <v>72.34</v>
      </c>
      <c r="H5" s="137">
        <v>3.6800000000000068</v>
      </c>
      <c r="I5" s="8">
        <f t="shared" si="1"/>
        <v>3.6800003000000068</v>
      </c>
    </row>
    <row r="6" spans="1:9" ht="33" customHeight="1">
      <c r="A6" s="21">
        <f t="shared" si="2"/>
        <v>12</v>
      </c>
      <c r="B6" s="121">
        <f t="shared" si="0"/>
        <v>28</v>
      </c>
      <c r="C6" s="138" t="s">
        <v>126</v>
      </c>
      <c r="D6" s="138" t="s">
        <v>70</v>
      </c>
      <c r="E6" s="134">
        <v>4</v>
      </c>
      <c r="F6" s="135" t="s">
        <v>7</v>
      </c>
      <c r="G6" s="139">
        <v>77.94</v>
      </c>
      <c r="H6" s="137">
        <v>9.2800000000000011</v>
      </c>
      <c r="I6" s="8">
        <f t="shared" si="1"/>
        <v>9.2800004000000005</v>
      </c>
    </row>
    <row r="7" spans="1:9" ht="33" customHeight="1">
      <c r="A7" s="21">
        <f t="shared" si="2"/>
        <v>17</v>
      </c>
      <c r="B7" s="121">
        <f t="shared" si="0"/>
        <v>23</v>
      </c>
      <c r="C7" s="138" t="s">
        <v>126</v>
      </c>
      <c r="D7" s="138" t="s">
        <v>73</v>
      </c>
      <c r="E7" s="134">
        <v>5</v>
      </c>
      <c r="F7" s="135" t="s">
        <v>8</v>
      </c>
      <c r="G7" s="139">
        <v>71.540000000000006</v>
      </c>
      <c r="H7" s="137">
        <v>2.8800000000000097</v>
      </c>
      <c r="I7" s="8">
        <f t="shared" si="1"/>
        <v>2.8800005000000097</v>
      </c>
    </row>
    <row r="8" spans="1:9" ht="33" customHeight="1">
      <c r="A8" s="21">
        <f t="shared" si="2"/>
        <v>22</v>
      </c>
      <c r="B8" s="121">
        <f t="shared" si="0"/>
        <v>18</v>
      </c>
      <c r="C8" s="138" t="s">
        <v>126</v>
      </c>
      <c r="D8" s="138" t="s">
        <v>73</v>
      </c>
      <c r="E8" s="134">
        <v>6</v>
      </c>
      <c r="F8" s="135" t="s">
        <v>9</v>
      </c>
      <c r="G8" s="139">
        <v>67.489999999999995</v>
      </c>
      <c r="H8" s="137">
        <v>-1.1700000000000017</v>
      </c>
      <c r="I8" s="8">
        <f t="shared" si="1"/>
        <v>-1.1699994000000018</v>
      </c>
    </row>
    <row r="9" spans="1:9" ht="33" customHeight="1">
      <c r="A9" s="21">
        <f t="shared" si="2"/>
        <v>30</v>
      </c>
      <c r="B9" s="121">
        <f t="shared" si="0"/>
        <v>10</v>
      </c>
      <c r="C9" s="138" t="s">
        <v>126</v>
      </c>
      <c r="D9" s="138" t="s">
        <v>73</v>
      </c>
      <c r="E9" s="134">
        <v>7</v>
      </c>
      <c r="F9" s="135" t="s">
        <v>10</v>
      </c>
      <c r="G9" s="139">
        <v>59.33</v>
      </c>
      <c r="H9" s="137">
        <v>-9.3299999999999983</v>
      </c>
      <c r="I9" s="8">
        <f t="shared" si="1"/>
        <v>-9.329999299999999</v>
      </c>
    </row>
    <row r="10" spans="1:9" ht="33" customHeight="1">
      <c r="A10" s="21">
        <f t="shared" si="2"/>
        <v>13</v>
      </c>
      <c r="B10" s="121">
        <f t="shared" si="0"/>
        <v>27</v>
      </c>
      <c r="C10" s="138" t="s">
        <v>126</v>
      </c>
      <c r="D10" s="138" t="s">
        <v>73</v>
      </c>
      <c r="E10" s="134">
        <v>8</v>
      </c>
      <c r="F10" s="135" t="s">
        <v>11</v>
      </c>
      <c r="G10" s="139">
        <v>76.31</v>
      </c>
      <c r="H10" s="137">
        <v>7.6500000000000057</v>
      </c>
      <c r="I10" s="8">
        <f t="shared" si="1"/>
        <v>7.6500008000000053</v>
      </c>
    </row>
    <row r="11" spans="1:9" ht="33" customHeight="1">
      <c r="A11" s="21">
        <f t="shared" si="2"/>
        <v>7</v>
      </c>
      <c r="B11" s="121">
        <f t="shared" si="0"/>
        <v>33</v>
      </c>
      <c r="C11" s="138" t="s">
        <v>126</v>
      </c>
      <c r="D11" s="138" t="s">
        <v>73</v>
      </c>
      <c r="E11" s="134">
        <v>9</v>
      </c>
      <c r="F11" s="135" t="s">
        <v>12</v>
      </c>
      <c r="G11" s="139">
        <v>84.7</v>
      </c>
      <c r="H11" s="137">
        <v>16.040000000000006</v>
      </c>
      <c r="I11" s="8">
        <f t="shared" si="1"/>
        <v>16.040000900000006</v>
      </c>
    </row>
    <row r="12" spans="1:9" ht="25.5" customHeight="1">
      <c r="A12" s="21">
        <f t="shared" si="2"/>
        <v>24</v>
      </c>
      <c r="B12" s="21">
        <f t="shared" si="0"/>
        <v>16</v>
      </c>
      <c r="C12" s="138" t="s">
        <v>126</v>
      </c>
      <c r="D12" s="138" t="s">
        <v>73</v>
      </c>
      <c r="E12" s="134">
        <v>10</v>
      </c>
      <c r="F12" s="135" t="s">
        <v>13</v>
      </c>
      <c r="G12" s="139">
        <v>64.709999999999994</v>
      </c>
      <c r="H12" s="137">
        <v>-3.9500000000000028</v>
      </c>
      <c r="I12" s="8">
        <f t="shared" si="1"/>
        <v>-3.9499990000000027</v>
      </c>
    </row>
    <row r="13" spans="1:9" ht="25.5" customHeight="1">
      <c r="A13" s="21">
        <f t="shared" si="2"/>
        <v>23</v>
      </c>
      <c r="B13" s="21">
        <f t="shared" si="0"/>
        <v>17</v>
      </c>
      <c r="C13" s="138" t="s">
        <v>126</v>
      </c>
      <c r="D13" s="138" t="s">
        <v>77</v>
      </c>
      <c r="E13" s="134">
        <v>11</v>
      </c>
      <c r="F13" s="135" t="s">
        <v>14</v>
      </c>
      <c r="G13" s="139">
        <v>66.67</v>
      </c>
      <c r="H13" s="137">
        <v>-1.9899999999999949</v>
      </c>
      <c r="I13" s="8">
        <f t="shared" si="1"/>
        <v>-1.9899988999999949</v>
      </c>
    </row>
    <row r="14" spans="1:9" ht="25.5" customHeight="1">
      <c r="A14" s="21">
        <f t="shared" si="2"/>
        <v>19</v>
      </c>
      <c r="B14" s="21">
        <f t="shared" si="0"/>
        <v>21</v>
      </c>
      <c r="C14" s="138" t="s">
        <v>126</v>
      </c>
      <c r="D14" s="138" t="s">
        <v>77</v>
      </c>
      <c r="E14" s="134">
        <v>12</v>
      </c>
      <c r="F14" s="135" t="s">
        <v>15</v>
      </c>
      <c r="G14" s="139">
        <v>68.41</v>
      </c>
      <c r="H14" s="137">
        <v>-0.25</v>
      </c>
      <c r="I14" s="8">
        <f t="shared" si="1"/>
        <v>-0.24999879999999999</v>
      </c>
    </row>
    <row r="15" spans="1:9" ht="25.5" customHeight="1">
      <c r="A15" s="21">
        <f t="shared" si="2"/>
        <v>31</v>
      </c>
      <c r="B15" s="21">
        <f t="shared" si="0"/>
        <v>9</v>
      </c>
      <c r="C15" s="138" t="s">
        <v>126</v>
      </c>
      <c r="D15" s="138" t="s">
        <v>77</v>
      </c>
      <c r="E15" s="134">
        <v>13</v>
      </c>
      <c r="F15" s="135" t="s">
        <v>16</v>
      </c>
      <c r="G15" s="139">
        <v>58.57</v>
      </c>
      <c r="H15" s="137">
        <v>-10.089999999999996</v>
      </c>
      <c r="I15" s="8">
        <f t="shared" si="1"/>
        <v>-10.089998699999997</v>
      </c>
    </row>
    <row r="16" spans="1:9" ht="25.5" customHeight="1">
      <c r="A16" s="21">
        <f t="shared" si="2"/>
        <v>10</v>
      </c>
      <c r="B16" s="21">
        <f t="shared" si="0"/>
        <v>30</v>
      </c>
      <c r="C16" s="138" t="s">
        <v>126</v>
      </c>
      <c r="D16" s="138" t="s">
        <v>77</v>
      </c>
      <c r="E16" s="134">
        <v>14</v>
      </c>
      <c r="F16" s="135" t="s">
        <v>17</v>
      </c>
      <c r="G16" s="139">
        <v>80.34</v>
      </c>
      <c r="H16" s="137">
        <v>11.680000000000007</v>
      </c>
      <c r="I16" s="8">
        <f t="shared" si="1"/>
        <v>11.680001400000007</v>
      </c>
    </row>
    <row r="17" spans="1:9" ht="25.5" customHeight="1">
      <c r="A17" s="21">
        <f t="shared" si="2"/>
        <v>18</v>
      </c>
      <c r="B17" s="21">
        <f t="shared" si="0"/>
        <v>22</v>
      </c>
      <c r="C17" s="141" t="s">
        <v>127</v>
      </c>
      <c r="D17" s="141" t="s">
        <v>80</v>
      </c>
      <c r="E17" s="134">
        <v>15</v>
      </c>
      <c r="F17" s="135" t="s">
        <v>19</v>
      </c>
      <c r="G17" s="136">
        <v>69.599999999999994</v>
      </c>
      <c r="H17" s="137">
        <v>0.93999999999999773</v>
      </c>
      <c r="I17" s="8">
        <f t="shared" si="1"/>
        <v>0.94000149999999771</v>
      </c>
    </row>
    <row r="18" spans="1:9" ht="25.5" customHeight="1">
      <c r="A18" s="21">
        <f t="shared" si="2"/>
        <v>9</v>
      </c>
      <c r="B18" s="21">
        <f t="shared" si="0"/>
        <v>31</v>
      </c>
      <c r="C18" s="141" t="s">
        <v>127</v>
      </c>
      <c r="D18" s="141" t="s">
        <v>80</v>
      </c>
      <c r="E18" s="134">
        <v>16</v>
      </c>
      <c r="F18" s="135" t="s">
        <v>20</v>
      </c>
      <c r="G18" s="136">
        <v>82.6</v>
      </c>
      <c r="H18" s="137">
        <v>13.939999999999998</v>
      </c>
      <c r="I18" s="8">
        <f t="shared" si="1"/>
        <v>13.940001599999997</v>
      </c>
    </row>
    <row r="19" spans="1:9" ht="25.5" customHeight="1">
      <c r="A19" s="21">
        <f t="shared" si="2"/>
        <v>27</v>
      </c>
      <c r="B19" s="21">
        <f t="shared" si="0"/>
        <v>13</v>
      </c>
      <c r="C19" s="141" t="s">
        <v>127</v>
      </c>
      <c r="D19" s="141" t="s">
        <v>80</v>
      </c>
      <c r="E19" s="134">
        <v>17</v>
      </c>
      <c r="F19" s="135" t="s">
        <v>21</v>
      </c>
      <c r="G19" s="136">
        <v>62.27</v>
      </c>
      <c r="H19" s="137">
        <v>-6.3899999999999935</v>
      </c>
      <c r="I19" s="8">
        <f t="shared" si="1"/>
        <v>-6.3899982999999931</v>
      </c>
    </row>
    <row r="20" spans="1:9" ht="25.5" customHeight="1">
      <c r="A20" s="21">
        <f t="shared" si="2"/>
        <v>14</v>
      </c>
      <c r="B20" s="21">
        <f t="shared" si="0"/>
        <v>26</v>
      </c>
      <c r="C20" s="141" t="s">
        <v>127</v>
      </c>
      <c r="D20" s="141" t="s">
        <v>80</v>
      </c>
      <c r="E20" s="134">
        <v>18</v>
      </c>
      <c r="F20" s="135" t="s">
        <v>22</v>
      </c>
      <c r="G20" s="136">
        <v>74.72</v>
      </c>
      <c r="H20" s="137">
        <v>6.0600000000000023</v>
      </c>
      <c r="I20" s="8">
        <f t="shared" si="1"/>
        <v>6.060001800000002</v>
      </c>
    </row>
    <row r="21" spans="1:9" ht="25.5" customHeight="1">
      <c r="A21" s="21">
        <f t="shared" si="2"/>
        <v>20</v>
      </c>
      <c r="B21" s="21">
        <f t="shared" si="0"/>
        <v>20</v>
      </c>
      <c r="C21" s="141" t="s">
        <v>127</v>
      </c>
      <c r="D21" s="141" t="s">
        <v>83</v>
      </c>
      <c r="E21" s="134">
        <v>19</v>
      </c>
      <c r="F21" s="135" t="s">
        <v>23</v>
      </c>
      <c r="G21" s="136">
        <v>68.319999999999993</v>
      </c>
      <c r="H21" s="137">
        <v>-0.34000000000000341</v>
      </c>
      <c r="I21" s="8">
        <f t="shared" si="1"/>
        <v>-0.33999810000000341</v>
      </c>
    </row>
    <row r="22" spans="1:9" ht="25.5" customHeight="1">
      <c r="A22" s="21">
        <f t="shared" si="2"/>
        <v>29</v>
      </c>
      <c r="B22" s="21">
        <f t="shared" si="0"/>
        <v>11</v>
      </c>
      <c r="C22" s="141" t="s">
        <v>127</v>
      </c>
      <c r="D22" s="141" t="s">
        <v>83</v>
      </c>
      <c r="E22" s="134">
        <v>20</v>
      </c>
      <c r="F22" s="135" t="s">
        <v>24</v>
      </c>
      <c r="G22" s="136">
        <v>60.82</v>
      </c>
      <c r="H22" s="137">
        <v>-7.8399999999999963</v>
      </c>
      <c r="I22" s="8">
        <f t="shared" si="1"/>
        <v>-7.839997999999996</v>
      </c>
    </row>
    <row r="23" spans="1:9" ht="25.5" customHeight="1">
      <c r="A23" s="21">
        <f t="shared" si="2"/>
        <v>1</v>
      </c>
      <c r="B23" s="21">
        <f t="shared" si="0"/>
        <v>39</v>
      </c>
      <c r="C23" s="141" t="s">
        <v>127</v>
      </c>
      <c r="D23" s="141" t="s">
        <v>85</v>
      </c>
      <c r="E23" s="134">
        <v>21</v>
      </c>
      <c r="F23" s="135" t="s">
        <v>25</v>
      </c>
      <c r="G23" s="136">
        <v>95.04</v>
      </c>
      <c r="H23" s="137">
        <v>26.38000000000001</v>
      </c>
      <c r="I23" s="8">
        <f t="shared" si="1"/>
        <v>26.380002100000009</v>
      </c>
    </row>
    <row r="24" spans="1:9" ht="25.5" customHeight="1">
      <c r="A24" s="21">
        <f t="shared" si="2"/>
        <v>32</v>
      </c>
      <c r="B24" s="21">
        <f t="shared" si="0"/>
        <v>8</v>
      </c>
      <c r="C24" s="141" t="s">
        <v>127</v>
      </c>
      <c r="D24" s="141" t="s">
        <v>85</v>
      </c>
      <c r="E24" s="134">
        <v>22</v>
      </c>
      <c r="F24" s="135" t="s">
        <v>26</v>
      </c>
      <c r="G24" s="136">
        <v>58.21</v>
      </c>
      <c r="H24" s="137">
        <v>-10.449999999999996</v>
      </c>
      <c r="I24" s="8">
        <f t="shared" si="1"/>
        <v>-10.449997799999995</v>
      </c>
    </row>
    <row r="25" spans="1:9" ht="25.5" customHeight="1">
      <c r="A25" s="21">
        <f t="shared" si="2"/>
        <v>5</v>
      </c>
      <c r="B25" s="21">
        <f t="shared" si="0"/>
        <v>35</v>
      </c>
      <c r="C25" s="141" t="s">
        <v>127</v>
      </c>
      <c r="D25" s="141" t="s">
        <v>85</v>
      </c>
      <c r="E25" s="134">
        <v>23</v>
      </c>
      <c r="F25" s="135" t="s">
        <v>27</v>
      </c>
      <c r="G25" s="136">
        <v>90.24</v>
      </c>
      <c r="H25" s="137">
        <v>21.58</v>
      </c>
      <c r="I25" s="8">
        <f t="shared" si="1"/>
        <v>21.580002299999997</v>
      </c>
    </row>
    <row r="26" spans="1:9" ht="25.5" customHeight="1">
      <c r="A26" s="21">
        <f t="shared" si="2"/>
        <v>8</v>
      </c>
      <c r="B26" s="21">
        <f t="shared" si="0"/>
        <v>32</v>
      </c>
      <c r="C26" s="141" t="s">
        <v>127</v>
      </c>
      <c r="D26" s="141" t="s">
        <v>85</v>
      </c>
      <c r="E26" s="134">
        <v>24</v>
      </c>
      <c r="F26" s="135" t="s">
        <v>28</v>
      </c>
      <c r="G26" s="136">
        <v>83.52</v>
      </c>
      <c r="H26" s="137">
        <v>14.86</v>
      </c>
      <c r="I26" s="8">
        <f t="shared" si="1"/>
        <v>14.860002399999999</v>
      </c>
    </row>
    <row r="27" spans="1:9" ht="25.5" customHeight="1">
      <c r="A27" s="21">
        <f t="shared" si="2"/>
        <v>33</v>
      </c>
      <c r="B27" s="21">
        <f t="shared" si="0"/>
        <v>7</v>
      </c>
      <c r="C27" s="141" t="s">
        <v>127</v>
      </c>
      <c r="D27" s="141" t="s">
        <v>85</v>
      </c>
      <c r="E27" s="134">
        <v>25</v>
      </c>
      <c r="F27" s="135" t="s">
        <v>29</v>
      </c>
      <c r="G27" s="136">
        <v>56.82</v>
      </c>
      <c r="H27" s="137">
        <v>-11.839999999999996</v>
      </c>
      <c r="I27" s="8">
        <f t="shared" si="1"/>
        <v>-11.839997499999996</v>
      </c>
    </row>
    <row r="28" spans="1:9" ht="25.5" customHeight="1">
      <c r="A28" s="21">
        <f t="shared" si="2"/>
        <v>21</v>
      </c>
      <c r="B28" s="21">
        <f t="shared" si="0"/>
        <v>19</v>
      </c>
      <c r="C28" s="141" t="s">
        <v>127</v>
      </c>
      <c r="D28" s="141" t="s">
        <v>85</v>
      </c>
      <c r="E28" s="134">
        <v>26</v>
      </c>
      <c r="F28" s="135" t="s">
        <v>30</v>
      </c>
      <c r="G28" s="136">
        <v>68.22</v>
      </c>
      <c r="H28" s="137">
        <v>-0.43999999999999773</v>
      </c>
      <c r="I28" s="8">
        <f t="shared" si="1"/>
        <v>-0.43999739999999771</v>
      </c>
    </row>
    <row r="29" spans="1:9" ht="25.5" customHeight="1">
      <c r="A29" s="21">
        <f t="shared" si="2"/>
        <v>37</v>
      </c>
      <c r="B29" s="21">
        <f t="shared" si="0"/>
        <v>3</v>
      </c>
      <c r="C29" s="141" t="s">
        <v>127</v>
      </c>
      <c r="D29" s="141" t="s">
        <v>85</v>
      </c>
      <c r="E29" s="134">
        <v>27</v>
      </c>
      <c r="F29" s="135" t="s">
        <v>31</v>
      </c>
      <c r="G29" s="136">
        <v>48.6</v>
      </c>
      <c r="H29" s="137">
        <v>-20.059999999999995</v>
      </c>
      <c r="I29" s="8">
        <f t="shared" si="1"/>
        <v>-20.059997299999996</v>
      </c>
    </row>
    <row r="30" spans="1:9" ht="25.5" customHeight="1">
      <c r="A30" s="21">
        <f t="shared" si="2"/>
        <v>38</v>
      </c>
      <c r="B30" s="21">
        <f t="shared" si="0"/>
        <v>2</v>
      </c>
      <c r="C30" s="133" t="s">
        <v>125</v>
      </c>
      <c r="D30" s="140" t="s">
        <v>88</v>
      </c>
      <c r="E30" s="134">
        <v>28</v>
      </c>
      <c r="F30" s="135" t="s">
        <v>33</v>
      </c>
      <c r="G30" s="136">
        <v>31.49</v>
      </c>
      <c r="H30" s="137">
        <v>-37.17</v>
      </c>
      <c r="I30" s="8">
        <f t="shared" si="1"/>
        <v>-37.169997200000005</v>
      </c>
    </row>
    <row r="31" spans="1:9" ht="25.5" customHeight="1">
      <c r="A31" s="21">
        <f t="shared" si="2"/>
        <v>39</v>
      </c>
      <c r="B31" s="21">
        <f t="shared" si="0"/>
        <v>1</v>
      </c>
      <c r="C31" s="133" t="s">
        <v>125</v>
      </c>
      <c r="D31" s="140" t="s">
        <v>88</v>
      </c>
      <c r="E31" s="134">
        <v>29</v>
      </c>
      <c r="F31" s="135" t="s">
        <v>34</v>
      </c>
      <c r="G31" s="136">
        <v>26.1</v>
      </c>
      <c r="H31" s="137">
        <v>-42.559999999999995</v>
      </c>
      <c r="I31" s="8">
        <f t="shared" si="1"/>
        <v>-42.559997099999997</v>
      </c>
    </row>
    <row r="32" spans="1:9" ht="25.5" customHeight="1">
      <c r="A32" s="21">
        <f t="shared" si="2"/>
        <v>34</v>
      </c>
      <c r="B32" s="21">
        <f t="shared" si="0"/>
        <v>6</v>
      </c>
      <c r="C32" s="133" t="s">
        <v>125</v>
      </c>
      <c r="D32" s="140" t="s">
        <v>88</v>
      </c>
      <c r="E32" s="134">
        <v>30</v>
      </c>
      <c r="F32" s="135" t="s">
        <v>35</v>
      </c>
      <c r="G32" s="136">
        <v>54.95</v>
      </c>
      <c r="H32" s="137">
        <v>-13.709999999999994</v>
      </c>
      <c r="I32" s="8">
        <f t="shared" si="1"/>
        <v>-13.709996999999994</v>
      </c>
    </row>
    <row r="33" spans="1:10" ht="25.5" customHeight="1">
      <c r="A33" s="21">
        <f t="shared" si="2"/>
        <v>11</v>
      </c>
      <c r="B33" s="21">
        <f t="shared" si="0"/>
        <v>29</v>
      </c>
      <c r="C33" s="133" t="s">
        <v>125</v>
      </c>
      <c r="D33" s="140" t="s">
        <v>88</v>
      </c>
      <c r="E33" s="134">
        <v>31</v>
      </c>
      <c r="F33" s="135" t="s">
        <v>36</v>
      </c>
      <c r="G33" s="136">
        <v>79.59</v>
      </c>
      <c r="H33" s="137">
        <v>10.930000000000007</v>
      </c>
      <c r="I33" s="8">
        <f t="shared" si="1"/>
        <v>10.930003100000008</v>
      </c>
    </row>
    <row r="34" spans="1:10" ht="25.5" customHeight="1">
      <c r="A34" s="21">
        <f t="shared" si="2"/>
        <v>36</v>
      </c>
      <c r="B34" s="21">
        <f t="shared" si="0"/>
        <v>4</v>
      </c>
      <c r="C34" s="133" t="s">
        <v>125</v>
      </c>
      <c r="D34" s="140" t="s">
        <v>91</v>
      </c>
      <c r="E34" s="134">
        <v>32</v>
      </c>
      <c r="F34" s="135" t="s">
        <v>37</v>
      </c>
      <c r="G34" s="136">
        <v>48.96</v>
      </c>
      <c r="H34" s="137">
        <v>-19.699999999999996</v>
      </c>
      <c r="I34" s="8">
        <f t="shared" si="1"/>
        <v>-19.699996799999997</v>
      </c>
    </row>
    <row r="35" spans="1:10" ht="25.5" customHeight="1">
      <c r="A35" s="21">
        <f t="shared" si="2"/>
        <v>26</v>
      </c>
      <c r="B35" s="21">
        <f t="shared" si="0"/>
        <v>14</v>
      </c>
      <c r="C35" s="133" t="s">
        <v>125</v>
      </c>
      <c r="D35" s="140" t="s">
        <v>91</v>
      </c>
      <c r="E35" s="134">
        <v>33</v>
      </c>
      <c r="F35" s="135" t="s">
        <v>38</v>
      </c>
      <c r="G35" s="136">
        <v>63.36</v>
      </c>
      <c r="H35" s="137">
        <v>-5.2999999999999972</v>
      </c>
      <c r="I35" s="8">
        <f t="shared" si="1"/>
        <v>-5.2999966999999968</v>
      </c>
    </row>
    <row r="36" spans="1:10" ht="25.5" customHeight="1">
      <c r="A36" s="21">
        <f t="shared" si="2"/>
        <v>35</v>
      </c>
      <c r="B36" s="21">
        <f t="shared" si="0"/>
        <v>5</v>
      </c>
      <c r="C36" s="133" t="s">
        <v>125</v>
      </c>
      <c r="D36" s="140" t="s">
        <v>91</v>
      </c>
      <c r="E36" s="134">
        <v>34</v>
      </c>
      <c r="F36" s="135" t="s">
        <v>39</v>
      </c>
      <c r="G36" s="136">
        <v>53.31</v>
      </c>
      <c r="H36" s="137">
        <v>-15.349999999999994</v>
      </c>
      <c r="I36" s="8">
        <f t="shared" si="1"/>
        <v>-15.349996599999994</v>
      </c>
    </row>
    <row r="37" spans="1:10" ht="25.5" customHeight="1">
      <c r="A37" s="21">
        <f t="shared" si="2"/>
        <v>6</v>
      </c>
      <c r="B37" s="21">
        <f t="shared" si="0"/>
        <v>34</v>
      </c>
      <c r="C37" s="133" t="s">
        <v>125</v>
      </c>
      <c r="D37" s="140" t="s">
        <v>92</v>
      </c>
      <c r="E37" s="134">
        <v>35</v>
      </c>
      <c r="F37" s="135" t="s">
        <v>40</v>
      </c>
      <c r="G37" s="136">
        <v>86.17</v>
      </c>
      <c r="H37" s="137">
        <v>17.510000000000005</v>
      </c>
      <c r="I37" s="8">
        <f t="shared" si="1"/>
        <v>17.510003500000003</v>
      </c>
    </row>
    <row r="38" spans="1:10" ht="25.5" customHeight="1">
      <c r="A38" s="21">
        <f t="shared" si="2"/>
        <v>2</v>
      </c>
      <c r="B38" s="21">
        <f t="shared" si="0"/>
        <v>38</v>
      </c>
      <c r="C38" s="133" t="s">
        <v>125</v>
      </c>
      <c r="D38" s="140" t="s">
        <v>92</v>
      </c>
      <c r="E38" s="134">
        <v>36</v>
      </c>
      <c r="F38" s="135" t="s">
        <v>41</v>
      </c>
      <c r="G38" s="136">
        <v>93.62</v>
      </c>
      <c r="H38" s="137">
        <v>24.960000000000008</v>
      </c>
      <c r="I38" s="8">
        <f t="shared" si="1"/>
        <v>24.960003600000007</v>
      </c>
    </row>
    <row r="39" spans="1:10" ht="25.5" customHeight="1">
      <c r="A39" s="21">
        <f t="shared" si="2"/>
        <v>3</v>
      </c>
      <c r="B39" s="21">
        <f t="shared" si="0"/>
        <v>37</v>
      </c>
      <c r="C39" s="133" t="s">
        <v>125</v>
      </c>
      <c r="D39" s="140" t="s">
        <v>92</v>
      </c>
      <c r="E39" s="134">
        <v>37</v>
      </c>
      <c r="F39" s="135" t="s">
        <v>42</v>
      </c>
      <c r="G39" s="136">
        <v>93.41</v>
      </c>
      <c r="H39" s="137">
        <v>24.75</v>
      </c>
      <c r="I39" s="8">
        <f t="shared" si="1"/>
        <v>24.750003700000001</v>
      </c>
    </row>
    <row r="40" spans="1:10" ht="25.5" customHeight="1">
      <c r="A40" s="21">
        <f t="shared" si="2"/>
        <v>4</v>
      </c>
      <c r="B40" s="21">
        <f t="shared" si="0"/>
        <v>36</v>
      </c>
      <c r="C40" s="133" t="s">
        <v>125</v>
      </c>
      <c r="D40" s="140" t="s">
        <v>92</v>
      </c>
      <c r="E40" s="134">
        <v>38</v>
      </c>
      <c r="F40" s="135" t="s">
        <v>43</v>
      </c>
      <c r="G40" s="136">
        <v>90.26</v>
      </c>
      <c r="H40" s="137">
        <v>21.600000000000009</v>
      </c>
      <c r="I40" s="8">
        <f t="shared" si="1"/>
        <v>21.60000380000001</v>
      </c>
    </row>
    <row r="41" spans="1:10" ht="25.5" customHeight="1">
      <c r="A41" s="21">
        <f t="shared" si="2"/>
        <v>16</v>
      </c>
      <c r="B41" s="21">
        <f t="shared" si="0"/>
        <v>24</v>
      </c>
      <c r="C41" s="133" t="s">
        <v>125</v>
      </c>
      <c r="D41" s="140" t="s">
        <v>92</v>
      </c>
      <c r="E41" s="134">
        <v>39</v>
      </c>
      <c r="F41" s="135" t="s">
        <v>44</v>
      </c>
      <c r="G41" s="136">
        <v>71.62</v>
      </c>
      <c r="H41" s="137">
        <v>2.960000000000008</v>
      </c>
      <c r="I41" s="8">
        <f t="shared" si="1"/>
        <v>2.9600039000000078</v>
      </c>
    </row>
    <row r="43" spans="1:10">
      <c r="C43" s="99">
        <v>3</v>
      </c>
      <c r="D43" s="99">
        <f>C43+1</f>
        <v>4</v>
      </c>
      <c r="E43" s="99">
        <f>D43+1</f>
        <v>5</v>
      </c>
      <c r="F43" s="99">
        <f>E43+1</f>
        <v>6</v>
      </c>
      <c r="G43" s="99">
        <v>7</v>
      </c>
      <c r="H43" s="99">
        <v>8</v>
      </c>
    </row>
    <row r="44" spans="1:10" ht="24.95" customHeight="1">
      <c r="A44" s="161"/>
      <c r="B44" s="161"/>
      <c r="C44" s="162" t="s">
        <v>105</v>
      </c>
      <c r="D44" s="162" t="s">
        <v>106</v>
      </c>
      <c r="E44" s="162" t="s">
        <v>68</v>
      </c>
      <c r="F44" s="162" t="s">
        <v>69</v>
      </c>
      <c r="G44" s="162">
        <f>$G$2</f>
        <v>2015</v>
      </c>
      <c r="H44" s="162" t="str">
        <f>$H$2</f>
        <v>2015 - PG</v>
      </c>
      <c r="I44" s="161"/>
      <c r="J44" s="161"/>
    </row>
    <row r="45" spans="1:10" ht="24.95" customHeight="1">
      <c r="A45" s="161">
        <v>1</v>
      </c>
      <c r="B45" s="161"/>
      <c r="C45" s="189" t="str">
        <f>IF(VLOOKUP($A45,$A$3:$H$41,$H$43,0)&lt;4.51,"",UPPER(VLOOKUP($A45,$A$3:$H$41,C$43,0)))</f>
        <v>RESPETO</v>
      </c>
      <c r="D45" s="189" t="str">
        <f>IF(VLOOKUP($A45,$A$3:$H$41,$H$43,0)&lt;4.51,"",VLOOKUP($A45,$A$3:$H$41,D$43,0))</f>
        <v>Cuidado de las Personas</v>
      </c>
      <c r="E45" s="190">
        <f t="shared" ref="E45:H54" si="3">IF(VLOOKUP($A45,$A$3:$H$41,$H$43,0)&lt;4.51,"",VLOOKUP($A45,$A$3:$H$41,E$43,0))</f>
        <v>21</v>
      </c>
      <c r="F45" s="190" t="str">
        <f t="shared" si="3"/>
        <v>Este es un lugar físicamente seguro para trabajar.</v>
      </c>
      <c r="G45" s="307">
        <f t="shared" si="3"/>
        <v>95.04</v>
      </c>
      <c r="H45" s="308">
        <f t="shared" si="3"/>
        <v>26.38000000000001</v>
      </c>
      <c r="I45" s="161"/>
      <c r="J45" s="161"/>
    </row>
    <row r="46" spans="1:10" ht="24.95" customHeight="1">
      <c r="A46" s="161">
        <f>A45+1</f>
        <v>2</v>
      </c>
      <c r="B46" s="161"/>
      <c r="C46" s="191" t="str">
        <f t="shared" ref="C46:C54" si="4">IF(VLOOKUP($A46,$A$3:$H$41,$H$43,0)&lt;4.51,"",UPPER(VLOOKUP($A46,$A$3:$H$41,C$43,0)))</f>
        <v>IMPARCIALIDAD</v>
      </c>
      <c r="D46" s="191" t="str">
        <f t="shared" ref="D46:D54" si="5">IF(VLOOKUP($A46,$A$3:$H$41,$H$43,0)&lt;4.51,"",VLOOKUP($A46,$A$3:$H$41,D$43,0))</f>
        <v>Justicia</v>
      </c>
      <c r="E46" s="192">
        <f t="shared" si="3"/>
        <v>36</v>
      </c>
      <c r="F46" s="192" t="str">
        <f t="shared" si="3"/>
        <v>Aquí el personal es tratado en forma justa independientemente de su raza.</v>
      </c>
      <c r="G46" s="309">
        <f t="shared" si="3"/>
        <v>93.62</v>
      </c>
      <c r="H46" s="310">
        <f t="shared" si="3"/>
        <v>24.960000000000008</v>
      </c>
      <c r="I46" s="161"/>
      <c r="J46" s="161"/>
    </row>
    <row r="47" spans="1:10" ht="24.95" customHeight="1">
      <c r="A47" s="161">
        <f t="shared" ref="A47:A54" si="6">A46+1</f>
        <v>3</v>
      </c>
      <c r="B47" s="161"/>
      <c r="C47" s="191" t="str">
        <f t="shared" si="4"/>
        <v>IMPARCIALIDAD</v>
      </c>
      <c r="D47" s="191" t="str">
        <f t="shared" si="5"/>
        <v>Justicia</v>
      </c>
      <c r="E47" s="192">
        <f t="shared" si="3"/>
        <v>37</v>
      </c>
      <c r="F47" s="192" t="str">
        <f t="shared" si="3"/>
        <v>Aquí el personal es tratado en forma justa independientemente de su preferencia sexual.</v>
      </c>
      <c r="G47" s="309">
        <f t="shared" si="3"/>
        <v>93.41</v>
      </c>
      <c r="H47" s="310">
        <f t="shared" si="3"/>
        <v>24.75</v>
      </c>
      <c r="I47" s="161"/>
      <c r="J47" s="161"/>
    </row>
    <row r="48" spans="1:10" ht="24.95" customHeight="1">
      <c r="A48" s="161">
        <f t="shared" si="6"/>
        <v>4</v>
      </c>
      <c r="B48" s="161"/>
      <c r="C48" s="191" t="str">
        <f t="shared" si="4"/>
        <v>IMPARCIALIDAD</v>
      </c>
      <c r="D48" s="191" t="str">
        <f t="shared" si="5"/>
        <v>Justicia</v>
      </c>
      <c r="E48" s="192">
        <f t="shared" si="3"/>
        <v>38</v>
      </c>
      <c r="F48" s="192" t="str">
        <f t="shared" si="3"/>
        <v>Aquí el personal es tratado en forma justa independientemente de su sexo.</v>
      </c>
      <c r="G48" s="309">
        <f t="shared" si="3"/>
        <v>90.26</v>
      </c>
      <c r="H48" s="310">
        <f t="shared" si="3"/>
        <v>21.600000000000009</v>
      </c>
      <c r="I48" s="161"/>
      <c r="J48" s="161"/>
    </row>
    <row r="49" spans="1:10" ht="24.95" customHeight="1">
      <c r="A49" s="161">
        <f t="shared" si="6"/>
        <v>5</v>
      </c>
      <c r="B49" s="161"/>
      <c r="C49" s="191" t="str">
        <f t="shared" si="4"/>
        <v>RESPETO</v>
      </c>
      <c r="D49" s="191" t="str">
        <f t="shared" si="5"/>
        <v>Cuidado de las Personas</v>
      </c>
      <c r="E49" s="192">
        <f t="shared" si="3"/>
        <v>23</v>
      </c>
      <c r="F49" s="192" t="str">
        <f t="shared" si="3"/>
        <v>Nuestras instalaciones contribuyen a un buen ambiente de trabajo.</v>
      </c>
      <c r="G49" s="309">
        <f t="shared" si="3"/>
        <v>90.24</v>
      </c>
      <c r="H49" s="310">
        <f t="shared" si="3"/>
        <v>21.58</v>
      </c>
      <c r="I49" s="161"/>
      <c r="J49" s="161"/>
    </row>
    <row r="50" spans="1:10" ht="24.95" customHeight="1">
      <c r="A50" s="161">
        <f t="shared" si="6"/>
        <v>6</v>
      </c>
      <c r="B50" s="161"/>
      <c r="C50" s="191" t="str">
        <f t="shared" si="4"/>
        <v>IMPARCIALIDAD</v>
      </c>
      <c r="D50" s="191" t="str">
        <f t="shared" si="5"/>
        <v>Justicia</v>
      </c>
      <c r="E50" s="192">
        <f t="shared" si="3"/>
        <v>35</v>
      </c>
      <c r="F50" s="192" t="str">
        <f t="shared" si="3"/>
        <v>Aquí el personal es tratado en forma justa independientemente de su edad.</v>
      </c>
      <c r="G50" s="309">
        <f t="shared" si="3"/>
        <v>86.17</v>
      </c>
      <c r="H50" s="310">
        <f t="shared" si="3"/>
        <v>17.510000000000005</v>
      </c>
      <c r="I50" s="161"/>
      <c r="J50" s="161"/>
    </row>
    <row r="51" spans="1:10" ht="24.95" customHeight="1">
      <c r="A51" s="161">
        <f t="shared" si="6"/>
        <v>7</v>
      </c>
      <c r="B51" s="161"/>
      <c r="C51" s="191" t="str">
        <f t="shared" si="4"/>
        <v>CREDIBILIDAD</v>
      </c>
      <c r="D51" s="191" t="str">
        <f t="shared" si="5"/>
        <v>Competencia</v>
      </c>
      <c r="E51" s="192">
        <f t="shared" si="3"/>
        <v>9</v>
      </c>
      <c r="F51" s="192" t="str">
        <f t="shared" si="3"/>
        <v>Aquí nos dan la autonomía necesaria para realizar nuestro trabajo en forma adecuada.</v>
      </c>
      <c r="G51" s="309">
        <f t="shared" si="3"/>
        <v>84.7</v>
      </c>
      <c r="H51" s="310">
        <f t="shared" si="3"/>
        <v>16.040000000000006</v>
      </c>
      <c r="I51" s="161"/>
      <c r="J51" s="161"/>
    </row>
    <row r="52" spans="1:10" ht="24.95" customHeight="1">
      <c r="A52" s="161">
        <f t="shared" si="6"/>
        <v>8</v>
      </c>
      <c r="B52" s="161"/>
      <c r="C52" s="191" t="str">
        <f t="shared" si="4"/>
        <v>RESPETO</v>
      </c>
      <c r="D52" s="191" t="str">
        <f t="shared" si="5"/>
        <v>Cuidado de las Personas</v>
      </c>
      <c r="E52" s="192">
        <f t="shared" si="3"/>
        <v>24</v>
      </c>
      <c r="F52" s="192" t="str">
        <f t="shared" si="3"/>
        <v>Puedo tomarme tiempo libre para resolver mis asuntos personales cuando lo necesito.</v>
      </c>
      <c r="G52" s="309">
        <f t="shared" si="3"/>
        <v>83.52</v>
      </c>
      <c r="H52" s="310">
        <f t="shared" si="3"/>
        <v>14.86</v>
      </c>
      <c r="I52" s="161"/>
      <c r="J52" s="161"/>
    </row>
    <row r="53" spans="1:10" ht="24.95" customHeight="1">
      <c r="A53" s="161">
        <f t="shared" si="6"/>
        <v>9</v>
      </c>
      <c r="B53" s="161"/>
      <c r="C53" s="191" t="str">
        <f t="shared" si="4"/>
        <v>RESPETO</v>
      </c>
      <c r="D53" s="191" t="str">
        <f t="shared" si="5"/>
        <v>Respaldo</v>
      </c>
      <c r="E53" s="192">
        <f t="shared" si="3"/>
        <v>16</v>
      </c>
      <c r="F53" s="192" t="str">
        <f t="shared" si="3"/>
        <v>Me dan los recursos y equipos para hacer mi trabajo.</v>
      </c>
      <c r="G53" s="309">
        <f t="shared" si="3"/>
        <v>82.6</v>
      </c>
      <c r="H53" s="310">
        <f t="shared" si="3"/>
        <v>13.939999999999998</v>
      </c>
      <c r="I53" s="161"/>
      <c r="J53" s="161"/>
    </row>
    <row r="54" spans="1:10" ht="24.95" customHeight="1">
      <c r="A54" s="161">
        <f t="shared" si="6"/>
        <v>10</v>
      </c>
      <c r="B54" s="161"/>
      <c r="C54" s="191" t="str">
        <f t="shared" si="4"/>
        <v>CREDIBILIDAD</v>
      </c>
      <c r="D54" s="191" t="str">
        <f t="shared" si="5"/>
        <v>Integridad</v>
      </c>
      <c r="E54" s="192">
        <f t="shared" si="3"/>
        <v>14</v>
      </c>
      <c r="F54" s="192" t="str">
        <f t="shared" si="3"/>
        <v>Los jefes conducen el negocio honesta y éticamente.</v>
      </c>
      <c r="G54" s="309">
        <f t="shared" si="3"/>
        <v>80.34</v>
      </c>
      <c r="H54" s="310">
        <f t="shared" si="3"/>
        <v>11.680000000000007</v>
      </c>
      <c r="I54" s="161"/>
      <c r="J54" s="161"/>
    </row>
    <row r="55" spans="1:10" ht="24.95" customHeight="1">
      <c r="A55" s="161"/>
      <c r="B55" s="161"/>
      <c r="C55" s="193"/>
      <c r="D55" s="193"/>
      <c r="E55" s="194"/>
      <c r="F55" s="193"/>
      <c r="G55" s="263"/>
      <c r="H55" s="264"/>
      <c r="I55" s="161"/>
      <c r="J55" s="161"/>
    </row>
    <row r="56" spans="1:10" ht="24.95" customHeight="1">
      <c r="A56" s="161"/>
      <c r="B56" s="161"/>
      <c r="C56" s="162" t="s">
        <v>105</v>
      </c>
      <c r="D56" s="162" t="s">
        <v>106</v>
      </c>
      <c r="E56" s="162" t="s">
        <v>68</v>
      </c>
      <c r="F56" s="162" t="s">
        <v>69</v>
      </c>
      <c r="G56" s="265">
        <f>$G$2</f>
        <v>2015</v>
      </c>
      <c r="H56" s="265" t="str">
        <f>$H$2</f>
        <v>2015 - PG</v>
      </c>
      <c r="I56" s="161"/>
      <c r="J56" s="161"/>
    </row>
    <row r="57" spans="1:10" ht="24.95" customHeight="1">
      <c r="A57" s="161">
        <v>39</v>
      </c>
      <c r="B57" s="161"/>
      <c r="C57" s="189" t="str">
        <f>IF(VLOOKUP($A57,$A$3:$H$41,$H$43,0)&gt;-4.5,"",UPPER(VLOOKUP($A57,$A$3:$H$41,C$43,0)))</f>
        <v>IMPARCIALIDAD</v>
      </c>
      <c r="D57" s="189" t="str">
        <f>IF(VLOOKUP($A57,$A$3:$H$41,$H$43,0)&gt;-4.5,"",VLOOKUP($A57,$A$3:$H$41,D$43,0))</f>
        <v>Equidad</v>
      </c>
      <c r="E57" s="190">
        <f t="shared" ref="E57:H66" si="7">IF(VLOOKUP($A57,$A$3:$H$41,$H$43,0)&gt;-4.5,"",VLOOKUP($A57,$A$3:$H$41,E$43,0))</f>
        <v>29</v>
      </c>
      <c r="F57" s="190" t="str">
        <f t="shared" si="7"/>
        <v>Siento que recibo una parte justa de las ganancias de esta organización.</v>
      </c>
      <c r="G57" s="307">
        <f t="shared" si="7"/>
        <v>26.1</v>
      </c>
      <c r="H57" s="308">
        <f t="shared" si="7"/>
        <v>-42.559999999999995</v>
      </c>
      <c r="I57" s="161"/>
      <c r="J57" s="161"/>
    </row>
    <row r="58" spans="1:10" ht="24.95" customHeight="1">
      <c r="A58" s="161">
        <f>A57-1</f>
        <v>38</v>
      </c>
      <c r="B58" s="161"/>
      <c r="C58" s="189" t="str">
        <f t="shared" ref="C58:C66" si="8">IF(VLOOKUP($A58,$A$3:$H$41,$H$43,0)&gt;-4.5,"",UPPER(VLOOKUP($A58,$A$3:$H$41,C$43,0)))</f>
        <v>IMPARCIALIDAD</v>
      </c>
      <c r="D58" s="189" t="str">
        <f t="shared" ref="D58:D66" si="9">IF(VLOOKUP($A58,$A$3:$H$41,$H$43,0)&gt;-4.5,"",VLOOKUP($A58,$A$3:$H$41,D$43,0))</f>
        <v>Equidad</v>
      </c>
      <c r="E58" s="190">
        <f t="shared" si="7"/>
        <v>28</v>
      </c>
      <c r="F58" s="190" t="str">
        <f t="shared" si="7"/>
        <v>Aquí el personal recibe un pago adecuado por su trabajo.</v>
      </c>
      <c r="G58" s="307">
        <f t="shared" si="7"/>
        <v>31.49</v>
      </c>
      <c r="H58" s="308">
        <f t="shared" si="7"/>
        <v>-37.17</v>
      </c>
      <c r="I58" s="161"/>
      <c r="J58" s="161"/>
    </row>
    <row r="59" spans="1:10" ht="24.95" customHeight="1">
      <c r="A59" s="161">
        <f t="shared" ref="A59:A66" si="10">A58-1</f>
        <v>37</v>
      </c>
      <c r="B59" s="161"/>
      <c r="C59" s="189" t="str">
        <f t="shared" si="8"/>
        <v>RESPETO</v>
      </c>
      <c r="D59" s="189" t="str">
        <f t="shared" si="9"/>
        <v>Cuidado de las Personas</v>
      </c>
      <c r="E59" s="190">
        <f t="shared" si="7"/>
        <v>27</v>
      </c>
      <c r="F59" s="190" t="str">
        <f t="shared" si="7"/>
        <v>Aquí tenemos beneficios especiales y únicos.</v>
      </c>
      <c r="G59" s="307">
        <f t="shared" si="7"/>
        <v>48.6</v>
      </c>
      <c r="H59" s="308">
        <f t="shared" si="7"/>
        <v>-20.059999999999995</v>
      </c>
      <c r="I59" s="161"/>
      <c r="J59" s="161"/>
    </row>
    <row r="60" spans="1:10" ht="24.95" customHeight="1">
      <c r="A60" s="161">
        <f t="shared" si="10"/>
        <v>36</v>
      </c>
      <c r="B60" s="161"/>
      <c r="C60" s="189" t="str">
        <f t="shared" si="8"/>
        <v>IMPARCIALIDAD</v>
      </c>
      <c r="D60" s="189" t="str">
        <f t="shared" si="9"/>
        <v>Ausencia de Favoritismo</v>
      </c>
      <c r="E60" s="190">
        <f t="shared" si="7"/>
        <v>32</v>
      </c>
      <c r="F60" s="190" t="str">
        <f t="shared" si="7"/>
        <v>Los ascensos se dan a quienes más se lo merecen.</v>
      </c>
      <c r="G60" s="307">
        <f t="shared" si="7"/>
        <v>48.96</v>
      </c>
      <c r="H60" s="308">
        <f t="shared" si="7"/>
        <v>-19.699999999999996</v>
      </c>
      <c r="I60" s="161"/>
      <c r="J60" s="161"/>
    </row>
    <row r="61" spans="1:10" ht="24.95" customHeight="1">
      <c r="A61" s="161">
        <f t="shared" si="10"/>
        <v>35</v>
      </c>
      <c r="B61" s="161"/>
      <c r="C61" s="189" t="str">
        <f t="shared" si="8"/>
        <v>IMPARCIALIDAD</v>
      </c>
      <c r="D61" s="189" t="str">
        <f t="shared" si="9"/>
        <v>Ausencia de Favoritismo</v>
      </c>
      <c r="E61" s="190">
        <f t="shared" si="7"/>
        <v>34</v>
      </c>
      <c r="F61" s="190" t="str">
        <f t="shared" si="7"/>
        <v>Las personas evitan la politiquería y la intriga como forma de conseguir las cosas.</v>
      </c>
      <c r="G61" s="307">
        <f t="shared" si="7"/>
        <v>53.31</v>
      </c>
      <c r="H61" s="308">
        <f t="shared" si="7"/>
        <v>-15.349999999999994</v>
      </c>
      <c r="I61" s="161"/>
      <c r="J61" s="161"/>
    </row>
    <row r="62" spans="1:10" ht="24.95" customHeight="1">
      <c r="A62" s="161">
        <f t="shared" si="10"/>
        <v>34</v>
      </c>
      <c r="B62" s="161"/>
      <c r="C62" s="189" t="str">
        <f t="shared" si="8"/>
        <v>IMPARCIALIDAD</v>
      </c>
      <c r="D62" s="189" t="str">
        <f t="shared" si="9"/>
        <v>Equidad</v>
      </c>
      <c r="E62" s="190">
        <f t="shared" si="7"/>
        <v>30</v>
      </c>
      <c r="F62" s="190" t="str">
        <f t="shared" si="7"/>
        <v>Todos tenemos la oportunidad de recibir un reconocimiento especial.</v>
      </c>
      <c r="G62" s="307">
        <f t="shared" si="7"/>
        <v>54.95</v>
      </c>
      <c r="H62" s="308">
        <f t="shared" si="7"/>
        <v>-13.709999999999994</v>
      </c>
      <c r="I62" s="161"/>
      <c r="J62" s="161"/>
    </row>
    <row r="63" spans="1:10" ht="24.95" customHeight="1">
      <c r="A63" s="161">
        <f t="shared" si="10"/>
        <v>33</v>
      </c>
      <c r="B63" s="161"/>
      <c r="C63" s="189" t="str">
        <f t="shared" si="8"/>
        <v>RESPETO</v>
      </c>
      <c r="D63" s="189" t="str">
        <f t="shared" si="9"/>
        <v>Cuidado de las Personas</v>
      </c>
      <c r="E63" s="190">
        <f t="shared" si="7"/>
        <v>25</v>
      </c>
      <c r="F63" s="190" t="str">
        <f t="shared" si="7"/>
        <v>A las personas se las anima para que equilibren el trabajo con su vida personal.</v>
      </c>
      <c r="G63" s="307">
        <f t="shared" si="7"/>
        <v>56.82</v>
      </c>
      <c r="H63" s="308">
        <f t="shared" si="7"/>
        <v>-11.839999999999996</v>
      </c>
      <c r="I63" s="161"/>
      <c r="J63" s="161"/>
    </row>
    <row r="64" spans="1:10" ht="24.95" customHeight="1">
      <c r="A64" s="161">
        <f t="shared" si="10"/>
        <v>32</v>
      </c>
      <c r="B64" s="161"/>
      <c r="C64" s="189" t="str">
        <f t="shared" si="8"/>
        <v>RESPETO</v>
      </c>
      <c r="D64" s="189" t="str">
        <f t="shared" si="9"/>
        <v>Cuidado de las Personas</v>
      </c>
      <c r="E64" s="190">
        <f t="shared" si="7"/>
        <v>22</v>
      </c>
      <c r="F64" s="190" t="str">
        <f t="shared" si="7"/>
        <v>Este es un lugar psicológica y emocionalmente saludable para trabajar.</v>
      </c>
      <c r="G64" s="307">
        <f t="shared" si="7"/>
        <v>58.21</v>
      </c>
      <c r="H64" s="308">
        <f t="shared" si="7"/>
        <v>-10.449999999999996</v>
      </c>
      <c r="I64" s="161"/>
      <c r="J64" s="161"/>
    </row>
    <row r="65" spans="1:10" ht="24.95" customHeight="1">
      <c r="A65" s="161">
        <f t="shared" si="10"/>
        <v>31</v>
      </c>
      <c r="B65" s="161"/>
      <c r="C65" s="189" t="str">
        <f t="shared" si="8"/>
        <v>CREDIBILIDAD</v>
      </c>
      <c r="D65" s="189" t="str">
        <f t="shared" si="9"/>
        <v>Integridad</v>
      </c>
      <c r="E65" s="190">
        <f t="shared" si="7"/>
        <v>13</v>
      </c>
      <c r="F65" s="190" t="str">
        <f t="shared" si="7"/>
        <v>Creo que aquí habría un despido masivo sólo como última opción.</v>
      </c>
      <c r="G65" s="307">
        <f t="shared" si="7"/>
        <v>58.57</v>
      </c>
      <c r="H65" s="308">
        <f t="shared" si="7"/>
        <v>-10.089999999999996</v>
      </c>
      <c r="I65" s="161"/>
      <c r="J65" s="161"/>
    </row>
    <row r="66" spans="1:10" ht="24.95" customHeight="1">
      <c r="A66" s="161">
        <f t="shared" si="10"/>
        <v>30</v>
      </c>
      <c r="B66" s="161"/>
      <c r="C66" s="189" t="str">
        <f t="shared" si="8"/>
        <v>CREDIBILIDAD</v>
      </c>
      <c r="D66" s="189" t="str">
        <f t="shared" si="9"/>
        <v>Competencia</v>
      </c>
      <c r="E66" s="190">
        <f t="shared" si="7"/>
        <v>7</v>
      </c>
      <c r="F66" s="190" t="str">
        <f t="shared" si="7"/>
        <v>Los jefes hacen un buen trabajo en la asignación y coordinación de las personas.</v>
      </c>
      <c r="G66" s="307">
        <f t="shared" si="7"/>
        <v>59.33</v>
      </c>
      <c r="H66" s="308">
        <f t="shared" si="7"/>
        <v>-9.3299999999999983</v>
      </c>
      <c r="I66" s="161"/>
      <c r="J66" s="161"/>
    </row>
    <row r="67" spans="1:10">
      <c r="A67" s="161"/>
      <c r="B67" s="161"/>
      <c r="C67" s="161"/>
      <c r="D67" s="161"/>
      <c r="E67" s="161"/>
      <c r="F67" s="161"/>
      <c r="G67" s="161"/>
      <c r="H67" s="161"/>
      <c r="I67" s="161"/>
      <c r="J67" s="161"/>
    </row>
    <row r="68" spans="1:10">
      <c r="A68" s="161"/>
      <c r="B68" s="161"/>
      <c r="C68" s="161"/>
      <c r="D68" s="161"/>
      <c r="E68" s="161"/>
      <c r="F68" s="161"/>
      <c r="G68" s="161"/>
      <c r="H68" s="161"/>
      <c r="I68" s="161"/>
      <c r="J68" s="161"/>
    </row>
    <row r="69" spans="1:10">
      <c r="A69" s="161"/>
      <c r="B69" s="161"/>
      <c r="C69" s="161"/>
      <c r="D69" s="161"/>
      <c r="E69" s="161"/>
      <c r="F69" s="161"/>
      <c r="G69" s="161"/>
      <c r="H69" s="161"/>
      <c r="I69" s="161"/>
      <c r="J69" s="161"/>
    </row>
    <row r="70" spans="1:10">
      <c r="A70" s="161"/>
      <c r="B70" s="161"/>
      <c r="C70" s="161"/>
      <c r="D70" s="161"/>
      <c r="E70" s="161"/>
      <c r="F70" s="161"/>
      <c r="G70" s="161"/>
      <c r="H70" s="161"/>
      <c r="I70" s="161"/>
      <c r="J70" s="161"/>
    </row>
    <row r="71" spans="1:10">
      <c r="A71" s="161"/>
      <c r="B71" s="161"/>
      <c r="C71" s="161"/>
      <c r="D71" s="161"/>
      <c r="E71" s="161"/>
      <c r="F71" s="161"/>
      <c r="G71" s="161"/>
      <c r="H71" s="161"/>
      <c r="I71" s="161"/>
      <c r="J71" s="161"/>
    </row>
    <row r="72" spans="1:10">
      <c r="A72" s="161"/>
      <c r="B72" s="161"/>
      <c r="C72" s="161"/>
      <c r="D72" s="161"/>
      <c r="E72" s="161"/>
      <c r="F72" s="161"/>
      <c r="G72" s="161"/>
      <c r="H72" s="161"/>
      <c r="I72" s="161"/>
      <c r="J72" s="161"/>
    </row>
    <row r="73" spans="1:10">
      <c r="A73" s="161"/>
      <c r="B73" s="161"/>
      <c r="C73" s="161"/>
      <c r="D73" s="161"/>
      <c r="E73" s="161"/>
      <c r="F73" s="161"/>
      <c r="G73" s="161"/>
      <c r="H73" s="161"/>
      <c r="I73" s="161"/>
      <c r="J73" s="161"/>
    </row>
    <row r="74" spans="1:10">
      <c r="A74" s="161"/>
      <c r="B74" s="161"/>
      <c r="C74" s="161"/>
      <c r="D74" s="161"/>
      <c r="E74" s="161"/>
      <c r="F74" s="161"/>
      <c r="G74" s="161"/>
      <c r="H74" s="161"/>
      <c r="I74" s="161"/>
      <c r="J74" s="161"/>
    </row>
    <row r="75" spans="1:10">
      <c r="A75" s="161"/>
      <c r="B75" s="161"/>
      <c r="C75" s="161"/>
      <c r="D75" s="161"/>
      <c r="E75" s="161"/>
      <c r="F75" s="161"/>
      <c r="G75" s="161"/>
      <c r="H75" s="161"/>
      <c r="I75" s="161"/>
      <c r="J75" s="161"/>
    </row>
    <row r="76" spans="1:10">
      <c r="A76" s="161"/>
      <c r="B76" s="161"/>
      <c r="C76" s="161"/>
      <c r="D76" s="161"/>
      <c r="E76" s="161"/>
      <c r="F76" s="161"/>
      <c r="G76" s="161"/>
      <c r="H76" s="161"/>
      <c r="I76" s="161"/>
      <c r="J76" s="161"/>
    </row>
    <row r="77" spans="1:10">
      <c r="A77" s="161"/>
      <c r="B77" s="161"/>
      <c r="C77" s="161"/>
      <c r="D77" s="161"/>
      <c r="E77" s="161"/>
      <c r="F77" s="161"/>
      <c r="G77" s="161"/>
      <c r="H77" s="161"/>
      <c r="I77" s="161"/>
      <c r="J77" s="161"/>
    </row>
    <row r="78" spans="1:10">
      <c r="A78" s="161"/>
      <c r="B78" s="161"/>
      <c r="C78" s="161"/>
      <c r="D78" s="161"/>
      <c r="E78" s="161"/>
      <c r="F78" s="161"/>
      <c r="G78" s="161"/>
      <c r="H78" s="161"/>
      <c r="I78" s="161"/>
      <c r="J78" s="161"/>
    </row>
    <row r="79" spans="1:10">
      <c r="A79" s="161"/>
      <c r="B79" s="161"/>
      <c r="C79" s="161"/>
      <c r="D79" s="161"/>
      <c r="E79" s="161"/>
      <c r="F79" s="161"/>
      <c r="G79" s="161"/>
      <c r="H79" s="161"/>
      <c r="I79" s="161"/>
      <c r="J79" s="161"/>
    </row>
    <row r="80" spans="1:10">
      <c r="A80" s="161"/>
      <c r="B80" s="161"/>
      <c r="C80" s="161"/>
      <c r="D80" s="161"/>
      <c r="E80" s="161"/>
      <c r="F80" s="161"/>
      <c r="G80" s="161"/>
      <c r="H80" s="161"/>
      <c r="I80" s="161"/>
      <c r="J80" s="161"/>
    </row>
    <row r="81" spans="1:10">
      <c r="A81" s="161"/>
      <c r="B81" s="161"/>
      <c r="C81" s="161"/>
      <c r="D81" s="161"/>
      <c r="E81" s="161"/>
      <c r="F81" s="161"/>
      <c r="G81" s="161"/>
      <c r="H81" s="161"/>
      <c r="I81" s="161"/>
      <c r="J81" s="161"/>
    </row>
    <row r="82" spans="1:10">
      <c r="A82" s="161"/>
      <c r="B82" s="161"/>
      <c r="C82" s="161"/>
      <c r="D82" s="161"/>
      <c r="E82" s="161"/>
      <c r="F82" s="161"/>
      <c r="G82" s="161"/>
      <c r="H82" s="161"/>
      <c r="I82" s="161"/>
      <c r="J82" s="161"/>
    </row>
    <row r="83" spans="1:10">
      <c r="A83" s="161"/>
      <c r="B83" s="161"/>
      <c r="C83" s="161"/>
      <c r="D83" s="161"/>
      <c r="E83" s="161"/>
      <c r="F83" s="161"/>
      <c r="G83" s="161"/>
      <c r="H83" s="161"/>
      <c r="I83" s="161"/>
      <c r="J83" s="161"/>
    </row>
    <row r="84" spans="1:10">
      <c r="A84" s="161"/>
      <c r="B84" s="161"/>
      <c r="C84" s="161"/>
      <c r="D84" s="161"/>
      <c r="E84" s="161"/>
      <c r="F84" s="161"/>
      <c r="G84" s="161"/>
      <c r="H84" s="161"/>
      <c r="I84" s="161"/>
      <c r="J84" s="161"/>
    </row>
    <row r="85" spans="1:10">
      <c r="A85" s="161"/>
      <c r="B85" s="161"/>
      <c r="C85" s="161"/>
      <c r="D85" s="161"/>
      <c r="E85" s="161"/>
      <c r="F85" s="161"/>
      <c r="G85" s="161"/>
      <c r="H85" s="161"/>
      <c r="I85" s="161"/>
      <c r="J85" s="161"/>
    </row>
    <row r="86" spans="1:10">
      <c r="A86" s="161"/>
      <c r="B86" s="161"/>
      <c r="C86" s="161"/>
      <c r="D86" s="161"/>
      <c r="E86" s="161"/>
      <c r="F86" s="161"/>
      <c r="G86" s="161"/>
      <c r="H86" s="161"/>
      <c r="I86" s="161"/>
      <c r="J86" s="161"/>
    </row>
    <row r="87" spans="1:10">
      <c r="A87" s="161"/>
      <c r="B87" s="161"/>
      <c r="C87" s="161"/>
      <c r="D87" s="161"/>
      <c r="E87" s="161"/>
      <c r="F87" s="161"/>
      <c r="G87" s="161"/>
      <c r="H87" s="161"/>
      <c r="I87" s="161"/>
      <c r="J87" s="161"/>
    </row>
    <row r="88" spans="1:10">
      <c r="A88" s="161"/>
      <c r="B88" s="161"/>
      <c r="C88" s="161"/>
      <c r="D88" s="161"/>
      <c r="E88" s="161"/>
      <c r="F88" s="161"/>
      <c r="G88" s="161"/>
      <c r="H88" s="161"/>
      <c r="I88" s="161"/>
      <c r="J88" s="161"/>
    </row>
    <row r="89" spans="1:10">
      <c r="A89" s="161"/>
      <c r="B89" s="161"/>
      <c r="C89" s="161"/>
      <c r="D89" s="161"/>
      <c r="E89" s="161"/>
      <c r="F89" s="161"/>
      <c r="G89" s="161"/>
      <c r="H89" s="161"/>
      <c r="I89" s="161"/>
      <c r="J89" s="161"/>
    </row>
    <row r="90" spans="1:10">
      <c r="A90" s="161"/>
      <c r="B90" s="161"/>
      <c r="C90" s="161"/>
      <c r="D90" s="161"/>
      <c r="E90" s="161"/>
      <c r="F90" s="161"/>
      <c r="G90" s="161"/>
      <c r="H90" s="161"/>
      <c r="I90" s="161"/>
      <c r="J90" s="161"/>
    </row>
    <row r="91" spans="1:10">
      <c r="A91" s="161"/>
      <c r="B91" s="161"/>
      <c r="C91" s="161"/>
      <c r="D91" s="161"/>
      <c r="E91" s="161"/>
      <c r="F91" s="161"/>
      <c r="G91" s="161"/>
      <c r="H91" s="161"/>
      <c r="I91" s="161"/>
      <c r="J91" s="161"/>
    </row>
    <row r="92" spans="1:10">
      <c r="A92" s="161"/>
      <c r="B92" s="161"/>
      <c r="C92" s="161"/>
      <c r="D92" s="161"/>
      <c r="E92" s="161"/>
      <c r="F92" s="161"/>
      <c r="G92" s="161"/>
      <c r="H92" s="161"/>
      <c r="I92" s="161"/>
      <c r="J92" s="161"/>
    </row>
    <row r="93" spans="1:10">
      <c r="A93" s="161"/>
      <c r="B93" s="161"/>
      <c r="C93" s="161"/>
      <c r="D93" s="161"/>
      <c r="E93" s="161"/>
      <c r="F93" s="161"/>
      <c r="G93" s="161"/>
      <c r="H93" s="161"/>
      <c r="I93" s="161"/>
      <c r="J93" s="161"/>
    </row>
    <row r="94" spans="1:10">
      <c r="A94" s="161"/>
      <c r="B94" s="161"/>
      <c r="C94" s="161"/>
      <c r="D94" s="161"/>
      <c r="E94" s="161"/>
      <c r="F94" s="161"/>
      <c r="G94" s="161"/>
      <c r="H94" s="161"/>
      <c r="I94" s="161"/>
      <c r="J94" s="161"/>
    </row>
    <row r="95" spans="1:10">
      <c r="A95" s="161"/>
      <c r="B95" s="161"/>
      <c r="C95" s="161"/>
      <c r="D95" s="161"/>
      <c r="E95" s="161"/>
      <c r="F95" s="161"/>
      <c r="G95" s="161"/>
      <c r="H95" s="161"/>
      <c r="I95" s="161"/>
      <c r="J95" s="161"/>
    </row>
    <row r="96" spans="1:10">
      <c r="A96" s="161"/>
      <c r="B96" s="161"/>
      <c r="C96" s="161"/>
      <c r="D96" s="161"/>
      <c r="E96" s="161"/>
      <c r="F96" s="161"/>
      <c r="G96" s="161"/>
      <c r="H96" s="161"/>
      <c r="I96" s="161"/>
      <c r="J96" s="161"/>
    </row>
  </sheetData>
  <conditionalFormatting sqref="G17:G29">
    <cfRule type="expression" dxfId="9631" priority="11">
      <formula>G17=""</formula>
    </cfRule>
    <cfRule type="expression" dxfId="9630" priority="12">
      <formula>G17&lt;46</formula>
    </cfRule>
    <cfRule type="expression" dxfId="9629" priority="13">
      <formula>G17&lt;61</formula>
    </cfRule>
    <cfRule type="expression" dxfId="9628" priority="14">
      <formula>G17&lt;86</formula>
    </cfRule>
    <cfRule type="expression" dxfId="9627" priority="15">
      <formula>G17&gt;85</formula>
    </cfRule>
  </conditionalFormatting>
  <conditionalFormatting sqref="G30:G41">
    <cfRule type="expression" dxfId="9626" priority="6">
      <formula>G30=""</formula>
    </cfRule>
    <cfRule type="expression" dxfId="9625" priority="7">
      <formula>G30&lt;46</formula>
    </cfRule>
    <cfRule type="expression" dxfId="9624" priority="8">
      <formula>G30&lt;61</formula>
    </cfRule>
    <cfRule type="expression" dxfId="9623" priority="9">
      <formula>G30&lt;86</formula>
    </cfRule>
    <cfRule type="expression" dxfId="9622" priority="10">
      <formula>G30&gt;85</formula>
    </cfRule>
  </conditionalFormatting>
  <conditionalFormatting sqref="C45:D45">
    <cfRule type="expression" dxfId="9621" priority="5">
      <formula>$C45="IMPARCIALIDAD"</formula>
    </cfRule>
  </conditionalFormatting>
  <conditionalFormatting sqref="C45:D53 C57:D66 C55:D55">
    <cfRule type="expression" dxfId="9620" priority="3">
      <formula>$C45="CREDIBILIDAD"</formula>
    </cfRule>
    <cfRule type="expression" dxfId="9619" priority="4">
      <formula>$C45="RESPETO"</formula>
    </cfRule>
  </conditionalFormatting>
  <conditionalFormatting sqref="C54:D54">
    <cfRule type="expression" dxfId="9618" priority="1">
      <formula>$C54="CREDIBILIDAD"</formula>
    </cfRule>
    <cfRule type="expression" dxfId="9617" priority="2">
      <formula>$C54="RESPETO"</formula>
    </cfRule>
  </conditionalFormatting>
  <pageMargins left="0.75" right="0.75" top="1" bottom="1" header="0.5" footer="0.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F22"/>
  <sheetViews>
    <sheetView showGridLines="0" zoomScale="80" zoomScaleNormal="80" workbookViewId="0">
      <selection activeCell="F1" sqref="F1:L18"/>
    </sheetView>
  </sheetViews>
  <sheetFormatPr baseColWidth="10" defaultColWidth="11.42578125" defaultRowHeight="25.5"/>
  <cols>
    <col min="1" max="1" width="11.42578125" style="167"/>
    <col min="2" max="4" width="6" style="142" customWidth="1"/>
    <col min="5" max="5" width="5.7109375" style="143" customWidth="1"/>
    <col min="6" max="6" width="26.28515625" style="150" customWidth="1"/>
    <col min="7" max="18" width="12.42578125" style="143" customWidth="1"/>
    <col min="19" max="16384" width="11.42578125" style="143"/>
  </cols>
  <sheetData>
    <row r="2" spans="2:6" ht="15.75" customHeight="1"/>
    <row r="3" spans="2:6" ht="24" customHeight="1">
      <c r="B3" s="122"/>
      <c r="C3" s="122"/>
      <c r="D3" s="122"/>
      <c r="E3" s="144"/>
      <c r="F3" s="151"/>
    </row>
    <row r="4" spans="2:6" ht="24" customHeight="1">
      <c r="B4" s="122"/>
      <c r="C4" s="123"/>
      <c r="D4" s="122"/>
      <c r="F4" s="151"/>
    </row>
    <row r="5" spans="2:6" ht="24" customHeight="1">
      <c r="B5" s="122"/>
      <c r="C5" s="122"/>
      <c r="D5" s="122"/>
      <c r="F5" s="151"/>
    </row>
    <row r="6" spans="2:6" ht="24" customHeight="1">
      <c r="B6" s="122"/>
      <c r="C6" s="122"/>
      <c r="D6" s="122"/>
      <c r="F6" s="151"/>
    </row>
    <row r="7" spans="2:6" ht="24" customHeight="1">
      <c r="B7" s="122"/>
      <c r="C7" s="122"/>
      <c r="D7" s="122"/>
      <c r="E7" s="144"/>
      <c r="F7" s="151"/>
    </row>
    <row r="8" spans="2:6" ht="24" customHeight="1">
      <c r="B8" s="122"/>
      <c r="C8" s="124"/>
      <c r="D8" s="122"/>
      <c r="F8" s="151"/>
    </row>
    <row r="9" spans="2:6" ht="24" customHeight="1">
      <c r="B9" s="122"/>
      <c r="C9" s="122"/>
      <c r="D9" s="122"/>
      <c r="F9" s="151"/>
    </row>
    <row r="10" spans="2:6" ht="24" customHeight="1">
      <c r="B10" s="122"/>
      <c r="C10" s="122"/>
      <c r="D10" s="122"/>
      <c r="F10" s="151"/>
    </row>
    <row r="11" spans="2:6" ht="24" customHeight="1">
      <c r="B11" s="122"/>
      <c r="C11" s="122"/>
      <c r="D11" s="122"/>
      <c r="E11" s="144"/>
      <c r="F11" s="151"/>
    </row>
    <row r="12" spans="2:6" ht="24" customHeight="1">
      <c r="B12" s="122"/>
      <c r="C12" s="124"/>
      <c r="D12" s="122"/>
      <c r="F12" s="151"/>
    </row>
    <row r="13" spans="2:6" ht="24" customHeight="1">
      <c r="B13" s="122"/>
      <c r="C13" s="122"/>
      <c r="D13" s="122"/>
      <c r="F13" s="151"/>
    </row>
    <row r="14" spans="2:6" ht="24" customHeight="1">
      <c r="B14" s="122"/>
      <c r="C14" s="122"/>
      <c r="D14" s="122"/>
      <c r="F14" s="151"/>
    </row>
    <row r="15" spans="2:6" ht="24" customHeight="1">
      <c r="B15" s="122"/>
      <c r="C15" s="122"/>
      <c r="D15" s="122"/>
      <c r="E15" s="144"/>
      <c r="F15" s="151"/>
    </row>
    <row r="16" spans="2:6" ht="24" customHeight="1">
      <c r="B16" s="122"/>
      <c r="C16" s="124"/>
      <c r="D16" s="122"/>
      <c r="F16" s="151"/>
    </row>
    <row r="17" spans="2:6" ht="24" customHeight="1">
      <c r="B17" s="122"/>
      <c r="C17" s="122"/>
      <c r="D17" s="122"/>
      <c r="F17" s="151"/>
    </row>
    <row r="18" spans="2:6" ht="24" customHeight="1">
      <c r="B18" s="122"/>
      <c r="C18" s="122"/>
      <c r="D18" s="122"/>
      <c r="F18" s="151"/>
    </row>
    <row r="19" spans="2:6" ht="24" customHeight="1">
      <c r="B19" s="122"/>
      <c r="C19" s="122"/>
      <c r="D19" s="122"/>
      <c r="E19" s="144"/>
      <c r="F19" s="151"/>
    </row>
    <row r="20" spans="2:6" ht="24" customHeight="1">
      <c r="B20" s="122"/>
      <c r="C20" s="124"/>
      <c r="D20" s="122"/>
      <c r="F20" s="151"/>
    </row>
    <row r="21" spans="2:6" ht="24" customHeight="1">
      <c r="B21" s="122"/>
      <c r="C21" s="122"/>
      <c r="D21" s="122"/>
      <c r="F21" s="151"/>
    </row>
    <row r="22" spans="2:6" ht="25.5" customHeight="1"/>
  </sheetData>
  <pageMargins left="0.75" right="0.75" top="1" bottom="1" header="0.5" footer="0.5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21"/>
  <sheetViews>
    <sheetView showGridLines="0" workbookViewId="0">
      <selection activeCell="H1" sqref="H1:H1048576"/>
    </sheetView>
  </sheetViews>
  <sheetFormatPr baseColWidth="10" defaultColWidth="11.42578125" defaultRowHeight="25.5"/>
  <cols>
    <col min="1" max="1" width="11.42578125" style="201"/>
    <col min="2" max="4" width="6" style="152" customWidth="1"/>
    <col min="5" max="5" width="5.7109375" style="33" customWidth="1"/>
    <col min="6" max="6" width="11.42578125" style="153"/>
    <col min="7" max="7" width="26.85546875" style="153" customWidth="1"/>
    <col min="8" max="12" width="9.28515625" style="153" customWidth="1"/>
    <col min="13" max="13" width="9.28515625" style="153" hidden="1" customWidth="1"/>
    <col min="14" max="14" width="6.7109375" style="153" customWidth="1"/>
    <col min="15" max="16384" width="11.42578125" style="153"/>
  </cols>
  <sheetData>
    <row r="1" spans="2:18" ht="56.25" customHeight="1">
      <c r="G1" s="305" t="s">
        <v>67</v>
      </c>
      <c r="H1" s="306">
        <f>DetalleDimension!Q2</f>
        <v>2015</v>
      </c>
      <c r="I1" s="306">
        <f>DetalleDimension!R2</f>
        <v>2016</v>
      </c>
      <c r="J1" s="306" t="str">
        <f>DetalleDimension!S2</f>
        <v>BMK</v>
      </c>
      <c r="K1" s="341" t="e">
        <f>DetalleDimension!T2</f>
        <v>#REF!</v>
      </c>
      <c r="L1" s="341" t="str">
        <f>"Dif. "&amp;I1&amp;" - "&amp;J1</f>
        <v>Dif. 2016 - BMK</v>
      </c>
      <c r="M1" s="341" t="e">
        <f>"Dif. "&amp;I1&amp;" - "&amp;K1</f>
        <v>#REF!</v>
      </c>
    </row>
    <row r="2" spans="2:18" ht="20.100000000000001" customHeight="1">
      <c r="G2" s="299" t="s">
        <v>70</v>
      </c>
      <c r="H2" s="288">
        <f>DetalleDimension!Q4</f>
        <v>73</v>
      </c>
      <c r="I2" s="288">
        <f>DetalleDimension!R4</f>
        <v>69</v>
      </c>
      <c r="J2" s="288">
        <f>DetalleDimension!S4</f>
        <v>78</v>
      </c>
      <c r="K2" s="288">
        <f>+I2-H2</f>
        <v>-4</v>
      </c>
      <c r="L2" s="288">
        <f>$I2-J2</f>
        <v>-9</v>
      </c>
      <c r="M2" s="288">
        <f>I2-K2</f>
        <v>73</v>
      </c>
    </row>
    <row r="3" spans="2:18" ht="20.100000000000001" customHeight="1">
      <c r="B3" s="18"/>
      <c r="C3" s="18"/>
      <c r="D3" s="18"/>
      <c r="E3" s="154"/>
      <c r="G3" s="299" t="s">
        <v>73</v>
      </c>
      <c r="H3" s="288">
        <f>DetalleDimension!Q5</f>
        <v>75</v>
      </c>
      <c r="I3" s="288">
        <f>DetalleDimension!R5</f>
        <v>71</v>
      </c>
      <c r="J3" s="288">
        <f>DetalleDimension!S5</f>
        <v>80</v>
      </c>
      <c r="K3" s="288">
        <f t="shared" ref="K3:K20" si="0">+I3-H3</f>
        <v>-4</v>
      </c>
      <c r="L3" s="288">
        <f>I3-J3</f>
        <v>-9</v>
      </c>
      <c r="M3" s="288">
        <f>I3-K3</f>
        <v>75</v>
      </c>
    </row>
    <row r="4" spans="2:18" ht="20.100000000000001" customHeight="1" thickBot="1">
      <c r="B4" s="18"/>
      <c r="C4" s="19"/>
      <c r="D4" s="18"/>
      <c r="G4" s="300" t="s">
        <v>77</v>
      </c>
      <c r="H4" s="289">
        <f>DetalleDimension!Q6</f>
        <v>76</v>
      </c>
      <c r="I4" s="289">
        <f>DetalleDimension!R6</f>
        <v>68</v>
      </c>
      <c r="J4" s="289">
        <f>DetalleDimension!S6</f>
        <v>79</v>
      </c>
      <c r="K4" s="289">
        <f t="shared" si="0"/>
        <v>-8</v>
      </c>
      <c r="L4" s="289">
        <f>I4-J4</f>
        <v>-11</v>
      </c>
      <c r="M4" s="289">
        <f>I4-K4</f>
        <v>76</v>
      </c>
    </row>
    <row r="5" spans="2:18" ht="20.100000000000001" customHeight="1">
      <c r="B5" s="18"/>
      <c r="C5" s="18"/>
      <c r="D5" s="18"/>
      <c r="G5" s="284"/>
      <c r="H5" s="290"/>
      <c r="I5" s="290"/>
      <c r="J5" s="290"/>
      <c r="K5" s="290"/>
      <c r="L5" s="290"/>
      <c r="M5" s="291"/>
      <c r="P5" s="202"/>
      <c r="Q5" s="202"/>
      <c r="R5" s="202"/>
    </row>
    <row r="6" spans="2:18" ht="20.100000000000001" customHeight="1">
      <c r="B6" s="18"/>
      <c r="C6" s="18"/>
      <c r="D6" s="18"/>
      <c r="G6" s="299" t="s">
        <v>80</v>
      </c>
      <c r="H6" s="288">
        <f>DetalleDimension!Q8</f>
        <v>74</v>
      </c>
      <c r="I6" s="288">
        <f>DetalleDimension!R8</f>
        <v>72</v>
      </c>
      <c r="J6" s="288">
        <f>DetalleDimension!S8</f>
        <v>77</v>
      </c>
      <c r="K6" s="288">
        <f t="shared" si="0"/>
        <v>-2</v>
      </c>
      <c r="L6" s="288">
        <f>I6-J6</f>
        <v>-5</v>
      </c>
      <c r="M6" s="288">
        <f>I6-K6</f>
        <v>74</v>
      </c>
    </row>
    <row r="7" spans="2:18" ht="20.100000000000001" customHeight="1">
      <c r="B7" s="18"/>
      <c r="C7" s="18"/>
      <c r="D7" s="18"/>
      <c r="E7" s="154"/>
      <c r="G7" s="299" t="s">
        <v>83</v>
      </c>
      <c r="H7" s="288">
        <f>DetalleDimension!Q9</f>
        <v>70</v>
      </c>
      <c r="I7" s="288">
        <f>DetalleDimension!R9</f>
        <v>65</v>
      </c>
      <c r="J7" s="288">
        <f>DetalleDimension!S9</f>
        <v>73</v>
      </c>
      <c r="K7" s="288">
        <f t="shared" si="0"/>
        <v>-5</v>
      </c>
      <c r="L7" s="288">
        <f>I7-J7</f>
        <v>-8</v>
      </c>
      <c r="M7" s="288">
        <f>I7-K7</f>
        <v>70</v>
      </c>
    </row>
    <row r="8" spans="2:18" ht="20.100000000000001" customHeight="1" thickBot="1">
      <c r="B8" s="18"/>
      <c r="C8" s="20"/>
      <c r="D8" s="18"/>
      <c r="G8" s="301" t="s">
        <v>85</v>
      </c>
      <c r="H8" s="292">
        <f>DetalleDimension!Q10</f>
        <v>75</v>
      </c>
      <c r="I8" s="292">
        <f>DetalleDimension!R10</f>
        <v>72</v>
      </c>
      <c r="J8" s="292">
        <f>DetalleDimension!S10</f>
        <v>78</v>
      </c>
      <c r="K8" s="292">
        <f t="shared" si="0"/>
        <v>-3</v>
      </c>
      <c r="L8" s="292">
        <f>I8-J8</f>
        <v>-6</v>
      </c>
      <c r="M8" s="292">
        <f>I8-K8</f>
        <v>75</v>
      </c>
    </row>
    <row r="9" spans="2:18" ht="20.100000000000001" customHeight="1">
      <c r="B9" s="18"/>
      <c r="C9" s="18"/>
      <c r="D9" s="18"/>
      <c r="G9" s="285"/>
      <c r="H9" s="293"/>
      <c r="I9" s="293"/>
      <c r="J9" s="293"/>
      <c r="K9" s="293"/>
      <c r="L9" s="293"/>
      <c r="M9" s="291"/>
      <c r="P9" s="202"/>
      <c r="Q9" s="202"/>
      <c r="R9" s="202"/>
    </row>
    <row r="10" spans="2:18" ht="20.100000000000001" customHeight="1">
      <c r="B10" s="18"/>
      <c r="C10" s="18"/>
      <c r="D10" s="18"/>
      <c r="G10" s="299" t="s">
        <v>88</v>
      </c>
      <c r="H10" s="288">
        <f>DetalleDimension!Q12</f>
        <v>52</v>
      </c>
      <c r="I10" s="288">
        <f>DetalleDimension!R12</f>
        <v>48</v>
      </c>
      <c r="J10" s="288">
        <f>DetalleDimension!S12</f>
        <v>65</v>
      </c>
      <c r="K10" s="288">
        <f t="shared" si="0"/>
        <v>-4</v>
      </c>
      <c r="L10" s="288">
        <f>I10-J10</f>
        <v>-17</v>
      </c>
      <c r="M10" s="288">
        <f>I10-K10</f>
        <v>52</v>
      </c>
    </row>
    <row r="11" spans="2:18" ht="20.100000000000001" customHeight="1">
      <c r="B11" s="18"/>
      <c r="C11" s="18"/>
      <c r="D11" s="18"/>
      <c r="E11" s="154"/>
      <c r="G11" s="299" t="s">
        <v>91</v>
      </c>
      <c r="H11" s="288">
        <f>DetalleDimension!Q13</f>
        <v>60</v>
      </c>
      <c r="I11" s="288">
        <f>DetalleDimension!R13</f>
        <v>55</v>
      </c>
      <c r="J11" s="288">
        <f>DetalleDimension!S13</f>
        <v>64</v>
      </c>
      <c r="K11" s="288">
        <f t="shared" si="0"/>
        <v>-5</v>
      </c>
      <c r="L11" s="288">
        <f>I11-J11</f>
        <v>-9</v>
      </c>
      <c r="M11" s="288">
        <f>I11-K11</f>
        <v>60</v>
      </c>
    </row>
    <row r="12" spans="2:18" ht="20.100000000000001" customHeight="1" thickBot="1">
      <c r="B12" s="18"/>
      <c r="C12" s="20"/>
      <c r="D12" s="18"/>
      <c r="G12" s="302" t="s">
        <v>92</v>
      </c>
      <c r="H12" s="294">
        <f>DetalleDimension!Q14</f>
        <v>90</v>
      </c>
      <c r="I12" s="294">
        <f>DetalleDimension!R14</f>
        <v>87</v>
      </c>
      <c r="J12" s="294">
        <f>DetalleDimension!S14</f>
        <v>91</v>
      </c>
      <c r="K12" s="294">
        <f t="shared" si="0"/>
        <v>-3</v>
      </c>
      <c r="L12" s="294">
        <f>I12-J12</f>
        <v>-4</v>
      </c>
      <c r="M12" s="294">
        <f>I12-K12</f>
        <v>90</v>
      </c>
    </row>
    <row r="13" spans="2:18" ht="20.100000000000001" customHeight="1">
      <c r="B13" s="18"/>
      <c r="C13" s="18"/>
      <c r="D13" s="18"/>
      <c r="G13" s="286"/>
      <c r="H13" s="295"/>
      <c r="I13" s="295"/>
      <c r="J13" s="295"/>
      <c r="K13" s="295"/>
      <c r="L13" s="295"/>
      <c r="M13" s="291"/>
      <c r="P13" s="202"/>
      <c r="Q13" s="202"/>
      <c r="R13" s="202"/>
    </row>
    <row r="14" spans="2:18" ht="20.100000000000001" customHeight="1">
      <c r="B14" s="18"/>
      <c r="C14" s="18"/>
      <c r="D14" s="18"/>
      <c r="G14" s="299" t="s">
        <v>95</v>
      </c>
      <c r="H14" s="288">
        <f>DetalleDimension!Q16</f>
        <v>68</v>
      </c>
      <c r="I14" s="288">
        <f>DetalleDimension!R16</f>
        <v>66</v>
      </c>
      <c r="J14" s="288">
        <f>DetalleDimension!S16</f>
        <v>77</v>
      </c>
      <c r="K14" s="288">
        <f t="shared" si="0"/>
        <v>-2</v>
      </c>
      <c r="L14" s="288">
        <f>I14-J14</f>
        <v>-11</v>
      </c>
      <c r="M14" s="288">
        <f>I14-K14</f>
        <v>68</v>
      </c>
    </row>
    <row r="15" spans="2:18" ht="20.100000000000001" customHeight="1">
      <c r="B15" s="18"/>
      <c r="C15" s="18"/>
      <c r="D15" s="18"/>
      <c r="E15" s="154"/>
      <c r="G15" s="299" t="s">
        <v>96</v>
      </c>
      <c r="H15" s="288">
        <f>DetalleDimension!Q17</f>
        <v>75</v>
      </c>
      <c r="I15" s="288">
        <f>DetalleDimension!R17</f>
        <v>71</v>
      </c>
      <c r="J15" s="288">
        <f>DetalleDimension!S17</f>
        <v>80</v>
      </c>
      <c r="K15" s="288">
        <f t="shared" si="0"/>
        <v>-4</v>
      </c>
      <c r="L15" s="288">
        <f>I15-J15</f>
        <v>-9</v>
      </c>
      <c r="M15" s="288">
        <f>I15-K15</f>
        <v>75</v>
      </c>
    </row>
    <row r="16" spans="2:18" ht="20.100000000000001" customHeight="1" thickBot="1">
      <c r="B16" s="18"/>
      <c r="C16" s="20"/>
      <c r="D16" s="18"/>
      <c r="G16" s="303" t="s">
        <v>97</v>
      </c>
      <c r="H16" s="296">
        <f>DetalleDimension!Q18</f>
        <v>71</v>
      </c>
      <c r="I16" s="296">
        <f>DetalleDimension!R18</f>
        <v>66</v>
      </c>
      <c r="J16" s="296">
        <f>DetalleDimension!S18</f>
        <v>82</v>
      </c>
      <c r="K16" s="296">
        <f t="shared" si="0"/>
        <v>-5</v>
      </c>
      <c r="L16" s="296">
        <f>I16-J16</f>
        <v>-16</v>
      </c>
      <c r="M16" s="296">
        <f>I16-K16</f>
        <v>71</v>
      </c>
    </row>
    <row r="17" spans="2:18" ht="20.100000000000001" customHeight="1">
      <c r="B17" s="18"/>
      <c r="C17" s="18"/>
      <c r="D17" s="18"/>
      <c r="G17" s="287"/>
      <c r="H17" s="297"/>
      <c r="I17" s="297"/>
      <c r="J17" s="297"/>
      <c r="K17" s="297"/>
      <c r="L17" s="297"/>
      <c r="M17" s="291"/>
      <c r="P17" s="202"/>
      <c r="Q17" s="202"/>
      <c r="R17" s="202"/>
    </row>
    <row r="18" spans="2:18" ht="20.100000000000001" customHeight="1">
      <c r="B18" s="18"/>
      <c r="C18" s="18"/>
      <c r="D18" s="18"/>
      <c r="G18" s="299" t="s">
        <v>98</v>
      </c>
      <c r="H18" s="288">
        <f>DetalleDimension!Q20</f>
        <v>76</v>
      </c>
      <c r="I18" s="288">
        <f>DetalleDimension!R20</f>
        <v>71</v>
      </c>
      <c r="J18" s="288">
        <f>DetalleDimension!S20</f>
        <v>84</v>
      </c>
      <c r="K18" s="288">
        <f t="shared" si="0"/>
        <v>-5</v>
      </c>
      <c r="L18" s="288">
        <f>I18-J18</f>
        <v>-13</v>
      </c>
      <c r="M18" s="288">
        <f>I18-K18</f>
        <v>76</v>
      </c>
    </row>
    <row r="19" spans="2:18" ht="20.100000000000001" customHeight="1">
      <c r="B19" s="18"/>
      <c r="C19" s="18"/>
      <c r="D19" s="18"/>
      <c r="E19" s="154"/>
      <c r="G19" s="299" t="s">
        <v>99</v>
      </c>
      <c r="H19" s="288">
        <f>DetalleDimension!Q21</f>
        <v>75</v>
      </c>
      <c r="I19" s="288">
        <f>DetalleDimension!R21</f>
        <v>73</v>
      </c>
      <c r="J19" s="288">
        <f>DetalleDimension!S21</f>
        <v>86</v>
      </c>
      <c r="K19" s="288">
        <f t="shared" si="0"/>
        <v>-2</v>
      </c>
      <c r="L19" s="288">
        <f>I19-J19</f>
        <v>-13</v>
      </c>
      <c r="M19" s="288">
        <f>I19-K19</f>
        <v>75</v>
      </c>
    </row>
    <row r="20" spans="2:18" ht="20.100000000000001" customHeight="1" thickBot="1">
      <c r="B20" s="18"/>
      <c r="C20" s="20"/>
      <c r="D20" s="18"/>
      <c r="G20" s="304" t="s">
        <v>102</v>
      </c>
      <c r="H20" s="298">
        <f>DetalleDimension!Q22</f>
        <v>69</v>
      </c>
      <c r="I20" s="298">
        <f>DetalleDimension!R22</f>
        <v>62</v>
      </c>
      <c r="J20" s="298">
        <f>DetalleDimension!S22</f>
        <v>78</v>
      </c>
      <c r="K20" s="298">
        <f t="shared" si="0"/>
        <v>-7</v>
      </c>
      <c r="L20" s="298">
        <f>I20-J20</f>
        <v>-16</v>
      </c>
      <c r="M20" s="298">
        <f>I20-K20</f>
        <v>69</v>
      </c>
    </row>
    <row r="21" spans="2:18">
      <c r="B21" s="18"/>
      <c r="C21" s="18"/>
      <c r="D21" s="18"/>
    </row>
  </sheetData>
  <pageMargins left="0.75" right="0.75" top="1" bottom="1" header="0.5" footer="0.5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IV1029"/>
  <sheetViews>
    <sheetView showGridLines="0" topLeftCell="A885" zoomScale="90" zoomScaleNormal="90" workbookViewId="0">
      <selection activeCell="B888" sqref="B888:G900"/>
    </sheetView>
  </sheetViews>
  <sheetFormatPr baseColWidth="10" defaultColWidth="11.42578125" defaultRowHeight="14.25"/>
  <cols>
    <col min="1" max="1" width="11.42578125" style="164"/>
    <col min="2" max="2" width="17.42578125" style="143" customWidth="1"/>
    <col min="3" max="7" width="14.5703125" style="165" customWidth="1"/>
    <col min="8" max="12" width="14.5703125" style="166" customWidth="1"/>
    <col min="13" max="23" width="14.5703125" style="170" customWidth="1"/>
    <col min="24" max="39" width="11.42578125" style="168" customWidth="1"/>
    <col min="40" max="40" width="30.85546875" style="143" customWidth="1"/>
    <col min="41" max="48" width="11.42578125" style="167" customWidth="1"/>
    <col min="49" max="61" width="11.42578125" style="167"/>
    <col min="62" max="16384" width="11.42578125" style="143"/>
  </cols>
  <sheetData>
    <row r="1" spans="1:61">
      <c r="A1" s="143">
        <v>0</v>
      </c>
      <c r="B1" s="143">
        <f>DetalleDimension!$Q$2</f>
        <v>2015</v>
      </c>
      <c r="C1" s="165" t="s">
        <v>216</v>
      </c>
      <c r="D1" s="165" t="s">
        <v>217</v>
      </c>
      <c r="E1" s="165" t="s">
        <v>218</v>
      </c>
      <c r="F1" s="165" t="s">
        <v>219</v>
      </c>
      <c r="G1" s="165" t="s">
        <v>220</v>
      </c>
      <c r="H1" s="165" t="s">
        <v>221</v>
      </c>
      <c r="I1" s="165" t="s">
        <v>222</v>
      </c>
      <c r="J1" s="165" t="s">
        <v>223</v>
      </c>
      <c r="K1" s="165"/>
      <c r="L1" s="165"/>
      <c r="M1" s="385"/>
      <c r="N1" s="385"/>
      <c r="O1" s="385"/>
      <c r="P1" s="385"/>
      <c r="Q1" s="385"/>
      <c r="R1" s="385"/>
      <c r="S1" s="169"/>
      <c r="T1" s="169"/>
      <c r="U1" s="169"/>
      <c r="V1" s="169"/>
      <c r="W1" s="169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W1" s="143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</row>
    <row r="2" spans="1:61" s="168" customFormat="1">
      <c r="A2" s="143"/>
      <c r="B2" s="143">
        <f>DetalleDimension!$R$2</f>
        <v>2016</v>
      </c>
      <c r="C2" s="165"/>
      <c r="D2" s="165"/>
      <c r="E2" s="165"/>
      <c r="F2" s="165"/>
      <c r="G2" s="165"/>
      <c r="H2" s="166"/>
      <c r="I2" s="166"/>
      <c r="J2" s="166"/>
      <c r="K2" s="166"/>
      <c r="L2" s="166"/>
      <c r="M2" s="386">
        <v>222</v>
      </c>
      <c r="N2" s="386" t="str">
        <f>+"Prom. Gral"&amp;" "&amp;B1</f>
        <v>Prom. Gral 2015</v>
      </c>
      <c r="O2" s="386" t="str">
        <f>+"Prom. Gral"&amp;" "&amp;B2</f>
        <v>Prom. Gral 2016</v>
      </c>
      <c r="P2" s="386" t="s">
        <v>794</v>
      </c>
      <c r="Q2" s="386" t="s">
        <v>795</v>
      </c>
      <c r="R2" s="386"/>
      <c r="S2" s="384"/>
      <c r="T2" s="170"/>
      <c r="U2" s="170"/>
      <c r="V2" s="170"/>
      <c r="W2" s="170"/>
      <c r="AO2" s="213"/>
      <c r="AP2" s="213"/>
      <c r="AQ2" s="213"/>
      <c r="AR2" s="213"/>
      <c r="AS2" s="213"/>
      <c r="AT2" s="213"/>
      <c r="AU2" s="213"/>
      <c r="AV2" s="213"/>
    </row>
    <row r="3" spans="1:61" s="168" customFormat="1">
      <c r="A3" s="164"/>
      <c r="B3" s="143"/>
      <c r="C3" s="165"/>
      <c r="D3" s="165"/>
      <c r="E3" s="165"/>
      <c r="F3" s="165"/>
      <c r="G3" s="165"/>
      <c r="H3" s="166"/>
      <c r="I3" s="166"/>
      <c r="J3" s="166"/>
      <c r="K3" s="166"/>
      <c r="L3" s="166"/>
      <c r="M3" s="387" t="str">
        <f>+""&amp;"Prom. Gral"&amp;" "&amp;B1</f>
        <v>Prom. Gral 2015</v>
      </c>
      <c r="N3" s="388">
        <v>0</v>
      </c>
      <c r="O3" s="388">
        <v>0</v>
      </c>
      <c r="P3" s="388">
        <v>0</v>
      </c>
      <c r="Q3" s="388">
        <v>0</v>
      </c>
      <c r="R3" s="386"/>
      <c r="S3" s="384"/>
      <c r="T3" s="170"/>
      <c r="U3" s="170"/>
      <c r="V3" s="170"/>
      <c r="W3" s="170"/>
      <c r="AO3" s="213"/>
      <c r="AP3" s="213"/>
      <c r="AQ3" s="213"/>
      <c r="AR3" s="213"/>
      <c r="AS3" s="213"/>
      <c r="AT3" s="213"/>
      <c r="AU3" s="213"/>
      <c r="AV3" s="213"/>
      <c r="AW3" s="213"/>
      <c r="AX3" s="213"/>
      <c r="AY3" s="213"/>
      <c r="AZ3" s="213"/>
      <c r="BA3" s="213"/>
      <c r="BB3" s="213"/>
      <c r="BC3" s="213"/>
      <c r="BD3" s="213"/>
      <c r="BE3" s="213"/>
      <c r="BF3" s="213"/>
      <c r="BG3" s="213"/>
      <c r="BH3" s="213"/>
      <c r="BI3" s="213"/>
    </row>
    <row r="4" spans="1:61" s="168" customFormat="1">
      <c r="A4" s="164"/>
      <c r="B4" s="143"/>
      <c r="C4" s="165"/>
      <c r="D4" s="165"/>
      <c r="E4" s="165"/>
      <c r="F4" s="383"/>
      <c r="G4" s="381"/>
      <c r="H4" s="381"/>
      <c r="I4" s="166"/>
      <c r="J4" s="166"/>
      <c r="K4" s="166"/>
      <c r="L4" s="166"/>
      <c r="M4" s="387" t="str">
        <f>+""&amp;"Prom. Gral"&amp;" "&amp;B2</f>
        <v>Prom. Gral 2016</v>
      </c>
      <c r="N4" s="388">
        <v>0</v>
      </c>
      <c r="O4" s="388">
        <v>0</v>
      </c>
      <c r="P4" s="388">
        <v>0</v>
      </c>
      <c r="Q4" s="388">
        <v>0</v>
      </c>
      <c r="R4" s="386"/>
      <c r="S4" s="384"/>
      <c r="T4" s="170"/>
      <c r="U4" s="170"/>
      <c r="V4" s="170"/>
      <c r="W4" s="170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  <c r="BC4" s="213"/>
      <c r="BD4" s="213"/>
      <c r="BE4" s="213"/>
      <c r="BF4" s="213"/>
      <c r="BG4" s="213"/>
      <c r="BH4" s="213"/>
      <c r="BI4" s="213"/>
    </row>
    <row r="5" spans="1:61" s="168" customFormat="1">
      <c r="B5" s="143"/>
      <c r="C5" s="165"/>
      <c r="D5" s="165"/>
      <c r="E5" s="165"/>
      <c r="F5" s="383"/>
      <c r="G5" s="382"/>
      <c r="H5" s="381"/>
      <c r="I5" s="166"/>
      <c r="J5" s="166"/>
      <c r="K5" s="166"/>
      <c r="L5" s="166"/>
      <c r="M5" s="387" t="s">
        <v>794</v>
      </c>
      <c r="N5" s="388">
        <v>0</v>
      </c>
      <c r="O5" s="388">
        <v>0</v>
      </c>
      <c r="P5" s="388">
        <v>0</v>
      </c>
      <c r="Q5" s="388">
        <v>0</v>
      </c>
      <c r="R5" s="386"/>
      <c r="S5" s="384"/>
      <c r="T5" s="170"/>
      <c r="U5" s="170"/>
      <c r="V5" s="170"/>
      <c r="W5" s="170"/>
      <c r="AO5" s="213"/>
      <c r="AP5" s="213"/>
      <c r="AQ5" s="213"/>
      <c r="AR5" s="213"/>
      <c r="AS5" s="213"/>
      <c r="AT5" s="213"/>
      <c r="AU5" s="213"/>
      <c r="AV5" s="213"/>
      <c r="AW5" s="213"/>
      <c r="AX5" s="213"/>
      <c r="AY5" s="213"/>
      <c r="AZ5" s="213"/>
      <c r="BA5" s="213"/>
      <c r="BB5" s="213"/>
      <c r="BC5" s="213"/>
      <c r="BD5" s="213"/>
      <c r="BE5" s="213"/>
      <c r="BF5" s="213"/>
      <c r="BG5" s="213"/>
      <c r="BH5" s="213"/>
      <c r="BI5" s="213"/>
    </row>
    <row r="6" spans="1:61" s="168" customFormat="1">
      <c r="A6" s="164"/>
      <c r="B6" s="143"/>
      <c r="C6" s="165"/>
      <c r="D6" s="165"/>
      <c r="E6" s="165"/>
      <c r="F6" s="383"/>
      <c r="G6" s="165"/>
      <c r="H6" s="381"/>
      <c r="I6" s="166"/>
      <c r="J6" s="166"/>
      <c r="K6" s="166"/>
      <c r="L6" s="166"/>
      <c r="M6" s="387" t="s">
        <v>795</v>
      </c>
      <c r="N6" s="388">
        <v>0</v>
      </c>
      <c r="O6" s="388">
        <v>0</v>
      </c>
      <c r="P6" s="388">
        <v>0</v>
      </c>
      <c r="Q6" s="388">
        <v>0</v>
      </c>
      <c r="R6" s="386"/>
      <c r="S6" s="384"/>
      <c r="T6" s="170"/>
      <c r="U6" s="170"/>
      <c r="V6" s="170"/>
      <c r="W6" s="170"/>
      <c r="AO6" s="213"/>
      <c r="AP6" s="213"/>
      <c r="AQ6" s="213"/>
      <c r="AR6" s="213"/>
      <c r="AS6" s="213"/>
      <c r="AT6" s="213"/>
      <c r="AU6" s="213"/>
      <c r="AV6" s="213"/>
      <c r="AW6" s="213"/>
      <c r="AX6" s="213"/>
      <c r="AY6" s="213"/>
      <c r="AZ6" s="213"/>
      <c r="BA6" s="213"/>
      <c r="BB6" s="213"/>
      <c r="BC6" s="213"/>
      <c r="BD6" s="213"/>
      <c r="BE6" s="213"/>
      <c r="BF6" s="213"/>
      <c r="BG6" s="213"/>
      <c r="BH6" s="213"/>
      <c r="BI6" s="213"/>
    </row>
    <row r="7" spans="1:61" s="168" customFormat="1">
      <c r="A7" s="164"/>
      <c r="B7" s="143"/>
      <c r="C7" s="165"/>
      <c r="D7" s="165"/>
      <c r="E7" s="165"/>
      <c r="F7" s="383"/>
      <c r="G7" s="165"/>
      <c r="H7" s="381"/>
      <c r="I7" s="166"/>
      <c r="J7" s="166"/>
      <c r="K7" s="166"/>
      <c r="L7" s="166"/>
      <c r="M7" s="386"/>
      <c r="N7" s="386"/>
      <c r="O7" s="386"/>
      <c r="P7" s="386"/>
      <c r="Q7" s="386"/>
      <c r="R7" s="386"/>
      <c r="S7" s="384"/>
      <c r="T7" s="170"/>
      <c r="U7" s="170"/>
      <c r="V7" s="170"/>
      <c r="W7" s="170"/>
      <c r="AO7" s="213"/>
      <c r="AP7" s="213"/>
      <c r="AQ7" s="213"/>
      <c r="AR7" s="213"/>
      <c r="AS7" s="213"/>
      <c r="AT7" s="213"/>
      <c r="AU7" s="213"/>
      <c r="AV7" s="213"/>
      <c r="AW7" s="213"/>
      <c r="AX7" s="213"/>
      <c r="AY7" s="213"/>
      <c r="AZ7" s="213"/>
      <c r="BA7" s="213"/>
      <c r="BB7" s="213"/>
      <c r="BC7" s="213"/>
      <c r="BD7" s="213"/>
      <c r="BE7" s="213"/>
      <c r="BF7" s="213"/>
      <c r="BG7" s="213"/>
      <c r="BH7" s="213"/>
      <c r="BI7" s="213"/>
    </row>
    <row r="8" spans="1:61" s="168" customFormat="1">
      <c r="A8" s="164"/>
      <c r="B8" s="143"/>
      <c r="C8" s="165"/>
      <c r="D8" s="165"/>
      <c r="E8" s="165"/>
      <c r="F8" s="165"/>
      <c r="G8" s="165"/>
      <c r="H8" s="166"/>
      <c r="I8" s="166"/>
      <c r="J8" s="166"/>
      <c r="K8" s="166"/>
      <c r="L8" s="166"/>
      <c r="M8" s="386"/>
      <c r="N8" s="386"/>
      <c r="O8" s="386"/>
      <c r="P8" s="386"/>
      <c r="Q8" s="386"/>
      <c r="R8" s="386"/>
      <c r="S8" s="384"/>
      <c r="T8" s="170"/>
      <c r="U8" s="170"/>
      <c r="V8" s="170"/>
      <c r="W8" s="170"/>
      <c r="AO8" s="213"/>
      <c r="AP8" s="213"/>
      <c r="AQ8" s="213"/>
      <c r="AR8" s="213"/>
      <c r="AS8" s="213"/>
      <c r="AT8" s="213"/>
      <c r="AU8" s="213"/>
      <c r="AV8" s="213"/>
      <c r="AW8" s="213"/>
      <c r="AX8" s="213"/>
      <c r="AY8" s="213"/>
      <c r="AZ8" s="213"/>
      <c r="BA8" s="213"/>
      <c r="BB8" s="213"/>
      <c r="BC8" s="213"/>
      <c r="BD8" s="213"/>
      <c r="BE8" s="213"/>
      <c r="BF8" s="213"/>
      <c r="BG8" s="213"/>
      <c r="BH8" s="213"/>
      <c r="BI8" s="213"/>
    </row>
    <row r="9" spans="1:61" s="168" customFormat="1">
      <c r="A9" s="164"/>
      <c r="B9" s="143"/>
      <c r="C9" s="165"/>
      <c r="D9" s="165"/>
      <c r="E9" s="165"/>
      <c r="F9" s="165"/>
      <c r="G9" s="165"/>
      <c r="H9" s="166"/>
      <c r="I9" s="166"/>
      <c r="J9" s="166"/>
      <c r="K9" s="166"/>
      <c r="L9" s="166"/>
      <c r="M9" s="386"/>
      <c r="N9" s="386"/>
      <c r="O9" s="386"/>
      <c r="P9" s="386"/>
      <c r="Q9" s="386"/>
      <c r="R9" s="386"/>
      <c r="S9" s="384"/>
      <c r="T9" s="170"/>
      <c r="U9" s="170"/>
      <c r="V9" s="170"/>
      <c r="W9" s="170"/>
      <c r="AO9" s="213"/>
      <c r="AP9" s="213"/>
      <c r="AQ9" s="213"/>
      <c r="AR9" s="213"/>
      <c r="AS9" s="213"/>
      <c r="AT9" s="213"/>
      <c r="AU9" s="213"/>
      <c r="AV9" s="213"/>
      <c r="AW9" s="213"/>
      <c r="AX9" s="213"/>
      <c r="AY9" s="213"/>
      <c r="AZ9" s="213"/>
      <c r="BA9" s="213"/>
      <c r="BB9" s="213"/>
      <c r="BC9" s="213"/>
      <c r="BD9" s="213"/>
      <c r="BE9" s="213"/>
      <c r="BF9" s="213"/>
      <c r="BG9" s="213"/>
      <c r="BH9" s="213"/>
      <c r="BI9" s="213"/>
    </row>
    <row r="10" spans="1:61" s="168" customFormat="1">
      <c r="A10" s="164"/>
      <c r="B10" s="143"/>
      <c r="C10" s="165"/>
      <c r="D10" s="165"/>
      <c r="E10" s="165"/>
      <c r="F10" s="165"/>
      <c r="G10" s="165"/>
      <c r="H10" s="166"/>
      <c r="I10" s="166"/>
      <c r="J10" s="166"/>
      <c r="K10" s="166"/>
      <c r="L10" s="166"/>
      <c r="M10" s="384"/>
      <c r="N10" s="384"/>
      <c r="O10" s="384"/>
      <c r="P10" s="384"/>
      <c r="Q10" s="384"/>
      <c r="R10" s="384"/>
      <c r="S10" s="384"/>
      <c r="T10" s="170"/>
      <c r="U10" s="170"/>
      <c r="V10" s="170"/>
      <c r="W10" s="170"/>
      <c r="AO10" s="213"/>
      <c r="AP10" s="213"/>
      <c r="AQ10" s="213"/>
      <c r="AR10" s="213"/>
      <c r="AS10" s="213"/>
      <c r="AT10" s="213"/>
      <c r="AU10" s="213"/>
      <c r="AV10" s="213"/>
      <c r="AW10" s="213"/>
      <c r="AX10" s="213"/>
      <c r="AY10" s="213"/>
      <c r="AZ10" s="213"/>
      <c r="BA10" s="213"/>
      <c r="BB10" s="213"/>
      <c r="BC10" s="213"/>
      <c r="BD10" s="213"/>
      <c r="BE10" s="213"/>
      <c r="BF10" s="213"/>
      <c r="BG10" s="213"/>
      <c r="BH10" s="213"/>
      <c r="BI10" s="213"/>
    </row>
    <row r="11" spans="1:61" s="168" customFormat="1">
      <c r="A11" s="164"/>
      <c r="B11" s="143"/>
      <c r="C11" s="165"/>
      <c r="D11" s="165"/>
      <c r="E11" s="165"/>
      <c r="F11" s="165"/>
      <c r="G11" s="165"/>
      <c r="H11" s="166"/>
      <c r="I11" s="166"/>
      <c r="J11" s="166"/>
      <c r="K11" s="166"/>
      <c r="L11" s="166"/>
      <c r="M11" s="384"/>
      <c r="N11" s="384"/>
      <c r="O11" s="384"/>
      <c r="P11" s="384"/>
      <c r="Q11" s="384"/>
      <c r="R11" s="384"/>
      <c r="S11" s="384"/>
      <c r="T11" s="170"/>
      <c r="U11" s="170"/>
      <c r="V11" s="170"/>
      <c r="W11" s="170"/>
      <c r="AO11" s="213"/>
      <c r="AP11" s="213"/>
      <c r="AQ11" s="213"/>
      <c r="AR11" s="213"/>
      <c r="AS11" s="213"/>
      <c r="AT11" s="213"/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213"/>
      <c r="BG11" s="213"/>
      <c r="BH11" s="213"/>
      <c r="BI11" s="213"/>
    </row>
    <row r="12" spans="1:61" s="168" customFormat="1">
      <c r="A12" s="164"/>
      <c r="B12" s="143"/>
      <c r="C12" s="165"/>
      <c r="D12" s="165"/>
      <c r="E12" s="165"/>
      <c r="F12" s="165"/>
      <c r="G12" s="165"/>
      <c r="H12" s="166"/>
      <c r="I12" s="166"/>
      <c r="J12" s="166"/>
      <c r="K12" s="166"/>
      <c r="L12" s="166"/>
      <c r="M12" s="384"/>
      <c r="N12" s="384"/>
      <c r="O12" s="384"/>
      <c r="P12" s="384"/>
      <c r="Q12" s="384"/>
      <c r="R12" s="384"/>
      <c r="S12" s="384"/>
      <c r="T12" s="170"/>
      <c r="U12" s="170"/>
      <c r="V12" s="170"/>
      <c r="W12" s="170"/>
      <c r="AO12" s="213"/>
      <c r="AP12" s="213"/>
      <c r="AQ12" s="213"/>
      <c r="AR12" s="213"/>
      <c r="AS12" s="213"/>
      <c r="AT12" s="213"/>
      <c r="AU12" s="213"/>
      <c r="AV12" s="213"/>
      <c r="AW12" s="213"/>
      <c r="AX12" s="213"/>
      <c r="AY12" s="213"/>
      <c r="AZ12" s="213"/>
      <c r="BA12" s="213"/>
      <c r="BB12" s="213"/>
      <c r="BC12" s="213"/>
      <c r="BD12" s="213"/>
      <c r="BE12" s="213"/>
      <c r="BF12" s="213"/>
      <c r="BG12" s="213"/>
      <c r="BH12" s="213"/>
      <c r="BI12" s="213"/>
    </row>
    <row r="13" spans="1:61" s="168" customFormat="1">
      <c r="A13" s="164"/>
      <c r="B13" s="143"/>
      <c r="C13" s="165"/>
      <c r="D13" s="165"/>
      <c r="E13" s="165"/>
      <c r="F13" s="165"/>
      <c r="G13" s="165"/>
      <c r="H13" s="166"/>
      <c r="I13" s="166"/>
      <c r="J13" s="166"/>
      <c r="K13" s="166"/>
      <c r="L13" s="166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3"/>
      <c r="BI13" s="213"/>
    </row>
    <row r="14" spans="1:61" s="168" customFormat="1">
      <c r="A14" s="164"/>
      <c r="B14" s="143"/>
      <c r="C14" s="165"/>
      <c r="D14" s="165"/>
      <c r="E14" s="165"/>
      <c r="F14" s="165"/>
      <c r="G14" s="165"/>
      <c r="H14" s="166"/>
      <c r="I14" s="166"/>
      <c r="J14" s="166"/>
      <c r="K14" s="166"/>
      <c r="L14" s="166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AO14" s="213"/>
      <c r="AP14" s="213"/>
      <c r="AQ14" s="213"/>
      <c r="AR14" s="213"/>
      <c r="AS14" s="213"/>
      <c r="AT14" s="213"/>
      <c r="AU14" s="213"/>
      <c r="AV14" s="213"/>
      <c r="AW14" s="213"/>
      <c r="AX14" s="213"/>
      <c r="AY14" s="213"/>
      <c r="AZ14" s="213"/>
      <c r="BA14" s="213"/>
      <c r="BB14" s="213"/>
      <c r="BC14" s="213"/>
      <c r="BD14" s="213"/>
      <c r="BE14" s="213"/>
      <c r="BF14" s="213"/>
      <c r="BG14" s="213"/>
      <c r="BH14" s="213"/>
      <c r="BI14" s="213"/>
    </row>
    <row r="15" spans="1:61" s="168" customFormat="1">
      <c r="A15" s="164"/>
      <c r="B15" s="143"/>
      <c r="C15" s="165"/>
      <c r="D15" s="165"/>
      <c r="E15" s="165"/>
      <c r="F15" s="165"/>
      <c r="G15" s="165"/>
      <c r="H15" s="166"/>
      <c r="I15" s="166"/>
      <c r="J15" s="166"/>
      <c r="K15" s="166"/>
      <c r="L15" s="166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AO15" s="213"/>
      <c r="AP15" s="213"/>
      <c r="AQ15" s="213"/>
      <c r="AR15" s="213"/>
      <c r="AS15" s="213"/>
      <c r="AT15" s="213"/>
      <c r="AU15" s="213"/>
      <c r="AV15" s="213"/>
      <c r="AW15" s="213"/>
      <c r="AX15" s="213"/>
      <c r="AY15" s="213"/>
      <c r="AZ15" s="213"/>
      <c r="BA15" s="213"/>
      <c r="BB15" s="213"/>
      <c r="BC15" s="213"/>
      <c r="BD15" s="213"/>
      <c r="BE15" s="213"/>
      <c r="BF15" s="213"/>
      <c r="BG15" s="213"/>
      <c r="BH15" s="213"/>
      <c r="BI15" s="213"/>
    </row>
    <row r="16" spans="1:61" s="168" customFormat="1">
      <c r="A16" s="164"/>
      <c r="B16" s="143"/>
      <c r="C16" s="165"/>
      <c r="D16" s="165"/>
      <c r="E16" s="165"/>
      <c r="F16" s="165"/>
      <c r="G16" s="165"/>
      <c r="H16" s="166"/>
      <c r="I16" s="166"/>
      <c r="J16" s="166"/>
      <c r="K16" s="166"/>
      <c r="L16" s="166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AO16" s="213"/>
      <c r="AP16" s="213"/>
      <c r="AQ16" s="213"/>
      <c r="AR16" s="213"/>
      <c r="AS16" s="213"/>
      <c r="AT16" s="213"/>
      <c r="AU16" s="213"/>
      <c r="AV16" s="213"/>
      <c r="AW16" s="213"/>
      <c r="AX16" s="213"/>
      <c r="AY16" s="213"/>
      <c r="AZ16" s="213"/>
      <c r="BA16" s="213"/>
      <c r="BB16" s="213"/>
      <c r="BC16" s="213"/>
      <c r="BD16" s="213"/>
      <c r="BE16" s="213"/>
      <c r="BF16" s="213"/>
      <c r="BG16" s="213"/>
      <c r="BH16" s="213"/>
      <c r="BI16" s="213"/>
    </row>
    <row r="17" spans="1:61" s="168" customFormat="1">
      <c r="A17" s="164"/>
      <c r="B17" s="143"/>
      <c r="C17" s="165"/>
      <c r="D17" s="165"/>
      <c r="E17" s="165"/>
      <c r="F17" s="165"/>
      <c r="G17" s="165"/>
      <c r="H17" s="166"/>
      <c r="I17" s="166"/>
      <c r="J17" s="166"/>
      <c r="K17" s="166"/>
      <c r="L17" s="166"/>
      <c r="M17" s="170"/>
      <c r="N17" s="170"/>
      <c r="O17" s="170"/>
      <c r="P17" s="170"/>
      <c r="Q17" s="170"/>
      <c r="R17" s="170"/>
      <c r="S17" s="170"/>
      <c r="T17" s="170"/>
      <c r="U17" s="170"/>
      <c r="V17" s="170"/>
      <c r="W17" s="170"/>
      <c r="AO17" s="213"/>
      <c r="AP17" s="213"/>
      <c r="AQ17" s="213"/>
      <c r="AR17" s="213"/>
      <c r="AS17" s="213"/>
      <c r="AT17" s="213"/>
      <c r="AU17" s="213"/>
      <c r="AV17" s="213"/>
      <c r="AW17" s="213"/>
      <c r="AX17" s="213"/>
      <c r="AY17" s="213"/>
      <c r="AZ17" s="213"/>
      <c r="BA17" s="213"/>
      <c r="BB17" s="213"/>
      <c r="BC17" s="213"/>
      <c r="BD17" s="213"/>
      <c r="BE17" s="213"/>
      <c r="BF17" s="213"/>
      <c r="BG17" s="213"/>
      <c r="BH17" s="213"/>
      <c r="BI17" s="213"/>
    </row>
    <row r="18" spans="1:61" s="168" customFormat="1" ht="14.25" customHeight="1">
      <c r="A18" s="164"/>
      <c r="B18" s="143"/>
      <c r="C18" s="165"/>
      <c r="D18" s="165"/>
      <c r="E18" s="165"/>
      <c r="F18" s="165"/>
      <c r="G18" s="165"/>
      <c r="H18" s="166"/>
      <c r="I18" s="166"/>
      <c r="J18" s="166"/>
      <c r="K18" s="166"/>
      <c r="L18" s="166"/>
      <c r="M18" s="170"/>
      <c r="N18" s="170"/>
      <c r="O18" s="170"/>
      <c r="P18" s="170"/>
      <c r="Q18" s="170"/>
      <c r="R18" s="170"/>
      <c r="S18" s="170"/>
      <c r="T18" s="170"/>
      <c r="U18" s="170"/>
      <c r="V18" s="170"/>
      <c r="W18" s="170"/>
      <c r="AO18" s="213"/>
      <c r="AP18" s="213"/>
      <c r="AQ18" s="213"/>
      <c r="AR18" s="213"/>
      <c r="AS18" s="213"/>
      <c r="AT18" s="213"/>
      <c r="AU18" s="213"/>
      <c r="AV18" s="213"/>
      <c r="AW18" s="213"/>
      <c r="AX18" s="213"/>
      <c r="AY18" s="213"/>
      <c r="AZ18" s="213"/>
      <c r="BA18" s="213"/>
      <c r="BB18" s="213"/>
      <c r="BC18" s="213"/>
      <c r="BD18" s="213"/>
      <c r="BE18" s="213"/>
      <c r="BF18" s="213"/>
      <c r="BG18" s="213"/>
      <c r="BH18" s="213"/>
      <c r="BI18" s="213"/>
    </row>
    <row r="19" spans="1:61" s="168" customFormat="1" ht="14.25" customHeight="1">
      <c r="A19" s="164" t="s">
        <v>183</v>
      </c>
      <c r="C19" s="165"/>
      <c r="D19" s="165"/>
      <c r="E19" s="165"/>
      <c r="F19" s="165"/>
      <c r="G19" s="165"/>
      <c r="H19" s="166"/>
      <c r="I19" s="166"/>
      <c r="J19" s="166"/>
      <c r="K19" s="166"/>
      <c r="L19" s="166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  <c r="AO19" s="213"/>
      <c r="AP19" s="213"/>
      <c r="AQ19" s="213"/>
      <c r="AR19" s="213"/>
      <c r="AS19" s="213"/>
      <c r="AT19" s="213"/>
      <c r="AU19" s="213"/>
      <c r="AV19" s="213"/>
      <c r="AW19" s="213"/>
      <c r="AX19" s="213"/>
      <c r="AY19" s="213"/>
      <c r="AZ19" s="213"/>
      <c r="BA19" s="213"/>
      <c r="BB19" s="213"/>
      <c r="BC19" s="213"/>
      <c r="BD19" s="213"/>
      <c r="BE19" s="213"/>
      <c r="BF19" s="213"/>
      <c r="BG19" s="213"/>
      <c r="BH19" s="213"/>
      <c r="BI19" s="213"/>
    </row>
    <row r="20" spans="1:61" s="168" customFormat="1" ht="14.25" customHeight="1">
      <c r="A20" s="164">
        <v>5</v>
      </c>
      <c r="C20" s="165"/>
      <c r="D20" s="165"/>
      <c r="E20" s="165"/>
      <c r="F20" s="165"/>
      <c r="G20" s="165"/>
      <c r="H20" s="166"/>
      <c r="I20" s="166"/>
      <c r="J20" s="166"/>
      <c r="K20" s="166"/>
      <c r="L20" s="166"/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  <c r="AO20" s="213"/>
      <c r="AP20" s="213"/>
      <c r="AQ20" s="213"/>
      <c r="AR20" s="213"/>
      <c r="AS20" s="213"/>
      <c r="AT20" s="213"/>
      <c r="AU20" s="213"/>
      <c r="AV20" s="213"/>
      <c r="AW20" s="213"/>
      <c r="AX20" s="213"/>
      <c r="AY20" s="213"/>
      <c r="AZ20" s="213"/>
      <c r="BA20" s="213"/>
      <c r="BB20" s="213"/>
      <c r="BC20" s="213"/>
      <c r="BD20" s="213"/>
      <c r="BE20" s="213"/>
      <c r="BF20" s="213"/>
      <c r="BG20" s="213"/>
      <c r="BH20" s="213"/>
      <c r="BI20" s="213"/>
    </row>
    <row r="21" spans="1:61" s="168" customFormat="1" ht="14.25" customHeight="1">
      <c r="A21" s="164"/>
      <c r="C21" s="165"/>
      <c r="D21" s="165"/>
      <c r="E21" s="165"/>
      <c r="F21" s="165"/>
      <c r="G21" s="165"/>
      <c r="H21" s="166"/>
      <c r="I21" s="166"/>
      <c r="J21" s="166"/>
      <c r="K21" s="166"/>
      <c r="L21" s="166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AO21" s="213"/>
      <c r="AP21" s="213"/>
      <c r="AQ21" s="213"/>
      <c r="AR21" s="213"/>
      <c r="AS21" s="213"/>
      <c r="AT21" s="213"/>
      <c r="AU21" s="213"/>
      <c r="AV21" s="213"/>
      <c r="AW21" s="213"/>
      <c r="AX21" s="213"/>
      <c r="AY21" s="213"/>
      <c r="AZ21" s="213"/>
      <c r="BA21" s="213"/>
      <c r="BB21" s="213"/>
      <c r="BC21" s="213"/>
      <c r="BD21" s="213"/>
      <c r="BE21" s="213"/>
      <c r="BF21" s="213"/>
      <c r="BG21" s="213"/>
      <c r="BH21" s="213"/>
      <c r="BI21" s="213"/>
    </row>
    <row r="22" spans="1:61" s="168" customFormat="1" ht="14.25" customHeight="1">
      <c r="A22" s="164"/>
      <c r="C22" s="165"/>
      <c r="D22" s="165"/>
      <c r="E22" s="165"/>
      <c r="F22" s="165"/>
      <c r="G22" s="165"/>
      <c r="H22" s="166"/>
      <c r="I22" s="166"/>
      <c r="J22" s="166"/>
      <c r="K22" s="166"/>
      <c r="L22" s="166"/>
      <c r="M22" s="170"/>
      <c r="N22" s="170"/>
      <c r="O22" s="170"/>
      <c r="P22" s="170"/>
      <c r="Q22" s="170"/>
      <c r="R22" s="170"/>
      <c r="S22" s="170"/>
      <c r="T22" s="170"/>
      <c r="U22" s="170"/>
      <c r="V22" s="170"/>
      <c r="W22" s="170"/>
      <c r="AO22" s="213"/>
      <c r="AP22" s="213"/>
      <c r="AQ22" s="213"/>
      <c r="AR22" s="213"/>
      <c r="AS22" s="213"/>
      <c r="AT22" s="213"/>
      <c r="AU22" s="213"/>
      <c r="AV22" s="213"/>
      <c r="AW22" s="213"/>
      <c r="AX22" s="213"/>
      <c r="AY22" s="213"/>
      <c r="AZ22" s="213"/>
      <c r="BA22" s="213"/>
      <c r="BB22" s="213"/>
      <c r="BC22" s="213"/>
      <c r="BD22" s="213"/>
      <c r="BE22" s="213"/>
      <c r="BF22" s="213"/>
      <c r="BG22" s="213"/>
      <c r="BH22" s="213"/>
      <c r="BI22" s="213"/>
    </row>
    <row r="23" spans="1:61" s="168" customFormat="1" ht="14.25" customHeight="1">
      <c r="A23" s="164"/>
      <c r="C23" s="165"/>
      <c r="D23" s="165"/>
      <c r="E23" s="165"/>
      <c r="F23" s="165"/>
      <c r="G23" s="165"/>
      <c r="H23" s="166"/>
      <c r="I23" s="166"/>
      <c r="J23" s="166"/>
      <c r="K23" s="166"/>
      <c r="L23" s="166"/>
      <c r="M23" s="170"/>
      <c r="N23" s="170"/>
      <c r="O23" s="170"/>
      <c r="P23" s="170"/>
      <c r="Q23" s="170"/>
      <c r="R23" s="170"/>
      <c r="S23" s="170"/>
      <c r="T23" s="170"/>
      <c r="U23" s="170"/>
      <c r="V23" s="170"/>
      <c r="W23" s="170"/>
      <c r="AO23" s="213"/>
      <c r="AP23" s="213"/>
      <c r="AQ23" s="213"/>
      <c r="AR23" s="213"/>
      <c r="AS23" s="213"/>
      <c r="AT23" s="213"/>
      <c r="AU23" s="213"/>
      <c r="AV23" s="213"/>
      <c r="AW23" s="213"/>
      <c r="AX23" s="213"/>
      <c r="AY23" s="213"/>
      <c r="AZ23" s="213"/>
      <c r="BA23" s="213"/>
      <c r="BB23" s="213"/>
      <c r="BC23" s="213"/>
      <c r="BD23" s="213"/>
      <c r="BE23" s="213"/>
      <c r="BF23" s="213"/>
      <c r="BG23" s="213"/>
      <c r="BH23" s="213"/>
      <c r="BI23" s="213"/>
    </row>
    <row r="24" spans="1:61" s="168" customFormat="1" ht="14.25" customHeight="1">
      <c r="A24" s="164"/>
      <c r="C24" s="165"/>
      <c r="D24" s="165"/>
      <c r="E24" s="165"/>
      <c r="F24" s="165"/>
      <c r="G24" s="165"/>
      <c r="H24" s="166"/>
      <c r="I24" s="166"/>
      <c r="J24" s="166"/>
      <c r="K24" s="166"/>
      <c r="L24" s="166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AO24" s="213"/>
      <c r="AP24" s="213"/>
      <c r="AQ24" s="213"/>
      <c r="AR24" s="213"/>
      <c r="AS24" s="213"/>
      <c r="AT24" s="213"/>
      <c r="AU24" s="213"/>
      <c r="AV24" s="213"/>
      <c r="AW24" s="213"/>
      <c r="AX24" s="213"/>
      <c r="AY24" s="213"/>
      <c r="AZ24" s="213"/>
      <c r="BA24" s="213"/>
      <c r="BB24" s="213"/>
      <c r="BC24" s="213"/>
      <c r="BD24" s="213"/>
      <c r="BE24" s="213"/>
      <c r="BF24" s="213"/>
      <c r="BG24" s="213"/>
      <c r="BH24" s="213"/>
      <c r="BI24" s="213"/>
    </row>
    <row r="25" spans="1:61" s="168" customFormat="1" ht="14.25" customHeight="1">
      <c r="A25" s="164"/>
      <c r="C25" s="165"/>
      <c r="D25" s="165"/>
      <c r="E25" s="165"/>
      <c r="F25" s="165"/>
      <c r="G25" s="165"/>
      <c r="H25" s="166"/>
      <c r="I25" s="166"/>
      <c r="J25" s="166"/>
      <c r="K25" s="166"/>
      <c r="L25" s="166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AO25" s="213"/>
      <c r="AP25" s="213"/>
      <c r="AQ25" s="213"/>
      <c r="AR25" s="213"/>
      <c r="AS25" s="213"/>
      <c r="AT25" s="213"/>
      <c r="AU25" s="213"/>
      <c r="AV25" s="213"/>
      <c r="AW25" s="213"/>
      <c r="AX25" s="213"/>
      <c r="AY25" s="213"/>
      <c r="AZ25" s="213"/>
      <c r="BA25" s="213"/>
      <c r="BB25" s="213"/>
      <c r="BC25" s="213"/>
      <c r="BD25" s="213"/>
      <c r="BE25" s="213"/>
      <c r="BF25" s="213"/>
      <c r="BG25" s="213"/>
      <c r="BH25" s="213"/>
      <c r="BI25" s="213"/>
    </row>
    <row r="26" spans="1:61" s="168" customFormat="1" ht="14.25" customHeight="1">
      <c r="A26" s="164"/>
      <c r="C26" s="165"/>
      <c r="D26" s="165"/>
      <c r="E26" s="165"/>
      <c r="F26" s="165"/>
      <c r="G26" s="165"/>
      <c r="H26" s="166"/>
      <c r="I26" s="166"/>
      <c r="J26" s="166"/>
      <c r="K26" s="166"/>
      <c r="L26" s="166"/>
      <c r="M26" s="170"/>
      <c r="N26" s="170"/>
      <c r="O26" s="170"/>
      <c r="P26" s="170"/>
      <c r="Q26" s="170"/>
      <c r="R26" s="170"/>
      <c r="S26" s="170"/>
      <c r="T26" s="170"/>
      <c r="U26" s="170"/>
      <c r="V26" s="170"/>
      <c r="W26" s="170"/>
      <c r="AO26" s="213"/>
      <c r="AP26" s="213"/>
      <c r="AQ26" s="213"/>
      <c r="AR26" s="213"/>
      <c r="AS26" s="213"/>
      <c r="AT26" s="213"/>
      <c r="AU26" s="213"/>
      <c r="AV26" s="213"/>
      <c r="AW26" s="213"/>
      <c r="AX26" s="213"/>
      <c r="AY26" s="213"/>
      <c r="AZ26" s="213"/>
      <c r="BA26" s="213"/>
      <c r="BB26" s="213"/>
      <c r="BC26" s="213"/>
      <c r="BD26" s="213"/>
      <c r="BE26" s="213"/>
      <c r="BF26" s="213"/>
      <c r="BG26" s="213"/>
      <c r="BH26" s="213"/>
      <c r="BI26" s="213"/>
    </row>
    <row r="27" spans="1:61" s="168" customFormat="1" ht="14.25" customHeight="1">
      <c r="A27" s="164"/>
      <c r="C27" s="165"/>
      <c r="D27" s="165"/>
      <c r="E27" s="165"/>
      <c r="F27" s="165"/>
      <c r="G27" s="165"/>
      <c r="H27" s="166"/>
      <c r="I27" s="166"/>
      <c r="J27" s="166"/>
      <c r="K27" s="166"/>
      <c r="L27" s="166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AO27" s="213"/>
      <c r="AP27" s="213"/>
      <c r="AQ27" s="213"/>
      <c r="AR27" s="213"/>
      <c r="AS27" s="213"/>
      <c r="AT27" s="213"/>
      <c r="AU27" s="213"/>
      <c r="AV27" s="213"/>
      <c r="AW27" s="213"/>
      <c r="AX27" s="213"/>
      <c r="AY27" s="213"/>
      <c r="AZ27" s="213"/>
      <c r="BA27" s="213"/>
      <c r="BB27" s="213"/>
      <c r="BC27" s="213"/>
      <c r="BD27" s="213"/>
      <c r="BE27" s="213"/>
      <c r="BF27" s="213"/>
      <c r="BG27" s="213"/>
      <c r="BH27" s="213"/>
      <c r="BI27" s="213"/>
    </row>
    <row r="28" spans="1:61" s="168" customFormat="1" ht="14.25" customHeight="1">
      <c r="A28" s="164"/>
      <c r="C28" s="169"/>
      <c r="D28" s="169"/>
      <c r="E28" s="169"/>
      <c r="F28" s="169"/>
      <c r="G28" s="169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AO28" s="213"/>
      <c r="AP28" s="213"/>
      <c r="AQ28" s="213"/>
      <c r="AR28" s="213"/>
      <c r="AS28" s="213"/>
      <c r="AT28" s="213"/>
      <c r="AU28" s="213"/>
      <c r="AV28" s="213"/>
      <c r="AW28" s="213"/>
      <c r="AX28" s="213"/>
      <c r="AY28" s="213"/>
      <c r="AZ28" s="213"/>
      <c r="BA28" s="213"/>
      <c r="BB28" s="213"/>
      <c r="BC28" s="213"/>
      <c r="BD28" s="213"/>
      <c r="BE28" s="213"/>
      <c r="BF28" s="213"/>
      <c r="BG28" s="213"/>
      <c r="BH28" s="213"/>
      <c r="BI28" s="213"/>
    </row>
    <row r="29" spans="1:61" s="212" customFormat="1" ht="14.25" customHeight="1">
      <c r="A29" s="171">
        <v>1</v>
      </c>
      <c r="B29" s="172"/>
      <c r="C29" s="187" t="str">
        <f>IF($A$1 = 1, (IF("("&amp;C39&amp;")" ="()","","("&amp;C39&amp;")")), (IF("("&amp;C44&amp;")     ("&amp;C39&amp;")"="()     ()","","("&amp;C44&amp;")     ("&amp;C39&amp;")")))</f>
        <v>(6)     (5)</v>
      </c>
      <c r="D29" s="187" t="str">
        <f t="shared" ref="D29:J29" si="0">IF($A$1 = 1, (IF("("&amp;D39&amp;")" ="()","","("&amp;D39&amp;")")), (IF("("&amp;D44&amp;")     ("&amp;D39&amp;")"="()     ()","","("&amp;D44&amp;")     ("&amp;D39&amp;")")))</f>
        <v>(36)     (34)</v>
      </c>
      <c r="E29" s="187" t="str">
        <f t="shared" si="0"/>
        <v>(96)     (79)</v>
      </c>
      <c r="F29" s="187" t="str">
        <f t="shared" si="0"/>
        <v>(458)     (409)</v>
      </c>
      <c r="G29" s="187" t="str">
        <f t="shared" si="0"/>
        <v>(4)     (19)</v>
      </c>
      <c r="H29" s="187" t="str">
        <f t="shared" si="0"/>
        <v/>
      </c>
      <c r="I29" s="187" t="str">
        <f t="shared" si="0"/>
        <v/>
      </c>
      <c r="J29" s="187" t="str">
        <f t="shared" si="0"/>
        <v/>
      </c>
      <c r="K29" s="187"/>
      <c r="L29" s="187"/>
      <c r="M29" s="220"/>
      <c r="N29" s="220"/>
      <c r="O29" s="220"/>
      <c r="P29" s="220"/>
      <c r="Q29" s="220"/>
      <c r="R29" s="220"/>
      <c r="S29" s="220"/>
      <c r="T29" s="220"/>
      <c r="U29" s="220"/>
      <c r="V29" s="220"/>
      <c r="W29" s="220"/>
      <c r="AO29" s="215"/>
      <c r="AP29" s="215"/>
      <c r="AQ29" s="215"/>
      <c r="AR29" s="215"/>
      <c r="AS29" s="215"/>
      <c r="AT29" s="215"/>
      <c r="AU29" s="215"/>
      <c r="AV29" s="215"/>
      <c r="AW29" s="215"/>
      <c r="AX29" s="215"/>
      <c r="AY29" s="215"/>
      <c r="AZ29" s="215"/>
      <c r="BA29" s="215"/>
      <c r="BB29" s="215"/>
      <c r="BC29" s="215"/>
      <c r="BD29" s="215"/>
      <c r="BE29" s="215"/>
      <c r="BF29" s="215"/>
      <c r="BG29" s="215"/>
      <c r="BH29" s="215"/>
      <c r="BI29" s="215"/>
    </row>
    <row r="30" spans="1:61" s="210" customFormat="1" ht="59.1" customHeight="1">
      <c r="A30" s="176"/>
      <c r="B30" s="177"/>
      <c r="C30" s="283" t="s">
        <v>748</v>
      </c>
      <c r="D30" s="283" t="s">
        <v>749</v>
      </c>
      <c r="E30" s="283" t="s">
        <v>750</v>
      </c>
      <c r="F30" s="283" t="s">
        <v>751</v>
      </c>
      <c r="G30" s="283" t="s">
        <v>752</v>
      </c>
      <c r="H30" s="283"/>
      <c r="I30" s="283"/>
      <c r="J30" s="283"/>
      <c r="K30" s="283"/>
      <c r="L30" s="283"/>
      <c r="M30" s="318"/>
      <c r="N30" s="318"/>
      <c r="O30" s="318"/>
      <c r="P30" s="318"/>
      <c r="Q30" s="318"/>
      <c r="R30" s="318"/>
      <c r="S30" s="318"/>
      <c r="T30" s="318"/>
      <c r="U30" s="318"/>
      <c r="V30" s="318"/>
      <c r="W30" s="318"/>
      <c r="AO30" s="216"/>
      <c r="AP30" s="216"/>
      <c r="AQ30" s="216"/>
      <c r="AR30" s="216"/>
      <c r="AS30" s="216"/>
      <c r="AT30" s="216"/>
      <c r="AU30" s="216"/>
      <c r="AV30" s="216"/>
      <c r="AW30" s="216"/>
      <c r="AY30" s="216"/>
      <c r="AZ30" s="216"/>
      <c r="BA30" s="216"/>
      <c r="BB30" s="216"/>
      <c r="BC30" s="216"/>
      <c r="BD30" s="216"/>
      <c r="BE30" s="216"/>
      <c r="BF30" s="216"/>
      <c r="BG30" s="216"/>
      <c r="BH30" s="216"/>
      <c r="BI30" s="216"/>
    </row>
    <row r="31" spans="1:61" s="168" customFormat="1" ht="18" customHeight="1" thickBot="1">
      <c r="A31" s="164"/>
      <c r="B31" s="181" t="s">
        <v>3</v>
      </c>
      <c r="C31" s="148" t="s">
        <v>443</v>
      </c>
      <c r="D31" s="148">
        <v>86</v>
      </c>
      <c r="E31" s="148">
        <v>75</v>
      </c>
      <c r="F31" s="148">
        <v>66</v>
      </c>
      <c r="G31" s="148">
        <v>84</v>
      </c>
      <c r="H31" s="148"/>
      <c r="I31" s="148"/>
      <c r="J31" s="148"/>
      <c r="K31" s="148"/>
      <c r="L31" s="148"/>
      <c r="M31" s="319"/>
      <c r="N31" s="319"/>
      <c r="O31" s="319"/>
      <c r="P31" s="319"/>
      <c r="Q31" s="319"/>
      <c r="R31" s="319"/>
      <c r="S31" s="319"/>
      <c r="T31" s="319"/>
      <c r="U31" s="319"/>
      <c r="V31" s="319"/>
      <c r="W31" s="319"/>
      <c r="AO31" s="213"/>
      <c r="AP31" s="213"/>
      <c r="AQ31" s="213"/>
      <c r="AR31" s="213"/>
      <c r="AS31" s="213"/>
      <c r="AT31" s="213"/>
      <c r="AU31" s="213"/>
      <c r="AV31" s="213"/>
      <c r="AW31" s="213"/>
      <c r="AY31" s="213"/>
      <c r="AZ31" s="213"/>
      <c r="BA31" s="213"/>
      <c r="BB31" s="213"/>
      <c r="BC31" s="213"/>
      <c r="BD31" s="213"/>
      <c r="BE31" s="213"/>
      <c r="BF31" s="213"/>
      <c r="BG31" s="213"/>
      <c r="BH31" s="213"/>
      <c r="BI31" s="213"/>
    </row>
    <row r="32" spans="1:61" s="168" customFormat="1" ht="18" customHeight="1" thickBot="1">
      <c r="A32" s="164"/>
      <c r="B32" s="182" t="s">
        <v>18</v>
      </c>
      <c r="C32" s="148" t="s">
        <v>443</v>
      </c>
      <c r="D32" s="148">
        <v>82</v>
      </c>
      <c r="E32" s="148">
        <v>77</v>
      </c>
      <c r="F32" s="148">
        <v>68</v>
      </c>
      <c r="G32" s="148">
        <v>82</v>
      </c>
      <c r="H32" s="148"/>
      <c r="I32" s="148"/>
      <c r="J32" s="148"/>
      <c r="K32" s="148"/>
      <c r="L32" s="148"/>
      <c r="M32" s="314"/>
      <c r="N32" s="314"/>
      <c r="O32" s="314"/>
      <c r="P32" s="314"/>
      <c r="Q32" s="314"/>
      <c r="R32" s="314"/>
      <c r="S32" s="314"/>
      <c r="T32" s="314"/>
      <c r="U32" s="314"/>
      <c r="V32" s="314"/>
      <c r="W32" s="314"/>
      <c r="AO32" s="213"/>
      <c r="AP32" s="213"/>
      <c r="AQ32" s="213"/>
      <c r="AR32" s="213"/>
      <c r="AS32" s="213"/>
      <c r="AT32" s="213"/>
      <c r="AU32" s="213"/>
      <c r="AV32" s="213"/>
      <c r="AW32" s="213"/>
      <c r="AY32" s="213"/>
      <c r="AZ32" s="213"/>
      <c r="BA32" s="213"/>
      <c r="BB32" s="213"/>
      <c r="BC32" s="213"/>
      <c r="BD32" s="213"/>
      <c r="BE32" s="213"/>
      <c r="BF32" s="213"/>
      <c r="BG32" s="213"/>
      <c r="BH32" s="213"/>
      <c r="BI32" s="213"/>
    </row>
    <row r="33" spans="1:60" s="168" customFormat="1" ht="18" customHeight="1" thickBot="1">
      <c r="A33" s="143"/>
      <c r="B33" s="183" t="s">
        <v>32</v>
      </c>
      <c r="C33" s="147" t="s">
        <v>443</v>
      </c>
      <c r="D33" s="147">
        <v>77</v>
      </c>
      <c r="E33" s="147">
        <v>71</v>
      </c>
      <c r="F33" s="147">
        <v>64</v>
      </c>
      <c r="G33" s="147">
        <v>74</v>
      </c>
      <c r="H33" s="147"/>
      <c r="I33" s="147"/>
      <c r="J33" s="147"/>
      <c r="K33" s="147"/>
      <c r="L33" s="147"/>
      <c r="M33" s="314"/>
      <c r="N33" s="314"/>
      <c r="O33" s="314"/>
      <c r="P33" s="314"/>
      <c r="Q33" s="314"/>
      <c r="R33" s="314"/>
      <c r="S33" s="314"/>
      <c r="T33" s="314"/>
      <c r="U33" s="314"/>
      <c r="V33" s="314"/>
      <c r="W33" s="314"/>
      <c r="AO33" s="213"/>
      <c r="AP33" s="213"/>
      <c r="AQ33" s="213"/>
      <c r="AR33" s="213"/>
      <c r="AS33" s="213"/>
      <c r="AT33" s="213"/>
      <c r="AU33" s="213"/>
      <c r="AV33" s="213"/>
      <c r="AW33" s="213"/>
      <c r="AY33" s="213"/>
      <c r="AZ33" s="213"/>
      <c r="BA33" s="213"/>
      <c r="BB33" s="213"/>
      <c r="BC33" s="213"/>
      <c r="BD33" s="213"/>
      <c r="BE33" s="213"/>
      <c r="BF33" s="213"/>
      <c r="BG33" s="213"/>
      <c r="BH33" s="213"/>
    </row>
    <row r="34" spans="1:60" s="168" customFormat="1" ht="18" customHeight="1" thickBot="1">
      <c r="A34" s="143"/>
      <c r="B34" s="182" t="s">
        <v>45</v>
      </c>
      <c r="C34" s="145" t="s">
        <v>443</v>
      </c>
      <c r="D34" s="145">
        <v>83</v>
      </c>
      <c r="E34" s="145">
        <v>72</v>
      </c>
      <c r="F34" s="145">
        <v>65</v>
      </c>
      <c r="G34" s="145">
        <v>60</v>
      </c>
      <c r="H34" s="145"/>
      <c r="I34" s="145"/>
      <c r="J34" s="145"/>
      <c r="K34" s="145"/>
      <c r="L34" s="145"/>
      <c r="M34" s="314"/>
      <c r="N34" s="314"/>
      <c r="O34" s="314"/>
      <c r="P34" s="314"/>
      <c r="Q34" s="314"/>
      <c r="R34" s="314"/>
      <c r="S34" s="314"/>
      <c r="T34" s="314"/>
      <c r="U34" s="314"/>
      <c r="V34" s="314"/>
      <c r="W34" s="314"/>
      <c r="AO34" s="213"/>
      <c r="AP34" s="213"/>
      <c r="AQ34" s="213"/>
      <c r="AR34" s="213"/>
      <c r="AS34" s="213"/>
      <c r="AT34" s="213"/>
      <c r="AU34" s="213"/>
      <c r="AV34" s="213"/>
      <c r="AW34" s="213"/>
      <c r="AY34" s="213"/>
      <c r="AZ34" s="213"/>
      <c r="BA34" s="213"/>
      <c r="BB34" s="213"/>
      <c r="BC34" s="213"/>
      <c r="BD34" s="213"/>
      <c r="BE34" s="213"/>
      <c r="BF34" s="213"/>
      <c r="BG34" s="213"/>
      <c r="BH34" s="213"/>
    </row>
    <row r="35" spans="1:60" s="168" customFormat="1" ht="18" customHeight="1" thickBot="1">
      <c r="A35" s="143"/>
      <c r="B35" s="184" t="s">
        <v>54</v>
      </c>
      <c r="C35" s="146" t="s">
        <v>443</v>
      </c>
      <c r="D35" s="146">
        <v>81</v>
      </c>
      <c r="E35" s="146">
        <v>73</v>
      </c>
      <c r="F35" s="146">
        <v>67</v>
      </c>
      <c r="G35" s="146">
        <v>80</v>
      </c>
      <c r="H35" s="146"/>
      <c r="I35" s="146"/>
      <c r="J35" s="146"/>
      <c r="K35" s="146"/>
      <c r="L35" s="146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AO35" s="213"/>
      <c r="AP35" s="213"/>
      <c r="AQ35" s="213"/>
      <c r="AR35" s="213"/>
      <c r="AS35" s="213"/>
      <c r="AT35" s="213"/>
      <c r="AU35" s="213"/>
      <c r="AV35" s="213"/>
      <c r="AW35" s="213"/>
      <c r="AY35" s="213"/>
      <c r="AZ35" s="213"/>
      <c r="BA35" s="213"/>
      <c r="BB35" s="213"/>
      <c r="BC35" s="213"/>
      <c r="BD35" s="213"/>
      <c r="BE35" s="213"/>
      <c r="BF35" s="213"/>
      <c r="BG35" s="213"/>
      <c r="BH35" s="213"/>
    </row>
    <row r="36" spans="1:60" s="168" customFormat="1">
      <c r="A36" s="143"/>
      <c r="B36" s="182" t="s">
        <v>66</v>
      </c>
      <c r="C36" s="277"/>
      <c r="D36" s="314">
        <v>85</v>
      </c>
      <c r="E36" s="314">
        <v>73</v>
      </c>
      <c r="F36" s="314">
        <v>62</v>
      </c>
      <c r="G36" s="314">
        <v>84</v>
      </c>
      <c r="H36" s="314"/>
      <c r="I36" s="314"/>
      <c r="J36" s="314"/>
      <c r="K36" s="314"/>
      <c r="L36" s="314"/>
      <c r="M36" s="314"/>
      <c r="N36" s="314"/>
      <c r="O36" s="314"/>
      <c r="P36" s="314"/>
      <c r="Q36" s="314"/>
      <c r="R36" s="314"/>
      <c r="S36" s="314"/>
      <c r="T36" s="314"/>
      <c r="U36" s="314"/>
      <c r="V36" s="314"/>
      <c r="W36" s="314"/>
      <c r="AO36" s="213"/>
      <c r="AP36" s="213"/>
      <c r="AQ36" s="213"/>
      <c r="AR36" s="213"/>
      <c r="AS36" s="213"/>
      <c r="AT36" s="213"/>
      <c r="AU36" s="213"/>
      <c r="AV36" s="213"/>
      <c r="AW36" s="213"/>
      <c r="AY36" s="213"/>
      <c r="AZ36" s="213"/>
      <c r="BA36" s="213"/>
      <c r="BB36" s="213"/>
      <c r="BC36" s="213"/>
      <c r="BD36" s="213"/>
      <c r="BE36" s="213"/>
      <c r="BF36" s="213"/>
      <c r="BG36" s="213"/>
      <c r="BH36" s="213"/>
    </row>
    <row r="37" spans="1:60" s="168" customFormat="1">
      <c r="A37" s="143"/>
      <c r="B37" s="182" t="s">
        <v>158</v>
      </c>
      <c r="C37" s="278" t="s">
        <v>443</v>
      </c>
      <c r="D37" s="315">
        <v>82</v>
      </c>
      <c r="E37" s="315">
        <v>74</v>
      </c>
      <c r="F37" s="315">
        <v>66</v>
      </c>
      <c r="G37" s="315">
        <v>77</v>
      </c>
      <c r="H37" s="315"/>
      <c r="I37" s="315"/>
      <c r="J37" s="315"/>
      <c r="K37" s="315"/>
      <c r="L37" s="315"/>
      <c r="M37" s="315"/>
      <c r="N37" s="315"/>
      <c r="O37" s="315"/>
      <c r="P37" s="315"/>
      <c r="Q37" s="315"/>
      <c r="R37" s="315"/>
      <c r="S37" s="315"/>
      <c r="T37" s="315"/>
      <c r="U37" s="315"/>
      <c r="V37" s="315"/>
      <c r="W37" s="315"/>
      <c r="AO37" s="213"/>
      <c r="AP37" s="213"/>
      <c r="AQ37" s="213"/>
      <c r="AR37" s="213"/>
      <c r="AS37" s="213"/>
      <c r="AT37" s="213"/>
      <c r="AU37" s="213"/>
      <c r="AV37" s="213"/>
      <c r="AW37" s="213"/>
      <c r="AY37" s="213"/>
      <c r="AZ37" s="213"/>
      <c r="BA37" s="213"/>
      <c r="BB37" s="213"/>
      <c r="BC37" s="213"/>
      <c r="BD37" s="213"/>
      <c r="BE37" s="213"/>
      <c r="BF37" s="213"/>
      <c r="BG37" s="213"/>
      <c r="BH37" s="213"/>
    </row>
    <row r="38" spans="1:60" s="168" customFormat="1">
      <c r="A38" s="143"/>
      <c r="B38" s="182" t="s">
        <v>191</v>
      </c>
      <c r="C38" s="278">
        <v>69</v>
      </c>
      <c r="D38" s="315">
        <v>69</v>
      </c>
      <c r="E38" s="315">
        <v>69</v>
      </c>
      <c r="F38" s="315">
        <v>69</v>
      </c>
      <c r="G38" s="315">
        <v>69</v>
      </c>
      <c r="H38" s="315"/>
      <c r="I38" s="315"/>
      <c r="J38" s="315"/>
      <c r="K38" s="315"/>
      <c r="L38" s="315"/>
      <c r="M38" s="315"/>
      <c r="N38" s="315"/>
      <c r="O38" s="315"/>
      <c r="P38" s="315"/>
      <c r="Q38" s="315"/>
      <c r="R38" s="315"/>
      <c r="S38" s="315"/>
      <c r="T38" s="315"/>
      <c r="U38" s="315"/>
      <c r="V38" s="315"/>
      <c r="W38" s="315"/>
      <c r="AO38" s="214"/>
      <c r="AP38" s="214"/>
      <c r="AQ38" s="214"/>
      <c r="AR38" s="214"/>
      <c r="AS38" s="214"/>
      <c r="AT38" s="213"/>
      <c r="AU38" s="213"/>
      <c r="AV38" s="213"/>
      <c r="AW38" s="213"/>
      <c r="AY38" s="213"/>
      <c r="AZ38" s="213"/>
      <c r="BA38" s="213"/>
      <c r="BB38" s="213"/>
      <c r="BC38" s="213"/>
      <c r="BD38" s="213"/>
      <c r="BE38" s="213"/>
      <c r="BF38" s="213"/>
      <c r="BG38" s="213"/>
      <c r="BH38" s="213"/>
    </row>
    <row r="39" spans="1:60" s="168" customFormat="1" ht="15" thickBot="1">
      <c r="A39" s="143"/>
      <c r="B39" s="182" t="s">
        <v>442</v>
      </c>
      <c r="C39" s="126">
        <v>5</v>
      </c>
      <c r="D39" s="315">
        <v>34</v>
      </c>
      <c r="E39" s="315">
        <v>79</v>
      </c>
      <c r="F39" s="315">
        <v>409</v>
      </c>
      <c r="G39" s="315">
        <v>19</v>
      </c>
      <c r="H39" s="315"/>
      <c r="I39" s="315"/>
      <c r="J39" s="315"/>
      <c r="K39" s="315"/>
      <c r="L39" s="315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AO39" s="213"/>
      <c r="AP39" s="213"/>
      <c r="AQ39" s="213"/>
      <c r="AR39" s="213"/>
      <c r="AS39" s="213"/>
      <c r="AT39" s="213"/>
      <c r="AU39" s="213"/>
      <c r="AV39" s="213"/>
      <c r="AW39" s="213"/>
      <c r="AY39" s="213"/>
      <c r="AZ39" s="213"/>
      <c r="BA39" s="213"/>
      <c r="BB39" s="213"/>
      <c r="BC39" s="213"/>
      <c r="BD39" s="213"/>
      <c r="BE39" s="213"/>
      <c r="BF39" s="213"/>
      <c r="BG39" s="213"/>
      <c r="BH39" s="213"/>
    </row>
    <row r="40" spans="1:60" s="168" customFormat="1">
      <c r="A40" s="164"/>
      <c r="B40" s="338" t="s">
        <v>166</v>
      </c>
      <c r="C40" s="316">
        <f>IF(OR(C43="**",C43=""),"",VALUE(C43))</f>
        <v>99</v>
      </c>
      <c r="D40" s="316">
        <f t="shared" ref="D40:J40" si="1">IF(OR(D43="**",D43=""),"",VALUE(D43))</f>
        <v>83</v>
      </c>
      <c r="E40" s="316">
        <f t="shared" si="1"/>
        <v>78</v>
      </c>
      <c r="F40" s="316">
        <f t="shared" si="1"/>
        <v>70</v>
      </c>
      <c r="G40" s="316" t="str">
        <f t="shared" si="1"/>
        <v/>
      </c>
      <c r="H40" s="316" t="str">
        <f t="shared" si="1"/>
        <v/>
      </c>
      <c r="I40" s="316" t="str">
        <f t="shared" si="1"/>
        <v/>
      </c>
      <c r="J40" s="316" t="str">
        <f t="shared" si="1"/>
        <v/>
      </c>
      <c r="K40" s="316"/>
      <c r="L40" s="316"/>
      <c r="M40" s="126"/>
      <c r="N40" s="126"/>
      <c r="O40" s="126"/>
      <c r="P40" s="126"/>
      <c r="Q40" s="126"/>
      <c r="R40" s="126"/>
      <c r="S40" s="126"/>
      <c r="T40" s="126"/>
      <c r="U40" s="126"/>
      <c r="V40" s="126"/>
      <c r="W40" s="126"/>
      <c r="AO40" s="213"/>
      <c r="AP40" s="213"/>
      <c r="AQ40" s="213"/>
      <c r="AR40" s="213"/>
      <c r="AS40" s="213"/>
      <c r="AT40" s="213"/>
      <c r="AU40" s="213"/>
      <c r="AV40" s="213"/>
      <c r="AW40" s="213"/>
      <c r="AY40" s="213"/>
      <c r="AZ40" s="213"/>
      <c r="BA40" s="213"/>
      <c r="BB40" s="213"/>
      <c r="BC40" s="213"/>
      <c r="BD40" s="213"/>
      <c r="BE40" s="213"/>
      <c r="BF40" s="213"/>
      <c r="BG40" s="213"/>
      <c r="BH40" s="213"/>
    </row>
    <row r="41" spans="1:60" s="168" customFormat="1" ht="15" thickBot="1">
      <c r="A41" s="164"/>
      <c r="B41" s="339" t="s">
        <v>165</v>
      </c>
      <c r="C41" s="317" t="str">
        <f t="shared" ref="C41:J41" si="2">IF(OR(C37="**",C37=""),"",VALUE(C37))</f>
        <v/>
      </c>
      <c r="D41" s="317">
        <f t="shared" si="2"/>
        <v>82</v>
      </c>
      <c r="E41" s="317">
        <f t="shared" si="2"/>
        <v>74</v>
      </c>
      <c r="F41" s="317">
        <f t="shared" si="2"/>
        <v>66</v>
      </c>
      <c r="G41" s="317">
        <f t="shared" si="2"/>
        <v>77</v>
      </c>
      <c r="H41" s="317" t="str">
        <f t="shared" si="2"/>
        <v/>
      </c>
      <c r="I41" s="317" t="str">
        <f t="shared" si="2"/>
        <v/>
      </c>
      <c r="J41" s="317" t="str">
        <f t="shared" si="2"/>
        <v/>
      </c>
      <c r="K41" s="317"/>
      <c r="L41" s="317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AO41" s="169"/>
      <c r="AP41" s="169"/>
      <c r="AQ41" s="169"/>
      <c r="AR41" s="169"/>
      <c r="AS41" s="169"/>
      <c r="AT41" s="169"/>
      <c r="AU41" s="169"/>
      <c r="AV41" s="169"/>
      <c r="AW41" s="213"/>
      <c r="AX41" s="213"/>
      <c r="AY41" s="213"/>
      <c r="AZ41" s="213"/>
      <c r="BA41" s="213"/>
      <c r="BB41" s="213"/>
      <c r="BC41" s="213"/>
      <c r="BD41" s="213"/>
      <c r="BE41" s="213"/>
      <c r="BF41" s="213"/>
      <c r="BG41" s="213"/>
      <c r="BH41" s="213"/>
    </row>
    <row r="42" spans="1:60" s="168" customFormat="1">
      <c r="A42" s="143"/>
      <c r="B42" s="340" t="s">
        <v>483</v>
      </c>
      <c r="C42" s="167" t="s">
        <v>748</v>
      </c>
      <c r="D42" s="167" t="s">
        <v>749</v>
      </c>
      <c r="E42" s="167" t="s">
        <v>750</v>
      </c>
      <c r="F42" s="167" t="s">
        <v>751</v>
      </c>
      <c r="G42" s="167" t="s">
        <v>752</v>
      </c>
      <c r="H42" s="166"/>
      <c r="I42" s="166"/>
      <c r="J42" s="166"/>
      <c r="K42" s="166"/>
      <c r="L42" s="166"/>
      <c r="M42" s="170"/>
      <c r="N42" s="170"/>
      <c r="O42" s="170"/>
      <c r="P42" s="170"/>
      <c r="Q42" s="170"/>
      <c r="R42" s="170"/>
      <c r="S42" s="170"/>
      <c r="T42" s="170"/>
      <c r="U42" s="170"/>
      <c r="V42" s="170"/>
      <c r="W42" s="170"/>
      <c r="AO42" s="213"/>
      <c r="AP42" s="213"/>
      <c r="AQ42" s="213"/>
      <c r="AR42" s="213"/>
      <c r="AS42" s="213"/>
      <c r="AT42" s="213"/>
      <c r="AU42" s="213"/>
      <c r="AV42" s="213"/>
      <c r="AW42" s="213"/>
      <c r="AX42" s="213"/>
      <c r="AY42" s="213"/>
      <c r="AZ42" s="213"/>
      <c r="BA42" s="213"/>
      <c r="BB42" s="213"/>
      <c r="BC42" s="213"/>
      <c r="BD42" s="213"/>
      <c r="BE42" s="213"/>
      <c r="BF42" s="213"/>
      <c r="BG42" s="213"/>
      <c r="BH42" s="213"/>
    </row>
    <row r="43" spans="1:60" s="168" customFormat="1">
      <c r="A43" s="143"/>
      <c r="B43" s="182" t="s">
        <v>158</v>
      </c>
      <c r="C43" s="165">
        <v>99</v>
      </c>
      <c r="D43" s="165">
        <v>83</v>
      </c>
      <c r="E43" s="165">
        <v>78</v>
      </c>
      <c r="F43" s="165">
        <v>70</v>
      </c>
      <c r="G43" s="165" t="s">
        <v>443</v>
      </c>
      <c r="H43" s="166"/>
      <c r="I43" s="166"/>
      <c r="J43" s="166"/>
      <c r="K43" s="166"/>
      <c r="L43" s="166"/>
      <c r="M43" s="170"/>
      <c r="N43" s="170"/>
      <c r="O43" s="170"/>
      <c r="P43" s="170"/>
      <c r="Q43" s="170"/>
      <c r="R43" s="170"/>
      <c r="S43" s="170"/>
      <c r="T43" s="170"/>
      <c r="U43" s="170"/>
      <c r="V43" s="170"/>
      <c r="W43" s="170"/>
      <c r="AO43" s="213"/>
      <c r="AP43" s="213"/>
      <c r="AQ43" s="213"/>
      <c r="AR43" s="213"/>
      <c r="AS43" s="213"/>
      <c r="AT43" s="213"/>
      <c r="AU43" s="213"/>
      <c r="AV43" s="213"/>
      <c r="AW43" s="213"/>
      <c r="AX43" s="213"/>
      <c r="AY43" s="213"/>
      <c r="AZ43" s="213"/>
      <c r="BA43" s="213"/>
      <c r="BB43" s="213"/>
      <c r="BC43" s="213"/>
      <c r="BD43" s="213"/>
      <c r="BE43" s="213"/>
      <c r="BF43" s="213"/>
      <c r="BG43" s="213"/>
      <c r="BH43" s="213"/>
    </row>
    <row r="44" spans="1:60" s="168" customFormat="1">
      <c r="A44" s="143"/>
      <c r="B44" s="340" t="s">
        <v>442</v>
      </c>
      <c r="C44" s="165">
        <v>6</v>
      </c>
      <c r="D44" s="165">
        <v>36</v>
      </c>
      <c r="E44" s="165">
        <v>96</v>
      </c>
      <c r="F44" s="165">
        <v>458</v>
      </c>
      <c r="G44" s="165">
        <v>4</v>
      </c>
      <c r="H44" s="165"/>
      <c r="I44" s="165"/>
      <c r="J44" s="165"/>
      <c r="K44" s="165"/>
      <c r="L44" s="165"/>
      <c r="M44" s="170"/>
      <c r="N44" s="170"/>
      <c r="O44" s="170"/>
      <c r="P44" s="170"/>
      <c r="Q44" s="170"/>
      <c r="R44" s="170"/>
      <c r="S44" s="170"/>
      <c r="T44" s="170"/>
      <c r="U44" s="170"/>
      <c r="V44" s="170"/>
      <c r="W44" s="170"/>
      <c r="AO44" s="213"/>
      <c r="AP44" s="213"/>
      <c r="AQ44" s="213"/>
      <c r="AR44" s="213"/>
      <c r="AS44" s="213"/>
      <c r="AT44" s="213"/>
      <c r="AU44" s="213"/>
      <c r="AV44" s="213"/>
      <c r="AW44" s="213"/>
      <c r="AX44" s="213"/>
      <c r="AY44" s="213"/>
      <c r="AZ44" s="213"/>
      <c r="BA44" s="213"/>
      <c r="BB44" s="213"/>
      <c r="BC44" s="213"/>
      <c r="BD44" s="213"/>
      <c r="BE44" s="213"/>
      <c r="BF44" s="213"/>
      <c r="BG44" s="213"/>
      <c r="BH44" s="213"/>
    </row>
    <row r="45" spans="1:60" s="168" customFormat="1">
      <c r="A45" s="143"/>
      <c r="B45" s="172"/>
      <c r="C45" s="165"/>
      <c r="D45" s="165"/>
      <c r="E45" s="165"/>
      <c r="F45" s="165"/>
      <c r="G45" s="165"/>
      <c r="H45" s="166"/>
      <c r="I45" s="166"/>
      <c r="J45" s="166"/>
      <c r="K45" s="166"/>
      <c r="L45" s="166"/>
      <c r="M45" s="170"/>
      <c r="N45" s="170"/>
      <c r="O45" s="170"/>
      <c r="P45" s="170"/>
      <c r="Q45" s="170"/>
      <c r="R45" s="170"/>
      <c r="S45" s="170"/>
      <c r="T45" s="170"/>
      <c r="U45" s="170"/>
      <c r="V45" s="170"/>
      <c r="W45" s="170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</row>
    <row r="46" spans="1:60" s="168" customFormat="1">
      <c r="A46" s="143"/>
      <c r="B46" s="172"/>
      <c r="C46" s="165"/>
      <c r="D46" s="165"/>
      <c r="E46" s="165"/>
      <c r="F46" s="165"/>
      <c r="G46" s="165"/>
      <c r="H46" s="166"/>
      <c r="I46" s="166"/>
      <c r="J46" s="166"/>
      <c r="K46" s="166"/>
      <c r="L46" s="166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13"/>
      <c r="BF46" s="213"/>
      <c r="BG46" s="213"/>
      <c r="BH46" s="213"/>
    </row>
    <row r="47" spans="1:60" s="168" customFormat="1">
      <c r="A47" s="143"/>
      <c r="B47" s="172"/>
      <c r="C47" s="165"/>
      <c r="D47" s="165"/>
      <c r="E47" s="165"/>
      <c r="F47" s="165"/>
      <c r="G47" s="165"/>
      <c r="H47" s="166"/>
      <c r="I47" s="166"/>
      <c r="J47" s="166"/>
      <c r="K47" s="166"/>
      <c r="L47" s="166"/>
      <c r="M47" s="170"/>
      <c r="N47" s="170"/>
      <c r="O47" s="170"/>
      <c r="P47" s="170"/>
      <c r="Q47" s="170"/>
      <c r="R47" s="170"/>
      <c r="S47" s="170"/>
      <c r="T47" s="170"/>
      <c r="U47" s="170"/>
      <c r="V47" s="170"/>
      <c r="W47" s="170"/>
      <c r="AO47" s="213"/>
      <c r="AP47" s="213"/>
      <c r="AQ47" s="213"/>
      <c r="AR47" s="213"/>
      <c r="AS47" s="213"/>
      <c r="AT47" s="213"/>
      <c r="AU47" s="213"/>
      <c r="AV47" s="213"/>
      <c r="AW47" s="213"/>
      <c r="AX47" s="213"/>
      <c r="AY47" s="213"/>
      <c r="AZ47" s="213"/>
      <c r="BA47" s="213"/>
      <c r="BB47" s="213"/>
      <c r="BC47" s="213"/>
      <c r="BD47" s="213"/>
      <c r="BE47" s="213"/>
      <c r="BF47" s="213"/>
      <c r="BG47" s="213"/>
      <c r="BH47" s="213"/>
    </row>
    <row r="48" spans="1:60" s="168" customFormat="1" ht="14.25" customHeight="1">
      <c r="A48" s="143"/>
      <c r="B48" s="172"/>
      <c r="C48" s="165"/>
      <c r="D48" s="165"/>
      <c r="E48" s="165"/>
      <c r="F48" s="165"/>
      <c r="G48" s="165"/>
      <c r="H48" s="166"/>
      <c r="I48" s="166"/>
      <c r="J48" s="166"/>
      <c r="K48" s="166"/>
      <c r="L48" s="166"/>
      <c r="M48" s="170"/>
      <c r="N48" s="170"/>
      <c r="O48" s="170"/>
      <c r="P48" s="170"/>
      <c r="Q48" s="170"/>
      <c r="R48" s="170"/>
      <c r="S48" s="170"/>
      <c r="T48" s="170"/>
      <c r="U48" s="170"/>
      <c r="V48" s="170"/>
      <c r="W48" s="170"/>
      <c r="AO48" s="213"/>
      <c r="AP48" s="213"/>
      <c r="AQ48" s="213"/>
      <c r="AR48" s="213"/>
      <c r="AS48" s="213"/>
      <c r="AT48" s="213"/>
      <c r="AU48" s="213"/>
      <c r="AV48" s="213"/>
      <c r="AW48" s="213"/>
      <c r="AX48" s="213"/>
      <c r="AY48" s="213"/>
      <c r="AZ48" s="213"/>
      <c r="BA48" s="213"/>
      <c r="BB48" s="213"/>
      <c r="BC48" s="213"/>
      <c r="BD48" s="213"/>
      <c r="BE48" s="213"/>
      <c r="BF48" s="213"/>
      <c r="BG48" s="213"/>
      <c r="BH48" s="213"/>
    </row>
    <row r="49" spans="1:61" s="168" customFormat="1" ht="14.25" customHeight="1">
      <c r="A49" s="164" t="s">
        <v>183</v>
      </c>
      <c r="B49" s="172"/>
      <c r="C49" s="165"/>
      <c r="D49" s="165"/>
      <c r="E49" s="165"/>
      <c r="F49" s="165"/>
      <c r="G49" s="165"/>
      <c r="H49" s="166"/>
      <c r="I49" s="166"/>
      <c r="J49" s="166"/>
      <c r="K49" s="166"/>
      <c r="L49" s="166"/>
      <c r="M49" s="170"/>
      <c r="N49" s="170"/>
      <c r="O49" s="170"/>
      <c r="P49" s="170"/>
      <c r="Q49" s="170"/>
      <c r="R49" s="170"/>
      <c r="S49" s="170"/>
      <c r="T49" s="170"/>
      <c r="U49" s="170"/>
      <c r="V49" s="170"/>
      <c r="W49" s="170"/>
      <c r="AO49" s="213"/>
      <c r="AP49" s="213"/>
      <c r="AQ49" s="213"/>
      <c r="AR49" s="213"/>
      <c r="AS49" s="213"/>
      <c r="AT49" s="213"/>
      <c r="AU49" s="213"/>
      <c r="AV49" s="213"/>
      <c r="AW49" s="213"/>
      <c r="AX49" s="213"/>
      <c r="AY49" s="213"/>
      <c r="AZ49" s="213"/>
      <c r="BA49" s="213"/>
      <c r="BB49" s="213"/>
      <c r="BC49" s="213"/>
      <c r="BD49" s="213"/>
      <c r="BE49" s="213"/>
      <c r="BF49" s="213"/>
      <c r="BG49" s="213"/>
      <c r="BH49" s="213"/>
      <c r="BI49" s="213"/>
    </row>
    <row r="50" spans="1:61" s="168" customFormat="1" ht="14.25" customHeight="1">
      <c r="A50" s="164">
        <v>2</v>
      </c>
      <c r="B50" s="172"/>
      <c r="C50" s="165"/>
      <c r="D50" s="165"/>
      <c r="E50" s="165"/>
      <c r="F50" s="165"/>
      <c r="G50" s="165"/>
      <c r="H50" s="166"/>
      <c r="I50" s="166"/>
      <c r="J50" s="166"/>
      <c r="K50" s="166"/>
      <c r="L50" s="166"/>
      <c r="M50" s="170"/>
      <c r="N50" s="170"/>
      <c r="O50" s="170"/>
      <c r="P50" s="170"/>
      <c r="Q50" s="170"/>
      <c r="R50" s="170"/>
      <c r="S50" s="170"/>
      <c r="T50" s="170"/>
      <c r="U50" s="170"/>
      <c r="V50" s="170"/>
      <c r="W50" s="170"/>
      <c r="AO50" s="213"/>
      <c r="AP50" s="213"/>
      <c r="AQ50" s="213"/>
      <c r="AR50" s="213"/>
      <c r="AS50" s="213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</row>
    <row r="51" spans="1:61" s="168" customFormat="1" ht="14.25" customHeight="1">
      <c r="A51" s="164"/>
      <c r="B51" s="172"/>
      <c r="C51" s="165"/>
      <c r="D51" s="165"/>
      <c r="E51" s="165"/>
      <c r="F51" s="165"/>
      <c r="G51" s="165"/>
      <c r="H51" s="166"/>
      <c r="I51" s="166"/>
      <c r="J51" s="166"/>
      <c r="K51" s="166"/>
      <c r="L51" s="166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AO51" s="213"/>
      <c r="AP51" s="213"/>
      <c r="AQ51" s="213"/>
      <c r="AR51" s="213"/>
      <c r="AS51" s="213"/>
      <c r="AT51" s="213"/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/>
      <c r="BG51" s="213"/>
      <c r="BH51" s="213"/>
      <c r="BI51" s="213"/>
    </row>
    <row r="52" spans="1:61" s="168" customFormat="1" ht="14.25" customHeight="1">
      <c r="A52" s="164"/>
      <c r="B52" s="172"/>
      <c r="C52" s="165"/>
      <c r="D52" s="165"/>
      <c r="E52" s="165"/>
      <c r="F52" s="165"/>
      <c r="G52" s="165"/>
      <c r="H52" s="166"/>
      <c r="I52" s="166"/>
      <c r="J52" s="166"/>
      <c r="K52" s="166"/>
      <c r="L52" s="166"/>
      <c r="M52" s="170"/>
      <c r="N52" s="170"/>
      <c r="O52" s="170"/>
      <c r="P52" s="170"/>
      <c r="Q52" s="170"/>
      <c r="R52" s="170"/>
      <c r="S52" s="170"/>
      <c r="T52" s="170"/>
      <c r="U52" s="170"/>
      <c r="V52" s="170"/>
      <c r="W52" s="170"/>
      <c r="AO52" s="213"/>
      <c r="AP52" s="213"/>
      <c r="AQ52" s="213"/>
      <c r="AR52" s="213"/>
      <c r="AS52" s="213"/>
      <c r="AT52" s="213"/>
      <c r="AU52" s="213"/>
      <c r="AV52" s="213"/>
      <c r="AW52" s="213"/>
      <c r="AX52" s="213"/>
      <c r="AY52" s="213"/>
      <c r="AZ52" s="213"/>
      <c r="BA52" s="213"/>
      <c r="BB52" s="213"/>
      <c r="BC52" s="213"/>
      <c r="BD52" s="213"/>
      <c r="BE52" s="213"/>
      <c r="BF52" s="213"/>
      <c r="BG52" s="213"/>
      <c r="BH52" s="213"/>
      <c r="BI52" s="213"/>
    </row>
    <row r="53" spans="1:61" s="168" customFormat="1" ht="14.25" customHeight="1">
      <c r="A53" s="164"/>
      <c r="B53" s="172"/>
      <c r="C53" s="165"/>
      <c r="D53" s="165"/>
      <c r="E53" s="165"/>
      <c r="F53" s="165"/>
      <c r="G53" s="165"/>
      <c r="H53" s="166"/>
      <c r="I53" s="166"/>
      <c r="J53" s="166"/>
      <c r="K53" s="166"/>
      <c r="L53" s="166"/>
      <c r="M53" s="170"/>
      <c r="N53" s="170"/>
      <c r="O53" s="170"/>
      <c r="P53" s="170"/>
      <c r="Q53" s="170"/>
      <c r="R53" s="170"/>
      <c r="S53" s="170"/>
      <c r="T53" s="170"/>
      <c r="U53" s="170"/>
      <c r="V53" s="170"/>
      <c r="W53" s="170"/>
      <c r="AO53" s="213"/>
      <c r="AP53" s="213"/>
      <c r="AQ53" s="213"/>
      <c r="AR53" s="213"/>
      <c r="AS53" s="213"/>
      <c r="AT53" s="213"/>
      <c r="AU53" s="213"/>
      <c r="AV53" s="213"/>
      <c r="AW53" s="213"/>
      <c r="AX53" s="213"/>
      <c r="AY53" s="213"/>
      <c r="AZ53" s="213"/>
      <c r="BA53" s="213"/>
      <c r="BB53" s="213"/>
      <c r="BC53" s="213"/>
      <c r="BD53" s="213"/>
      <c r="BE53" s="213"/>
      <c r="BF53" s="213"/>
      <c r="BG53" s="213"/>
      <c r="BH53" s="213"/>
      <c r="BI53" s="213"/>
    </row>
    <row r="54" spans="1:61" s="168" customFormat="1" ht="14.25" customHeight="1">
      <c r="A54" s="164"/>
      <c r="B54" s="172"/>
      <c r="C54" s="165"/>
      <c r="D54" s="165"/>
      <c r="E54" s="165"/>
      <c r="F54" s="165"/>
      <c r="G54" s="165"/>
      <c r="H54" s="166"/>
      <c r="I54" s="166"/>
      <c r="J54" s="166"/>
      <c r="K54" s="166"/>
      <c r="L54" s="166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170"/>
      <c r="AO54" s="213"/>
      <c r="AP54" s="213"/>
      <c r="AQ54" s="213"/>
      <c r="AR54" s="213"/>
      <c r="AS54" s="213"/>
      <c r="AT54" s="213"/>
      <c r="AU54" s="213"/>
      <c r="AV54" s="213"/>
      <c r="AW54" s="213"/>
      <c r="AX54" s="213"/>
      <c r="AY54" s="213"/>
      <c r="AZ54" s="213"/>
      <c r="BA54" s="213"/>
      <c r="BB54" s="213"/>
      <c r="BC54" s="213"/>
      <c r="BD54" s="213"/>
      <c r="BE54" s="213"/>
      <c r="BF54" s="213"/>
      <c r="BG54" s="213"/>
      <c r="BH54" s="213"/>
      <c r="BI54" s="213"/>
    </row>
    <row r="55" spans="1:61" s="168" customFormat="1" ht="14.25" customHeight="1">
      <c r="A55" s="164"/>
      <c r="B55" s="172"/>
      <c r="C55" s="165"/>
      <c r="D55" s="165"/>
      <c r="E55" s="165"/>
      <c r="F55" s="165"/>
      <c r="G55" s="165"/>
      <c r="H55" s="166"/>
      <c r="I55" s="166"/>
      <c r="J55" s="166"/>
      <c r="K55" s="166"/>
      <c r="L55" s="166"/>
      <c r="M55" s="170"/>
      <c r="N55" s="170"/>
      <c r="O55" s="170"/>
      <c r="P55" s="170"/>
      <c r="Q55" s="170"/>
      <c r="R55" s="170"/>
      <c r="S55" s="170"/>
      <c r="T55" s="170"/>
      <c r="U55" s="170"/>
      <c r="V55" s="170"/>
      <c r="W55" s="170"/>
      <c r="AO55" s="213"/>
      <c r="AP55" s="213"/>
      <c r="AQ55" s="213"/>
      <c r="AR55" s="213"/>
      <c r="AS55" s="213"/>
      <c r="AT55" s="213"/>
      <c r="AU55" s="213"/>
      <c r="AV55" s="213"/>
      <c r="AW55" s="213"/>
      <c r="AX55" s="213"/>
      <c r="AY55" s="213"/>
      <c r="AZ55" s="213"/>
      <c r="BA55" s="213"/>
      <c r="BB55" s="213"/>
      <c r="BC55" s="213"/>
      <c r="BD55" s="213"/>
      <c r="BE55" s="213"/>
      <c r="BF55" s="213"/>
      <c r="BG55" s="213"/>
      <c r="BH55" s="213"/>
      <c r="BI55" s="213"/>
    </row>
    <row r="56" spans="1:61" s="168" customFormat="1" ht="14.25" customHeight="1">
      <c r="A56" s="164"/>
      <c r="B56" s="172"/>
      <c r="C56" s="165"/>
      <c r="D56" s="165"/>
      <c r="E56" s="165"/>
      <c r="F56" s="165"/>
      <c r="G56" s="165"/>
      <c r="H56" s="166"/>
      <c r="I56" s="166"/>
      <c r="J56" s="166"/>
      <c r="K56" s="166"/>
      <c r="L56" s="166"/>
      <c r="M56" s="170"/>
      <c r="N56" s="170"/>
      <c r="O56" s="170"/>
      <c r="P56" s="170"/>
      <c r="Q56" s="170"/>
      <c r="R56" s="170"/>
      <c r="S56" s="170"/>
      <c r="T56" s="170"/>
      <c r="U56" s="170"/>
      <c r="V56" s="170"/>
      <c r="W56" s="170"/>
      <c r="AO56" s="213"/>
      <c r="AP56" s="213"/>
      <c r="AQ56" s="213"/>
      <c r="AR56" s="213"/>
      <c r="AS56" s="213"/>
      <c r="AT56" s="213"/>
      <c r="AU56" s="213"/>
      <c r="AV56" s="213"/>
      <c r="AW56" s="213"/>
      <c r="AX56" s="213"/>
      <c r="AY56" s="213"/>
      <c r="AZ56" s="213"/>
      <c r="BA56" s="213"/>
      <c r="BB56" s="213"/>
      <c r="BC56" s="213"/>
      <c r="BD56" s="213"/>
      <c r="BE56" s="213"/>
      <c r="BF56" s="213"/>
      <c r="BG56" s="213"/>
      <c r="BH56" s="213"/>
      <c r="BI56" s="213"/>
    </row>
    <row r="57" spans="1:61" s="168" customFormat="1" ht="14.25" customHeight="1">
      <c r="A57" s="164"/>
      <c r="B57" s="172"/>
      <c r="C57" s="165"/>
      <c r="D57" s="165"/>
      <c r="E57" s="165"/>
      <c r="F57" s="165"/>
      <c r="G57" s="165"/>
      <c r="H57" s="166"/>
      <c r="I57" s="166"/>
      <c r="J57" s="166"/>
      <c r="K57" s="166"/>
      <c r="L57" s="166"/>
      <c r="M57" s="170"/>
      <c r="N57" s="170"/>
      <c r="O57" s="170"/>
      <c r="P57" s="170"/>
      <c r="Q57" s="170"/>
      <c r="R57" s="170"/>
      <c r="S57" s="170"/>
      <c r="T57" s="170"/>
      <c r="U57" s="170"/>
      <c r="V57" s="170"/>
      <c r="W57" s="170"/>
      <c r="AO57" s="213"/>
      <c r="AP57" s="213"/>
      <c r="AQ57" s="213"/>
      <c r="AR57" s="213"/>
      <c r="AS57" s="213"/>
      <c r="AT57" s="213"/>
      <c r="AU57" s="213"/>
      <c r="AV57" s="213"/>
      <c r="AW57" s="213"/>
      <c r="AX57" s="213"/>
      <c r="AY57" s="213"/>
      <c r="AZ57" s="213"/>
      <c r="BA57" s="213"/>
      <c r="BB57" s="213"/>
      <c r="BC57" s="213"/>
      <c r="BD57" s="213"/>
      <c r="BE57" s="213"/>
      <c r="BF57" s="213"/>
      <c r="BG57" s="213"/>
      <c r="BH57" s="213"/>
      <c r="BI57" s="213"/>
    </row>
    <row r="58" spans="1:61" s="168" customFormat="1" ht="14.25" customHeight="1">
      <c r="A58" s="164"/>
      <c r="B58" s="172"/>
      <c r="C58" s="169"/>
      <c r="D58" s="169"/>
      <c r="E58" s="169"/>
      <c r="F58" s="169"/>
      <c r="G58" s="169"/>
      <c r="H58" s="170"/>
      <c r="I58" s="170"/>
      <c r="J58" s="170"/>
      <c r="K58" s="170"/>
      <c r="L58" s="170"/>
      <c r="M58" s="170"/>
      <c r="N58" s="170"/>
      <c r="O58" s="170"/>
      <c r="P58" s="170"/>
      <c r="Q58" s="170"/>
      <c r="R58" s="170"/>
      <c r="S58" s="170"/>
      <c r="T58" s="170"/>
      <c r="U58" s="170"/>
      <c r="V58" s="170"/>
      <c r="W58" s="170"/>
      <c r="AO58" s="213"/>
      <c r="AP58" s="213"/>
      <c r="AQ58" s="213"/>
      <c r="AR58" s="213"/>
      <c r="AS58" s="213"/>
      <c r="AT58" s="213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</row>
    <row r="59" spans="1:61" s="212" customFormat="1" ht="14.25" customHeight="1">
      <c r="A59" s="171">
        <f>A29+1</f>
        <v>2</v>
      </c>
      <c r="B59" s="172"/>
      <c r="C59" s="187" t="str">
        <f>IF($A$1 = 1, (IF("("&amp;C69&amp;")" ="()","","("&amp;C69&amp;")")), (IF("("&amp;C74&amp;")     ("&amp;C69&amp;")"="()     ()","","("&amp;C74&amp;")     ("&amp;C69&amp;")")))</f>
        <v>(380)     (346)</v>
      </c>
      <c r="D59" s="187" t="str">
        <f t="shared" ref="D59:J59" si="3">IF($A$1 = 1, (IF("("&amp;D69&amp;")" ="()","","("&amp;D69&amp;")")), (IF("("&amp;D74&amp;")     ("&amp;D69&amp;")"="()     ()","","("&amp;D74&amp;")     ("&amp;D69&amp;")")))</f>
        <v>(220)     (200)</v>
      </c>
      <c r="E59" s="187" t="str">
        <f t="shared" si="3"/>
        <v/>
      </c>
      <c r="F59" s="187" t="str">
        <f t="shared" si="3"/>
        <v/>
      </c>
      <c r="G59" s="187" t="str">
        <f t="shared" si="3"/>
        <v/>
      </c>
      <c r="H59" s="187" t="str">
        <f t="shared" si="3"/>
        <v/>
      </c>
      <c r="I59" s="187" t="str">
        <f t="shared" si="3"/>
        <v/>
      </c>
      <c r="J59" s="187" t="str">
        <f t="shared" si="3"/>
        <v/>
      </c>
      <c r="K59" s="187"/>
      <c r="L59" s="187"/>
      <c r="M59" s="220"/>
      <c r="N59" s="220"/>
      <c r="O59" s="220"/>
      <c r="P59" s="220"/>
      <c r="Q59" s="220"/>
      <c r="R59" s="220"/>
      <c r="S59" s="220"/>
      <c r="T59" s="220"/>
      <c r="U59" s="220"/>
      <c r="V59" s="220"/>
      <c r="W59" s="220"/>
      <c r="AO59" s="215"/>
      <c r="AP59" s="215"/>
      <c r="AQ59" s="215"/>
      <c r="AR59" s="215"/>
      <c r="AS59" s="215"/>
      <c r="AT59" s="215"/>
      <c r="AU59" s="215"/>
      <c r="AV59" s="215"/>
      <c r="AW59" s="215"/>
      <c r="AX59" s="215"/>
      <c r="AY59" s="215"/>
      <c r="AZ59" s="215"/>
      <c r="BA59" s="215"/>
      <c r="BB59" s="215"/>
      <c r="BC59" s="215"/>
      <c r="BD59" s="215"/>
      <c r="BE59" s="215"/>
      <c r="BF59" s="215"/>
      <c r="BG59" s="215"/>
      <c r="BH59" s="215"/>
      <c r="BI59" s="215"/>
    </row>
    <row r="60" spans="1:61" s="210" customFormat="1" ht="59.1" customHeight="1">
      <c r="A60" s="176"/>
      <c r="B60" s="177"/>
      <c r="C60" s="178" t="s">
        <v>187</v>
      </c>
      <c r="D60" s="178" t="s">
        <v>188</v>
      </c>
      <c r="E60" s="178"/>
      <c r="F60" s="178"/>
      <c r="G60" s="178"/>
      <c r="H60" s="178"/>
      <c r="I60" s="178"/>
      <c r="J60" s="178"/>
      <c r="K60" s="178"/>
      <c r="L60" s="17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  <c r="AO60" s="216"/>
      <c r="AP60" s="216"/>
      <c r="AQ60" s="216"/>
      <c r="AR60" s="216"/>
      <c r="AS60" s="216"/>
      <c r="AT60" s="216"/>
      <c r="AU60" s="216"/>
      <c r="AV60" s="216"/>
      <c r="AW60" s="216"/>
      <c r="AY60" s="216"/>
      <c r="AZ60" s="216"/>
      <c r="BA60" s="216"/>
      <c r="BB60" s="216"/>
      <c r="BC60" s="216"/>
      <c r="BD60" s="216"/>
      <c r="BE60" s="216"/>
      <c r="BF60" s="216"/>
      <c r="BG60" s="216"/>
      <c r="BH60" s="216"/>
      <c r="BI60" s="216"/>
    </row>
    <row r="61" spans="1:61" s="168" customFormat="1" ht="18" customHeight="1" thickBot="1">
      <c r="A61" s="164"/>
      <c r="B61" s="181" t="s">
        <v>3</v>
      </c>
      <c r="C61" s="148">
        <v>69</v>
      </c>
      <c r="D61" s="148">
        <v>70</v>
      </c>
      <c r="E61" s="148"/>
      <c r="F61" s="148"/>
      <c r="G61" s="148"/>
      <c r="H61" s="148"/>
      <c r="I61" s="148"/>
      <c r="J61" s="148"/>
      <c r="K61" s="148"/>
      <c r="L61" s="148"/>
      <c r="M61" s="211"/>
      <c r="N61" s="211"/>
      <c r="O61" s="211"/>
      <c r="P61" s="211"/>
      <c r="Q61" s="211"/>
      <c r="R61" s="211"/>
      <c r="S61" s="211"/>
      <c r="T61" s="211"/>
      <c r="U61" s="211"/>
      <c r="V61" s="211"/>
      <c r="W61" s="211"/>
      <c r="AO61" s="213"/>
      <c r="AP61" s="213"/>
      <c r="AQ61" s="213"/>
      <c r="AR61" s="213"/>
      <c r="AS61" s="213"/>
      <c r="AT61" s="213"/>
      <c r="AU61" s="213"/>
      <c r="AV61" s="213"/>
      <c r="AW61" s="213"/>
      <c r="AY61" s="213"/>
      <c r="AZ61" s="213"/>
      <c r="BA61" s="213"/>
      <c r="BB61" s="213"/>
      <c r="BC61" s="213"/>
      <c r="BD61" s="213"/>
      <c r="BE61" s="213"/>
      <c r="BF61" s="213"/>
      <c r="BG61" s="213"/>
      <c r="BH61" s="213"/>
      <c r="BI61" s="213"/>
    </row>
    <row r="62" spans="1:61" s="168" customFormat="1" ht="18" customHeight="1" thickBot="1">
      <c r="A62" s="164"/>
      <c r="B62" s="182" t="s">
        <v>18</v>
      </c>
      <c r="C62" s="148">
        <v>70</v>
      </c>
      <c r="D62" s="148">
        <v>72</v>
      </c>
      <c r="E62" s="148"/>
      <c r="F62" s="148"/>
      <c r="G62" s="148"/>
      <c r="H62" s="148"/>
      <c r="I62" s="148"/>
      <c r="J62" s="148"/>
      <c r="K62" s="148"/>
      <c r="L62" s="148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AO62" s="213"/>
      <c r="AP62" s="213"/>
      <c r="AQ62" s="213"/>
      <c r="AR62" s="213"/>
      <c r="AS62" s="213"/>
      <c r="AT62" s="213"/>
      <c r="AU62" s="213"/>
      <c r="AV62" s="213"/>
      <c r="AW62" s="213"/>
      <c r="AY62" s="213"/>
      <c r="AZ62" s="213"/>
      <c r="BA62" s="213"/>
      <c r="BB62" s="213"/>
      <c r="BC62" s="213"/>
      <c r="BD62" s="213"/>
      <c r="BE62" s="213"/>
      <c r="BF62" s="213"/>
      <c r="BG62" s="213"/>
      <c r="BH62" s="213"/>
      <c r="BI62" s="213"/>
    </row>
    <row r="63" spans="1:61" s="168" customFormat="1" ht="18" customHeight="1" thickBot="1">
      <c r="A63" s="164"/>
      <c r="B63" s="183" t="s">
        <v>32</v>
      </c>
      <c r="C63" s="147">
        <v>67</v>
      </c>
      <c r="D63" s="147">
        <v>65</v>
      </c>
      <c r="E63" s="147"/>
      <c r="F63" s="147"/>
      <c r="G63" s="147"/>
      <c r="H63" s="147"/>
      <c r="I63" s="147"/>
      <c r="J63" s="147"/>
      <c r="K63" s="147"/>
      <c r="L63" s="147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AO63" s="213"/>
      <c r="AP63" s="213"/>
      <c r="AQ63" s="213"/>
      <c r="AR63" s="213"/>
      <c r="AS63" s="213"/>
      <c r="AT63" s="213"/>
      <c r="AU63" s="213"/>
      <c r="AV63" s="213"/>
      <c r="AW63" s="213"/>
      <c r="AY63" s="213"/>
      <c r="AZ63" s="213"/>
      <c r="BA63" s="213"/>
      <c r="BB63" s="213"/>
      <c r="BC63" s="213"/>
      <c r="BD63" s="213"/>
      <c r="BE63" s="213"/>
      <c r="BF63" s="213"/>
      <c r="BG63" s="213"/>
      <c r="BH63" s="213"/>
    </row>
    <row r="64" spans="1:61" s="168" customFormat="1" ht="18" customHeight="1" thickBot="1">
      <c r="A64" s="164"/>
      <c r="B64" s="182" t="s">
        <v>45</v>
      </c>
      <c r="C64" s="145">
        <v>65</v>
      </c>
      <c r="D64" s="145">
        <v>70</v>
      </c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AO64" s="213"/>
      <c r="AP64" s="213"/>
      <c r="AQ64" s="213"/>
      <c r="AR64" s="213"/>
      <c r="AS64" s="213"/>
      <c r="AT64" s="213"/>
      <c r="AU64" s="213"/>
      <c r="AV64" s="213"/>
      <c r="AW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</row>
    <row r="65" spans="1:60" s="168" customFormat="1" ht="18" customHeight="1" thickBot="1">
      <c r="A65" s="164"/>
      <c r="B65" s="184" t="s">
        <v>54</v>
      </c>
      <c r="C65" s="146">
        <v>68</v>
      </c>
      <c r="D65" s="146">
        <v>72</v>
      </c>
      <c r="E65" s="146"/>
      <c r="F65" s="146"/>
      <c r="G65" s="146"/>
      <c r="H65" s="146"/>
      <c r="I65" s="146"/>
      <c r="J65" s="146"/>
      <c r="K65" s="146"/>
      <c r="L65" s="146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AO65" s="213"/>
      <c r="AP65" s="213"/>
      <c r="AQ65" s="213"/>
      <c r="AR65" s="213"/>
      <c r="AS65" s="213"/>
      <c r="AT65" s="213"/>
      <c r="AU65" s="213"/>
      <c r="AV65" s="213"/>
      <c r="AW65" s="213"/>
      <c r="AY65" s="213"/>
      <c r="AZ65" s="213"/>
      <c r="BA65" s="213"/>
      <c r="BB65" s="213"/>
      <c r="BC65" s="213"/>
      <c r="BD65" s="213"/>
      <c r="BE65" s="213"/>
      <c r="BF65" s="213"/>
      <c r="BG65" s="213"/>
      <c r="BH65" s="213"/>
    </row>
    <row r="66" spans="1:60" s="168" customFormat="1">
      <c r="A66" s="164"/>
      <c r="B66" s="182" t="s">
        <v>66</v>
      </c>
      <c r="C66" s="145">
        <v>65</v>
      </c>
      <c r="D66" s="145">
        <v>68</v>
      </c>
      <c r="E66" s="145"/>
      <c r="F66" s="145"/>
      <c r="G66" s="145"/>
      <c r="H66" s="125"/>
      <c r="I66" s="125"/>
      <c r="J66" s="125"/>
      <c r="K66" s="125"/>
      <c r="L66" s="125"/>
      <c r="M66" s="145"/>
      <c r="N66" s="145"/>
      <c r="O66" s="145"/>
      <c r="P66" s="145"/>
      <c r="Q66" s="145"/>
      <c r="R66" s="145"/>
      <c r="S66" s="145"/>
      <c r="T66" s="145"/>
      <c r="U66" s="145"/>
      <c r="V66" s="145"/>
      <c r="W66" s="145"/>
      <c r="AO66" s="213"/>
      <c r="AP66" s="213"/>
      <c r="AQ66" s="213"/>
      <c r="AR66" s="213"/>
      <c r="AS66" s="213"/>
      <c r="AT66" s="213"/>
      <c r="AU66" s="213"/>
      <c r="AV66" s="213"/>
      <c r="AW66" s="213"/>
      <c r="AY66" s="213"/>
      <c r="AZ66" s="213"/>
      <c r="BA66" s="213"/>
      <c r="BB66" s="213"/>
      <c r="BC66" s="213"/>
      <c r="BD66" s="213"/>
      <c r="BE66" s="213"/>
      <c r="BF66" s="213"/>
      <c r="BG66" s="213"/>
      <c r="BH66" s="213"/>
    </row>
    <row r="67" spans="1:60" s="168" customFormat="1">
      <c r="A67" s="164"/>
      <c r="B67" s="182" t="s">
        <v>158</v>
      </c>
      <c r="C67" s="126">
        <v>68</v>
      </c>
      <c r="D67" s="126">
        <v>70</v>
      </c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AO67" s="213"/>
      <c r="AP67" s="213"/>
      <c r="AQ67" s="213"/>
      <c r="AR67" s="213"/>
      <c r="AS67" s="213"/>
      <c r="AT67" s="213"/>
      <c r="AU67" s="213"/>
      <c r="AV67" s="213"/>
      <c r="AW67" s="213"/>
      <c r="AY67" s="213"/>
      <c r="AZ67" s="213"/>
      <c r="BA67" s="213"/>
      <c r="BB67" s="213"/>
      <c r="BC67" s="213"/>
      <c r="BD67" s="213"/>
      <c r="BE67" s="213"/>
      <c r="BF67" s="213"/>
      <c r="BG67" s="213"/>
      <c r="BH67" s="213"/>
    </row>
    <row r="68" spans="1:60" s="168" customFormat="1">
      <c r="A68" s="164"/>
      <c r="B68" s="182" t="s">
        <v>191</v>
      </c>
      <c r="C68" s="127">
        <v>69</v>
      </c>
      <c r="D68" s="127">
        <v>69</v>
      </c>
      <c r="E68" s="127"/>
      <c r="F68" s="127"/>
      <c r="G68" s="127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AO68" s="214"/>
      <c r="AP68" s="214"/>
      <c r="AQ68" s="214"/>
      <c r="AR68" s="214"/>
      <c r="AS68" s="214"/>
      <c r="AT68" s="213"/>
      <c r="AU68" s="213"/>
      <c r="AV68" s="213"/>
      <c r="AW68" s="213"/>
      <c r="AY68" s="213"/>
      <c r="AZ68" s="213"/>
      <c r="BA68" s="213"/>
      <c r="BB68" s="213"/>
      <c r="BC68" s="213"/>
      <c r="BD68" s="213"/>
      <c r="BE68" s="213"/>
      <c r="BF68" s="213"/>
      <c r="BG68" s="213"/>
      <c r="BH68" s="213"/>
    </row>
    <row r="69" spans="1:60" s="168" customFormat="1" ht="15" thickBot="1">
      <c r="A69" s="164"/>
      <c r="B69" s="182" t="s">
        <v>442</v>
      </c>
      <c r="C69" s="126">
        <v>346</v>
      </c>
      <c r="D69" s="315">
        <v>200</v>
      </c>
      <c r="E69" s="315"/>
      <c r="F69" s="315"/>
      <c r="G69" s="315"/>
      <c r="H69" s="315"/>
      <c r="I69" s="315"/>
      <c r="J69" s="315"/>
      <c r="K69" s="315"/>
      <c r="L69" s="315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AO69" s="213"/>
      <c r="AP69" s="213"/>
      <c r="AQ69" s="213"/>
      <c r="AR69" s="213"/>
      <c r="AS69" s="213"/>
      <c r="AT69" s="213"/>
      <c r="AU69" s="213"/>
      <c r="AV69" s="213"/>
      <c r="AW69" s="213"/>
      <c r="AY69" s="213"/>
      <c r="AZ69" s="213"/>
      <c r="BA69" s="213"/>
      <c r="BB69" s="213"/>
      <c r="BC69" s="213"/>
      <c r="BD69" s="213"/>
      <c r="BE69" s="213"/>
      <c r="BF69" s="213"/>
      <c r="BG69" s="213"/>
      <c r="BH69" s="213"/>
    </row>
    <row r="70" spans="1:60" s="168" customFormat="1">
      <c r="A70" s="164"/>
      <c r="B70" s="338" t="s">
        <v>166</v>
      </c>
      <c r="C70" s="316">
        <f>IF(OR(C73="**",C73=""),"",VALUE(C73))</f>
        <v>72</v>
      </c>
      <c r="D70" s="316">
        <f t="shared" ref="D70:J70" si="4">IF(OR(D73="**",D73=""),"",VALUE(D73))</f>
        <v>74</v>
      </c>
      <c r="E70" s="316" t="str">
        <f t="shared" si="4"/>
        <v/>
      </c>
      <c r="F70" s="316" t="str">
        <f t="shared" si="4"/>
        <v/>
      </c>
      <c r="G70" s="316" t="str">
        <f t="shared" si="4"/>
        <v/>
      </c>
      <c r="H70" s="316" t="str">
        <f t="shared" si="4"/>
        <v/>
      </c>
      <c r="I70" s="316" t="str">
        <f t="shared" si="4"/>
        <v/>
      </c>
      <c r="J70" s="316" t="str">
        <f t="shared" si="4"/>
        <v/>
      </c>
      <c r="K70" s="316"/>
      <c r="L70" s="31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AO70" s="213"/>
      <c r="AP70" s="213"/>
      <c r="AQ70" s="213"/>
      <c r="AR70" s="213"/>
      <c r="AS70" s="213"/>
      <c r="AT70" s="213"/>
      <c r="AU70" s="213"/>
      <c r="AV70" s="213"/>
      <c r="AW70" s="213"/>
      <c r="AY70" s="213"/>
      <c r="AZ70" s="213"/>
      <c r="BA70" s="213"/>
      <c r="BB70" s="213"/>
      <c r="BC70" s="213"/>
      <c r="BD70" s="213"/>
      <c r="BE70" s="213"/>
      <c r="BF70" s="213"/>
      <c r="BG70" s="213"/>
      <c r="BH70" s="213"/>
    </row>
    <row r="71" spans="1:60" s="168" customFormat="1" ht="15" thickBot="1">
      <c r="A71" s="164"/>
      <c r="B71" s="339" t="s">
        <v>165</v>
      </c>
      <c r="C71" s="317">
        <f t="shared" ref="C71:J71" si="5">IF(OR(C67="**",C67=""),"",VALUE(C67))</f>
        <v>68</v>
      </c>
      <c r="D71" s="317">
        <f t="shared" si="5"/>
        <v>70</v>
      </c>
      <c r="E71" s="317" t="str">
        <f t="shared" si="5"/>
        <v/>
      </c>
      <c r="F71" s="317" t="str">
        <f t="shared" si="5"/>
        <v/>
      </c>
      <c r="G71" s="317" t="str">
        <f t="shared" si="5"/>
        <v/>
      </c>
      <c r="H71" s="317" t="str">
        <f t="shared" si="5"/>
        <v/>
      </c>
      <c r="I71" s="317" t="str">
        <f t="shared" si="5"/>
        <v/>
      </c>
      <c r="J71" s="317" t="str">
        <f t="shared" si="5"/>
        <v/>
      </c>
      <c r="K71" s="317"/>
      <c r="L71" s="317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  <c r="AO71" s="169"/>
      <c r="AP71" s="169"/>
      <c r="AQ71" s="169"/>
      <c r="AR71" s="169"/>
      <c r="AS71" s="169"/>
      <c r="AT71" s="169"/>
      <c r="AU71" s="169"/>
      <c r="AV71" s="169"/>
      <c r="AW71" s="213"/>
      <c r="AX71" s="213"/>
      <c r="AY71" s="213"/>
      <c r="AZ71" s="213"/>
      <c r="BA71" s="213"/>
      <c r="BB71" s="213"/>
      <c r="BC71" s="213"/>
      <c r="BD71" s="213"/>
      <c r="BE71" s="213"/>
      <c r="BF71" s="213"/>
      <c r="BG71" s="213"/>
      <c r="BH71" s="213"/>
    </row>
    <row r="72" spans="1:60" s="168" customFormat="1">
      <c r="A72" s="164"/>
      <c r="B72" s="340" t="s">
        <v>483</v>
      </c>
      <c r="C72" s="167" t="s">
        <v>187</v>
      </c>
      <c r="D72" s="167" t="s">
        <v>188</v>
      </c>
      <c r="E72" s="167"/>
      <c r="F72" s="167"/>
      <c r="G72" s="167"/>
      <c r="H72" s="166"/>
      <c r="I72" s="166"/>
      <c r="J72" s="166"/>
      <c r="K72" s="166"/>
      <c r="L72" s="166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AO72" s="213"/>
      <c r="AP72" s="213"/>
      <c r="AQ72" s="213"/>
      <c r="AR72" s="213"/>
      <c r="AS72" s="213"/>
      <c r="AT72" s="213"/>
      <c r="AU72" s="213"/>
      <c r="AV72" s="213"/>
      <c r="AW72" s="213"/>
      <c r="AX72" s="213"/>
      <c r="AY72" s="213"/>
      <c r="AZ72" s="213"/>
      <c r="BA72" s="213"/>
      <c r="BB72" s="213"/>
      <c r="BC72" s="213"/>
      <c r="BD72" s="213"/>
      <c r="BE72" s="213"/>
      <c r="BF72" s="213"/>
      <c r="BG72" s="213"/>
      <c r="BH72" s="213"/>
    </row>
    <row r="73" spans="1:60" s="168" customFormat="1">
      <c r="A73" s="164"/>
      <c r="B73" s="182" t="s">
        <v>158</v>
      </c>
      <c r="C73" s="165">
        <v>72</v>
      </c>
      <c r="D73" s="165">
        <v>74</v>
      </c>
      <c r="E73" s="165"/>
      <c r="F73" s="165"/>
      <c r="G73" s="165"/>
      <c r="H73" s="166"/>
      <c r="I73" s="166"/>
      <c r="J73" s="166"/>
      <c r="K73" s="166"/>
      <c r="L73" s="166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AO73" s="213"/>
      <c r="AP73" s="213"/>
      <c r="AQ73" s="213"/>
      <c r="AR73" s="213"/>
      <c r="AS73" s="213"/>
      <c r="AT73" s="213"/>
      <c r="AU73" s="213"/>
      <c r="AV73" s="213"/>
      <c r="AW73" s="213"/>
      <c r="AX73" s="213"/>
      <c r="AY73" s="213"/>
      <c r="AZ73" s="213"/>
      <c r="BA73" s="213"/>
      <c r="BB73" s="213"/>
      <c r="BC73" s="213"/>
      <c r="BD73" s="213"/>
      <c r="BE73" s="213"/>
      <c r="BF73" s="213"/>
      <c r="BG73" s="213"/>
      <c r="BH73" s="213"/>
    </row>
    <row r="74" spans="1:60" s="168" customFormat="1">
      <c r="A74" s="164"/>
      <c r="B74" s="340" t="s">
        <v>442</v>
      </c>
      <c r="C74" s="165">
        <v>380</v>
      </c>
      <c r="D74" s="165">
        <v>220</v>
      </c>
      <c r="E74" s="165"/>
      <c r="F74" s="165"/>
      <c r="G74" s="165"/>
      <c r="H74" s="165"/>
      <c r="I74" s="165"/>
      <c r="J74" s="165"/>
      <c r="K74" s="165"/>
      <c r="L74" s="165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AO74" s="213"/>
      <c r="AP74" s="213"/>
      <c r="AQ74" s="213"/>
      <c r="AR74" s="213"/>
      <c r="AS74" s="213"/>
      <c r="AT74" s="213"/>
      <c r="AU74" s="213"/>
      <c r="AV74" s="213"/>
      <c r="AW74" s="213"/>
      <c r="AX74" s="213"/>
      <c r="AY74" s="213"/>
      <c r="AZ74" s="213"/>
      <c r="BA74" s="213"/>
      <c r="BB74" s="213"/>
      <c r="BC74" s="213"/>
      <c r="BD74" s="213"/>
      <c r="BE74" s="213"/>
      <c r="BF74" s="213"/>
      <c r="BG74" s="213"/>
      <c r="BH74" s="213"/>
    </row>
    <row r="75" spans="1:60" s="168" customFormat="1">
      <c r="A75" s="164"/>
      <c r="B75" s="172"/>
      <c r="C75" s="165"/>
      <c r="D75" s="165"/>
      <c r="E75" s="165"/>
      <c r="F75" s="165"/>
      <c r="G75" s="165"/>
      <c r="H75" s="166"/>
      <c r="I75" s="166"/>
      <c r="J75" s="166"/>
      <c r="K75" s="166"/>
      <c r="L75" s="166"/>
      <c r="M75" s="170"/>
      <c r="N75" s="170"/>
      <c r="O75" s="170"/>
      <c r="P75" s="170"/>
      <c r="Q75" s="170"/>
      <c r="R75" s="170"/>
      <c r="S75" s="170"/>
      <c r="T75" s="170"/>
      <c r="U75" s="170"/>
      <c r="V75" s="170"/>
      <c r="W75" s="170"/>
      <c r="AO75" s="213"/>
      <c r="AP75" s="213"/>
      <c r="AQ75" s="213"/>
      <c r="AR75" s="213"/>
      <c r="AS75" s="213"/>
      <c r="AT75" s="213"/>
      <c r="AU75" s="213"/>
      <c r="AV75" s="213"/>
      <c r="AW75" s="213"/>
      <c r="AX75" s="213"/>
      <c r="AY75" s="213"/>
      <c r="AZ75" s="213"/>
      <c r="BA75" s="213"/>
      <c r="BB75" s="213"/>
      <c r="BC75" s="213"/>
      <c r="BD75" s="213"/>
      <c r="BE75" s="213"/>
      <c r="BF75" s="213"/>
      <c r="BG75" s="213"/>
      <c r="BH75" s="213"/>
    </row>
    <row r="76" spans="1:60" s="168" customFormat="1">
      <c r="A76" s="164"/>
      <c r="B76" s="172"/>
      <c r="C76" s="165"/>
      <c r="D76" s="165"/>
      <c r="E76" s="165"/>
      <c r="F76" s="165"/>
      <c r="G76" s="165"/>
      <c r="H76" s="166"/>
      <c r="I76" s="166"/>
      <c r="J76" s="166"/>
      <c r="K76" s="166"/>
      <c r="L76" s="166"/>
      <c r="M76" s="170"/>
      <c r="N76" s="170"/>
      <c r="O76" s="170"/>
      <c r="P76" s="170"/>
      <c r="Q76" s="170"/>
      <c r="R76" s="170"/>
      <c r="S76" s="170"/>
      <c r="T76" s="170"/>
      <c r="U76" s="170"/>
      <c r="V76" s="170"/>
      <c r="W76" s="170"/>
      <c r="AO76" s="213"/>
      <c r="AP76" s="213"/>
      <c r="AQ76" s="213"/>
      <c r="AR76" s="213"/>
      <c r="AS76" s="213"/>
      <c r="AT76" s="213"/>
      <c r="AU76" s="213"/>
      <c r="AV76" s="213"/>
      <c r="AW76" s="213"/>
      <c r="AX76" s="213"/>
      <c r="AY76" s="213"/>
      <c r="AZ76" s="213"/>
      <c r="BA76" s="213"/>
      <c r="BB76" s="213"/>
      <c r="BC76" s="213"/>
      <c r="BD76" s="213"/>
      <c r="BE76" s="213"/>
      <c r="BF76" s="213"/>
      <c r="BG76" s="213"/>
      <c r="BH76" s="213"/>
    </row>
    <row r="77" spans="1:60" s="168" customFormat="1">
      <c r="A77" s="164"/>
      <c r="B77" s="172"/>
      <c r="C77" s="165"/>
      <c r="D77" s="165"/>
      <c r="E77" s="165"/>
      <c r="F77" s="165"/>
      <c r="G77" s="165"/>
      <c r="H77" s="166"/>
      <c r="I77" s="166"/>
      <c r="J77" s="166"/>
      <c r="K77" s="166"/>
      <c r="L77" s="166"/>
      <c r="M77" s="170"/>
      <c r="N77" s="170"/>
      <c r="O77" s="170"/>
      <c r="P77" s="170"/>
      <c r="Q77" s="170"/>
      <c r="R77" s="170"/>
      <c r="S77" s="170"/>
      <c r="T77" s="170"/>
      <c r="U77" s="170"/>
      <c r="V77" s="170"/>
      <c r="W77" s="170"/>
      <c r="AO77" s="213"/>
      <c r="AP77" s="213"/>
      <c r="AQ77" s="213"/>
      <c r="AR77" s="213"/>
      <c r="AS77" s="213"/>
      <c r="AT77" s="213"/>
      <c r="AU77" s="213"/>
      <c r="AV77" s="213"/>
      <c r="AW77" s="213"/>
      <c r="AX77" s="213"/>
      <c r="AY77" s="213"/>
      <c r="AZ77" s="213"/>
      <c r="BA77" s="213"/>
      <c r="BB77" s="213"/>
      <c r="BC77" s="213"/>
      <c r="BD77" s="213"/>
      <c r="BE77" s="213"/>
      <c r="BF77" s="213"/>
      <c r="BG77" s="213"/>
      <c r="BH77" s="213"/>
    </row>
    <row r="78" spans="1:60" s="168" customFormat="1" ht="14.25" customHeight="1">
      <c r="A78" s="164"/>
      <c r="B78" s="172"/>
      <c r="C78" s="165"/>
      <c r="D78" s="165"/>
      <c r="E78" s="165"/>
      <c r="F78" s="165"/>
      <c r="G78" s="165"/>
      <c r="H78" s="166"/>
      <c r="I78" s="166"/>
      <c r="J78" s="166"/>
      <c r="K78" s="166"/>
      <c r="L78" s="166"/>
      <c r="M78" s="170"/>
      <c r="N78" s="170"/>
      <c r="O78" s="170"/>
      <c r="P78" s="170"/>
      <c r="Q78" s="170"/>
      <c r="R78" s="170"/>
      <c r="S78" s="170"/>
      <c r="T78" s="170"/>
      <c r="U78" s="170"/>
      <c r="V78" s="170"/>
      <c r="W78" s="170"/>
      <c r="AO78" s="213"/>
      <c r="AP78" s="213"/>
      <c r="AQ78" s="213"/>
      <c r="AR78" s="213"/>
      <c r="AS78" s="213"/>
      <c r="AT78" s="213"/>
      <c r="AU78" s="213"/>
      <c r="AV78" s="213"/>
      <c r="AW78" s="213"/>
      <c r="AX78" s="213"/>
      <c r="AY78" s="213"/>
      <c r="AZ78" s="213"/>
      <c r="BA78" s="213"/>
      <c r="BB78" s="213"/>
      <c r="BC78" s="213"/>
      <c r="BD78" s="213"/>
      <c r="BE78" s="213"/>
      <c r="BF78" s="213"/>
      <c r="BG78" s="213"/>
      <c r="BH78" s="213"/>
    </row>
    <row r="79" spans="1:60" s="168" customFormat="1" ht="14.25" customHeight="1">
      <c r="A79" s="164" t="s">
        <v>183</v>
      </c>
      <c r="B79" s="172"/>
      <c r="C79" s="165"/>
      <c r="D79" s="165"/>
      <c r="E79" s="165"/>
      <c r="F79" s="165"/>
      <c r="G79" s="165"/>
      <c r="H79" s="166"/>
      <c r="I79" s="166"/>
      <c r="J79" s="166"/>
      <c r="K79" s="166"/>
      <c r="L79" s="166"/>
      <c r="M79" s="170"/>
      <c r="N79" s="170"/>
      <c r="O79" s="170"/>
      <c r="P79" s="170"/>
      <c r="Q79" s="170"/>
      <c r="R79" s="170"/>
      <c r="S79" s="170"/>
      <c r="T79" s="170"/>
      <c r="U79" s="170"/>
      <c r="V79" s="170"/>
      <c r="W79" s="170"/>
      <c r="AO79" s="213"/>
      <c r="AP79" s="213"/>
      <c r="AQ79" s="213"/>
      <c r="AR79" s="213"/>
      <c r="AS79" s="213"/>
      <c r="AT79" s="213"/>
      <c r="AU79" s="213"/>
      <c r="AV79" s="213"/>
      <c r="AW79" s="213"/>
      <c r="AX79" s="213"/>
      <c r="AY79" s="213"/>
      <c r="AZ79" s="213"/>
      <c r="BA79" s="213"/>
      <c r="BB79" s="213"/>
      <c r="BC79" s="213"/>
      <c r="BD79" s="213"/>
      <c r="BE79" s="213"/>
      <c r="BF79" s="213"/>
      <c r="BG79" s="213"/>
      <c r="BH79" s="213"/>
    </row>
    <row r="80" spans="1:60" s="168" customFormat="1" ht="14.25" customHeight="1">
      <c r="A80" s="164">
        <v>5</v>
      </c>
      <c r="B80" s="172"/>
      <c r="C80" s="165"/>
      <c r="D80" s="165"/>
      <c r="E80" s="165"/>
      <c r="F80" s="165"/>
      <c r="G80" s="165"/>
      <c r="H80" s="166"/>
      <c r="I80" s="166"/>
      <c r="J80" s="166"/>
      <c r="K80" s="166"/>
      <c r="L80" s="166"/>
      <c r="M80" s="170"/>
      <c r="N80" s="170"/>
      <c r="O80" s="170"/>
      <c r="P80" s="170"/>
      <c r="Q80" s="170"/>
      <c r="R80" s="170"/>
      <c r="S80" s="170"/>
      <c r="T80" s="170"/>
      <c r="U80" s="170"/>
      <c r="V80" s="170"/>
      <c r="W80" s="170"/>
      <c r="AO80" s="213"/>
      <c r="AP80" s="213"/>
      <c r="AQ80" s="213"/>
      <c r="AR80" s="213"/>
      <c r="AS80" s="213"/>
      <c r="AT80" s="213"/>
      <c r="AU80" s="213"/>
      <c r="AV80" s="213"/>
      <c r="AW80" s="213"/>
      <c r="AX80" s="213"/>
      <c r="AY80" s="213"/>
      <c r="AZ80" s="213"/>
      <c r="BA80" s="213"/>
      <c r="BB80" s="213"/>
      <c r="BC80" s="213"/>
      <c r="BD80" s="213"/>
      <c r="BE80" s="213"/>
      <c r="BF80" s="213"/>
      <c r="BG80" s="213"/>
      <c r="BH80" s="213"/>
    </row>
    <row r="81" spans="1:61" s="168" customFormat="1" ht="14.25" customHeight="1">
      <c r="A81" s="164"/>
      <c r="B81" s="172"/>
      <c r="C81" s="165"/>
      <c r="D81" s="165"/>
      <c r="E81" s="165"/>
      <c r="F81" s="165"/>
      <c r="G81" s="165"/>
      <c r="H81" s="166"/>
      <c r="I81" s="166"/>
      <c r="J81" s="166"/>
      <c r="K81" s="166"/>
      <c r="L81" s="166"/>
      <c r="M81" s="170"/>
      <c r="N81" s="170"/>
      <c r="O81" s="170"/>
      <c r="P81" s="170"/>
      <c r="Q81" s="170"/>
      <c r="R81" s="170"/>
      <c r="S81" s="170"/>
      <c r="T81" s="170"/>
      <c r="U81" s="170"/>
      <c r="V81" s="170"/>
      <c r="W81" s="170"/>
      <c r="AO81" s="213"/>
      <c r="AP81" s="213"/>
      <c r="AQ81" s="213"/>
      <c r="AR81" s="213"/>
      <c r="AS81" s="213"/>
      <c r="AT81" s="213"/>
      <c r="AU81" s="213"/>
      <c r="AV81" s="213"/>
      <c r="AW81" s="213"/>
      <c r="AX81" s="213"/>
      <c r="AY81" s="213"/>
      <c r="AZ81" s="213"/>
      <c r="BA81" s="213"/>
      <c r="BB81" s="213"/>
      <c r="BC81" s="213"/>
      <c r="BD81" s="213"/>
      <c r="BE81" s="213"/>
      <c r="BF81" s="213"/>
      <c r="BG81" s="213"/>
      <c r="BH81" s="213"/>
      <c r="BI81" s="213"/>
    </row>
    <row r="82" spans="1:61" s="168" customFormat="1" ht="14.25" customHeight="1">
      <c r="A82" s="164"/>
      <c r="B82" s="172"/>
      <c r="C82" s="165"/>
      <c r="D82" s="165"/>
      <c r="E82" s="165"/>
      <c r="F82" s="165"/>
      <c r="G82" s="165"/>
      <c r="H82" s="166"/>
      <c r="I82" s="166"/>
      <c r="J82" s="166"/>
      <c r="K82" s="166"/>
      <c r="L82" s="166"/>
      <c r="M82" s="170"/>
      <c r="N82" s="170"/>
      <c r="O82" s="170"/>
      <c r="P82" s="170"/>
      <c r="Q82" s="170"/>
      <c r="R82" s="170"/>
      <c r="S82" s="170"/>
      <c r="T82" s="170"/>
      <c r="U82" s="170"/>
      <c r="V82" s="170"/>
      <c r="W82" s="170"/>
      <c r="AO82" s="213"/>
      <c r="AP82" s="213"/>
      <c r="AQ82" s="213"/>
      <c r="AR82" s="213"/>
      <c r="AS82" s="213"/>
      <c r="AT82" s="213"/>
      <c r="AU82" s="213"/>
      <c r="AV82" s="213"/>
      <c r="AW82" s="213"/>
      <c r="AX82" s="213"/>
      <c r="AY82" s="213"/>
      <c r="AZ82" s="213"/>
      <c r="BA82" s="213"/>
      <c r="BB82" s="213"/>
      <c r="BC82" s="213"/>
      <c r="BD82" s="213"/>
      <c r="BE82" s="213"/>
      <c r="BF82" s="213"/>
      <c r="BG82" s="213"/>
      <c r="BH82" s="213"/>
      <c r="BI82" s="213"/>
    </row>
    <row r="83" spans="1:61" s="168" customFormat="1" ht="14.25" customHeight="1">
      <c r="A83" s="164"/>
      <c r="B83" s="172"/>
      <c r="C83" s="165"/>
      <c r="D83" s="165"/>
      <c r="E83" s="165"/>
      <c r="F83" s="165"/>
      <c r="G83" s="165"/>
      <c r="H83" s="166"/>
      <c r="I83" s="166"/>
      <c r="J83" s="166"/>
      <c r="K83" s="166"/>
      <c r="L83" s="166"/>
      <c r="M83" s="170"/>
      <c r="N83" s="170"/>
      <c r="O83" s="170"/>
      <c r="P83" s="170"/>
      <c r="Q83" s="170"/>
      <c r="R83" s="170"/>
      <c r="S83" s="170"/>
      <c r="T83" s="170"/>
      <c r="U83" s="170"/>
      <c r="V83" s="170"/>
      <c r="W83" s="170"/>
      <c r="AO83" s="213"/>
      <c r="AP83" s="213"/>
      <c r="AQ83" s="213"/>
      <c r="AR83" s="213"/>
      <c r="AS83" s="213"/>
      <c r="AT83" s="213"/>
      <c r="AU83" s="213"/>
      <c r="AV83" s="213"/>
      <c r="AW83" s="213"/>
      <c r="AX83" s="213"/>
      <c r="AY83" s="213"/>
      <c r="AZ83" s="213"/>
      <c r="BA83" s="213"/>
      <c r="BB83" s="213"/>
      <c r="BC83" s="213"/>
      <c r="BD83" s="213"/>
      <c r="BE83" s="213"/>
      <c r="BF83" s="213"/>
      <c r="BG83" s="213"/>
      <c r="BH83" s="213"/>
      <c r="BI83" s="213"/>
    </row>
    <row r="84" spans="1:61" s="168" customFormat="1" ht="14.25" customHeight="1">
      <c r="A84" s="164"/>
      <c r="B84" s="172"/>
      <c r="C84" s="165"/>
      <c r="D84" s="165"/>
      <c r="E84" s="165"/>
      <c r="F84" s="165"/>
      <c r="G84" s="165"/>
      <c r="H84" s="166"/>
      <c r="I84" s="166"/>
      <c r="J84" s="166"/>
      <c r="K84" s="166"/>
      <c r="L84" s="166"/>
      <c r="M84" s="170"/>
      <c r="N84" s="170"/>
      <c r="O84" s="170"/>
      <c r="P84" s="170"/>
      <c r="Q84" s="170"/>
      <c r="R84" s="170"/>
      <c r="S84" s="170"/>
      <c r="T84" s="170"/>
      <c r="U84" s="170"/>
      <c r="V84" s="170"/>
      <c r="W84" s="170"/>
      <c r="AO84" s="213"/>
      <c r="AP84" s="213"/>
      <c r="AQ84" s="213"/>
      <c r="AR84" s="213"/>
      <c r="AS84" s="213"/>
      <c r="AT84" s="213"/>
      <c r="AU84" s="213"/>
      <c r="AV84" s="213"/>
      <c r="AW84" s="213"/>
      <c r="AX84" s="213"/>
      <c r="AY84" s="213"/>
      <c r="AZ84" s="213"/>
      <c r="BA84" s="213"/>
      <c r="BB84" s="213"/>
      <c r="BC84" s="213"/>
      <c r="BD84" s="213"/>
      <c r="BE84" s="213"/>
      <c r="BF84" s="213"/>
      <c r="BG84" s="213"/>
      <c r="BH84" s="213"/>
      <c r="BI84" s="213"/>
    </row>
    <row r="85" spans="1:61" s="168" customFormat="1" ht="14.25" customHeight="1">
      <c r="A85" s="164"/>
      <c r="B85" s="172"/>
      <c r="C85" s="165"/>
      <c r="D85" s="165"/>
      <c r="E85" s="165"/>
      <c r="F85" s="165"/>
      <c r="G85" s="165"/>
      <c r="H85" s="166"/>
      <c r="I85" s="166"/>
      <c r="J85" s="166"/>
      <c r="K85" s="166"/>
      <c r="L85" s="166"/>
      <c r="M85" s="170"/>
      <c r="N85" s="170"/>
      <c r="O85" s="170"/>
      <c r="P85" s="170"/>
      <c r="Q85" s="170"/>
      <c r="R85" s="170"/>
      <c r="S85" s="170"/>
      <c r="T85" s="170"/>
      <c r="U85" s="170"/>
      <c r="V85" s="170"/>
      <c r="W85" s="170"/>
      <c r="AO85" s="213"/>
      <c r="AP85" s="213"/>
      <c r="AQ85" s="213"/>
      <c r="AR85" s="213"/>
      <c r="AS85" s="213"/>
      <c r="AT85" s="213"/>
      <c r="AU85" s="213"/>
      <c r="AV85" s="213"/>
      <c r="AW85" s="213"/>
      <c r="AX85" s="213"/>
      <c r="AY85" s="213"/>
      <c r="AZ85" s="213"/>
      <c r="BA85" s="213"/>
      <c r="BB85" s="213"/>
      <c r="BC85" s="213"/>
      <c r="BD85" s="213"/>
      <c r="BE85" s="213"/>
      <c r="BF85" s="213"/>
      <c r="BG85" s="213"/>
      <c r="BH85" s="213"/>
      <c r="BI85" s="213"/>
    </row>
    <row r="86" spans="1:61" s="168" customFormat="1" ht="14.25" customHeight="1">
      <c r="A86" s="164"/>
      <c r="B86" s="172"/>
      <c r="C86" s="165"/>
      <c r="D86" s="165"/>
      <c r="E86" s="165"/>
      <c r="F86" s="165"/>
      <c r="G86" s="165"/>
      <c r="H86" s="166"/>
      <c r="I86" s="166"/>
      <c r="J86" s="166"/>
      <c r="K86" s="166"/>
      <c r="L86" s="166"/>
      <c r="M86" s="170"/>
      <c r="N86" s="170"/>
      <c r="O86" s="170"/>
      <c r="P86" s="170"/>
      <c r="Q86" s="170"/>
      <c r="R86" s="170"/>
      <c r="S86" s="170"/>
      <c r="T86" s="170"/>
      <c r="U86" s="170"/>
      <c r="V86" s="170"/>
      <c r="W86" s="170"/>
      <c r="AO86" s="213"/>
      <c r="AP86" s="213"/>
      <c r="AQ86" s="213"/>
      <c r="AR86" s="213"/>
      <c r="AS86" s="213"/>
      <c r="AT86" s="213"/>
      <c r="AU86" s="213"/>
      <c r="AV86" s="213"/>
      <c r="AW86" s="213"/>
      <c r="AX86" s="213"/>
      <c r="AY86" s="213"/>
      <c r="AZ86" s="213"/>
      <c r="BA86" s="213"/>
      <c r="BB86" s="213"/>
      <c r="BC86" s="213"/>
      <c r="BD86" s="213"/>
      <c r="BE86" s="213"/>
      <c r="BF86" s="213"/>
      <c r="BG86" s="213"/>
      <c r="BH86" s="213"/>
      <c r="BI86" s="213"/>
    </row>
    <row r="87" spans="1:61" s="168" customFormat="1" ht="14.25" customHeight="1">
      <c r="A87" s="164"/>
      <c r="B87" s="172"/>
      <c r="C87" s="165"/>
      <c r="D87" s="165"/>
      <c r="E87" s="165"/>
      <c r="F87" s="165"/>
      <c r="G87" s="165"/>
      <c r="H87" s="166"/>
      <c r="I87" s="166"/>
      <c r="J87" s="166"/>
      <c r="K87" s="166"/>
      <c r="L87" s="166"/>
      <c r="M87" s="170"/>
      <c r="N87" s="170"/>
      <c r="O87" s="170"/>
      <c r="P87" s="170"/>
      <c r="Q87" s="170"/>
      <c r="R87" s="170"/>
      <c r="S87" s="170"/>
      <c r="T87" s="170"/>
      <c r="U87" s="170"/>
      <c r="V87" s="170"/>
      <c r="W87" s="170"/>
      <c r="AO87" s="213"/>
      <c r="AP87" s="213"/>
      <c r="AQ87" s="213"/>
      <c r="AR87" s="213"/>
      <c r="AS87" s="213"/>
      <c r="AT87" s="213"/>
      <c r="AU87" s="213"/>
      <c r="AV87" s="213"/>
      <c r="AW87" s="213"/>
      <c r="AX87" s="213"/>
      <c r="AY87" s="213"/>
      <c r="AZ87" s="213"/>
      <c r="BA87" s="213"/>
      <c r="BB87" s="213"/>
      <c r="BC87" s="213"/>
      <c r="BD87" s="213"/>
      <c r="BE87" s="213"/>
      <c r="BF87" s="213"/>
      <c r="BG87" s="213"/>
      <c r="BH87" s="213"/>
      <c r="BI87" s="213"/>
    </row>
    <row r="88" spans="1:61" s="168" customFormat="1" ht="14.25" customHeight="1">
      <c r="A88" s="164"/>
      <c r="B88" s="172"/>
      <c r="C88" s="169"/>
      <c r="D88" s="169"/>
      <c r="E88" s="169"/>
      <c r="F88" s="169"/>
      <c r="G88" s="169"/>
      <c r="H88" s="170"/>
      <c r="I88" s="170"/>
      <c r="J88" s="170"/>
      <c r="K88" s="170"/>
      <c r="L88" s="170"/>
      <c r="M88" s="170"/>
      <c r="N88" s="170"/>
      <c r="O88" s="170"/>
      <c r="P88" s="170"/>
      <c r="Q88" s="170"/>
      <c r="R88" s="170"/>
      <c r="S88" s="170"/>
      <c r="T88" s="170"/>
      <c r="U88" s="170"/>
      <c r="V88" s="170"/>
      <c r="W88" s="170"/>
      <c r="AO88" s="213"/>
      <c r="AP88" s="213"/>
      <c r="AQ88" s="213"/>
      <c r="AR88" s="213"/>
      <c r="AS88" s="213"/>
      <c r="AT88" s="213"/>
      <c r="AU88" s="213"/>
      <c r="AV88" s="213"/>
      <c r="AW88" s="213"/>
      <c r="AX88" s="213"/>
      <c r="AY88" s="213"/>
      <c r="AZ88" s="213"/>
      <c r="BA88" s="213"/>
      <c r="BB88" s="213"/>
      <c r="BC88" s="213"/>
      <c r="BD88" s="213"/>
      <c r="BE88" s="213"/>
      <c r="BF88" s="213"/>
      <c r="BG88" s="213"/>
      <c r="BH88" s="213"/>
      <c r="BI88" s="213"/>
    </row>
    <row r="89" spans="1:61" s="212" customFormat="1" ht="14.25" customHeight="1">
      <c r="A89" s="171">
        <f>A59+1</f>
        <v>3</v>
      </c>
      <c r="B89" s="172"/>
      <c r="C89" s="187" t="str">
        <f>IF($A$1 = 1, (IF("("&amp;C99&amp;")" ="()","","("&amp;C99&amp;")")), (IF("("&amp;C104&amp;")     ("&amp;C99&amp;")"="()     ()","","("&amp;C104&amp;")     ("&amp;C99&amp;")")))</f>
        <v>(12)     (25)</v>
      </c>
      <c r="D89" s="187" t="str">
        <f t="shared" ref="D89:J89" si="6">IF($A$1 = 1, (IF("("&amp;D99&amp;")" ="()","","("&amp;D99&amp;")")), (IF("("&amp;D104&amp;")     ("&amp;D99&amp;")"="()     ()","","("&amp;D104&amp;")     ("&amp;D99&amp;")")))</f>
        <v>(191)     (163)</v>
      </c>
      <c r="E89" s="187" t="str">
        <f t="shared" si="6"/>
        <v>(248)     (209)</v>
      </c>
      <c r="F89" s="187" t="str">
        <f t="shared" si="6"/>
        <v>(132)     (128)</v>
      </c>
      <c r="G89" s="187" t="str">
        <f t="shared" si="6"/>
        <v>(17)     (21)</v>
      </c>
      <c r="H89" s="187" t="str">
        <f t="shared" si="6"/>
        <v/>
      </c>
      <c r="I89" s="187" t="str">
        <f t="shared" si="6"/>
        <v/>
      </c>
      <c r="J89" s="187" t="str">
        <f t="shared" si="6"/>
        <v/>
      </c>
      <c r="K89" s="187"/>
      <c r="L89" s="187"/>
      <c r="M89" s="220"/>
      <c r="N89" s="220"/>
      <c r="O89" s="220"/>
      <c r="P89" s="220"/>
      <c r="Q89" s="220"/>
      <c r="R89" s="220"/>
      <c r="S89" s="220"/>
      <c r="T89" s="220"/>
      <c r="U89" s="220"/>
      <c r="V89" s="220"/>
      <c r="W89" s="220"/>
      <c r="AO89" s="215"/>
      <c r="AP89" s="215"/>
      <c r="AQ89" s="215"/>
      <c r="AR89" s="215"/>
      <c r="AS89" s="215"/>
      <c r="AT89" s="215"/>
      <c r="AU89" s="215"/>
      <c r="AV89" s="215"/>
      <c r="AW89" s="215"/>
      <c r="AX89" s="215"/>
      <c r="AY89" s="215"/>
      <c r="AZ89" s="215"/>
      <c r="BA89" s="215"/>
      <c r="BB89" s="215"/>
      <c r="BC89" s="215"/>
      <c r="BD89" s="215"/>
      <c r="BE89" s="215"/>
      <c r="BF89" s="215"/>
      <c r="BG89" s="215"/>
      <c r="BH89" s="215"/>
      <c r="BI89" s="215"/>
    </row>
    <row r="90" spans="1:61" s="210" customFormat="1" ht="59.1" customHeight="1">
      <c r="A90" s="176"/>
      <c r="B90" s="177"/>
      <c r="C90" s="178" t="s">
        <v>560</v>
      </c>
      <c r="D90" s="178" t="s">
        <v>561</v>
      </c>
      <c r="E90" s="178" t="s">
        <v>213</v>
      </c>
      <c r="F90" s="178" t="s">
        <v>562</v>
      </c>
      <c r="G90" s="178" t="s">
        <v>563</v>
      </c>
      <c r="H90" s="178"/>
      <c r="I90" s="178"/>
      <c r="J90" s="178"/>
      <c r="K90" s="178"/>
      <c r="L90" s="17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  <c r="AO90" s="216"/>
      <c r="AP90" s="216"/>
      <c r="AQ90" s="216"/>
      <c r="AR90" s="216"/>
      <c r="AS90" s="216"/>
      <c r="AT90" s="216"/>
      <c r="AU90" s="216"/>
      <c r="AV90" s="216"/>
      <c r="AW90" s="216"/>
      <c r="AY90" s="216"/>
      <c r="AZ90" s="216"/>
      <c r="BA90" s="216"/>
      <c r="BB90" s="216"/>
      <c r="BC90" s="216"/>
      <c r="BD90" s="216"/>
      <c r="BE90" s="216"/>
      <c r="BF90" s="216"/>
      <c r="BG90" s="216"/>
      <c r="BH90" s="216"/>
      <c r="BI90" s="216"/>
    </row>
    <row r="91" spans="1:61" s="168" customFormat="1" ht="18" customHeight="1" thickBot="1">
      <c r="A91" s="164"/>
      <c r="B91" s="181" t="s">
        <v>3</v>
      </c>
      <c r="C91" s="148">
        <v>79</v>
      </c>
      <c r="D91" s="148">
        <v>58</v>
      </c>
      <c r="E91" s="148">
        <v>74</v>
      </c>
      <c r="F91" s="148">
        <v>74</v>
      </c>
      <c r="G91" s="148">
        <v>77</v>
      </c>
      <c r="H91" s="148"/>
      <c r="I91" s="148"/>
      <c r="J91" s="148"/>
      <c r="K91" s="148"/>
      <c r="L91" s="148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AO91" s="213"/>
      <c r="AP91" s="213"/>
      <c r="AQ91" s="213"/>
      <c r="AR91" s="213"/>
      <c r="AS91" s="213"/>
      <c r="AT91" s="213"/>
      <c r="AU91" s="213"/>
      <c r="AV91" s="213"/>
      <c r="AW91" s="213"/>
      <c r="AY91" s="213"/>
      <c r="AZ91" s="213"/>
      <c r="BA91" s="213"/>
      <c r="BB91" s="213"/>
      <c r="BC91" s="213"/>
      <c r="BD91" s="213"/>
      <c r="BE91" s="213"/>
      <c r="BF91" s="213"/>
      <c r="BG91" s="213"/>
      <c r="BH91" s="213"/>
      <c r="BI91" s="213"/>
    </row>
    <row r="92" spans="1:61" s="168" customFormat="1" ht="18" customHeight="1" thickBot="1">
      <c r="A92" s="164"/>
      <c r="B92" s="182" t="s">
        <v>18</v>
      </c>
      <c r="C92" s="148">
        <v>78</v>
      </c>
      <c r="D92" s="148">
        <v>63</v>
      </c>
      <c r="E92" s="148">
        <v>74</v>
      </c>
      <c r="F92" s="148">
        <v>73</v>
      </c>
      <c r="G92" s="148">
        <v>73</v>
      </c>
      <c r="H92" s="148"/>
      <c r="I92" s="148"/>
      <c r="J92" s="148"/>
      <c r="K92" s="148"/>
      <c r="L92" s="148"/>
      <c r="M92" s="145"/>
      <c r="N92" s="145"/>
      <c r="O92" s="145"/>
      <c r="P92" s="145"/>
      <c r="Q92" s="145"/>
      <c r="R92" s="145"/>
      <c r="S92" s="145"/>
      <c r="T92" s="145"/>
      <c r="U92" s="145"/>
      <c r="V92" s="145"/>
      <c r="W92" s="145"/>
      <c r="AO92" s="213"/>
      <c r="AP92" s="213"/>
      <c r="AQ92" s="213"/>
      <c r="AR92" s="213"/>
      <c r="AS92" s="213"/>
      <c r="AT92" s="213"/>
      <c r="AU92" s="213"/>
      <c r="AV92" s="213"/>
      <c r="AW92" s="213"/>
      <c r="AY92" s="213"/>
      <c r="AZ92" s="213"/>
      <c r="BA92" s="213"/>
      <c r="BB92" s="213"/>
      <c r="BC92" s="213"/>
      <c r="BD92" s="213"/>
      <c r="BE92" s="213"/>
      <c r="BF92" s="213"/>
      <c r="BG92" s="213"/>
      <c r="BH92" s="213"/>
      <c r="BI92" s="213"/>
    </row>
    <row r="93" spans="1:61" s="168" customFormat="1" ht="18" customHeight="1" thickBot="1">
      <c r="A93" s="164"/>
      <c r="B93" s="183" t="s">
        <v>32</v>
      </c>
      <c r="C93" s="147">
        <v>70</v>
      </c>
      <c r="D93" s="147">
        <v>57</v>
      </c>
      <c r="E93" s="147">
        <v>69</v>
      </c>
      <c r="F93" s="147">
        <v>70</v>
      </c>
      <c r="G93" s="147">
        <v>69</v>
      </c>
      <c r="H93" s="147"/>
      <c r="I93" s="147"/>
      <c r="J93" s="147"/>
      <c r="K93" s="147"/>
      <c r="L93" s="147"/>
      <c r="M93" s="145"/>
      <c r="N93" s="145"/>
      <c r="O93" s="145"/>
      <c r="P93" s="145"/>
      <c r="Q93" s="145"/>
      <c r="R93" s="145"/>
      <c r="S93" s="145"/>
      <c r="T93" s="145"/>
      <c r="U93" s="145"/>
      <c r="V93" s="145"/>
      <c r="W93" s="145"/>
      <c r="AO93" s="213"/>
      <c r="AP93" s="213"/>
      <c r="AQ93" s="213"/>
      <c r="AR93" s="213"/>
      <c r="AS93" s="213"/>
      <c r="AT93" s="213"/>
      <c r="AU93" s="213"/>
      <c r="AV93" s="213"/>
      <c r="AW93" s="213"/>
      <c r="AY93" s="213"/>
      <c r="AZ93" s="213"/>
      <c r="BA93" s="213"/>
      <c r="BB93" s="213"/>
      <c r="BC93" s="213"/>
      <c r="BD93" s="213"/>
      <c r="BE93" s="213"/>
      <c r="BF93" s="213"/>
      <c r="BG93" s="213"/>
      <c r="BH93" s="213"/>
    </row>
    <row r="94" spans="1:61" s="168" customFormat="1" ht="18" customHeight="1" thickBot="1">
      <c r="A94" s="164"/>
      <c r="B94" s="182" t="s">
        <v>45</v>
      </c>
      <c r="C94" s="145">
        <v>59</v>
      </c>
      <c r="D94" s="145">
        <v>56</v>
      </c>
      <c r="E94" s="145">
        <v>73</v>
      </c>
      <c r="F94" s="145">
        <v>74</v>
      </c>
      <c r="G94" s="145">
        <v>71</v>
      </c>
      <c r="H94" s="145"/>
      <c r="I94" s="145"/>
      <c r="J94" s="145"/>
      <c r="K94" s="145"/>
      <c r="L94" s="145"/>
      <c r="M94" s="145"/>
      <c r="N94" s="145"/>
      <c r="O94" s="145"/>
      <c r="P94" s="145"/>
      <c r="Q94" s="145"/>
      <c r="R94" s="145"/>
      <c r="S94" s="145"/>
      <c r="T94" s="145"/>
      <c r="U94" s="145"/>
      <c r="V94" s="145"/>
      <c r="W94" s="145"/>
      <c r="AO94" s="213"/>
      <c r="AP94" s="213"/>
      <c r="AQ94" s="213"/>
      <c r="AR94" s="213"/>
      <c r="AS94" s="213"/>
      <c r="AT94" s="213"/>
      <c r="AU94" s="213"/>
      <c r="AV94" s="213"/>
      <c r="AW94" s="213"/>
      <c r="AY94" s="213"/>
      <c r="AZ94" s="213"/>
      <c r="BA94" s="213"/>
      <c r="BB94" s="213"/>
      <c r="BC94" s="213"/>
      <c r="BD94" s="213"/>
      <c r="BE94" s="213"/>
      <c r="BF94" s="213"/>
      <c r="BG94" s="213"/>
      <c r="BH94" s="213"/>
    </row>
    <row r="95" spans="1:61" s="168" customFormat="1" ht="18" customHeight="1" thickBot="1">
      <c r="A95" s="164"/>
      <c r="B95" s="184" t="s">
        <v>54</v>
      </c>
      <c r="C95" s="146">
        <v>77</v>
      </c>
      <c r="D95" s="146">
        <v>63</v>
      </c>
      <c r="E95" s="146">
        <v>72</v>
      </c>
      <c r="F95" s="146">
        <v>71</v>
      </c>
      <c r="G95" s="146">
        <v>67</v>
      </c>
      <c r="H95" s="146"/>
      <c r="I95" s="146"/>
      <c r="J95" s="146"/>
      <c r="K95" s="146"/>
      <c r="L95" s="146"/>
      <c r="M95" s="145"/>
      <c r="N95" s="145"/>
      <c r="O95" s="145"/>
      <c r="P95" s="145"/>
      <c r="Q95" s="145"/>
      <c r="R95" s="145"/>
      <c r="S95" s="145"/>
      <c r="T95" s="145"/>
      <c r="U95" s="145"/>
      <c r="V95" s="145"/>
      <c r="W95" s="145"/>
      <c r="AO95" s="213"/>
      <c r="AP95" s="213"/>
      <c r="AQ95" s="213"/>
      <c r="AR95" s="213"/>
      <c r="AS95" s="213"/>
      <c r="AT95" s="213"/>
      <c r="AU95" s="213"/>
      <c r="AV95" s="213"/>
      <c r="AW95" s="213"/>
      <c r="AY95" s="213"/>
      <c r="AZ95" s="213"/>
      <c r="BA95" s="213"/>
      <c r="BB95" s="213"/>
      <c r="BC95" s="213"/>
      <c r="BD95" s="213"/>
      <c r="BE95" s="213"/>
      <c r="BF95" s="213"/>
      <c r="BG95" s="213"/>
      <c r="BH95" s="213"/>
    </row>
    <row r="96" spans="1:61" s="168" customFormat="1">
      <c r="A96" s="164"/>
      <c r="B96" s="182" t="s">
        <v>66</v>
      </c>
      <c r="C96" s="145">
        <v>84</v>
      </c>
      <c r="D96" s="145">
        <v>58</v>
      </c>
      <c r="E96" s="145">
        <v>68</v>
      </c>
      <c r="F96" s="145">
        <v>71</v>
      </c>
      <c r="G96" s="145">
        <v>62</v>
      </c>
      <c r="H96" s="125"/>
      <c r="I96" s="125"/>
      <c r="J96" s="125"/>
      <c r="K96" s="125"/>
      <c r="L96" s="125"/>
      <c r="M96" s="145"/>
      <c r="N96" s="145"/>
      <c r="O96" s="145"/>
      <c r="P96" s="145"/>
      <c r="Q96" s="145"/>
      <c r="R96" s="145"/>
      <c r="S96" s="145"/>
      <c r="T96" s="145"/>
      <c r="U96" s="145"/>
      <c r="V96" s="145"/>
      <c r="W96" s="145"/>
      <c r="AO96" s="213"/>
      <c r="AP96" s="213"/>
      <c r="AQ96" s="213"/>
      <c r="AR96" s="213"/>
      <c r="AS96" s="213"/>
      <c r="AT96" s="213"/>
      <c r="AU96" s="213"/>
      <c r="AV96" s="213"/>
      <c r="AW96" s="213"/>
      <c r="AY96" s="213"/>
      <c r="AZ96" s="213"/>
      <c r="BA96" s="213"/>
      <c r="BB96" s="213"/>
      <c r="BC96" s="213"/>
      <c r="BD96" s="213"/>
      <c r="BE96" s="213"/>
      <c r="BF96" s="213"/>
      <c r="BG96" s="213"/>
      <c r="BH96" s="213"/>
    </row>
    <row r="97" spans="1:60" s="168" customFormat="1">
      <c r="A97" s="164"/>
      <c r="B97" s="182" t="s">
        <v>158</v>
      </c>
      <c r="C97" s="126">
        <v>74</v>
      </c>
      <c r="D97" s="126">
        <v>60</v>
      </c>
      <c r="E97" s="126">
        <v>72</v>
      </c>
      <c r="F97" s="126">
        <v>73</v>
      </c>
      <c r="G97" s="126">
        <v>72</v>
      </c>
      <c r="H97" s="126"/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AO97" s="213"/>
      <c r="AP97" s="213"/>
      <c r="AQ97" s="213"/>
      <c r="AR97" s="213"/>
      <c r="AS97" s="213"/>
      <c r="AT97" s="213"/>
      <c r="AU97" s="213"/>
      <c r="AV97" s="213"/>
      <c r="AW97" s="213"/>
      <c r="AY97" s="213"/>
      <c r="AZ97" s="213"/>
      <c r="BA97" s="213"/>
      <c r="BB97" s="213"/>
      <c r="BC97" s="213"/>
      <c r="BD97" s="213"/>
      <c r="BE97" s="213"/>
      <c r="BF97" s="213"/>
      <c r="BG97" s="213"/>
      <c r="BH97" s="213"/>
    </row>
    <row r="98" spans="1:60" s="168" customFormat="1">
      <c r="A98" s="164"/>
      <c r="B98" s="182" t="s">
        <v>191</v>
      </c>
      <c r="C98" s="127">
        <v>69</v>
      </c>
      <c r="D98" s="127">
        <v>69</v>
      </c>
      <c r="E98" s="127">
        <v>69</v>
      </c>
      <c r="F98" s="127">
        <v>69</v>
      </c>
      <c r="G98" s="127">
        <v>69</v>
      </c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AO98" s="214"/>
      <c r="AP98" s="214"/>
      <c r="AQ98" s="214"/>
      <c r="AR98" s="214"/>
      <c r="AS98" s="214"/>
      <c r="AT98" s="213"/>
      <c r="AU98" s="213"/>
      <c r="AV98" s="213"/>
      <c r="AW98" s="213"/>
      <c r="AY98" s="213"/>
      <c r="AZ98" s="213"/>
      <c r="BA98" s="213"/>
      <c r="BB98" s="213"/>
      <c r="BC98" s="213"/>
      <c r="BD98" s="213"/>
      <c r="BE98" s="213"/>
      <c r="BF98" s="213"/>
      <c r="BG98" s="213"/>
      <c r="BH98" s="213"/>
    </row>
    <row r="99" spans="1:60" s="168" customFormat="1" ht="15" thickBot="1">
      <c r="A99" s="164"/>
      <c r="B99" s="182" t="s">
        <v>442</v>
      </c>
      <c r="C99" s="126">
        <v>25</v>
      </c>
      <c r="D99" s="315">
        <v>163</v>
      </c>
      <c r="E99" s="315">
        <v>209</v>
      </c>
      <c r="F99" s="315">
        <v>128</v>
      </c>
      <c r="G99" s="315">
        <v>21</v>
      </c>
      <c r="H99" s="315"/>
      <c r="I99" s="315"/>
      <c r="J99" s="315"/>
      <c r="K99" s="315"/>
      <c r="L99" s="315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AO99" s="213"/>
      <c r="AP99" s="213"/>
      <c r="AQ99" s="213"/>
      <c r="AR99" s="213"/>
      <c r="AS99" s="213"/>
      <c r="AT99" s="213"/>
      <c r="AU99" s="213"/>
      <c r="AV99" s="213"/>
      <c r="AW99" s="213"/>
      <c r="AY99" s="213"/>
      <c r="AZ99" s="213"/>
      <c r="BA99" s="213"/>
      <c r="BB99" s="213"/>
      <c r="BC99" s="213"/>
      <c r="BD99" s="213"/>
      <c r="BE99" s="213"/>
      <c r="BF99" s="213"/>
      <c r="BG99" s="213"/>
      <c r="BH99" s="213"/>
    </row>
    <row r="100" spans="1:60" s="168" customFormat="1">
      <c r="A100" s="164"/>
      <c r="B100" s="338" t="s">
        <v>166</v>
      </c>
      <c r="C100" s="316">
        <f>IF(OR(C103="**",C103=""),"",VALUE(C103))</f>
        <v>71</v>
      </c>
      <c r="D100" s="316">
        <f t="shared" ref="D100:J100" si="7">IF(OR(D103="**",D103=""),"",VALUE(D103))</f>
        <v>70</v>
      </c>
      <c r="E100" s="316">
        <f t="shared" si="7"/>
        <v>76</v>
      </c>
      <c r="F100" s="316">
        <f t="shared" si="7"/>
        <v>71</v>
      </c>
      <c r="G100" s="316">
        <f t="shared" si="7"/>
        <v>77</v>
      </c>
      <c r="H100" s="316" t="str">
        <f t="shared" si="7"/>
        <v/>
      </c>
      <c r="I100" s="316" t="str">
        <f t="shared" si="7"/>
        <v/>
      </c>
      <c r="J100" s="316" t="str">
        <f t="shared" si="7"/>
        <v/>
      </c>
      <c r="K100" s="316"/>
      <c r="L100" s="316"/>
      <c r="M100" s="126"/>
      <c r="N100" s="126"/>
      <c r="O100" s="126"/>
      <c r="P100" s="126"/>
      <c r="Q100" s="126"/>
      <c r="R100" s="126"/>
      <c r="S100" s="126"/>
      <c r="T100" s="126"/>
      <c r="U100" s="126"/>
      <c r="V100" s="126"/>
      <c r="W100" s="126"/>
      <c r="AO100" s="213"/>
      <c r="AP100" s="213"/>
      <c r="AQ100" s="213"/>
      <c r="AR100" s="213"/>
      <c r="AS100" s="213"/>
      <c r="AT100" s="213"/>
      <c r="AU100" s="213"/>
      <c r="AV100" s="213"/>
      <c r="AW100" s="213"/>
      <c r="AY100" s="213"/>
      <c r="AZ100" s="213"/>
      <c r="BA100" s="213"/>
      <c r="BB100" s="213"/>
      <c r="BC100" s="213"/>
      <c r="BD100" s="213"/>
      <c r="BE100" s="213"/>
      <c r="BF100" s="213"/>
      <c r="BG100" s="213"/>
      <c r="BH100" s="213"/>
    </row>
    <row r="101" spans="1:60" s="168" customFormat="1" ht="15" thickBot="1">
      <c r="A101" s="164"/>
      <c r="B101" s="339" t="s">
        <v>165</v>
      </c>
      <c r="C101" s="317">
        <f t="shared" ref="C101:J101" si="8">IF(OR(C97="**",C97=""),"",VALUE(C97))</f>
        <v>74</v>
      </c>
      <c r="D101" s="317">
        <f t="shared" si="8"/>
        <v>60</v>
      </c>
      <c r="E101" s="317">
        <f t="shared" si="8"/>
        <v>72</v>
      </c>
      <c r="F101" s="317">
        <f t="shared" si="8"/>
        <v>73</v>
      </c>
      <c r="G101" s="317">
        <f t="shared" si="8"/>
        <v>72</v>
      </c>
      <c r="H101" s="317" t="str">
        <f t="shared" si="8"/>
        <v/>
      </c>
      <c r="I101" s="317" t="str">
        <f t="shared" si="8"/>
        <v/>
      </c>
      <c r="J101" s="317" t="str">
        <f t="shared" si="8"/>
        <v/>
      </c>
      <c r="K101" s="317"/>
      <c r="L101" s="317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AO101" s="169"/>
      <c r="AP101" s="169"/>
      <c r="AQ101" s="169"/>
      <c r="AR101" s="169"/>
      <c r="AS101" s="169"/>
      <c r="AT101" s="169"/>
      <c r="AU101" s="169"/>
      <c r="AV101" s="169"/>
      <c r="AW101" s="213"/>
      <c r="AX101" s="213"/>
      <c r="AY101" s="213"/>
      <c r="AZ101" s="213"/>
      <c r="BA101" s="213"/>
      <c r="BB101" s="213"/>
      <c r="BC101" s="213"/>
      <c r="BD101" s="213"/>
      <c r="BE101" s="213"/>
      <c r="BF101" s="213"/>
      <c r="BG101" s="213"/>
      <c r="BH101" s="213"/>
    </row>
    <row r="102" spans="1:60" s="168" customFormat="1">
      <c r="A102" s="164"/>
      <c r="B102" s="340" t="s">
        <v>483</v>
      </c>
      <c r="C102" s="167" t="s">
        <v>560</v>
      </c>
      <c r="D102" s="167" t="s">
        <v>561</v>
      </c>
      <c r="E102" s="167" t="s">
        <v>213</v>
      </c>
      <c r="F102" s="167" t="s">
        <v>562</v>
      </c>
      <c r="G102" s="167" t="s">
        <v>563</v>
      </c>
      <c r="H102" s="166"/>
      <c r="I102" s="166"/>
      <c r="J102" s="166"/>
      <c r="K102" s="166"/>
      <c r="L102" s="166"/>
      <c r="M102" s="170"/>
      <c r="N102" s="170"/>
      <c r="O102" s="170"/>
      <c r="P102" s="170"/>
      <c r="Q102" s="170"/>
      <c r="R102" s="170"/>
      <c r="S102" s="170"/>
      <c r="T102" s="170"/>
      <c r="U102" s="170"/>
      <c r="V102" s="170"/>
      <c r="W102" s="170"/>
      <c r="AO102" s="213"/>
      <c r="AP102" s="213"/>
      <c r="AQ102" s="213"/>
      <c r="AR102" s="213"/>
      <c r="AS102" s="213"/>
      <c r="AT102" s="213"/>
      <c r="AU102" s="213"/>
      <c r="AV102" s="213"/>
      <c r="AW102" s="213"/>
      <c r="AX102" s="213"/>
      <c r="AY102" s="213"/>
      <c r="AZ102" s="213"/>
      <c r="BA102" s="213"/>
      <c r="BB102" s="213"/>
      <c r="BC102" s="213"/>
      <c r="BD102" s="213"/>
      <c r="BE102" s="213"/>
      <c r="BF102" s="213"/>
      <c r="BG102" s="213"/>
      <c r="BH102" s="213"/>
    </row>
    <row r="103" spans="1:60" s="168" customFormat="1">
      <c r="A103" s="164"/>
      <c r="B103" s="182" t="s">
        <v>158</v>
      </c>
      <c r="C103" s="165">
        <v>71</v>
      </c>
      <c r="D103" s="165">
        <v>70</v>
      </c>
      <c r="E103" s="165">
        <v>76</v>
      </c>
      <c r="F103" s="165">
        <v>71</v>
      </c>
      <c r="G103" s="165">
        <v>77</v>
      </c>
      <c r="H103" s="166"/>
      <c r="I103" s="166"/>
      <c r="J103" s="166"/>
      <c r="K103" s="166"/>
      <c r="L103" s="166"/>
      <c r="M103" s="170"/>
      <c r="N103" s="170"/>
      <c r="O103" s="170"/>
      <c r="P103" s="170"/>
      <c r="Q103" s="170"/>
      <c r="R103" s="170"/>
      <c r="S103" s="170"/>
      <c r="T103" s="170"/>
      <c r="U103" s="170"/>
      <c r="V103" s="170"/>
      <c r="W103" s="170"/>
      <c r="AO103" s="213"/>
      <c r="AP103" s="213"/>
      <c r="AQ103" s="213"/>
      <c r="AR103" s="213"/>
      <c r="AS103" s="213"/>
      <c r="AT103" s="213"/>
      <c r="AU103" s="213"/>
      <c r="AV103" s="213"/>
      <c r="AW103" s="213"/>
      <c r="AX103" s="213"/>
      <c r="AY103" s="213"/>
      <c r="AZ103" s="213"/>
      <c r="BA103" s="213"/>
      <c r="BB103" s="213"/>
      <c r="BC103" s="213"/>
      <c r="BD103" s="213"/>
      <c r="BE103" s="213"/>
      <c r="BF103" s="213"/>
      <c r="BG103" s="213"/>
      <c r="BH103" s="213"/>
    </row>
    <row r="104" spans="1:60" s="168" customFormat="1">
      <c r="A104" s="164"/>
      <c r="B104" s="340" t="s">
        <v>442</v>
      </c>
      <c r="C104" s="165">
        <v>12</v>
      </c>
      <c r="D104" s="165">
        <v>191</v>
      </c>
      <c r="E104" s="165">
        <v>248</v>
      </c>
      <c r="F104" s="165">
        <v>132</v>
      </c>
      <c r="G104" s="165">
        <v>17</v>
      </c>
      <c r="H104" s="165"/>
      <c r="I104" s="165"/>
      <c r="J104" s="165"/>
      <c r="K104" s="165"/>
      <c r="L104" s="165"/>
      <c r="M104" s="170"/>
      <c r="N104" s="170"/>
      <c r="O104" s="170"/>
      <c r="P104" s="170"/>
      <c r="Q104" s="170"/>
      <c r="R104" s="170"/>
      <c r="S104" s="170"/>
      <c r="T104" s="170"/>
      <c r="U104" s="170"/>
      <c r="V104" s="170"/>
      <c r="W104" s="170"/>
      <c r="AO104" s="213"/>
      <c r="AP104" s="213"/>
      <c r="AQ104" s="213"/>
      <c r="AR104" s="213"/>
      <c r="AS104" s="213"/>
      <c r="AT104" s="213"/>
      <c r="AU104" s="213"/>
      <c r="AV104" s="213"/>
      <c r="AW104" s="213"/>
      <c r="AX104" s="213"/>
      <c r="AY104" s="213"/>
      <c r="AZ104" s="213"/>
      <c r="BA104" s="213"/>
      <c r="BB104" s="213"/>
      <c r="BC104" s="213"/>
      <c r="BD104" s="213"/>
      <c r="BE104" s="213"/>
      <c r="BF104" s="213"/>
      <c r="BG104" s="213"/>
      <c r="BH104" s="213"/>
    </row>
    <row r="105" spans="1:60" s="168" customFormat="1">
      <c r="A105" s="164"/>
      <c r="B105" s="172"/>
      <c r="C105" s="165"/>
      <c r="D105" s="165"/>
      <c r="E105" s="165"/>
      <c r="F105" s="165"/>
      <c r="G105" s="165"/>
      <c r="H105" s="166"/>
      <c r="I105" s="166"/>
      <c r="J105" s="166"/>
      <c r="K105" s="166"/>
      <c r="L105" s="166"/>
      <c r="M105" s="170"/>
      <c r="N105" s="170"/>
      <c r="O105" s="170"/>
      <c r="P105" s="170"/>
      <c r="Q105" s="170"/>
      <c r="R105" s="170"/>
      <c r="S105" s="170"/>
      <c r="T105" s="170"/>
      <c r="U105" s="170"/>
      <c r="V105" s="170"/>
      <c r="W105" s="170"/>
      <c r="AO105" s="213"/>
      <c r="AP105" s="213"/>
      <c r="AQ105" s="213"/>
      <c r="AR105" s="213"/>
      <c r="AS105" s="213"/>
      <c r="AT105" s="213"/>
      <c r="AU105" s="213"/>
      <c r="AV105" s="213"/>
      <c r="AW105" s="213"/>
      <c r="AX105" s="213"/>
      <c r="AY105" s="213"/>
      <c r="AZ105" s="213"/>
      <c r="BA105" s="213"/>
      <c r="BB105" s="213"/>
      <c r="BC105" s="213"/>
      <c r="BD105" s="213"/>
      <c r="BE105" s="213"/>
      <c r="BF105" s="213"/>
      <c r="BG105" s="213"/>
      <c r="BH105" s="213"/>
    </row>
    <row r="106" spans="1:60" s="168" customFormat="1">
      <c r="A106" s="164"/>
      <c r="B106" s="172"/>
      <c r="C106" s="165"/>
      <c r="D106" s="165"/>
      <c r="E106" s="165"/>
      <c r="F106" s="165"/>
      <c r="G106" s="165"/>
      <c r="H106" s="166"/>
      <c r="I106" s="166"/>
      <c r="J106" s="166"/>
      <c r="K106" s="166"/>
      <c r="L106" s="166"/>
      <c r="M106" s="170"/>
      <c r="N106" s="170"/>
      <c r="O106" s="170"/>
      <c r="P106" s="170"/>
      <c r="Q106" s="170"/>
      <c r="R106" s="170"/>
      <c r="S106" s="170"/>
      <c r="T106" s="170"/>
      <c r="U106" s="170"/>
      <c r="V106" s="170"/>
      <c r="W106" s="170"/>
      <c r="AO106" s="213"/>
      <c r="AP106" s="213"/>
      <c r="AQ106" s="213"/>
      <c r="AR106" s="213"/>
      <c r="AS106" s="213"/>
      <c r="AT106" s="213"/>
      <c r="AU106" s="213"/>
      <c r="AV106" s="213"/>
      <c r="AW106" s="213"/>
      <c r="AX106" s="213"/>
      <c r="AY106" s="213"/>
      <c r="AZ106" s="213"/>
      <c r="BA106" s="213"/>
      <c r="BB106" s="213"/>
      <c r="BC106" s="213"/>
      <c r="BD106" s="213"/>
      <c r="BE106" s="213"/>
      <c r="BF106" s="213"/>
      <c r="BG106" s="213"/>
      <c r="BH106" s="213"/>
    </row>
    <row r="107" spans="1:60" s="168" customFormat="1">
      <c r="A107" s="164"/>
      <c r="B107" s="172"/>
      <c r="C107" s="165"/>
      <c r="D107" s="165"/>
      <c r="E107" s="165"/>
      <c r="F107" s="165"/>
      <c r="G107" s="165"/>
      <c r="H107" s="166"/>
      <c r="I107" s="166"/>
      <c r="J107" s="166"/>
      <c r="K107" s="166"/>
      <c r="L107" s="166"/>
      <c r="M107" s="170"/>
      <c r="N107" s="170"/>
      <c r="O107" s="170"/>
      <c r="P107" s="170"/>
      <c r="Q107" s="170"/>
      <c r="R107" s="170"/>
      <c r="S107" s="170"/>
      <c r="T107" s="170"/>
      <c r="U107" s="170"/>
      <c r="V107" s="170"/>
      <c r="W107" s="170"/>
      <c r="AO107" s="213"/>
      <c r="AP107" s="213"/>
      <c r="AQ107" s="213"/>
      <c r="AR107" s="213"/>
      <c r="AS107" s="213"/>
      <c r="AT107" s="213"/>
      <c r="AU107" s="213"/>
      <c r="AV107" s="213"/>
      <c r="AW107" s="213"/>
      <c r="AX107" s="213"/>
      <c r="AY107" s="213"/>
      <c r="AZ107" s="213"/>
      <c r="BA107" s="213"/>
      <c r="BB107" s="213"/>
      <c r="BC107" s="213"/>
      <c r="BD107" s="213"/>
      <c r="BE107" s="213"/>
      <c r="BF107" s="213"/>
      <c r="BG107" s="213"/>
      <c r="BH107" s="213"/>
    </row>
    <row r="108" spans="1:60" s="168" customFormat="1" ht="14.25" customHeight="1">
      <c r="A108" s="164"/>
      <c r="B108" s="172"/>
      <c r="C108" s="165"/>
      <c r="D108" s="165"/>
      <c r="E108" s="165"/>
      <c r="F108" s="165"/>
      <c r="G108" s="165"/>
      <c r="H108" s="166"/>
      <c r="I108" s="166"/>
      <c r="J108" s="166"/>
      <c r="K108" s="166"/>
      <c r="L108" s="166"/>
      <c r="M108" s="170"/>
      <c r="N108" s="170"/>
      <c r="O108" s="170"/>
      <c r="P108" s="170"/>
      <c r="Q108" s="170"/>
      <c r="R108" s="170"/>
      <c r="S108" s="170"/>
      <c r="T108" s="170"/>
      <c r="U108" s="170"/>
      <c r="V108" s="170"/>
      <c r="W108" s="170"/>
      <c r="AO108" s="213"/>
      <c r="AP108" s="213"/>
      <c r="AQ108" s="213"/>
      <c r="AR108" s="213"/>
      <c r="AS108" s="213"/>
      <c r="AT108" s="213"/>
      <c r="AU108" s="213"/>
      <c r="AV108" s="213"/>
      <c r="AW108" s="213"/>
      <c r="AX108" s="213"/>
      <c r="AY108" s="213"/>
      <c r="AZ108" s="213"/>
      <c r="BA108" s="213"/>
      <c r="BB108" s="213"/>
      <c r="BC108" s="213"/>
      <c r="BD108" s="213"/>
      <c r="BE108" s="213"/>
      <c r="BF108" s="213"/>
      <c r="BG108" s="213"/>
      <c r="BH108" s="213"/>
    </row>
    <row r="109" spans="1:60" s="168" customFormat="1" ht="14.25" customHeight="1">
      <c r="A109" s="164" t="s">
        <v>183</v>
      </c>
      <c r="B109" s="172"/>
      <c r="C109" s="165"/>
      <c r="D109" s="165"/>
      <c r="E109" s="165"/>
      <c r="F109" s="165"/>
      <c r="G109" s="165"/>
      <c r="H109" s="166"/>
      <c r="I109" s="166"/>
      <c r="J109" s="166"/>
      <c r="K109" s="166"/>
      <c r="L109" s="166"/>
      <c r="M109" s="170"/>
      <c r="N109" s="170"/>
      <c r="O109" s="170"/>
      <c r="P109" s="170"/>
      <c r="Q109" s="170"/>
      <c r="R109" s="170"/>
      <c r="S109" s="170"/>
      <c r="T109" s="170"/>
      <c r="U109" s="170"/>
      <c r="V109" s="170"/>
      <c r="W109" s="170"/>
      <c r="AO109" s="213"/>
      <c r="AP109" s="213"/>
      <c r="AQ109" s="213"/>
      <c r="AR109" s="213"/>
      <c r="AS109" s="213"/>
      <c r="AT109" s="213"/>
      <c r="AU109" s="213"/>
      <c r="AV109" s="213"/>
      <c r="AW109" s="213"/>
      <c r="AX109" s="213"/>
      <c r="AY109" s="213"/>
      <c r="AZ109" s="213"/>
      <c r="BA109" s="213"/>
      <c r="BB109" s="213"/>
      <c r="BC109" s="213"/>
      <c r="BD109" s="213"/>
      <c r="BE109" s="213"/>
      <c r="BF109" s="213"/>
      <c r="BG109" s="213"/>
      <c r="BH109" s="213"/>
    </row>
    <row r="110" spans="1:60" s="168" customFormat="1" ht="14.25" customHeight="1">
      <c r="A110" s="164">
        <v>5</v>
      </c>
      <c r="B110" s="172"/>
      <c r="C110" s="165"/>
      <c r="D110" s="165"/>
      <c r="E110" s="165"/>
      <c r="F110" s="165"/>
      <c r="G110" s="165"/>
      <c r="H110" s="166"/>
      <c r="I110" s="166"/>
      <c r="J110" s="166"/>
      <c r="K110" s="166"/>
      <c r="L110" s="166"/>
      <c r="M110" s="170"/>
      <c r="N110" s="170"/>
      <c r="O110" s="170"/>
      <c r="P110" s="170"/>
      <c r="Q110" s="170"/>
      <c r="R110" s="170"/>
      <c r="S110" s="170"/>
      <c r="T110" s="170"/>
      <c r="U110" s="170"/>
      <c r="V110" s="170"/>
      <c r="W110" s="170"/>
      <c r="AO110" s="213"/>
      <c r="AP110" s="213"/>
      <c r="AQ110" s="213"/>
      <c r="AR110" s="213"/>
      <c r="AS110" s="213"/>
      <c r="AT110" s="213"/>
      <c r="AU110" s="213"/>
      <c r="AV110" s="213"/>
      <c r="AW110" s="213"/>
      <c r="AX110" s="213"/>
      <c r="AY110" s="213"/>
      <c r="AZ110" s="213"/>
      <c r="BA110" s="213"/>
      <c r="BB110" s="213"/>
      <c r="BC110" s="213"/>
      <c r="BD110" s="213"/>
      <c r="BE110" s="213"/>
      <c r="BF110" s="213"/>
      <c r="BG110" s="213"/>
      <c r="BH110" s="213"/>
    </row>
    <row r="111" spans="1:60" s="168" customFormat="1" ht="14.25" customHeight="1">
      <c r="A111" s="164"/>
      <c r="B111" s="172"/>
      <c r="C111" s="165"/>
      <c r="D111" s="165"/>
      <c r="E111" s="165"/>
      <c r="F111" s="165"/>
      <c r="G111" s="165"/>
      <c r="H111" s="166"/>
      <c r="I111" s="166"/>
      <c r="J111" s="166"/>
      <c r="K111" s="166"/>
      <c r="L111" s="166"/>
      <c r="M111" s="170"/>
      <c r="N111" s="170"/>
      <c r="O111" s="170"/>
      <c r="P111" s="170"/>
      <c r="Q111" s="170"/>
      <c r="R111" s="170"/>
      <c r="S111" s="170"/>
      <c r="T111" s="170"/>
      <c r="U111" s="170"/>
      <c r="V111" s="170"/>
      <c r="W111" s="170"/>
      <c r="AO111" s="213"/>
      <c r="AP111" s="213"/>
      <c r="AQ111" s="213"/>
      <c r="AR111" s="213"/>
      <c r="AS111" s="213"/>
      <c r="AT111" s="213"/>
      <c r="AU111" s="213"/>
      <c r="AV111" s="213"/>
      <c r="AW111" s="213"/>
      <c r="AX111" s="213"/>
      <c r="AY111" s="213"/>
      <c r="AZ111" s="213"/>
      <c r="BA111" s="213"/>
      <c r="BB111" s="213"/>
      <c r="BC111" s="213"/>
      <c r="BD111" s="213"/>
      <c r="BE111" s="213"/>
      <c r="BF111" s="213"/>
      <c r="BG111" s="213"/>
      <c r="BH111" s="213"/>
    </row>
    <row r="112" spans="1:60" s="168" customFormat="1" ht="14.25" customHeight="1">
      <c r="A112" s="164"/>
      <c r="B112" s="172"/>
      <c r="C112" s="165"/>
      <c r="D112" s="165"/>
      <c r="E112" s="165"/>
      <c r="F112" s="165"/>
      <c r="G112" s="165"/>
      <c r="H112" s="166"/>
      <c r="I112" s="166"/>
      <c r="J112" s="166"/>
      <c r="K112" s="166"/>
      <c r="L112" s="166"/>
      <c r="M112" s="170"/>
      <c r="N112" s="170"/>
      <c r="O112" s="170"/>
      <c r="P112" s="170"/>
      <c r="Q112" s="170"/>
      <c r="R112" s="170"/>
      <c r="S112" s="170"/>
      <c r="T112" s="170"/>
      <c r="U112" s="170"/>
      <c r="V112" s="170"/>
      <c r="W112" s="170"/>
      <c r="AO112" s="213"/>
      <c r="AP112" s="213"/>
      <c r="AQ112" s="213"/>
      <c r="AR112" s="213"/>
      <c r="AS112" s="213"/>
      <c r="AT112" s="213"/>
      <c r="AU112" s="213"/>
      <c r="AV112" s="213"/>
      <c r="AW112" s="213"/>
      <c r="AX112" s="213"/>
      <c r="AY112" s="213"/>
      <c r="AZ112" s="213"/>
      <c r="BA112" s="213"/>
      <c r="BB112" s="213"/>
      <c r="BC112" s="213"/>
      <c r="BD112" s="213"/>
      <c r="BE112" s="213"/>
      <c r="BF112" s="213"/>
      <c r="BG112" s="213"/>
      <c r="BH112" s="213"/>
    </row>
    <row r="113" spans="1:61" s="168" customFormat="1" ht="14.25" customHeight="1">
      <c r="A113" s="164"/>
      <c r="B113" s="172"/>
      <c r="C113" s="165"/>
      <c r="D113" s="165"/>
      <c r="E113" s="165"/>
      <c r="F113" s="165"/>
      <c r="G113" s="165"/>
      <c r="H113" s="166"/>
      <c r="I113" s="166"/>
      <c r="J113" s="166"/>
      <c r="K113" s="166"/>
      <c r="L113" s="166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AO113" s="213"/>
      <c r="AP113" s="213"/>
      <c r="AQ113" s="213"/>
      <c r="AR113" s="213"/>
      <c r="AS113" s="213"/>
      <c r="AT113" s="213"/>
      <c r="AU113" s="213"/>
      <c r="AV113" s="213"/>
      <c r="AW113" s="213"/>
      <c r="AX113" s="213"/>
      <c r="AY113" s="213"/>
      <c r="AZ113" s="213"/>
      <c r="BA113" s="213"/>
      <c r="BB113" s="213"/>
      <c r="BC113" s="213"/>
      <c r="BD113" s="213"/>
      <c r="BE113" s="213"/>
      <c r="BF113" s="213"/>
      <c r="BG113" s="213"/>
      <c r="BH113" s="213"/>
      <c r="BI113" s="213"/>
    </row>
    <row r="114" spans="1:61" s="168" customFormat="1" ht="14.25" customHeight="1">
      <c r="A114" s="164"/>
      <c r="B114" s="172"/>
      <c r="C114" s="165"/>
      <c r="D114" s="165"/>
      <c r="E114" s="165"/>
      <c r="F114" s="165"/>
      <c r="G114" s="165"/>
      <c r="H114" s="166"/>
      <c r="I114" s="166"/>
      <c r="J114" s="166"/>
      <c r="K114" s="166"/>
      <c r="L114" s="166"/>
      <c r="M114" s="170"/>
      <c r="N114" s="170"/>
      <c r="O114" s="170"/>
      <c r="P114" s="170"/>
      <c r="Q114" s="170"/>
      <c r="R114" s="170"/>
      <c r="S114" s="170"/>
      <c r="T114" s="170"/>
      <c r="U114" s="170"/>
      <c r="V114" s="170"/>
      <c r="W114" s="170"/>
      <c r="AO114" s="213"/>
      <c r="AP114" s="213"/>
      <c r="AQ114" s="213"/>
      <c r="AR114" s="213"/>
      <c r="AS114" s="213"/>
      <c r="AT114" s="213"/>
      <c r="AU114" s="213"/>
      <c r="AV114" s="213"/>
      <c r="AW114" s="213"/>
      <c r="AX114" s="213"/>
      <c r="AY114" s="213"/>
      <c r="AZ114" s="213"/>
      <c r="BA114" s="213"/>
      <c r="BB114" s="213"/>
      <c r="BC114" s="213"/>
      <c r="BD114" s="213"/>
      <c r="BE114" s="213"/>
      <c r="BF114" s="213"/>
      <c r="BG114" s="213"/>
      <c r="BH114" s="213"/>
      <c r="BI114" s="213"/>
    </row>
    <row r="115" spans="1:61" s="168" customFormat="1" ht="14.25" customHeight="1">
      <c r="A115" s="164"/>
      <c r="B115" s="172"/>
      <c r="C115" s="165"/>
      <c r="D115" s="165"/>
      <c r="E115" s="165"/>
      <c r="F115" s="165"/>
      <c r="G115" s="165"/>
      <c r="H115" s="166"/>
      <c r="I115" s="166"/>
      <c r="J115" s="166"/>
      <c r="K115" s="166"/>
      <c r="L115" s="166"/>
      <c r="M115" s="170"/>
      <c r="N115" s="170"/>
      <c r="O115" s="170"/>
      <c r="P115" s="170"/>
      <c r="Q115" s="170"/>
      <c r="R115" s="170"/>
      <c r="S115" s="170"/>
      <c r="T115" s="170"/>
      <c r="U115" s="170"/>
      <c r="V115" s="170"/>
      <c r="W115" s="170"/>
      <c r="AO115" s="213"/>
      <c r="AP115" s="213"/>
      <c r="AQ115" s="213"/>
      <c r="AR115" s="213"/>
      <c r="AS115" s="213"/>
      <c r="AT115" s="213"/>
      <c r="AU115" s="213"/>
      <c r="AV115" s="213"/>
      <c r="AW115" s="213"/>
      <c r="AX115" s="213"/>
      <c r="AY115" s="213"/>
      <c r="AZ115" s="213"/>
      <c r="BA115" s="213"/>
      <c r="BB115" s="213"/>
      <c r="BC115" s="213"/>
      <c r="BD115" s="213"/>
      <c r="BE115" s="213"/>
      <c r="BF115" s="213"/>
      <c r="BG115" s="213"/>
      <c r="BH115" s="213"/>
      <c r="BI115" s="213"/>
    </row>
    <row r="116" spans="1:61" s="168" customFormat="1" ht="14.25" customHeight="1">
      <c r="A116" s="164"/>
      <c r="B116" s="172"/>
      <c r="C116" s="165"/>
      <c r="D116" s="165"/>
      <c r="E116" s="165"/>
      <c r="F116" s="165"/>
      <c r="G116" s="165"/>
      <c r="H116" s="166"/>
      <c r="I116" s="166"/>
      <c r="J116" s="166"/>
      <c r="K116" s="166"/>
      <c r="L116" s="166"/>
      <c r="M116" s="170"/>
      <c r="N116" s="170"/>
      <c r="O116" s="170"/>
      <c r="P116" s="170"/>
      <c r="Q116" s="170"/>
      <c r="R116" s="170"/>
      <c r="S116" s="170"/>
      <c r="T116" s="170"/>
      <c r="U116" s="170"/>
      <c r="V116" s="170"/>
      <c r="W116" s="170"/>
      <c r="AO116" s="213"/>
      <c r="AP116" s="213"/>
      <c r="AQ116" s="213"/>
      <c r="AR116" s="213"/>
      <c r="AS116" s="213"/>
      <c r="AT116" s="213"/>
      <c r="AU116" s="213"/>
      <c r="AV116" s="213"/>
      <c r="AW116" s="213"/>
      <c r="AX116" s="213"/>
      <c r="AY116" s="213"/>
      <c r="AZ116" s="213"/>
      <c r="BA116" s="213"/>
      <c r="BB116" s="213"/>
      <c r="BC116" s="213"/>
      <c r="BD116" s="213"/>
      <c r="BE116" s="213"/>
      <c r="BF116" s="213"/>
      <c r="BG116" s="213"/>
      <c r="BH116" s="213"/>
      <c r="BI116" s="213"/>
    </row>
    <row r="117" spans="1:61" s="168" customFormat="1" ht="14.25" customHeight="1">
      <c r="A117" s="164"/>
      <c r="B117" s="172"/>
      <c r="C117" s="165"/>
      <c r="D117" s="165"/>
      <c r="E117" s="165"/>
      <c r="F117" s="165"/>
      <c r="G117" s="165"/>
      <c r="H117" s="166"/>
      <c r="I117" s="166"/>
      <c r="J117" s="166"/>
      <c r="K117" s="166"/>
      <c r="L117" s="166"/>
      <c r="M117" s="170"/>
      <c r="N117" s="170"/>
      <c r="O117" s="170"/>
      <c r="P117" s="170"/>
      <c r="Q117" s="170"/>
      <c r="R117" s="170"/>
      <c r="S117" s="170"/>
      <c r="T117" s="170"/>
      <c r="U117" s="170"/>
      <c r="V117" s="170"/>
      <c r="W117" s="170"/>
      <c r="AO117" s="213"/>
      <c r="AP117" s="213"/>
      <c r="AQ117" s="213"/>
      <c r="AR117" s="213"/>
      <c r="AS117" s="213"/>
      <c r="AT117" s="213"/>
      <c r="AU117" s="213"/>
      <c r="AV117" s="213"/>
      <c r="AW117" s="213"/>
      <c r="AX117" s="213"/>
      <c r="AY117" s="213"/>
      <c r="AZ117" s="213"/>
      <c r="BA117" s="213"/>
      <c r="BB117" s="213"/>
      <c r="BC117" s="213"/>
      <c r="BD117" s="213"/>
      <c r="BE117" s="213"/>
      <c r="BF117" s="213"/>
      <c r="BG117" s="213"/>
      <c r="BH117" s="213"/>
      <c r="BI117" s="213"/>
    </row>
    <row r="118" spans="1:61" s="168" customFormat="1" ht="14.25" customHeight="1">
      <c r="A118" s="164"/>
      <c r="B118" s="172"/>
      <c r="C118" s="169"/>
      <c r="D118" s="169"/>
      <c r="E118" s="169"/>
      <c r="F118" s="169"/>
      <c r="G118" s="169"/>
      <c r="H118" s="170"/>
      <c r="I118" s="170"/>
      <c r="J118" s="170"/>
      <c r="K118" s="170"/>
      <c r="L118" s="170"/>
      <c r="M118" s="170"/>
      <c r="N118" s="170"/>
      <c r="O118" s="170"/>
      <c r="P118" s="170"/>
      <c r="Q118" s="170"/>
      <c r="R118" s="170"/>
      <c r="S118" s="170"/>
      <c r="T118" s="170"/>
      <c r="U118" s="170"/>
      <c r="V118" s="170"/>
      <c r="W118" s="170"/>
      <c r="AO118" s="213"/>
      <c r="AP118" s="213"/>
      <c r="AQ118" s="213"/>
      <c r="AR118" s="213"/>
      <c r="AS118" s="213"/>
      <c r="AT118" s="213"/>
      <c r="AU118" s="213"/>
      <c r="AV118" s="213"/>
      <c r="AW118" s="213"/>
      <c r="AX118" s="213"/>
      <c r="AY118" s="213"/>
      <c r="AZ118" s="213"/>
      <c r="BA118" s="213"/>
      <c r="BB118" s="213"/>
      <c r="BC118" s="213"/>
      <c r="BD118" s="213"/>
      <c r="BE118" s="213"/>
      <c r="BF118" s="213"/>
      <c r="BG118" s="213"/>
      <c r="BH118" s="213"/>
      <c r="BI118" s="213"/>
    </row>
    <row r="119" spans="1:61" s="212" customFormat="1" ht="14.25" customHeight="1">
      <c r="A119" s="171">
        <f>A89+1</f>
        <v>4</v>
      </c>
      <c r="B119" s="172"/>
      <c r="C119" s="187" t="str">
        <f>IF($A$1 = 1, (IF("("&amp;C129&amp;")" ="()","","("&amp;C129&amp;")")), (IF("("&amp;C134&amp;")     ("&amp;C129&amp;")"="()     ()","","("&amp;C134&amp;")     ("&amp;C129&amp;")")))</f>
        <v>(78)     (77)</v>
      </c>
      <c r="D119" s="187" t="str">
        <f t="shared" ref="D119:J119" si="9">IF($A$1 = 1, (IF("("&amp;D129&amp;")" ="()","","("&amp;D129&amp;")")), (IF("("&amp;D134&amp;")     ("&amp;D129&amp;")"="()     ()","","("&amp;D134&amp;")     ("&amp;D129&amp;")")))</f>
        <v>(213)     (214)</v>
      </c>
      <c r="E119" s="187" t="str">
        <f t="shared" si="9"/>
        <v>(144)     (115)</v>
      </c>
      <c r="F119" s="187" t="str">
        <f t="shared" si="9"/>
        <v>(57)     (61)</v>
      </c>
      <c r="G119" s="187" t="str">
        <f t="shared" si="9"/>
        <v>(108)     (79)</v>
      </c>
      <c r="H119" s="187" t="str">
        <f t="shared" si="9"/>
        <v/>
      </c>
      <c r="I119" s="187" t="str">
        <f t="shared" si="9"/>
        <v/>
      </c>
      <c r="J119" s="187" t="str">
        <f t="shared" si="9"/>
        <v/>
      </c>
      <c r="K119" s="187"/>
      <c r="L119" s="187"/>
      <c r="M119" s="220"/>
      <c r="N119" s="220"/>
      <c r="O119" s="220"/>
      <c r="P119" s="220"/>
      <c r="Q119" s="220"/>
      <c r="R119" s="220"/>
      <c r="S119" s="220"/>
      <c r="T119" s="220"/>
      <c r="U119" s="220"/>
      <c r="V119" s="220"/>
      <c r="W119" s="220"/>
      <c r="AO119" s="215"/>
      <c r="AP119" s="215"/>
      <c r="AQ119" s="215"/>
      <c r="AR119" s="215"/>
      <c r="AS119" s="215"/>
      <c r="AT119" s="215"/>
      <c r="AU119" s="215"/>
      <c r="AV119" s="215"/>
      <c r="AW119" s="215"/>
      <c r="AX119" s="215"/>
      <c r="AY119" s="215"/>
      <c r="AZ119" s="215"/>
      <c r="BA119" s="215"/>
      <c r="BB119" s="215"/>
      <c r="BC119" s="215"/>
      <c r="BD119" s="215"/>
      <c r="BE119" s="215"/>
      <c r="BF119" s="215"/>
      <c r="BG119" s="215"/>
      <c r="BH119" s="215"/>
      <c r="BI119" s="215"/>
    </row>
    <row r="120" spans="1:61" s="210" customFormat="1" ht="59.1" customHeight="1">
      <c r="A120" s="176"/>
      <c r="B120" s="177"/>
      <c r="C120" s="178" t="s">
        <v>753</v>
      </c>
      <c r="D120" s="347" t="s">
        <v>754</v>
      </c>
      <c r="E120" s="178" t="s">
        <v>755</v>
      </c>
      <c r="F120" s="178" t="s">
        <v>756</v>
      </c>
      <c r="G120" s="178" t="s">
        <v>564</v>
      </c>
      <c r="H120" s="178"/>
      <c r="I120" s="178"/>
      <c r="J120" s="178"/>
      <c r="K120" s="178"/>
      <c r="L120" s="178"/>
      <c r="M120" s="208"/>
      <c r="N120" s="208"/>
      <c r="O120" s="208"/>
      <c r="P120" s="208"/>
      <c r="Q120" s="208"/>
      <c r="R120" s="208"/>
      <c r="S120" s="208"/>
      <c r="T120" s="208"/>
      <c r="U120" s="208"/>
      <c r="V120" s="208"/>
      <c r="W120" s="208"/>
      <c r="AO120" s="216"/>
      <c r="AP120" s="216"/>
      <c r="AQ120" s="216"/>
      <c r="AR120" s="216"/>
      <c r="AS120" s="216"/>
      <c r="AT120" s="216"/>
      <c r="AU120" s="216"/>
      <c r="AV120" s="216"/>
      <c r="AW120" s="216"/>
      <c r="AY120" s="216"/>
      <c r="AZ120" s="216"/>
      <c r="BA120" s="216"/>
      <c r="BB120" s="216"/>
      <c r="BC120" s="216"/>
      <c r="BD120" s="216"/>
      <c r="BE120" s="216"/>
      <c r="BF120" s="216"/>
      <c r="BG120" s="216"/>
      <c r="BH120" s="216"/>
      <c r="BI120" s="216"/>
    </row>
    <row r="121" spans="1:61" s="168" customFormat="1" ht="18" customHeight="1" thickBot="1">
      <c r="A121" s="164"/>
      <c r="B121" s="181" t="s">
        <v>3</v>
      </c>
      <c r="C121" s="148">
        <v>72</v>
      </c>
      <c r="D121" s="148">
        <v>67</v>
      </c>
      <c r="E121" s="148">
        <v>65</v>
      </c>
      <c r="F121" s="148">
        <v>72</v>
      </c>
      <c r="G121" s="148">
        <v>79</v>
      </c>
      <c r="H121" s="148"/>
      <c r="I121" s="148"/>
      <c r="J121" s="148"/>
      <c r="K121" s="148"/>
      <c r="L121" s="148"/>
      <c r="M121" s="211"/>
      <c r="N121" s="211"/>
      <c r="O121" s="211"/>
      <c r="P121" s="211"/>
      <c r="Q121" s="211"/>
      <c r="R121" s="211"/>
      <c r="S121" s="211"/>
      <c r="T121" s="211"/>
      <c r="U121" s="211"/>
      <c r="V121" s="211"/>
      <c r="W121" s="211"/>
      <c r="AO121" s="213"/>
      <c r="AP121" s="213"/>
      <c r="AQ121" s="213"/>
      <c r="AR121" s="213"/>
      <c r="AS121" s="213"/>
      <c r="AT121" s="213"/>
      <c r="AU121" s="213"/>
      <c r="AV121" s="213"/>
      <c r="AW121" s="213"/>
      <c r="AY121" s="213"/>
      <c r="AZ121" s="213"/>
      <c r="BA121" s="213"/>
      <c r="BB121" s="213"/>
      <c r="BC121" s="213"/>
      <c r="BD121" s="213"/>
      <c r="BE121" s="213"/>
      <c r="BF121" s="213"/>
      <c r="BG121" s="213"/>
      <c r="BH121" s="213"/>
      <c r="BI121" s="213"/>
    </row>
    <row r="122" spans="1:61" s="168" customFormat="1" ht="18" customHeight="1" thickBot="1">
      <c r="A122" s="164"/>
      <c r="B122" s="182" t="s">
        <v>18</v>
      </c>
      <c r="C122" s="148">
        <v>72</v>
      </c>
      <c r="D122" s="148">
        <v>70</v>
      </c>
      <c r="E122" s="148">
        <v>67</v>
      </c>
      <c r="F122" s="148">
        <v>70</v>
      </c>
      <c r="G122" s="148">
        <v>78</v>
      </c>
      <c r="H122" s="148"/>
      <c r="I122" s="148"/>
      <c r="J122" s="148"/>
      <c r="K122" s="148"/>
      <c r="L122" s="148"/>
      <c r="M122" s="145"/>
      <c r="N122" s="145"/>
      <c r="O122" s="145"/>
      <c r="P122" s="145"/>
      <c r="Q122" s="145"/>
      <c r="R122" s="145"/>
      <c r="S122" s="145"/>
      <c r="T122" s="145"/>
      <c r="U122" s="145"/>
      <c r="V122" s="145"/>
      <c r="W122" s="145"/>
      <c r="AO122" s="213"/>
      <c r="AP122" s="213"/>
      <c r="AQ122" s="213"/>
      <c r="AR122" s="213"/>
      <c r="AS122" s="213"/>
      <c r="AT122" s="213"/>
      <c r="AU122" s="213"/>
      <c r="AV122" s="213"/>
      <c r="AW122" s="213"/>
      <c r="AY122" s="213"/>
      <c r="AZ122" s="213"/>
      <c r="BA122" s="213"/>
      <c r="BB122" s="213"/>
      <c r="BC122" s="213"/>
      <c r="BD122" s="213"/>
      <c r="BE122" s="213"/>
      <c r="BF122" s="213"/>
      <c r="BG122" s="213"/>
      <c r="BH122" s="213"/>
      <c r="BI122" s="213"/>
    </row>
    <row r="123" spans="1:61" s="168" customFormat="1" ht="18" customHeight="1" thickBot="1">
      <c r="A123" s="164"/>
      <c r="B123" s="183" t="s">
        <v>32</v>
      </c>
      <c r="C123" s="147">
        <v>70</v>
      </c>
      <c r="D123" s="147">
        <v>63</v>
      </c>
      <c r="E123" s="147">
        <v>63</v>
      </c>
      <c r="F123" s="147">
        <v>68</v>
      </c>
      <c r="G123" s="147">
        <v>72</v>
      </c>
      <c r="H123" s="147"/>
      <c r="I123" s="147"/>
      <c r="J123" s="147"/>
      <c r="K123" s="147"/>
      <c r="L123" s="147"/>
      <c r="M123" s="145"/>
      <c r="N123" s="145"/>
      <c r="O123" s="145"/>
      <c r="P123" s="145"/>
      <c r="Q123" s="145"/>
      <c r="R123" s="145"/>
      <c r="S123" s="145"/>
      <c r="T123" s="145"/>
      <c r="U123" s="145"/>
      <c r="V123" s="145"/>
      <c r="W123" s="145"/>
      <c r="AO123" s="213"/>
      <c r="AP123" s="213"/>
      <c r="AQ123" s="213"/>
      <c r="AR123" s="213"/>
      <c r="AS123" s="213"/>
      <c r="AT123" s="213"/>
      <c r="AU123" s="213"/>
      <c r="AV123" s="213"/>
      <c r="AW123" s="213"/>
      <c r="AY123" s="213"/>
      <c r="AZ123" s="213"/>
      <c r="BA123" s="213"/>
      <c r="BB123" s="213"/>
      <c r="BC123" s="213"/>
      <c r="BD123" s="213"/>
      <c r="BE123" s="213"/>
      <c r="BF123" s="213"/>
      <c r="BG123" s="213"/>
      <c r="BH123" s="213"/>
    </row>
    <row r="124" spans="1:61" s="168" customFormat="1" ht="18" customHeight="1" thickBot="1">
      <c r="A124" s="164"/>
      <c r="B124" s="182" t="s">
        <v>45</v>
      </c>
      <c r="C124" s="145">
        <v>68</v>
      </c>
      <c r="D124" s="145">
        <v>64</v>
      </c>
      <c r="E124" s="145">
        <v>64</v>
      </c>
      <c r="F124" s="145">
        <v>71</v>
      </c>
      <c r="G124" s="145">
        <v>75</v>
      </c>
      <c r="H124" s="145"/>
      <c r="I124" s="145"/>
      <c r="J124" s="145"/>
      <c r="K124" s="145"/>
      <c r="L124" s="145"/>
      <c r="M124" s="145"/>
      <c r="N124" s="145"/>
      <c r="O124" s="145"/>
      <c r="P124" s="145"/>
      <c r="Q124" s="145"/>
      <c r="R124" s="145"/>
      <c r="S124" s="145"/>
      <c r="T124" s="145"/>
      <c r="U124" s="145"/>
      <c r="V124" s="145"/>
      <c r="W124" s="145"/>
      <c r="AO124" s="213"/>
      <c r="AP124" s="213"/>
      <c r="AQ124" s="213"/>
      <c r="AR124" s="213"/>
      <c r="AS124" s="213"/>
      <c r="AT124" s="213"/>
      <c r="AU124" s="213"/>
      <c r="AV124" s="213"/>
      <c r="AW124" s="213"/>
      <c r="AY124" s="213"/>
      <c r="AZ124" s="213"/>
      <c r="BA124" s="213"/>
      <c r="BB124" s="213"/>
      <c r="BC124" s="213"/>
      <c r="BD124" s="213"/>
      <c r="BE124" s="213"/>
      <c r="BF124" s="213"/>
      <c r="BG124" s="213"/>
      <c r="BH124" s="213"/>
    </row>
    <row r="125" spans="1:61" s="168" customFormat="1" ht="18" customHeight="1" thickBot="1">
      <c r="A125" s="164"/>
      <c r="B125" s="184" t="s">
        <v>54</v>
      </c>
      <c r="C125" s="146">
        <v>73</v>
      </c>
      <c r="D125" s="146">
        <v>67</v>
      </c>
      <c r="E125" s="146">
        <v>67</v>
      </c>
      <c r="F125" s="146">
        <v>70</v>
      </c>
      <c r="G125" s="146">
        <v>76</v>
      </c>
      <c r="H125" s="146"/>
      <c r="I125" s="146"/>
      <c r="J125" s="146"/>
      <c r="K125" s="146"/>
      <c r="L125" s="146"/>
      <c r="M125" s="145"/>
      <c r="N125" s="145"/>
      <c r="O125" s="145"/>
      <c r="P125" s="145"/>
      <c r="Q125" s="145"/>
      <c r="R125" s="145"/>
      <c r="S125" s="145"/>
      <c r="T125" s="145"/>
      <c r="U125" s="145"/>
      <c r="V125" s="145"/>
      <c r="W125" s="145"/>
      <c r="AO125" s="213"/>
      <c r="AP125" s="213"/>
      <c r="AQ125" s="213"/>
      <c r="AR125" s="213"/>
      <c r="AS125" s="213"/>
      <c r="AT125" s="213"/>
      <c r="AU125" s="213"/>
      <c r="AV125" s="213"/>
      <c r="AW125" s="213"/>
      <c r="AY125" s="213"/>
      <c r="AZ125" s="213"/>
      <c r="BA125" s="213"/>
      <c r="BB125" s="213"/>
      <c r="BC125" s="213"/>
      <c r="BD125" s="213"/>
      <c r="BE125" s="213"/>
      <c r="BF125" s="213"/>
      <c r="BG125" s="213"/>
      <c r="BH125" s="213"/>
    </row>
    <row r="126" spans="1:61" s="168" customFormat="1">
      <c r="A126" s="164"/>
      <c r="B126" s="182" t="s">
        <v>66</v>
      </c>
      <c r="C126" s="145">
        <v>78</v>
      </c>
      <c r="D126" s="145">
        <v>64</v>
      </c>
      <c r="E126" s="145">
        <v>58</v>
      </c>
      <c r="F126" s="145">
        <v>69</v>
      </c>
      <c r="G126" s="145">
        <v>71</v>
      </c>
      <c r="H126" s="125"/>
      <c r="I126" s="125"/>
      <c r="J126" s="125"/>
      <c r="K126" s="125"/>
      <c r="L126" s="125"/>
      <c r="M126" s="145"/>
      <c r="N126" s="145"/>
      <c r="O126" s="145"/>
      <c r="P126" s="145"/>
      <c r="Q126" s="145"/>
      <c r="R126" s="145"/>
      <c r="S126" s="145"/>
      <c r="T126" s="145"/>
      <c r="U126" s="145"/>
      <c r="V126" s="145"/>
      <c r="W126" s="145"/>
      <c r="AO126" s="213"/>
      <c r="AP126" s="213"/>
      <c r="AQ126" s="213"/>
      <c r="AR126" s="213"/>
      <c r="AS126" s="213"/>
      <c r="AT126" s="213"/>
      <c r="AU126" s="213"/>
      <c r="AV126" s="213"/>
      <c r="AW126" s="213"/>
      <c r="AY126" s="213"/>
      <c r="AZ126" s="213"/>
      <c r="BA126" s="213"/>
      <c r="BB126" s="213"/>
      <c r="BC126" s="213"/>
      <c r="BD126" s="213"/>
      <c r="BE126" s="213"/>
      <c r="BF126" s="213"/>
      <c r="BG126" s="213"/>
      <c r="BH126" s="213"/>
    </row>
    <row r="127" spans="1:61" s="168" customFormat="1">
      <c r="A127" s="164"/>
      <c r="B127" s="182" t="s">
        <v>158</v>
      </c>
      <c r="C127" s="126">
        <v>71</v>
      </c>
      <c r="D127" s="126">
        <v>66</v>
      </c>
      <c r="E127" s="126">
        <v>65</v>
      </c>
      <c r="F127" s="126">
        <v>70</v>
      </c>
      <c r="G127" s="126">
        <v>76</v>
      </c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AO127" s="213"/>
      <c r="AP127" s="213"/>
      <c r="AQ127" s="213"/>
      <c r="AR127" s="213"/>
      <c r="AS127" s="213"/>
      <c r="AT127" s="213"/>
      <c r="AU127" s="213"/>
      <c r="AV127" s="213"/>
      <c r="AW127" s="213"/>
      <c r="AY127" s="213"/>
      <c r="AZ127" s="213"/>
      <c r="BA127" s="213"/>
      <c r="BB127" s="213"/>
      <c r="BC127" s="213"/>
      <c r="BD127" s="213"/>
      <c r="BE127" s="213"/>
      <c r="BF127" s="213"/>
      <c r="BG127" s="213"/>
      <c r="BH127" s="213"/>
    </row>
    <row r="128" spans="1:61" s="168" customFormat="1">
      <c r="A128" s="164"/>
      <c r="B128" s="182" t="s">
        <v>191</v>
      </c>
      <c r="C128" s="127">
        <v>69</v>
      </c>
      <c r="D128" s="127">
        <v>69</v>
      </c>
      <c r="E128" s="127">
        <v>69</v>
      </c>
      <c r="F128" s="127">
        <v>69</v>
      </c>
      <c r="G128" s="127">
        <v>69</v>
      </c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AO128" s="214"/>
      <c r="AP128" s="214"/>
      <c r="AQ128" s="214"/>
      <c r="AR128" s="214"/>
      <c r="AS128" s="214"/>
      <c r="AT128" s="213"/>
      <c r="AU128" s="213"/>
      <c r="AV128" s="213"/>
      <c r="AW128" s="213"/>
      <c r="AY128" s="213"/>
      <c r="AZ128" s="213"/>
      <c r="BA128" s="213"/>
      <c r="BB128" s="213"/>
      <c r="BC128" s="213"/>
      <c r="BD128" s="213"/>
      <c r="BE128" s="213"/>
      <c r="BF128" s="213"/>
      <c r="BG128" s="213"/>
      <c r="BH128" s="213"/>
    </row>
    <row r="129" spans="1:60" s="168" customFormat="1" ht="15" thickBot="1">
      <c r="A129" s="164"/>
      <c r="B129" s="182" t="s">
        <v>442</v>
      </c>
      <c r="C129" s="126">
        <v>77</v>
      </c>
      <c r="D129" s="315">
        <v>214</v>
      </c>
      <c r="E129" s="315">
        <v>115</v>
      </c>
      <c r="F129" s="315">
        <v>61</v>
      </c>
      <c r="G129" s="315">
        <v>79</v>
      </c>
      <c r="H129" s="315"/>
      <c r="I129" s="315"/>
      <c r="J129" s="315"/>
      <c r="K129" s="315"/>
      <c r="L129" s="315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AO129" s="213"/>
      <c r="AP129" s="213"/>
      <c r="AQ129" s="213"/>
      <c r="AR129" s="213"/>
      <c r="AS129" s="213"/>
      <c r="AT129" s="213"/>
      <c r="AU129" s="213"/>
      <c r="AV129" s="213"/>
      <c r="AW129" s="213"/>
      <c r="AY129" s="213"/>
      <c r="AZ129" s="213"/>
      <c r="BA129" s="213"/>
      <c r="BB129" s="213"/>
      <c r="BC129" s="213"/>
      <c r="BD129" s="213"/>
      <c r="BE129" s="213"/>
      <c r="BF129" s="213"/>
      <c r="BG129" s="213"/>
      <c r="BH129" s="213"/>
    </row>
    <row r="130" spans="1:60" s="168" customFormat="1">
      <c r="A130" s="164"/>
      <c r="B130" s="338" t="s">
        <v>166</v>
      </c>
      <c r="C130" s="316">
        <f>IF(OR(C133="**",C133=""),"",VALUE(C133))</f>
        <v>76</v>
      </c>
      <c r="D130" s="316">
        <f t="shared" ref="D130:J130" si="10">IF(OR(D133="**",D133=""),"",VALUE(D133))</f>
        <v>74</v>
      </c>
      <c r="E130" s="316">
        <f t="shared" si="10"/>
        <v>66</v>
      </c>
      <c r="F130" s="316">
        <f t="shared" si="10"/>
        <v>76</v>
      </c>
      <c r="G130" s="316">
        <f t="shared" si="10"/>
        <v>74</v>
      </c>
      <c r="H130" s="316" t="str">
        <f t="shared" si="10"/>
        <v/>
      </c>
      <c r="I130" s="316" t="str">
        <f t="shared" si="10"/>
        <v/>
      </c>
      <c r="J130" s="316" t="str">
        <f t="shared" si="10"/>
        <v/>
      </c>
      <c r="K130" s="316"/>
      <c r="L130" s="316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AO130" s="213"/>
      <c r="AP130" s="213"/>
      <c r="AQ130" s="213"/>
      <c r="AR130" s="213"/>
      <c r="AS130" s="213"/>
      <c r="AT130" s="213"/>
      <c r="AU130" s="213"/>
      <c r="AV130" s="213"/>
      <c r="AW130" s="213"/>
      <c r="AY130" s="213"/>
      <c r="AZ130" s="213"/>
      <c r="BA130" s="213"/>
      <c r="BB130" s="213"/>
      <c r="BC130" s="213"/>
      <c r="BD130" s="213"/>
      <c r="BE130" s="213"/>
      <c r="BF130" s="213"/>
      <c r="BG130" s="213"/>
      <c r="BH130" s="213"/>
    </row>
    <row r="131" spans="1:60" s="168" customFormat="1" ht="15" thickBot="1">
      <c r="A131" s="164"/>
      <c r="B131" s="339" t="s">
        <v>165</v>
      </c>
      <c r="C131" s="317">
        <f t="shared" ref="C131:J131" si="11">IF(OR(C127="**",C127=""),"",VALUE(C127))</f>
        <v>71</v>
      </c>
      <c r="D131" s="317">
        <f t="shared" si="11"/>
        <v>66</v>
      </c>
      <c r="E131" s="317">
        <f t="shared" si="11"/>
        <v>65</v>
      </c>
      <c r="F131" s="317">
        <f t="shared" si="11"/>
        <v>70</v>
      </c>
      <c r="G131" s="317">
        <f t="shared" si="11"/>
        <v>76</v>
      </c>
      <c r="H131" s="317" t="str">
        <f t="shared" si="11"/>
        <v/>
      </c>
      <c r="I131" s="317" t="str">
        <f t="shared" si="11"/>
        <v/>
      </c>
      <c r="J131" s="317" t="str">
        <f t="shared" si="11"/>
        <v/>
      </c>
      <c r="K131" s="317"/>
      <c r="L131" s="317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  <c r="AO131" s="169"/>
      <c r="AP131" s="169"/>
      <c r="AQ131" s="169"/>
      <c r="AR131" s="169"/>
      <c r="AS131" s="169"/>
      <c r="AT131" s="169"/>
      <c r="AU131" s="169"/>
      <c r="AV131" s="169"/>
      <c r="AW131" s="213"/>
      <c r="AX131" s="213"/>
      <c r="AY131" s="213"/>
      <c r="AZ131" s="213"/>
      <c r="BA131" s="213"/>
      <c r="BB131" s="213"/>
      <c r="BC131" s="213"/>
      <c r="BD131" s="213"/>
      <c r="BE131" s="213"/>
      <c r="BF131" s="213"/>
      <c r="BG131" s="213"/>
      <c r="BH131" s="213"/>
    </row>
    <row r="132" spans="1:60" s="168" customFormat="1">
      <c r="A132" s="164"/>
      <c r="B132" s="340" t="s">
        <v>483</v>
      </c>
      <c r="C132" s="167" t="s">
        <v>753</v>
      </c>
      <c r="D132" s="167" t="s">
        <v>754</v>
      </c>
      <c r="E132" s="167" t="s">
        <v>755</v>
      </c>
      <c r="F132" s="167" t="s">
        <v>756</v>
      </c>
      <c r="G132" s="167" t="s">
        <v>564</v>
      </c>
      <c r="H132" s="166"/>
      <c r="I132" s="166"/>
      <c r="J132" s="166"/>
      <c r="K132" s="166"/>
      <c r="L132" s="166"/>
      <c r="M132" s="170"/>
      <c r="N132" s="170"/>
      <c r="O132" s="170"/>
      <c r="P132" s="170"/>
      <c r="Q132" s="170"/>
      <c r="R132" s="170"/>
      <c r="S132" s="170"/>
      <c r="T132" s="170"/>
      <c r="U132" s="170"/>
      <c r="V132" s="170"/>
      <c r="W132" s="170"/>
      <c r="AO132" s="213"/>
      <c r="AP132" s="213"/>
      <c r="AQ132" s="213"/>
      <c r="AR132" s="213"/>
      <c r="AS132" s="213"/>
      <c r="AT132" s="213"/>
      <c r="AU132" s="213"/>
      <c r="AV132" s="213"/>
      <c r="AW132" s="213"/>
      <c r="AX132" s="213"/>
      <c r="AY132" s="213"/>
      <c r="AZ132" s="213"/>
      <c r="BA132" s="213"/>
      <c r="BB132" s="213"/>
      <c r="BC132" s="213"/>
      <c r="BD132" s="213"/>
      <c r="BE132" s="213"/>
      <c r="BF132" s="213"/>
      <c r="BG132" s="213"/>
      <c r="BH132" s="213"/>
    </row>
    <row r="133" spans="1:60" s="168" customFormat="1">
      <c r="A133" s="164"/>
      <c r="B133" s="182" t="s">
        <v>158</v>
      </c>
      <c r="C133" s="165">
        <v>76</v>
      </c>
      <c r="D133" s="165">
        <v>74</v>
      </c>
      <c r="E133" s="165">
        <v>66</v>
      </c>
      <c r="F133" s="165">
        <v>76</v>
      </c>
      <c r="G133" s="165">
        <v>74</v>
      </c>
      <c r="H133" s="166"/>
      <c r="I133" s="166"/>
      <c r="J133" s="166"/>
      <c r="K133" s="166"/>
      <c r="L133" s="166"/>
      <c r="M133" s="170"/>
      <c r="N133" s="170"/>
      <c r="O133" s="170"/>
      <c r="P133" s="170"/>
      <c r="Q133" s="170"/>
      <c r="R133" s="170"/>
      <c r="S133" s="170"/>
      <c r="T133" s="170"/>
      <c r="U133" s="170"/>
      <c r="V133" s="170"/>
      <c r="W133" s="170"/>
      <c r="AO133" s="213"/>
      <c r="AP133" s="213"/>
      <c r="AQ133" s="213"/>
      <c r="AR133" s="213"/>
      <c r="AS133" s="213"/>
      <c r="AT133" s="213"/>
      <c r="AU133" s="213"/>
      <c r="AV133" s="213"/>
      <c r="AW133" s="213"/>
      <c r="AX133" s="213"/>
      <c r="AY133" s="213"/>
      <c r="AZ133" s="213"/>
      <c r="BA133" s="213"/>
      <c r="BB133" s="213"/>
      <c r="BC133" s="213"/>
      <c r="BD133" s="213"/>
      <c r="BE133" s="213"/>
      <c r="BF133" s="213"/>
      <c r="BG133" s="213"/>
      <c r="BH133" s="213"/>
    </row>
    <row r="134" spans="1:60" s="168" customFormat="1">
      <c r="A134" s="164"/>
      <c r="B134" s="340" t="s">
        <v>442</v>
      </c>
      <c r="C134" s="165">
        <v>78</v>
      </c>
      <c r="D134" s="165">
        <v>213</v>
      </c>
      <c r="E134" s="165">
        <v>144</v>
      </c>
      <c r="F134" s="165">
        <v>57</v>
      </c>
      <c r="G134" s="165">
        <v>108</v>
      </c>
      <c r="H134" s="165"/>
      <c r="I134" s="165"/>
      <c r="J134" s="165"/>
      <c r="K134" s="165"/>
      <c r="L134" s="165"/>
      <c r="M134" s="170"/>
      <c r="N134" s="170"/>
      <c r="O134" s="170"/>
      <c r="P134" s="170"/>
      <c r="Q134" s="170"/>
      <c r="R134" s="170"/>
      <c r="S134" s="170"/>
      <c r="T134" s="170"/>
      <c r="U134" s="170"/>
      <c r="V134" s="170"/>
      <c r="W134" s="170"/>
      <c r="AO134" s="213"/>
      <c r="AP134" s="213"/>
      <c r="AQ134" s="213"/>
      <c r="AR134" s="213"/>
      <c r="AS134" s="213"/>
      <c r="AT134" s="213"/>
      <c r="AU134" s="213"/>
      <c r="AV134" s="213"/>
      <c r="AW134" s="213"/>
      <c r="AX134" s="213"/>
      <c r="AY134" s="213"/>
      <c r="AZ134" s="213"/>
      <c r="BA134" s="213"/>
      <c r="BB134" s="213"/>
      <c r="BC134" s="213"/>
      <c r="BD134" s="213"/>
      <c r="BE134" s="213"/>
      <c r="BF134" s="213"/>
      <c r="BG134" s="213"/>
      <c r="BH134" s="213"/>
    </row>
    <row r="135" spans="1:60" s="168" customFormat="1">
      <c r="A135" s="164"/>
      <c r="B135" s="172"/>
      <c r="C135" s="165"/>
      <c r="D135" s="165"/>
      <c r="E135" s="165"/>
      <c r="F135" s="165"/>
      <c r="G135" s="165"/>
      <c r="H135" s="166"/>
      <c r="I135" s="166"/>
      <c r="J135" s="166"/>
      <c r="K135" s="166"/>
      <c r="L135" s="166"/>
      <c r="M135" s="170"/>
      <c r="N135" s="170"/>
      <c r="O135" s="170"/>
      <c r="P135" s="170"/>
      <c r="Q135" s="170"/>
      <c r="R135" s="170"/>
      <c r="S135" s="170"/>
      <c r="T135" s="170"/>
      <c r="U135" s="170"/>
      <c r="V135" s="170"/>
      <c r="W135" s="170"/>
      <c r="AO135" s="213"/>
      <c r="AP135" s="213"/>
      <c r="AQ135" s="213"/>
      <c r="AR135" s="213"/>
      <c r="AS135" s="213"/>
      <c r="AT135" s="213"/>
      <c r="AU135" s="213"/>
      <c r="AV135" s="213"/>
      <c r="AW135" s="213"/>
      <c r="AX135" s="213"/>
      <c r="AY135" s="213"/>
      <c r="AZ135" s="213"/>
      <c r="BA135" s="213"/>
      <c r="BB135" s="213"/>
      <c r="BC135" s="213"/>
      <c r="BD135" s="213"/>
      <c r="BE135" s="213"/>
      <c r="BF135" s="213"/>
      <c r="BG135" s="213"/>
      <c r="BH135" s="213"/>
    </row>
    <row r="136" spans="1:60" s="168" customFormat="1">
      <c r="A136" s="164"/>
      <c r="B136" s="172"/>
      <c r="C136" s="165"/>
      <c r="D136" s="165"/>
      <c r="E136" s="165"/>
      <c r="F136" s="165"/>
      <c r="G136" s="165"/>
      <c r="H136" s="166"/>
      <c r="I136" s="166"/>
      <c r="J136" s="166"/>
      <c r="K136" s="166"/>
      <c r="L136" s="166"/>
      <c r="M136" s="170"/>
      <c r="N136" s="170"/>
      <c r="O136" s="170"/>
      <c r="P136" s="170"/>
      <c r="Q136" s="170"/>
      <c r="R136" s="170"/>
      <c r="S136" s="170"/>
      <c r="T136" s="170"/>
      <c r="U136" s="170"/>
      <c r="V136" s="170"/>
      <c r="W136" s="170"/>
      <c r="AO136" s="213"/>
      <c r="AP136" s="213"/>
      <c r="AQ136" s="213"/>
      <c r="AR136" s="213"/>
      <c r="AS136" s="213"/>
      <c r="AT136" s="213"/>
      <c r="AU136" s="213"/>
      <c r="AV136" s="213"/>
      <c r="AW136" s="213"/>
      <c r="AX136" s="213"/>
      <c r="AY136" s="213"/>
      <c r="AZ136" s="213"/>
      <c r="BA136" s="213"/>
      <c r="BB136" s="213"/>
      <c r="BC136" s="213"/>
      <c r="BD136" s="213"/>
      <c r="BE136" s="213"/>
      <c r="BF136" s="213"/>
      <c r="BG136" s="213"/>
      <c r="BH136" s="213"/>
    </row>
    <row r="137" spans="1:60" s="168" customFormat="1">
      <c r="A137" s="164"/>
      <c r="B137" s="172"/>
      <c r="C137" s="165"/>
      <c r="D137" s="165"/>
      <c r="E137" s="165"/>
      <c r="F137" s="165"/>
      <c r="G137" s="165"/>
      <c r="H137" s="166"/>
      <c r="I137" s="166"/>
      <c r="J137" s="166"/>
      <c r="K137" s="166"/>
      <c r="L137" s="166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AO137" s="213"/>
      <c r="AP137" s="213"/>
      <c r="AQ137" s="213"/>
      <c r="AR137" s="213"/>
      <c r="AS137" s="213"/>
      <c r="AT137" s="213"/>
      <c r="AU137" s="213"/>
      <c r="AV137" s="213"/>
      <c r="AW137" s="213"/>
      <c r="AX137" s="213"/>
      <c r="AY137" s="213"/>
      <c r="AZ137" s="213"/>
      <c r="BA137" s="213"/>
      <c r="BB137" s="213"/>
      <c r="BC137" s="213"/>
      <c r="BD137" s="213"/>
      <c r="BE137" s="213"/>
      <c r="BF137" s="213"/>
      <c r="BG137" s="213"/>
      <c r="BH137" s="213"/>
    </row>
    <row r="138" spans="1:60" s="168" customFormat="1" ht="14.25" customHeight="1">
      <c r="A138" s="164"/>
      <c r="B138" s="172"/>
      <c r="C138" s="165"/>
      <c r="D138" s="165"/>
      <c r="E138" s="165"/>
      <c r="F138" s="165"/>
      <c r="G138" s="165"/>
      <c r="H138" s="166"/>
      <c r="I138" s="166"/>
      <c r="J138" s="166"/>
      <c r="K138" s="166"/>
      <c r="L138" s="166"/>
      <c r="M138" s="170"/>
      <c r="N138" s="170"/>
      <c r="O138" s="170"/>
      <c r="P138" s="170"/>
      <c r="Q138" s="170"/>
      <c r="R138" s="170"/>
      <c r="S138" s="170"/>
      <c r="T138" s="170"/>
      <c r="U138" s="170"/>
      <c r="V138" s="170"/>
      <c r="W138" s="170"/>
      <c r="AO138" s="213"/>
      <c r="AP138" s="213"/>
      <c r="AQ138" s="213"/>
      <c r="AR138" s="213"/>
      <c r="AS138" s="213"/>
      <c r="AT138" s="213"/>
      <c r="AU138" s="213"/>
      <c r="AV138" s="213"/>
      <c r="AW138" s="213"/>
      <c r="AX138" s="213"/>
      <c r="AY138" s="213"/>
      <c r="AZ138" s="213"/>
      <c r="BA138" s="213"/>
      <c r="BB138" s="213"/>
      <c r="BC138" s="213"/>
      <c r="BD138" s="213"/>
      <c r="BE138" s="213"/>
      <c r="BF138" s="213"/>
      <c r="BG138" s="213"/>
      <c r="BH138" s="213"/>
    </row>
    <row r="139" spans="1:60" s="168" customFormat="1" ht="14.25" customHeight="1">
      <c r="A139" s="164" t="s">
        <v>183</v>
      </c>
      <c r="B139" s="172"/>
      <c r="C139" s="165"/>
      <c r="D139" s="165"/>
      <c r="E139" s="165"/>
      <c r="F139" s="165"/>
      <c r="G139" s="165"/>
      <c r="H139" s="166"/>
      <c r="I139" s="166"/>
      <c r="J139" s="166"/>
      <c r="K139" s="166"/>
      <c r="L139" s="166"/>
      <c r="M139" s="170"/>
      <c r="N139" s="170"/>
      <c r="O139" s="170"/>
      <c r="P139" s="170"/>
      <c r="Q139" s="170"/>
      <c r="R139" s="170"/>
      <c r="S139" s="170"/>
      <c r="T139" s="170"/>
      <c r="U139" s="170"/>
      <c r="V139" s="170"/>
      <c r="W139" s="170"/>
      <c r="AO139" s="213"/>
      <c r="AP139" s="213"/>
      <c r="AQ139" s="213"/>
      <c r="AR139" s="213"/>
      <c r="AS139" s="213"/>
      <c r="AT139" s="213"/>
      <c r="AU139" s="213"/>
      <c r="AV139" s="213"/>
      <c r="AW139" s="213"/>
      <c r="AX139" s="213"/>
      <c r="AY139" s="213"/>
      <c r="AZ139" s="213"/>
      <c r="BA139" s="213"/>
      <c r="BB139" s="213"/>
      <c r="BC139" s="213"/>
      <c r="BD139" s="213"/>
      <c r="BE139" s="213"/>
      <c r="BF139" s="213"/>
      <c r="BG139" s="213"/>
      <c r="BH139" s="213"/>
    </row>
    <row r="140" spans="1:60" s="168" customFormat="1" ht="14.25" customHeight="1">
      <c r="A140" s="164">
        <v>2</v>
      </c>
      <c r="B140" s="172"/>
      <c r="C140" s="165"/>
      <c r="D140" s="165"/>
      <c r="E140" s="165"/>
      <c r="F140" s="165"/>
      <c r="G140" s="165"/>
      <c r="H140" s="166"/>
      <c r="I140" s="166"/>
      <c r="J140" s="166"/>
      <c r="K140" s="166"/>
      <c r="L140" s="166"/>
      <c r="M140" s="170"/>
      <c r="N140" s="170"/>
      <c r="O140" s="170"/>
      <c r="P140" s="170"/>
      <c r="Q140" s="170"/>
      <c r="R140" s="170"/>
      <c r="S140" s="170"/>
      <c r="T140" s="170"/>
      <c r="U140" s="170"/>
      <c r="V140" s="170"/>
      <c r="W140" s="170"/>
      <c r="AO140" s="213"/>
      <c r="AP140" s="213"/>
      <c r="AQ140" s="213"/>
      <c r="AR140" s="213"/>
      <c r="AS140" s="213"/>
      <c r="AT140" s="213"/>
      <c r="AU140" s="213"/>
      <c r="AV140" s="213"/>
      <c r="AW140" s="213"/>
      <c r="AX140" s="213"/>
      <c r="AY140" s="213"/>
      <c r="AZ140" s="213"/>
      <c r="BA140" s="213"/>
      <c r="BB140" s="213"/>
      <c r="BC140" s="213"/>
      <c r="BD140" s="213"/>
      <c r="BE140" s="213"/>
      <c r="BF140" s="213"/>
      <c r="BG140" s="213"/>
      <c r="BH140" s="213"/>
    </row>
    <row r="141" spans="1:60" s="168" customFormat="1" ht="14.25" customHeight="1">
      <c r="A141" s="164"/>
      <c r="B141" s="172"/>
      <c r="C141" s="165"/>
      <c r="D141" s="165"/>
      <c r="E141" s="165"/>
      <c r="F141" s="165"/>
      <c r="G141" s="165"/>
      <c r="H141" s="166"/>
      <c r="I141" s="166"/>
      <c r="J141" s="166"/>
      <c r="K141" s="166"/>
      <c r="L141" s="166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AO141" s="213"/>
      <c r="AP141" s="213"/>
      <c r="AQ141" s="213"/>
      <c r="AR141" s="213"/>
      <c r="AS141" s="213"/>
      <c r="AT141" s="213"/>
      <c r="AU141" s="213"/>
      <c r="AV141" s="213"/>
      <c r="AW141" s="213"/>
      <c r="AX141" s="213"/>
      <c r="AY141" s="213"/>
      <c r="AZ141" s="213"/>
      <c r="BA141" s="213"/>
      <c r="BB141" s="213"/>
      <c r="BC141" s="213"/>
      <c r="BD141" s="213"/>
      <c r="BE141" s="213"/>
      <c r="BF141" s="213"/>
      <c r="BG141" s="213"/>
      <c r="BH141" s="213"/>
    </row>
    <row r="142" spans="1:60" s="168" customFormat="1" ht="14.25" customHeight="1">
      <c r="A142" s="164"/>
      <c r="B142" s="172"/>
      <c r="C142" s="165"/>
      <c r="D142" s="165"/>
      <c r="E142" s="165"/>
      <c r="F142" s="165"/>
      <c r="G142" s="165"/>
      <c r="H142" s="166"/>
      <c r="I142" s="166"/>
      <c r="J142" s="166"/>
      <c r="K142" s="166"/>
      <c r="L142" s="166"/>
      <c r="M142" s="170"/>
      <c r="N142" s="170"/>
      <c r="O142" s="170"/>
      <c r="P142" s="170"/>
      <c r="Q142" s="170"/>
      <c r="R142" s="170"/>
      <c r="S142" s="170"/>
      <c r="T142" s="170"/>
      <c r="U142" s="170"/>
      <c r="V142" s="170"/>
      <c r="W142" s="170"/>
      <c r="AO142" s="213"/>
      <c r="AP142" s="213"/>
      <c r="AQ142" s="213"/>
      <c r="AR142" s="213"/>
      <c r="AS142" s="213"/>
      <c r="AT142" s="213"/>
      <c r="AU142" s="213"/>
      <c r="AV142" s="213"/>
      <c r="AW142" s="213"/>
      <c r="AX142" s="213"/>
      <c r="AY142" s="213"/>
      <c r="AZ142" s="213"/>
      <c r="BA142" s="213"/>
      <c r="BB142" s="213"/>
      <c r="BC142" s="213"/>
      <c r="BD142" s="213"/>
      <c r="BE142" s="213"/>
      <c r="BF142" s="213"/>
      <c r="BG142" s="213"/>
      <c r="BH142" s="213"/>
    </row>
    <row r="143" spans="1:60" s="168" customFormat="1" ht="14.25" customHeight="1">
      <c r="A143" s="164"/>
      <c r="B143" s="172"/>
      <c r="C143" s="165"/>
      <c r="D143" s="165"/>
      <c r="E143" s="165"/>
      <c r="F143" s="165"/>
      <c r="G143" s="165"/>
      <c r="H143" s="166"/>
      <c r="I143" s="166"/>
      <c r="J143" s="166"/>
      <c r="K143" s="166"/>
      <c r="L143" s="166"/>
      <c r="M143" s="170"/>
      <c r="N143" s="170"/>
      <c r="O143" s="170"/>
      <c r="P143" s="170"/>
      <c r="Q143" s="170"/>
      <c r="R143" s="170"/>
      <c r="S143" s="170"/>
      <c r="T143" s="170"/>
      <c r="U143" s="170"/>
      <c r="V143" s="170"/>
      <c r="W143" s="170"/>
      <c r="AO143" s="213"/>
      <c r="AP143" s="213"/>
      <c r="AQ143" s="213"/>
      <c r="AR143" s="213"/>
      <c r="AS143" s="213"/>
      <c r="AT143" s="213"/>
      <c r="AU143" s="213"/>
      <c r="AV143" s="213"/>
      <c r="AW143" s="213"/>
      <c r="AX143" s="213"/>
      <c r="AY143" s="213"/>
      <c r="AZ143" s="213"/>
      <c r="BA143" s="213"/>
      <c r="BB143" s="213"/>
      <c r="BC143" s="213"/>
      <c r="BD143" s="213"/>
      <c r="BE143" s="213"/>
      <c r="BF143" s="213"/>
      <c r="BG143" s="213"/>
      <c r="BH143" s="213"/>
    </row>
    <row r="144" spans="1:60" s="168" customFormat="1" ht="14.25" customHeight="1">
      <c r="A144" s="164"/>
      <c r="B144" s="172"/>
      <c r="C144" s="165"/>
      <c r="D144" s="165"/>
      <c r="E144" s="165"/>
      <c r="F144" s="165"/>
      <c r="G144" s="165"/>
      <c r="H144" s="166"/>
      <c r="I144" s="166"/>
      <c r="J144" s="166"/>
      <c r="K144" s="166"/>
      <c r="L144" s="166"/>
      <c r="M144" s="170"/>
      <c r="N144" s="170"/>
      <c r="O144" s="170"/>
      <c r="P144" s="170"/>
      <c r="Q144" s="170"/>
      <c r="R144" s="170"/>
      <c r="S144" s="170"/>
      <c r="T144" s="170"/>
      <c r="U144" s="170"/>
      <c r="V144" s="170"/>
      <c r="W144" s="170"/>
      <c r="AO144" s="213"/>
      <c r="AP144" s="213"/>
      <c r="AQ144" s="213"/>
      <c r="AR144" s="213"/>
      <c r="AS144" s="213"/>
      <c r="AT144" s="213"/>
      <c r="AU144" s="213"/>
      <c r="AV144" s="213"/>
      <c r="AW144" s="213"/>
      <c r="AX144" s="213"/>
      <c r="AY144" s="213"/>
      <c r="AZ144" s="213"/>
      <c r="BA144" s="213"/>
      <c r="BB144" s="213"/>
      <c r="BC144" s="213"/>
      <c r="BD144" s="213"/>
      <c r="BE144" s="213"/>
      <c r="BF144" s="213"/>
      <c r="BG144" s="213"/>
      <c r="BH144" s="213"/>
    </row>
    <row r="145" spans="1:61" s="168" customFormat="1" ht="14.25" customHeight="1">
      <c r="A145" s="164"/>
      <c r="B145" s="172"/>
      <c r="C145" s="165"/>
      <c r="D145" s="165"/>
      <c r="E145" s="165"/>
      <c r="F145" s="165"/>
      <c r="G145" s="165"/>
      <c r="H145" s="166"/>
      <c r="I145" s="166"/>
      <c r="J145" s="166"/>
      <c r="K145" s="166"/>
      <c r="L145" s="166"/>
      <c r="M145" s="170"/>
      <c r="N145" s="170"/>
      <c r="O145" s="170"/>
      <c r="P145" s="170"/>
      <c r="Q145" s="170"/>
      <c r="R145" s="170"/>
      <c r="S145" s="170"/>
      <c r="T145" s="170"/>
      <c r="U145" s="170"/>
      <c r="V145" s="170"/>
      <c r="W145" s="170"/>
      <c r="AO145" s="213"/>
      <c r="AP145" s="213"/>
      <c r="AQ145" s="213"/>
      <c r="AR145" s="213"/>
      <c r="AS145" s="213"/>
      <c r="AT145" s="213"/>
      <c r="AU145" s="213"/>
      <c r="AV145" s="213"/>
      <c r="AW145" s="213"/>
      <c r="AX145" s="213"/>
      <c r="AY145" s="213"/>
      <c r="AZ145" s="213"/>
      <c r="BA145" s="213"/>
      <c r="BB145" s="213"/>
      <c r="BC145" s="213"/>
      <c r="BD145" s="213"/>
      <c r="BE145" s="213"/>
      <c r="BF145" s="213"/>
      <c r="BG145" s="213"/>
      <c r="BH145" s="213"/>
      <c r="BI145" s="213"/>
    </row>
    <row r="146" spans="1:61" s="168" customFormat="1" ht="14.25" customHeight="1">
      <c r="A146" s="164"/>
      <c r="B146" s="172"/>
      <c r="C146" s="165"/>
      <c r="D146" s="165"/>
      <c r="E146" s="165"/>
      <c r="F146" s="165"/>
      <c r="G146" s="165"/>
      <c r="H146" s="166"/>
      <c r="I146" s="166"/>
      <c r="J146" s="166"/>
      <c r="K146" s="166"/>
      <c r="L146" s="166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AO146" s="213"/>
      <c r="AP146" s="213"/>
      <c r="AQ146" s="213"/>
      <c r="AR146" s="213"/>
      <c r="AS146" s="213"/>
      <c r="AT146" s="213"/>
      <c r="AU146" s="213"/>
      <c r="AV146" s="213"/>
      <c r="AW146" s="213"/>
      <c r="AX146" s="213"/>
      <c r="AY146" s="213"/>
      <c r="AZ146" s="213"/>
      <c r="BA146" s="213"/>
      <c r="BB146" s="213"/>
      <c r="BC146" s="213"/>
      <c r="BD146" s="213"/>
      <c r="BE146" s="213"/>
      <c r="BF146" s="213"/>
      <c r="BG146" s="213"/>
      <c r="BH146" s="213"/>
      <c r="BI146" s="213"/>
    </row>
    <row r="147" spans="1:61" s="168" customFormat="1" ht="14.25" customHeight="1">
      <c r="A147" s="164"/>
      <c r="B147" s="172"/>
      <c r="C147" s="165"/>
      <c r="D147" s="165"/>
      <c r="E147" s="165"/>
      <c r="F147" s="165"/>
      <c r="G147" s="165"/>
      <c r="H147" s="166"/>
      <c r="I147" s="166"/>
      <c r="J147" s="166"/>
      <c r="K147" s="166"/>
      <c r="L147" s="166"/>
      <c r="M147" s="170"/>
      <c r="N147" s="170"/>
      <c r="O147" s="170"/>
      <c r="P147" s="170"/>
      <c r="Q147" s="170"/>
      <c r="R147" s="170"/>
      <c r="S147" s="170"/>
      <c r="T147" s="170"/>
      <c r="U147" s="170"/>
      <c r="V147" s="170"/>
      <c r="W147" s="170"/>
      <c r="AO147" s="213"/>
      <c r="AP147" s="213"/>
      <c r="AQ147" s="213"/>
      <c r="AR147" s="213"/>
      <c r="AS147" s="213"/>
      <c r="AT147" s="213"/>
      <c r="AU147" s="213"/>
      <c r="AV147" s="213"/>
      <c r="AW147" s="213"/>
      <c r="AX147" s="213"/>
      <c r="AY147" s="213"/>
      <c r="AZ147" s="213"/>
      <c r="BA147" s="213"/>
      <c r="BB147" s="213"/>
      <c r="BC147" s="213"/>
      <c r="BD147" s="213"/>
      <c r="BE147" s="213"/>
      <c r="BF147" s="213"/>
      <c r="BG147" s="213"/>
      <c r="BH147" s="213"/>
      <c r="BI147" s="213"/>
    </row>
    <row r="148" spans="1:61" s="168" customFormat="1" ht="14.25" customHeight="1">
      <c r="A148" s="164"/>
      <c r="B148" s="172"/>
      <c r="C148" s="169"/>
      <c r="D148" s="169"/>
      <c r="E148" s="169"/>
      <c r="F148" s="169"/>
      <c r="G148" s="169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AO148" s="213"/>
      <c r="AP148" s="213"/>
      <c r="AQ148" s="213"/>
      <c r="AR148" s="213"/>
      <c r="AS148" s="213"/>
      <c r="AT148" s="213"/>
      <c r="AU148" s="213"/>
      <c r="AV148" s="213"/>
      <c r="AW148" s="213"/>
      <c r="AX148" s="213"/>
      <c r="AY148" s="213"/>
      <c r="AZ148" s="213"/>
      <c r="BA148" s="213"/>
      <c r="BB148" s="213"/>
      <c r="BC148" s="213"/>
      <c r="BD148" s="213"/>
      <c r="BE148" s="213"/>
      <c r="BF148" s="213"/>
      <c r="BG148" s="213"/>
      <c r="BH148" s="213"/>
      <c r="BI148" s="213"/>
    </row>
    <row r="149" spans="1:61" s="212" customFormat="1" ht="14.25" customHeight="1">
      <c r="A149" s="171">
        <f>A119+1</f>
        <v>5</v>
      </c>
      <c r="B149" s="172"/>
      <c r="C149" s="187" t="str">
        <f>IF($A$1 = 1, (IF("("&amp;C159&amp;")" ="()","","("&amp;C159&amp;")")), (IF("("&amp;C164&amp;")     ("&amp;C159&amp;")"="()     ()","","("&amp;C164&amp;")     ("&amp;C159&amp;")")))</f>
        <v>(593)     (526)</v>
      </c>
      <c r="D149" s="187" t="str">
        <f t="shared" ref="D149:J149" si="12">IF($A$1 = 1, (IF("("&amp;D159&amp;")" ="()","","("&amp;D159&amp;")")), (IF("("&amp;D164&amp;")     ("&amp;D159&amp;")"="()     ()","","("&amp;D164&amp;")     ("&amp;D159&amp;")")))</f>
        <v>(7)     (20)</v>
      </c>
      <c r="E149" s="187" t="str">
        <f t="shared" si="12"/>
        <v/>
      </c>
      <c r="F149" s="187" t="str">
        <f t="shared" si="12"/>
        <v/>
      </c>
      <c r="G149" s="187" t="str">
        <f t="shared" si="12"/>
        <v/>
      </c>
      <c r="H149" s="187" t="str">
        <f t="shared" si="12"/>
        <v/>
      </c>
      <c r="I149" s="187" t="str">
        <f t="shared" si="12"/>
        <v/>
      </c>
      <c r="J149" s="187" t="str">
        <f t="shared" si="12"/>
        <v/>
      </c>
      <c r="K149" s="187"/>
      <c r="L149" s="187"/>
      <c r="M149" s="220"/>
      <c r="N149" s="220"/>
      <c r="O149" s="220"/>
      <c r="P149" s="220"/>
      <c r="Q149" s="220"/>
      <c r="R149" s="220"/>
      <c r="S149" s="220"/>
      <c r="T149" s="220"/>
      <c r="U149" s="220"/>
      <c r="V149" s="220"/>
      <c r="W149" s="220"/>
      <c r="AO149" s="215"/>
      <c r="AP149" s="215"/>
      <c r="AQ149" s="215"/>
      <c r="AR149" s="215"/>
      <c r="AS149" s="215"/>
      <c r="AT149" s="215"/>
      <c r="AU149" s="215"/>
      <c r="AV149" s="215"/>
      <c r="AW149" s="215"/>
      <c r="AX149" s="215"/>
      <c r="AY149" s="215"/>
      <c r="AZ149" s="215"/>
      <c r="BA149" s="215"/>
      <c r="BB149" s="215"/>
      <c r="BC149" s="215"/>
      <c r="BD149" s="215"/>
      <c r="BE149" s="215"/>
      <c r="BF149" s="215"/>
      <c r="BG149" s="215"/>
      <c r="BH149" s="215"/>
      <c r="BI149" s="215"/>
    </row>
    <row r="150" spans="1:61" s="210" customFormat="1" ht="59.1" customHeight="1">
      <c r="A150" s="176"/>
      <c r="B150" s="177"/>
      <c r="C150" s="178" t="s">
        <v>758</v>
      </c>
      <c r="D150" s="178" t="s">
        <v>759</v>
      </c>
      <c r="E150" s="348"/>
      <c r="F150" s="178"/>
      <c r="G150" s="178"/>
      <c r="H150" s="178"/>
      <c r="I150" s="178"/>
      <c r="J150" s="178"/>
      <c r="K150" s="178"/>
      <c r="L150" s="178"/>
      <c r="M150" s="208"/>
      <c r="N150" s="208"/>
      <c r="O150" s="208"/>
      <c r="P150" s="208"/>
      <c r="Q150" s="208"/>
      <c r="R150" s="208"/>
      <c r="S150" s="208"/>
      <c r="T150" s="208"/>
      <c r="U150" s="208"/>
      <c r="V150" s="208"/>
      <c r="W150" s="208"/>
      <c r="AO150" s="216"/>
      <c r="AP150" s="216"/>
      <c r="AQ150" s="216"/>
      <c r="AR150" s="216"/>
      <c r="AS150" s="216"/>
      <c r="AT150" s="216"/>
      <c r="AU150" s="216"/>
      <c r="AV150" s="216"/>
      <c r="AW150" s="216"/>
      <c r="AY150" s="216"/>
      <c r="AZ150" s="216"/>
      <c r="BA150" s="216"/>
      <c r="BB150" s="216"/>
      <c r="BC150" s="216"/>
      <c r="BD150" s="216"/>
      <c r="BE150" s="216"/>
      <c r="BF150" s="216"/>
      <c r="BG150" s="216"/>
      <c r="BH150" s="216"/>
      <c r="BI150" s="216"/>
    </row>
    <row r="151" spans="1:61" s="168" customFormat="1" ht="18" customHeight="1" thickBot="1">
      <c r="A151" s="164"/>
      <c r="B151" s="181" t="s">
        <v>3</v>
      </c>
      <c r="C151" s="148">
        <v>69</v>
      </c>
      <c r="D151" s="148">
        <v>81</v>
      </c>
      <c r="E151" s="148"/>
      <c r="F151" s="148"/>
      <c r="G151" s="148"/>
      <c r="H151" s="148"/>
      <c r="I151" s="148"/>
      <c r="J151" s="148"/>
      <c r="K151" s="148"/>
      <c r="L151" s="148"/>
      <c r="M151" s="211"/>
      <c r="N151" s="211"/>
      <c r="O151" s="211"/>
      <c r="P151" s="211"/>
      <c r="Q151" s="211"/>
      <c r="R151" s="211"/>
      <c r="S151" s="211"/>
      <c r="T151" s="211"/>
      <c r="U151" s="211"/>
      <c r="V151" s="211"/>
      <c r="W151" s="211"/>
      <c r="AO151" s="213"/>
      <c r="AP151" s="213"/>
      <c r="AQ151" s="213"/>
      <c r="AR151" s="213"/>
      <c r="AS151" s="213"/>
      <c r="AT151" s="213"/>
      <c r="AU151" s="213"/>
      <c r="AV151" s="213"/>
      <c r="AW151" s="213"/>
      <c r="AY151" s="213"/>
      <c r="AZ151" s="213"/>
      <c r="BA151" s="213"/>
      <c r="BB151" s="213"/>
      <c r="BC151" s="213"/>
      <c r="BD151" s="213"/>
      <c r="BE151" s="213"/>
      <c r="BF151" s="213"/>
      <c r="BG151" s="213"/>
      <c r="BH151" s="213"/>
      <c r="BI151" s="213"/>
    </row>
    <row r="152" spans="1:61" s="168" customFormat="1" ht="18" customHeight="1" thickBot="1">
      <c r="A152" s="164"/>
      <c r="B152" s="182" t="s">
        <v>18</v>
      </c>
      <c r="C152" s="148">
        <v>70</v>
      </c>
      <c r="D152" s="148">
        <v>80</v>
      </c>
      <c r="E152" s="148"/>
      <c r="F152" s="148"/>
      <c r="G152" s="148"/>
      <c r="H152" s="148"/>
      <c r="I152" s="148"/>
      <c r="J152" s="148"/>
      <c r="K152" s="148"/>
      <c r="L152" s="148"/>
      <c r="M152" s="145"/>
      <c r="N152" s="145"/>
      <c r="O152" s="145"/>
      <c r="P152" s="145"/>
      <c r="Q152" s="145"/>
      <c r="R152" s="145"/>
      <c r="S152" s="145"/>
      <c r="T152" s="145"/>
      <c r="U152" s="145"/>
      <c r="V152" s="145"/>
      <c r="W152" s="145"/>
      <c r="AO152" s="213"/>
      <c r="AP152" s="213"/>
      <c r="AQ152" s="213"/>
      <c r="AR152" s="213"/>
      <c r="AS152" s="213"/>
      <c r="AT152" s="213"/>
      <c r="AU152" s="213"/>
      <c r="AV152" s="213"/>
      <c r="AW152" s="213"/>
      <c r="AY152" s="213"/>
      <c r="AZ152" s="213"/>
      <c r="BA152" s="213"/>
      <c r="BB152" s="213"/>
      <c r="BC152" s="213"/>
      <c r="BD152" s="213"/>
      <c r="BE152" s="213"/>
      <c r="BF152" s="213"/>
      <c r="BG152" s="213"/>
      <c r="BH152" s="213"/>
      <c r="BI152" s="213"/>
    </row>
    <row r="153" spans="1:61" s="168" customFormat="1" ht="18" customHeight="1" thickBot="1">
      <c r="A153" s="164"/>
      <c r="B153" s="183" t="s">
        <v>32</v>
      </c>
      <c r="C153" s="147">
        <v>66</v>
      </c>
      <c r="D153" s="147">
        <v>71</v>
      </c>
      <c r="E153" s="147"/>
      <c r="F153" s="147"/>
      <c r="G153" s="147"/>
      <c r="H153" s="147"/>
      <c r="I153" s="147"/>
      <c r="J153" s="147"/>
      <c r="K153" s="147"/>
      <c r="L153" s="147"/>
      <c r="M153" s="145"/>
      <c r="N153" s="145"/>
      <c r="O153" s="145"/>
      <c r="P153" s="145"/>
      <c r="Q153" s="145"/>
      <c r="R153" s="145"/>
      <c r="S153" s="145"/>
      <c r="T153" s="145"/>
      <c r="U153" s="145"/>
      <c r="V153" s="145"/>
      <c r="W153" s="145"/>
      <c r="AO153" s="213"/>
      <c r="AP153" s="213"/>
      <c r="AQ153" s="213"/>
      <c r="AR153" s="213"/>
      <c r="AS153" s="213"/>
      <c r="AT153" s="213"/>
      <c r="AU153" s="213"/>
      <c r="AV153" s="213"/>
      <c r="AW153" s="213"/>
      <c r="AY153" s="213"/>
      <c r="AZ153" s="213"/>
      <c r="BA153" s="213"/>
      <c r="BB153" s="213"/>
      <c r="BC153" s="213"/>
      <c r="BD153" s="213"/>
      <c r="BE153" s="213"/>
      <c r="BF153" s="213"/>
      <c r="BG153" s="213"/>
      <c r="BH153" s="213"/>
    </row>
    <row r="154" spans="1:61" s="168" customFormat="1" ht="18" customHeight="1" thickBot="1">
      <c r="A154" s="164"/>
      <c r="B154" s="182" t="s">
        <v>45</v>
      </c>
      <c r="C154" s="145">
        <v>68</v>
      </c>
      <c r="D154" s="145">
        <v>58</v>
      </c>
      <c r="E154" s="145"/>
      <c r="F154" s="145"/>
      <c r="G154" s="145"/>
      <c r="H154" s="145"/>
      <c r="I154" s="145"/>
      <c r="J154" s="145"/>
      <c r="K154" s="145"/>
      <c r="L154" s="145"/>
      <c r="M154" s="145"/>
      <c r="N154" s="145"/>
      <c r="O154" s="145"/>
      <c r="P154" s="145"/>
      <c r="Q154" s="145"/>
      <c r="R154" s="145"/>
      <c r="S154" s="145"/>
      <c r="T154" s="145"/>
      <c r="U154" s="145"/>
      <c r="V154" s="145"/>
      <c r="W154" s="145"/>
      <c r="AO154" s="213"/>
      <c r="AP154" s="213"/>
      <c r="AQ154" s="213"/>
      <c r="AR154" s="213"/>
      <c r="AS154" s="213"/>
      <c r="AT154" s="213"/>
      <c r="AU154" s="213"/>
      <c r="AV154" s="213"/>
      <c r="AW154" s="213"/>
      <c r="AY154" s="213"/>
      <c r="AZ154" s="213"/>
      <c r="BA154" s="213"/>
      <c r="BB154" s="213"/>
      <c r="BC154" s="213"/>
      <c r="BD154" s="213"/>
      <c r="BE154" s="213"/>
      <c r="BF154" s="213"/>
      <c r="BG154" s="213"/>
      <c r="BH154" s="213"/>
    </row>
    <row r="155" spans="1:61" s="168" customFormat="1" ht="18" customHeight="1" thickBot="1">
      <c r="A155" s="164"/>
      <c r="B155" s="184" t="s">
        <v>54</v>
      </c>
      <c r="C155" s="146">
        <v>69</v>
      </c>
      <c r="D155" s="146">
        <v>78</v>
      </c>
      <c r="E155" s="146"/>
      <c r="F155" s="146"/>
      <c r="G155" s="146"/>
      <c r="H155" s="146"/>
      <c r="I155" s="146"/>
      <c r="J155" s="146"/>
      <c r="K155" s="146"/>
      <c r="L155" s="146"/>
      <c r="M155" s="145"/>
      <c r="N155" s="145"/>
      <c r="O155" s="145"/>
      <c r="P155" s="145"/>
      <c r="Q155" s="145"/>
      <c r="R155" s="145"/>
      <c r="S155" s="145"/>
      <c r="T155" s="145"/>
      <c r="U155" s="145"/>
      <c r="V155" s="145"/>
      <c r="W155" s="145"/>
      <c r="AO155" s="213"/>
      <c r="AP155" s="213"/>
      <c r="AQ155" s="213"/>
      <c r="AR155" s="213"/>
      <c r="AS155" s="213"/>
      <c r="AT155" s="213"/>
      <c r="AU155" s="213"/>
      <c r="AV155" s="213"/>
      <c r="AW155" s="213"/>
      <c r="AY155" s="213"/>
      <c r="AZ155" s="213"/>
      <c r="BA155" s="213"/>
      <c r="BB155" s="213"/>
      <c r="BC155" s="213"/>
      <c r="BD155" s="213"/>
      <c r="BE155" s="213"/>
      <c r="BF155" s="213"/>
      <c r="BG155" s="213"/>
      <c r="BH155" s="213"/>
    </row>
    <row r="156" spans="1:61" s="168" customFormat="1">
      <c r="A156" s="164"/>
      <c r="B156" s="182" t="s">
        <v>66</v>
      </c>
      <c r="C156" s="145">
        <v>65</v>
      </c>
      <c r="D156" s="145">
        <v>85</v>
      </c>
      <c r="E156" s="145"/>
      <c r="F156" s="145"/>
      <c r="G156" s="145"/>
      <c r="H156" s="125"/>
      <c r="I156" s="125"/>
      <c r="J156" s="125"/>
      <c r="K156" s="125"/>
      <c r="L156" s="125"/>
      <c r="M156" s="145"/>
      <c r="N156" s="145"/>
      <c r="O156" s="145"/>
      <c r="P156" s="145"/>
      <c r="Q156" s="145"/>
      <c r="R156" s="145"/>
      <c r="S156" s="145"/>
      <c r="T156" s="145"/>
      <c r="U156" s="145"/>
      <c r="V156" s="145"/>
      <c r="W156" s="145"/>
      <c r="AO156" s="213"/>
      <c r="AP156" s="213"/>
      <c r="AQ156" s="213"/>
      <c r="AR156" s="213"/>
      <c r="AS156" s="213"/>
      <c r="AT156" s="213"/>
      <c r="AU156" s="213"/>
      <c r="AV156" s="213"/>
      <c r="AW156" s="213"/>
      <c r="AY156" s="213"/>
      <c r="AZ156" s="213"/>
      <c r="BA156" s="213"/>
      <c r="BB156" s="213"/>
      <c r="BC156" s="213"/>
      <c r="BD156" s="213"/>
      <c r="BE156" s="213"/>
      <c r="BF156" s="213"/>
      <c r="BG156" s="213"/>
      <c r="BH156" s="213"/>
    </row>
    <row r="157" spans="1:61" s="168" customFormat="1">
      <c r="A157" s="164"/>
      <c r="B157" s="182" t="s">
        <v>158</v>
      </c>
      <c r="C157" s="126">
        <v>68</v>
      </c>
      <c r="D157" s="126">
        <v>75</v>
      </c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  <c r="T157" s="126"/>
      <c r="U157" s="126"/>
      <c r="V157" s="126"/>
      <c r="W157" s="126"/>
      <c r="AO157" s="213"/>
      <c r="AP157" s="213"/>
      <c r="AQ157" s="213"/>
      <c r="AR157" s="213"/>
      <c r="AS157" s="213"/>
      <c r="AT157" s="213"/>
      <c r="AU157" s="213"/>
      <c r="AV157" s="213"/>
      <c r="AW157" s="213"/>
      <c r="AY157" s="213"/>
      <c r="AZ157" s="213"/>
      <c r="BA157" s="213"/>
      <c r="BB157" s="213"/>
      <c r="BC157" s="213"/>
      <c r="BD157" s="213"/>
      <c r="BE157" s="213"/>
      <c r="BF157" s="213"/>
      <c r="BG157" s="213"/>
      <c r="BH157" s="213"/>
    </row>
    <row r="158" spans="1:61" s="168" customFormat="1">
      <c r="A158" s="164"/>
      <c r="B158" s="182" t="s">
        <v>191</v>
      </c>
      <c r="C158" s="127">
        <v>69</v>
      </c>
      <c r="D158" s="127">
        <v>69</v>
      </c>
      <c r="E158" s="127"/>
      <c r="F158" s="127"/>
      <c r="G158" s="127"/>
      <c r="H158" s="126"/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  <c r="T158" s="126"/>
      <c r="U158" s="126"/>
      <c r="V158" s="126"/>
      <c r="W158" s="126"/>
      <c r="AO158" s="214"/>
      <c r="AP158" s="214"/>
      <c r="AQ158" s="214"/>
      <c r="AR158" s="214"/>
      <c r="AS158" s="214"/>
      <c r="AT158" s="213"/>
      <c r="AU158" s="213"/>
      <c r="AV158" s="213"/>
      <c r="AW158" s="213"/>
      <c r="AY158" s="213"/>
      <c r="AZ158" s="213"/>
      <c r="BA158" s="213"/>
      <c r="BB158" s="213"/>
      <c r="BC158" s="213"/>
      <c r="BD158" s="213"/>
      <c r="BE158" s="213"/>
      <c r="BF158" s="213"/>
      <c r="BG158" s="213"/>
      <c r="BH158" s="213"/>
    </row>
    <row r="159" spans="1:61" s="168" customFormat="1" ht="15" thickBot="1">
      <c r="A159" s="164"/>
      <c r="B159" s="182" t="s">
        <v>442</v>
      </c>
      <c r="C159" s="126">
        <v>526</v>
      </c>
      <c r="D159" s="315">
        <v>20</v>
      </c>
      <c r="E159" s="315"/>
      <c r="F159" s="315"/>
      <c r="G159" s="315"/>
      <c r="H159" s="315"/>
      <c r="I159" s="315"/>
      <c r="J159" s="315"/>
      <c r="K159" s="315"/>
      <c r="L159" s="315"/>
      <c r="M159" s="126"/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AO159" s="213"/>
      <c r="AP159" s="213"/>
      <c r="AQ159" s="213"/>
      <c r="AR159" s="213"/>
      <c r="AS159" s="213"/>
      <c r="AT159" s="213"/>
      <c r="AU159" s="213"/>
      <c r="AV159" s="213"/>
      <c r="AW159" s="213"/>
      <c r="AY159" s="213"/>
      <c r="AZ159" s="213"/>
      <c r="BA159" s="213"/>
      <c r="BB159" s="213"/>
      <c r="BC159" s="213"/>
      <c r="BD159" s="213"/>
      <c r="BE159" s="213"/>
      <c r="BF159" s="213"/>
      <c r="BG159" s="213"/>
      <c r="BH159" s="213"/>
    </row>
    <row r="160" spans="1:61" s="168" customFormat="1">
      <c r="A160" s="164"/>
      <c r="B160" s="338" t="s">
        <v>166</v>
      </c>
      <c r="C160" s="316">
        <f>IF(OR(C163="**",C163=""),"",VALUE(C163))</f>
        <v>73</v>
      </c>
      <c r="D160" s="316">
        <f t="shared" ref="D160:J160" si="13">IF(OR(D163="**",D163=""),"",VALUE(D163))</f>
        <v>70</v>
      </c>
      <c r="E160" s="316" t="str">
        <f t="shared" si="13"/>
        <v/>
      </c>
      <c r="F160" s="316" t="str">
        <f t="shared" si="13"/>
        <v/>
      </c>
      <c r="G160" s="316" t="str">
        <f t="shared" si="13"/>
        <v/>
      </c>
      <c r="H160" s="316" t="str">
        <f t="shared" si="13"/>
        <v/>
      </c>
      <c r="I160" s="316" t="str">
        <f t="shared" si="13"/>
        <v/>
      </c>
      <c r="J160" s="316" t="str">
        <f t="shared" si="13"/>
        <v/>
      </c>
      <c r="K160" s="316"/>
      <c r="L160" s="316"/>
      <c r="M160" s="126"/>
      <c r="N160" s="126"/>
      <c r="O160" s="126"/>
      <c r="P160" s="126"/>
      <c r="Q160" s="126"/>
      <c r="R160" s="126"/>
      <c r="S160" s="126"/>
      <c r="T160" s="126"/>
      <c r="U160" s="126"/>
      <c r="V160" s="126"/>
      <c r="W160" s="126"/>
      <c r="AO160" s="213"/>
      <c r="AP160" s="213"/>
      <c r="AQ160" s="213"/>
      <c r="AR160" s="213"/>
      <c r="AS160" s="213"/>
      <c r="AT160" s="213"/>
      <c r="AU160" s="213"/>
      <c r="AV160" s="213"/>
      <c r="AW160" s="213"/>
      <c r="AY160" s="213"/>
      <c r="AZ160" s="213"/>
      <c r="BA160" s="213"/>
      <c r="BB160" s="213"/>
      <c r="BC160" s="213"/>
      <c r="BD160" s="213"/>
      <c r="BE160" s="213"/>
      <c r="BF160" s="213"/>
      <c r="BG160" s="213"/>
      <c r="BH160" s="213"/>
    </row>
    <row r="161" spans="1:60" s="168" customFormat="1" ht="15" thickBot="1">
      <c r="A161" s="164"/>
      <c r="B161" s="339" t="s">
        <v>165</v>
      </c>
      <c r="C161" s="317">
        <f t="shared" ref="C161:J161" si="14">IF(OR(C157="**",C157=""),"",VALUE(C157))</f>
        <v>68</v>
      </c>
      <c r="D161" s="317">
        <f t="shared" si="14"/>
        <v>75</v>
      </c>
      <c r="E161" s="317" t="str">
        <f t="shared" si="14"/>
        <v/>
      </c>
      <c r="F161" s="317" t="str">
        <f t="shared" si="14"/>
        <v/>
      </c>
      <c r="G161" s="317" t="str">
        <f t="shared" si="14"/>
        <v/>
      </c>
      <c r="H161" s="317" t="str">
        <f t="shared" si="14"/>
        <v/>
      </c>
      <c r="I161" s="317" t="str">
        <f t="shared" si="14"/>
        <v/>
      </c>
      <c r="J161" s="317" t="str">
        <f t="shared" si="14"/>
        <v/>
      </c>
      <c r="K161" s="317"/>
      <c r="L161" s="317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  <c r="AO161" s="169"/>
      <c r="AP161" s="169"/>
      <c r="AQ161" s="169"/>
      <c r="AR161" s="169"/>
      <c r="AS161" s="169"/>
      <c r="AT161" s="169"/>
      <c r="AU161" s="169"/>
      <c r="AV161" s="169"/>
      <c r="AW161" s="213"/>
      <c r="AX161" s="213"/>
      <c r="AY161" s="213"/>
      <c r="AZ161" s="213"/>
      <c r="BA161" s="213"/>
      <c r="BB161" s="213"/>
      <c r="BC161" s="213"/>
      <c r="BD161" s="213"/>
      <c r="BE161" s="213"/>
      <c r="BF161" s="213"/>
      <c r="BG161" s="213"/>
      <c r="BH161" s="213"/>
    </row>
    <row r="162" spans="1:60" s="168" customFormat="1">
      <c r="A162" s="164"/>
      <c r="B162" s="340" t="s">
        <v>483</v>
      </c>
      <c r="C162" s="167" t="s">
        <v>758</v>
      </c>
      <c r="D162" s="167" t="s">
        <v>759</v>
      </c>
      <c r="E162" s="167"/>
      <c r="F162" s="167"/>
      <c r="G162" s="167"/>
      <c r="H162" s="166"/>
      <c r="I162" s="166"/>
      <c r="J162" s="166"/>
      <c r="K162" s="166"/>
      <c r="L162" s="166"/>
      <c r="M162" s="170"/>
      <c r="N162" s="170"/>
      <c r="O162" s="170"/>
      <c r="P162" s="170"/>
      <c r="Q162" s="170"/>
      <c r="R162" s="170"/>
      <c r="S162" s="170"/>
      <c r="T162" s="170"/>
      <c r="U162" s="170"/>
      <c r="V162" s="170"/>
      <c r="W162" s="170"/>
      <c r="AO162" s="213"/>
      <c r="AP162" s="213"/>
      <c r="AQ162" s="213"/>
      <c r="AR162" s="213"/>
      <c r="AS162" s="213"/>
      <c r="AT162" s="213"/>
      <c r="AU162" s="213"/>
      <c r="AV162" s="213"/>
      <c r="AW162" s="213"/>
      <c r="AX162" s="213"/>
      <c r="AY162" s="213"/>
      <c r="AZ162" s="213"/>
      <c r="BA162" s="213"/>
      <c r="BB162" s="213"/>
      <c r="BC162" s="213"/>
      <c r="BD162" s="213"/>
      <c r="BE162" s="213"/>
      <c r="BF162" s="213"/>
      <c r="BG162" s="213"/>
      <c r="BH162" s="213"/>
    </row>
    <row r="163" spans="1:60" s="168" customFormat="1">
      <c r="A163" s="164"/>
      <c r="B163" s="182" t="s">
        <v>158</v>
      </c>
      <c r="C163" s="165">
        <v>73</v>
      </c>
      <c r="D163" s="165">
        <v>70</v>
      </c>
      <c r="E163" s="165"/>
      <c r="F163" s="165"/>
      <c r="G163" s="165"/>
      <c r="H163" s="166"/>
      <c r="I163" s="166"/>
      <c r="J163" s="166"/>
      <c r="K163" s="166"/>
      <c r="L163" s="166"/>
      <c r="M163" s="170"/>
      <c r="N163" s="170"/>
      <c r="O163" s="170"/>
      <c r="P163" s="170"/>
      <c r="Q163" s="170"/>
      <c r="R163" s="170"/>
      <c r="S163" s="170"/>
      <c r="T163" s="170"/>
      <c r="U163" s="170"/>
      <c r="V163" s="170"/>
      <c r="W163" s="170"/>
      <c r="AO163" s="213"/>
      <c r="AP163" s="213"/>
      <c r="AQ163" s="213"/>
      <c r="AR163" s="213"/>
      <c r="AS163" s="213"/>
      <c r="AT163" s="213"/>
      <c r="AU163" s="213"/>
      <c r="AV163" s="213"/>
      <c r="AW163" s="213"/>
      <c r="AX163" s="213"/>
      <c r="AY163" s="213"/>
      <c r="AZ163" s="213"/>
      <c r="BA163" s="213"/>
      <c r="BB163" s="213"/>
      <c r="BC163" s="213"/>
      <c r="BD163" s="213"/>
      <c r="BE163" s="213"/>
      <c r="BF163" s="213"/>
      <c r="BG163" s="213"/>
      <c r="BH163" s="213"/>
    </row>
    <row r="164" spans="1:60" s="168" customFormat="1">
      <c r="A164" s="164"/>
      <c r="B164" s="340" t="s">
        <v>442</v>
      </c>
      <c r="C164" s="165">
        <v>593</v>
      </c>
      <c r="D164" s="165">
        <v>7</v>
      </c>
      <c r="E164" s="165"/>
      <c r="F164" s="165"/>
      <c r="G164" s="165"/>
      <c r="H164" s="165"/>
      <c r="I164" s="165"/>
      <c r="J164" s="165"/>
      <c r="K164" s="165"/>
      <c r="L164" s="165"/>
      <c r="M164" s="170"/>
      <c r="N164" s="170"/>
      <c r="O164" s="170"/>
      <c r="P164" s="170"/>
      <c r="Q164" s="170"/>
      <c r="R164" s="170"/>
      <c r="S164" s="170"/>
      <c r="T164" s="170"/>
      <c r="U164" s="170"/>
      <c r="V164" s="170"/>
      <c r="W164" s="170"/>
      <c r="AO164" s="213"/>
      <c r="AP164" s="213"/>
      <c r="AQ164" s="213"/>
      <c r="AR164" s="213"/>
      <c r="AS164" s="213"/>
      <c r="AT164" s="213"/>
      <c r="AU164" s="213"/>
      <c r="AV164" s="213"/>
      <c r="AW164" s="213"/>
      <c r="AX164" s="213"/>
      <c r="AY164" s="213"/>
      <c r="AZ164" s="213"/>
      <c r="BA164" s="213"/>
      <c r="BB164" s="213"/>
      <c r="BC164" s="213"/>
      <c r="BD164" s="213"/>
      <c r="BE164" s="213"/>
      <c r="BF164" s="213"/>
      <c r="BG164" s="213"/>
      <c r="BH164" s="213"/>
    </row>
    <row r="165" spans="1:60" s="168" customFormat="1">
      <c r="A165" s="164"/>
      <c r="B165" s="172"/>
      <c r="C165" s="165"/>
      <c r="D165" s="165"/>
      <c r="E165" s="165"/>
      <c r="F165" s="165"/>
      <c r="G165" s="165"/>
      <c r="H165" s="166"/>
      <c r="I165" s="166"/>
      <c r="J165" s="166"/>
      <c r="K165" s="166"/>
      <c r="L165" s="166"/>
      <c r="M165" s="170"/>
      <c r="N165" s="170"/>
      <c r="O165" s="170"/>
      <c r="P165" s="170"/>
      <c r="Q165" s="170"/>
      <c r="R165" s="170"/>
      <c r="S165" s="170"/>
      <c r="T165" s="170"/>
      <c r="U165" s="170"/>
      <c r="V165" s="170"/>
      <c r="W165" s="170"/>
      <c r="AO165" s="213"/>
      <c r="AP165" s="213"/>
      <c r="AQ165" s="213"/>
      <c r="AR165" s="213"/>
      <c r="AS165" s="213"/>
      <c r="AT165" s="213"/>
      <c r="AU165" s="213"/>
      <c r="AV165" s="213"/>
      <c r="AW165" s="213"/>
      <c r="AX165" s="213"/>
      <c r="AY165" s="213"/>
      <c r="AZ165" s="213"/>
      <c r="BA165" s="213"/>
      <c r="BB165" s="213"/>
      <c r="BC165" s="213"/>
      <c r="BD165" s="213"/>
      <c r="BE165" s="213"/>
      <c r="BF165" s="213"/>
      <c r="BG165" s="213"/>
      <c r="BH165" s="213"/>
    </row>
    <row r="166" spans="1:60" s="168" customFormat="1">
      <c r="A166" s="164"/>
      <c r="B166" s="172"/>
      <c r="C166" s="165"/>
      <c r="D166" s="165"/>
      <c r="E166" s="165"/>
      <c r="F166" s="165"/>
      <c r="G166" s="165"/>
      <c r="H166" s="166"/>
      <c r="I166" s="166"/>
      <c r="J166" s="166"/>
      <c r="K166" s="166"/>
      <c r="L166" s="166"/>
      <c r="M166" s="170"/>
      <c r="N166" s="170"/>
      <c r="O166" s="170"/>
      <c r="P166" s="170"/>
      <c r="Q166" s="170"/>
      <c r="R166" s="170"/>
      <c r="S166" s="170"/>
      <c r="T166" s="170"/>
      <c r="U166" s="170"/>
      <c r="V166" s="170"/>
      <c r="W166" s="170"/>
      <c r="AO166" s="213"/>
      <c r="AP166" s="213"/>
      <c r="AQ166" s="213"/>
      <c r="AR166" s="213"/>
      <c r="AS166" s="213"/>
      <c r="AT166" s="213"/>
      <c r="AU166" s="213"/>
      <c r="AV166" s="213"/>
      <c r="AW166" s="213"/>
      <c r="AX166" s="213"/>
      <c r="AY166" s="213"/>
      <c r="AZ166" s="213"/>
      <c r="BA166" s="213"/>
      <c r="BB166" s="213"/>
      <c r="BC166" s="213"/>
      <c r="BD166" s="213"/>
      <c r="BE166" s="213"/>
      <c r="BF166" s="213"/>
      <c r="BG166" s="213"/>
      <c r="BH166" s="213"/>
    </row>
    <row r="167" spans="1:60" s="168" customFormat="1">
      <c r="A167" s="164"/>
      <c r="B167" s="172"/>
      <c r="C167" s="165"/>
      <c r="D167" s="165"/>
      <c r="E167" s="165"/>
      <c r="F167" s="165"/>
      <c r="G167" s="165"/>
      <c r="H167" s="166"/>
      <c r="I167" s="166"/>
      <c r="J167" s="166"/>
      <c r="K167" s="166"/>
      <c r="L167" s="166"/>
      <c r="M167" s="170"/>
      <c r="N167" s="170"/>
      <c r="O167" s="170"/>
      <c r="P167" s="170"/>
      <c r="Q167" s="170"/>
      <c r="R167" s="170"/>
      <c r="S167" s="170"/>
      <c r="T167" s="170"/>
      <c r="U167" s="170"/>
      <c r="V167" s="170"/>
      <c r="W167" s="170"/>
      <c r="AO167" s="213"/>
      <c r="AP167" s="213"/>
      <c r="AQ167" s="213"/>
      <c r="AR167" s="213"/>
      <c r="AS167" s="213"/>
      <c r="AT167" s="213"/>
      <c r="AU167" s="213"/>
      <c r="AV167" s="213"/>
      <c r="AW167" s="213"/>
      <c r="AX167" s="213"/>
      <c r="AY167" s="213"/>
      <c r="AZ167" s="213"/>
      <c r="BA167" s="213"/>
      <c r="BB167" s="213"/>
      <c r="BC167" s="213"/>
      <c r="BD167" s="213"/>
      <c r="BE167" s="213"/>
      <c r="BF167" s="213"/>
      <c r="BG167" s="213"/>
      <c r="BH167" s="213"/>
    </row>
    <row r="168" spans="1:60" s="168" customFormat="1" ht="14.25" customHeight="1">
      <c r="A168" s="164"/>
      <c r="B168" s="172"/>
      <c r="C168" s="165"/>
      <c r="D168" s="165"/>
      <c r="E168" s="165"/>
      <c r="F168" s="165"/>
      <c r="G168" s="165"/>
      <c r="H168" s="166"/>
      <c r="I168" s="166"/>
      <c r="J168" s="166"/>
      <c r="K168" s="166"/>
      <c r="L168" s="166"/>
      <c r="M168" s="170"/>
      <c r="N168" s="170"/>
      <c r="O168" s="170"/>
      <c r="P168" s="170"/>
      <c r="Q168" s="170"/>
      <c r="R168" s="170"/>
      <c r="S168" s="170"/>
      <c r="T168" s="170"/>
      <c r="U168" s="170"/>
      <c r="V168" s="170"/>
      <c r="W168" s="170"/>
      <c r="AO168" s="213"/>
      <c r="AP168" s="213"/>
      <c r="AQ168" s="213"/>
      <c r="AR168" s="213"/>
      <c r="AS168" s="213"/>
      <c r="AT168" s="213"/>
      <c r="AU168" s="213"/>
      <c r="AV168" s="213"/>
      <c r="AW168" s="213"/>
      <c r="AX168" s="213"/>
      <c r="AY168" s="213"/>
      <c r="AZ168" s="213"/>
      <c r="BA168" s="213"/>
      <c r="BB168" s="213"/>
      <c r="BC168" s="213"/>
      <c r="BD168" s="213"/>
      <c r="BE168" s="213"/>
      <c r="BF168" s="213"/>
      <c r="BG168" s="213"/>
      <c r="BH168" s="213"/>
    </row>
    <row r="169" spans="1:60" s="168" customFormat="1" ht="14.25" customHeight="1">
      <c r="A169" s="164" t="s">
        <v>183</v>
      </c>
      <c r="B169" s="172"/>
      <c r="C169" s="165"/>
      <c r="D169" s="165"/>
      <c r="E169" s="165"/>
      <c r="F169" s="165"/>
      <c r="G169" s="165"/>
      <c r="H169" s="166"/>
      <c r="I169" s="166"/>
      <c r="J169" s="166"/>
      <c r="K169" s="166"/>
      <c r="L169" s="166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AO169" s="213"/>
      <c r="AP169" s="213"/>
      <c r="AQ169" s="213"/>
      <c r="AR169" s="213"/>
      <c r="AS169" s="213"/>
      <c r="AT169" s="213"/>
      <c r="AU169" s="213"/>
      <c r="AV169" s="213"/>
      <c r="AW169" s="213"/>
      <c r="AX169" s="213"/>
      <c r="AY169" s="213"/>
      <c r="AZ169" s="213"/>
      <c r="BA169" s="213"/>
      <c r="BB169" s="213"/>
      <c r="BC169" s="213"/>
      <c r="BD169" s="213"/>
      <c r="BE169" s="213"/>
      <c r="BF169" s="213"/>
      <c r="BG169" s="213"/>
      <c r="BH169" s="213"/>
    </row>
    <row r="170" spans="1:60" s="168" customFormat="1" ht="14.25" customHeight="1">
      <c r="A170" s="164">
        <v>4</v>
      </c>
      <c r="B170" s="172"/>
      <c r="C170" s="165"/>
      <c r="D170" s="165"/>
      <c r="E170" s="165"/>
      <c r="F170" s="165"/>
      <c r="G170" s="165"/>
      <c r="H170" s="166"/>
      <c r="I170" s="166"/>
      <c r="J170" s="166"/>
      <c r="K170" s="166"/>
      <c r="L170" s="166"/>
      <c r="M170" s="170"/>
      <c r="N170" s="170"/>
      <c r="O170" s="170"/>
      <c r="P170" s="170"/>
      <c r="Q170" s="170"/>
      <c r="R170" s="170"/>
      <c r="S170" s="170"/>
      <c r="T170" s="170"/>
      <c r="U170" s="170"/>
      <c r="V170" s="170"/>
      <c r="W170" s="170"/>
      <c r="AO170" s="213"/>
      <c r="AP170" s="213"/>
      <c r="AQ170" s="213"/>
      <c r="AR170" s="213"/>
      <c r="AS170" s="213"/>
      <c r="AT170" s="213"/>
      <c r="AU170" s="213"/>
      <c r="AV170" s="213"/>
      <c r="AW170" s="213"/>
      <c r="AX170" s="213"/>
      <c r="AY170" s="213"/>
      <c r="AZ170" s="213"/>
      <c r="BA170" s="213"/>
      <c r="BB170" s="213"/>
      <c r="BC170" s="213"/>
      <c r="BD170" s="213"/>
      <c r="BE170" s="213"/>
      <c r="BF170" s="213"/>
      <c r="BG170" s="213"/>
      <c r="BH170" s="213"/>
    </row>
    <row r="171" spans="1:60" s="168" customFormat="1" ht="14.25" customHeight="1">
      <c r="A171" s="164"/>
      <c r="B171" s="172"/>
      <c r="C171" s="165"/>
      <c r="D171" s="165"/>
      <c r="E171" s="165"/>
      <c r="F171" s="165"/>
      <c r="G171" s="165"/>
      <c r="H171" s="166"/>
      <c r="I171" s="166"/>
      <c r="J171" s="166"/>
      <c r="K171" s="166"/>
      <c r="L171" s="166"/>
      <c r="M171" s="170"/>
      <c r="N171" s="170"/>
      <c r="O171" s="170"/>
      <c r="P171" s="170"/>
      <c r="Q171" s="170"/>
      <c r="R171" s="170"/>
      <c r="S171" s="170"/>
      <c r="T171" s="170"/>
      <c r="U171" s="170"/>
      <c r="V171" s="170"/>
      <c r="W171" s="170"/>
      <c r="AO171" s="213"/>
      <c r="AP171" s="213"/>
      <c r="AQ171" s="213"/>
      <c r="AR171" s="213"/>
      <c r="AS171" s="213"/>
      <c r="AT171" s="213"/>
      <c r="AU171" s="213"/>
      <c r="AV171" s="213"/>
      <c r="AW171" s="213"/>
      <c r="AX171" s="213"/>
      <c r="AY171" s="213"/>
      <c r="AZ171" s="213"/>
      <c r="BA171" s="213"/>
      <c r="BB171" s="213"/>
      <c r="BC171" s="213"/>
      <c r="BD171" s="213"/>
      <c r="BE171" s="213"/>
      <c r="BF171" s="213"/>
      <c r="BG171" s="213"/>
      <c r="BH171" s="213"/>
    </row>
    <row r="172" spans="1:60" s="168" customFormat="1" ht="14.25" customHeight="1">
      <c r="A172" s="164"/>
      <c r="B172" s="172"/>
      <c r="C172" s="165"/>
      <c r="D172" s="165"/>
      <c r="E172" s="165"/>
      <c r="F172" s="165"/>
      <c r="G172" s="165"/>
      <c r="H172" s="166"/>
      <c r="I172" s="166"/>
      <c r="J172" s="166"/>
      <c r="K172" s="166"/>
      <c r="L172" s="166"/>
      <c r="M172" s="170"/>
      <c r="N172" s="170"/>
      <c r="O172" s="170"/>
      <c r="P172" s="170"/>
      <c r="Q172" s="170"/>
      <c r="R172" s="170"/>
      <c r="S172" s="170"/>
      <c r="T172" s="170"/>
      <c r="U172" s="170"/>
      <c r="V172" s="170"/>
      <c r="W172" s="170"/>
      <c r="AO172" s="213"/>
      <c r="AP172" s="213"/>
      <c r="AQ172" s="213"/>
      <c r="AR172" s="213"/>
      <c r="AS172" s="213"/>
      <c r="AT172" s="213"/>
      <c r="AU172" s="213"/>
      <c r="AV172" s="213"/>
      <c r="AW172" s="213"/>
      <c r="AX172" s="213"/>
      <c r="AY172" s="213"/>
      <c r="AZ172" s="213"/>
      <c r="BA172" s="213"/>
      <c r="BB172" s="213"/>
      <c r="BC172" s="213"/>
      <c r="BD172" s="213"/>
      <c r="BE172" s="213"/>
      <c r="BF172" s="213"/>
      <c r="BG172" s="213"/>
      <c r="BH172" s="213"/>
    </row>
    <row r="173" spans="1:60" s="168" customFormat="1" ht="14.25" customHeight="1">
      <c r="A173" s="164"/>
      <c r="B173" s="172"/>
      <c r="C173" s="165"/>
      <c r="D173" s="165"/>
      <c r="E173" s="165"/>
      <c r="F173" s="165"/>
      <c r="G173" s="165"/>
      <c r="H173" s="166"/>
      <c r="I173" s="166"/>
      <c r="J173" s="166"/>
      <c r="K173" s="166"/>
      <c r="L173" s="166"/>
      <c r="M173" s="170"/>
      <c r="N173" s="170"/>
      <c r="O173" s="170"/>
      <c r="P173" s="170"/>
      <c r="Q173" s="170"/>
      <c r="R173" s="170"/>
      <c r="S173" s="170"/>
      <c r="T173" s="170"/>
      <c r="U173" s="170"/>
      <c r="V173" s="170"/>
      <c r="W173" s="170"/>
      <c r="AO173" s="213"/>
      <c r="AP173" s="213"/>
      <c r="AQ173" s="213"/>
      <c r="AR173" s="213"/>
      <c r="AS173" s="213"/>
      <c r="AT173" s="213"/>
      <c r="AU173" s="213"/>
      <c r="AV173" s="213"/>
      <c r="AW173" s="213"/>
      <c r="AX173" s="213"/>
      <c r="AY173" s="213"/>
      <c r="AZ173" s="213"/>
      <c r="BA173" s="213"/>
      <c r="BB173" s="213"/>
      <c r="BC173" s="213"/>
      <c r="BD173" s="213"/>
      <c r="BE173" s="213"/>
      <c r="BF173" s="213"/>
      <c r="BG173" s="213"/>
      <c r="BH173" s="213"/>
    </row>
    <row r="174" spans="1:60" s="168" customFormat="1" ht="14.25" customHeight="1">
      <c r="A174" s="164"/>
      <c r="B174" s="172"/>
      <c r="C174" s="165"/>
      <c r="D174" s="165"/>
      <c r="E174" s="165"/>
      <c r="F174" s="165"/>
      <c r="G174" s="165"/>
      <c r="H174" s="166"/>
      <c r="I174" s="166"/>
      <c r="J174" s="166"/>
      <c r="K174" s="166"/>
      <c r="L174" s="166"/>
      <c r="M174" s="170"/>
      <c r="N174" s="170"/>
      <c r="O174" s="170"/>
      <c r="P174" s="170"/>
      <c r="Q174" s="170"/>
      <c r="R174" s="170"/>
      <c r="S174" s="170"/>
      <c r="T174" s="170"/>
      <c r="U174" s="170"/>
      <c r="V174" s="170"/>
      <c r="W174" s="170"/>
      <c r="AO174" s="213"/>
      <c r="AP174" s="213"/>
      <c r="AQ174" s="213"/>
      <c r="AR174" s="213"/>
      <c r="AS174" s="213"/>
      <c r="AT174" s="213"/>
      <c r="AU174" s="213"/>
      <c r="AV174" s="213"/>
      <c r="AW174" s="213"/>
      <c r="AX174" s="213"/>
      <c r="AY174" s="213"/>
      <c r="AZ174" s="213"/>
      <c r="BA174" s="213"/>
      <c r="BB174" s="213"/>
      <c r="BC174" s="213"/>
      <c r="BD174" s="213"/>
      <c r="BE174" s="213"/>
      <c r="BF174" s="213"/>
      <c r="BG174" s="213"/>
      <c r="BH174" s="213"/>
    </row>
    <row r="175" spans="1:60" s="168" customFormat="1" ht="14.25" customHeight="1">
      <c r="A175" s="164"/>
      <c r="B175" s="172"/>
      <c r="C175" s="165"/>
      <c r="D175" s="165"/>
      <c r="E175" s="165"/>
      <c r="F175" s="165"/>
      <c r="G175" s="165"/>
      <c r="H175" s="166"/>
      <c r="I175" s="166"/>
      <c r="J175" s="166"/>
      <c r="K175" s="166"/>
      <c r="L175" s="166"/>
      <c r="M175" s="170"/>
      <c r="N175" s="170"/>
      <c r="O175" s="170"/>
      <c r="P175" s="170"/>
      <c r="Q175" s="170"/>
      <c r="R175" s="170"/>
      <c r="S175" s="170"/>
      <c r="T175" s="170"/>
      <c r="U175" s="170"/>
      <c r="V175" s="170"/>
      <c r="W175" s="170"/>
      <c r="AO175" s="213"/>
      <c r="AP175" s="213"/>
      <c r="AQ175" s="213"/>
      <c r="AR175" s="213"/>
      <c r="AS175" s="213"/>
      <c r="AT175" s="213"/>
      <c r="AU175" s="213"/>
      <c r="AV175" s="213"/>
      <c r="AW175" s="213"/>
      <c r="AX175" s="213"/>
      <c r="AY175" s="213"/>
      <c r="AZ175" s="213"/>
      <c r="BA175" s="213"/>
      <c r="BB175" s="213"/>
      <c r="BC175" s="213"/>
      <c r="BD175" s="213"/>
      <c r="BE175" s="213"/>
      <c r="BF175" s="213"/>
      <c r="BG175" s="213"/>
      <c r="BH175" s="213"/>
    </row>
    <row r="176" spans="1:60" s="213" customFormat="1" ht="14.25" customHeight="1">
      <c r="A176" s="164"/>
      <c r="B176" s="172"/>
      <c r="C176" s="165"/>
      <c r="D176" s="165"/>
      <c r="E176" s="165"/>
      <c r="F176" s="165"/>
      <c r="G176" s="165"/>
      <c r="H176" s="166"/>
      <c r="I176" s="166"/>
      <c r="J176" s="166"/>
      <c r="K176" s="166"/>
      <c r="L176" s="166"/>
      <c r="M176" s="170"/>
      <c r="N176" s="170"/>
      <c r="O176" s="170"/>
      <c r="P176" s="170"/>
      <c r="Q176" s="170"/>
      <c r="R176" s="170"/>
      <c r="S176" s="170"/>
      <c r="T176" s="170"/>
      <c r="U176" s="170"/>
      <c r="V176" s="170"/>
      <c r="W176" s="170"/>
      <c r="X176" s="169"/>
      <c r="Y176" s="169"/>
      <c r="Z176" s="169"/>
      <c r="AA176" s="169"/>
      <c r="AB176" s="169"/>
      <c r="AC176" s="169"/>
      <c r="AD176" s="169"/>
      <c r="AE176" s="169"/>
      <c r="AF176" s="170"/>
      <c r="AG176" s="170"/>
      <c r="AH176" s="168"/>
      <c r="AI176" s="168"/>
      <c r="AJ176" s="168"/>
      <c r="AK176" s="168"/>
      <c r="AL176" s="168"/>
      <c r="AM176" s="168"/>
      <c r="AN176" s="168"/>
      <c r="AO176" s="168"/>
      <c r="AP176" s="168"/>
      <c r="AQ176" s="168"/>
      <c r="AR176" s="168"/>
      <c r="AS176" s="168"/>
      <c r="AT176" s="168"/>
      <c r="AU176" s="168"/>
      <c r="AV176" s="168"/>
      <c r="AW176" s="168"/>
      <c r="AX176" s="168"/>
      <c r="AY176" s="168"/>
      <c r="AZ176" s="168"/>
      <c r="BA176" s="168"/>
      <c r="BB176" s="168"/>
      <c r="BC176" s="168"/>
      <c r="BD176" s="168"/>
      <c r="BE176" s="168"/>
      <c r="BF176" s="168"/>
      <c r="BG176" s="168"/>
      <c r="BH176" s="168"/>
    </row>
    <row r="177" spans="1:64" s="169" customFormat="1" ht="14.25" customHeight="1">
      <c r="A177" s="167"/>
      <c r="B177" s="167"/>
      <c r="C177" s="167"/>
      <c r="D177" s="167"/>
      <c r="E177" s="167"/>
      <c r="F177" s="167"/>
      <c r="G177" s="167"/>
      <c r="H177" s="143"/>
      <c r="I177" s="143"/>
      <c r="J177" s="143"/>
      <c r="K177" s="143"/>
      <c r="L177" s="143"/>
      <c r="M177" s="168"/>
      <c r="N177" s="168"/>
      <c r="O177" s="168"/>
      <c r="P177" s="168"/>
      <c r="Q177" s="168"/>
      <c r="R177" s="168"/>
      <c r="S177" s="168"/>
      <c r="T177" s="168"/>
      <c r="U177" s="168"/>
      <c r="V177" s="168"/>
      <c r="W177" s="168"/>
      <c r="X177" s="168"/>
      <c r="Y177" s="168"/>
      <c r="Z177" s="168"/>
      <c r="AA177" s="168"/>
      <c r="AB177" s="168"/>
      <c r="AC177" s="168"/>
      <c r="AD177" s="168"/>
      <c r="AE177" s="168"/>
      <c r="AF177" s="168"/>
      <c r="AG177" s="168"/>
      <c r="AH177" s="168"/>
      <c r="AI177" s="168"/>
      <c r="AJ177" s="168"/>
      <c r="AK177" s="168"/>
      <c r="AL177" s="168"/>
      <c r="AM177" s="168"/>
      <c r="AN177" s="168"/>
      <c r="AO177" s="168"/>
      <c r="AP177" s="168"/>
      <c r="AQ177" s="168"/>
      <c r="AR177" s="168"/>
      <c r="AS177" s="168"/>
      <c r="AT177" s="168"/>
      <c r="AU177" s="168"/>
      <c r="AV177" s="213"/>
      <c r="AW177" s="213"/>
      <c r="AX177" s="213"/>
      <c r="AY177" s="213"/>
      <c r="AZ177" s="213"/>
      <c r="BA177" s="213"/>
      <c r="BB177" s="213"/>
      <c r="BC177" s="213"/>
      <c r="BD177" s="168"/>
      <c r="BE177" s="203"/>
      <c r="BF177" s="168"/>
    </row>
    <row r="178" spans="1:64" s="169" customFormat="1" ht="14.25" customHeight="1">
      <c r="A178" s="165"/>
      <c r="B178" s="166"/>
      <c r="C178" s="166"/>
      <c r="D178" s="166"/>
      <c r="E178" s="166"/>
      <c r="F178" s="166"/>
      <c r="G178" s="143"/>
      <c r="H178" s="143"/>
      <c r="I178" s="143"/>
      <c r="J178" s="143"/>
      <c r="K178" s="143"/>
      <c r="L178" s="143"/>
      <c r="M178" s="168"/>
      <c r="N178" s="168"/>
      <c r="O178" s="168"/>
      <c r="P178" s="168"/>
      <c r="Q178" s="168"/>
      <c r="R178" s="168"/>
      <c r="S178" s="168"/>
      <c r="T178" s="168"/>
      <c r="U178" s="168"/>
      <c r="V178" s="168"/>
      <c r="W178" s="168"/>
      <c r="X178" s="168"/>
      <c r="Y178" s="168"/>
      <c r="Z178" s="168"/>
      <c r="AA178" s="168"/>
      <c r="AB178" s="168"/>
      <c r="AC178" s="168"/>
      <c r="AD178" s="168"/>
      <c r="AE178" s="168"/>
      <c r="AF178" s="168"/>
      <c r="AG178" s="168"/>
      <c r="AH178" s="168"/>
      <c r="AI178" s="213"/>
      <c r="AJ178" s="213"/>
      <c r="AK178" s="213"/>
      <c r="AL178" s="213"/>
      <c r="AM178" s="213"/>
      <c r="AN178" s="213"/>
      <c r="AO178" s="213"/>
      <c r="AP178" s="213"/>
      <c r="AQ178" s="213"/>
      <c r="AR178" s="213"/>
      <c r="AS178" s="213"/>
      <c r="AT178" s="213"/>
      <c r="AU178" s="213"/>
      <c r="AV178" s="213"/>
      <c r="AW178" s="213"/>
      <c r="AX178" s="213"/>
      <c r="AY178" s="213"/>
      <c r="AZ178" s="213"/>
      <c r="BA178" s="213"/>
      <c r="BB178" s="213"/>
      <c r="BC178" s="213"/>
      <c r="BD178" s="168"/>
      <c r="BE178" s="203"/>
      <c r="BF178" s="168"/>
    </row>
    <row r="179" spans="1:64" s="169" customFormat="1" ht="14.25" customHeight="1">
      <c r="A179" s="165">
        <f>A149+1</f>
        <v>6</v>
      </c>
      <c r="B179" s="166"/>
      <c r="C179" s="187" t="str">
        <f>IF($A$1 = 1, (IF("("&amp;C189&amp;")" ="()","","("&amp;C189&amp;")")), (IF("("&amp;C194&amp;")     ("&amp;C189&amp;")"="()     ()","","("&amp;C194&amp;")     ("&amp;C189&amp;")")))</f>
        <v>(220)     (187)</v>
      </c>
      <c r="D179" s="187" t="str">
        <f t="shared" ref="D179:J179" si="15">IF($A$1 = 1, (IF("("&amp;D189&amp;")" ="()","","("&amp;D189&amp;")")), (IF("("&amp;D194&amp;")     ("&amp;D189&amp;")"="()     ()","","("&amp;D194&amp;")     ("&amp;D189&amp;")")))</f>
        <v>(132)     (105)</v>
      </c>
      <c r="E179" s="187" t="str">
        <f t="shared" si="15"/>
        <v>(162)     (137)</v>
      </c>
      <c r="F179" s="187" t="str">
        <f t="shared" si="15"/>
        <v>(67)     (83)</v>
      </c>
      <c r="G179" s="187" t="str">
        <f t="shared" si="15"/>
        <v/>
      </c>
      <c r="H179" s="187" t="str">
        <f t="shared" si="15"/>
        <v/>
      </c>
      <c r="I179" s="187" t="str">
        <f t="shared" si="15"/>
        <v/>
      </c>
      <c r="J179" s="187" t="str">
        <f t="shared" si="15"/>
        <v/>
      </c>
      <c r="K179" s="187"/>
      <c r="L179" s="187"/>
      <c r="M179" s="220"/>
      <c r="N179" s="220"/>
      <c r="O179" s="220"/>
      <c r="P179" s="220"/>
      <c r="Q179" s="220"/>
      <c r="R179" s="220"/>
      <c r="S179" s="220"/>
      <c r="T179" s="220"/>
      <c r="U179" s="220"/>
      <c r="V179" s="220"/>
      <c r="W179" s="220"/>
      <c r="X179" s="168"/>
      <c r="Y179" s="168"/>
      <c r="Z179" s="168"/>
      <c r="AA179" s="168"/>
      <c r="AB179" s="168"/>
      <c r="AC179" s="168"/>
      <c r="AD179" s="168"/>
      <c r="AE179" s="168"/>
      <c r="AF179" s="168"/>
      <c r="AG179" s="168"/>
      <c r="AH179" s="168"/>
      <c r="AI179" s="213"/>
      <c r="AJ179" s="213"/>
      <c r="AK179" s="213"/>
      <c r="AL179" s="213"/>
      <c r="AM179" s="213"/>
      <c r="AN179" s="213"/>
      <c r="AO179" s="213"/>
      <c r="AP179" s="213"/>
      <c r="AQ179" s="213"/>
      <c r="AR179" s="213"/>
      <c r="AS179" s="213"/>
      <c r="AT179" s="213"/>
      <c r="AU179" s="213"/>
      <c r="AV179" s="213"/>
      <c r="AW179" s="213"/>
      <c r="AX179" s="213"/>
      <c r="AY179" s="213"/>
      <c r="AZ179" s="213"/>
      <c r="BA179" s="213"/>
      <c r="BB179" s="213"/>
      <c r="BC179" s="213"/>
      <c r="BD179" s="168"/>
      <c r="BE179" s="203"/>
      <c r="BF179" s="168"/>
    </row>
    <row r="180" spans="1:64" s="169" customFormat="1" ht="59.1" customHeight="1">
      <c r="A180" s="165"/>
      <c r="B180" s="177"/>
      <c r="C180" s="178" t="s">
        <v>760</v>
      </c>
      <c r="D180" s="178" t="s">
        <v>761</v>
      </c>
      <c r="E180" s="178" t="s">
        <v>762</v>
      </c>
      <c r="F180" s="178" t="s">
        <v>763</v>
      </c>
      <c r="G180" s="178"/>
      <c r="H180" s="178"/>
      <c r="I180" s="178"/>
      <c r="J180" s="178"/>
      <c r="K180" s="178"/>
      <c r="L180" s="178"/>
      <c r="M180" s="208"/>
      <c r="N180" s="208"/>
      <c r="O180" s="208"/>
      <c r="P180" s="208"/>
      <c r="Q180" s="208"/>
      <c r="R180" s="208"/>
      <c r="S180" s="208"/>
      <c r="T180" s="208"/>
      <c r="U180" s="208"/>
      <c r="V180" s="208"/>
      <c r="W180" s="208"/>
      <c r="X180" s="210"/>
      <c r="Y180" s="210"/>
      <c r="Z180" s="210"/>
      <c r="AA180" s="210"/>
      <c r="AB180" s="210"/>
      <c r="AC180" s="210"/>
      <c r="AD180" s="210"/>
      <c r="AE180" s="210"/>
      <c r="AF180" s="210"/>
      <c r="AG180" s="210"/>
      <c r="AH180" s="210"/>
      <c r="AI180" s="210"/>
      <c r="AJ180" s="210"/>
      <c r="AK180" s="210"/>
      <c r="AL180" s="210"/>
      <c r="AM180" s="210"/>
      <c r="AN180" s="210"/>
      <c r="AO180" s="216"/>
      <c r="AP180" s="216"/>
      <c r="AQ180" s="216"/>
      <c r="AR180" s="216"/>
      <c r="AS180" s="216"/>
      <c r="AT180" s="216"/>
      <c r="AU180" s="216"/>
      <c r="AV180" s="216"/>
      <c r="AW180" s="216"/>
      <c r="AX180" s="210"/>
      <c r="AY180" s="216"/>
      <c r="AZ180" s="216"/>
      <c r="BA180" s="216"/>
      <c r="BB180" s="216"/>
      <c r="BC180" s="216"/>
      <c r="BD180" s="216"/>
      <c r="BE180" s="216"/>
      <c r="BF180" s="216"/>
      <c r="BG180" s="216"/>
      <c r="BH180" s="216"/>
      <c r="BI180" s="216"/>
      <c r="BJ180" s="210"/>
      <c r="BK180" s="210"/>
      <c r="BL180" s="210"/>
    </row>
    <row r="181" spans="1:64" s="169" customFormat="1" ht="18" customHeight="1" thickBot="1">
      <c r="A181" s="165"/>
      <c r="B181" s="181" t="s">
        <v>3</v>
      </c>
      <c r="C181" s="148">
        <v>85</v>
      </c>
      <c r="D181" s="148">
        <v>74</v>
      </c>
      <c r="E181" s="148">
        <v>60</v>
      </c>
      <c r="F181" s="148">
        <v>46</v>
      </c>
      <c r="G181" s="148"/>
      <c r="H181" s="148"/>
      <c r="I181" s="148"/>
      <c r="J181" s="148"/>
      <c r="K181" s="148"/>
      <c r="L181" s="148"/>
      <c r="M181" s="211"/>
      <c r="N181" s="211"/>
      <c r="O181" s="211"/>
      <c r="P181" s="211"/>
      <c r="Q181" s="211"/>
      <c r="R181" s="211"/>
      <c r="S181" s="211"/>
      <c r="T181" s="211"/>
      <c r="U181" s="211"/>
      <c r="V181" s="211"/>
      <c r="W181" s="211"/>
      <c r="X181" s="168"/>
      <c r="Y181" s="168"/>
      <c r="Z181" s="168"/>
      <c r="AA181" s="168"/>
      <c r="AB181" s="168"/>
      <c r="AC181" s="168"/>
      <c r="AD181" s="168"/>
      <c r="AE181" s="168"/>
      <c r="AF181" s="168"/>
      <c r="AG181" s="168"/>
      <c r="AH181" s="168"/>
      <c r="AI181" s="168"/>
      <c r="AJ181" s="168"/>
      <c r="AK181" s="168"/>
      <c r="AL181" s="168"/>
      <c r="AM181" s="168"/>
      <c r="AN181" s="168"/>
      <c r="AO181" s="213"/>
      <c r="AP181" s="213"/>
      <c r="AQ181" s="213"/>
      <c r="AR181" s="213"/>
      <c r="AS181" s="213"/>
      <c r="AT181" s="213"/>
      <c r="AU181" s="213"/>
      <c r="AV181" s="213"/>
      <c r="AW181" s="213"/>
      <c r="AX181" s="168"/>
      <c r="AY181" s="213"/>
      <c r="AZ181" s="213"/>
      <c r="BA181" s="213"/>
      <c r="BB181" s="213"/>
      <c r="BC181" s="213"/>
      <c r="BD181" s="213"/>
      <c r="BE181" s="213"/>
      <c r="BF181" s="213"/>
      <c r="BG181" s="213"/>
      <c r="BH181" s="213"/>
      <c r="BI181" s="213"/>
      <c r="BJ181" s="168"/>
      <c r="BK181" s="168"/>
      <c r="BL181" s="168"/>
    </row>
    <row r="182" spans="1:64" s="169" customFormat="1" ht="18" customHeight="1" thickBot="1">
      <c r="A182" s="165"/>
      <c r="B182" s="182" t="s">
        <v>18</v>
      </c>
      <c r="C182" s="148">
        <v>84</v>
      </c>
      <c r="D182" s="148">
        <v>74</v>
      </c>
      <c r="E182" s="148">
        <v>62</v>
      </c>
      <c r="F182" s="148">
        <v>54</v>
      </c>
      <c r="G182" s="148"/>
      <c r="H182" s="148"/>
      <c r="I182" s="148"/>
      <c r="J182" s="148"/>
      <c r="K182" s="148"/>
      <c r="L182" s="148"/>
      <c r="M182" s="145"/>
      <c r="N182" s="145"/>
      <c r="O182" s="145"/>
      <c r="P182" s="145"/>
      <c r="Q182" s="145"/>
      <c r="R182" s="145"/>
      <c r="S182" s="145"/>
      <c r="T182" s="145"/>
      <c r="U182" s="145"/>
      <c r="V182" s="145"/>
      <c r="W182" s="145"/>
      <c r="X182" s="168"/>
      <c r="Y182" s="168"/>
      <c r="Z182" s="168"/>
      <c r="AA182" s="168"/>
      <c r="AB182" s="168"/>
      <c r="AC182" s="168"/>
      <c r="AD182" s="168"/>
      <c r="AE182" s="168"/>
      <c r="AF182" s="168"/>
      <c r="AG182" s="168"/>
      <c r="AH182" s="168"/>
      <c r="AI182" s="168"/>
      <c r="AJ182" s="168"/>
      <c r="AK182" s="168"/>
      <c r="AL182" s="168"/>
      <c r="AM182" s="168"/>
      <c r="AN182" s="168"/>
      <c r="AO182" s="213"/>
      <c r="AP182" s="213"/>
      <c r="AQ182" s="213"/>
      <c r="AR182" s="213"/>
      <c r="AS182" s="213"/>
      <c r="AT182" s="213"/>
      <c r="AU182" s="213"/>
      <c r="AV182" s="213"/>
      <c r="AW182" s="213"/>
      <c r="AX182" s="168"/>
      <c r="AY182" s="213"/>
      <c r="AZ182" s="213"/>
      <c r="BA182" s="213"/>
      <c r="BB182" s="213"/>
      <c r="BC182" s="213"/>
      <c r="BD182" s="213"/>
      <c r="BE182" s="213"/>
      <c r="BF182" s="213"/>
      <c r="BG182" s="213"/>
      <c r="BH182" s="213"/>
      <c r="BI182" s="213"/>
      <c r="BJ182" s="168"/>
      <c r="BK182" s="168"/>
      <c r="BL182" s="168"/>
    </row>
    <row r="183" spans="1:64" s="169" customFormat="1" ht="18" customHeight="1" thickBot="1">
      <c r="A183" s="165"/>
      <c r="B183" s="183" t="s">
        <v>32</v>
      </c>
      <c r="C183" s="147">
        <v>78</v>
      </c>
      <c r="D183" s="147">
        <v>68</v>
      </c>
      <c r="E183" s="147">
        <v>60</v>
      </c>
      <c r="F183" s="147">
        <v>47</v>
      </c>
      <c r="G183" s="147"/>
      <c r="H183" s="147"/>
      <c r="I183" s="147"/>
      <c r="J183" s="147"/>
      <c r="K183" s="147"/>
      <c r="L183" s="147"/>
      <c r="M183" s="145"/>
      <c r="N183" s="145"/>
      <c r="O183" s="145"/>
      <c r="P183" s="145"/>
      <c r="Q183" s="145"/>
      <c r="R183" s="145"/>
      <c r="S183" s="145"/>
      <c r="T183" s="145"/>
      <c r="U183" s="145"/>
      <c r="V183" s="145"/>
      <c r="W183" s="145"/>
      <c r="X183" s="168"/>
      <c r="Y183" s="168"/>
      <c r="Z183" s="168"/>
      <c r="AA183" s="168"/>
      <c r="AB183" s="168"/>
      <c r="AC183" s="168"/>
      <c r="AD183" s="168"/>
      <c r="AE183" s="168"/>
      <c r="AF183" s="168"/>
      <c r="AG183" s="168"/>
      <c r="AH183" s="168"/>
      <c r="AI183" s="168"/>
      <c r="AJ183" s="168"/>
      <c r="AK183" s="168"/>
      <c r="AL183" s="168"/>
      <c r="AM183" s="168"/>
      <c r="AN183" s="168"/>
      <c r="AO183" s="213"/>
      <c r="AP183" s="213"/>
      <c r="AQ183" s="213"/>
      <c r="AR183" s="213"/>
      <c r="AS183" s="213"/>
      <c r="AT183" s="213"/>
      <c r="AU183" s="213"/>
      <c r="AV183" s="213"/>
      <c r="AW183" s="213"/>
      <c r="AX183" s="168"/>
      <c r="AY183" s="213"/>
      <c r="AZ183" s="213"/>
      <c r="BA183" s="213"/>
      <c r="BB183" s="213"/>
      <c r="BC183" s="213"/>
      <c r="BD183" s="213"/>
      <c r="BE183" s="213"/>
      <c r="BF183" s="213"/>
      <c r="BG183" s="213"/>
      <c r="BH183" s="213"/>
      <c r="BI183" s="168"/>
      <c r="BJ183" s="168"/>
      <c r="BK183" s="168"/>
      <c r="BL183" s="168"/>
    </row>
    <row r="184" spans="1:64" s="169" customFormat="1" ht="18" customHeight="1" thickBot="1">
      <c r="A184" s="165"/>
      <c r="B184" s="182" t="s">
        <v>45</v>
      </c>
      <c r="C184" s="145">
        <v>82</v>
      </c>
      <c r="D184" s="145">
        <v>71</v>
      </c>
      <c r="E184" s="145">
        <v>59</v>
      </c>
      <c r="F184" s="145">
        <v>47</v>
      </c>
      <c r="G184" s="145"/>
      <c r="H184" s="145"/>
      <c r="I184" s="145"/>
      <c r="J184" s="145"/>
      <c r="K184" s="145"/>
      <c r="L184" s="145"/>
      <c r="M184" s="145"/>
      <c r="N184" s="145"/>
      <c r="O184" s="145"/>
      <c r="P184" s="145"/>
      <c r="Q184" s="145"/>
      <c r="R184" s="145"/>
      <c r="S184" s="145"/>
      <c r="T184" s="145"/>
      <c r="U184" s="145"/>
      <c r="V184" s="145"/>
      <c r="W184" s="145"/>
      <c r="X184" s="168"/>
      <c r="Y184" s="168"/>
      <c r="Z184" s="168"/>
      <c r="AA184" s="168"/>
      <c r="AB184" s="168"/>
      <c r="AC184" s="168"/>
      <c r="AD184" s="168"/>
      <c r="AE184" s="168"/>
      <c r="AF184" s="168"/>
      <c r="AG184" s="168"/>
      <c r="AH184" s="168"/>
      <c r="AI184" s="168"/>
      <c r="AJ184" s="168"/>
      <c r="AK184" s="168"/>
      <c r="AL184" s="168"/>
      <c r="AM184" s="168"/>
      <c r="AN184" s="168"/>
      <c r="AO184" s="213"/>
      <c r="AP184" s="213"/>
      <c r="AQ184" s="213"/>
      <c r="AR184" s="213"/>
      <c r="AS184" s="213"/>
      <c r="AT184" s="213"/>
      <c r="AU184" s="213"/>
      <c r="AV184" s="213"/>
      <c r="AW184" s="213"/>
      <c r="AX184" s="168"/>
      <c r="AY184" s="213"/>
      <c r="AZ184" s="213"/>
      <c r="BA184" s="213"/>
      <c r="BB184" s="213"/>
      <c r="BC184" s="213"/>
      <c r="BD184" s="213"/>
      <c r="BE184" s="213"/>
      <c r="BF184" s="213"/>
      <c r="BG184" s="213"/>
      <c r="BH184" s="213"/>
      <c r="BI184" s="168"/>
      <c r="BJ184" s="168"/>
      <c r="BK184" s="168"/>
      <c r="BL184" s="168"/>
    </row>
    <row r="185" spans="1:64" s="169" customFormat="1" ht="18" customHeight="1" thickBot="1">
      <c r="A185" s="165"/>
      <c r="B185" s="184" t="s">
        <v>54</v>
      </c>
      <c r="C185" s="146">
        <v>82</v>
      </c>
      <c r="D185" s="146">
        <v>73</v>
      </c>
      <c r="E185" s="146">
        <v>61</v>
      </c>
      <c r="F185" s="146">
        <v>51</v>
      </c>
      <c r="G185" s="146"/>
      <c r="H185" s="146"/>
      <c r="I185" s="146"/>
      <c r="J185" s="146"/>
      <c r="K185" s="146"/>
      <c r="L185" s="146"/>
      <c r="M185" s="145"/>
      <c r="N185" s="145"/>
      <c r="O185" s="145"/>
      <c r="P185" s="145"/>
      <c r="Q185" s="145"/>
      <c r="R185" s="145"/>
      <c r="S185" s="145"/>
      <c r="T185" s="145"/>
      <c r="U185" s="145"/>
      <c r="V185" s="145"/>
      <c r="W185" s="145"/>
      <c r="X185" s="168"/>
      <c r="Y185" s="168"/>
      <c r="Z185" s="168"/>
      <c r="AA185" s="168"/>
      <c r="AB185" s="168"/>
      <c r="AC185" s="168"/>
      <c r="AD185" s="168"/>
      <c r="AE185" s="168"/>
      <c r="AF185" s="168"/>
      <c r="AG185" s="168"/>
      <c r="AH185" s="168"/>
      <c r="AI185" s="168"/>
      <c r="AJ185" s="168"/>
      <c r="AK185" s="168"/>
      <c r="AL185" s="168"/>
      <c r="AM185" s="168"/>
      <c r="AN185" s="168"/>
      <c r="AO185" s="213"/>
      <c r="AP185" s="213"/>
      <c r="AQ185" s="213"/>
      <c r="AR185" s="213"/>
      <c r="AS185" s="213"/>
      <c r="AT185" s="213"/>
      <c r="AU185" s="213"/>
      <c r="AV185" s="213"/>
      <c r="AW185" s="213"/>
      <c r="AX185" s="168"/>
      <c r="AY185" s="213"/>
      <c r="AZ185" s="213"/>
      <c r="BA185" s="213"/>
      <c r="BB185" s="213"/>
      <c r="BC185" s="213"/>
      <c r="BD185" s="213"/>
      <c r="BE185" s="213"/>
      <c r="BF185" s="213"/>
      <c r="BG185" s="213"/>
      <c r="BH185" s="213"/>
      <c r="BI185" s="168"/>
      <c r="BJ185" s="168"/>
      <c r="BK185" s="168"/>
      <c r="BL185" s="168"/>
    </row>
    <row r="186" spans="1:64" s="169" customFormat="1">
      <c r="A186" s="165"/>
      <c r="B186" s="182" t="s">
        <v>66</v>
      </c>
      <c r="C186" s="145">
        <v>80</v>
      </c>
      <c r="D186" s="145">
        <v>73</v>
      </c>
      <c r="E186" s="145">
        <v>58</v>
      </c>
      <c r="F186" s="145">
        <v>41</v>
      </c>
      <c r="G186" s="145"/>
      <c r="H186" s="125"/>
      <c r="I186" s="125"/>
      <c r="J186" s="125"/>
      <c r="K186" s="125"/>
      <c r="L186" s="125"/>
      <c r="M186" s="145"/>
      <c r="N186" s="145"/>
      <c r="O186" s="145"/>
      <c r="P186" s="145"/>
      <c r="Q186" s="145"/>
      <c r="R186" s="145"/>
      <c r="S186" s="145"/>
      <c r="T186" s="145"/>
      <c r="U186" s="145"/>
      <c r="V186" s="145"/>
      <c r="W186" s="145"/>
      <c r="X186" s="168"/>
      <c r="Y186" s="168"/>
      <c r="Z186" s="168"/>
      <c r="AA186" s="168"/>
      <c r="AB186" s="168"/>
      <c r="AC186" s="168"/>
      <c r="AD186" s="168"/>
      <c r="AE186" s="168"/>
      <c r="AF186" s="168"/>
      <c r="AG186" s="168"/>
      <c r="AH186" s="168"/>
      <c r="AI186" s="168"/>
      <c r="AJ186" s="168"/>
      <c r="AK186" s="168"/>
      <c r="AL186" s="168"/>
      <c r="AM186" s="168"/>
      <c r="AN186" s="168"/>
      <c r="AO186" s="213"/>
      <c r="AP186" s="213"/>
      <c r="AQ186" s="213"/>
      <c r="AR186" s="213"/>
      <c r="AS186" s="213"/>
      <c r="AT186" s="213"/>
      <c r="AU186" s="213"/>
      <c r="AV186" s="213"/>
      <c r="AW186" s="213"/>
      <c r="AX186" s="168"/>
      <c r="AY186" s="213"/>
      <c r="AZ186" s="213"/>
      <c r="BA186" s="213"/>
      <c r="BB186" s="213"/>
      <c r="BC186" s="213"/>
      <c r="BD186" s="213"/>
      <c r="BE186" s="213"/>
      <c r="BF186" s="213"/>
      <c r="BG186" s="213"/>
      <c r="BH186" s="213"/>
      <c r="BI186" s="168"/>
      <c r="BJ186" s="168"/>
      <c r="BK186" s="168"/>
      <c r="BL186" s="168"/>
    </row>
    <row r="187" spans="1:64" s="173" customFormat="1">
      <c r="A187" s="169"/>
      <c r="B187" s="182" t="s">
        <v>158</v>
      </c>
      <c r="C187" s="126">
        <v>82</v>
      </c>
      <c r="D187" s="126">
        <v>72</v>
      </c>
      <c r="E187" s="126">
        <v>60</v>
      </c>
      <c r="F187" s="126">
        <v>49</v>
      </c>
      <c r="G187" s="126"/>
      <c r="H187" s="126"/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  <c r="T187" s="126"/>
      <c r="U187" s="126"/>
      <c r="V187" s="126"/>
      <c r="W187" s="126"/>
      <c r="X187" s="168"/>
      <c r="Y187" s="168"/>
      <c r="Z187" s="168"/>
      <c r="AA187" s="168"/>
      <c r="AB187" s="168"/>
      <c r="AC187" s="168"/>
      <c r="AD187" s="168"/>
      <c r="AE187" s="168"/>
      <c r="AF187" s="168"/>
      <c r="AG187" s="168"/>
      <c r="AH187" s="168"/>
      <c r="AI187" s="168"/>
      <c r="AJ187" s="168"/>
      <c r="AK187" s="168"/>
      <c r="AL187" s="168"/>
      <c r="AM187" s="168"/>
      <c r="AN187" s="168"/>
      <c r="AO187" s="213"/>
      <c r="AP187" s="213"/>
      <c r="AQ187" s="213"/>
      <c r="AR187" s="213"/>
      <c r="AS187" s="213"/>
      <c r="AT187" s="213"/>
      <c r="AU187" s="213"/>
      <c r="AV187" s="213"/>
      <c r="AW187" s="213"/>
      <c r="AX187" s="168"/>
      <c r="AY187" s="213"/>
      <c r="AZ187" s="213"/>
      <c r="BA187" s="213"/>
      <c r="BB187" s="213"/>
      <c r="BC187" s="213"/>
      <c r="BD187" s="213"/>
      <c r="BE187" s="213"/>
      <c r="BF187" s="213"/>
      <c r="BG187" s="213"/>
      <c r="BH187" s="213"/>
      <c r="BI187" s="168"/>
      <c r="BJ187" s="168"/>
      <c r="BK187" s="168"/>
      <c r="BL187" s="168"/>
    </row>
    <row r="188" spans="1:64" s="208" customFormat="1">
      <c r="A188" s="173"/>
      <c r="B188" s="182" t="s">
        <v>191</v>
      </c>
      <c r="C188" s="127">
        <v>69</v>
      </c>
      <c r="D188" s="127">
        <v>69</v>
      </c>
      <c r="E188" s="127">
        <v>69</v>
      </c>
      <c r="F188" s="127">
        <v>69</v>
      </c>
      <c r="G188" s="127"/>
      <c r="H188" s="126"/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168"/>
      <c r="Y188" s="168"/>
      <c r="Z188" s="168"/>
      <c r="AA188" s="168"/>
      <c r="AB188" s="168"/>
      <c r="AC188" s="168"/>
      <c r="AD188" s="168"/>
      <c r="AE188" s="168"/>
      <c r="AF188" s="168"/>
      <c r="AG188" s="168"/>
      <c r="AH188" s="168"/>
      <c r="AI188" s="168"/>
      <c r="AJ188" s="168"/>
      <c r="AK188" s="168"/>
      <c r="AL188" s="168"/>
      <c r="AM188" s="168"/>
      <c r="AN188" s="168"/>
      <c r="AO188" s="214"/>
      <c r="AP188" s="214"/>
      <c r="AQ188" s="214"/>
      <c r="AR188" s="214"/>
      <c r="AS188" s="214"/>
      <c r="AT188" s="213"/>
      <c r="AU188" s="213"/>
      <c r="AV188" s="213"/>
      <c r="AW188" s="213"/>
      <c r="AX188" s="168"/>
      <c r="AY188" s="213"/>
      <c r="AZ188" s="213"/>
      <c r="BA188" s="213"/>
      <c r="BB188" s="213"/>
      <c r="BC188" s="213"/>
      <c r="BD188" s="213"/>
      <c r="BE188" s="213"/>
      <c r="BF188" s="213"/>
      <c r="BG188" s="213"/>
      <c r="BH188" s="213"/>
      <c r="BI188" s="168"/>
      <c r="BJ188" s="168"/>
      <c r="BK188" s="168"/>
      <c r="BL188" s="168"/>
    </row>
    <row r="189" spans="1:64" s="211" customFormat="1" ht="15" thickBot="1">
      <c r="A189" s="178"/>
      <c r="B189" s="182" t="s">
        <v>442</v>
      </c>
      <c r="C189" s="126">
        <v>187</v>
      </c>
      <c r="D189" s="315">
        <v>105</v>
      </c>
      <c r="E189" s="315">
        <v>137</v>
      </c>
      <c r="F189" s="315">
        <v>83</v>
      </c>
      <c r="G189" s="315"/>
      <c r="H189" s="315"/>
      <c r="I189" s="315"/>
      <c r="J189" s="315"/>
      <c r="K189" s="315"/>
      <c r="L189" s="315"/>
      <c r="M189" s="126"/>
      <c r="N189" s="126"/>
      <c r="O189" s="126"/>
      <c r="P189" s="126"/>
      <c r="Q189" s="126"/>
      <c r="R189" s="126"/>
      <c r="S189" s="126"/>
      <c r="T189" s="126"/>
      <c r="U189" s="126"/>
      <c r="V189" s="126"/>
      <c r="W189" s="126"/>
      <c r="X189" s="168"/>
      <c r="Y189" s="168"/>
      <c r="Z189" s="168"/>
      <c r="AA189" s="168"/>
      <c r="AB189" s="168"/>
      <c r="AC189" s="168"/>
      <c r="AD189" s="168"/>
      <c r="AE189" s="168"/>
      <c r="AF189" s="168"/>
      <c r="AG189" s="168"/>
      <c r="AH189" s="168"/>
      <c r="AI189" s="168"/>
      <c r="AJ189" s="168"/>
      <c r="AK189" s="168"/>
      <c r="AL189" s="168"/>
      <c r="AM189" s="168"/>
      <c r="AN189" s="168"/>
      <c r="AO189" s="213"/>
      <c r="AP189" s="213"/>
      <c r="AQ189" s="213"/>
      <c r="AR189" s="213"/>
      <c r="AS189" s="213"/>
      <c r="AT189" s="213"/>
      <c r="AU189" s="213"/>
      <c r="AV189" s="213"/>
      <c r="AW189" s="213"/>
      <c r="AX189" s="168"/>
      <c r="AY189" s="213"/>
      <c r="AZ189" s="213"/>
      <c r="BA189" s="213"/>
      <c r="BB189" s="213"/>
      <c r="BC189" s="213"/>
      <c r="BD189" s="213"/>
      <c r="BE189" s="213"/>
      <c r="BF189" s="213"/>
      <c r="BG189" s="213"/>
      <c r="BH189" s="213"/>
      <c r="BI189" s="168"/>
      <c r="BJ189" s="168"/>
      <c r="BK189" s="168"/>
      <c r="BL189" s="168"/>
    </row>
    <row r="190" spans="1:64" s="145" customFormat="1">
      <c r="A190" s="211"/>
      <c r="B190" s="338" t="s">
        <v>166</v>
      </c>
      <c r="C190" s="316">
        <f>IF(OR(C193="**",C193=""),"",VALUE(C193))</f>
        <v>83</v>
      </c>
      <c r="D190" s="316">
        <f t="shared" ref="D190:J190" si="16">IF(OR(D193="**",D193=""),"",VALUE(D193))</f>
        <v>75</v>
      </c>
      <c r="E190" s="316">
        <f t="shared" si="16"/>
        <v>65</v>
      </c>
      <c r="F190" s="316">
        <f t="shared" si="16"/>
        <v>55</v>
      </c>
      <c r="G190" s="316" t="str">
        <f t="shared" si="16"/>
        <v/>
      </c>
      <c r="H190" s="316" t="str">
        <f t="shared" si="16"/>
        <v/>
      </c>
      <c r="I190" s="316" t="str">
        <f t="shared" si="16"/>
        <v/>
      </c>
      <c r="J190" s="316" t="str">
        <f t="shared" si="16"/>
        <v/>
      </c>
      <c r="K190" s="316"/>
      <c r="L190" s="316"/>
      <c r="M190" s="126"/>
      <c r="N190" s="126"/>
      <c r="O190" s="126"/>
      <c r="P190" s="126"/>
      <c r="Q190" s="126"/>
      <c r="R190" s="126"/>
      <c r="S190" s="126"/>
      <c r="T190" s="126"/>
      <c r="U190" s="126"/>
      <c r="V190" s="126"/>
      <c r="W190" s="126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213"/>
      <c r="AP190" s="213"/>
      <c r="AQ190" s="213"/>
      <c r="AR190" s="213"/>
      <c r="AS190" s="213"/>
      <c r="AT190" s="213"/>
      <c r="AU190" s="213"/>
      <c r="AV190" s="213"/>
      <c r="AW190" s="213"/>
      <c r="AX190" s="168"/>
      <c r="AY190" s="213"/>
      <c r="AZ190" s="213"/>
      <c r="BA190" s="213"/>
      <c r="BB190" s="213"/>
      <c r="BC190" s="213"/>
      <c r="BD190" s="213"/>
      <c r="BE190" s="213"/>
      <c r="BF190" s="213"/>
      <c r="BG190" s="213"/>
      <c r="BH190" s="213"/>
      <c r="BI190" s="168"/>
      <c r="BJ190" s="168"/>
      <c r="BK190" s="168"/>
      <c r="BL190" s="168"/>
    </row>
    <row r="191" spans="1:64" s="145" customFormat="1" ht="15" thickBot="1">
      <c r="B191" s="339" t="s">
        <v>165</v>
      </c>
      <c r="C191" s="317">
        <f t="shared" ref="C191:J191" si="17">IF(OR(C187="**",C187=""),"",VALUE(C187))</f>
        <v>82</v>
      </c>
      <c r="D191" s="317">
        <f t="shared" si="17"/>
        <v>72</v>
      </c>
      <c r="E191" s="317">
        <f t="shared" si="17"/>
        <v>60</v>
      </c>
      <c r="F191" s="317">
        <f t="shared" si="17"/>
        <v>49</v>
      </c>
      <c r="G191" s="317" t="str">
        <f t="shared" si="17"/>
        <v/>
      </c>
      <c r="H191" s="317" t="str">
        <f t="shared" si="17"/>
        <v/>
      </c>
      <c r="I191" s="317" t="str">
        <f t="shared" si="17"/>
        <v/>
      </c>
      <c r="J191" s="317" t="str">
        <f t="shared" si="17"/>
        <v/>
      </c>
      <c r="K191" s="317"/>
      <c r="L191" s="317"/>
      <c r="M191" s="169"/>
      <c r="N191" s="169"/>
      <c r="O191" s="169"/>
      <c r="P191" s="169"/>
      <c r="Q191" s="169"/>
      <c r="R191" s="169"/>
      <c r="S191" s="169"/>
      <c r="T191" s="169"/>
      <c r="U191" s="169"/>
      <c r="V191" s="169"/>
      <c r="W191" s="169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9"/>
      <c r="AP191" s="169"/>
      <c r="AQ191" s="169"/>
      <c r="AR191" s="169"/>
      <c r="AS191" s="169"/>
      <c r="AT191" s="169"/>
      <c r="AU191" s="169"/>
      <c r="AV191" s="169"/>
      <c r="AW191" s="213"/>
      <c r="AX191" s="213"/>
      <c r="AY191" s="213"/>
      <c r="AZ191" s="213"/>
      <c r="BA191" s="213"/>
      <c r="BB191" s="213"/>
      <c r="BC191" s="213"/>
      <c r="BD191" s="213"/>
      <c r="BE191" s="213"/>
      <c r="BF191" s="213"/>
      <c r="BG191" s="213"/>
      <c r="BH191" s="213"/>
      <c r="BI191" s="168"/>
      <c r="BJ191" s="168"/>
      <c r="BK191" s="168"/>
      <c r="BL191" s="168"/>
    </row>
    <row r="192" spans="1:64" s="145" customFormat="1">
      <c r="B192" s="340" t="s">
        <v>483</v>
      </c>
      <c r="C192" s="167" t="s">
        <v>760</v>
      </c>
      <c r="D192" s="167" t="s">
        <v>761</v>
      </c>
      <c r="E192" s="167" t="s">
        <v>762</v>
      </c>
      <c r="F192" s="167" t="s">
        <v>763</v>
      </c>
      <c r="G192" s="167"/>
      <c r="H192" s="166"/>
      <c r="I192" s="166"/>
      <c r="J192" s="166"/>
      <c r="K192" s="166"/>
      <c r="L192" s="166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68"/>
      <c r="AB192" s="168"/>
      <c r="AC192" s="168"/>
      <c r="AD192" s="168"/>
      <c r="AE192" s="168"/>
      <c r="AF192" s="168"/>
      <c r="AG192" s="168"/>
      <c r="AH192" s="213"/>
      <c r="AI192" s="213"/>
      <c r="AJ192" s="213"/>
      <c r="AK192" s="213"/>
      <c r="AL192" s="213"/>
      <c r="AM192" s="213"/>
      <c r="AN192" s="213"/>
      <c r="AO192" s="213"/>
      <c r="AP192" s="213"/>
      <c r="AQ192" s="168"/>
      <c r="AR192" s="213"/>
      <c r="AS192" s="213"/>
      <c r="AT192" s="213"/>
      <c r="AU192" s="213"/>
      <c r="AV192" s="213"/>
      <c r="AW192" s="213"/>
      <c r="AX192" s="213"/>
      <c r="AY192" s="213"/>
      <c r="AZ192" s="213"/>
      <c r="BA192" s="213"/>
      <c r="BB192" s="168"/>
      <c r="BC192" s="182"/>
    </row>
    <row r="193" spans="1:23" s="170" customFormat="1">
      <c r="A193" s="145"/>
      <c r="B193" s="182" t="s">
        <v>158</v>
      </c>
      <c r="C193" s="165">
        <v>83</v>
      </c>
      <c r="D193" s="165">
        <v>75</v>
      </c>
      <c r="E193" s="165">
        <v>65</v>
      </c>
      <c r="F193" s="165">
        <v>55</v>
      </c>
      <c r="G193" s="165"/>
      <c r="H193" s="166"/>
      <c r="I193" s="166"/>
      <c r="J193" s="166"/>
      <c r="K193" s="166"/>
      <c r="L193" s="166"/>
      <c r="M193" s="168"/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</row>
    <row r="194" spans="1:23" s="168" customFormat="1">
      <c r="A194" s="166"/>
      <c r="B194" s="340" t="s">
        <v>442</v>
      </c>
      <c r="C194" s="165">
        <v>220</v>
      </c>
      <c r="D194" s="165">
        <v>132</v>
      </c>
      <c r="E194" s="165">
        <v>162</v>
      </c>
      <c r="F194" s="165">
        <v>67</v>
      </c>
      <c r="G194" s="165"/>
      <c r="H194" s="165"/>
      <c r="I194" s="165"/>
      <c r="J194" s="165"/>
      <c r="K194" s="165"/>
      <c r="L194" s="165"/>
    </row>
    <row r="195" spans="1:23" s="168" customFormat="1">
      <c r="A195" s="143"/>
      <c r="B195" s="143"/>
      <c r="C195" s="143"/>
      <c r="D195" s="143"/>
      <c r="E195" s="143"/>
      <c r="F195" s="143"/>
      <c r="G195" s="143"/>
      <c r="H195" s="143"/>
      <c r="I195" s="143"/>
      <c r="J195" s="143"/>
      <c r="K195" s="143"/>
      <c r="L195" s="143"/>
    </row>
    <row r="196" spans="1:23" s="168" customFormat="1">
      <c r="A196" s="143"/>
      <c r="B196" s="143"/>
      <c r="C196" s="143"/>
      <c r="D196" s="143"/>
      <c r="E196" s="143"/>
      <c r="F196" s="143"/>
      <c r="G196" s="143"/>
      <c r="H196" s="143"/>
      <c r="I196" s="143"/>
      <c r="J196" s="143"/>
      <c r="K196" s="143"/>
      <c r="L196" s="143"/>
    </row>
    <row r="197" spans="1:23" s="168" customFormat="1">
      <c r="A197" s="143"/>
      <c r="B197" s="143"/>
      <c r="C197" s="143"/>
      <c r="D197" s="143"/>
      <c r="E197" s="143"/>
      <c r="F197" s="143"/>
      <c r="G197" s="143"/>
      <c r="H197" s="143"/>
      <c r="I197" s="143"/>
      <c r="J197" s="143"/>
      <c r="K197" s="143"/>
      <c r="L197" s="143"/>
    </row>
    <row r="198" spans="1:23" s="168" customFormat="1" ht="14.25" customHeight="1">
      <c r="A198" s="143"/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  <c r="L198" s="143"/>
    </row>
    <row r="199" spans="1:23" s="168" customFormat="1" ht="14.25" customHeight="1">
      <c r="A199" s="143" t="s">
        <v>183</v>
      </c>
      <c r="B199" s="143"/>
      <c r="C199" s="143"/>
      <c r="D199" s="143"/>
      <c r="E199" s="143"/>
      <c r="F199" s="143"/>
      <c r="G199" s="143"/>
      <c r="H199" s="143"/>
      <c r="I199" s="143"/>
      <c r="J199" s="143"/>
      <c r="K199" s="143"/>
      <c r="L199" s="143"/>
    </row>
    <row r="200" spans="1:23" s="168" customFormat="1" ht="14.25" customHeight="1">
      <c r="A200" s="143">
        <v>7</v>
      </c>
      <c r="B200" s="143"/>
      <c r="C200" s="143"/>
      <c r="D200" s="143"/>
      <c r="E200" s="143"/>
      <c r="F200" s="143"/>
      <c r="G200" s="143"/>
      <c r="H200" s="143"/>
      <c r="I200" s="143"/>
      <c r="J200" s="143"/>
      <c r="K200" s="143"/>
      <c r="L200" s="143"/>
    </row>
    <row r="201" spans="1:23" s="168" customFormat="1" ht="14.25" customHeight="1">
      <c r="A201" s="143"/>
      <c r="B201" s="143"/>
      <c r="C201" s="143"/>
      <c r="D201" s="143"/>
      <c r="E201" s="143"/>
      <c r="F201" s="143"/>
      <c r="G201" s="143"/>
      <c r="H201" s="143"/>
      <c r="I201" s="143"/>
      <c r="J201" s="143"/>
      <c r="K201" s="143"/>
      <c r="L201" s="143"/>
    </row>
    <row r="202" spans="1:23" s="168" customFormat="1" ht="14.25" customHeight="1">
      <c r="A202" s="143"/>
      <c r="B202" s="143"/>
      <c r="C202" s="143"/>
      <c r="D202" s="143"/>
      <c r="E202" s="143"/>
      <c r="F202" s="143"/>
      <c r="G202" s="143"/>
      <c r="H202" s="143"/>
      <c r="I202" s="143"/>
      <c r="J202" s="143"/>
      <c r="K202" s="143"/>
      <c r="L202" s="143"/>
    </row>
    <row r="203" spans="1:23" s="168" customFormat="1" ht="14.25" customHeight="1">
      <c r="A203" s="143"/>
      <c r="B203" s="143"/>
      <c r="C203" s="143"/>
      <c r="D203" s="143"/>
      <c r="E203" s="143"/>
      <c r="F203" s="143"/>
      <c r="G203" s="143"/>
      <c r="H203" s="143"/>
      <c r="I203" s="143"/>
      <c r="J203" s="143"/>
      <c r="K203" s="143"/>
      <c r="L203" s="143"/>
    </row>
    <row r="204" spans="1:23" s="168" customFormat="1" ht="14.25" customHeight="1">
      <c r="A204" s="143"/>
      <c r="B204" s="143"/>
      <c r="C204" s="143"/>
      <c r="D204" s="143"/>
      <c r="E204" s="143"/>
      <c r="F204" s="143"/>
      <c r="G204" s="143"/>
      <c r="H204" s="143"/>
      <c r="I204" s="143"/>
      <c r="J204" s="143"/>
      <c r="K204" s="143"/>
      <c r="L204" s="143"/>
    </row>
    <row r="205" spans="1:23" s="168" customFormat="1" ht="14.25" customHeight="1">
      <c r="A205" s="143"/>
      <c r="B205" s="143"/>
      <c r="C205" s="143"/>
      <c r="D205" s="143"/>
      <c r="E205" s="143"/>
      <c r="F205" s="143"/>
      <c r="G205" s="143"/>
      <c r="H205" s="167"/>
      <c r="I205" s="167"/>
      <c r="J205" s="167"/>
      <c r="K205" s="167"/>
      <c r="L205" s="167"/>
      <c r="M205" s="213"/>
      <c r="N205" s="213"/>
      <c r="O205" s="213"/>
      <c r="P205" s="213"/>
      <c r="Q205" s="213"/>
      <c r="R205" s="213"/>
      <c r="S205" s="213"/>
      <c r="T205" s="213"/>
      <c r="U205" s="213"/>
      <c r="V205" s="213"/>
      <c r="W205" s="213"/>
    </row>
    <row r="206" spans="1:23" s="168" customFormat="1" ht="14.25" customHeight="1">
      <c r="A206" s="143"/>
      <c r="B206" s="143"/>
      <c r="C206" s="143"/>
      <c r="D206" s="143"/>
      <c r="E206" s="143"/>
      <c r="F206" s="167"/>
      <c r="G206" s="167"/>
      <c r="H206" s="167"/>
      <c r="I206" s="167"/>
      <c r="J206" s="167"/>
      <c r="K206" s="167"/>
      <c r="L206" s="167"/>
      <c r="M206" s="213"/>
      <c r="N206" s="213"/>
      <c r="O206" s="213"/>
      <c r="P206" s="213"/>
      <c r="Q206" s="213"/>
      <c r="R206" s="213"/>
      <c r="S206" s="213"/>
      <c r="T206" s="213"/>
      <c r="U206" s="213"/>
      <c r="V206" s="213"/>
      <c r="W206" s="213"/>
    </row>
    <row r="207" spans="1:23" s="168" customFormat="1" ht="14.25" customHeight="1">
      <c r="A207" s="143"/>
      <c r="B207" s="143"/>
      <c r="C207" s="143"/>
      <c r="D207" s="167"/>
      <c r="E207" s="167"/>
      <c r="F207" s="167"/>
      <c r="G207" s="167"/>
      <c r="H207" s="167"/>
      <c r="I207" s="167"/>
      <c r="J207" s="167"/>
      <c r="K207" s="167"/>
      <c r="L207" s="167"/>
      <c r="M207" s="213"/>
      <c r="N207" s="213"/>
      <c r="O207" s="213"/>
      <c r="P207" s="213"/>
      <c r="Q207" s="213"/>
      <c r="R207" s="213"/>
      <c r="S207" s="213"/>
      <c r="T207" s="213"/>
      <c r="U207" s="213"/>
      <c r="V207" s="213"/>
      <c r="W207" s="213"/>
    </row>
    <row r="208" spans="1:23" s="168" customFormat="1" ht="14.25" customHeight="1">
      <c r="A208" s="143"/>
      <c r="B208" s="143"/>
      <c r="C208" s="167"/>
      <c r="D208" s="167"/>
      <c r="E208" s="167"/>
      <c r="F208" s="167"/>
      <c r="G208" s="167"/>
      <c r="H208" s="167"/>
      <c r="I208" s="167"/>
      <c r="J208" s="167"/>
      <c r="K208" s="167"/>
      <c r="L208" s="167"/>
      <c r="M208" s="213"/>
      <c r="N208" s="213"/>
      <c r="O208" s="213"/>
      <c r="P208" s="213"/>
      <c r="Q208" s="213"/>
      <c r="R208" s="213"/>
      <c r="S208" s="213"/>
      <c r="T208" s="213"/>
      <c r="U208" s="213"/>
      <c r="V208" s="213"/>
      <c r="W208" s="213"/>
    </row>
    <row r="209" spans="1:64" s="168" customFormat="1" ht="14.25" customHeight="1">
      <c r="A209" s="143">
        <f>A179+1</f>
        <v>7</v>
      </c>
      <c r="B209" s="143"/>
      <c r="C209" s="187" t="str">
        <f>IF($A$1 = 1, (IF("("&amp;C219&amp;")" ="()","","("&amp;C219&amp;")")), (IF("("&amp;C224&amp;")     ("&amp;C219&amp;")"="()     ()","","("&amp;C224&amp;")     ("&amp;C219&amp;")")))</f>
        <v>(9)     (7)</v>
      </c>
      <c r="D209" s="187" t="str">
        <f t="shared" ref="D209:J209" si="18">IF($A$1 = 1, (IF("("&amp;D219&amp;")" ="()","","("&amp;D219&amp;")")), (IF("("&amp;D224&amp;")     ("&amp;D219&amp;")"="()     ()","","("&amp;D224&amp;")     ("&amp;D219&amp;")")))</f>
        <v>(61)     (6)</v>
      </c>
      <c r="E209" s="187" t="str">
        <f t="shared" si="18"/>
        <v>(35)     (54)</v>
      </c>
      <c r="F209" s="187" t="str">
        <f t="shared" si="18"/>
        <v>(2)     (5)</v>
      </c>
      <c r="G209" s="187" t="str">
        <f t="shared" si="18"/>
        <v>(3)     (5)</v>
      </c>
      <c r="H209" s="187" t="str">
        <f t="shared" si="18"/>
        <v>(41)     (41)</v>
      </c>
      <c r="I209" s="187" t="str">
        <f t="shared" si="18"/>
        <v>(5)     (3)</v>
      </c>
      <c r="J209" s="187" t="str">
        <f t="shared" si="18"/>
        <v/>
      </c>
      <c r="K209" s="187"/>
      <c r="L209" s="187"/>
      <c r="M209" s="220"/>
      <c r="N209" s="220"/>
      <c r="O209" s="220"/>
      <c r="P209" s="220"/>
      <c r="Q209" s="220"/>
      <c r="R209" s="220"/>
      <c r="S209" s="220"/>
      <c r="T209" s="220"/>
      <c r="U209" s="220"/>
      <c r="V209" s="220"/>
      <c r="W209" s="220"/>
      <c r="Y209" s="203"/>
      <c r="Z209" s="204"/>
      <c r="AA209" s="169"/>
      <c r="AB209" s="169"/>
      <c r="AC209" s="169"/>
      <c r="AD209" s="169"/>
      <c r="AE209" s="169"/>
      <c r="AF209" s="170"/>
      <c r="AG209" s="170"/>
      <c r="AH209" s="170"/>
      <c r="AI209" s="170"/>
      <c r="AJ209" s="170"/>
    </row>
    <row r="210" spans="1:64" s="168" customFormat="1" ht="59.1" customHeight="1">
      <c r="A210" s="143"/>
      <c r="B210" s="177"/>
      <c r="C210" s="178" t="s">
        <v>816</v>
      </c>
      <c r="D210" s="178" t="s">
        <v>817</v>
      </c>
      <c r="E210" s="178" t="s">
        <v>818</v>
      </c>
      <c r="F210" s="178" t="s">
        <v>819</v>
      </c>
      <c r="G210" s="178" t="s">
        <v>820</v>
      </c>
      <c r="H210" s="178" t="s">
        <v>821</v>
      </c>
      <c r="I210" s="178" t="s">
        <v>822</v>
      </c>
      <c r="J210" s="178"/>
      <c r="K210" s="178"/>
      <c r="L210" s="178"/>
      <c r="M210" s="208"/>
      <c r="N210" s="208"/>
      <c r="O210" s="208"/>
      <c r="P210" s="208"/>
      <c r="Q210" s="208"/>
      <c r="R210" s="208"/>
      <c r="S210" s="208"/>
      <c r="T210" s="208"/>
      <c r="U210" s="208"/>
      <c r="V210" s="208"/>
      <c r="W210" s="208"/>
      <c r="X210" s="210"/>
      <c r="Y210" s="210"/>
      <c r="Z210" s="210"/>
      <c r="AA210" s="210"/>
      <c r="AB210" s="210"/>
      <c r="AC210" s="210"/>
      <c r="AD210" s="210"/>
      <c r="AE210" s="210"/>
      <c r="AF210" s="210"/>
      <c r="AG210" s="210"/>
      <c r="AH210" s="210"/>
      <c r="AI210" s="210"/>
      <c r="AJ210" s="210"/>
      <c r="AK210" s="210"/>
      <c r="AL210" s="210"/>
      <c r="AM210" s="210"/>
      <c r="AN210" s="210"/>
      <c r="AO210" s="216"/>
      <c r="AP210" s="216"/>
      <c r="AQ210" s="216"/>
      <c r="AR210" s="216"/>
      <c r="AS210" s="216"/>
      <c r="AT210" s="216"/>
      <c r="AU210" s="216"/>
      <c r="AV210" s="216"/>
      <c r="AW210" s="216"/>
      <c r="AX210" s="210"/>
      <c r="AY210" s="216"/>
      <c r="AZ210" s="216"/>
      <c r="BA210" s="216"/>
      <c r="BB210" s="216"/>
      <c r="BC210" s="216"/>
      <c r="BD210" s="216"/>
      <c r="BE210" s="216"/>
      <c r="BF210" s="216"/>
      <c r="BG210" s="216"/>
      <c r="BH210" s="216"/>
      <c r="BI210" s="216"/>
      <c r="BJ210" s="210"/>
      <c r="BK210" s="210"/>
      <c r="BL210" s="210"/>
    </row>
    <row r="211" spans="1:64" s="168" customFormat="1" ht="18" customHeight="1" thickBot="1">
      <c r="A211" s="143"/>
      <c r="B211" s="181" t="s">
        <v>3</v>
      </c>
      <c r="C211" s="148">
        <v>49</v>
      </c>
      <c r="D211" s="148">
        <v>76</v>
      </c>
      <c r="E211" s="148">
        <v>49</v>
      </c>
      <c r="F211" s="148" t="s">
        <v>443</v>
      </c>
      <c r="G211" s="148" t="s">
        <v>443</v>
      </c>
      <c r="H211" s="148">
        <v>49</v>
      </c>
      <c r="I211" s="148" t="s">
        <v>443</v>
      </c>
      <c r="J211" s="148"/>
      <c r="K211" s="148"/>
      <c r="L211" s="148"/>
      <c r="M211" s="211"/>
      <c r="N211" s="211"/>
      <c r="O211" s="211"/>
      <c r="P211" s="211"/>
      <c r="Q211" s="211"/>
      <c r="R211" s="211"/>
      <c r="S211" s="211"/>
      <c r="T211" s="211"/>
      <c r="U211" s="211"/>
      <c r="V211" s="211"/>
      <c r="W211" s="211"/>
      <c r="AO211" s="213"/>
      <c r="AP211" s="213"/>
      <c r="AQ211" s="213"/>
      <c r="AR211" s="213"/>
      <c r="AS211" s="213"/>
      <c r="AT211" s="213"/>
      <c r="AU211" s="213"/>
      <c r="AV211" s="213"/>
      <c r="AW211" s="213"/>
      <c r="AY211" s="213"/>
      <c r="AZ211" s="213"/>
      <c r="BA211" s="213"/>
      <c r="BB211" s="213"/>
      <c r="BC211" s="213"/>
      <c r="BD211" s="213"/>
      <c r="BE211" s="213"/>
      <c r="BF211" s="213"/>
      <c r="BG211" s="213"/>
      <c r="BH211" s="213"/>
      <c r="BI211" s="213"/>
    </row>
    <row r="212" spans="1:64" s="168" customFormat="1" ht="18" customHeight="1" thickBot="1">
      <c r="A212" s="143"/>
      <c r="B212" s="182" t="s">
        <v>18</v>
      </c>
      <c r="C212" s="148">
        <v>55</v>
      </c>
      <c r="D212" s="148">
        <v>71</v>
      </c>
      <c r="E212" s="148">
        <v>59</v>
      </c>
      <c r="F212" s="148" t="s">
        <v>443</v>
      </c>
      <c r="G212" s="148" t="s">
        <v>443</v>
      </c>
      <c r="H212" s="148">
        <v>54</v>
      </c>
      <c r="I212" s="148" t="s">
        <v>443</v>
      </c>
      <c r="J212" s="148"/>
      <c r="K212" s="148"/>
      <c r="L212" s="148"/>
      <c r="M212" s="145"/>
      <c r="N212" s="145"/>
      <c r="O212" s="145"/>
      <c r="P212" s="145"/>
      <c r="Q212" s="145"/>
      <c r="R212" s="145"/>
      <c r="S212" s="145"/>
      <c r="T212" s="145"/>
      <c r="U212" s="145"/>
      <c r="V212" s="145"/>
      <c r="W212" s="145"/>
      <c r="AO212" s="213"/>
      <c r="AP212" s="213"/>
      <c r="AQ212" s="213"/>
      <c r="AR212" s="213"/>
      <c r="AS212" s="213"/>
      <c r="AT212" s="213"/>
      <c r="AU212" s="213"/>
      <c r="AV212" s="213"/>
      <c r="AW212" s="213"/>
      <c r="AY212" s="213"/>
      <c r="AZ212" s="213"/>
      <c r="BA212" s="213"/>
      <c r="BB212" s="213"/>
      <c r="BC212" s="213"/>
      <c r="BD212" s="213"/>
      <c r="BE212" s="213"/>
      <c r="BF212" s="213"/>
      <c r="BG212" s="213"/>
      <c r="BH212" s="213"/>
      <c r="BI212" s="213"/>
    </row>
    <row r="213" spans="1:64" s="168" customFormat="1" ht="18" customHeight="1" thickBot="1">
      <c r="A213" s="143"/>
      <c r="B213" s="183" t="s">
        <v>32</v>
      </c>
      <c r="C213" s="147">
        <v>51</v>
      </c>
      <c r="D213" s="147">
        <v>58</v>
      </c>
      <c r="E213" s="147">
        <v>48</v>
      </c>
      <c r="F213" s="147" t="s">
        <v>443</v>
      </c>
      <c r="G213" s="147" t="s">
        <v>443</v>
      </c>
      <c r="H213" s="147">
        <v>50</v>
      </c>
      <c r="I213" s="147" t="s">
        <v>443</v>
      </c>
      <c r="J213" s="147"/>
      <c r="K213" s="147"/>
      <c r="L213" s="147"/>
      <c r="M213" s="145"/>
      <c r="N213" s="145"/>
      <c r="O213" s="145"/>
      <c r="P213" s="145"/>
      <c r="Q213" s="145"/>
      <c r="R213" s="145"/>
      <c r="S213" s="145"/>
      <c r="T213" s="145"/>
      <c r="U213" s="145"/>
      <c r="V213" s="145"/>
      <c r="W213" s="145"/>
      <c r="AO213" s="213"/>
      <c r="AP213" s="213"/>
      <c r="AQ213" s="213"/>
      <c r="AR213" s="213"/>
      <c r="AS213" s="213"/>
      <c r="AT213" s="213"/>
      <c r="AU213" s="213"/>
      <c r="AV213" s="213"/>
      <c r="AW213" s="213"/>
      <c r="AY213" s="213"/>
      <c r="AZ213" s="213"/>
      <c r="BA213" s="213"/>
      <c r="BB213" s="213"/>
      <c r="BC213" s="213"/>
      <c r="BD213" s="213"/>
      <c r="BE213" s="213"/>
      <c r="BF213" s="213"/>
      <c r="BG213" s="213"/>
      <c r="BH213" s="213"/>
    </row>
    <row r="214" spans="1:64" s="168" customFormat="1" ht="18" customHeight="1" thickBot="1">
      <c r="A214" s="143"/>
      <c r="B214" s="182" t="s">
        <v>45</v>
      </c>
      <c r="C214" s="145">
        <v>54</v>
      </c>
      <c r="D214" s="145">
        <v>73</v>
      </c>
      <c r="E214" s="145">
        <v>49</v>
      </c>
      <c r="F214" s="145" t="s">
        <v>443</v>
      </c>
      <c r="G214" s="145" t="s">
        <v>443</v>
      </c>
      <c r="H214" s="145">
        <v>54</v>
      </c>
      <c r="I214" s="145" t="s">
        <v>443</v>
      </c>
      <c r="J214" s="145"/>
      <c r="K214" s="145"/>
      <c r="L214" s="145"/>
      <c r="M214" s="145"/>
      <c r="N214" s="145"/>
      <c r="O214" s="145"/>
      <c r="P214" s="145"/>
      <c r="Q214" s="145"/>
      <c r="R214" s="145"/>
      <c r="S214" s="145"/>
      <c r="T214" s="145"/>
      <c r="U214" s="145"/>
      <c r="V214" s="145"/>
      <c r="W214" s="145"/>
      <c r="AO214" s="213"/>
      <c r="AP214" s="213"/>
      <c r="AQ214" s="213"/>
      <c r="AR214" s="213"/>
      <c r="AS214" s="213"/>
      <c r="AT214" s="213"/>
      <c r="AU214" s="213"/>
      <c r="AV214" s="213"/>
      <c r="AW214" s="213"/>
      <c r="AY214" s="213"/>
      <c r="AZ214" s="213"/>
      <c r="BA214" s="213"/>
      <c r="BB214" s="213"/>
      <c r="BC214" s="213"/>
      <c r="BD214" s="213"/>
      <c r="BE214" s="213"/>
      <c r="BF214" s="213"/>
      <c r="BG214" s="213"/>
      <c r="BH214" s="213"/>
    </row>
    <row r="215" spans="1:64" s="168" customFormat="1" ht="18" customHeight="1" thickBot="1">
      <c r="A215" s="143"/>
      <c r="B215" s="184" t="s">
        <v>54</v>
      </c>
      <c r="C215" s="146">
        <v>64</v>
      </c>
      <c r="D215" s="146">
        <v>70</v>
      </c>
      <c r="E215" s="146">
        <v>50</v>
      </c>
      <c r="F215" s="146" t="s">
        <v>443</v>
      </c>
      <c r="G215" s="146" t="s">
        <v>443</v>
      </c>
      <c r="H215" s="146">
        <v>56</v>
      </c>
      <c r="I215" s="146" t="s">
        <v>443</v>
      </c>
      <c r="J215" s="146"/>
      <c r="K215" s="146"/>
      <c r="L215" s="146"/>
      <c r="M215" s="145"/>
      <c r="N215" s="145"/>
      <c r="O215" s="145"/>
      <c r="P215" s="145"/>
      <c r="Q215" s="145"/>
      <c r="R215" s="145"/>
      <c r="S215" s="145"/>
      <c r="T215" s="145"/>
      <c r="U215" s="145"/>
      <c r="V215" s="145"/>
      <c r="W215" s="145"/>
      <c r="AO215" s="213"/>
      <c r="AP215" s="213"/>
      <c r="AQ215" s="213"/>
      <c r="AR215" s="213"/>
      <c r="AS215" s="213"/>
      <c r="AT215" s="213"/>
      <c r="AU215" s="213"/>
      <c r="AV215" s="213"/>
      <c r="AW215" s="213"/>
      <c r="AY215" s="213"/>
      <c r="AZ215" s="213"/>
      <c r="BA215" s="213"/>
      <c r="BB215" s="213"/>
      <c r="BC215" s="213"/>
      <c r="BD215" s="213"/>
      <c r="BE215" s="213"/>
      <c r="BF215" s="213"/>
      <c r="BG215" s="213"/>
      <c r="BH215" s="213"/>
    </row>
    <row r="216" spans="1:64" s="168" customFormat="1">
      <c r="A216" s="143"/>
      <c r="B216" s="182" t="s">
        <v>66</v>
      </c>
      <c r="C216" s="145">
        <v>43</v>
      </c>
      <c r="D216" s="145">
        <v>67</v>
      </c>
      <c r="E216" s="145">
        <v>53</v>
      </c>
      <c r="F216" s="145"/>
      <c r="G216" s="145"/>
      <c r="H216" s="125">
        <v>43</v>
      </c>
      <c r="I216" s="125"/>
      <c r="J216" s="125"/>
      <c r="K216" s="125"/>
      <c r="L216" s="125"/>
      <c r="M216" s="145"/>
      <c r="N216" s="145"/>
      <c r="O216" s="145"/>
      <c r="P216" s="145"/>
      <c r="Q216" s="145"/>
      <c r="R216" s="145"/>
      <c r="S216" s="145"/>
      <c r="T216" s="145"/>
      <c r="U216" s="145"/>
      <c r="V216" s="145"/>
      <c r="W216" s="145"/>
      <c r="AO216" s="213"/>
      <c r="AP216" s="213"/>
      <c r="AQ216" s="213"/>
      <c r="AR216" s="213"/>
      <c r="AS216" s="213"/>
      <c r="AT216" s="213"/>
      <c r="AU216" s="213"/>
      <c r="AV216" s="213"/>
      <c r="AW216" s="213"/>
      <c r="AY216" s="213"/>
      <c r="AZ216" s="213"/>
      <c r="BA216" s="213"/>
      <c r="BB216" s="213"/>
      <c r="BC216" s="213"/>
      <c r="BD216" s="213"/>
      <c r="BE216" s="213"/>
      <c r="BF216" s="213"/>
      <c r="BG216" s="213"/>
      <c r="BH216" s="213"/>
    </row>
    <row r="217" spans="1:64" s="212" customFormat="1">
      <c r="A217" s="143"/>
      <c r="B217" s="182" t="s">
        <v>158</v>
      </c>
      <c r="C217" s="126">
        <v>54</v>
      </c>
      <c r="D217" s="126">
        <v>70</v>
      </c>
      <c r="E217" s="126">
        <v>51</v>
      </c>
      <c r="F217" s="126" t="s">
        <v>443</v>
      </c>
      <c r="G217" s="126" t="s">
        <v>443</v>
      </c>
      <c r="H217" s="126">
        <v>52</v>
      </c>
      <c r="I217" s="126" t="s">
        <v>443</v>
      </c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126"/>
      <c r="X217" s="168"/>
      <c r="Y217" s="168"/>
      <c r="Z217" s="168"/>
      <c r="AA217" s="168"/>
      <c r="AB217" s="168"/>
      <c r="AC217" s="168"/>
      <c r="AD217" s="168"/>
      <c r="AE217" s="168"/>
      <c r="AF217" s="168"/>
      <c r="AG217" s="168"/>
      <c r="AH217" s="168"/>
      <c r="AI217" s="168"/>
      <c r="AJ217" s="168"/>
      <c r="AK217" s="168"/>
      <c r="AL217" s="168"/>
      <c r="AM217" s="168"/>
      <c r="AN217" s="168"/>
      <c r="AO217" s="213"/>
      <c r="AP217" s="213"/>
      <c r="AQ217" s="213"/>
      <c r="AR217" s="213"/>
      <c r="AS217" s="213"/>
      <c r="AT217" s="213"/>
      <c r="AU217" s="213"/>
      <c r="AV217" s="213"/>
      <c r="AW217" s="213"/>
      <c r="AX217" s="168"/>
      <c r="AY217" s="213"/>
      <c r="AZ217" s="213"/>
      <c r="BA217" s="213"/>
      <c r="BB217" s="213"/>
      <c r="BC217" s="213"/>
      <c r="BD217" s="213"/>
      <c r="BE217" s="213"/>
      <c r="BF217" s="213"/>
      <c r="BG217" s="213"/>
      <c r="BH217" s="213"/>
      <c r="BI217" s="168"/>
      <c r="BJ217" s="168"/>
      <c r="BK217" s="168"/>
      <c r="BL217" s="168"/>
    </row>
    <row r="218" spans="1:64" s="210" customFormat="1">
      <c r="A218" s="174"/>
      <c r="B218" s="182" t="s">
        <v>191</v>
      </c>
      <c r="C218" s="127">
        <v>69</v>
      </c>
      <c r="D218" s="127">
        <v>69</v>
      </c>
      <c r="E218" s="127">
        <v>69</v>
      </c>
      <c r="F218" s="127">
        <v>69</v>
      </c>
      <c r="G218" s="127">
        <v>69</v>
      </c>
      <c r="H218" s="126">
        <v>69</v>
      </c>
      <c r="I218" s="126">
        <v>69</v>
      </c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  <c r="T218" s="126"/>
      <c r="U218" s="126"/>
      <c r="V218" s="126"/>
      <c r="W218" s="126"/>
      <c r="X218" s="168"/>
      <c r="Y218" s="168"/>
      <c r="Z218" s="168"/>
      <c r="AA218" s="168"/>
      <c r="AB218" s="168"/>
      <c r="AC218" s="168"/>
      <c r="AD218" s="168"/>
      <c r="AE218" s="168"/>
      <c r="AF218" s="168"/>
      <c r="AG218" s="168"/>
      <c r="AH218" s="168"/>
      <c r="AI218" s="168"/>
      <c r="AJ218" s="168"/>
      <c r="AK218" s="168"/>
      <c r="AL218" s="168"/>
      <c r="AM218" s="168"/>
      <c r="AN218" s="168"/>
      <c r="AO218" s="214"/>
      <c r="AP218" s="214"/>
      <c r="AQ218" s="214"/>
      <c r="AR218" s="214"/>
      <c r="AS218" s="214"/>
      <c r="AT218" s="213"/>
      <c r="AU218" s="213"/>
      <c r="AV218" s="213"/>
      <c r="AW218" s="213"/>
      <c r="AX218" s="168"/>
      <c r="AY218" s="213"/>
      <c r="AZ218" s="213"/>
      <c r="BA218" s="213"/>
      <c r="BB218" s="213"/>
      <c r="BC218" s="213"/>
      <c r="BD218" s="213"/>
      <c r="BE218" s="213"/>
      <c r="BF218" s="213"/>
      <c r="BG218" s="213"/>
      <c r="BH218" s="213"/>
      <c r="BI218" s="168"/>
      <c r="BJ218" s="168"/>
      <c r="BK218" s="168"/>
      <c r="BL218" s="168"/>
    </row>
    <row r="219" spans="1:64" s="168" customFormat="1" ht="15" thickBot="1">
      <c r="A219" s="179"/>
      <c r="B219" s="182" t="s">
        <v>442</v>
      </c>
      <c r="C219" s="126">
        <v>7</v>
      </c>
      <c r="D219" s="315">
        <v>6</v>
      </c>
      <c r="E219" s="315">
        <v>54</v>
      </c>
      <c r="F219" s="315">
        <v>5</v>
      </c>
      <c r="G219" s="315">
        <v>5</v>
      </c>
      <c r="H219" s="315">
        <v>41</v>
      </c>
      <c r="I219" s="315">
        <v>3</v>
      </c>
      <c r="J219" s="315"/>
      <c r="K219" s="315"/>
      <c r="L219" s="315"/>
      <c r="M219" s="126"/>
      <c r="N219" s="126"/>
      <c r="O219" s="126"/>
      <c r="P219" s="126"/>
      <c r="Q219" s="126"/>
      <c r="R219" s="126"/>
      <c r="S219" s="126"/>
      <c r="T219" s="126"/>
      <c r="U219" s="126"/>
      <c r="V219" s="126"/>
      <c r="W219" s="126"/>
      <c r="AO219" s="213"/>
      <c r="AP219" s="213"/>
      <c r="AQ219" s="213"/>
      <c r="AR219" s="213"/>
      <c r="AS219" s="213"/>
      <c r="AT219" s="213"/>
      <c r="AU219" s="213"/>
      <c r="AV219" s="213"/>
      <c r="AW219" s="213"/>
      <c r="AY219" s="213"/>
      <c r="AZ219" s="213"/>
      <c r="BA219" s="213"/>
      <c r="BB219" s="213"/>
      <c r="BC219" s="213"/>
      <c r="BD219" s="213"/>
      <c r="BE219" s="213"/>
      <c r="BF219" s="213"/>
      <c r="BG219" s="213"/>
      <c r="BH219" s="213"/>
    </row>
    <row r="220" spans="1:64" s="168" customFormat="1">
      <c r="A220" s="143"/>
      <c r="B220" s="338" t="s">
        <v>166</v>
      </c>
      <c r="C220" s="316">
        <f>IF(OR(C223="**",C223=""),"",VALUE(C223))</f>
        <v>57</v>
      </c>
      <c r="D220" s="316">
        <f t="shared" ref="D220:J220" si="19">IF(OR(D223="**",D223=""),"",VALUE(D223))</f>
        <v>54</v>
      </c>
      <c r="E220" s="316">
        <f t="shared" si="19"/>
        <v>61</v>
      </c>
      <c r="F220" s="316" t="str">
        <f t="shared" si="19"/>
        <v/>
      </c>
      <c r="G220" s="316" t="str">
        <f t="shared" si="19"/>
        <v/>
      </c>
      <c r="H220" s="316">
        <f t="shared" si="19"/>
        <v>63</v>
      </c>
      <c r="I220" s="316" t="str">
        <f t="shared" si="19"/>
        <v/>
      </c>
      <c r="J220" s="316" t="str">
        <f t="shared" si="19"/>
        <v/>
      </c>
      <c r="K220" s="316"/>
      <c r="L220" s="316"/>
      <c r="M220" s="126"/>
      <c r="N220" s="126"/>
      <c r="O220" s="126"/>
      <c r="P220" s="126"/>
      <c r="Q220" s="126"/>
      <c r="R220" s="126"/>
      <c r="S220" s="126"/>
      <c r="T220" s="126"/>
      <c r="U220" s="126"/>
      <c r="V220" s="126"/>
      <c r="W220" s="126"/>
      <c r="AO220" s="213"/>
      <c r="AP220" s="213"/>
      <c r="AQ220" s="213"/>
      <c r="AR220" s="213"/>
      <c r="AS220" s="213"/>
      <c r="AT220" s="213"/>
      <c r="AU220" s="213"/>
      <c r="AV220" s="213"/>
      <c r="AW220" s="213"/>
      <c r="AY220" s="213"/>
      <c r="AZ220" s="213"/>
      <c r="BA220" s="213"/>
      <c r="BB220" s="213"/>
      <c r="BC220" s="213"/>
      <c r="BD220" s="213"/>
      <c r="BE220" s="213"/>
      <c r="BF220" s="213"/>
      <c r="BG220" s="213"/>
      <c r="BH220" s="213"/>
    </row>
    <row r="221" spans="1:64" s="168" customFormat="1" ht="15" thickBot="1">
      <c r="A221" s="143"/>
      <c r="B221" s="339" t="s">
        <v>165</v>
      </c>
      <c r="C221" s="317">
        <f t="shared" ref="C221:J221" si="20">IF(OR(C217="**",C217=""),"",VALUE(C217))</f>
        <v>54</v>
      </c>
      <c r="D221" s="317">
        <f t="shared" si="20"/>
        <v>70</v>
      </c>
      <c r="E221" s="317">
        <f t="shared" si="20"/>
        <v>51</v>
      </c>
      <c r="F221" s="317" t="str">
        <f t="shared" si="20"/>
        <v/>
      </c>
      <c r="G221" s="317" t="str">
        <f t="shared" si="20"/>
        <v/>
      </c>
      <c r="H221" s="317">
        <f t="shared" si="20"/>
        <v>52</v>
      </c>
      <c r="I221" s="317" t="str">
        <f t="shared" si="20"/>
        <v/>
      </c>
      <c r="J221" s="317" t="str">
        <f t="shared" si="20"/>
        <v/>
      </c>
      <c r="K221" s="317"/>
      <c r="L221" s="317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AO221" s="169"/>
      <c r="AP221" s="169"/>
      <c r="AQ221" s="169"/>
      <c r="AR221" s="169"/>
      <c r="AS221" s="169"/>
      <c r="AT221" s="169"/>
      <c r="AU221" s="169"/>
      <c r="AV221" s="169"/>
      <c r="AW221" s="213"/>
      <c r="AX221" s="213"/>
      <c r="AY221" s="213"/>
      <c r="AZ221" s="213"/>
      <c r="BA221" s="213"/>
      <c r="BB221" s="213"/>
      <c r="BC221" s="213"/>
      <c r="BD221" s="213"/>
      <c r="BE221" s="213"/>
      <c r="BF221" s="213"/>
      <c r="BG221" s="213"/>
      <c r="BH221" s="213"/>
    </row>
    <row r="222" spans="1:64" s="168" customFormat="1">
      <c r="A222" s="143"/>
      <c r="B222" s="340" t="s">
        <v>483</v>
      </c>
      <c r="C222" s="167" t="s">
        <v>905</v>
      </c>
      <c r="D222" s="167" t="s">
        <v>817</v>
      </c>
      <c r="E222" s="167" t="s">
        <v>906</v>
      </c>
      <c r="F222" s="167" t="s">
        <v>819</v>
      </c>
      <c r="G222" s="167" t="s">
        <v>907</v>
      </c>
      <c r="H222" s="166" t="s">
        <v>908</v>
      </c>
      <c r="I222" s="166" t="s">
        <v>822</v>
      </c>
      <c r="J222" s="166"/>
      <c r="K222" s="166"/>
      <c r="L222" s="166"/>
      <c r="M222" s="213"/>
      <c r="N222" s="213"/>
      <c r="O222" s="213"/>
      <c r="P222" s="213"/>
      <c r="Q222" s="213"/>
      <c r="R222" s="213"/>
      <c r="S222" s="213"/>
      <c r="T222" s="213"/>
      <c r="U222" s="213"/>
      <c r="V222" s="213"/>
      <c r="W222" s="213"/>
      <c r="Y222" s="203"/>
      <c r="Z222" s="182"/>
      <c r="AA222" s="145"/>
      <c r="AB222" s="145"/>
      <c r="AC222" s="145"/>
      <c r="AD222" s="145"/>
      <c r="AE222" s="145"/>
      <c r="AF222" s="145"/>
      <c r="AG222" s="145"/>
      <c r="AH222" s="145"/>
      <c r="AI222" s="170"/>
      <c r="AJ222" s="170"/>
    </row>
    <row r="223" spans="1:64" s="168" customFormat="1">
      <c r="A223" s="143"/>
      <c r="B223" s="182" t="s">
        <v>158</v>
      </c>
      <c r="C223" s="165">
        <v>57</v>
      </c>
      <c r="D223" s="165">
        <v>54</v>
      </c>
      <c r="E223" s="165">
        <v>61</v>
      </c>
      <c r="F223" s="165" t="s">
        <v>443</v>
      </c>
      <c r="G223" s="165" t="s">
        <v>443</v>
      </c>
      <c r="H223" s="166">
        <v>63</v>
      </c>
      <c r="I223" s="166" t="s">
        <v>443</v>
      </c>
      <c r="J223" s="166"/>
      <c r="K223" s="166"/>
      <c r="L223" s="166"/>
      <c r="M223" s="213"/>
      <c r="N223" s="213"/>
      <c r="O223" s="213"/>
      <c r="P223" s="213"/>
      <c r="Q223" s="213"/>
      <c r="R223" s="213"/>
      <c r="S223" s="213"/>
      <c r="T223" s="213"/>
      <c r="U223" s="213"/>
      <c r="V223" s="213"/>
      <c r="W223" s="213"/>
      <c r="Y223" s="203"/>
      <c r="Z223" s="182"/>
      <c r="AA223" s="145"/>
      <c r="AB223" s="145"/>
      <c r="AC223" s="145"/>
      <c r="AD223" s="145"/>
      <c r="AE223" s="145"/>
      <c r="AF223" s="145"/>
      <c r="AG223" s="145"/>
      <c r="AH223" s="145"/>
      <c r="AI223" s="170"/>
      <c r="AJ223" s="170"/>
    </row>
    <row r="224" spans="1:64" s="168" customFormat="1">
      <c r="A224" s="143"/>
      <c r="B224" s="340" t="s">
        <v>442</v>
      </c>
      <c r="C224" s="165">
        <v>9</v>
      </c>
      <c r="D224" s="165">
        <v>61</v>
      </c>
      <c r="E224" s="165">
        <v>35</v>
      </c>
      <c r="F224" s="165">
        <v>2</v>
      </c>
      <c r="G224" s="165">
        <v>3</v>
      </c>
      <c r="H224" s="165">
        <v>41</v>
      </c>
      <c r="I224" s="165">
        <v>5</v>
      </c>
      <c r="J224" s="165"/>
      <c r="K224" s="165"/>
      <c r="L224" s="165"/>
      <c r="M224" s="213"/>
      <c r="N224" s="213"/>
      <c r="O224" s="213"/>
      <c r="P224" s="213"/>
      <c r="Q224" s="213"/>
      <c r="R224" s="213"/>
      <c r="S224" s="213"/>
      <c r="T224" s="213"/>
      <c r="U224" s="213"/>
      <c r="V224" s="213"/>
      <c r="W224" s="213"/>
      <c r="X224" s="203"/>
      <c r="Y224" s="182"/>
      <c r="Z224" s="145"/>
      <c r="AA224" s="145"/>
      <c r="AB224" s="145"/>
      <c r="AC224" s="145"/>
      <c r="AD224" s="145"/>
      <c r="AE224" s="145"/>
      <c r="AF224" s="145"/>
      <c r="AG224" s="145"/>
      <c r="AH224" s="170"/>
      <c r="AI224" s="170"/>
    </row>
    <row r="225" spans="1:64" s="168" customFormat="1">
      <c r="A225" s="143"/>
      <c r="B225" s="167"/>
      <c r="C225" s="167"/>
      <c r="D225" s="167"/>
      <c r="E225" s="167"/>
      <c r="F225" s="167"/>
      <c r="G225" s="167"/>
      <c r="H225" s="167"/>
      <c r="I225" s="167"/>
      <c r="J225" s="167"/>
      <c r="K225" s="167"/>
      <c r="L225" s="167"/>
      <c r="M225" s="213"/>
      <c r="N225" s="213"/>
      <c r="O225" s="213"/>
      <c r="P225" s="213"/>
      <c r="Q225" s="213"/>
      <c r="R225" s="213"/>
      <c r="S225" s="213"/>
      <c r="T225" s="213"/>
      <c r="U225" s="213"/>
      <c r="V225" s="213"/>
      <c r="W225" s="213"/>
      <c r="X225" s="182"/>
      <c r="Y225" s="126"/>
      <c r="Z225" s="126"/>
      <c r="AA225" s="126"/>
      <c r="AB225" s="126"/>
      <c r="AC225" s="126"/>
      <c r="AD225" s="126"/>
      <c r="AE225" s="126"/>
      <c r="AF225" s="126"/>
      <c r="AG225" s="170"/>
      <c r="AH225" s="170"/>
    </row>
    <row r="226" spans="1:64" s="214" customFormat="1">
      <c r="A226" s="167"/>
      <c r="B226" s="167"/>
      <c r="C226" s="167"/>
      <c r="D226" s="167"/>
      <c r="E226" s="167"/>
      <c r="F226" s="167"/>
      <c r="G226" s="167"/>
      <c r="H226" s="167"/>
      <c r="I226" s="167"/>
      <c r="J226" s="167"/>
      <c r="K226" s="167"/>
      <c r="L226" s="167"/>
      <c r="M226" s="213"/>
      <c r="N226" s="213"/>
      <c r="O226" s="213"/>
      <c r="P226" s="213"/>
      <c r="Q226" s="213"/>
      <c r="R226" s="213"/>
      <c r="S226" s="213"/>
      <c r="T226" s="213"/>
      <c r="U226" s="213"/>
      <c r="V226" s="213"/>
      <c r="W226" s="213"/>
      <c r="X226" s="127"/>
      <c r="Y226" s="127"/>
      <c r="Z226" s="126"/>
      <c r="AA226" s="126"/>
      <c r="AB226" s="126"/>
      <c r="AC226" s="126"/>
      <c r="AD226" s="126"/>
      <c r="AE226" s="126"/>
      <c r="AF226" s="170"/>
      <c r="AG226" s="170"/>
      <c r="AH226" s="168"/>
      <c r="AI226" s="168"/>
      <c r="AJ226" s="168"/>
      <c r="AK226" s="168"/>
      <c r="AL226" s="168"/>
      <c r="AM226" s="168"/>
      <c r="AN226" s="168"/>
      <c r="AO226" s="168"/>
      <c r="AP226" s="168"/>
      <c r="AQ226" s="168"/>
      <c r="AR226" s="168"/>
      <c r="AS226" s="168"/>
      <c r="AT226" s="168"/>
      <c r="AU226" s="168"/>
      <c r="AV226" s="168"/>
      <c r="AW226" s="168"/>
      <c r="AX226" s="168"/>
      <c r="AY226" s="168"/>
      <c r="AZ226" s="168"/>
      <c r="BA226" s="168"/>
      <c r="BB226" s="168"/>
      <c r="BC226" s="168"/>
      <c r="BD226" s="168"/>
      <c r="BE226" s="168"/>
      <c r="BF226" s="168"/>
      <c r="BG226" s="168"/>
      <c r="BH226" s="168"/>
      <c r="BI226" s="168"/>
    </row>
    <row r="227" spans="1:64" s="213" customFormat="1">
      <c r="A227" s="185"/>
      <c r="B227" s="167"/>
      <c r="C227" s="167"/>
      <c r="D227" s="167"/>
      <c r="E227" s="167"/>
      <c r="F227" s="167"/>
      <c r="G227" s="167"/>
      <c r="H227" s="167"/>
      <c r="I227" s="167"/>
      <c r="J227" s="167"/>
      <c r="K227" s="167"/>
      <c r="L227" s="167"/>
      <c r="X227" s="126"/>
      <c r="Y227" s="126"/>
      <c r="Z227" s="126"/>
      <c r="AA227" s="126"/>
      <c r="AB227" s="126"/>
      <c r="AC227" s="126"/>
      <c r="AD227" s="126"/>
      <c r="AE227" s="170"/>
      <c r="AF227" s="170"/>
      <c r="AG227" s="168"/>
      <c r="AH227" s="168"/>
      <c r="AI227" s="168"/>
      <c r="AJ227" s="168"/>
      <c r="AK227" s="168"/>
      <c r="AL227" s="168"/>
      <c r="AM227" s="168"/>
      <c r="AN227" s="168"/>
      <c r="AO227" s="168"/>
      <c r="AP227" s="168"/>
      <c r="AQ227" s="168"/>
      <c r="AR227" s="168"/>
      <c r="AS227" s="168"/>
      <c r="AT227" s="168"/>
      <c r="AU227" s="168"/>
      <c r="AV227" s="168"/>
      <c r="AW227" s="168"/>
      <c r="AX227" s="168"/>
      <c r="AY227" s="168"/>
      <c r="AZ227" s="168"/>
      <c r="BA227" s="168"/>
      <c r="BB227" s="168"/>
      <c r="BC227" s="168"/>
      <c r="BD227" s="168"/>
      <c r="BE227" s="168"/>
      <c r="BF227" s="168"/>
      <c r="BG227" s="168"/>
      <c r="BH227" s="168"/>
    </row>
    <row r="228" spans="1:64" s="213" customFormat="1" ht="14.25" customHeight="1">
      <c r="A228" s="167"/>
      <c r="B228" s="167"/>
      <c r="C228" s="167"/>
      <c r="D228" s="167"/>
      <c r="E228" s="167"/>
      <c r="F228" s="167"/>
      <c r="G228" s="167"/>
      <c r="H228" s="143"/>
      <c r="I228" s="143"/>
      <c r="J228" s="143"/>
      <c r="K228" s="143"/>
      <c r="L228" s="143"/>
      <c r="M228" s="168"/>
      <c r="N228" s="168"/>
      <c r="O228" s="168"/>
      <c r="P228" s="168"/>
      <c r="Q228" s="168"/>
      <c r="R228" s="168"/>
      <c r="S228" s="168"/>
      <c r="T228" s="168"/>
      <c r="U228" s="168"/>
      <c r="V228" s="168"/>
      <c r="W228" s="168"/>
      <c r="X228" s="126"/>
      <c r="Y228" s="126"/>
      <c r="Z228" s="126"/>
      <c r="AA228" s="126"/>
      <c r="AB228" s="126"/>
      <c r="AC228" s="126"/>
      <c r="AD228" s="170"/>
      <c r="AE228" s="170"/>
      <c r="AF228" s="168"/>
      <c r="AG228" s="168"/>
      <c r="AH228" s="168"/>
      <c r="AI228" s="168"/>
      <c r="AJ228" s="168"/>
      <c r="AK228" s="168"/>
      <c r="AL228" s="168"/>
      <c r="AM228" s="168"/>
      <c r="AN228" s="168"/>
      <c r="AO228" s="168"/>
      <c r="AP228" s="168"/>
      <c r="AQ228" s="168"/>
      <c r="AR228" s="168"/>
      <c r="AS228" s="168"/>
      <c r="AT228" s="168"/>
      <c r="AU228" s="168"/>
      <c r="AV228" s="168"/>
      <c r="AW228" s="168"/>
      <c r="AX228" s="168"/>
      <c r="AY228" s="168"/>
      <c r="AZ228" s="168"/>
      <c r="BA228" s="168"/>
      <c r="BB228" s="168"/>
      <c r="BC228" s="168"/>
      <c r="BD228" s="168"/>
      <c r="BE228" s="168"/>
      <c r="BF228" s="168"/>
      <c r="BG228" s="168"/>
    </row>
    <row r="229" spans="1:64" s="169" customFormat="1" ht="14.25" customHeight="1">
      <c r="A229" s="167" t="s">
        <v>183</v>
      </c>
      <c r="B229" s="167"/>
      <c r="C229" s="167"/>
      <c r="D229" s="167"/>
      <c r="E229" s="167"/>
      <c r="F229" s="167"/>
      <c r="G229" s="143"/>
      <c r="H229" s="167"/>
      <c r="I229" s="167"/>
      <c r="J229" s="167"/>
      <c r="K229" s="167"/>
      <c r="L229" s="167"/>
      <c r="M229" s="213"/>
      <c r="N229" s="213"/>
      <c r="O229" s="213"/>
      <c r="P229" s="213"/>
      <c r="Q229" s="213"/>
      <c r="R229" s="213"/>
      <c r="S229" s="213"/>
      <c r="T229" s="213"/>
      <c r="U229" s="213"/>
      <c r="V229" s="213"/>
      <c r="W229" s="213"/>
      <c r="AC229" s="170"/>
      <c r="AD229" s="170"/>
      <c r="AE229" s="168"/>
      <c r="AF229" s="168"/>
      <c r="AG229" s="168"/>
      <c r="AH229" s="168"/>
      <c r="AI229" s="168"/>
      <c r="AJ229" s="168"/>
      <c r="AK229" s="168"/>
      <c r="AL229" s="168"/>
      <c r="AM229" s="168"/>
      <c r="AN229" s="168"/>
      <c r="AO229" s="168"/>
      <c r="AP229" s="168"/>
      <c r="AQ229" s="168"/>
      <c r="AR229" s="168"/>
      <c r="AS229" s="168"/>
      <c r="AT229" s="168"/>
      <c r="AU229" s="168"/>
      <c r="AV229" s="168"/>
      <c r="AW229" s="168"/>
      <c r="AX229" s="168"/>
      <c r="AY229" s="168"/>
      <c r="AZ229" s="168"/>
      <c r="BA229" s="168"/>
      <c r="BB229" s="168"/>
      <c r="BC229" s="168"/>
      <c r="BD229" s="168"/>
      <c r="BE229" s="168"/>
      <c r="BF229" s="168"/>
    </row>
    <row r="230" spans="1:64" s="213" customFormat="1" ht="14.25" customHeight="1">
      <c r="A230" s="165">
        <v>7</v>
      </c>
      <c r="B230" s="165"/>
      <c r="C230" s="165"/>
      <c r="D230" s="165"/>
      <c r="E230" s="167"/>
      <c r="F230" s="167"/>
      <c r="G230" s="167"/>
      <c r="H230" s="167"/>
      <c r="I230" s="167"/>
      <c r="J230" s="167"/>
      <c r="K230" s="167"/>
      <c r="L230" s="167"/>
      <c r="Y230" s="170"/>
      <c r="Z230" s="170"/>
      <c r="AA230" s="170"/>
      <c r="AB230" s="170"/>
      <c r="AC230" s="170"/>
      <c r="AD230" s="168"/>
      <c r="AE230" s="168"/>
      <c r="AF230" s="168"/>
      <c r="AG230" s="168"/>
      <c r="AH230" s="168"/>
      <c r="AI230" s="168"/>
      <c r="AJ230" s="168"/>
      <c r="AK230" s="168"/>
      <c r="AL230" s="168"/>
      <c r="AM230" s="168"/>
      <c r="AN230" s="168"/>
      <c r="AO230" s="168"/>
      <c r="AP230" s="168"/>
      <c r="AQ230" s="168"/>
      <c r="AR230" s="168"/>
      <c r="AS230" s="168"/>
      <c r="AT230" s="168"/>
      <c r="AU230" s="168"/>
      <c r="AV230" s="168"/>
      <c r="AW230" s="168"/>
      <c r="AX230" s="168"/>
      <c r="AY230" s="168"/>
      <c r="AZ230" s="168"/>
      <c r="BA230" s="168"/>
      <c r="BB230" s="168"/>
      <c r="BC230" s="168"/>
      <c r="BD230" s="168"/>
      <c r="BE230" s="168"/>
    </row>
    <row r="231" spans="1:64" s="213" customFormat="1" ht="14.25" customHeight="1">
      <c r="A231" s="167"/>
      <c r="B231" s="167"/>
      <c r="C231" s="167"/>
      <c r="D231" s="167"/>
      <c r="E231" s="167"/>
      <c r="F231" s="167"/>
      <c r="G231" s="167"/>
      <c r="H231" s="167"/>
      <c r="I231" s="167"/>
      <c r="J231" s="167"/>
      <c r="K231" s="167"/>
      <c r="L231" s="167"/>
      <c r="X231" s="170"/>
      <c r="Y231" s="170"/>
      <c r="Z231" s="170"/>
      <c r="AA231" s="170"/>
      <c r="AB231" s="170"/>
      <c r="AC231" s="168"/>
      <c r="AD231" s="168"/>
      <c r="AE231" s="168"/>
      <c r="AF231" s="168"/>
      <c r="AG231" s="168"/>
      <c r="AH231" s="168"/>
      <c r="AI231" s="168"/>
      <c r="AJ231" s="168"/>
      <c r="AK231" s="168"/>
      <c r="AL231" s="168"/>
      <c r="AM231" s="168"/>
      <c r="AN231" s="168"/>
      <c r="AO231" s="168"/>
      <c r="AP231" s="168"/>
      <c r="AQ231" s="168"/>
      <c r="AR231" s="168"/>
      <c r="AS231" s="168"/>
      <c r="AT231" s="168"/>
      <c r="AU231" s="168"/>
      <c r="AV231" s="168"/>
      <c r="AW231" s="168"/>
      <c r="AX231" s="168"/>
      <c r="AY231" s="168"/>
      <c r="AZ231" s="168"/>
      <c r="BA231" s="168"/>
      <c r="BB231" s="168"/>
      <c r="BC231" s="168"/>
      <c r="BD231" s="168"/>
    </row>
    <row r="232" spans="1:64" s="213" customFormat="1" ht="14.25" customHeight="1">
      <c r="A232" s="167"/>
      <c r="B232" s="167"/>
      <c r="C232" s="167"/>
      <c r="D232" s="167"/>
      <c r="E232" s="167"/>
      <c r="F232" s="167"/>
      <c r="G232" s="167"/>
      <c r="H232" s="167"/>
      <c r="I232" s="167"/>
      <c r="J232" s="167"/>
      <c r="K232" s="167"/>
      <c r="L232" s="167"/>
      <c r="X232" s="170"/>
      <c r="Y232" s="170"/>
      <c r="Z232" s="170"/>
      <c r="AA232" s="170"/>
      <c r="AB232" s="168"/>
      <c r="AC232" s="168"/>
      <c r="AD232" s="168"/>
      <c r="AE232" s="168"/>
      <c r="AF232" s="168"/>
      <c r="AG232" s="168"/>
      <c r="AH232" s="168"/>
      <c r="AI232" s="168"/>
      <c r="AJ232" s="168"/>
      <c r="AK232" s="168"/>
      <c r="AL232" s="168"/>
      <c r="AM232" s="168"/>
      <c r="AN232" s="168"/>
      <c r="AO232" s="168"/>
      <c r="AP232" s="168"/>
      <c r="AQ232" s="168"/>
      <c r="AR232" s="168"/>
      <c r="AS232" s="168"/>
      <c r="AT232" s="168"/>
      <c r="AU232" s="168"/>
      <c r="AV232" s="168"/>
      <c r="AW232" s="168"/>
      <c r="AX232" s="168"/>
      <c r="AY232" s="168"/>
      <c r="AZ232" s="168"/>
      <c r="BA232" s="168"/>
      <c r="BB232" s="168"/>
      <c r="BC232" s="168"/>
    </row>
    <row r="233" spans="1:64" s="213" customFormat="1" ht="14.25" customHeight="1">
      <c r="A233" s="167"/>
      <c r="B233" s="167"/>
      <c r="C233" s="167"/>
      <c r="D233" s="167"/>
      <c r="E233" s="167"/>
      <c r="F233" s="167"/>
      <c r="G233" s="167"/>
      <c r="H233" s="167"/>
      <c r="I233" s="167"/>
      <c r="J233" s="167"/>
      <c r="K233" s="167"/>
      <c r="L233" s="167"/>
      <c r="X233" s="170"/>
      <c r="Y233" s="170"/>
      <c r="Z233" s="170"/>
      <c r="AA233" s="168"/>
      <c r="AB233" s="168"/>
      <c r="AC233" s="168"/>
      <c r="AD233" s="168"/>
      <c r="AE233" s="168"/>
      <c r="AF233" s="168"/>
      <c r="AG233" s="168"/>
      <c r="AH233" s="168"/>
      <c r="AI233" s="168"/>
      <c r="AJ233" s="168"/>
      <c r="AK233" s="168"/>
      <c r="AL233" s="168"/>
      <c r="AM233" s="168"/>
      <c r="AN233" s="168"/>
      <c r="AO233" s="168"/>
      <c r="AP233" s="168"/>
      <c r="AQ233" s="168"/>
      <c r="AR233" s="168"/>
      <c r="AS233" s="168"/>
      <c r="AT233" s="168"/>
      <c r="AU233" s="168"/>
      <c r="AV233" s="168"/>
      <c r="AW233" s="168"/>
      <c r="AX233" s="168"/>
      <c r="AY233" s="168"/>
      <c r="AZ233" s="168"/>
      <c r="BA233" s="168"/>
      <c r="BB233" s="168"/>
    </row>
    <row r="234" spans="1:64" s="213" customFormat="1" ht="14.25" customHeight="1">
      <c r="A234" s="167"/>
      <c r="B234" s="167"/>
      <c r="C234" s="167"/>
      <c r="D234" s="167"/>
      <c r="E234" s="167"/>
      <c r="F234" s="167"/>
      <c r="G234" s="167"/>
      <c r="H234" s="167"/>
      <c r="I234" s="167"/>
      <c r="J234" s="167"/>
      <c r="K234" s="167"/>
      <c r="L234" s="167"/>
      <c r="X234" s="170"/>
      <c r="Y234" s="170"/>
      <c r="Z234" s="168"/>
      <c r="AA234" s="168"/>
      <c r="AB234" s="168"/>
      <c r="AC234" s="168"/>
      <c r="AD234" s="168"/>
      <c r="AE234" s="168"/>
      <c r="AF234" s="168"/>
      <c r="AG234" s="168"/>
      <c r="AH234" s="168"/>
      <c r="AI234" s="168"/>
      <c r="AJ234" s="168"/>
      <c r="AK234" s="168"/>
      <c r="AL234" s="168"/>
      <c r="AM234" s="168"/>
      <c r="AN234" s="168"/>
      <c r="AO234" s="168"/>
      <c r="AP234" s="168"/>
      <c r="AQ234" s="168"/>
      <c r="AR234" s="168"/>
      <c r="AS234" s="168"/>
      <c r="AT234" s="168"/>
      <c r="AU234" s="168"/>
      <c r="AV234" s="168"/>
      <c r="AW234" s="168"/>
      <c r="AX234" s="168"/>
      <c r="AY234" s="168"/>
      <c r="AZ234" s="168"/>
      <c r="BA234" s="168"/>
    </row>
    <row r="235" spans="1:64" s="213" customFormat="1" ht="14.25" customHeight="1">
      <c r="A235" s="167"/>
      <c r="B235" s="167"/>
      <c r="C235" s="167"/>
      <c r="D235" s="167"/>
      <c r="E235" s="167"/>
      <c r="F235" s="167"/>
      <c r="G235" s="167"/>
      <c r="H235" s="167"/>
      <c r="I235" s="167"/>
      <c r="J235" s="167"/>
      <c r="K235" s="167"/>
      <c r="L235" s="167"/>
      <c r="X235" s="170"/>
      <c r="Y235" s="168"/>
      <c r="Z235" s="168"/>
      <c r="AA235" s="168"/>
      <c r="AB235" s="168"/>
      <c r="AC235" s="168"/>
      <c r="AD235" s="168"/>
      <c r="AE235" s="168"/>
      <c r="AF235" s="168"/>
      <c r="AG235" s="168"/>
      <c r="AH235" s="168"/>
      <c r="AI235" s="168"/>
      <c r="AJ235" s="168"/>
      <c r="AK235" s="168"/>
      <c r="AL235" s="168"/>
      <c r="AM235" s="168"/>
      <c r="AN235" s="168"/>
      <c r="AO235" s="168"/>
      <c r="AP235" s="168"/>
      <c r="AQ235" s="168"/>
      <c r="AR235" s="168"/>
      <c r="AS235" s="168"/>
      <c r="AT235" s="168"/>
      <c r="AU235" s="168"/>
      <c r="AV235" s="168"/>
      <c r="AW235" s="168"/>
      <c r="AX235" s="168"/>
      <c r="AY235" s="168"/>
      <c r="AZ235" s="168"/>
    </row>
    <row r="236" spans="1:64" s="213" customFormat="1" ht="14.25" customHeight="1">
      <c r="A236" s="167"/>
      <c r="B236" s="167"/>
      <c r="C236" s="167"/>
      <c r="D236" s="167"/>
      <c r="E236" s="167"/>
      <c r="F236" s="167"/>
      <c r="G236" s="167"/>
      <c r="H236" s="167"/>
      <c r="I236" s="167"/>
      <c r="J236" s="167"/>
      <c r="K236" s="167"/>
      <c r="L236" s="167"/>
      <c r="X236" s="168"/>
      <c r="Y236" s="168"/>
      <c r="Z236" s="168"/>
      <c r="AA236" s="168"/>
      <c r="AB236" s="168"/>
      <c r="AC236" s="168"/>
      <c r="AD236" s="168"/>
      <c r="AE236" s="168"/>
      <c r="AF236" s="168"/>
      <c r="AG236" s="168"/>
      <c r="AH236" s="168"/>
      <c r="AI236" s="168"/>
      <c r="AJ236" s="168"/>
      <c r="AK236" s="168"/>
      <c r="AL236" s="168"/>
      <c r="AM236" s="168"/>
      <c r="AN236" s="168"/>
      <c r="AO236" s="168"/>
      <c r="AP236" s="168"/>
      <c r="AQ236" s="168"/>
      <c r="AR236" s="168"/>
      <c r="AS236" s="168"/>
      <c r="AT236" s="168"/>
      <c r="AU236" s="168"/>
      <c r="AV236" s="168"/>
      <c r="AW236" s="168"/>
      <c r="AX236" s="168"/>
      <c r="AY236" s="168"/>
    </row>
    <row r="237" spans="1:64" s="213" customFormat="1" ht="14.25" customHeight="1">
      <c r="A237" s="167"/>
      <c r="B237" s="167"/>
      <c r="C237" s="167"/>
      <c r="D237" s="167"/>
      <c r="E237" s="167"/>
      <c r="F237" s="167"/>
      <c r="G237" s="167"/>
      <c r="H237" s="167"/>
      <c r="I237" s="167"/>
      <c r="J237" s="167"/>
      <c r="K237" s="167"/>
      <c r="L237" s="167"/>
      <c r="X237" s="168"/>
      <c r="Y237" s="168"/>
      <c r="Z237" s="168"/>
      <c r="AA237" s="168"/>
      <c r="AB237" s="168"/>
      <c r="AC237" s="168"/>
      <c r="AD237" s="168"/>
      <c r="AE237" s="168"/>
      <c r="AF237" s="168"/>
      <c r="AG237" s="168"/>
      <c r="AH237" s="168"/>
      <c r="AI237" s="168"/>
      <c r="AJ237" s="168"/>
      <c r="AK237" s="168"/>
      <c r="AL237" s="168"/>
      <c r="AM237" s="168"/>
      <c r="AN237" s="168"/>
      <c r="AO237" s="168"/>
      <c r="AP237" s="168"/>
      <c r="AQ237" s="168"/>
      <c r="AR237" s="168"/>
      <c r="AS237" s="168"/>
      <c r="AT237" s="168"/>
      <c r="AU237" s="168"/>
      <c r="AV237" s="168"/>
      <c r="AW237" s="168"/>
      <c r="AX237" s="168"/>
    </row>
    <row r="238" spans="1:64" s="213" customFormat="1" ht="14.25" customHeight="1">
      <c r="A238" s="167"/>
      <c r="B238" s="167"/>
      <c r="C238" s="167"/>
      <c r="D238" s="167"/>
      <c r="E238" s="167"/>
      <c r="F238" s="167"/>
      <c r="G238" s="167"/>
      <c r="H238" s="167"/>
      <c r="I238" s="167"/>
      <c r="J238" s="167"/>
      <c r="K238" s="167"/>
      <c r="L238" s="167"/>
      <c r="X238" s="168"/>
      <c r="Y238" s="168"/>
      <c r="Z238" s="168"/>
      <c r="AA238" s="168"/>
      <c r="AB238" s="168"/>
      <c r="AC238" s="168"/>
      <c r="AD238" s="168"/>
      <c r="AE238" s="168"/>
      <c r="AF238" s="168"/>
      <c r="AG238" s="168"/>
      <c r="AH238" s="168"/>
      <c r="AI238" s="168"/>
      <c r="AJ238" s="168"/>
      <c r="AK238" s="168"/>
      <c r="AL238" s="168"/>
      <c r="AM238" s="168"/>
      <c r="AN238" s="168"/>
      <c r="AO238" s="168"/>
      <c r="AP238" s="168"/>
      <c r="AQ238" s="168"/>
      <c r="AR238" s="168"/>
      <c r="AS238" s="168"/>
      <c r="AT238" s="168"/>
      <c r="AU238" s="168"/>
      <c r="AV238" s="168"/>
      <c r="AW238" s="168"/>
    </row>
    <row r="239" spans="1:64" s="213" customFormat="1" ht="14.25" customHeight="1">
      <c r="A239" s="167">
        <f>A209+1</f>
        <v>8</v>
      </c>
      <c r="B239" s="167"/>
      <c r="C239" s="187" t="str">
        <f>IF($A$1 = 1, (IF("("&amp;C249&amp;")" ="()","","("&amp;C249&amp;")")), (IF("("&amp;C254&amp;")     ("&amp;C249&amp;")"="()     ()","","("&amp;C254&amp;")     ("&amp;C249&amp;")")))</f>
        <v>(21)     (22)</v>
      </c>
      <c r="D239" s="187" t="str">
        <f t="shared" ref="D239:J239" si="21">IF($A$1 = 1, (IF("("&amp;D249&amp;")" ="()","","("&amp;D249&amp;")")), (IF("("&amp;D254&amp;")     ("&amp;D249&amp;")"="()     ()","","("&amp;D254&amp;")     ("&amp;D249&amp;")")))</f>
        <v>(169)     (157)</v>
      </c>
      <c r="E239" s="187" t="str">
        <f t="shared" si="21"/>
        <v>(47)     (41)</v>
      </c>
      <c r="F239" s="187" t="str">
        <f t="shared" si="21"/>
        <v>(4)     (5)</v>
      </c>
      <c r="G239" s="187" t="str">
        <f t="shared" si="21"/>
        <v>(5)     (4)</v>
      </c>
      <c r="H239" s="187" t="str">
        <f t="shared" si="21"/>
        <v>(9)     (7)</v>
      </c>
      <c r="I239" s="187" t="str">
        <f t="shared" si="21"/>
        <v>(12)     (17)</v>
      </c>
      <c r="J239" s="187" t="str">
        <f t="shared" si="21"/>
        <v/>
      </c>
      <c r="K239" s="187"/>
      <c r="L239" s="187"/>
      <c r="M239" s="220"/>
      <c r="N239" s="220"/>
      <c r="O239" s="220"/>
      <c r="P239" s="220"/>
      <c r="Q239" s="220"/>
      <c r="R239" s="220"/>
      <c r="S239" s="220"/>
      <c r="T239" s="220"/>
      <c r="U239" s="220"/>
      <c r="V239" s="220"/>
      <c r="W239" s="220"/>
      <c r="X239" s="168"/>
      <c r="Y239" s="168"/>
      <c r="Z239" s="168"/>
      <c r="AA239" s="168"/>
      <c r="AB239" s="168"/>
      <c r="AC239" s="168"/>
      <c r="AD239" s="168"/>
      <c r="AE239" s="168"/>
      <c r="AF239" s="168"/>
      <c r="AG239" s="168"/>
      <c r="AH239" s="168"/>
      <c r="AI239" s="168"/>
      <c r="AJ239" s="168"/>
      <c r="AK239" s="168"/>
      <c r="AL239" s="168"/>
      <c r="AM239" s="168"/>
      <c r="AN239" s="168"/>
      <c r="AO239" s="168"/>
      <c r="AP239" s="168"/>
      <c r="AQ239" s="168"/>
      <c r="AR239" s="168"/>
      <c r="AS239" s="168"/>
      <c r="AT239" s="168"/>
      <c r="AU239" s="168"/>
      <c r="AV239" s="168"/>
    </row>
    <row r="240" spans="1:64" s="213" customFormat="1" ht="59.1" customHeight="1">
      <c r="A240" s="167"/>
      <c r="B240" s="177"/>
      <c r="C240" s="178" t="s">
        <v>824</v>
      </c>
      <c r="D240" s="178" t="s">
        <v>764</v>
      </c>
      <c r="E240" s="178" t="s">
        <v>766</v>
      </c>
      <c r="F240" s="178" t="s">
        <v>825</v>
      </c>
      <c r="G240" s="178" t="s">
        <v>765</v>
      </c>
      <c r="H240" s="178" t="s">
        <v>782</v>
      </c>
      <c r="I240" s="178" t="s">
        <v>826</v>
      </c>
      <c r="J240" s="178"/>
      <c r="K240" s="178"/>
      <c r="L240" s="178"/>
      <c r="M240" s="208"/>
      <c r="N240" s="208"/>
      <c r="O240" s="208"/>
      <c r="P240" s="208"/>
      <c r="Q240" s="208"/>
      <c r="R240" s="208"/>
      <c r="S240" s="208"/>
      <c r="T240" s="208"/>
      <c r="U240" s="208"/>
      <c r="V240" s="208"/>
      <c r="W240" s="208"/>
      <c r="X240" s="210"/>
      <c r="Y240" s="210"/>
      <c r="Z240" s="210"/>
      <c r="AA240" s="210"/>
      <c r="AB240" s="210"/>
      <c r="AC240" s="210"/>
      <c r="AD240" s="210"/>
      <c r="AE240" s="210"/>
      <c r="AF240" s="210"/>
      <c r="AG240" s="210"/>
      <c r="AH240" s="210"/>
      <c r="AI240" s="210"/>
      <c r="AJ240" s="210"/>
      <c r="AK240" s="210"/>
      <c r="AL240" s="210"/>
      <c r="AM240" s="210"/>
      <c r="AN240" s="210"/>
      <c r="AO240" s="216"/>
      <c r="AP240" s="216"/>
      <c r="AQ240" s="216"/>
      <c r="AR240" s="216"/>
      <c r="AS240" s="216"/>
      <c r="AT240" s="216"/>
      <c r="AU240" s="216"/>
      <c r="AV240" s="216"/>
      <c r="AW240" s="216"/>
      <c r="AX240" s="210"/>
      <c r="AY240" s="216"/>
      <c r="AZ240" s="216"/>
      <c r="BA240" s="216"/>
      <c r="BB240" s="216"/>
      <c r="BC240" s="216"/>
      <c r="BD240" s="216"/>
      <c r="BE240" s="216"/>
      <c r="BF240" s="216"/>
      <c r="BG240" s="216"/>
      <c r="BH240" s="216"/>
      <c r="BI240" s="216"/>
      <c r="BJ240" s="210"/>
      <c r="BK240" s="210"/>
      <c r="BL240" s="210"/>
    </row>
    <row r="241" spans="1:256" s="203" customFormat="1" ht="18" customHeight="1" thickBot="1">
      <c r="A241" s="164"/>
      <c r="B241" s="181" t="s">
        <v>3</v>
      </c>
      <c r="C241" s="148">
        <v>86</v>
      </c>
      <c r="D241" s="148">
        <v>73</v>
      </c>
      <c r="E241" s="148">
        <v>88</v>
      </c>
      <c r="F241" s="148" t="s">
        <v>443</v>
      </c>
      <c r="G241" s="148" t="s">
        <v>443</v>
      </c>
      <c r="H241" s="148">
        <v>90</v>
      </c>
      <c r="I241" s="148">
        <v>61</v>
      </c>
      <c r="J241" s="148"/>
      <c r="K241" s="148"/>
      <c r="L241" s="148"/>
      <c r="M241" s="211"/>
      <c r="N241" s="211"/>
      <c r="O241" s="211"/>
      <c r="P241" s="211"/>
      <c r="Q241" s="211"/>
      <c r="R241" s="211"/>
      <c r="S241" s="211"/>
      <c r="T241" s="211"/>
      <c r="U241" s="211"/>
      <c r="V241" s="211"/>
      <c r="W241" s="211"/>
      <c r="X241" s="168"/>
      <c r="Y241" s="168"/>
      <c r="Z241" s="168"/>
      <c r="AA241" s="168"/>
      <c r="AB241" s="168"/>
      <c r="AC241" s="168"/>
      <c r="AD241" s="168"/>
      <c r="AE241" s="168"/>
      <c r="AF241" s="168"/>
      <c r="AG241" s="168"/>
      <c r="AH241" s="168"/>
      <c r="AI241" s="168"/>
      <c r="AJ241" s="168"/>
      <c r="AK241" s="168"/>
      <c r="AL241" s="168"/>
      <c r="AM241" s="168"/>
      <c r="AN241" s="168"/>
      <c r="AO241" s="213"/>
      <c r="AP241" s="213"/>
      <c r="AQ241" s="213"/>
      <c r="AR241" s="213"/>
      <c r="AS241" s="213"/>
      <c r="AT241" s="213"/>
      <c r="AU241" s="213"/>
      <c r="AV241" s="213"/>
      <c r="AW241" s="213"/>
      <c r="AX241" s="168"/>
      <c r="AY241" s="213"/>
      <c r="AZ241" s="213"/>
      <c r="BA241" s="213"/>
      <c r="BB241" s="213"/>
      <c r="BC241" s="213"/>
      <c r="BD241" s="213"/>
      <c r="BE241" s="213"/>
      <c r="BF241" s="213"/>
      <c r="BG241" s="213"/>
      <c r="BH241" s="213"/>
      <c r="BI241" s="213"/>
      <c r="BJ241" s="168"/>
      <c r="BK241" s="168"/>
      <c r="BL241" s="168"/>
      <c r="BM241" s="213"/>
      <c r="BN241" s="213"/>
      <c r="BO241" s="213"/>
      <c r="BP241" s="213"/>
      <c r="BQ241" s="213"/>
      <c r="BR241" s="168"/>
      <c r="BT241" s="204"/>
      <c r="BU241" s="169"/>
      <c r="BV241" s="169"/>
      <c r="BW241" s="169"/>
      <c r="BX241" s="169"/>
      <c r="BY241" s="169"/>
      <c r="BZ241" s="170"/>
      <c r="CA241" s="170"/>
      <c r="CB241" s="170"/>
      <c r="CC241" s="170"/>
      <c r="CD241" s="170"/>
      <c r="CE241" s="168"/>
      <c r="CF241" s="168"/>
      <c r="CG241" s="168"/>
      <c r="CH241" s="168"/>
      <c r="CI241" s="168"/>
      <c r="CJ241" s="168"/>
      <c r="CK241" s="168"/>
      <c r="CL241" s="168"/>
      <c r="CM241" s="168"/>
      <c r="CN241" s="168"/>
      <c r="CO241" s="168"/>
      <c r="CP241" s="168"/>
      <c r="CQ241" s="168"/>
      <c r="CR241" s="168"/>
      <c r="CS241" s="168"/>
      <c r="CT241" s="168"/>
      <c r="CU241" s="168"/>
      <c r="CV241" s="168"/>
      <c r="CW241" s="168"/>
      <c r="CX241" s="168"/>
      <c r="CY241" s="168"/>
      <c r="CZ241" s="168"/>
      <c r="DA241" s="168"/>
      <c r="DB241" s="168"/>
      <c r="DC241" s="168"/>
      <c r="DD241" s="168"/>
      <c r="DE241" s="168"/>
      <c r="DF241" s="168"/>
      <c r="DG241" s="213"/>
      <c r="DH241" s="213"/>
      <c r="DI241" s="213"/>
      <c r="DJ241" s="213"/>
      <c r="DK241" s="213"/>
      <c r="DL241" s="213"/>
      <c r="DM241" s="213"/>
      <c r="DN241" s="213"/>
      <c r="DO241" s="213"/>
      <c r="DP241" s="213"/>
      <c r="DQ241" s="213"/>
      <c r="DR241" s="213"/>
      <c r="DS241" s="213"/>
      <c r="DT241" s="213"/>
      <c r="DU241" s="213"/>
      <c r="DV241" s="213"/>
      <c r="DW241" s="213"/>
      <c r="DX241" s="213"/>
      <c r="DY241" s="213"/>
      <c r="DZ241" s="213"/>
      <c r="EA241" s="213"/>
      <c r="EB241" s="168"/>
      <c r="ED241" s="204"/>
      <c r="EE241" s="169"/>
      <c r="EF241" s="169"/>
      <c r="EG241" s="169"/>
      <c r="EH241" s="169"/>
      <c r="EI241" s="169"/>
      <c r="EJ241" s="170"/>
      <c r="EK241" s="170"/>
      <c r="EL241" s="170"/>
      <c r="EM241" s="170"/>
      <c r="EN241" s="170"/>
      <c r="EO241" s="168"/>
      <c r="EP241" s="168"/>
      <c r="EQ241" s="168"/>
      <c r="ER241" s="168"/>
      <c r="ES241" s="168"/>
      <c r="ET241" s="168"/>
      <c r="EU241" s="168"/>
      <c r="EV241" s="168"/>
      <c r="EW241" s="168"/>
      <c r="EX241" s="168"/>
      <c r="EY241" s="168"/>
      <c r="EZ241" s="168"/>
      <c r="FA241" s="168"/>
      <c r="FB241" s="168"/>
      <c r="FC241" s="168"/>
      <c r="FD241" s="168"/>
      <c r="FE241" s="168"/>
      <c r="FF241" s="168"/>
      <c r="FG241" s="168"/>
      <c r="FH241" s="168"/>
      <c r="FI241" s="168"/>
      <c r="FJ241" s="168"/>
      <c r="FK241" s="168"/>
      <c r="FL241" s="168"/>
      <c r="FM241" s="168"/>
      <c r="FN241" s="168"/>
      <c r="FO241" s="168"/>
      <c r="FP241" s="168"/>
      <c r="FQ241" s="213"/>
      <c r="FR241" s="213"/>
      <c r="FS241" s="213"/>
      <c r="FT241" s="213"/>
      <c r="FU241" s="213"/>
      <c r="FV241" s="213"/>
      <c r="FW241" s="213"/>
      <c r="FX241" s="213"/>
      <c r="FY241" s="213"/>
      <c r="FZ241" s="213"/>
      <c r="GA241" s="213"/>
      <c r="GB241" s="213"/>
      <c r="GC241" s="213"/>
      <c r="GD241" s="213"/>
      <c r="GE241" s="213"/>
      <c r="GF241" s="213"/>
      <c r="GG241" s="213"/>
      <c r="GH241" s="213"/>
      <c r="GI241" s="213"/>
      <c r="GJ241" s="213"/>
      <c r="GK241" s="213"/>
      <c r="GL241" s="168"/>
      <c r="GN241" s="204"/>
      <c r="GO241" s="169"/>
      <c r="GP241" s="169"/>
      <c r="GQ241" s="169"/>
      <c r="GR241" s="169"/>
      <c r="GS241" s="169"/>
      <c r="GT241" s="170"/>
      <c r="GU241" s="170"/>
      <c r="GV241" s="170"/>
      <c r="GW241" s="170"/>
      <c r="GX241" s="170"/>
      <c r="GY241" s="168"/>
      <c r="GZ241" s="168"/>
      <c r="HA241" s="168"/>
      <c r="HB241" s="168"/>
      <c r="HC241" s="168"/>
      <c r="HD241" s="168"/>
      <c r="HE241" s="168"/>
      <c r="HF241" s="168"/>
      <c r="HG241" s="168"/>
      <c r="HH241" s="168"/>
      <c r="HI241" s="168"/>
      <c r="HJ241" s="168"/>
      <c r="HK241" s="168"/>
      <c r="HL241" s="168"/>
      <c r="HM241" s="168"/>
      <c r="HN241" s="168"/>
      <c r="HO241" s="168"/>
      <c r="HP241" s="168"/>
      <c r="HQ241" s="168"/>
      <c r="HR241" s="168"/>
      <c r="HS241" s="168"/>
      <c r="HT241" s="168"/>
      <c r="HU241" s="168"/>
      <c r="HV241" s="168"/>
      <c r="HW241" s="168"/>
      <c r="HX241" s="168"/>
      <c r="HY241" s="168"/>
      <c r="HZ241" s="168"/>
      <c r="IA241" s="213"/>
      <c r="IB241" s="213"/>
      <c r="IC241" s="213"/>
      <c r="ID241" s="213"/>
      <c r="IE241" s="213"/>
      <c r="IF241" s="213"/>
      <c r="IG241" s="213"/>
      <c r="IH241" s="213"/>
      <c r="II241" s="213"/>
      <c r="IJ241" s="213"/>
      <c r="IK241" s="213"/>
      <c r="IL241" s="213"/>
      <c r="IM241" s="213"/>
      <c r="IN241" s="213"/>
      <c r="IO241" s="213"/>
      <c r="IP241" s="213"/>
      <c r="IQ241" s="213"/>
      <c r="IR241" s="213"/>
      <c r="IS241" s="213"/>
      <c r="IT241" s="213"/>
      <c r="IU241" s="213"/>
      <c r="IV241" s="168"/>
    </row>
    <row r="242" spans="1:256" s="211" customFormat="1" ht="18" customHeight="1" thickBot="1">
      <c r="B242" s="182" t="s">
        <v>18</v>
      </c>
      <c r="C242" s="148">
        <v>84</v>
      </c>
      <c r="D242" s="148">
        <v>74</v>
      </c>
      <c r="E242" s="148">
        <v>80</v>
      </c>
      <c r="F242" s="148" t="s">
        <v>443</v>
      </c>
      <c r="G242" s="148" t="s">
        <v>443</v>
      </c>
      <c r="H242" s="148">
        <v>82</v>
      </c>
      <c r="I242" s="148">
        <v>62</v>
      </c>
      <c r="J242" s="148"/>
      <c r="K242" s="148"/>
      <c r="L242" s="148"/>
      <c r="M242" s="145"/>
      <c r="N242" s="145"/>
      <c r="O242" s="145"/>
      <c r="P242" s="145"/>
      <c r="Q242" s="145"/>
      <c r="R242" s="145"/>
      <c r="S242" s="145"/>
      <c r="T242" s="145"/>
      <c r="U242" s="145"/>
      <c r="V242" s="145"/>
      <c r="W242" s="145"/>
      <c r="X242" s="168"/>
      <c r="Y242" s="168"/>
      <c r="Z242" s="168"/>
      <c r="AA242" s="168"/>
      <c r="AB242" s="168"/>
      <c r="AC242" s="168"/>
      <c r="AD242" s="168"/>
      <c r="AE242" s="168"/>
      <c r="AF242" s="168"/>
      <c r="AG242" s="168"/>
      <c r="AH242" s="168"/>
      <c r="AI242" s="168"/>
      <c r="AJ242" s="168"/>
      <c r="AK242" s="168"/>
      <c r="AL242" s="168"/>
      <c r="AM242" s="168"/>
      <c r="AN242" s="168"/>
      <c r="AO242" s="213"/>
      <c r="AP242" s="213"/>
      <c r="AQ242" s="213"/>
      <c r="AR242" s="213"/>
      <c r="AS242" s="213"/>
      <c r="AT242" s="213"/>
      <c r="AU242" s="213"/>
      <c r="AV242" s="213"/>
      <c r="AW242" s="213"/>
      <c r="AX242" s="168"/>
      <c r="AY242" s="213"/>
      <c r="AZ242" s="213"/>
      <c r="BA242" s="213"/>
      <c r="BB242" s="213"/>
      <c r="BC242" s="213"/>
      <c r="BD242" s="213"/>
      <c r="BE242" s="213"/>
      <c r="BF242" s="213"/>
      <c r="BG242" s="213"/>
      <c r="BH242" s="213"/>
      <c r="BI242" s="213"/>
      <c r="BJ242" s="168"/>
      <c r="BK242" s="168"/>
      <c r="BL242" s="168"/>
      <c r="BM242" s="169"/>
      <c r="BN242" s="169"/>
      <c r="BO242" s="169"/>
      <c r="BP242" s="169"/>
      <c r="BQ242" s="170"/>
      <c r="BR242" s="170"/>
      <c r="BS242" s="170"/>
      <c r="BT242" s="170"/>
      <c r="BU242" s="170"/>
      <c r="BV242" s="168"/>
      <c r="BW242" s="168"/>
      <c r="BX242" s="168"/>
      <c r="BY242" s="168"/>
      <c r="BZ242" s="168"/>
      <c r="CA242" s="168"/>
      <c r="CB242" s="168"/>
      <c r="CC242" s="168"/>
      <c r="CD242" s="168"/>
      <c r="CE242" s="168"/>
      <c r="CF242" s="168"/>
      <c r="CG242" s="168"/>
      <c r="CH242" s="168"/>
      <c r="CI242" s="168"/>
      <c r="CJ242" s="168"/>
      <c r="CK242" s="168"/>
      <c r="CL242" s="168"/>
      <c r="CM242" s="168"/>
      <c r="CN242" s="168"/>
      <c r="CO242" s="168"/>
      <c r="CP242" s="168"/>
      <c r="CQ242" s="168"/>
      <c r="CR242" s="168"/>
      <c r="CS242" s="168"/>
      <c r="CT242" s="168"/>
      <c r="CU242" s="168"/>
      <c r="CV242" s="168"/>
      <c r="CW242" s="168"/>
      <c r="CX242" s="213"/>
      <c r="CY242" s="213"/>
      <c r="CZ242" s="213"/>
      <c r="DA242" s="213"/>
      <c r="DB242" s="213"/>
      <c r="DC242" s="213"/>
      <c r="DD242" s="213"/>
      <c r="DE242" s="213"/>
      <c r="DF242" s="213"/>
      <c r="DG242" s="213"/>
      <c r="DH242" s="213"/>
      <c r="DI242" s="213"/>
      <c r="DJ242" s="213"/>
      <c r="DK242" s="213"/>
      <c r="DL242" s="213"/>
      <c r="DM242" s="213"/>
      <c r="DN242" s="213"/>
      <c r="DO242" s="213"/>
      <c r="DP242" s="213"/>
      <c r="DQ242" s="213"/>
      <c r="DR242" s="213"/>
      <c r="DS242" s="168"/>
      <c r="DT242" s="205"/>
      <c r="DU242" s="204"/>
      <c r="DV242" s="173"/>
      <c r="DW242" s="173"/>
      <c r="DX242" s="173"/>
      <c r="DY242" s="173"/>
      <c r="DZ242" s="173"/>
      <c r="EA242" s="173"/>
      <c r="EB242" s="173"/>
      <c r="EC242" s="173"/>
      <c r="ED242" s="173"/>
      <c r="EE242" s="173"/>
      <c r="EF242" s="173"/>
      <c r="EG242" s="212"/>
      <c r="EH242" s="212"/>
      <c r="EI242" s="212"/>
      <c r="EJ242" s="212"/>
      <c r="EK242" s="212"/>
      <c r="EL242" s="212"/>
      <c r="EM242" s="212"/>
      <c r="EN242" s="212"/>
      <c r="EO242" s="212"/>
      <c r="EP242" s="212"/>
      <c r="EQ242" s="212"/>
      <c r="ER242" s="212"/>
      <c r="ES242" s="212"/>
      <c r="ET242" s="212"/>
      <c r="EU242" s="212"/>
      <c r="EV242" s="212"/>
      <c r="EW242" s="212"/>
      <c r="EX242" s="212"/>
      <c r="EY242" s="212"/>
      <c r="EZ242" s="212"/>
      <c r="FA242" s="212"/>
      <c r="FB242" s="212"/>
      <c r="FC242" s="212"/>
      <c r="FD242" s="212"/>
      <c r="FE242" s="212"/>
      <c r="FF242" s="212"/>
      <c r="FG242" s="212"/>
      <c r="FH242" s="215"/>
      <c r="FI242" s="215"/>
      <c r="FJ242" s="215"/>
      <c r="FK242" s="215"/>
      <c r="FL242" s="215"/>
      <c r="FM242" s="215"/>
      <c r="FN242" s="215"/>
      <c r="FO242" s="215"/>
      <c r="FP242" s="215"/>
      <c r="FQ242" s="215"/>
      <c r="FR242" s="215"/>
      <c r="FS242" s="215"/>
      <c r="FT242" s="215"/>
      <c r="FU242" s="215"/>
      <c r="FV242" s="215"/>
      <c r="FW242" s="215"/>
      <c r="FX242" s="215"/>
      <c r="FY242" s="215"/>
      <c r="FZ242" s="215"/>
      <c r="GA242" s="215"/>
      <c r="GB242" s="215"/>
      <c r="GC242" s="212"/>
      <c r="GD242" s="206"/>
      <c r="GE242" s="207"/>
      <c r="GF242" s="208"/>
      <c r="GG242" s="208"/>
      <c r="GH242" s="208"/>
      <c r="GI242" s="208"/>
      <c r="GJ242" s="208"/>
      <c r="GK242" s="208"/>
      <c r="GL242" s="208"/>
      <c r="GM242" s="208"/>
      <c r="GN242" s="209"/>
      <c r="GO242" s="209"/>
      <c r="GP242" s="210"/>
      <c r="GQ242" s="210"/>
      <c r="GR242" s="210"/>
      <c r="GS242" s="210"/>
      <c r="GT242" s="210"/>
      <c r="GU242" s="210"/>
      <c r="GV242" s="210"/>
      <c r="GW242" s="210"/>
      <c r="GX242" s="210"/>
      <c r="GY242" s="210"/>
      <c r="GZ242" s="210"/>
      <c r="HA242" s="210"/>
      <c r="HB242" s="210"/>
      <c r="HC242" s="210"/>
      <c r="HD242" s="210"/>
      <c r="HE242" s="210"/>
      <c r="HF242" s="210"/>
      <c r="HG242" s="210"/>
      <c r="HH242" s="210"/>
      <c r="HI242" s="210"/>
      <c r="HJ242" s="210"/>
      <c r="HK242" s="210"/>
      <c r="HL242" s="210"/>
      <c r="HM242" s="210"/>
      <c r="HN242" s="210"/>
      <c r="HO242" s="210"/>
      <c r="HP242" s="210"/>
      <c r="HQ242" s="210"/>
      <c r="HR242" s="216"/>
      <c r="HS242" s="216"/>
      <c r="HT242" s="216"/>
      <c r="HU242" s="216"/>
      <c r="HV242" s="216"/>
      <c r="HW242" s="216"/>
      <c r="HX242" s="216"/>
      <c r="HY242" s="216"/>
      <c r="HZ242" s="216"/>
      <c r="IA242" s="210"/>
      <c r="IB242" s="216"/>
      <c r="IC242" s="216"/>
      <c r="ID242" s="216"/>
      <c r="IE242" s="216"/>
      <c r="IF242" s="216"/>
      <c r="IG242" s="216"/>
      <c r="IH242" s="216"/>
      <c r="II242" s="216"/>
      <c r="IJ242" s="216"/>
      <c r="IK242" s="216"/>
      <c r="IL242" s="216"/>
      <c r="IM242" s="210"/>
      <c r="IN242" s="203"/>
      <c r="IO242" s="182"/>
      <c r="IP242" s="145"/>
    </row>
    <row r="243" spans="1:256" s="168" customFormat="1" ht="18" customHeight="1" thickBot="1">
      <c r="A243" s="143"/>
      <c r="B243" s="183" t="s">
        <v>32</v>
      </c>
      <c r="C243" s="147">
        <v>80</v>
      </c>
      <c r="D243" s="147">
        <v>71</v>
      </c>
      <c r="E243" s="147">
        <v>75</v>
      </c>
      <c r="F243" s="147" t="s">
        <v>443</v>
      </c>
      <c r="G243" s="147" t="s">
        <v>443</v>
      </c>
      <c r="H243" s="147">
        <v>73</v>
      </c>
      <c r="I243" s="147">
        <v>59</v>
      </c>
      <c r="J243" s="147"/>
      <c r="K243" s="147"/>
      <c r="L243" s="147"/>
      <c r="M243" s="145"/>
      <c r="N243" s="145"/>
      <c r="O243" s="145"/>
      <c r="P243" s="145"/>
      <c r="Q243" s="145"/>
      <c r="R243" s="145"/>
      <c r="S243" s="145"/>
      <c r="T243" s="145"/>
      <c r="U243" s="145"/>
      <c r="V243" s="145"/>
      <c r="W243" s="145"/>
      <c r="AO243" s="213"/>
      <c r="AP243" s="213"/>
      <c r="AQ243" s="213"/>
      <c r="AR243" s="213"/>
      <c r="AS243" s="213"/>
      <c r="AT243" s="213"/>
      <c r="AU243" s="213"/>
      <c r="AV243" s="213"/>
      <c r="AW243" s="213"/>
      <c r="AY243" s="213"/>
      <c r="AZ243" s="213"/>
      <c r="BA243" s="213"/>
      <c r="BB243" s="213"/>
      <c r="BC243" s="213"/>
      <c r="BD243" s="213"/>
      <c r="BE243" s="213"/>
      <c r="BF243" s="213"/>
      <c r="BG243" s="213"/>
      <c r="BH243" s="213"/>
      <c r="CO243" s="213"/>
      <c r="CP243" s="213"/>
      <c r="CQ243" s="213"/>
      <c r="CR243" s="213"/>
      <c r="CS243" s="213"/>
      <c r="CT243" s="213"/>
      <c r="CU243" s="213"/>
      <c r="CV243" s="213"/>
      <c r="CW243" s="213"/>
      <c r="CY243" s="213"/>
      <c r="CZ243" s="213"/>
      <c r="DA243" s="213"/>
      <c r="DB243" s="213"/>
      <c r="DC243" s="213"/>
      <c r="DD243" s="213"/>
      <c r="DE243" s="213"/>
      <c r="DF243" s="213"/>
      <c r="DG243" s="213"/>
      <c r="DH243" s="213"/>
      <c r="DI243" s="213"/>
      <c r="DK243" s="203"/>
      <c r="DL243" s="182"/>
      <c r="DM243" s="145"/>
      <c r="DN243" s="145"/>
      <c r="DO243" s="145"/>
      <c r="DP243" s="145"/>
      <c r="DQ243" s="145"/>
      <c r="DR243" s="145"/>
      <c r="DS243" s="145"/>
      <c r="DT243" s="145"/>
      <c r="DU243" s="170"/>
      <c r="DV243" s="170"/>
      <c r="EY243" s="213"/>
      <c r="EZ243" s="213"/>
      <c r="FA243" s="213"/>
      <c r="FB243" s="213"/>
      <c r="FC243" s="213"/>
      <c r="FD243" s="213"/>
      <c r="FE243" s="213"/>
      <c r="FF243" s="213"/>
      <c r="FG243" s="213"/>
      <c r="FI243" s="213"/>
      <c r="FJ243" s="213"/>
      <c r="FK243" s="213"/>
      <c r="FL243" s="213"/>
      <c r="FM243" s="213"/>
      <c r="FN243" s="213"/>
      <c r="FO243" s="213"/>
      <c r="FP243" s="213"/>
      <c r="FQ243" s="213"/>
      <c r="FR243" s="213"/>
      <c r="FS243" s="213"/>
      <c r="FU243" s="203"/>
      <c r="FV243" s="182"/>
      <c r="FW243" s="145"/>
      <c r="FX243" s="145"/>
      <c r="FY243" s="145"/>
      <c r="FZ243" s="145"/>
      <c r="GA243" s="145"/>
      <c r="GB243" s="145"/>
      <c r="GC243" s="145"/>
      <c r="GD243" s="145"/>
      <c r="GE243" s="170"/>
      <c r="GF243" s="170"/>
      <c r="HI243" s="213"/>
      <c r="HJ243" s="213"/>
      <c r="HK243" s="213"/>
      <c r="HL243" s="213"/>
      <c r="HM243" s="213"/>
      <c r="HN243" s="213"/>
      <c r="HO243" s="213"/>
      <c r="HP243" s="213"/>
      <c r="HQ243" s="213"/>
      <c r="HS243" s="213"/>
      <c r="HT243" s="213"/>
      <c r="HU243" s="213"/>
      <c r="HV243" s="213"/>
      <c r="HW243" s="213"/>
      <c r="HX243" s="213"/>
      <c r="HY243" s="213"/>
      <c r="HZ243" s="213"/>
      <c r="IA243" s="213"/>
      <c r="IB243" s="213"/>
      <c r="IC243" s="213"/>
      <c r="IE243" s="203"/>
      <c r="IF243" s="182"/>
      <c r="IG243" s="145"/>
      <c r="IH243" s="145"/>
      <c r="II243" s="145"/>
      <c r="IJ243" s="145"/>
      <c r="IK243" s="145"/>
      <c r="IL243" s="145"/>
      <c r="IM243" s="145"/>
      <c r="IN243" s="145"/>
      <c r="IO243" s="170"/>
      <c r="IP243" s="170"/>
    </row>
    <row r="244" spans="1:256" s="168" customFormat="1" ht="18" customHeight="1" thickBot="1">
      <c r="A244" s="143"/>
      <c r="B244" s="182" t="s">
        <v>45</v>
      </c>
      <c r="C244" s="145">
        <v>80</v>
      </c>
      <c r="D244" s="145">
        <v>69</v>
      </c>
      <c r="E244" s="145">
        <v>79</v>
      </c>
      <c r="F244" s="145" t="s">
        <v>443</v>
      </c>
      <c r="G244" s="145" t="s">
        <v>443</v>
      </c>
      <c r="H244" s="145">
        <v>71</v>
      </c>
      <c r="I244" s="145">
        <v>57</v>
      </c>
      <c r="J244" s="145"/>
      <c r="K244" s="145"/>
      <c r="L244" s="145"/>
      <c r="M244" s="145"/>
      <c r="N244" s="145"/>
      <c r="O244" s="145"/>
      <c r="P244" s="145"/>
      <c r="Q244" s="145"/>
      <c r="R244" s="145"/>
      <c r="S244" s="145"/>
      <c r="T244" s="145"/>
      <c r="U244" s="145"/>
      <c r="V244" s="145"/>
      <c r="W244" s="145"/>
      <c r="AO244" s="213"/>
      <c r="AP244" s="213"/>
      <c r="AQ244" s="213"/>
      <c r="AR244" s="213"/>
      <c r="AS244" s="213"/>
      <c r="AT244" s="213"/>
      <c r="AU244" s="213"/>
      <c r="AV244" s="213"/>
      <c r="AW244" s="213"/>
      <c r="AY244" s="213"/>
      <c r="AZ244" s="213"/>
      <c r="BA244" s="213"/>
      <c r="BB244" s="213"/>
      <c r="BC244" s="213"/>
      <c r="BD244" s="213"/>
      <c r="BE244" s="213"/>
      <c r="BF244" s="213"/>
      <c r="BG244" s="213"/>
      <c r="BH244" s="213"/>
      <c r="CF244" s="213"/>
      <c r="CG244" s="213"/>
      <c r="CH244" s="213"/>
      <c r="CI244" s="213"/>
      <c r="CJ244" s="213"/>
      <c r="CK244" s="213"/>
      <c r="CL244" s="213"/>
      <c r="CM244" s="213"/>
      <c r="CN244" s="213"/>
      <c r="CP244" s="213"/>
      <c r="CQ244" s="213"/>
      <c r="CR244" s="213"/>
      <c r="CS244" s="213"/>
      <c r="CT244" s="213"/>
      <c r="CU244" s="213"/>
      <c r="CV244" s="213"/>
      <c r="CW244" s="213"/>
      <c r="CX244" s="213"/>
      <c r="CY244" s="213"/>
      <c r="CZ244" s="213"/>
      <c r="DB244" s="203"/>
      <c r="DC244" s="182"/>
      <c r="DD244" s="126"/>
      <c r="DE244" s="126"/>
      <c r="DF244" s="126"/>
      <c r="DG244" s="126"/>
      <c r="DH244" s="126"/>
      <c r="DI244" s="126"/>
      <c r="DJ244" s="126"/>
      <c r="DK244" s="126"/>
      <c r="DL244" s="170"/>
      <c r="DM244" s="170"/>
      <c r="EP244" s="213"/>
      <c r="EQ244" s="213"/>
      <c r="ER244" s="213"/>
      <c r="ES244" s="213"/>
      <c r="ET244" s="213"/>
      <c r="EU244" s="213"/>
      <c r="EV244" s="213"/>
      <c r="EW244" s="213"/>
      <c r="EX244" s="213"/>
      <c r="EZ244" s="213"/>
      <c r="FA244" s="213"/>
      <c r="FB244" s="213"/>
      <c r="FC244" s="213"/>
      <c r="FD244" s="213"/>
      <c r="FE244" s="213"/>
      <c r="FF244" s="213"/>
      <c r="FG244" s="213"/>
      <c r="FH244" s="213"/>
      <c r="FI244" s="213"/>
      <c r="FK244" s="203"/>
      <c r="FL244" s="182"/>
      <c r="FM244" s="127"/>
      <c r="FN244" s="127"/>
      <c r="FO244" s="127"/>
      <c r="FP244" s="127"/>
      <c r="FQ244" s="127"/>
      <c r="FR244" s="126"/>
      <c r="FS244" s="126"/>
      <c r="FT244" s="126"/>
      <c r="FU244" s="170"/>
      <c r="FV244" s="170"/>
      <c r="GY244" s="214"/>
      <c r="GZ244" s="214"/>
      <c r="HA244" s="214"/>
      <c r="HB244" s="214"/>
      <c r="HC244" s="214"/>
      <c r="HD244" s="213"/>
      <c r="HE244" s="213"/>
      <c r="HF244" s="213"/>
      <c r="HG244" s="213"/>
      <c r="HI244" s="213"/>
      <c r="HJ244" s="213"/>
      <c r="HK244" s="213"/>
      <c r="HL244" s="213"/>
      <c r="HM244" s="213"/>
      <c r="HN244" s="213"/>
      <c r="HO244" s="213"/>
      <c r="HP244" s="213"/>
      <c r="HQ244" s="213"/>
      <c r="HR244" s="213"/>
      <c r="HT244" s="203"/>
      <c r="HU244" s="182"/>
      <c r="HV244" s="126"/>
      <c r="HW244" s="126"/>
      <c r="HX244" s="126"/>
      <c r="HY244" s="126"/>
      <c r="HZ244" s="126"/>
      <c r="IA244" s="126"/>
      <c r="IB244" s="126"/>
      <c r="IC244" s="126"/>
      <c r="ID244" s="170"/>
      <c r="IE244" s="170"/>
    </row>
    <row r="245" spans="1:256" s="213" customFormat="1" ht="18" customHeight="1" thickBot="1">
      <c r="A245" s="167"/>
      <c r="B245" s="184" t="s">
        <v>54</v>
      </c>
      <c r="C245" s="146">
        <v>82</v>
      </c>
      <c r="D245" s="146">
        <v>76</v>
      </c>
      <c r="E245" s="146">
        <v>74</v>
      </c>
      <c r="F245" s="146" t="s">
        <v>443</v>
      </c>
      <c r="G245" s="146" t="s">
        <v>443</v>
      </c>
      <c r="H245" s="146">
        <v>83</v>
      </c>
      <c r="I245" s="146">
        <v>56</v>
      </c>
      <c r="J245" s="146"/>
      <c r="K245" s="146"/>
      <c r="L245" s="146"/>
      <c r="M245" s="145"/>
      <c r="N245" s="145"/>
      <c r="O245" s="145"/>
      <c r="P245" s="145"/>
      <c r="Q245" s="145"/>
      <c r="R245" s="145"/>
      <c r="S245" s="145"/>
      <c r="T245" s="145"/>
      <c r="U245" s="145"/>
      <c r="V245" s="145"/>
      <c r="W245" s="145"/>
      <c r="X245" s="168"/>
      <c r="Y245" s="168"/>
      <c r="Z245" s="168"/>
      <c r="AA245" s="168"/>
      <c r="AB245" s="168"/>
      <c r="AC245" s="168"/>
      <c r="AD245" s="168"/>
      <c r="AE245" s="168"/>
      <c r="AF245" s="168"/>
      <c r="AG245" s="168"/>
      <c r="AH245" s="168"/>
      <c r="AI245" s="168"/>
      <c r="AJ245" s="168"/>
      <c r="AK245" s="168"/>
      <c r="AL245" s="168"/>
      <c r="AM245" s="168"/>
      <c r="AN245" s="168"/>
      <c r="AX245" s="168"/>
      <c r="BI245" s="168"/>
      <c r="BJ245" s="168"/>
      <c r="BK245" s="168"/>
      <c r="BL245" s="168"/>
      <c r="BM245" s="168"/>
      <c r="BN245" s="168"/>
      <c r="BO245" s="168"/>
      <c r="BP245" s="168"/>
      <c r="BQ245" s="168"/>
      <c r="BR245" s="168"/>
      <c r="BS245" s="168"/>
      <c r="CC245" s="168"/>
      <c r="CN245" s="168"/>
      <c r="CO245" s="203"/>
      <c r="CP245" s="217"/>
      <c r="CQ245" s="169"/>
      <c r="CR245" s="169"/>
      <c r="CS245" s="169"/>
      <c r="CT245" s="169"/>
      <c r="CU245" s="169"/>
      <c r="CV245" s="169"/>
      <c r="CW245" s="169"/>
      <c r="CX245" s="169"/>
      <c r="CY245" s="170"/>
      <c r="CZ245" s="170"/>
      <c r="DA245" s="168"/>
      <c r="DB245" s="168"/>
      <c r="DC245" s="168"/>
      <c r="DD245" s="168"/>
      <c r="DE245" s="168"/>
      <c r="DF245" s="168"/>
      <c r="DG245" s="168"/>
      <c r="DH245" s="168"/>
      <c r="DI245" s="168"/>
      <c r="DJ245" s="168"/>
      <c r="DK245" s="168"/>
      <c r="DL245" s="168"/>
      <c r="DM245" s="168"/>
      <c r="DN245" s="168"/>
      <c r="DO245" s="168"/>
      <c r="DP245" s="168"/>
      <c r="DQ245" s="168"/>
      <c r="DR245" s="168"/>
      <c r="DS245" s="168"/>
      <c r="DT245" s="168"/>
      <c r="DU245" s="168"/>
      <c r="DV245" s="168"/>
      <c r="DW245" s="168"/>
      <c r="DX245" s="168"/>
      <c r="DY245" s="168"/>
      <c r="DZ245" s="168"/>
      <c r="EA245" s="168"/>
      <c r="EB245" s="168"/>
      <c r="EC245" s="169"/>
      <c r="ED245" s="169"/>
      <c r="EE245" s="169"/>
      <c r="EF245" s="169"/>
      <c r="EG245" s="169"/>
      <c r="EH245" s="169"/>
      <c r="EI245" s="169"/>
      <c r="EJ245" s="169"/>
      <c r="EW245" s="168"/>
      <c r="EX245" s="203"/>
      <c r="EY245" s="204"/>
      <c r="FE245" s="170"/>
      <c r="FF245" s="170"/>
      <c r="FG245" s="170"/>
      <c r="FH245" s="170"/>
      <c r="FI245" s="170"/>
      <c r="FJ245" s="168"/>
      <c r="FK245" s="168"/>
      <c r="FL245" s="168"/>
      <c r="FM245" s="168"/>
      <c r="FN245" s="168"/>
      <c r="FO245" s="168"/>
      <c r="FP245" s="168"/>
      <c r="FQ245" s="168"/>
      <c r="FR245" s="168"/>
      <c r="FS245" s="168"/>
      <c r="FT245" s="168"/>
      <c r="FU245" s="168"/>
      <c r="FV245" s="168"/>
      <c r="FW245" s="168"/>
      <c r="FX245" s="168"/>
      <c r="FY245" s="168"/>
      <c r="FZ245" s="168"/>
      <c r="GA245" s="168"/>
      <c r="GB245" s="168"/>
      <c r="GC245" s="168"/>
      <c r="GD245" s="168"/>
      <c r="GE245" s="168"/>
      <c r="GF245" s="168"/>
      <c r="GG245" s="168"/>
      <c r="GH245" s="168"/>
      <c r="GI245" s="168"/>
      <c r="GJ245" s="168"/>
      <c r="GK245" s="168"/>
      <c r="HF245" s="168"/>
      <c r="HG245" s="203"/>
      <c r="HH245" s="204"/>
      <c r="HI245" s="169"/>
      <c r="HJ245" s="169"/>
      <c r="HK245" s="169"/>
      <c r="HL245" s="169"/>
      <c r="HM245" s="169"/>
      <c r="HN245" s="170"/>
      <c r="HO245" s="170"/>
      <c r="HP245" s="170"/>
      <c r="HQ245" s="170"/>
      <c r="HR245" s="170"/>
      <c r="HS245" s="168"/>
      <c r="HT245" s="168"/>
      <c r="HU245" s="168"/>
      <c r="HV245" s="168"/>
      <c r="HW245" s="168"/>
      <c r="HX245" s="168"/>
      <c r="HY245" s="168"/>
      <c r="HZ245" s="168"/>
      <c r="IA245" s="168"/>
      <c r="IB245" s="168"/>
      <c r="IC245" s="168"/>
      <c r="ID245" s="168"/>
      <c r="IE245" s="168"/>
      <c r="IF245" s="168"/>
      <c r="IG245" s="168"/>
      <c r="IH245" s="168"/>
      <c r="II245" s="168"/>
      <c r="IJ245" s="168"/>
      <c r="IK245" s="168"/>
      <c r="IL245" s="168"/>
      <c r="IM245" s="168"/>
      <c r="IN245" s="168"/>
      <c r="IO245" s="168"/>
      <c r="IP245" s="168"/>
      <c r="IQ245" s="168"/>
      <c r="IR245" s="168"/>
      <c r="IS245" s="168"/>
      <c r="IT245" s="168"/>
    </row>
    <row r="246" spans="1:256" s="213" customFormat="1">
      <c r="A246" s="167"/>
      <c r="B246" s="182" t="s">
        <v>66</v>
      </c>
      <c r="C246" s="145">
        <v>86</v>
      </c>
      <c r="D246" s="145">
        <v>68</v>
      </c>
      <c r="E246" s="145">
        <v>83</v>
      </c>
      <c r="F246" s="145"/>
      <c r="G246" s="145"/>
      <c r="H246" s="125">
        <v>71</v>
      </c>
      <c r="I246" s="125">
        <v>59</v>
      </c>
      <c r="J246" s="125"/>
      <c r="K246" s="125"/>
      <c r="L246" s="125"/>
      <c r="M246" s="145"/>
      <c r="N246" s="145"/>
      <c r="O246" s="145"/>
      <c r="P246" s="145"/>
      <c r="Q246" s="145"/>
      <c r="R246" s="145"/>
      <c r="S246" s="145"/>
      <c r="T246" s="145"/>
      <c r="U246" s="145"/>
      <c r="V246" s="145"/>
      <c r="W246" s="145"/>
      <c r="X246" s="168"/>
      <c r="Y246" s="168"/>
      <c r="Z246" s="168"/>
      <c r="AA246" s="168"/>
      <c r="AB246" s="168"/>
      <c r="AC246" s="168"/>
      <c r="AD246" s="168"/>
      <c r="AE246" s="168"/>
      <c r="AF246" s="168"/>
      <c r="AG246" s="168"/>
      <c r="AH246" s="168"/>
      <c r="AI246" s="168"/>
      <c r="AJ246" s="168"/>
      <c r="AK246" s="168"/>
      <c r="AL246" s="168"/>
      <c r="AM246" s="168"/>
      <c r="AN246" s="168"/>
      <c r="AX246" s="168"/>
      <c r="BI246" s="168"/>
      <c r="BJ246" s="168"/>
      <c r="BK246" s="168"/>
      <c r="BL246" s="168"/>
      <c r="CA246" s="168"/>
      <c r="CB246" s="203"/>
      <c r="CC246" s="204"/>
      <c r="CD246" s="169"/>
      <c r="CE246" s="169"/>
      <c r="CF246" s="169"/>
      <c r="CG246" s="169"/>
      <c r="CH246" s="169"/>
      <c r="CI246" s="170"/>
      <c r="CJ246" s="170"/>
      <c r="CK246" s="170"/>
      <c r="CL246" s="170"/>
      <c r="CM246" s="170"/>
      <c r="CN246" s="168"/>
      <c r="CO246" s="168"/>
      <c r="CP246" s="168"/>
      <c r="CQ246" s="168"/>
      <c r="CR246" s="168"/>
      <c r="CS246" s="168"/>
      <c r="CT246" s="168"/>
      <c r="CU246" s="168"/>
      <c r="CV246" s="168"/>
      <c r="CW246" s="168"/>
      <c r="CX246" s="168"/>
      <c r="CY246" s="168"/>
      <c r="CZ246" s="168"/>
      <c r="DA246" s="168"/>
      <c r="DB246" s="168"/>
      <c r="DC246" s="168"/>
      <c r="DD246" s="168"/>
      <c r="DE246" s="168"/>
      <c r="DF246" s="168"/>
      <c r="DG246" s="168"/>
      <c r="DH246" s="168"/>
      <c r="DI246" s="168"/>
      <c r="DJ246" s="168"/>
      <c r="DK246" s="168"/>
      <c r="DL246" s="168"/>
      <c r="DM246" s="168"/>
      <c r="DN246" s="168"/>
      <c r="DO246" s="168"/>
      <c r="EJ246" s="168"/>
      <c r="EK246" s="203"/>
      <c r="EL246" s="204"/>
      <c r="EM246" s="169"/>
      <c r="EN246" s="169"/>
      <c r="EO246" s="169"/>
      <c r="EP246" s="169"/>
      <c r="EQ246" s="169"/>
      <c r="ER246" s="170"/>
      <c r="ES246" s="170"/>
      <c r="ET246" s="170"/>
      <c r="EU246" s="170"/>
      <c r="EV246" s="170"/>
      <c r="EW246" s="168"/>
      <c r="EX246" s="168"/>
      <c r="EY246" s="168"/>
      <c r="EZ246" s="168"/>
      <c r="FA246" s="168"/>
      <c r="FB246" s="168"/>
      <c r="FC246" s="168"/>
      <c r="FD246" s="168"/>
      <c r="FE246" s="168"/>
      <c r="FF246" s="168"/>
      <c r="FG246" s="168"/>
      <c r="FH246" s="168"/>
      <c r="FI246" s="168"/>
      <c r="FJ246" s="168"/>
      <c r="FK246" s="168"/>
      <c r="FL246" s="168"/>
      <c r="FM246" s="168"/>
      <c r="FN246" s="168"/>
      <c r="FO246" s="168"/>
      <c r="FP246" s="168"/>
      <c r="FQ246" s="168"/>
      <c r="FR246" s="168"/>
      <c r="FS246" s="168"/>
      <c r="FT246" s="168"/>
      <c r="FU246" s="168"/>
      <c r="FV246" s="168"/>
      <c r="FW246" s="168"/>
      <c r="FX246" s="168"/>
      <c r="GS246" s="168"/>
      <c r="GT246" s="203"/>
      <c r="GU246" s="204"/>
      <c r="GV246" s="169"/>
      <c r="GW246" s="169"/>
      <c r="GX246" s="169"/>
      <c r="GY246" s="169"/>
      <c r="GZ246" s="169"/>
      <c r="HA246" s="170"/>
      <c r="HB246" s="170"/>
      <c r="HC246" s="170"/>
      <c r="HD246" s="170"/>
      <c r="HE246" s="170"/>
      <c r="HF246" s="168"/>
      <c r="HG246" s="168"/>
      <c r="HH246" s="168"/>
      <c r="HI246" s="168"/>
      <c r="HJ246" s="168"/>
      <c r="HK246" s="168"/>
      <c r="HL246" s="168"/>
      <c r="HM246" s="168"/>
      <c r="HN246" s="168"/>
      <c r="HO246" s="168"/>
      <c r="HP246" s="168"/>
      <c r="HQ246" s="168"/>
      <c r="HR246" s="168"/>
      <c r="HS246" s="168"/>
      <c r="HT246" s="168"/>
      <c r="HU246" s="168"/>
      <c r="HV246" s="168"/>
      <c r="HW246" s="168"/>
      <c r="HX246" s="168"/>
      <c r="HY246" s="168"/>
      <c r="HZ246" s="168"/>
      <c r="IA246" s="168"/>
      <c r="IB246" s="168"/>
      <c r="IC246" s="168"/>
      <c r="ID246" s="168"/>
      <c r="IE246" s="168"/>
      <c r="IF246" s="168"/>
      <c r="IG246" s="168"/>
    </row>
    <row r="247" spans="1:256" s="170" customFormat="1">
      <c r="A247" s="166"/>
      <c r="B247" s="182" t="s">
        <v>158</v>
      </c>
      <c r="C247" s="126">
        <v>83</v>
      </c>
      <c r="D247" s="126">
        <v>73</v>
      </c>
      <c r="E247" s="126">
        <v>80</v>
      </c>
      <c r="F247" s="126" t="s">
        <v>443</v>
      </c>
      <c r="G247" s="126" t="s">
        <v>443</v>
      </c>
      <c r="H247" s="126">
        <v>81</v>
      </c>
      <c r="I247" s="126">
        <v>60</v>
      </c>
      <c r="J247" s="126"/>
      <c r="K247" s="126"/>
      <c r="L247" s="126"/>
      <c r="M247" s="126"/>
      <c r="N247" s="126"/>
      <c r="O247" s="126"/>
      <c r="P247" s="126"/>
      <c r="Q247" s="126"/>
      <c r="R247" s="126"/>
      <c r="S247" s="126"/>
      <c r="T247" s="126"/>
      <c r="U247" s="126"/>
      <c r="V247" s="126"/>
      <c r="W247" s="126"/>
      <c r="X247" s="168"/>
      <c r="Y247" s="168"/>
      <c r="Z247" s="168"/>
      <c r="AA247" s="168"/>
      <c r="AB247" s="168"/>
      <c r="AC247" s="168"/>
      <c r="AD247" s="168"/>
      <c r="AE247" s="168"/>
      <c r="AF247" s="168"/>
      <c r="AG247" s="168"/>
      <c r="AH247" s="168"/>
      <c r="AI247" s="168"/>
      <c r="AJ247" s="168"/>
      <c r="AK247" s="168"/>
      <c r="AL247" s="168"/>
      <c r="AM247" s="168"/>
      <c r="AN247" s="168"/>
      <c r="AO247" s="213"/>
      <c r="AP247" s="213"/>
      <c r="AQ247" s="213"/>
      <c r="AR247" s="213"/>
      <c r="AS247" s="213"/>
      <c r="AT247" s="213"/>
      <c r="AU247" s="213"/>
      <c r="AV247" s="213"/>
      <c r="AW247" s="213"/>
      <c r="AX247" s="168"/>
      <c r="AY247" s="213"/>
      <c r="AZ247" s="213"/>
      <c r="BA247" s="213"/>
      <c r="BB247" s="213"/>
      <c r="BC247" s="213"/>
      <c r="BD247" s="213"/>
      <c r="BE247" s="213"/>
      <c r="BF247" s="213"/>
      <c r="BG247" s="213"/>
      <c r="BH247" s="213"/>
      <c r="BI247" s="168"/>
      <c r="BJ247" s="168"/>
      <c r="BK247" s="168"/>
      <c r="BL247" s="168"/>
      <c r="BM247" s="213"/>
      <c r="BN247" s="168"/>
      <c r="BO247" s="203"/>
      <c r="BP247" s="204"/>
      <c r="BQ247" s="169"/>
      <c r="BR247" s="169"/>
      <c r="BS247" s="169"/>
      <c r="BT247" s="169"/>
      <c r="BU247" s="169"/>
      <c r="CA247" s="168"/>
      <c r="CB247" s="168"/>
      <c r="CC247" s="168"/>
      <c r="CD247" s="168"/>
      <c r="CE247" s="168"/>
      <c r="CF247" s="168"/>
      <c r="CG247" s="168"/>
      <c r="CH247" s="168"/>
      <c r="CI247" s="168"/>
      <c r="CJ247" s="168"/>
      <c r="CK247" s="168"/>
      <c r="CL247" s="168"/>
      <c r="CM247" s="168"/>
      <c r="CN247" s="168"/>
      <c r="CO247" s="168"/>
      <c r="CP247" s="168"/>
      <c r="CQ247" s="168"/>
      <c r="CR247" s="168"/>
      <c r="CS247" s="168"/>
      <c r="CT247" s="168"/>
      <c r="CU247" s="168"/>
      <c r="CV247" s="168"/>
      <c r="CW247" s="168"/>
      <c r="CX247" s="168"/>
      <c r="CY247" s="168"/>
      <c r="CZ247" s="168"/>
      <c r="DA247" s="168"/>
      <c r="DB247" s="168"/>
      <c r="DC247" s="213"/>
      <c r="DD247" s="213"/>
      <c r="DE247" s="213"/>
      <c r="DF247" s="213"/>
      <c r="DG247" s="213"/>
      <c r="DH247" s="213"/>
      <c r="DI247" s="213"/>
      <c r="DJ247" s="213"/>
      <c r="DK247" s="213"/>
      <c r="DL247" s="213"/>
      <c r="DM247" s="213"/>
      <c r="DN247" s="213"/>
      <c r="DO247" s="213"/>
      <c r="DP247" s="213"/>
      <c r="DQ247" s="213"/>
      <c r="DR247" s="213"/>
      <c r="DS247" s="213"/>
      <c r="DT247" s="213"/>
      <c r="DU247" s="213"/>
      <c r="DV247" s="213"/>
      <c r="DW247" s="168"/>
      <c r="DX247" s="203"/>
      <c r="DY247" s="204"/>
      <c r="DZ247" s="169"/>
      <c r="EA247" s="169"/>
      <c r="EB247" s="169"/>
      <c r="EC247" s="169"/>
      <c r="ED247" s="169"/>
      <c r="EJ247" s="168"/>
      <c r="EK247" s="168"/>
      <c r="EL247" s="168"/>
      <c r="EM247" s="168"/>
      <c r="EN247" s="168"/>
      <c r="EO247" s="168"/>
      <c r="EP247" s="168"/>
      <c r="EQ247" s="168"/>
      <c r="ER247" s="168"/>
      <c r="ES247" s="168"/>
      <c r="ET247" s="168"/>
      <c r="EU247" s="168"/>
      <c r="EV247" s="168"/>
      <c r="EW247" s="168"/>
      <c r="EX247" s="168"/>
      <c r="EY247" s="168"/>
      <c r="EZ247" s="168"/>
      <c r="FA247" s="168"/>
      <c r="FB247" s="168"/>
      <c r="FC247" s="168"/>
      <c r="FD247" s="168"/>
      <c r="FE247" s="168"/>
      <c r="FF247" s="168"/>
      <c r="FG247" s="168"/>
      <c r="FH247" s="168"/>
      <c r="FI247" s="168"/>
      <c r="FJ247" s="168"/>
      <c r="FK247" s="168"/>
      <c r="FL247" s="213"/>
      <c r="FM247" s="213"/>
      <c r="FN247" s="213"/>
      <c r="FO247" s="213"/>
      <c r="FP247" s="213"/>
      <c r="FQ247" s="213"/>
      <c r="FR247" s="213"/>
      <c r="FS247" s="213"/>
      <c r="FT247" s="213"/>
      <c r="FU247" s="213"/>
      <c r="FV247" s="213"/>
      <c r="FW247" s="213"/>
      <c r="FX247" s="213"/>
      <c r="FY247" s="213"/>
      <c r="FZ247" s="213"/>
      <c r="GA247" s="213"/>
      <c r="GB247" s="213"/>
      <c r="GC247" s="213"/>
      <c r="GD247" s="213"/>
      <c r="GE247" s="213"/>
      <c r="GF247" s="168"/>
      <c r="GG247" s="203"/>
      <c r="GH247" s="204"/>
      <c r="GI247" s="169"/>
      <c r="GJ247" s="169"/>
      <c r="GK247" s="169"/>
      <c r="GL247" s="169"/>
      <c r="GM247" s="169"/>
      <c r="GS247" s="168"/>
      <c r="GT247" s="168"/>
      <c r="GU247" s="168"/>
      <c r="GV247" s="168"/>
      <c r="GW247" s="168"/>
      <c r="GX247" s="168"/>
      <c r="GY247" s="168"/>
      <c r="GZ247" s="168"/>
      <c r="HA247" s="168"/>
      <c r="HB247" s="168"/>
      <c r="HC247" s="168"/>
      <c r="HD247" s="168"/>
      <c r="HE247" s="168"/>
      <c r="HF247" s="168"/>
      <c r="HG247" s="168"/>
      <c r="HH247" s="168"/>
      <c r="HI247" s="168"/>
      <c r="HJ247" s="168"/>
      <c r="HK247" s="168"/>
      <c r="HL247" s="168"/>
      <c r="HM247" s="168"/>
      <c r="HN247" s="168"/>
      <c r="HO247" s="168"/>
      <c r="HP247" s="168"/>
      <c r="HQ247" s="168"/>
      <c r="HR247" s="168"/>
      <c r="HS247" s="168"/>
      <c r="HT247" s="168"/>
      <c r="HU247" s="213"/>
      <c r="HV247" s="213"/>
      <c r="HW247" s="213"/>
      <c r="HX247" s="213"/>
      <c r="HY247" s="213"/>
      <c r="HZ247" s="213"/>
      <c r="IA247" s="213"/>
      <c r="IB247" s="213"/>
      <c r="IC247" s="213"/>
      <c r="ID247" s="213"/>
      <c r="IE247" s="213"/>
      <c r="IF247" s="213"/>
      <c r="IG247" s="213"/>
      <c r="IH247" s="213"/>
      <c r="II247" s="213"/>
      <c r="IJ247" s="213"/>
      <c r="IK247" s="213"/>
      <c r="IL247" s="213"/>
      <c r="IM247" s="213"/>
      <c r="IN247" s="213"/>
      <c r="IO247" s="168"/>
      <c r="IP247" s="203"/>
      <c r="IQ247" s="204"/>
      <c r="IR247" s="169"/>
      <c r="IS247" s="169"/>
      <c r="IT247" s="169"/>
      <c r="IU247" s="169"/>
      <c r="IV247" s="169"/>
    </row>
    <row r="248" spans="1:256" s="168" customFormat="1">
      <c r="A248" s="143"/>
      <c r="B248" s="182" t="s">
        <v>191</v>
      </c>
      <c r="C248" s="127">
        <v>69</v>
      </c>
      <c r="D248" s="127">
        <v>69</v>
      </c>
      <c r="E248" s="127">
        <v>69</v>
      </c>
      <c r="F248" s="127">
        <v>69</v>
      </c>
      <c r="G248" s="127">
        <v>69</v>
      </c>
      <c r="H248" s="126">
        <v>69</v>
      </c>
      <c r="I248" s="126">
        <v>69</v>
      </c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  <c r="T248" s="126"/>
      <c r="U248" s="126"/>
      <c r="V248" s="126"/>
      <c r="W248" s="126"/>
      <c r="AO248" s="214"/>
      <c r="AP248" s="214"/>
      <c r="AQ248" s="214"/>
      <c r="AR248" s="214"/>
      <c r="AS248" s="214"/>
      <c r="AT248" s="213"/>
      <c r="AU248" s="213"/>
      <c r="AV248" s="213"/>
      <c r="AW248" s="213"/>
      <c r="AY248" s="213"/>
      <c r="AZ248" s="213"/>
      <c r="BA248" s="213"/>
      <c r="BB248" s="213"/>
      <c r="BC248" s="213"/>
      <c r="BD248" s="213"/>
      <c r="BE248" s="213"/>
      <c r="BF248" s="213"/>
      <c r="BG248" s="213"/>
      <c r="BH248" s="213"/>
      <c r="BM248" s="170"/>
      <c r="CP248" s="213"/>
      <c r="CQ248" s="213"/>
      <c r="CR248" s="213"/>
      <c r="CS248" s="213"/>
      <c r="CT248" s="213"/>
      <c r="CU248" s="213"/>
      <c r="CV248" s="213"/>
      <c r="CW248" s="213"/>
      <c r="CX248" s="213"/>
      <c r="CY248" s="213"/>
      <c r="CZ248" s="213"/>
      <c r="DA248" s="213"/>
      <c r="DB248" s="213"/>
      <c r="DC248" s="213"/>
      <c r="DD248" s="213"/>
      <c r="DE248" s="213"/>
      <c r="DF248" s="213"/>
      <c r="DG248" s="213"/>
      <c r="DH248" s="213"/>
      <c r="DI248" s="213"/>
      <c r="DJ248" s="213"/>
      <c r="DL248" s="203"/>
      <c r="DM248" s="204"/>
      <c r="DN248" s="169"/>
      <c r="DO248" s="169"/>
      <c r="DP248" s="169"/>
      <c r="DQ248" s="169"/>
      <c r="DR248" s="169"/>
      <c r="DS248" s="170"/>
      <c r="DT248" s="170"/>
      <c r="DU248" s="170"/>
      <c r="DV248" s="170"/>
      <c r="DW248" s="170"/>
      <c r="EZ248" s="213"/>
      <c r="FA248" s="213"/>
      <c r="FB248" s="213"/>
      <c r="FC248" s="213"/>
      <c r="FD248" s="213"/>
      <c r="FE248" s="213"/>
      <c r="FF248" s="213"/>
      <c r="FG248" s="213"/>
      <c r="FH248" s="213"/>
      <c r="FI248" s="213"/>
      <c r="FJ248" s="213"/>
      <c r="FK248" s="213"/>
      <c r="FL248" s="213"/>
      <c r="FM248" s="213"/>
      <c r="FN248" s="213"/>
      <c r="FO248" s="213"/>
      <c r="FP248" s="213"/>
      <c r="FQ248" s="213"/>
      <c r="FR248" s="213"/>
      <c r="FS248" s="213"/>
      <c r="FT248" s="213"/>
      <c r="FV248" s="203"/>
      <c r="FW248" s="204"/>
      <c r="FX248" s="169"/>
      <c r="FY248" s="169"/>
      <c r="FZ248" s="169"/>
      <c r="GA248" s="169"/>
      <c r="GB248" s="169"/>
      <c r="GC248" s="170"/>
      <c r="GD248" s="170"/>
      <c r="GE248" s="170"/>
      <c r="GF248" s="170"/>
      <c r="GG248" s="170"/>
      <c r="HJ248" s="213"/>
      <c r="HK248" s="213"/>
      <c r="HL248" s="213"/>
      <c r="HM248" s="213"/>
      <c r="HN248" s="213"/>
      <c r="HO248" s="213"/>
      <c r="HP248" s="213"/>
      <c r="HQ248" s="213"/>
      <c r="HR248" s="213"/>
      <c r="HS248" s="213"/>
      <c r="HT248" s="213"/>
      <c r="HU248" s="213"/>
      <c r="HV248" s="213"/>
      <c r="HW248" s="213"/>
      <c r="HX248" s="213"/>
      <c r="HY248" s="213"/>
      <c r="HZ248" s="213"/>
      <c r="IA248" s="213"/>
      <c r="IB248" s="213"/>
      <c r="IC248" s="213"/>
      <c r="ID248" s="213"/>
      <c r="IF248" s="203"/>
      <c r="IG248" s="204"/>
      <c r="IH248" s="169"/>
      <c r="II248" s="169"/>
      <c r="IJ248" s="169"/>
      <c r="IK248" s="169"/>
      <c r="IL248" s="169"/>
      <c r="IM248" s="170"/>
      <c r="IN248" s="170"/>
      <c r="IO248" s="170"/>
      <c r="IP248" s="170"/>
      <c r="IQ248" s="170"/>
    </row>
    <row r="249" spans="1:256" s="210" customFormat="1" ht="15" thickBot="1">
      <c r="A249" s="179"/>
      <c r="B249" s="182" t="s">
        <v>442</v>
      </c>
      <c r="C249" s="126">
        <v>22</v>
      </c>
      <c r="D249" s="315">
        <v>157</v>
      </c>
      <c r="E249" s="315">
        <v>41</v>
      </c>
      <c r="F249" s="315">
        <v>5</v>
      </c>
      <c r="G249" s="315">
        <v>4</v>
      </c>
      <c r="H249" s="315">
        <v>7</v>
      </c>
      <c r="I249" s="315">
        <v>17</v>
      </c>
      <c r="J249" s="315"/>
      <c r="K249" s="315"/>
      <c r="L249" s="315"/>
      <c r="M249" s="126"/>
      <c r="N249" s="126"/>
      <c r="O249" s="126"/>
      <c r="P249" s="126"/>
      <c r="Q249" s="126"/>
      <c r="R249" s="126"/>
      <c r="S249" s="126"/>
      <c r="T249" s="126"/>
      <c r="U249" s="126"/>
      <c r="V249" s="126"/>
      <c r="W249" s="126"/>
      <c r="X249" s="168"/>
      <c r="Y249" s="168"/>
      <c r="Z249" s="168"/>
      <c r="AA249" s="168"/>
      <c r="AB249" s="168"/>
      <c r="AC249" s="168"/>
      <c r="AD249" s="168"/>
      <c r="AE249" s="168"/>
      <c r="AF249" s="168"/>
      <c r="AG249" s="168"/>
      <c r="AH249" s="168"/>
      <c r="AI249" s="168"/>
      <c r="AJ249" s="168"/>
      <c r="AK249" s="168"/>
      <c r="AL249" s="168"/>
      <c r="AM249" s="168"/>
      <c r="AN249" s="168"/>
      <c r="AO249" s="213"/>
      <c r="AP249" s="213"/>
      <c r="AQ249" s="213"/>
      <c r="AR249" s="213"/>
      <c r="AS249" s="213"/>
      <c r="AT249" s="213"/>
      <c r="AU249" s="213"/>
      <c r="AV249" s="213"/>
      <c r="AW249" s="213"/>
      <c r="AX249" s="168"/>
      <c r="AY249" s="213"/>
      <c r="AZ249" s="213"/>
      <c r="BA249" s="213"/>
      <c r="BB249" s="213"/>
      <c r="BC249" s="213"/>
      <c r="BD249" s="213"/>
      <c r="BE249" s="213"/>
      <c r="BF249" s="213"/>
      <c r="BG249" s="213"/>
      <c r="BH249" s="213"/>
      <c r="BI249" s="168"/>
      <c r="BJ249" s="168"/>
      <c r="BK249" s="168"/>
      <c r="BL249" s="168"/>
      <c r="BM249" s="168"/>
      <c r="BN249" s="168"/>
      <c r="BO249" s="168"/>
      <c r="BP249" s="168"/>
      <c r="BQ249" s="168"/>
      <c r="BR249" s="168"/>
      <c r="BS249" s="168"/>
      <c r="BT249" s="168"/>
      <c r="BU249" s="168"/>
      <c r="BV249" s="168"/>
      <c r="BW249" s="168"/>
      <c r="BX249" s="168"/>
      <c r="BY249" s="168"/>
      <c r="BZ249" s="168"/>
      <c r="CA249" s="168"/>
      <c r="CB249" s="168"/>
      <c r="CC249" s="168"/>
      <c r="CD249" s="168"/>
      <c r="CE249" s="168"/>
      <c r="CF249" s="168"/>
      <c r="CG249" s="213"/>
      <c r="CH249" s="213"/>
      <c r="CI249" s="213"/>
      <c r="CJ249" s="213"/>
      <c r="CK249" s="213"/>
      <c r="CL249" s="213"/>
      <c r="CM249" s="213"/>
      <c r="CN249" s="213"/>
      <c r="CO249" s="213"/>
      <c r="CP249" s="213"/>
      <c r="CQ249" s="213"/>
      <c r="CR249" s="213"/>
      <c r="CS249" s="213"/>
      <c r="CT249" s="213"/>
      <c r="CU249" s="213"/>
      <c r="CV249" s="213"/>
      <c r="CW249" s="213"/>
      <c r="CX249" s="213"/>
      <c r="CY249" s="213"/>
      <c r="CZ249" s="213"/>
      <c r="DA249" s="213"/>
      <c r="DB249" s="168"/>
      <c r="DC249" s="203"/>
      <c r="DD249" s="204"/>
      <c r="DE249" s="169"/>
      <c r="DF249" s="169"/>
      <c r="DG249" s="169"/>
      <c r="DH249" s="169"/>
      <c r="DI249" s="169"/>
      <c r="DJ249" s="170"/>
      <c r="DK249" s="170"/>
      <c r="DL249" s="170"/>
      <c r="DM249" s="170"/>
      <c r="DN249" s="170"/>
      <c r="DO249" s="168"/>
      <c r="DP249" s="168"/>
      <c r="DQ249" s="168"/>
      <c r="DR249" s="168"/>
      <c r="DS249" s="168"/>
      <c r="DT249" s="168"/>
      <c r="DU249" s="168"/>
      <c r="DV249" s="168"/>
      <c r="DW249" s="168"/>
      <c r="DX249" s="168"/>
      <c r="DY249" s="168"/>
      <c r="DZ249" s="168"/>
      <c r="EA249" s="168"/>
      <c r="EB249" s="168"/>
      <c r="EC249" s="168"/>
      <c r="ED249" s="168"/>
      <c r="EE249" s="168"/>
      <c r="EF249" s="168"/>
      <c r="EG249" s="168"/>
      <c r="EH249" s="168"/>
      <c r="EI249" s="168"/>
      <c r="EJ249" s="168"/>
      <c r="EK249" s="168"/>
      <c r="EL249" s="168"/>
      <c r="EM249" s="168"/>
      <c r="EN249" s="168"/>
      <c r="EO249" s="168"/>
      <c r="EP249" s="168"/>
      <c r="EQ249" s="213"/>
      <c r="ER249" s="213"/>
      <c r="ES249" s="213"/>
      <c r="ET249" s="213"/>
      <c r="EU249" s="213"/>
      <c r="EV249" s="213"/>
      <c r="EW249" s="213"/>
      <c r="EX249" s="213"/>
      <c r="EY249" s="213"/>
      <c r="EZ249" s="213"/>
      <c r="FA249" s="213"/>
      <c r="FB249" s="213"/>
      <c r="FC249" s="213"/>
      <c r="FD249" s="213"/>
      <c r="FE249" s="213"/>
      <c r="FF249" s="213"/>
      <c r="FG249" s="213"/>
      <c r="FH249" s="213"/>
      <c r="FI249" s="213"/>
      <c r="FJ249" s="213"/>
      <c r="FK249" s="213"/>
      <c r="FL249" s="168"/>
      <c r="FM249" s="205"/>
      <c r="FN249" s="204"/>
      <c r="FO249" s="173"/>
      <c r="FP249" s="173"/>
      <c r="FQ249" s="173"/>
      <c r="FR249" s="173"/>
      <c r="FS249" s="173"/>
      <c r="FT249" s="173"/>
      <c r="FU249" s="173"/>
      <c r="FV249" s="173"/>
      <c r="FW249" s="173"/>
      <c r="FX249" s="173"/>
      <c r="FY249" s="173"/>
      <c r="FZ249" s="212"/>
      <c r="GA249" s="212"/>
      <c r="GB249" s="212"/>
      <c r="GC249" s="212"/>
      <c r="GD249" s="212"/>
      <c r="GE249" s="212"/>
      <c r="GF249" s="212"/>
      <c r="GG249" s="212"/>
      <c r="GH249" s="212"/>
      <c r="GI249" s="212"/>
      <c r="GJ249" s="212"/>
      <c r="GK249" s="212"/>
      <c r="GL249" s="212"/>
      <c r="GM249" s="212"/>
      <c r="GN249" s="212"/>
      <c r="GO249" s="212"/>
      <c r="GP249" s="212"/>
      <c r="GQ249" s="212"/>
      <c r="GR249" s="212"/>
      <c r="GS249" s="212"/>
      <c r="GT249" s="212"/>
      <c r="GU249" s="212"/>
      <c r="GV249" s="212"/>
      <c r="GW249" s="212"/>
      <c r="GX249" s="212"/>
      <c r="GY249" s="212"/>
      <c r="GZ249" s="212"/>
      <c r="HA249" s="215"/>
      <c r="HB249" s="215"/>
      <c r="HC249" s="215"/>
      <c r="HD249" s="215"/>
      <c r="HE249" s="215"/>
      <c r="HF249" s="215"/>
      <c r="HG249" s="215"/>
      <c r="HH249" s="215"/>
      <c r="HI249" s="215"/>
      <c r="HJ249" s="215"/>
      <c r="HK249" s="215"/>
      <c r="HL249" s="215"/>
      <c r="HM249" s="215"/>
      <c r="HN249" s="215"/>
      <c r="HO249" s="215"/>
      <c r="HP249" s="215"/>
      <c r="HQ249" s="215"/>
      <c r="HR249" s="215"/>
      <c r="HS249" s="215"/>
      <c r="HT249" s="215"/>
      <c r="HU249" s="215"/>
      <c r="HV249" s="212"/>
      <c r="HW249" s="206"/>
      <c r="HX249" s="207"/>
      <c r="HY249" s="208"/>
      <c r="HZ249" s="208"/>
      <c r="IA249" s="208"/>
      <c r="IB249" s="208"/>
      <c r="IC249" s="208"/>
      <c r="ID249" s="208"/>
      <c r="IE249" s="208"/>
      <c r="IF249" s="208"/>
      <c r="IG249" s="209"/>
      <c r="IH249" s="209"/>
    </row>
    <row r="250" spans="1:256" s="168" customFormat="1">
      <c r="A250" s="143"/>
      <c r="B250" s="338" t="s">
        <v>166</v>
      </c>
      <c r="C250" s="316">
        <f>IF(OR(C253="**",C253=""),"",VALUE(C253))</f>
        <v>88</v>
      </c>
      <c r="D250" s="316">
        <f t="shared" ref="D250:J250" si="22">IF(OR(D253="**",D253=""),"",VALUE(D253))</f>
        <v>81</v>
      </c>
      <c r="E250" s="316">
        <f t="shared" si="22"/>
        <v>76</v>
      </c>
      <c r="F250" s="316" t="str">
        <f t="shared" si="22"/>
        <v/>
      </c>
      <c r="G250" s="316" t="str">
        <f t="shared" si="22"/>
        <v/>
      </c>
      <c r="H250" s="316">
        <f t="shared" si="22"/>
        <v>89</v>
      </c>
      <c r="I250" s="316">
        <f t="shared" si="22"/>
        <v>77</v>
      </c>
      <c r="J250" s="316" t="str">
        <f t="shared" si="22"/>
        <v/>
      </c>
      <c r="K250" s="316"/>
      <c r="L250" s="316"/>
      <c r="M250" s="126"/>
      <c r="N250" s="126"/>
      <c r="O250" s="126"/>
      <c r="P250" s="126"/>
      <c r="Q250" s="126"/>
      <c r="R250" s="126"/>
      <c r="S250" s="126"/>
      <c r="T250" s="126"/>
      <c r="U250" s="126"/>
      <c r="V250" s="126"/>
      <c r="W250" s="126"/>
      <c r="AO250" s="213"/>
      <c r="AP250" s="213"/>
      <c r="AQ250" s="213"/>
      <c r="AR250" s="213"/>
      <c r="AS250" s="213"/>
      <c r="AT250" s="213"/>
      <c r="AU250" s="213"/>
      <c r="AV250" s="213"/>
      <c r="AW250" s="213"/>
      <c r="AY250" s="213"/>
      <c r="AZ250" s="213"/>
      <c r="BA250" s="213"/>
      <c r="BB250" s="213"/>
      <c r="BC250" s="213"/>
      <c r="BD250" s="213"/>
      <c r="BE250" s="213"/>
      <c r="BF250" s="213"/>
      <c r="BG250" s="213"/>
      <c r="BH250" s="213"/>
      <c r="BX250" s="213"/>
      <c r="BY250" s="213"/>
      <c r="BZ250" s="213"/>
      <c r="CA250" s="213"/>
      <c r="CB250" s="213"/>
      <c r="CC250" s="213"/>
      <c r="CD250" s="213"/>
      <c r="CE250" s="213"/>
      <c r="CF250" s="213"/>
      <c r="CH250" s="213"/>
      <c r="CI250" s="213"/>
      <c r="CJ250" s="213"/>
      <c r="CK250" s="213"/>
      <c r="CL250" s="213"/>
      <c r="CM250" s="213"/>
      <c r="CN250" s="213"/>
      <c r="CO250" s="213"/>
      <c r="CP250" s="213"/>
      <c r="CQ250" s="213"/>
      <c r="CR250" s="213"/>
      <c r="CT250" s="203"/>
      <c r="CU250" s="182"/>
      <c r="CV250" s="145"/>
      <c r="CW250" s="145"/>
      <c r="CX250" s="145"/>
      <c r="CY250" s="145"/>
      <c r="CZ250" s="145"/>
      <c r="DA250" s="145"/>
      <c r="DB250" s="145"/>
      <c r="DC250" s="145"/>
      <c r="DD250" s="170"/>
      <c r="DE250" s="170"/>
      <c r="EH250" s="213"/>
      <c r="EI250" s="213"/>
      <c r="EJ250" s="213"/>
      <c r="EK250" s="213"/>
      <c r="EL250" s="213"/>
      <c r="EM250" s="213"/>
      <c r="EN250" s="213"/>
      <c r="EO250" s="213"/>
      <c r="EP250" s="213"/>
      <c r="ER250" s="213"/>
      <c r="ES250" s="213"/>
      <c r="ET250" s="213"/>
      <c r="EU250" s="213"/>
      <c r="EV250" s="213"/>
      <c r="EW250" s="213"/>
      <c r="EX250" s="213"/>
      <c r="EY250" s="213"/>
      <c r="EZ250" s="213"/>
      <c r="FA250" s="213"/>
      <c r="FB250" s="213"/>
      <c r="FD250" s="203"/>
      <c r="FE250" s="182"/>
      <c r="FF250" s="145"/>
      <c r="FG250" s="145"/>
      <c r="FH250" s="145"/>
      <c r="FI250" s="145"/>
      <c r="FJ250" s="145"/>
      <c r="FK250" s="145"/>
      <c r="FL250" s="145"/>
      <c r="FM250" s="145"/>
      <c r="FN250" s="170"/>
      <c r="FO250" s="170"/>
      <c r="GR250" s="213"/>
      <c r="GS250" s="213"/>
      <c r="GT250" s="213"/>
      <c r="GU250" s="213"/>
      <c r="GV250" s="213"/>
      <c r="GW250" s="213"/>
      <c r="GX250" s="213"/>
      <c r="GY250" s="213"/>
      <c r="GZ250" s="213"/>
      <c r="HB250" s="213"/>
      <c r="HC250" s="213"/>
      <c r="HD250" s="213"/>
      <c r="HE250" s="213"/>
      <c r="HF250" s="213"/>
      <c r="HG250" s="213"/>
      <c r="HH250" s="213"/>
      <c r="HI250" s="213"/>
      <c r="HJ250" s="213"/>
      <c r="HK250" s="213"/>
      <c r="HL250" s="213"/>
      <c r="HN250" s="203"/>
      <c r="HO250" s="182"/>
      <c r="HP250" s="145"/>
      <c r="HQ250" s="145"/>
      <c r="HR250" s="145"/>
      <c r="HS250" s="145"/>
      <c r="HT250" s="145"/>
      <c r="HU250" s="145"/>
      <c r="HV250" s="145"/>
      <c r="HW250" s="145"/>
      <c r="HX250" s="170"/>
      <c r="HY250" s="170"/>
    </row>
    <row r="251" spans="1:256" s="214" customFormat="1" ht="15" thickBot="1">
      <c r="A251" s="185"/>
      <c r="B251" s="339" t="s">
        <v>165</v>
      </c>
      <c r="C251" s="317">
        <f t="shared" ref="C251:J251" si="23">IF(OR(C247="**",C247=""),"",VALUE(C247))</f>
        <v>83</v>
      </c>
      <c r="D251" s="317">
        <f t="shared" si="23"/>
        <v>73</v>
      </c>
      <c r="E251" s="317">
        <f t="shared" si="23"/>
        <v>80</v>
      </c>
      <c r="F251" s="317" t="str">
        <f t="shared" si="23"/>
        <v/>
      </c>
      <c r="G251" s="317" t="str">
        <f t="shared" si="23"/>
        <v/>
      </c>
      <c r="H251" s="317">
        <f t="shared" si="23"/>
        <v>81</v>
      </c>
      <c r="I251" s="317">
        <f t="shared" si="23"/>
        <v>60</v>
      </c>
      <c r="J251" s="317" t="str">
        <f t="shared" si="23"/>
        <v/>
      </c>
      <c r="K251" s="317"/>
      <c r="L251" s="317"/>
      <c r="M251" s="169"/>
      <c r="N251" s="169"/>
      <c r="O251" s="169"/>
      <c r="P251" s="169"/>
      <c r="Q251" s="169"/>
      <c r="R251" s="169"/>
      <c r="S251" s="169"/>
      <c r="T251" s="169"/>
      <c r="U251" s="169"/>
      <c r="V251" s="169"/>
      <c r="W251" s="169"/>
      <c r="X251" s="168"/>
      <c r="Y251" s="168"/>
      <c r="Z251" s="168"/>
      <c r="AA251" s="168"/>
      <c r="AB251" s="168"/>
      <c r="AC251" s="168"/>
      <c r="AD251" s="168"/>
      <c r="AE251" s="168"/>
      <c r="AF251" s="168"/>
      <c r="AG251" s="168"/>
      <c r="AH251" s="168"/>
      <c r="AI251" s="168"/>
      <c r="AJ251" s="168"/>
      <c r="AK251" s="168"/>
      <c r="AL251" s="168"/>
      <c r="AM251" s="168"/>
      <c r="AN251" s="168"/>
      <c r="AO251" s="169"/>
      <c r="AP251" s="169"/>
      <c r="AQ251" s="169"/>
      <c r="AR251" s="169"/>
      <c r="AS251" s="169"/>
      <c r="AT251" s="169"/>
      <c r="AU251" s="169"/>
      <c r="AV251" s="169"/>
      <c r="AW251" s="213"/>
      <c r="AX251" s="213"/>
      <c r="AY251" s="213"/>
      <c r="AZ251" s="213"/>
      <c r="BA251" s="213"/>
      <c r="BB251" s="213"/>
      <c r="BC251" s="213"/>
      <c r="BD251" s="213"/>
      <c r="BE251" s="213"/>
      <c r="BF251" s="213"/>
      <c r="BG251" s="213"/>
      <c r="BH251" s="213"/>
      <c r="BI251" s="168"/>
      <c r="BJ251" s="168"/>
      <c r="BK251" s="168"/>
      <c r="BL251" s="168"/>
      <c r="BM251" s="168"/>
      <c r="BN251" s="168"/>
      <c r="BO251" s="213"/>
      <c r="BP251" s="213"/>
      <c r="BQ251" s="213"/>
      <c r="BR251" s="213"/>
      <c r="BS251" s="213"/>
      <c r="BT251" s="213"/>
      <c r="BU251" s="213"/>
      <c r="BV251" s="213"/>
      <c r="BW251" s="213"/>
      <c r="BX251" s="168"/>
      <c r="BY251" s="213"/>
      <c r="BZ251" s="213"/>
      <c r="CA251" s="213"/>
      <c r="CB251" s="213"/>
      <c r="CC251" s="213"/>
      <c r="CD251" s="213"/>
      <c r="CE251" s="213"/>
      <c r="CF251" s="213"/>
      <c r="CG251" s="213"/>
      <c r="CH251" s="213"/>
      <c r="CI251" s="213"/>
      <c r="CJ251" s="168"/>
      <c r="CK251" s="203"/>
      <c r="CL251" s="182"/>
      <c r="CM251" s="145"/>
      <c r="CN251" s="145"/>
      <c r="CO251" s="145"/>
      <c r="CP251" s="145"/>
      <c r="CQ251" s="145"/>
      <c r="CR251" s="145"/>
      <c r="CS251" s="145"/>
      <c r="CT251" s="145"/>
      <c r="CU251" s="170"/>
      <c r="CV251" s="170"/>
      <c r="CW251" s="168"/>
      <c r="CX251" s="168"/>
      <c r="CY251" s="168"/>
      <c r="CZ251" s="168"/>
      <c r="DA251" s="168"/>
      <c r="DB251" s="168"/>
      <c r="DC251" s="168"/>
      <c r="DD251" s="168"/>
      <c r="DE251" s="168"/>
      <c r="DF251" s="168"/>
      <c r="DG251" s="168"/>
      <c r="DH251" s="168"/>
      <c r="DI251" s="168"/>
      <c r="DJ251" s="168"/>
      <c r="DK251" s="168"/>
      <c r="DL251" s="168"/>
      <c r="DM251" s="168"/>
      <c r="DN251" s="168"/>
      <c r="DO251" s="168"/>
      <c r="DP251" s="168"/>
      <c r="DQ251" s="168"/>
      <c r="DR251" s="168"/>
      <c r="DS251" s="168"/>
      <c r="DT251" s="168"/>
      <c r="DU251" s="168"/>
      <c r="DV251" s="168"/>
      <c r="DW251" s="168"/>
      <c r="DX251" s="213"/>
      <c r="DY251" s="213"/>
      <c r="DZ251" s="213"/>
      <c r="EA251" s="213"/>
      <c r="EB251" s="213"/>
      <c r="EC251" s="213"/>
      <c r="ED251" s="213"/>
      <c r="EE251" s="213"/>
      <c r="EF251" s="213"/>
      <c r="EG251" s="213"/>
      <c r="EH251" s="168"/>
      <c r="EI251" s="213"/>
      <c r="EJ251" s="213"/>
      <c r="EK251" s="213"/>
      <c r="EL251" s="213"/>
      <c r="EM251" s="213"/>
      <c r="EN251" s="213"/>
      <c r="EO251" s="213"/>
      <c r="EP251" s="213"/>
      <c r="EQ251" s="213"/>
      <c r="ER251" s="213"/>
      <c r="ES251" s="213"/>
      <c r="ET251" s="168"/>
      <c r="EU251" s="203"/>
      <c r="EV251" s="182"/>
      <c r="EW251" s="126"/>
      <c r="EX251" s="126"/>
      <c r="EY251" s="126"/>
      <c r="EZ251" s="126"/>
      <c r="FA251" s="126"/>
      <c r="FB251" s="126"/>
      <c r="FC251" s="126"/>
      <c r="FD251" s="126"/>
      <c r="FE251" s="170"/>
      <c r="FF251" s="170"/>
      <c r="FG251" s="168"/>
      <c r="FH251" s="168"/>
      <c r="FI251" s="168"/>
      <c r="FJ251" s="168"/>
      <c r="FK251" s="168"/>
      <c r="FL251" s="168"/>
      <c r="FM251" s="168"/>
      <c r="FN251" s="168"/>
      <c r="FO251" s="168"/>
      <c r="FP251" s="168"/>
      <c r="FQ251" s="168"/>
      <c r="FR251" s="168"/>
      <c r="FS251" s="168"/>
      <c r="FT251" s="168"/>
      <c r="FU251" s="168"/>
      <c r="FV251" s="168"/>
      <c r="FW251" s="168"/>
      <c r="FX251" s="168"/>
      <c r="FY251" s="168"/>
      <c r="FZ251" s="168"/>
      <c r="GA251" s="168"/>
      <c r="GB251" s="168"/>
      <c r="GC251" s="168"/>
      <c r="GD251" s="168"/>
      <c r="GE251" s="168"/>
      <c r="GF251" s="168"/>
      <c r="GG251" s="168"/>
      <c r="GH251" s="168"/>
      <c r="GI251" s="213"/>
      <c r="GJ251" s="213"/>
      <c r="GK251" s="213"/>
      <c r="GL251" s="213"/>
      <c r="GM251" s="213"/>
      <c r="GN251" s="213"/>
      <c r="GO251" s="213"/>
      <c r="GP251" s="213"/>
      <c r="GQ251" s="213"/>
      <c r="GR251" s="168"/>
      <c r="GS251" s="213"/>
      <c r="GT251" s="213"/>
      <c r="GU251" s="213"/>
      <c r="GV251" s="213"/>
      <c r="GW251" s="213"/>
      <c r="GX251" s="213"/>
      <c r="GY251" s="213"/>
      <c r="GZ251" s="213"/>
      <c r="HA251" s="213"/>
      <c r="HB251" s="213"/>
      <c r="HC251" s="213"/>
      <c r="HD251" s="168"/>
      <c r="HE251" s="203"/>
      <c r="HF251" s="182"/>
      <c r="HG251" s="127"/>
      <c r="HH251" s="127"/>
      <c r="HI251" s="127"/>
      <c r="HJ251" s="127"/>
      <c r="HK251" s="127"/>
      <c r="HL251" s="126"/>
      <c r="HM251" s="126"/>
      <c r="HN251" s="126"/>
      <c r="HO251" s="170"/>
      <c r="HP251" s="170"/>
      <c r="HQ251" s="168"/>
      <c r="HR251" s="168"/>
      <c r="HS251" s="168"/>
      <c r="HT251" s="168"/>
      <c r="HU251" s="168"/>
      <c r="HV251" s="168"/>
      <c r="HW251" s="168"/>
      <c r="HX251" s="168"/>
      <c r="HY251" s="168"/>
      <c r="HZ251" s="168"/>
      <c r="IA251" s="168"/>
      <c r="IB251" s="168"/>
      <c r="IC251" s="168"/>
      <c r="ID251" s="168"/>
      <c r="IE251" s="168"/>
      <c r="IF251" s="168"/>
      <c r="IG251" s="168"/>
      <c r="IH251" s="168"/>
      <c r="II251" s="168"/>
      <c r="IJ251" s="168"/>
      <c r="IK251" s="168"/>
      <c r="IL251" s="168"/>
      <c r="IM251" s="168"/>
      <c r="IN251" s="168"/>
      <c r="IO251" s="168"/>
      <c r="IP251" s="168"/>
      <c r="IQ251" s="168"/>
      <c r="IR251" s="168"/>
    </row>
    <row r="252" spans="1:256" s="213" customFormat="1">
      <c r="A252" s="167"/>
      <c r="B252" s="340" t="s">
        <v>483</v>
      </c>
      <c r="C252" s="167" t="s">
        <v>824</v>
      </c>
      <c r="D252" s="167" t="s">
        <v>764</v>
      </c>
      <c r="E252" s="167" t="s">
        <v>766</v>
      </c>
      <c r="F252" s="167" t="s">
        <v>825</v>
      </c>
      <c r="G252" s="167" t="s">
        <v>765</v>
      </c>
      <c r="H252" s="166" t="s">
        <v>782</v>
      </c>
      <c r="I252" s="166" t="s">
        <v>767</v>
      </c>
      <c r="J252" s="166"/>
      <c r="K252" s="166"/>
      <c r="L252" s="166"/>
      <c r="X252" s="126"/>
      <c r="Y252" s="126"/>
      <c r="Z252" s="126"/>
      <c r="AA252" s="126"/>
      <c r="AB252" s="170"/>
      <c r="AC252" s="170"/>
      <c r="AD252" s="168"/>
      <c r="AE252" s="168"/>
      <c r="AF252" s="168"/>
      <c r="AG252" s="168"/>
      <c r="AH252" s="168"/>
      <c r="AI252" s="168"/>
      <c r="AJ252" s="168"/>
      <c r="AK252" s="168"/>
      <c r="AL252" s="168"/>
      <c r="AM252" s="168"/>
      <c r="AN252" s="168"/>
      <c r="AO252" s="168"/>
      <c r="AP252" s="168"/>
      <c r="AQ252" s="168"/>
      <c r="AR252" s="168"/>
      <c r="AS252" s="168"/>
      <c r="AT252" s="168"/>
      <c r="AU252" s="168"/>
      <c r="AV252" s="168"/>
      <c r="AW252" s="168"/>
      <c r="AX252" s="168"/>
      <c r="AY252" s="168"/>
      <c r="AZ252" s="168"/>
      <c r="BA252" s="168"/>
      <c r="BB252" s="168"/>
      <c r="BC252" s="168"/>
      <c r="BD252" s="168"/>
      <c r="BE252" s="168"/>
      <c r="BO252" s="168"/>
      <c r="BZ252" s="168"/>
      <c r="CA252" s="203"/>
      <c r="CB252" s="182"/>
      <c r="CC252" s="126"/>
      <c r="CD252" s="126"/>
      <c r="CE252" s="126"/>
      <c r="CF252" s="126"/>
      <c r="CG252" s="126"/>
      <c r="CH252" s="126"/>
      <c r="CI252" s="126"/>
      <c r="CJ252" s="126"/>
      <c r="CK252" s="170"/>
      <c r="CL252" s="170"/>
      <c r="CM252" s="168"/>
      <c r="CN252" s="168"/>
      <c r="CO252" s="168"/>
      <c r="CP252" s="168"/>
      <c r="CQ252" s="168"/>
      <c r="CR252" s="168"/>
      <c r="CS252" s="168"/>
      <c r="CT252" s="168"/>
      <c r="CU252" s="168"/>
      <c r="CV252" s="168"/>
      <c r="CW252" s="168"/>
      <c r="CX252" s="168"/>
      <c r="CY252" s="168"/>
      <c r="CZ252" s="168"/>
      <c r="DA252" s="168"/>
      <c r="DB252" s="168"/>
      <c r="DC252" s="168"/>
      <c r="DD252" s="168"/>
      <c r="DE252" s="168"/>
      <c r="DF252" s="168"/>
      <c r="DG252" s="168"/>
      <c r="DH252" s="168"/>
      <c r="DI252" s="168"/>
      <c r="DJ252" s="168"/>
      <c r="DK252" s="168"/>
      <c r="DL252" s="168"/>
      <c r="DM252" s="168"/>
      <c r="DN252" s="168"/>
      <c r="DX252" s="168"/>
      <c r="EI252" s="168"/>
      <c r="EJ252" s="203"/>
      <c r="EK252" s="217"/>
      <c r="EL252" s="169"/>
      <c r="EM252" s="169"/>
      <c r="EN252" s="169"/>
      <c r="EO252" s="169"/>
      <c r="EP252" s="169"/>
      <c r="EQ252" s="169"/>
      <c r="ER252" s="169"/>
      <c r="ES252" s="169"/>
      <c r="ET252" s="170"/>
      <c r="EU252" s="170"/>
      <c r="EV252" s="168"/>
      <c r="EW252" s="168"/>
      <c r="EX252" s="168"/>
      <c r="EY252" s="168"/>
      <c r="EZ252" s="168"/>
      <c r="FA252" s="168"/>
      <c r="FB252" s="168"/>
      <c r="FC252" s="168"/>
      <c r="FD252" s="168"/>
      <c r="FE252" s="168"/>
      <c r="FF252" s="168"/>
      <c r="FG252" s="168"/>
      <c r="FH252" s="168"/>
      <c r="FI252" s="168"/>
      <c r="FJ252" s="168"/>
      <c r="FK252" s="168"/>
      <c r="FL252" s="168"/>
      <c r="FM252" s="168"/>
      <c r="FN252" s="168"/>
      <c r="FO252" s="168"/>
      <c r="FP252" s="168"/>
      <c r="FQ252" s="168"/>
      <c r="FR252" s="168"/>
      <c r="FS252" s="168"/>
      <c r="FT252" s="168"/>
      <c r="FU252" s="168"/>
      <c r="FV252" s="168"/>
      <c r="FW252" s="168"/>
      <c r="FX252" s="169"/>
      <c r="FY252" s="169"/>
      <c r="FZ252" s="169"/>
      <c r="GA252" s="169"/>
      <c r="GB252" s="169"/>
      <c r="GC252" s="169"/>
      <c r="GD252" s="169"/>
      <c r="GE252" s="169"/>
      <c r="GR252" s="168"/>
      <c r="GS252" s="203"/>
      <c r="GT252" s="204"/>
      <c r="GZ252" s="170"/>
      <c r="HA252" s="170"/>
      <c r="HB252" s="170"/>
      <c r="HC252" s="170"/>
      <c r="HD252" s="170"/>
      <c r="HE252" s="168"/>
      <c r="HF252" s="168"/>
      <c r="HG252" s="168"/>
      <c r="HH252" s="168"/>
      <c r="HI252" s="168"/>
      <c r="HJ252" s="168"/>
      <c r="HK252" s="168"/>
      <c r="HL252" s="168"/>
      <c r="HM252" s="168"/>
      <c r="HN252" s="168"/>
      <c r="HO252" s="168"/>
      <c r="HP252" s="168"/>
      <c r="HQ252" s="168"/>
      <c r="HR252" s="168"/>
      <c r="HS252" s="168"/>
      <c r="HT252" s="168"/>
      <c r="HU252" s="168"/>
      <c r="HV252" s="168"/>
      <c r="HW252" s="168"/>
      <c r="HX252" s="168"/>
      <c r="HY252" s="168"/>
      <c r="HZ252" s="168"/>
      <c r="IA252" s="168"/>
      <c r="IB252" s="168"/>
      <c r="IC252" s="168"/>
      <c r="ID252" s="168"/>
      <c r="IE252" s="168"/>
      <c r="IF252" s="168"/>
    </row>
    <row r="253" spans="1:256" s="170" customFormat="1">
      <c r="A253" s="166"/>
      <c r="B253" s="182" t="s">
        <v>158</v>
      </c>
      <c r="C253" s="165">
        <v>88</v>
      </c>
      <c r="D253" s="165">
        <v>81</v>
      </c>
      <c r="E253" s="165">
        <v>76</v>
      </c>
      <c r="F253" s="165" t="s">
        <v>443</v>
      </c>
      <c r="G253" s="165" t="s">
        <v>443</v>
      </c>
      <c r="H253" s="166">
        <v>89</v>
      </c>
      <c r="I253" s="166">
        <v>77</v>
      </c>
      <c r="J253" s="166"/>
      <c r="K253" s="166"/>
      <c r="L253" s="166"/>
      <c r="M253" s="169"/>
      <c r="N253" s="169"/>
      <c r="O253" s="169"/>
      <c r="P253" s="169"/>
      <c r="Q253" s="169"/>
      <c r="R253" s="169"/>
      <c r="S253" s="169"/>
      <c r="T253" s="169"/>
      <c r="U253" s="169"/>
      <c r="V253" s="169"/>
      <c r="W253" s="169"/>
      <c r="X253" s="168"/>
      <c r="Y253" s="168"/>
      <c r="Z253" s="168"/>
      <c r="AA253" s="168"/>
      <c r="AB253" s="168"/>
      <c r="AC253" s="168"/>
      <c r="AD253" s="168"/>
      <c r="AE253" s="168"/>
      <c r="AF253" s="168"/>
      <c r="AG253" s="168"/>
      <c r="AH253" s="168"/>
      <c r="AI253" s="168"/>
      <c r="AJ253" s="168"/>
      <c r="AK253" s="168"/>
      <c r="AL253" s="168"/>
      <c r="AM253" s="168"/>
      <c r="AN253" s="168"/>
      <c r="AO253" s="168"/>
      <c r="AP253" s="168"/>
      <c r="AQ253" s="168"/>
      <c r="AR253" s="168"/>
      <c r="AS253" s="213"/>
      <c r="AT253" s="213"/>
      <c r="AU253" s="213"/>
      <c r="AV253" s="213"/>
      <c r="AW253" s="213"/>
      <c r="AX253" s="213"/>
      <c r="AY253" s="213"/>
      <c r="AZ253" s="213"/>
      <c r="BA253" s="213"/>
      <c r="BB253" s="213"/>
      <c r="BC253" s="213"/>
      <c r="BD253" s="213"/>
      <c r="BE253" s="213"/>
      <c r="BF253" s="213"/>
      <c r="BG253" s="213"/>
      <c r="BH253" s="213"/>
      <c r="BI253" s="213"/>
      <c r="BJ253" s="213"/>
      <c r="BK253" s="213"/>
      <c r="BL253" s="213"/>
      <c r="BM253" s="168"/>
      <c r="BN253" s="203"/>
      <c r="BO253" s="204"/>
      <c r="BP253" s="169"/>
      <c r="BQ253" s="169"/>
      <c r="BR253" s="169"/>
      <c r="BS253" s="169"/>
      <c r="BT253" s="169"/>
      <c r="BZ253" s="168"/>
      <c r="CA253" s="168"/>
      <c r="CB253" s="168"/>
      <c r="CC253" s="168"/>
      <c r="CD253" s="168"/>
      <c r="CE253" s="168"/>
      <c r="CF253" s="168"/>
      <c r="CG253" s="168"/>
      <c r="CH253" s="168"/>
      <c r="CI253" s="168"/>
      <c r="CJ253" s="168"/>
      <c r="CK253" s="168"/>
      <c r="CL253" s="168"/>
      <c r="CM253" s="168"/>
      <c r="CN253" s="168"/>
      <c r="CO253" s="168"/>
      <c r="CP253" s="168"/>
      <c r="CQ253" s="168"/>
      <c r="CR253" s="168"/>
      <c r="CS253" s="168"/>
      <c r="CT253" s="168"/>
      <c r="CU253" s="168"/>
      <c r="CV253" s="168"/>
      <c r="CW253" s="168"/>
      <c r="CX253" s="168"/>
      <c r="CY253" s="168"/>
      <c r="CZ253" s="168"/>
      <c r="DA253" s="168"/>
      <c r="DB253" s="213"/>
      <c r="DC253" s="213"/>
      <c r="DD253" s="213"/>
      <c r="DE253" s="213"/>
      <c r="DF253" s="213"/>
      <c r="DG253" s="213"/>
      <c r="DH253" s="213"/>
      <c r="DI253" s="213"/>
      <c r="DJ253" s="213"/>
      <c r="DK253" s="213"/>
      <c r="DL253" s="213"/>
      <c r="DM253" s="213"/>
      <c r="DN253" s="213"/>
      <c r="DO253" s="213"/>
      <c r="DP253" s="213"/>
      <c r="DQ253" s="213"/>
      <c r="DR253" s="213"/>
      <c r="DS253" s="213"/>
      <c r="DT253" s="213"/>
      <c r="DU253" s="213"/>
      <c r="DV253" s="168"/>
      <c r="DW253" s="203"/>
      <c r="DX253" s="204"/>
      <c r="DY253" s="169"/>
      <c r="DZ253" s="169"/>
      <c r="EA253" s="169"/>
      <c r="EB253" s="169"/>
      <c r="EC253" s="169"/>
      <c r="EI253" s="168"/>
      <c r="EJ253" s="168"/>
      <c r="EK253" s="168"/>
      <c r="EL253" s="168"/>
      <c r="EM253" s="168"/>
      <c r="EN253" s="168"/>
      <c r="EO253" s="168"/>
      <c r="EP253" s="168"/>
      <c r="EQ253" s="168"/>
      <c r="ER253" s="168"/>
      <c r="ES253" s="168"/>
      <c r="ET253" s="168"/>
      <c r="EU253" s="168"/>
      <c r="EV253" s="168"/>
      <c r="EW253" s="168"/>
      <c r="EX253" s="168"/>
      <c r="EY253" s="168"/>
      <c r="EZ253" s="168"/>
      <c r="FA253" s="168"/>
      <c r="FB253" s="168"/>
      <c r="FC253" s="168"/>
      <c r="FD253" s="168"/>
      <c r="FE253" s="168"/>
      <c r="FF253" s="168"/>
      <c r="FG253" s="168"/>
      <c r="FH253" s="168"/>
      <c r="FI253" s="168"/>
      <c r="FJ253" s="168"/>
      <c r="FK253" s="213"/>
      <c r="FL253" s="213"/>
      <c r="FM253" s="213"/>
      <c r="FN253" s="213"/>
      <c r="FO253" s="213"/>
      <c r="FP253" s="213"/>
      <c r="FQ253" s="213"/>
      <c r="FR253" s="213"/>
      <c r="FS253" s="213"/>
      <c r="FT253" s="213"/>
      <c r="FU253" s="213"/>
      <c r="FV253" s="213"/>
      <c r="FW253" s="213"/>
      <c r="FX253" s="213"/>
      <c r="FY253" s="213"/>
      <c r="FZ253" s="213"/>
      <c r="GA253" s="213"/>
      <c r="GB253" s="213"/>
      <c r="GC253" s="213"/>
      <c r="GD253" s="213"/>
      <c r="GE253" s="168"/>
      <c r="GF253" s="203"/>
      <c r="GG253" s="204"/>
      <c r="GH253" s="169"/>
      <c r="GI253" s="169"/>
      <c r="GJ253" s="169"/>
      <c r="GK253" s="169"/>
      <c r="GL253" s="169"/>
      <c r="GR253" s="168"/>
      <c r="GS253" s="168"/>
      <c r="GT253" s="168"/>
      <c r="GU253" s="168"/>
      <c r="GV253" s="168"/>
      <c r="GW253" s="168"/>
      <c r="GX253" s="168"/>
      <c r="GY253" s="168"/>
      <c r="GZ253" s="168"/>
      <c r="HA253" s="168"/>
      <c r="HB253" s="168"/>
      <c r="HC253" s="168"/>
      <c r="HD253" s="168"/>
      <c r="HE253" s="168"/>
      <c r="HF253" s="168"/>
      <c r="HG253" s="168"/>
      <c r="HH253" s="168"/>
      <c r="HI253" s="168"/>
      <c r="HJ253" s="168"/>
      <c r="HK253" s="168"/>
      <c r="HL253" s="168"/>
      <c r="HM253" s="168"/>
      <c r="HN253" s="168"/>
      <c r="HO253" s="168"/>
      <c r="HP253" s="168"/>
      <c r="HQ253" s="168"/>
      <c r="HR253" s="168"/>
      <c r="HS253" s="168"/>
      <c r="HT253" s="213"/>
      <c r="HU253" s="213"/>
      <c r="HV253" s="213"/>
      <c r="HW253" s="213"/>
      <c r="HX253" s="213"/>
      <c r="HY253" s="213"/>
      <c r="HZ253" s="213"/>
      <c r="IA253" s="213"/>
      <c r="IB253" s="213"/>
      <c r="IC253" s="213"/>
      <c r="ID253" s="213"/>
      <c r="IE253" s="213"/>
      <c r="IF253" s="213"/>
      <c r="IG253" s="213"/>
      <c r="IH253" s="213"/>
      <c r="II253" s="213"/>
      <c r="IJ253" s="213"/>
      <c r="IK253" s="213"/>
      <c r="IL253" s="213"/>
      <c r="IM253" s="213"/>
      <c r="IN253" s="168"/>
      <c r="IO253" s="203"/>
      <c r="IP253" s="204"/>
      <c r="IQ253" s="169"/>
      <c r="IR253" s="169"/>
      <c r="IS253" s="169"/>
      <c r="IT253" s="169"/>
      <c r="IU253" s="169"/>
    </row>
    <row r="254" spans="1:256" s="168" customFormat="1">
      <c r="A254" s="143"/>
      <c r="B254" s="340" t="s">
        <v>442</v>
      </c>
      <c r="C254" s="165">
        <v>21</v>
      </c>
      <c r="D254" s="165">
        <v>169</v>
      </c>
      <c r="E254" s="165">
        <v>47</v>
      </c>
      <c r="F254" s="165">
        <v>4</v>
      </c>
      <c r="G254" s="165">
        <v>5</v>
      </c>
      <c r="H254" s="165">
        <v>9</v>
      </c>
      <c r="I254" s="165">
        <v>12</v>
      </c>
      <c r="J254" s="165"/>
      <c r="K254" s="165"/>
      <c r="L254" s="165"/>
      <c r="AF254" s="213"/>
      <c r="AG254" s="213"/>
      <c r="AH254" s="213"/>
      <c r="AI254" s="213"/>
      <c r="AJ254" s="213"/>
      <c r="AK254" s="213"/>
      <c r="AL254" s="213"/>
      <c r="AM254" s="213"/>
      <c r="AN254" s="213"/>
      <c r="AO254" s="213"/>
      <c r="AP254" s="213"/>
      <c r="AQ254" s="213"/>
      <c r="AR254" s="213"/>
      <c r="AS254" s="213"/>
      <c r="AT254" s="213"/>
      <c r="AU254" s="213"/>
      <c r="AV254" s="213"/>
      <c r="AW254" s="213"/>
      <c r="AX254" s="213"/>
      <c r="AY254" s="213"/>
      <c r="BA254" s="203"/>
      <c r="BB254" s="204"/>
      <c r="BC254" s="169"/>
      <c r="BD254" s="169"/>
      <c r="BE254" s="169"/>
      <c r="BF254" s="169"/>
      <c r="BG254" s="169"/>
      <c r="BH254" s="170"/>
      <c r="BI254" s="170"/>
      <c r="BJ254" s="170"/>
      <c r="BK254" s="170"/>
      <c r="BL254" s="170"/>
      <c r="CO254" s="213"/>
      <c r="CP254" s="213"/>
      <c r="CQ254" s="213"/>
      <c r="CR254" s="213"/>
      <c r="CS254" s="213"/>
      <c r="CT254" s="213"/>
      <c r="CU254" s="213"/>
      <c r="CV254" s="213"/>
      <c r="CW254" s="213"/>
      <c r="CX254" s="213"/>
      <c r="CY254" s="213"/>
      <c r="CZ254" s="213"/>
      <c r="DA254" s="213"/>
      <c r="DB254" s="213"/>
      <c r="DC254" s="213"/>
      <c r="DD254" s="213"/>
      <c r="DE254" s="213"/>
      <c r="DF254" s="213"/>
      <c r="DG254" s="213"/>
      <c r="DH254" s="213"/>
      <c r="DJ254" s="203"/>
      <c r="DK254" s="204"/>
      <c r="DL254" s="169"/>
      <c r="DM254" s="169"/>
      <c r="DN254" s="169"/>
      <c r="DO254" s="169"/>
      <c r="DP254" s="169"/>
      <c r="DQ254" s="170"/>
      <c r="DR254" s="170"/>
      <c r="DS254" s="170"/>
      <c r="DT254" s="170"/>
      <c r="DU254" s="170"/>
      <c r="EX254" s="213"/>
      <c r="EY254" s="213"/>
      <c r="EZ254" s="213"/>
      <c r="FA254" s="213"/>
      <c r="FB254" s="213"/>
      <c r="FC254" s="213"/>
      <c r="FD254" s="213"/>
      <c r="FE254" s="213"/>
      <c r="FF254" s="213"/>
      <c r="FG254" s="213"/>
      <c r="FH254" s="213"/>
      <c r="FI254" s="213"/>
      <c r="FJ254" s="213"/>
      <c r="FK254" s="213"/>
      <c r="FL254" s="213"/>
      <c r="FM254" s="213"/>
      <c r="FN254" s="213"/>
      <c r="FO254" s="213"/>
      <c r="FP254" s="213"/>
      <c r="FQ254" s="213"/>
      <c r="FS254" s="203"/>
      <c r="FT254" s="204"/>
      <c r="FU254" s="169"/>
      <c r="FV254" s="169"/>
      <c r="FW254" s="169"/>
      <c r="FX254" s="169"/>
      <c r="FY254" s="169"/>
      <c r="FZ254" s="170"/>
      <c r="GA254" s="170"/>
      <c r="GB254" s="170"/>
      <c r="GC254" s="170"/>
      <c r="GD254" s="170"/>
      <c r="HG254" s="213"/>
      <c r="HH254" s="213"/>
      <c r="HI254" s="213"/>
      <c r="HJ254" s="213"/>
      <c r="HK254" s="213"/>
      <c r="HL254" s="213"/>
      <c r="HM254" s="213"/>
      <c r="HN254" s="213"/>
      <c r="HO254" s="213"/>
      <c r="HP254" s="213"/>
      <c r="HQ254" s="213"/>
      <c r="HR254" s="213"/>
      <c r="HS254" s="213"/>
      <c r="HT254" s="213"/>
      <c r="HU254" s="213"/>
      <c r="HV254" s="213"/>
      <c r="HW254" s="213"/>
      <c r="HX254" s="213"/>
      <c r="HY254" s="213"/>
      <c r="HZ254" s="213"/>
      <c r="IB254" s="203"/>
      <c r="IC254" s="204"/>
      <c r="ID254" s="169"/>
      <c r="IE254" s="169"/>
      <c r="IF254" s="169"/>
      <c r="IG254" s="169"/>
      <c r="IH254" s="169"/>
      <c r="II254" s="170"/>
      <c r="IJ254" s="170"/>
      <c r="IK254" s="170"/>
      <c r="IL254" s="170"/>
      <c r="IM254" s="170"/>
    </row>
    <row r="255" spans="1:256" s="168" customFormat="1">
      <c r="A255" s="143"/>
      <c r="B255" s="143"/>
      <c r="C255" s="143"/>
      <c r="D255" s="143"/>
      <c r="E255" s="143"/>
      <c r="F255" s="143"/>
      <c r="G255" s="143"/>
      <c r="H255" s="143"/>
      <c r="I255" s="143"/>
      <c r="J255" s="143"/>
      <c r="K255" s="143"/>
      <c r="L255" s="143"/>
      <c r="X255" s="213"/>
      <c r="Y255" s="213"/>
      <c r="Z255" s="213"/>
      <c r="AA255" s="213"/>
      <c r="AB255" s="213"/>
      <c r="AC255" s="213"/>
      <c r="AD255" s="213"/>
      <c r="AE255" s="213"/>
      <c r="AF255" s="213"/>
      <c r="AG255" s="213"/>
      <c r="AH255" s="213"/>
      <c r="AI255" s="213"/>
      <c r="AJ255" s="213"/>
      <c r="AK255" s="213"/>
      <c r="AL255" s="213"/>
      <c r="AN255" s="203"/>
      <c r="AO255" s="204"/>
      <c r="AP255" s="169"/>
      <c r="AQ255" s="169"/>
      <c r="AR255" s="169"/>
      <c r="AS255" s="169"/>
      <c r="AT255" s="169"/>
      <c r="AU255" s="170"/>
      <c r="AV255" s="170"/>
      <c r="AW255" s="170"/>
      <c r="AX255" s="170"/>
      <c r="AY255" s="170"/>
      <c r="CB255" s="213"/>
      <c r="CC255" s="213"/>
      <c r="CD255" s="213"/>
      <c r="CE255" s="213"/>
      <c r="CF255" s="213"/>
      <c r="CG255" s="213"/>
      <c r="CH255" s="213"/>
      <c r="CI255" s="213"/>
      <c r="CJ255" s="213"/>
      <c r="CK255" s="213"/>
      <c r="CL255" s="213"/>
      <c r="CM255" s="213"/>
      <c r="CN255" s="213"/>
      <c r="CO255" s="213"/>
      <c r="CP255" s="213"/>
      <c r="CQ255" s="213"/>
      <c r="CR255" s="213"/>
      <c r="CS255" s="213"/>
      <c r="CT255" s="213"/>
      <c r="CU255" s="213"/>
      <c r="CW255" s="203"/>
      <c r="CX255" s="204"/>
      <c r="CY255" s="169"/>
      <c r="CZ255" s="169"/>
      <c r="DA255" s="169"/>
      <c r="DB255" s="169"/>
      <c r="DC255" s="169"/>
      <c r="DD255" s="170"/>
      <c r="DE255" s="170"/>
      <c r="DF255" s="170"/>
      <c r="DG255" s="170"/>
      <c r="DH255" s="170"/>
      <c r="EK255" s="213"/>
      <c r="EL255" s="213"/>
      <c r="EM255" s="213"/>
      <c r="EN255" s="213"/>
      <c r="EO255" s="213"/>
      <c r="EP255" s="213"/>
      <c r="EQ255" s="213"/>
      <c r="ER255" s="213"/>
      <c r="ES255" s="213"/>
      <c r="ET255" s="213"/>
      <c r="EU255" s="213"/>
      <c r="EV255" s="213"/>
      <c r="EW255" s="213"/>
      <c r="EX255" s="213"/>
      <c r="EY255" s="213"/>
      <c r="EZ255" s="213"/>
      <c r="FA255" s="213"/>
      <c r="FB255" s="213"/>
      <c r="FC255" s="213"/>
      <c r="FD255" s="213"/>
      <c r="FF255" s="203"/>
      <c r="FG255" s="204"/>
      <c r="FH255" s="169"/>
      <c r="FI255" s="169"/>
      <c r="FJ255" s="169"/>
      <c r="FK255" s="169"/>
      <c r="FL255" s="169"/>
      <c r="FM255" s="170"/>
      <c r="FN255" s="170"/>
      <c r="FO255" s="170"/>
      <c r="FP255" s="170"/>
      <c r="FQ255" s="170"/>
      <c r="GT255" s="213"/>
      <c r="GU255" s="213"/>
      <c r="GV255" s="213"/>
      <c r="GW255" s="213"/>
      <c r="GX255" s="213"/>
      <c r="GY255" s="213"/>
      <c r="GZ255" s="213"/>
      <c r="HA255" s="213"/>
      <c r="HB255" s="213"/>
      <c r="HC255" s="213"/>
      <c r="HD255" s="213"/>
      <c r="HE255" s="213"/>
      <c r="HF255" s="213"/>
      <c r="HG255" s="213"/>
      <c r="HH255" s="213"/>
      <c r="HI255" s="213"/>
      <c r="HJ255" s="213"/>
      <c r="HK255" s="213"/>
      <c r="HL255" s="213"/>
      <c r="HM255" s="213"/>
      <c r="HO255" s="203"/>
      <c r="HP255" s="204"/>
      <c r="HQ255" s="169"/>
      <c r="HR255" s="169"/>
      <c r="HS255" s="169"/>
      <c r="HT255" s="169"/>
      <c r="HU255" s="169"/>
      <c r="HV255" s="170"/>
      <c r="HW255" s="170"/>
      <c r="HX255" s="170"/>
      <c r="HY255" s="170"/>
      <c r="HZ255" s="170"/>
    </row>
    <row r="256" spans="1:256" s="215" customFormat="1">
      <c r="A256" s="175"/>
      <c r="B256" s="143"/>
      <c r="C256" s="143"/>
      <c r="D256" s="143"/>
      <c r="E256" s="143"/>
      <c r="F256" s="167"/>
      <c r="G256" s="167"/>
      <c r="H256" s="167"/>
      <c r="I256" s="167"/>
      <c r="J256" s="167"/>
      <c r="K256" s="167"/>
      <c r="L256" s="167"/>
      <c r="M256" s="213"/>
      <c r="N256" s="213"/>
      <c r="O256" s="213"/>
      <c r="P256" s="213"/>
      <c r="Q256" s="213"/>
      <c r="R256" s="213"/>
      <c r="S256" s="213"/>
      <c r="T256" s="213"/>
      <c r="U256" s="213"/>
      <c r="V256" s="213"/>
      <c r="W256" s="213"/>
      <c r="X256" s="213"/>
      <c r="Y256" s="213"/>
      <c r="Z256" s="213"/>
      <c r="AA256" s="168"/>
      <c r="AB256" s="203"/>
      <c r="AC256" s="204"/>
      <c r="AD256" s="169"/>
      <c r="AE256" s="169"/>
      <c r="AF256" s="169"/>
      <c r="AG256" s="169"/>
      <c r="AH256" s="169"/>
      <c r="AI256" s="170"/>
      <c r="AJ256" s="170"/>
      <c r="AK256" s="170"/>
      <c r="AL256" s="170"/>
      <c r="AM256" s="170"/>
      <c r="AN256" s="168"/>
      <c r="AO256" s="168"/>
      <c r="AP256" s="168"/>
      <c r="AQ256" s="168"/>
      <c r="AR256" s="168"/>
      <c r="AS256" s="168"/>
      <c r="AT256" s="168"/>
      <c r="AU256" s="168"/>
      <c r="AV256" s="168"/>
      <c r="AW256" s="168"/>
      <c r="AX256" s="168"/>
      <c r="AY256" s="168"/>
      <c r="AZ256" s="168"/>
      <c r="BA256" s="168"/>
      <c r="BB256" s="168"/>
      <c r="BC256" s="168"/>
      <c r="BD256" s="168"/>
      <c r="BE256" s="168"/>
      <c r="BF256" s="168"/>
      <c r="BG256" s="168"/>
      <c r="BH256" s="168"/>
      <c r="BI256" s="168"/>
      <c r="BJ256" s="168"/>
      <c r="BK256" s="168"/>
      <c r="BL256" s="168"/>
      <c r="BM256" s="168"/>
      <c r="BN256" s="168"/>
      <c r="BO256" s="168"/>
      <c r="BP256" s="213"/>
      <c r="BQ256" s="213"/>
      <c r="BR256" s="213"/>
      <c r="BS256" s="213"/>
      <c r="BT256" s="213"/>
      <c r="BU256" s="213"/>
      <c r="BV256" s="213"/>
      <c r="BW256" s="213"/>
      <c r="BX256" s="213"/>
      <c r="BY256" s="213"/>
      <c r="BZ256" s="213"/>
      <c r="CA256" s="213"/>
      <c r="CB256" s="213"/>
      <c r="CC256" s="213"/>
      <c r="CD256" s="213"/>
      <c r="CE256" s="213"/>
      <c r="CF256" s="213"/>
      <c r="CG256" s="213"/>
      <c r="CH256" s="213"/>
      <c r="CI256" s="213"/>
      <c r="CJ256" s="213"/>
      <c r="CK256" s="168"/>
      <c r="CL256" s="203"/>
      <c r="CM256" s="204"/>
      <c r="CN256" s="169"/>
      <c r="CO256" s="169"/>
      <c r="CP256" s="169"/>
      <c r="CQ256" s="169"/>
      <c r="CR256" s="169"/>
      <c r="CS256" s="170"/>
      <c r="CT256" s="170"/>
      <c r="CU256" s="170"/>
      <c r="CV256" s="170"/>
      <c r="CW256" s="170"/>
      <c r="CX256" s="168"/>
      <c r="CY256" s="168"/>
      <c r="CZ256" s="168"/>
      <c r="DA256" s="168"/>
      <c r="DB256" s="168"/>
      <c r="DC256" s="168"/>
      <c r="DD256" s="168"/>
      <c r="DE256" s="168"/>
      <c r="DF256" s="168"/>
      <c r="DG256" s="168"/>
      <c r="DH256" s="168"/>
      <c r="DI256" s="168"/>
      <c r="DJ256" s="168"/>
      <c r="DK256" s="168"/>
      <c r="DL256" s="168"/>
      <c r="DM256" s="168"/>
      <c r="DN256" s="168"/>
      <c r="DO256" s="168"/>
      <c r="DP256" s="168"/>
      <c r="DQ256" s="168"/>
      <c r="DR256" s="168"/>
      <c r="DS256" s="168"/>
      <c r="DT256" s="168"/>
      <c r="DU256" s="168"/>
      <c r="DV256" s="168"/>
      <c r="DW256" s="168"/>
      <c r="DX256" s="168"/>
      <c r="DY256" s="168"/>
      <c r="DZ256" s="213"/>
      <c r="EA256" s="213"/>
      <c r="EB256" s="213"/>
      <c r="EC256" s="213"/>
      <c r="ED256" s="213"/>
      <c r="EE256" s="213"/>
      <c r="EF256" s="213"/>
      <c r="EG256" s="213"/>
      <c r="EH256" s="213"/>
      <c r="EI256" s="213"/>
      <c r="EJ256" s="213"/>
      <c r="EK256" s="213"/>
      <c r="EL256" s="213"/>
      <c r="EM256" s="213"/>
      <c r="EN256" s="213"/>
      <c r="EO256" s="213"/>
      <c r="EP256" s="213"/>
      <c r="EQ256" s="213"/>
      <c r="ER256" s="213"/>
      <c r="ES256" s="213"/>
      <c r="ET256" s="213"/>
      <c r="EU256" s="168"/>
      <c r="EV256" s="203"/>
      <c r="EW256" s="204"/>
      <c r="EX256" s="169"/>
      <c r="EY256" s="169"/>
      <c r="EZ256" s="169"/>
      <c r="FA256" s="169"/>
      <c r="FB256" s="169"/>
      <c r="FC256" s="170"/>
      <c r="FD256" s="170"/>
      <c r="FE256" s="170"/>
      <c r="FF256" s="170"/>
      <c r="FG256" s="170"/>
      <c r="FH256" s="168"/>
      <c r="FI256" s="168"/>
      <c r="FJ256" s="168"/>
      <c r="FK256" s="168"/>
      <c r="FL256" s="168"/>
      <c r="FM256" s="168"/>
      <c r="FN256" s="168"/>
      <c r="FO256" s="168"/>
      <c r="FP256" s="168"/>
      <c r="FQ256" s="168"/>
      <c r="FR256" s="168"/>
      <c r="FS256" s="168"/>
      <c r="FT256" s="168"/>
      <c r="FU256" s="168"/>
      <c r="FV256" s="168"/>
      <c r="FW256" s="168"/>
      <c r="FX256" s="168"/>
      <c r="FY256" s="168"/>
      <c r="FZ256" s="168"/>
      <c r="GA256" s="168"/>
      <c r="GB256" s="168"/>
      <c r="GC256" s="168"/>
      <c r="GD256" s="168"/>
      <c r="GE256" s="168"/>
      <c r="GF256" s="168"/>
      <c r="GG256" s="168"/>
      <c r="GH256" s="168"/>
      <c r="GI256" s="168"/>
      <c r="GJ256" s="213"/>
      <c r="GK256" s="213"/>
      <c r="GL256" s="213"/>
      <c r="GM256" s="213"/>
      <c r="GN256" s="213"/>
      <c r="GO256" s="213"/>
      <c r="GP256" s="213"/>
      <c r="GQ256" s="213"/>
      <c r="GR256" s="213"/>
      <c r="GS256" s="213"/>
      <c r="GT256" s="213"/>
      <c r="GU256" s="213"/>
      <c r="GV256" s="213"/>
      <c r="GW256" s="213"/>
      <c r="GX256" s="213"/>
      <c r="GY256" s="213"/>
      <c r="GZ256" s="213"/>
      <c r="HA256" s="213"/>
      <c r="HB256" s="213"/>
      <c r="HC256" s="213"/>
      <c r="HD256" s="213"/>
      <c r="HE256" s="168"/>
      <c r="HF256" s="205"/>
      <c r="HG256" s="204"/>
      <c r="HH256" s="173"/>
      <c r="HI256" s="173"/>
      <c r="HJ256" s="173"/>
      <c r="HK256" s="173"/>
      <c r="HL256" s="173"/>
      <c r="HM256" s="173"/>
      <c r="HN256" s="173"/>
      <c r="HO256" s="173"/>
      <c r="HP256" s="173"/>
      <c r="HQ256" s="173"/>
      <c r="HR256" s="173"/>
      <c r="HS256" s="212"/>
      <c r="HT256" s="212"/>
      <c r="HU256" s="212"/>
      <c r="HV256" s="212"/>
      <c r="HW256" s="212"/>
      <c r="HX256" s="212"/>
      <c r="HY256" s="212"/>
      <c r="HZ256" s="212"/>
      <c r="IA256" s="212"/>
      <c r="IB256" s="212"/>
      <c r="IC256" s="212"/>
      <c r="ID256" s="212"/>
      <c r="IE256" s="212"/>
      <c r="IF256" s="212"/>
      <c r="IG256" s="212"/>
      <c r="IH256" s="212"/>
      <c r="II256" s="212"/>
      <c r="IJ256" s="212"/>
      <c r="IK256" s="212"/>
      <c r="IL256" s="212"/>
      <c r="IM256" s="212"/>
      <c r="IN256" s="212"/>
      <c r="IO256" s="212"/>
      <c r="IP256" s="212"/>
      <c r="IQ256" s="212"/>
      <c r="IR256" s="212"/>
      <c r="IS256" s="212"/>
    </row>
    <row r="257" spans="1:64" s="216" customFormat="1" ht="13.5">
      <c r="A257" s="175"/>
      <c r="B257" s="17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215"/>
      <c r="N257" s="215"/>
      <c r="O257" s="215"/>
      <c r="P257" s="215"/>
      <c r="Q257" s="215"/>
      <c r="R257" s="215"/>
      <c r="S257" s="215"/>
      <c r="T257" s="215"/>
      <c r="U257" s="215"/>
      <c r="V257" s="215"/>
      <c r="W257" s="215"/>
      <c r="X257" s="208"/>
      <c r="Y257" s="208"/>
      <c r="Z257" s="208"/>
      <c r="AA257" s="208"/>
      <c r="AB257" s="208"/>
      <c r="AC257" s="209"/>
      <c r="AD257" s="209"/>
      <c r="AE257" s="210"/>
      <c r="AF257" s="210"/>
      <c r="AG257" s="210"/>
      <c r="AH257" s="210"/>
      <c r="AI257" s="210"/>
      <c r="AJ257" s="210"/>
      <c r="AK257" s="210"/>
      <c r="AL257" s="210"/>
      <c r="AM257" s="210"/>
      <c r="AN257" s="210"/>
      <c r="AO257" s="210"/>
      <c r="AP257" s="210"/>
      <c r="AQ257" s="210"/>
      <c r="AR257" s="210"/>
      <c r="AS257" s="210"/>
      <c r="AT257" s="210"/>
      <c r="AU257" s="210"/>
      <c r="AV257" s="210"/>
      <c r="AW257" s="210"/>
      <c r="AX257" s="210"/>
      <c r="AY257" s="210"/>
      <c r="AZ257" s="210"/>
      <c r="BA257" s="210"/>
      <c r="BB257" s="210"/>
      <c r="BC257" s="210"/>
      <c r="BD257" s="210"/>
      <c r="BE257" s="210"/>
      <c r="BF257" s="210"/>
    </row>
    <row r="258" spans="1:64" s="213" customFormat="1" ht="14.25" customHeight="1">
      <c r="A258" s="180"/>
      <c r="B258" s="180"/>
      <c r="C258" s="180"/>
      <c r="D258" s="180"/>
      <c r="E258" s="180"/>
      <c r="F258" s="179"/>
      <c r="G258" s="180"/>
      <c r="H258" s="180"/>
      <c r="I258" s="180"/>
      <c r="J258" s="180"/>
      <c r="K258" s="180"/>
      <c r="L258" s="180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1"/>
      <c r="Y258" s="211"/>
      <c r="Z258" s="211"/>
      <c r="AA258" s="211"/>
      <c r="AB258" s="211"/>
      <c r="AC258" s="170"/>
      <c r="AD258" s="170"/>
      <c r="AE258" s="168"/>
      <c r="AF258" s="168"/>
      <c r="AG258" s="168"/>
      <c r="AH258" s="168"/>
      <c r="AI258" s="168"/>
      <c r="AJ258" s="168"/>
      <c r="AK258" s="168"/>
      <c r="AL258" s="168"/>
      <c r="AM258" s="168"/>
      <c r="AN258" s="168"/>
      <c r="AO258" s="168"/>
      <c r="AP258" s="168"/>
      <c r="AQ258" s="168"/>
      <c r="AR258" s="168"/>
      <c r="AS258" s="168"/>
      <c r="AT258" s="168"/>
      <c r="AU258" s="168"/>
      <c r="AV258" s="168"/>
      <c r="AW258" s="168"/>
      <c r="AX258" s="168"/>
      <c r="AY258" s="168"/>
      <c r="AZ258" s="168"/>
      <c r="BA258" s="168"/>
      <c r="BB258" s="168"/>
      <c r="BC258" s="168"/>
      <c r="BD258" s="168"/>
      <c r="BE258" s="168"/>
      <c r="BF258" s="168"/>
    </row>
    <row r="259" spans="1:64" s="213" customFormat="1" ht="14.25" customHeight="1">
      <c r="A259" s="167" t="s">
        <v>183</v>
      </c>
      <c r="B259" s="167"/>
      <c r="C259" s="167"/>
      <c r="D259" s="167"/>
      <c r="E259" s="167"/>
      <c r="F259" s="143"/>
      <c r="G259" s="167"/>
      <c r="H259" s="167"/>
      <c r="I259" s="167"/>
      <c r="J259" s="167"/>
      <c r="K259" s="167"/>
      <c r="L259" s="167"/>
      <c r="X259" s="145"/>
      <c r="Y259" s="145"/>
      <c r="Z259" s="145"/>
      <c r="AA259" s="145"/>
      <c r="AB259" s="145"/>
      <c r="AC259" s="170"/>
      <c r="AD259" s="170"/>
      <c r="AE259" s="168"/>
      <c r="AF259" s="168"/>
      <c r="AG259" s="168"/>
      <c r="AH259" s="168"/>
      <c r="AI259" s="168"/>
      <c r="AJ259" s="168"/>
      <c r="AK259" s="168"/>
      <c r="AL259" s="168"/>
      <c r="AM259" s="168"/>
      <c r="AN259" s="168"/>
      <c r="AO259" s="168"/>
      <c r="AP259" s="168"/>
      <c r="AQ259" s="168"/>
      <c r="AR259" s="168"/>
      <c r="AS259" s="168"/>
      <c r="AT259" s="168"/>
      <c r="AU259" s="168"/>
      <c r="AV259" s="168"/>
      <c r="AW259" s="168"/>
      <c r="AX259" s="168"/>
      <c r="AY259" s="168"/>
      <c r="AZ259" s="168"/>
      <c r="BA259" s="168"/>
      <c r="BB259" s="168"/>
      <c r="BC259" s="168"/>
      <c r="BD259" s="168"/>
      <c r="BE259" s="168"/>
      <c r="BF259" s="168"/>
    </row>
    <row r="260" spans="1:64" s="213" customFormat="1" ht="14.25" customHeight="1">
      <c r="A260" s="167">
        <v>7</v>
      </c>
      <c r="B260" s="167"/>
      <c r="C260" s="167"/>
      <c r="D260" s="167"/>
      <c r="E260" s="167"/>
      <c r="F260" s="143"/>
      <c r="G260" s="167"/>
      <c r="H260" s="167"/>
      <c r="I260" s="167"/>
      <c r="J260" s="167"/>
      <c r="K260" s="167"/>
      <c r="L260" s="167"/>
      <c r="X260" s="145"/>
      <c r="Y260" s="145"/>
      <c r="Z260" s="145"/>
      <c r="AA260" s="145"/>
      <c r="AB260" s="145"/>
      <c r="AC260" s="170"/>
      <c r="AD260" s="170"/>
      <c r="AE260" s="168"/>
      <c r="AF260" s="168"/>
      <c r="AG260" s="168"/>
      <c r="AH260" s="168"/>
      <c r="AI260" s="168"/>
      <c r="AJ260" s="168"/>
      <c r="AK260" s="168"/>
      <c r="AL260" s="168"/>
      <c r="AM260" s="168"/>
      <c r="AN260" s="168"/>
      <c r="AO260" s="168"/>
      <c r="AP260" s="168"/>
      <c r="AQ260" s="168"/>
      <c r="AR260" s="168"/>
      <c r="AS260" s="168"/>
      <c r="AT260" s="168"/>
      <c r="AU260" s="168"/>
      <c r="AV260" s="168"/>
      <c r="AW260" s="168"/>
      <c r="AX260" s="168"/>
      <c r="AY260" s="168"/>
      <c r="AZ260" s="168"/>
      <c r="BA260" s="168"/>
      <c r="BB260" s="168"/>
      <c r="BC260" s="168"/>
      <c r="BD260" s="168"/>
      <c r="BE260" s="168"/>
      <c r="BF260" s="168"/>
    </row>
    <row r="261" spans="1:64" s="213" customFormat="1" ht="14.25" customHeight="1">
      <c r="A261" s="167"/>
      <c r="B261" s="167"/>
      <c r="C261" s="167"/>
      <c r="D261" s="167"/>
      <c r="E261" s="167"/>
      <c r="F261" s="143"/>
      <c r="G261" s="167"/>
      <c r="H261" s="167"/>
      <c r="I261" s="167"/>
      <c r="J261" s="167"/>
      <c r="K261" s="167"/>
      <c r="L261" s="167"/>
      <c r="X261" s="145"/>
      <c r="Y261" s="145"/>
      <c r="Z261" s="145"/>
      <c r="AA261" s="145"/>
      <c r="AB261" s="145"/>
      <c r="AC261" s="170"/>
      <c r="AD261" s="170"/>
      <c r="AE261" s="168"/>
      <c r="AF261" s="168"/>
      <c r="AG261" s="168"/>
      <c r="AH261" s="168"/>
      <c r="AI261" s="168"/>
      <c r="AJ261" s="168"/>
      <c r="AK261" s="168"/>
      <c r="AL261" s="168"/>
      <c r="AM261" s="168"/>
      <c r="AN261" s="168"/>
      <c r="AO261" s="168"/>
      <c r="AP261" s="168"/>
      <c r="AQ261" s="168"/>
      <c r="AR261" s="168"/>
      <c r="AS261" s="168"/>
      <c r="AT261" s="168"/>
      <c r="AU261" s="168"/>
      <c r="AV261" s="168"/>
      <c r="AW261" s="168"/>
      <c r="AX261" s="168"/>
      <c r="AY261" s="168"/>
      <c r="AZ261" s="168"/>
      <c r="BA261" s="168"/>
      <c r="BB261" s="168"/>
      <c r="BC261" s="168"/>
      <c r="BD261" s="168"/>
      <c r="BE261" s="168"/>
      <c r="BF261" s="168"/>
    </row>
    <row r="262" spans="1:64" s="213" customFormat="1" ht="14.25" customHeight="1">
      <c r="A262" s="167"/>
      <c r="B262" s="167"/>
      <c r="C262" s="167"/>
      <c r="D262" s="167"/>
      <c r="E262" s="167"/>
      <c r="F262" s="143"/>
      <c r="G262" s="167"/>
      <c r="H262" s="167"/>
      <c r="I262" s="167"/>
      <c r="J262" s="167"/>
      <c r="K262" s="167"/>
      <c r="L262" s="167"/>
      <c r="X262" s="145"/>
      <c r="Y262" s="145"/>
      <c r="Z262" s="145"/>
      <c r="AA262" s="145"/>
      <c r="AB262" s="145"/>
      <c r="AC262" s="170"/>
      <c r="AD262" s="170"/>
      <c r="AE262" s="168"/>
      <c r="AF262" s="168"/>
      <c r="AG262" s="168"/>
      <c r="AH262" s="168"/>
      <c r="AI262" s="168"/>
      <c r="AJ262" s="168"/>
      <c r="AK262" s="168"/>
      <c r="AL262" s="168"/>
      <c r="AM262" s="168"/>
      <c r="AN262" s="168"/>
      <c r="AO262" s="168"/>
      <c r="AP262" s="168"/>
      <c r="AQ262" s="168"/>
      <c r="AR262" s="168"/>
      <c r="AS262" s="168"/>
      <c r="AT262" s="168"/>
      <c r="AU262" s="168"/>
      <c r="AV262" s="168"/>
      <c r="AW262" s="168"/>
      <c r="AX262" s="168"/>
      <c r="AY262" s="168"/>
      <c r="AZ262" s="168"/>
      <c r="BA262" s="168"/>
      <c r="BB262" s="168"/>
      <c r="BC262" s="168"/>
      <c r="BD262" s="168"/>
      <c r="BE262" s="168"/>
      <c r="BF262" s="168"/>
    </row>
    <row r="263" spans="1:64" s="213" customFormat="1" ht="14.25" customHeight="1">
      <c r="A263" s="167"/>
      <c r="B263" s="167"/>
      <c r="C263" s="167"/>
      <c r="D263" s="167"/>
      <c r="E263" s="167"/>
      <c r="F263" s="143"/>
      <c r="G263" s="167"/>
      <c r="H263" s="167"/>
      <c r="I263" s="167"/>
      <c r="J263" s="167"/>
      <c r="K263" s="167"/>
      <c r="L263" s="167"/>
      <c r="X263" s="145"/>
      <c r="Y263" s="145"/>
      <c r="Z263" s="145"/>
      <c r="AA263" s="145"/>
      <c r="AB263" s="145"/>
      <c r="AC263" s="170"/>
      <c r="AD263" s="170"/>
      <c r="AE263" s="168"/>
      <c r="AF263" s="168"/>
      <c r="AG263" s="168"/>
      <c r="AH263" s="168"/>
      <c r="AI263" s="168"/>
      <c r="AJ263" s="168"/>
      <c r="AK263" s="168"/>
      <c r="AL263" s="168"/>
      <c r="AM263" s="168"/>
      <c r="AN263" s="168"/>
      <c r="AO263" s="168"/>
      <c r="AP263" s="168"/>
      <c r="AQ263" s="168"/>
      <c r="AR263" s="168"/>
      <c r="AS263" s="168"/>
      <c r="AT263" s="168"/>
      <c r="AU263" s="168"/>
      <c r="AV263" s="168"/>
      <c r="AW263" s="168"/>
      <c r="AX263" s="168"/>
      <c r="AY263" s="168"/>
      <c r="AZ263" s="168"/>
      <c r="BA263" s="168"/>
      <c r="BB263" s="168"/>
      <c r="BC263" s="168"/>
      <c r="BD263" s="168"/>
      <c r="BE263" s="168"/>
    </row>
    <row r="264" spans="1:64" s="213" customFormat="1" ht="14.25" customHeight="1">
      <c r="A264" s="167"/>
      <c r="B264" s="167"/>
      <c r="C264" s="167"/>
      <c r="D264" s="167"/>
      <c r="E264" s="167"/>
      <c r="F264" s="143"/>
      <c r="G264" s="167"/>
      <c r="H264" s="167"/>
      <c r="I264" s="167"/>
      <c r="J264" s="167"/>
      <c r="K264" s="167"/>
      <c r="L264" s="167"/>
      <c r="X264" s="126"/>
      <c r="Y264" s="126"/>
      <c r="Z264" s="126"/>
      <c r="AA264" s="126"/>
      <c r="AB264" s="126"/>
      <c r="AC264" s="170"/>
      <c r="AD264" s="170"/>
      <c r="AE264" s="168"/>
      <c r="AF264" s="168"/>
      <c r="AG264" s="168"/>
      <c r="AH264" s="168"/>
      <c r="AI264" s="168"/>
      <c r="AJ264" s="168"/>
      <c r="AK264" s="168"/>
      <c r="AL264" s="168"/>
      <c r="AM264" s="168"/>
      <c r="AN264" s="168"/>
      <c r="AO264" s="168"/>
      <c r="AP264" s="168"/>
      <c r="AQ264" s="168"/>
      <c r="AR264" s="168"/>
      <c r="AS264" s="168"/>
      <c r="AT264" s="168"/>
      <c r="AU264" s="168"/>
      <c r="AV264" s="168"/>
      <c r="AW264" s="168"/>
      <c r="AX264" s="168"/>
      <c r="AY264" s="168"/>
      <c r="AZ264" s="168"/>
      <c r="BA264" s="168"/>
      <c r="BB264" s="168"/>
      <c r="BC264" s="168"/>
      <c r="BD264" s="168"/>
      <c r="BE264" s="168"/>
      <c r="BF264" s="168"/>
    </row>
    <row r="265" spans="1:64" s="213" customFormat="1" ht="14.25" customHeight="1">
      <c r="A265" s="167"/>
      <c r="B265" s="167"/>
      <c r="C265" s="167"/>
      <c r="D265" s="167"/>
      <c r="E265" s="167"/>
      <c r="F265" s="143"/>
      <c r="G265" s="167"/>
      <c r="H265" s="167"/>
      <c r="I265" s="167"/>
      <c r="J265" s="167"/>
      <c r="K265" s="167"/>
      <c r="L265" s="167"/>
      <c r="X265" s="126"/>
      <c r="Y265" s="126"/>
      <c r="Z265" s="126"/>
      <c r="AA265" s="126"/>
      <c r="AB265" s="126"/>
      <c r="AC265" s="170"/>
      <c r="AD265" s="170"/>
      <c r="AE265" s="168"/>
      <c r="AF265" s="168"/>
      <c r="AG265" s="168"/>
      <c r="AH265" s="168"/>
      <c r="AI265" s="168"/>
      <c r="AJ265" s="168"/>
      <c r="AK265" s="168"/>
      <c r="AL265" s="168"/>
      <c r="AM265" s="168"/>
      <c r="AN265" s="168"/>
      <c r="AO265" s="168"/>
      <c r="AP265" s="168"/>
      <c r="AQ265" s="168"/>
      <c r="AR265" s="168"/>
      <c r="AS265" s="168"/>
      <c r="AT265" s="168"/>
      <c r="AU265" s="168"/>
      <c r="AV265" s="168"/>
      <c r="AW265" s="168"/>
      <c r="AX265" s="168"/>
      <c r="AY265" s="168"/>
      <c r="AZ265" s="168"/>
      <c r="BA265" s="168"/>
      <c r="BB265" s="168"/>
      <c r="BC265" s="168"/>
      <c r="BD265" s="168"/>
      <c r="BE265" s="168"/>
      <c r="BF265" s="168"/>
      <c r="BG265" s="214"/>
      <c r="BH265" s="214"/>
    </row>
    <row r="266" spans="1:64" s="213" customFormat="1" ht="14.25" customHeight="1">
      <c r="A266" s="167"/>
      <c r="B266" s="167"/>
      <c r="C266" s="167"/>
      <c r="D266" s="167"/>
      <c r="E266" s="167"/>
      <c r="F266" s="143"/>
      <c r="G266" s="167"/>
      <c r="H266" s="167"/>
      <c r="I266" s="167"/>
      <c r="J266" s="167"/>
      <c r="K266" s="167"/>
      <c r="L266" s="167"/>
      <c r="X266" s="126"/>
      <c r="Y266" s="126"/>
      <c r="Z266" s="126"/>
      <c r="AA266" s="126"/>
      <c r="AB266" s="126"/>
      <c r="AC266" s="170"/>
      <c r="AD266" s="170"/>
      <c r="AE266" s="168"/>
      <c r="AF266" s="168"/>
      <c r="AG266" s="168"/>
      <c r="AH266" s="168"/>
      <c r="AI266" s="168"/>
      <c r="AJ266" s="168"/>
      <c r="AK266" s="168"/>
      <c r="AL266" s="168"/>
      <c r="AM266" s="168"/>
      <c r="AN266" s="168"/>
      <c r="AO266" s="168"/>
      <c r="AP266" s="168"/>
      <c r="AQ266" s="168"/>
      <c r="AR266" s="168"/>
      <c r="AS266" s="168"/>
      <c r="AT266" s="168"/>
      <c r="AU266" s="168"/>
      <c r="AV266" s="168"/>
      <c r="AW266" s="168"/>
      <c r="AX266" s="168"/>
      <c r="AY266" s="168"/>
      <c r="AZ266" s="168"/>
      <c r="BA266" s="168"/>
      <c r="BB266" s="168"/>
      <c r="BC266" s="168"/>
      <c r="BD266" s="168"/>
      <c r="BE266" s="168"/>
      <c r="BF266" s="168"/>
    </row>
    <row r="267" spans="1:64" s="213" customFormat="1" ht="14.25" customHeight="1">
      <c r="A267" s="167"/>
      <c r="B267" s="167"/>
      <c r="C267" s="167"/>
      <c r="D267" s="167"/>
      <c r="E267" s="167"/>
      <c r="F267" s="143"/>
      <c r="G267" s="167"/>
      <c r="H267" s="167"/>
      <c r="I267" s="167"/>
      <c r="J267" s="167"/>
      <c r="K267" s="167"/>
      <c r="L267" s="167"/>
      <c r="X267" s="126"/>
      <c r="Y267" s="126"/>
      <c r="Z267" s="126"/>
      <c r="AA267" s="126"/>
      <c r="AB267" s="126"/>
      <c r="AC267" s="170"/>
      <c r="AD267" s="170"/>
      <c r="AE267" s="168"/>
      <c r="AF267" s="168"/>
      <c r="AG267" s="168"/>
      <c r="AH267" s="168"/>
      <c r="AI267" s="168"/>
      <c r="AJ267" s="168"/>
      <c r="AK267" s="168"/>
      <c r="AL267" s="168"/>
      <c r="AM267" s="168"/>
      <c r="AN267" s="168"/>
      <c r="AO267" s="168"/>
      <c r="AP267" s="168"/>
      <c r="AQ267" s="168"/>
      <c r="AR267" s="168"/>
      <c r="AS267" s="168"/>
      <c r="AT267" s="168"/>
      <c r="AU267" s="168"/>
      <c r="AV267" s="168"/>
      <c r="AW267" s="168"/>
      <c r="AX267" s="168"/>
      <c r="AY267" s="168"/>
      <c r="AZ267" s="168"/>
      <c r="BA267" s="168"/>
      <c r="BB267" s="168"/>
      <c r="BC267" s="168"/>
      <c r="BD267" s="168"/>
      <c r="BE267" s="168"/>
      <c r="BF267" s="168"/>
    </row>
    <row r="268" spans="1:64" s="169" customFormat="1" ht="14.25" customHeight="1">
      <c r="A268" s="167"/>
      <c r="B268" s="167"/>
      <c r="C268" s="167"/>
      <c r="D268" s="167"/>
      <c r="E268" s="167"/>
      <c r="F268" s="143"/>
      <c r="G268" s="167"/>
      <c r="H268" s="167"/>
      <c r="I268" s="167"/>
      <c r="J268" s="167"/>
      <c r="K268" s="167"/>
      <c r="L268" s="167"/>
      <c r="M268" s="213"/>
      <c r="N268" s="213"/>
      <c r="O268" s="213"/>
      <c r="P268" s="213"/>
      <c r="Q268" s="213"/>
      <c r="R268" s="213"/>
      <c r="S268" s="213"/>
      <c r="T268" s="213"/>
      <c r="U268" s="213"/>
      <c r="V268" s="213"/>
      <c r="W268" s="213"/>
      <c r="AC268" s="170"/>
      <c r="AD268" s="170"/>
      <c r="AE268" s="168"/>
      <c r="AF268" s="168"/>
      <c r="AG268" s="168"/>
      <c r="AH268" s="168"/>
      <c r="AI268" s="168"/>
      <c r="AJ268" s="168"/>
      <c r="AK268" s="168"/>
      <c r="AL268" s="168"/>
      <c r="AM268" s="168"/>
      <c r="AN268" s="168"/>
      <c r="AO268" s="168"/>
      <c r="AP268" s="168"/>
      <c r="AQ268" s="168"/>
      <c r="AR268" s="168"/>
      <c r="AS268" s="168"/>
      <c r="AT268" s="168"/>
      <c r="AU268" s="168"/>
      <c r="AV268" s="168"/>
      <c r="AW268" s="168"/>
      <c r="AX268" s="168"/>
      <c r="AY268" s="168"/>
      <c r="AZ268" s="168"/>
      <c r="BA268" s="168"/>
      <c r="BB268" s="168"/>
      <c r="BC268" s="168"/>
      <c r="BD268" s="168"/>
      <c r="BE268" s="168"/>
      <c r="BF268" s="168"/>
    </row>
    <row r="269" spans="1:64" s="213" customFormat="1" ht="14.25" customHeight="1">
      <c r="A269" s="165">
        <f>A239+1</f>
        <v>9</v>
      </c>
      <c r="B269" s="165"/>
      <c r="C269" s="187" t="str">
        <f>IF($A$1 = 1, (IF("("&amp;C279&amp;")" ="()","","("&amp;C279&amp;")")), (IF("("&amp;C284&amp;")     ("&amp;C279&amp;")"="()     ()","","("&amp;C284&amp;")     ("&amp;C279&amp;")")))</f>
        <v>(5)     (5)</v>
      </c>
      <c r="D269" s="187" t="str">
        <f t="shared" ref="D269:J269" si="24">IF($A$1 = 1, (IF("("&amp;D279&amp;")" ="()","","("&amp;D279&amp;")")), (IF("("&amp;D284&amp;")     ("&amp;D279&amp;")"="()     ()","","("&amp;D284&amp;")     ("&amp;D279&amp;")")))</f>
        <v>(1)     (2)</v>
      </c>
      <c r="E269" s="187" t="str">
        <f t="shared" si="24"/>
        <v>(126)     (110)</v>
      </c>
      <c r="F269" s="187" t="str">
        <f t="shared" si="24"/>
        <v>(1)     (2)</v>
      </c>
      <c r="G269" s="187" t="str">
        <f t="shared" si="24"/>
        <v>(10)     (9)</v>
      </c>
      <c r="H269" s="187" t="str">
        <f t="shared" si="24"/>
        <v>(6)     (6)</v>
      </c>
      <c r="I269" s="187" t="str">
        <f t="shared" si="24"/>
        <v>(37)     (38)</v>
      </c>
      <c r="J269" s="187" t="str">
        <f t="shared" si="24"/>
        <v/>
      </c>
      <c r="K269" s="187"/>
      <c r="L269" s="187"/>
      <c r="M269" s="220"/>
      <c r="N269" s="220"/>
      <c r="O269" s="220"/>
      <c r="P269" s="220"/>
      <c r="Q269" s="220"/>
      <c r="R269" s="220"/>
      <c r="S269" s="220"/>
      <c r="T269" s="220"/>
      <c r="U269" s="220"/>
      <c r="V269" s="220"/>
      <c r="W269" s="220"/>
      <c r="Y269" s="170"/>
      <c r="Z269" s="170"/>
      <c r="AA269" s="170"/>
      <c r="AB269" s="170"/>
      <c r="AC269" s="170"/>
      <c r="AD269" s="168"/>
      <c r="AE269" s="168"/>
      <c r="AF269" s="168"/>
      <c r="AG269" s="168"/>
      <c r="AH269" s="168"/>
      <c r="AI269" s="168"/>
      <c r="AJ269" s="168"/>
      <c r="AK269" s="168"/>
      <c r="AL269" s="168"/>
      <c r="AM269" s="168"/>
      <c r="AN269" s="168"/>
      <c r="AO269" s="168"/>
      <c r="AP269" s="168"/>
      <c r="AQ269" s="168"/>
      <c r="AR269" s="168"/>
      <c r="AS269" s="168"/>
      <c r="AT269" s="168"/>
      <c r="AU269" s="168"/>
      <c r="AV269" s="168"/>
      <c r="AW269" s="168"/>
      <c r="AX269" s="168"/>
      <c r="AY269" s="168"/>
      <c r="AZ269" s="168"/>
      <c r="BA269" s="168"/>
      <c r="BB269" s="168"/>
      <c r="BC269" s="168"/>
      <c r="BD269" s="168"/>
      <c r="BE269" s="168"/>
    </row>
    <row r="270" spans="1:64" s="213" customFormat="1" ht="59.1" customHeight="1">
      <c r="A270" s="167"/>
      <c r="B270" s="177"/>
      <c r="C270" s="178" t="s">
        <v>783</v>
      </c>
      <c r="D270" s="178" t="s">
        <v>785</v>
      </c>
      <c r="E270" s="178" t="s">
        <v>828</v>
      </c>
      <c r="F270" s="178" t="s">
        <v>786</v>
      </c>
      <c r="G270" s="178" t="s">
        <v>829</v>
      </c>
      <c r="H270" s="178" t="s">
        <v>830</v>
      </c>
      <c r="I270" s="178" t="s">
        <v>831</v>
      </c>
      <c r="J270" s="178"/>
      <c r="K270" s="178"/>
      <c r="L270" s="178"/>
      <c r="M270" s="208"/>
      <c r="N270" s="208"/>
      <c r="O270" s="208"/>
      <c r="P270" s="208"/>
      <c r="Q270" s="208"/>
      <c r="R270" s="208"/>
      <c r="S270" s="208"/>
      <c r="T270" s="208"/>
      <c r="U270" s="208"/>
      <c r="V270" s="208"/>
      <c r="W270" s="208"/>
      <c r="X270" s="210"/>
      <c r="Y270" s="210"/>
      <c r="Z270" s="210"/>
      <c r="AA270" s="210"/>
      <c r="AB270" s="210"/>
      <c r="AC270" s="210"/>
      <c r="AD270" s="210"/>
      <c r="AE270" s="210"/>
      <c r="AF270" s="210"/>
      <c r="AG270" s="210"/>
      <c r="AH270" s="210"/>
      <c r="AI270" s="210"/>
      <c r="AJ270" s="210"/>
      <c r="AK270" s="210"/>
      <c r="AL270" s="210"/>
      <c r="AM270" s="210"/>
      <c r="AN270" s="210"/>
      <c r="AO270" s="216"/>
      <c r="AP270" s="216"/>
      <c r="AQ270" s="216"/>
      <c r="AR270" s="216"/>
      <c r="AS270" s="216"/>
      <c r="AT270" s="216"/>
      <c r="AU270" s="216"/>
      <c r="AV270" s="216"/>
      <c r="AW270" s="216"/>
      <c r="AX270" s="210"/>
      <c r="AY270" s="216"/>
      <c r="AZ270" s="216"/>
      <c r="BA270" s="216"/>
      <c r="BB270" s="216"/>
      <c r="BC270" s="216"/>
      <c r="BD270" s="216"/>
      <c r="BE270" s="216"/>
      <c r="BF270" s="216"/>
      <c r="BG270" s="216"/>
      <c r="BH270" s="216"/>
      <c r="BI270" s="216"/>
      <c r="BJ270" s="210"/>
      <c r="BK270" s="210"/>
      <c r="BL270" s="210"/>
    </row>
    <row r="271" spans="1:64" s="213" customFormat="1" ht="18" customHeight="1" thickBot="1">
      <c r="A271" s="167"/>
      <c r="B271" s="181" t="s">
        <v>3</v>
      </c>
      <c r="C271" s="148" t="s">
        <v>443</v>
      </c>
      <c r="D271" s="148" t="s">
        <v>443</v>
      </c>
      <c r="E271" s="148">
        <v>76</v>
      </c>
      <c r="F271" s="148" t="s">
        <v>443</v>
      </c>
      <c r="G271" s="148">
        <v>73</v>
      </c>
      <c r="H271" s="148">
        <v>65</v>
      </c>
      <c r="I271" s="148">
        <v>59</v>
      </c>
      <c r="J271" s="148"/>
      <c r="K271" s="148"/>
      <c r="L271" s="148"/>
      <c r="M271" s="211"/>
      <c r="N271" s="211"/>
      <c r="O271" s="211"/>
      <c r="P271" s="211"/>
      <c r="Q271" s="211"/>
      <c r="R271" s="211"/>
      <c r="S271" s="211"/>
      <c r="T271" s="211"/>
      <c r="U271" s="211"/>
      <c r="V271" s="211"/>
      <c r="W271" s="211"/>
      <c r="X271" s="168"/>
      <c r="Y271" s="168"/>
      <c r="Z271" s="168"/>
      <c r="AA271" s="168"/>
      <c r="AB271" s="168"/>
      <c r="AC271" s="168"/>
      <c r="AD271" s="168"/>
      <c r="AE271" s="168"/>
      <c r="AF271" s="168"/>
      <c r="AG271" s="168"/>
      <c r="AH271" s="168"/>
      <c r="AI271" s="168"/>
      <c r="AJ271" s="168"/>
      <c r="AK271" s="168"/>
      <c r="AL271" s="168"/>
      <c r="AM271" s="168"/>
      <c r="AN271" s="168"/>
      <c r="AX271" s="168"/>
      <c r="BJ271" s="168"/>
      <c r="BK271" s="168"/>
      <c r="BL271" s="168"/>
    </row>
    <row r="272" spans="1:64" s="213" customFormat="1" ht="18" customHeight="1" thickBot="1">
      <c r="A272" s="167"/>
      <c r="B272" s="182" t="s">
        <v>18</v>
      </c>
      <c r="C272" s="148" t="s">
        <v>443</v>
      </c>
      <c r="D272" s="148" t="s">
        <v>443</v>
      </c>
      <c r="E272" s="148">
        <v>74</v>
      </c>
      <c r="F272" s="148" t="s">
        <v>443</v>
      </c>
      <c r="G272" s="148">
        <v>80</v>
      </c>
      <c r="H272" s="148">
        <v>76</v>
      </c>
      <c r="I272" s="148">
        <v>62</v>
      </c>
      <c r="J272" s="148"/>
      <c r="K272" s="148"/>
      <c r="L272" s="148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68"/>
      <c r="Y272" s="168"/>
      <c r="Z272" s="168"/>
      <c r="AA272" s="168"/>
      <c r="AB272" s="168"/>
      <c r="AC272" s="168"/>
      <c r="AD272" s="168"/>
      <c r="AE272" s="168"/>
      <c r="AF272" s="168"/>
      <c r="AG272" s="168"/>
      <c r="AH272" s="168"/>
      <c r="AI272" s="168"/>
      <c r="AJ272" s="168"/>
      <c r="AK272" s="168"/>
      <c r="AL272" s="168"/>
      <c r="AM272" s="168"/>
      <c r="AN272" s="168"/>
      <c r="AX272" s="168"/>
      <c r="BJ272" s="168"/>
      <c r="BK272" s="168"/>
      <c r="BL272" s="168"/>
    </row>
    <row r="273" spans="1:256" s="168" customFormat="1" ht="18" customHeight="1" thickBot="1">
      <c r="A273" s="143"/>
      <c r="B273" s="183" t="s">
        <v>32</v>
      </c>
      <c r="C273" s="147" t="s">
        <v>443</v>
      </c>
      <c r="D273" s="147" t="s">
        <v>443</v>
      </c>
      <c r="E273" s="147">
        <v>72</v>
      </c>
      <c r="F273" s="147" t="s">
        <v>443</v>
      </c>
      <c r="G273" s="147">
        <v>69</v>
      </c>
      <c r="H273" s="147">
        <v>72</v>
      </c>
      <c r="I273" s="147">
        <v>59</v>
      </c>
      <c r="J273" s="147"/>
      <c r="K273" s="147"/>
      <c r="L273" s="147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AO273" s="213"/>
      <c r="AP273" s="213"/>
      <c r="AQ273" s="213"/>
      <c r="AR273" s="213"/>
      <c r="AS273" s="213"/>
      <c r="AT273" s="213"/>
      <c r="AU273" s="213"/>
      <c r="AV273" s="213"/>
      <c r="AW273" s="213"/>
      <c r="AY273" s="213"/>
      <c r="AZ273" s="213"/>
      <c r="BA273" s="213"/>
      <c r="BB273" s="213"/>
      <c r="BC273" s="213"/>
      <c r="BD273" s="213"/>
      <c r="BE273" s="213"/>
      <c r="BF273" s="213"/>
      <c r="BG273" s="213"/>
      <c r="BH273" s="213"/>
      <c r="BM273" s="213"/>
      <c r="BN273" s="213"/>
      <c r="BO273" s="213"/>
      <c r="BP273" s="213"/>
      <c r="BQ273" s="213"/>
      <c r="BR273" s="213"/>
      <c r="BS273" s="213"/>
      <c r="BT273" s="213"/>
      <c r="BU273" s="213"/>
      <c r="BW273" s="203"/>
      <c r="BX273" s="204"/>
      <c r="BY273" s="169"/>
      <c r="BZ273" s="169"/>
      <c r="CA273" s="169"/>
      <c r="CB273" s="169"/>
      <c r="CC273" s="169"/>
      <c r="CD273" s="170"/>
      <c r="CE273" s="170"/>
      <c r="CF273" s="170"/>
      <c r="CG273" s="170"/>
      <c r="CH273" s="170"/>
      <c r="DK273" s="213"/>
      <c r="DL273" s="213"/>
      <c r="DM273" s="213"/>
      <c r="DN273" s="213"/>
      <c r="DO273" s="213"/>
      <c r="DP273" s="213"/>
      <c r="DQ273" s="213"/>
      <c r="DR273" s="213"/>
      <c r="DS273" s="213"/>
      <c r="DT273" s="213"/>
      <c r="DU273" s="213"/>
      <c r="DV273" s="213"/>
      <c r="DW273" s="213"/>
      <c r="DX273" s="213"/>
      <c r="DY273" s="213"/>
      <c r="DZ273" s="213"/>
      <c r="EA273" s="213"/>
      <c r="EB273" s="213"/>
      <c r="EC273" s="213"/>
      <c r="ED273" s="213"/>
      <c r="EF273" s="203"/>
      <c r="EG273" s="204"/>
      <c r="EH273" s="169"/>
      <c r="EI273" s="169"/>
      <c r="EJ273" s="169"/>
      <c r="EK273" s="169"/>
      <c r="EL273" s="169"/>
      <c r="EM273" s="170"/>
      <c r="EN273" s="170"/>
      <c r="EO273" s="170"/>
      <c r="EP273" s="170"/>
      <c r="EQ273" s="170"/>
      <c r="FT273" s="213"/>
      <c r="FU273" s="213"/>
      <c r="FV273" s="213"/>
      <c r="FW273" s="213"/>
      <c r="FX273" s="213"/>
      <c r="FY273" s="213"/>
      <c r="FZ273" s="213"/>
      <c r="GA273" s="213"/>
      <c r="GB273" s="213"/>
      <c r="GC273" s="213"/>
      <c r="GD273" s="213"/>
      <c r="GE273" s="213"/>
      <c r="GF273" s="213"/>
      <c r="GG273" s="213"/>
      <c r="GH273" s="213"/>
      <c r="GI273" s="213"/>
      <c r="GJ273" s="213"/>
      <c r="GK273" s="213"/>
      <c r="GL273" s="213"/>
      <c r="GM273" s="213"/>
      <c r="GO273" s="203"/>
      <c r="GP273" s="204"/>
      <c r="GQ273" s="169"/>
      <c r="GR273" s="169"/>
      <c r="GS273" s="169"/>
      <c r="GT273" s="169"/>
      <c r="GU273" s="169"/>
      <c r="GV273" s="170"/>
      <c r="GW273" s="170"/>
      <c r="GX273" s="170"/>
      <c r="GY273" s="170"/>
      <c r="GZ273" s="170"/>
      <c r="IC273" s="213"/>
      <c r="ID273" s="213"/>
      <c r="IE273" s="213"/>
      <c r="IF273" s="213"/>
      <c r="IG273" s="213"/>
      <c r="IH273" s="213"/>
      <c r="II273" s="213"/>
      <c r="IJ273" s="213"/>
      <c r="IK273" s="213"/>
      <c r="IL273" s="213"/>
      <c r="IM273" s="213"/>
      <c r="IN273" s="213"/>
      <c r="IO273" s="213"/>
      <c r="IP273" s="213"/>
      <c r="IQ273" s="213"/>
      <c r="IR273" s="213"/>
      <c r="IS273" s="213"/>
      <c r="IT273" s="213"/>
      <c r="IU273" s="213"/>
      <c r="IV273" s="213"/>
    </row>
    <row r="274" spans="1:256" s="168" customFormat="1" ht="18" customHeight="1" thickBot="1">
      <c r="A274" s="143"/>
      <c r="B274" s="182" t="s">
        <v>45</v>
      </c>
      <c r="C274" s="145" t="s">
        <v>443</v>
      </c>
      <c r="D274" s="145" t="s">
        <v>443</v>
      </c>
      <c r="E274" s="145">
        <v>73</v>
      </c>
      <c r="F274" s="145" t="s">
        <v>443</v>
      </c>
      <c r="G274" s="145">
        <v>76</v>
      </c>
      <c r="H274" s="145">
        <v>81</v>
      </c>
      <c r="I274" s="145">
        <v>63</v>
      </c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AO274" s="213"/>
      <c r="AP274" s="213"/>
      <c r="AQ274" s="213"/>
      <c r="AR274" s="213"/>
      <c r="AS274" s="213"/>
      <c r="AT274" s="213"/>
      <c r="AU274" s="213"/>
      <c r="AV274" s="213"/>
      <c r="AW274" s="213"/>
      <c r="AY274" s="213"/>
      <c r="AZ274" s="213"/>
      <c r="BA274" s="213"/>
      <c r="BB274" s="213"/>
      <c r="BC274" s="213"/>
      <c r="BD274" s="213"/>
      <c r="BE274" s="213"/>
      <c r="BF274" s="213"/>
      <c r="BG274" s="213"/>
      <c r="BH274" s="213"/>
      <c r="BM274" s="169"/>
      <c r="BN274" s="169"/>
      <c r="BO274" s="169"/>
      <c r="BP274" s="169"/>
      <c r="BQ274" s="170"/>
      <c r="BR274" s="170"/>
      <c r="BS274" s="170"/>
      <c r="BT274" s="170"/>
      <c r="BU274" s="170"/>
      <c r="CX274" s="213"/>
      <c r="CY274" s="213"/>
      <c r="CZ274" s="213"/>
      <c r="DA274" s="213"/>
      <c r="DB274" s="213"/>
      <c r="DC274" s="213"/>
      <c r="DD274" s="213"/>
      <c r="DE274" s="213"/>
      <c r="DF274" s="213"/>
      <c r="DG274" s="213"/>
      <c r="DH274" s="213"/>
      <c r="DI274" s="213"/>
      <c r="DJ274" s="213"/>
      <c r="DK274" s="213"/>
      <c r="DL274" s="213"/>
      <c r="DM274" s="213"/>
      <c r="DN274" s="213"/>
      <c r="DO274" s="213"/>
      <c r="DP274" s="213"/>
      <c r="DQ274" s="213"/>
      <c r="DS274" s="203"/>
      <c r="DT274" s="204"/>
      <c r="DU274" s="169"/>
      <c r="DV274" s="169"/>
      <c r="DW274" s="169"/>
      <c r="DX274" s="169"/>
      <c r="DY274" s="169"/>
      <c r="DZ274" s="170"/>
      <c r="EA274" s="170"/>
      <c r="EB274" s="170"/>
      <c r="EC274" s="170"/>
      <c r="ED274" s="170"/>
      <c r="FG274" s="213"/>
      <c r="FH274" s="213"/>
      <c r="FI274" s="213"/>
      <c r="FJ274" s="213"/>
      <c r="FK274" s="213"/>
      <c r="FL274" s="213"/>
      <c r="FM274" s="213"/>
      <c r="FN274" s="213"/>
      <c r="FO274" s="213"/>
      <c r="FP274" s="213"/>
      <c r="FQ274" s="213"/>
      <c r="FR274" s="213"/>
      <c r="FS274" s="213"/>
      <c r="FT274" s="213"/>
      <c r="FU274" s="213"/>
      <c r="FV274" s="213"/>
      <c r="FW274" s="213"/>
      <c r="FX274" s="213"/>
      <c r="FY274" s="213"/>
      <c r="FZ274" s="213"/>
      <c r="GB274" s="203"/>
      <c r="GC274" s="204"/>
      <c r="GD274" s="169"/>
      <c r="GE274" s="169"/>
      <c r="GF274" s="169"/>
      <c r="GG274" s="169"/>
      <c r="GH274" s="169"/>
      <c r="GI274" s="170"/>
      <c r="GJ274" s="170"/>
      <c r="GK274" s="170"/>
      <c r="GL274" s="170"/>
      <c r="GM274" s="170"/>
      <c r="HP274" s="213"/>
      <c r="HQ274" s="213"/>
      <c r="HR274" s="213"/>
      <c r="HS274" s="213"/>
      <c r="HT274" s="213"/>
      <c r="HU274" s="213"/>
      <c r="HV274" s="213"/>
      <c r="HW274" s="213"/>
      <c r="HX274" s="213"/>
      <c r="HY274" s="213"/>
      <c r="HZ274" s="213"/>
      <c r="IA274" s="213"/>
      <c r="IB274" s="213"/>
      <c r="IC274" s="213"/>
      <c r="ID274" s="213"/>
      <c r="IE274" s="213"/>
      <c r="IF274" s="213"/>
      <c r="IG274" s="213"/>
      <c r="IH274" s="213"/>
      <c r="II274" s="213"/>
      <c r="IK274" s="203"/>
      <c r="IL274" s="204"/>
      <c r="IM274" s="169"/>
      <c r="IN274" s="169"/>
      <c r="IO274" s="169"/>
      <c r="IP274" s="169"/>
      <c r="IQ274" s="169"/>
      <c r="IR274" s="170"/>
      <c r="IS274" s="170"/>
      <c r="IT274" s="170"/>
      <c r="IU274" s="170"/>
      <c r="IV274" s="170"/>
    </row>
    <row r="275" spans="1:256" s="168" customFormat="1" ht="18" customHeight="1" thickBot="1">
      <c r="A275" s="143"/>
      <c r="B275" s="184" t="s">
        <v>54</v>
      </c>
      <c r="C275" s="146" t="s">
        <v>443</v>
      </c>
      <c r="D275" s="146" t="s">
        <v>443</v>
      </c>
      <c r="E275" s="146">
        <v>72</v>
      </c>
      <c r="F275" s="146" t="s">
        <v>443</v>
      </c>
      <c r="G275" s="146">
        <v>86</v>
      </c>
      <c r="H275" s="146">
        <v>67</v>
      </c>
      <c r="I275" s="146">
        <v>63</v>
      </c>
      <c r="J275" s="146"/>
      <c r="K275" s="146"/>
      <c r="L275" s="146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AO275" s="213"/>
      <c r="AP275" s="213"/>
      <c r="AQ275" s="213"/>
      <c r="AR275" s="213"/>
      <c r="AS275" s="213"/>
      <c r="AT275" s="213"/>
      <c r="AU275" s="213"/>
      <c r="AV275" s="213"/>
      <c r="AW275" s="213"/>
      <c r="AY275" s="213"/>
      <c r="AZ275" s="213"/>
      <c r="BA275" s="213"/>
      <c r="BB275" s="213"/>
      <c r="BC275" s="213"/>
      <c r="BD275" s="213"/>
      <c r="BE275" s="213"/>
      <c r="BF275" s="213"/>
      <c r="BG275" s="213"/>
      <c r="BH275" s="213"/>
      <c r="CK275" s="213"/>
      <c r="CL275" s="213"/>
      <c r="CM275" s="213"/>
      <c r="CN275" s="213"/>
      <c r="CO275" s="213"/>
      <c r="CP275" s="213"/>
      <c r="CQ275" s="213"/>
      <c r="CR275" s="213"/>
      <c r="CS275" s="213"/>
      <c r="CT275" s="213"/>
      <c r="CU275" s="213"/>
      <c r="CV275" s="213"/>
      <c r="CW275" s="213"/>
      <c r="CX275" s="213"/>
      <c r="CY275" s="213"/>
      <c r="CZ275" s="213"/>
      <c r="DA275" s="213"/>
      <c r="DB275" s="213"/>
      <c r="DC275" s="213"/>
      <c r="DD275" s="213"/>
      <c r="DF275" s="203"/>
      <c r="DG275" s="204"/>
      <c r="DH275" s="169"/>
      <c r="DI275" s="169"/>
      <c r="DJ275" s="169"/>
      <c r="DK275" s="169"/>
      <c r="DL275" s="169"/>
      <c r="DM275" s="170"/>
      <c r="DN275" s="170"/>
      <c r="DO275" s="170"/>
      <c r="DP275" s="170"/>
      <c r="DQ275" s="170"/>
      <c r="ET275" s="213"/>
      <c r="EU275" s="213"/>
      <c r="EV275" s="213"/>
      <c r="EW275" s="213"/>
      <c r="EX275" s="213"/>
      <c r="EY275" s="213"/>
      <c r="EZ275" s="213"/>
      <c r="FA275" s="213"/>
      <c r="FB275" s="213"/>
      <c r="FC275" s="213"/>
      <c r="FD275" s="213"/>
      <c r="FE275" s="213"/>
      <c r="FF275" s="213"/>
      <c r="FG275" s="213"/>
      <c r="FH275" s="213"/>
      <c r="FI275" s="213"/>
      <c r="FJ275" s="213"/>
      <c r="FK275" s="213"/>
      <c r="FL275" s="213"/>
      <c r="FM275" s="213"/>
      <c r="FO275" s="203"/>
      <c r="FP275" s="204"/>
      <c r="FQ275" s="169"/>
      <c r="FR275" s="169"/>
      <c r="FS275" s="169"/>
      <c r="FT275" s="169"/>
      <c r="FU275" s="169"/>
      <c r="FV275" s="170"/>
      <c r="FW275" s="170"/>
      <c r="FX275" s="170"/>
      <c r="FY275" s="170"/>
      <c r="FZ275" s="170"/>
      <c r="HC275" s="213"/>
      <c r="HD275" s="213"/>
      <c r="HE275" s="213"/>
      <c r="HF275" s="213"/>
      <c r="HG275" s="213"/>
      <c r="HH275" s="213"/>
      <c r="HI275" s="213"/>
      <c r="HJ275" s="213"/>
      <c r="HK275" s="213"/>
      <c r="HL275" s="213"/>
      <c r="HM275" s="213"/>
      <c r="HN275" s="213"/>
      <c r="HO275" s="213"/>
      <c r="HP275" s="213"/>
      <c r="HQ275" s="213"/>
      <c r="HR275" s="213"/>
      <c r="HS275" s="213"/>
      <c r="HT275" s="213"/>
      <c r="HU275" s="213"/>
      <c r="HV275" s="213"/>
      <c r="HW275" s="213"/>
      <c r="HY275" s="203"/>
      <c r="HZ275" s="204"/>
      <c r="IA275" s="169"/>
      <c r="IB275" s="169"/>
      <c r="IC275" s="169"/>
      <c r="ID275" s="169"/>
      <c r="IE275" s="169"/>
      <c r="IF275" s="170"/>
      <c r="IG275" s="170"/>
      <c r="IH275" s="170"/>
      <c r="II275" s="170"/>
      <c r="IJ275" s="170"/>
    </row>
    <row r="276" spans="1:256" s="168" customFormat="1">
      <c r="A276" s="143"/>
      <c r="B276" s="182" t="s">
        <v>66</v>
      </c>
      <c r="C276" s="145"/>
      <c r="D276" s="145"/>
      <c r="E276" s="145">
        <v>73</v>
      </c>
      <c r="F276" s="145"/>
      <c r="G276" s="145">
        <v>63</v>
      </c>
      <c r="H276" s="125">
        <v>100</v>
      </c>
      <c r="I276" s="125">
        <v>58</v>
      </c>
      <c r="J276" s="125"/>
      <c r="K276" s="125"/>
      <c r="L276" s="12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AO276" s="213"/>
      <c r="AP276" s="213"/>
      <c r="AQ276" s="213"/>
      <c r="AR276" s="213"/>
      <c r="AS276" s="213"/>
      <c r="AT276" s="213"/>
      <c r="AU276" s="213"/>
      <c r="AV276" s="213"/>
      <c r="AW276" s="213"/>
      <c r="AY276" s="213"/>
      <c r="AZ276" s="213"/>
      <c r="BA276" s="213"/>
      <c r="BB276" s="213"/>
      <c r="BC276" s="213"/>
      <c r="BD276" s="213"/>
      <c r="BE276" s="213"/>
      <c r="BF276" s="213"/>
      <c r="BG276" s="213"/>
      <c r="BH276" s="213"/>
      <c r="BM276" s="212"/>
      <c r="BN276" s="212"/>
      <c r="BO276" s="212"/>
      <c r="BP276" s="212"/>
      <c r="BQ276" s="212"/>
      <c r="BR276" s="212"/>
      <c r="BS276" s="212"/>
      <c r="BT276" s="212"/>
      <c r="BU276" s="212"/>
      <c r="BV276" s="212"/>
      <c r="BW276" s="212"/>
      <c r="BX276" s="212"/>
      <c r="BY276" s="212"/>
      <c r="BZ276" s="215"/>
      <c r="CA276" s="215"/>
      <c r="CB276" s="215"/>
      <c r="CC276" s="215"/>
      <c r="CD276" s="215"/>
      <c r="CE276" s="215"/>
      <c r="CF276" s="215"/>
      <c r="CG276" s="215"/>
      <c r="CH276" s="215"/>
      <c r="CI276" s="215"/>
      <c r="CJ276" s="215"/>
      <c r="CK276" s="215"/>
      <c r="CL276" s="215"/>
      <c r="CM276" s="215"/>
      <c r="CN276" s="215"/>
      <c r="CO276" s="215"/>
      <c r="CP276" s="215"/>
      <c r="CQ276" s="215"/>
      <c r="CR276" s="215"/>
      <c r="CS276" s="215"/>
      <c r="CT276" s="215"/>
      <c r="CU276" s="212"/>
      <c r="CV276" s="206"/>
      <c r="CW276" s="207"/>
      <c r="CX276" s="208"/>
      <c r="CY276" s="208"/>
      <c r="CZ276" s="208"/>
      <c r="DA276" s="208"/>
      <c r="DB276" s="208"/>
      <c r="DC276" s="208"/>
      <c r="DD276" s="208"/>
      <c r="DE276" s="208"/>
      <c r="DF276" s="209"/>
      <c r="DG276" s="209"/>
      <c r="DH276" s="210"/>
      <c r="DI276" s="210"/>
      <c r="DJ276" s="210"/>
      <c r="DK276" s="210"/>
      <c r="DL276" s="210"/>
      <c r="DM276" s="210"/>
      <c r="DN276" s="210"/>
      <c r="DO276" s="210"/>
      <c r="DP276" s="210"/>
      <c r="DQ276" s="210"/>
      <c r="DR276" s="210"/>
      <c r="DS276" s="210"/>
      <c r="DT276" s="210"/>
      <c r="DU276" s="210"/>
      <c r="DV276" s="210"/>
      <c r="DW276" s="210"/>
      <c r="DX276" s="210"/>
      <c r="DY276" s="210"/>
      <c r="DZ276" s="210"/>
      <c r="EA276" s="210"/>
      <c r="EB276" s="210"/>
      <c r="EC276" s="210"/>
      <c r="ED276" s="210"/>
      <c r="EE276" s="210"/>
      <c r="EF276" s="210"/>
      <c r="EG276" s="210"/>
      <c r="EH276" s="210"/>
      <c r="EI276" s="210"/>
      <c r="EJ276" s="216"/>
      <c r="EK276" s="216"/>
      <c r="EL276" s="216"/>
      <c r="EM276" s="216"/>
      <c r="EN276" s="216"/>
      <c r="EO276" s="216"/>
      <c r="EP276" s="216"/>
      <c r="EQ276" s="216"/>
      <c r="ER276" s="216"/>
      <c r="ES276" s="210"/>
      <c r="ET276" s="216"/>
      <c r="EU276" s="216"/>
      <c r="EV276" s="216"/>
      <c r="EW276" s="216"/>
      <c r="EX276" s="216"/>
      <c r="EY276" s="216"/>
      <c r="EZ276" s="216"/>
      <c r="FA276" s="216"/>
      <c r="FB276" s="216"/>
      <c r="FC276" s="216"/>
      <c r="FD276" s="216"/>
      <c r="FE276" s="210"/>
      <c r="FF276" s="203"/>
      <c r="FG276" s="182"/>
      <c r="FH276" s="145"/>
      <c r="FI276" s="211"/>
      <c r="FJ276" s="211"/>
      <c r="FK276" s="211"/>
      <c r="FL276" s="211"/>
      <c r="FM276" s="211"/>
      <c r="FN276" s="211"/>
      <c r="FO276" s="211"/>
      <c r="FP276" s="170"/>
      <c r="FQ276" s="170"/>
      <c r="GT276" s="213"/>
      <c r="GU276" s="213"/>
      <c r="GV276" s="213"/>
      <c r="GW276" s="213"/>
      <c r="GX276" s="213"/>
      <c r="GY276" s="213"/>
      <c r="GZ276" s="213"/>
      <c r="HA276" s="213"/>
      <c r="HB276" s="213"/>
      <c r="HD276" s="213"/>
      <c r="HE276" s="213"/>
      <c r="HF276" s="213"/>
      <c r="HG276" s="213"/>
      <c r="HH276" s="213"/>
      <c r="HI276" s="213"/>
      <c r="HJ276" s="213"/>
      <c r="HK276" s="213"/>
      <c r="HL276" s="213"/>
      <c r="HM276" s="213"/>
      <c r="HN276" s="213"/>
      <c r="HP276" s="203"/>
      <c r="HQ276" s="182"/>
      <c r="HR276" s="145"/>
      <c r="HS276" s="145"/>
      <c r="HT276" s="145"/>
      <c r="HU276" s="145"/>
      <c r="HV276" s="145"/>
      <c r="HW276" s="145"/>
      <c r="HX276" s="145"/>
      <c r="HY276" s="145"/>
      <c r="HZ276" s="170"/>
      <c r="IA276" s="170"/>
    </row>
    <row r="277" spans="1:256" s="213" customFormat="1">
      <c r="A277" s="167"/>
      <c r="B277" s="182" t="s">
        <v>158</v>
      </c>
      <c r="C277" s="126" t="s">
        <v>443</v>
      </c>
      <c r="D277" s="126" t="s">
        <v>443</v>
      </c>
      <c r="E277" s="126">
        <v>74</v>
      </c>
      <c r="F277" s="126" t="s">
        <v>443</v>
      </c>
      <c r="G277" s="126">
        <v>76</v>
      </c>
      <c r="H277" s="126">
        <v>72</v>
      </c>
      <c r="I277" s="126">
        <v>61</v>
      </c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  <c r="T277" s="126"/>
      <c r="U277" s="126"/>
      <c r="V277" s="126"/>
      <c r="W277" s="126"/>
      <c r="X277" s="168"/>
      <c r="Y277" s="168"/>
      <c r="Z277" s="168"/>
      <c r="AA277" s="168"/>
      <c r="AB277" s="168"/>
      <c r="AC277" s="168"/>
      <c r="AD277" s="168"/>
      <c r="AE277" s="168"/>
      <c r="AF277" s="168"/>
      <c r="AG277" s="168"/>
      <c r="AH277" s="168"/>
      <c r="AI277" s="168"/>
      <c r="AJ277" s="168"/>
      <c r="AK277" s="168"/>
      <c r="AL277" s="168"/>
      <c r="AM277" s="168"/>
      <c r="AN277" s="168"/>
      <c r="AX277" s="168"/>
      <c r="BI277" s="168"/>
      <c r="BJ277" s="168"/>
      <c r="BK277" s="168"/>
      <c r="BL277" s="168"/>
      <c r="BM277" s="168"/>
      <c r="BN277" s="168"/>
      <c r="BO277" s="168"/>
      <c r="BP277" s="168"/>
      <c r="BZ277" s="168"/>
      <c r="CL277" s="168"/>
      <c r="CM277" s="203"/>
      <c r="CN277" s="182"/>
      <c r="CO277" s="145"/>
      <c r="CP277" s="145"/>
      <c r="CQ277" s="145"/>
      <c r="CR277" s="145"/>
      <c r="CS277" s="145"/>
      <c r="CT277" s="145"/>
      <c r="CU277" s="145"/>
      <c r="CV277" s="145"/>
      <c r="CW277" s="170"/>
      <c r="CX277" s="170"/>
      <c r="CY277" s="168"/>
      <c r="CZ277" s="168"/>
      <c r="DA277" s="168"/>
      <c r="DB277" s="168"/>
      <c r="DC277" s="168"/>
      <c r="DD277" s="168"/>
      <c r="DE277" s="168"/>
      <c r="DF277" s="168"/>
      <c r="DG277" s="168"/>
      <c r="DH277" s="168"/>
      <c r="DI277" s="168"/>
      <c r="DJ277" s="168"/>
      <c r="DK277" s="168"/>
      <c r="DL277" s="168"/>
      <c r="DM277" s="168"/>
      <c r="DN277" s="168"/>
      <c r="DO277" s="168"/>
      <c r="DP277" s="168"/>
      <c r="DQ277" s="168"/>
      <c r="DR277" s="168"/>
      <c r="DS277" s="168"/>
      <c r="DT277" s="168"/>
      <c r="DU277" s="168"/>
      <c r="DV277" s="168"/>
      <c r="DW277" s="168"/>
      <c r="DX277" s="168"/>
      <c r="DY277" s="168"/>
      <c r="DZ277" s="168"/>
      <c r="EJ277" s="168"/>
      <c r="EV277" s="168"/>
      <c r="EW277" s="203"/>
      <c r="EX277" s="182"/>
      <c r="EY277" s="145"/>
      <c r="EZ277" s="145"/>
      <c r="FA277" s="145"/>
      <c r="FB277" s="145"/>
      <c r="FC277" s="145"/>
      <c r="FD277" s="145"/>
      <c r="FE277" s="145"/>
      <c r="FF277" s="145"/>
      <c r="FG277" s="170"/>
      <c r="FH277" s="170"/>
      <c r="FI277" s="168"/>
      <c r="FJ277" s="168"/>
      <c r="FK277" s="168"/>
      <c r="FL277" s="168"/>
      <c r="FM277" s="168"/>
      <c r="FN277" s="168"/>
      <c r="FO277" s="168"/>
      <c r="FP277" s="168"/>
      <c r="FQ277" s="168"/>
      <c r="FR277" s="168"/>
      <c r="FS277" s="168"/>
      <c r="FT277" s="168"/>
      <c r="FU277" s="168"/>
      <c r="FV277" s="168"/>
      <c r="FW277" s="168"/>
      <c r="FX277" s="168"/>
      <c r="FY277" s="168"/>
      <c r="FZ277" s="168"/>
      <c r="GA277" s="168"/>
      <c r="GB277" s="168"/>
      <c r="GC277" s="168"/>
      <c r="GD277" s="168"/>
      <c r="GE277" s="168"/>
      <c r="GF277" s="168"/>
      <c r="GG277" s="168"/>
      <c r="GH277" s="168"/>
      <c r="GI277" s="168"/>
      <c r="GJ277" s="168"/>
      <c r="GT277" s="168"/>
      <c r="HF277" s="168"/>
      <c r="HG277" s="203"/>
      <c r="HH277" s="182"/>
      <c r="HI277" s="145"/>
      <c r="HJ277" s="145"/>
      <c r="HK277" s="145"/>
      <c r="HL277" s="145"/>
      <c r="HM277" s="145"/>
      <c r="HN277" s="145"/>
      <c r="HO277" s="145"/>
      <c r="HP277" s="145"/>
      <c r="HQ277" s="170"/>
      <c r="HR277" s="170"/>
      <c r="HS277" s="168"/>
      <c r="HT277" s="168"/>
      <c r="HU277" s="168"/>
      <c r="HV277" s="168"/>
      <c r="HW277" s="168"/>
      <c r="HX277" s="168"/>
      <c r="HY277" s="168"/>
      <c r="HZ277" s="168"/>
      <c r="IA277" s="168"/>
      <c r="IB277" s="168"/>
      <c r="IC277" s="168"/>
      <c r="ID277" s="168"/>
      <c r="IE277" s="168"/>
      <c r="IF277" s="168"/>
      <c r="IG277" s="168"/>
      <c r="IH277" s="168"/>
      <c r="II277" s="168"/>
      <c r="IJ277" s="168"/>
      <c r="IK277" s="168"/>
      <c r="IL277" s="168"/>
      <c r="IM277" s="168"/>
      <c r="IN277" s="168"/>
      <c r="IO277" s="168"/>
      <c r="IP277" s="168"/>
      <c r="IQ277" s="168"/>
      <c r="IR277" s="168"/>
      <c r="IS277" s="168"/>
      <c r="IT277" s="168"/>
    </row>
    <row r="278" spans="1:256" s="213" customFormat="1">
      <c r="A278" s="167"/>
      <c r="B278" s="182" t="s">
        <v>191</v>
      </c>
      <c r="C278" s="127">
        <v>69</v>
      </c>
      <c r="D278" s="127">
        <v>69</v>
      </c>
      <c r="E278" s="127">
        <v>69</v>
      </c>
      <c r="F278" s="127">
        <v>69</v>
      </c>
      <c r="G278" s="127">
        <v>69</v>
      </c>
      <c r="H278" s="126">
        <v>69</v>
      </c>
      <c r="I278" s="126">
        <v>69</v>
      </c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  <c r="T278" s="126"/>
      <c r="U278" s="126"/>
      <c r="V278" s="126"/>
      <c r="W278" s="126"/>
      <c r="X278" s="168"/>
      <c r="Y278" s="168"/>
      <c r="Z278" s="168"/>
      <c r="AA278" s="168"/>
      <c r="AB278" s="168"/>
      <c r="AC278" s="168"/>
      <c r="AD278" s="168"/>
      <c r="AE278" s="168"/>
      <c r="AF278" s="168"/>
      <c r="AG278" s="168"/>
      <c r="AH278" s="168"/>
      <c r="AI278" s="168"/>
      <c r="AJ278" s="168"/>
      <c r="AK278" s="168"/>
      <c r="AL278" s="168"/>
      <c r="AM278" s="168"/>
      <c r="AN278" s="168"/>
      <c r="AO278" s="214"/>
      <c r="AP278" s="214"/>
      <c r="AQ278" s="214"/>
      <c r="AR278" s="214"/>
      <c r="AS278" s="214"/>
      <c r="AX278" s="168"/>
      <c r="BI278" s="168"/>
      <c r="BJ278" s="168"/>
      <c r="BK278" s="168"/>
      <c r="BL278" s="168"/>
      <c r="BQ278" s="168"/>
      <c r="CC278" s="168"/>
      <c r="CD278" s="203"/>
      <c r="CE278" s="182"/>
      <c r="CF278" s="127"/>
      <c r="CG278" s="127"/>
      <c r="CH278" s="127"/>
      <c r="CI278" s="127"/>
      <c r="CJ278" s="126"/>
      <c r="CK278" s="126"/>
      <c r="CL278" s="126"/>
      <c r="CM278" s="126"/>
      <c r="CN278" s="170"/>
      <c r="CO278" s="170"/>
      <c r="CP278" s="168"/>
      <c r="CQ278" s="168"/>
      <c r="CR278" s="168"/>
      <c r="CS278" s="168"/>
      <c r="CT278" s="168"/>
      <c r="CU278" s="168"/>
      <c r="CV278" s="168"/>
      <c r="CW278" s="168"/>
      <c r="CX278" s="168"/>
      <c r="CY278" s="168"/>
      <c r="CZ278" s="168"/>
      <c r="DA278" s="168"/>
      <c r="DB278" s="168"/>
      <c r="DC278" s="168"/>
      <c r="DD278" s="168"/>
      <c r="DE278" s="168"/>
      <c r="DF278" s="168"/>
      <c r="DG278" s="168"/>
      <c r="DH278" s="168"/>
      <c r="DI278" s="168"/>
      <c r="DJ278" s="168"/>
      <c r="DK278" s="168"/>
      <c r="DL278" s="168"/>
      <c r="DM278" s="168"/>
      <c r="DN278" s="168"/>
      <c r="DO278" s="168"/>
      <c r="DP278" s="168"/>
      <c r="DQ278" s="168"/>
      <c r="DR278" s="214"/>
      <c r="DS278" s="214"/>
      <c r="DT278" s="214"/>
      <c r="DU278" s="214"/>
      <c r="DV278" s="214"/>
      <c r="DW278" s="214"/>
      <c r="DX278" s="214"/>
      <c r="DY278" s="214"/>
      <c r="EA278" s="168"/>
      <c r="EM278" s="168"/>
      <c r="EN278" s="203"/>
      <c r="EO278" s="182"/>
      <c r="EP278" s="126"/>
      <c r="EQ278" s="126"/>
      <c r="ER278" s="126"/>
      <c r="ES278" s="126"/>
      <c r="ET278" s="126"/>
      <c r="EU278" s="126"/>
      <c r="EV278" s="126"/>
      <c r="EW278" s="126"/>
      <c r="EX278" s="170"/>
      <c r="EY278" s="170"/>
      <c r="EZ278" s="168"/>
      <c r="FA278" s="168"/>
      <c r="FB278" s="168"/>
      <c r="FC278" s="168"/>
      <c r="FD278" s="168"/>
      <c r="FE278" s="168"/>
      <c r="FF278" s="168"/>
      <c r="FG278" s="168"/>
      <c r="FH278" s="168"/>
      <c r="FI278" s="168"/>
      <c r="FJ278" s="168"/>
      <c r="FK278" s="168"/>
      <c r="FL278" s="168"/>
      <c r="FM278" s="168"/>
      <c r="FN278" s="168"/>
      <c r="FO278" s="168"/>
      <c r="FP278" s="168"/>
      <c r="FQ278" s="168"/>
      <c r="FR278" s="168"/>
      <c r="FS278" s="168"/>
      <c r="FT278" s="168"/>
      <c r="FU278" s="168"/>
      <c r="FV278" s="168"/>
      <c r="FW278" s="168"/>
      <c r="FX278" s="168"/>
      <c r="FY278" s="168"/>
      <c r="FZ278" s="168"/>
      <c r="GA278" s="168"/>
      <c r="GK278" s="168"/>
      <c r="GW278" s="168"/>
      <c r="GX278" s="203"/>
      <c r="GY278" s="182"/>
      <c r="GZ278" s="126"/>
      <c r="HA278" s="126"/>
      <c r="HB278" s="126"/>
      <c r="HC278" s="126"/>
      <c r="HD278" s="126"/>
      <c r="HE278" s="126"/>
      <c r="HF278" s="126"/>
      <c r="HG278" s="126"/>
      <c r="HH278" s="170"/>
      <c r="HI278" s="170"/>
      <c r="HJ278" s="168"/>
      <c r="HK278" s="168"/>
      <c r="HL278" s="168"/>
      <c r="HM278" s="168"/>
      <c r="HN278" s="168"/>
      <c r="HO278" s="168"/>
      <c r="HP278" s="168"/>
      <c r="HQ278" s="168"/>
      <c r="HR278" s="168"/>
      <c r="HS278" s="168"/>
      <c r="HT278" s="168"/>
      <c r="HU278" s="168"/>
      <c r="HV278" s="168"/>
      <c r="HW278" s="168"/>
      <c r="HX278" s="168"/>
      <c r="HY278" s="168"/>
      <c r="HZ278" s="168"/>
      <c r="IA278" s="168"/>
      <c r="IB278" s="168"/>
      <c r="IC278" s="168"/>
      <c r="ID278" s="168"/>
      <c r="IE278" s="168"/>
      <c r="IF278" s="168"/>
      <c r="IG278" s="168"/>
      <c r="IH278" s="168"/>
      <c r="II278" s="168"/>
      <c r="IJ278" s="168"/>
      <c r="IK278" s="168"/>
      <c r="IU278" s="168"/>
    </row>
    <row r="279" spans="1:256" s="204" customFormat="1" ht="15" thickBot="1">
      <c r="A279" s="172"/>
      <c r="B279" s="182" t="s">
        <v>442</v>
      </c>
      <c r="C279" s="126">
        <v>5</v>
      </c>
      <c r="D279" s="315">
        <v>2</v>
      </c>
      <c r="E279" s="315">
        <v>110</v>
      </c>
      <c r="F279" s="315">
        <v>2</v>
      </c>
      <c r="G279" s="315">
        <v>9</v>
      </c>
      <c r="H279" s="315">
        <v>6</v>
      </c>
      <c r="I279" s="315">
        <v>38</v>
      </c>
      <c r="J279" s="315"/>
      <c r="K279" s="315"/>
      <c r="L279" s="315"/>
      <c r="M279" s="126"/>
      <c r="N279" s="126"/>
      <c r="O279" s="126"/>
      <c r="P279" s="126"/>
      <c r="Q279" s="126"/>
      <c r="R279" s="126"/>
      <c r="S279" s="126"/>
      <c r="T279" s="126"/>
      <c r="U279" s="126"/>
      <c r="V279" s="126"/>
      <c r="W279" s="126"/>
      <c r="X279" s="168"/>
      <c r="Y279" s="168"/>
      <c r="Z279" s="168"/>
      <c r="AA279" s="168"/>
      <c r="AB279" s="168"/>
      <c r="AC279" s="168"/>
      <c r="AD279" s="168"/>
      <c r="AE279" s="168"/>
      <c r="AF279" s="168"/>
      <c r="AG279" s="168"/>
      <c r="AH279" s="168"/>
      <c r="AI279" s="168"/>
      <c r="AJ279" s="168"/>
      <c r="AK279" s="168"/>
      <c r="AL279" s="168"/>
      <c r="AM279" s="168"/>
      <c r="AN279" s="168"/>
      <c r="AO279" s="213"/>
      <c r="AP279" s="213"/>
      <c r="AQ279" s="213"/>
      <c r="AR279" s="213"/>
      <c r="AS279" s="213"/>
      <c r="AT279" s="213"/>
      <c r="AU279" s="213"/>
      <c r="AV279" s="213"/>
      <c r="AW279" s="213"/>
      <c r="AX279" s="168"/>
      <c r="AY279" s="213"/>
      <c r="AZ279" s="213"/>
      <c r="BA279" s="213"/>
      <c r="BB279" s="213"/>
      <c r="BC279" s="213"/>
      <c r="BD279" s="213"/>
      <c r="BE279" s="213"/>
      <c r="BF279" s="213"/>
      <c r="BG279" s="213"/>
      <c r="BH279" s="213"/>
      <c r="BI279" s="168"/>
      <c r="BJ279" s="168"/>
      <c r="BK279" s="168"/>
      <c r="BL279" s="168"/>
      <c r="BM279" s="213"/>
      <c r="BN279" s="213"/>
      <c r="BO279" s="213"/>
      <c r="BP279" s="213"/>
      <c r="BQ279" s="213"/>
      <c r="BR279" s="213"/>
      <c r="BS279" s="213"/>
      <c r="BT279" s="168"/>
      <c r="BU279" s="203"/>
      <c r="BW279" s="213"/>
      <c r="BX279" s="213"/>
      <c r="BY279" s="213"/>
      <c r="BZ279" s="213"/>
      <c r="CA279" s="213"/>
      <c r="CB279" s="170"/>
      <c r="CC279" s="170"/>
      <c r="CD279" s="170"/>
      <c r="CE279" s="170"/>
      <c r="CF279" s="170"/>
      <c r="CG279" s="168"/>
      <c r="CH279" s="168"/>
      <c r="CI279" s="168"/>
      <c r="CJ279" s="168"/>
      <c r="CK279" s="168"/>
      <c r="CL279" s="168"/>
      <c r="CM279" s="168"/>
      <c r="CN279" s="168"/>
      <c r="CO279" s="168"/>
      <c r="CP279" s="168"/>
      <c r="CQ279" s="168"/>
      <c r="CR279" s="168"/>
      <c r="CS279" s="168"/>
      <c r="CT279" s="168"/>
      <c r="CU279" s="168"/>
      <c r="CV279" s="168"/>
      <c r="CW279" s="168"/>
      <c r="CX279" s="168"/>
      <c r="CY279" s="168"/>
      <c r="CZ279" s="168"/>
      <c r="DA279" s="168"/>
      <c r="DB279" s="168"/>
      <c r="DC279" s="168"/>
      <c r="DD279" s="168"/>
      <c r="DE279" s="168"/>
      <c r="DF279" s="168"/>
      <c r="DG279" s="168"/>
      <c r="DH279" s="168"/>
      <c r="DI279" s="213"/>
      <c r="DJ279" s="213"/>
      <c r="DK279" s="213"/>
      <c r="DL279" s="213"/>
      <c r="DM279" s="213"/>
      <c r="DN279" s="213"/>
      <c r="DO279" s="213"/>
      <c r="DP279" s="213"/>
      <c r="DQ279" s="213"/>
      <c r="DR279" s="213"/>
      <c r="DS279" s="213"/>
      <c r="DT279" s="213"/>
      <c r="DU279" s="213"/>
      <c r="DV279" s="213"/>
      <c r="DW279" s="213"/>
      <c r="DX279" s="213"/>
      <c r="DY279" s="213"/>
      <c r="DZ279" s="213"/>
      <c r="EA279" s="213"/>
      <c r="EB279" s="213"/>
      <c r="EC279" s="213"/>
      <c r="ED279" s="168"/>
      <c r="EE279" s="203"/>
      <c r="EG279" s="169"/>
      <c r="EH279" s="169"/>
      <c r="EI279" s="169"/>
      <c r="EJ279" s="169"/>
      <c r="EK279" s="169"/>
      <c r="EL279" s="170"/>
      <c r="EM279" s="170"/>
      <c r="EN279" s="170"/>
      <c r="EO279" s="168"/>
      <c r="EP279" s="203"/>
      <c r="ER279" s="169"/>
      <c r="ES279" s="169"/>
      <c r="ET279" s="169"/>
      <c r="EU279" s="169"/>
      <c r="EV279" s="169"/>
      <c r="EW279" s="170"/>
      <c r="EX279" s="170"/>
      <c r="EY279" s="170"/>
      <c r="EZ279" s="168"/>
      <c r="FA279" s="203"/>
      <c r="FC279" s="169"/>
      <c r="FD279" s="169"/>
      <c r="FE279" s="169"/>
      <c r="FF279" s="169"/>
      <c r="FG279" s="169"/>
      <c r="FH279" s="170"/>
      <c r="FI279" s="170"/>
      <c r="FJ279" s="170"/>
      <c r="FK279" s="168"/>
      <c r="FL279" s="203"/>
      <c r="FN279" s="169"/>
      <c r="FO279" s="169"/>
      <c r="FP279" s="169"/>
      <c r="FQ279" s="169"/>
      <c r="FR279" s="169"/>
      <c r="FS279" s="170"/>
      <c r="FT279" s="170"/>
      <c r="FU279" s="170"/>
      <c r="FV279" s="168"/>
      <c r="FW279" s="203"/>
      <c r="FY279" s="169"/>
      <c r="FZ279" s="169"/>
      <c r="GA279" s="169"/>
      <c r="GB279" s="169"/>
      <c r="GC279" s="169"/>
      <c r="GD279" s="170"/>
      <c r="GE279" s="170"/>
      <c r="GF279" s="170"/>
      <c r="GG279" s="168"/>
      <c r="GH279" s="203"/>
      <c r="GJ279" s="169"/>
      <c r="GK279" s="169"/>
      <c r="GL279" s="169"/>
      <c r="GM279" s="169"/>
      <c r="GN279" s="169"/>
      <c r="GO279" s="170"/>
      <c r="GP279" s="170"/>
      <c r="GQ279" s="170"/>
      <c r="GR279" s="168"/>
      <c r="GS279" s="203"/>
      <c r="GU279" s="169"/>
      <c r="GV279" s="169"/>
      <c r="GW279" s="169"/>
      <c r="GX279" s="169"/>
      <c r="GY279" s="169"/>
      <c r="GZ279" s="170"/>
      <c r="HA279" s="170"/>
      <c r="HB279" s="170"/>
      <c r="HC279" s="168"/>
      <c r="HD279" s="203"/>
      <c r="HF279" s="169"/>
      <c r="HG279" s="169"/>
      <c r="HH279" s="169"/>
      <c r="HI279" s="169"/>
      <c r="HJ279" s="169"/>
      <c r="HK279" s="170"/>
      <c r="HL279" s="170"/>
      <c r="HM279" s="170"/>
      <c r="HN279" s="168"/>
      <c r="HO279" s="203"/>
      <c r="HQ279" s="169"/>
      <c r="HR279" s="169"/>
      <c r="HS279" s="169"/>
      <c r="HT279" s="169"/>
      <c r="HU279" s="169"/>
      <c r="HV279" s="170"/>
      <c r="HW279" s="170"/>
      <c r="HX279" s="170"/>
      <c r="HY279" s="168"/>
      <c r="HZ279" s="203"/>
      <c r="IB279" s="169"/>
      <c r="IC279" s="169"/>
      <c r="ID279" s="169"/>
      <c r="IE279" s="169"/>
      <c r="IF279" s="169"/>
      <c r="IG279" s="170"/>
      <c r="IH279" s="170"/>
      <c r="II279" s="170"/>
      <c r="IJ279" s="168"/>
      <c r="IK279" s="203"/>
      <c r="IM279" s="169"/>
      <c r="IN279" s="169"/>
      <c r="IO279" s="169"/>
      <c r="IP279" s="169"/>
      <c r="IQ279" s="169"/>
      <c r="IR279" s="170"/>
      <c r="IS279" s="170"/>
      <c r="IT279" s="170"/>
      <c r="IU279" s="168"/>
      <c r="IV279" s="203"/>
    </row>
    <row r="280" spans="1:256" s="168" customFormat="1">
      <c r="A280" s="143"/>
      <c r="B280" s="338" t="s">
        <v>166</v>
      </c>
      <c r="C280" s="316" t="str">
        <f>IF(OR(C283="**",C283=""),"",VALUE(C283))</f>
        <v/>
      </c>
      <c r="D280" s="316" t="str">
        <f t="shared" ref="D280:J280" si="25">IF(OR(D283="**",D283=""),"",VALUE(D283))</f>
        <v/>
      </c>
      <c r="E280" s="316">
        <f t="shared" si="25"/>
        <v>75</v>
      </c>
      <c r="F280" s="316" t="str">
        <f t="shared" si="25"/>
        <v/>
      </c>
      <c r="G280" s="316">
        <f t="shared" si="25"/>
        <v>78</v>
      </c>
      <c r="H280" s="316">
        <f t="shared" si="25"/>
        <v>76</v>
      </c>
      <c r="I280" s="316">
        <f t="shared" si="25"/>
        <v>69</v>
      </c>
      <c r="J280" s="316" t="str">
        <f t="shared" si="25"/>
        <v/>
      </c>
      <c r="K280" s="316"/>
      <c r="L280" s="316"/>
      <c r="M280" s="126"/>
      <c r="N280" s="126"/>
      <c r="O280" s="126"/>
      <c r="P280" s="126"/>
      <c r="Q280" s="126"/>
      <c r="R280" s="126"/>
      <c r="S280" s="126"/>
      <c r="T280" s="126"/>
      <c r="U280" s="126"/>
      <c r="V280" s="126"/>
      <c r="W280" s="126"/>
      <c r="AO280" s="213"/>
      <c r="AP280" s="213"/>
      <c r="AQ280" s="213"/>
      <c r="AR280" s="213"/>
      <c r="AS280" s="213"/>
      <c r="AT280" s="213"/>
      <c r="AU280" s="213"/>
      <c r="AV280" s="213"/>
      <c r="AW280" s="213"/>
      <c r="AY280" s="213"/>
      <c r="AZ280" s="213"/>
      <c r="BA280" s="213"/>
      <c r="BB280" s="213"/>
      <c r="BC280" s="213"/>
      <c r="BD280" s="213"/>
      <c r="BE280" s="213"/>
      <c r="BF280" s="213"/>
      <c r="BG280" s="213"/>
      <c r="BH280" s="213"/>
      <c r="BM280" s="173"/>
      <c r="BN280" s="173"/>
      <c r="BO280" s="212"/>
      <c r="BP280" s="212"/>
      <c r="BQ280" s="212"/>
      <c r="BR280" s="212"/>
      <c r="BS280" s="212"/>
      <c r="BT280" s="212"/>
      <c r="BU280" s="212"/>
      <c r="BV280" s="212"/>
      <c r="BW280" s="212"/>
      <c r="BX280" s="212"/>
      <c r="BY280" s="212"/>
      <c r="BZ280" s="212"/>
      <c r="CA280" s="212"/>
      <c r="CB280" s="212"/>
      <c r="CC280" s="212"/>
      <c r="CD280" s="212"/>
      <c r="CE280" s="212"/>
      <c r="CF280" s="212"/>
      <c r="CG280" s="212"/>
      <c r="CH280" s="212"/>
      <c r="CI280" s="212"/>
      <c r="CJ280" s="212"/>
      <c r="CK280" s="212"/>
      <c r="CL280" s="212"/>
      <c r="CM280" s="212"/>
      <c r="CN280" s="212"/>
      <c r="CO280" s="212"/>
      <c r="CP280" s="215"/>
      <c r="CQ280" s="215"/>
      <c r="CR280" s="215"/>
      <c r="CS280" s="215"/>
      <c r="CT280" s="215"/>
      <c r="CU280" s="215"/>
      <c r="CV280" s="215"/>
      <c r="CW280" s="215"/>
      <c r="CX280" s="215"/>
      <c r="CY280" s="215"/>
      <c r="CZ280" s="215"/>
      <c r="DA280" s="215"/>
      <c r="DB280" s="215"/>
      <c r="DC280" s="215"/>
      <c r="DD280" s="215"/>
      <c r="DE280" s="215"/>
      <c r="DF280" s="215"/>
      <c r="DG280" s="215"/>
      <c r="DH280" s="215"/>
      <c r="DI280" s="215"/>
      <c r="DJ280" s="215"/>
      <c r="DK280" s="212"/>
      <c r="DL280" s="206"/>
      <c r="DM280" s="207"/>
      <c r="DN280" s="208"/>
      <c r="DO280" s="208"/>
      <c r="DP280" s="208"/>
      <c r="DQ280" s="208"/>
      <c r="DR280" s="208"/>
      <c r="DS280" s="208"/>
      <c r="DT280" s="208"/>
      <c r="DU280" s="208"/>
      <c r="DV280" s="209"/>
      <c r="DW280" s="209"/>
      <c r="DX280" s="210"/>
      <c r="DY280" s="210"/>
      <c r="DZ280" s="210"/>
      <c r="EA280" s="210"/>
      <c r="EB280" s="210"/>
      <c r="EC280" s="210"/>
      <c r="ED280" s="210"/>
      <c r="EE280" s="210"/>
      <c r="EF280" s="210"/>
      <c r="EG280" s="210"/>
      <c r="EH280" s="210"/>
      <c r="EI280" s="210"/>
      <c r="EJ280" s="210"/>
      <c r="EK280" s="210"/>
      <c r="EL280" s="210"/>
      <c r="EM280" s="210"/>
      <c r="EN280" s="210"/>
      <c r="EO280" s="210"/>
      <c r="EP280" s="210"/>
      <c r="EQ280" s="210"/>
      <c r="ER280" s="210"/>
      <c r="ES280" s="210"/>
      <c r="ET280" s="210"/>
      <c r="EU280" s="210"/>
      <c r="EV280" s="210"/>
      <c r="EW280" s="210"/>
      <c r="EX280" s="210"/>
      <c r="EY280" s="210"/>
      <c r="EZ280" s="216"/>
      <c r="FA280" s="216"/>
      <c r="FB280" s="216"/>
      <c r="FC280" s="216"/>
      <c r="FD280" s="216"/>
      <c r="FE280" s="216"/>
      <c r="FF280" s="216"/>
      <c r="FG280" s="216"/>
      <c r="FH280" s="216"/>
      <c r="FI280" s="210"/>
      <c r="FJ280" s="216"/>
      <c r="FK280" s="216"/>
      <c r="FL280" s="216"/>
      <c r="FM280" s="216"/>
      <c r="FN280" s="216"/>
      <c r="FO280" s="216"/>
      <c r="FP280" s="216"/>
      <c r="FQ280" s="216"/>
      <c r="FR280" s="216"/>
      <c r="FS280" s="216"/>
      <c r="FT280" s="216"/>
      <c r="FU280" s="210"/>
      <c r="FV280" s="203"/>
      <c r="FW280" s="182"/>
      <c r="FX280" s="145"/>
      <c r="FY280" s="211"/>
      <c r="FZ280" s="211"/>
      <c r="GA280" s="211"/>
      <c r="GB280" s="211"/>
      <c r="GC280" s="211"/>
      <c r="GD280" s="211"/>
      <c r="GE280" s="211"/>
      <c r="GF280" s="170"/>
      <c r="GG280" s="170"/>
      <c r="HJ280" s="213"/>
      <c r="HK280" s="213"/>
      <c r="HL280" s="213"/>
      <c r="HM280" s="213"/>
      <c r="HN280" s="213"/>
      <c r="HO280" s="213"/>
      <c r="HP280" s="213"/>
      <c r="HQ280" s="213"/>
      <c r="HR280" s="213"/>
      <c r="HT280" s="213"/>
      <c r="HU280" s="213"/>
      <c r="HV280" s="213"/>
      <c r="HW280" s="213"/>
      <c r="HX280" s="213"/>
      <c r="HY280" s="213"/>
      <c r="HZ280" s="213"/>
      <c r="IA280" s="213"/>
      <c r="IB280" s="213"/>
      <c r="IC280" s="213"/>
      <c r="ID280" s="213"/>
      <c r="IF280" s="203"/>
      <c r="IG280" s="182"/>
      <c r="IH280" s="145"/>
      <c r="II280" s="145"/>
      <c r="IJ280" s="145"/>
      <c r="IK280" s="145"/>
      <c r="IL280" s="145"/>
      <c r="IM280" s="145"/>
      <c r="IN280" s="145"/>
      <c r="IO280" s="145"/>
      <c r="IP280" s="170"/>
      <c r="IQ280" s="170"/>
    </row>
    <row r="281" spans="1:256" s="168" customFormat="1" ht="15" thickBot="1">
      <c r="A281" s="143"/>
      <c r="B281" s="339" t="s">
        <v>165</v>
      </c>
      <c r="C281" s="317" t="str">
        <f t="shared" ref="C281:J281" si="26">IF(OR(C277="**",C277=""),"",VALUE(C277))</f>
        <v/>
      </c>
      <c r="D281" s="317" t="str">
        <f t="shared" si="26"/>
        <v/>
      </c>
      <c r="E281" s="317">
        <f t="shared" si="26"/>
        <v>74</v>
      </c>
      <c r="F281" s="317" t="str">
        <f t="shared" si="26"/>
        <v/>
      </c>
      <c r="G281" s="317">
        <f t="shared" si="26"/>
        <v>76</v>
      </c>
      <c r="H281" s="317">
        <f t="shared" si="26"/>
        <v>72</v>
      </c>
      <c r="I281" s="317">
        <f t="shared" si="26"/>
        <v>61</v>
      </c>
      <c r="J281" s="317" t="str">
        <f t="shared" si="26"/>
        <v/>
      </c>
      <c r="K281" s="317"/>
      <c r="L281" s="317"/>
      <c r="M281" s="169"/>
      <c r="N281" s="169"/>
      <c r="O281" s="169"/>
      <c r="P281" s="169"/>
      <c r="Q281" s="169"/>
      <c r="R281" s="169"/>
      <c r="S281" s="169"/>
      <c r="T281" s="169"/>
      <c r="U281" s="169"/>
      <c r="V281" s="169"/>
      <c r="W281" s="169"/>
      <c r="AO281" s="169"/>
      <c r="AP281" s="169"/>
      <c r="AQ281" s="169"/>
      <c r="AR281" s="169"/>
      <c r="AS281" s="169"/>
      <c r="AT281" s="169"/>
      <c r="AU281" s="169"/>
      <c r="AV281" s="169"/>
      <c r="AW281" s="213"/>
      <c r="AX281" s="213"/>
      <c r="AY281" s="213"/>
      <c r="AZ281" s="213"/>
      <c r="BA281" s="213"/>
      <c r="BB281" s="213"/>
      <c r="BC281" s="213"/>
      <c r="BD281" s="213"/>
      <c r="BE281" s="213"/>
      <c r="BF281" s="213"/>
      <c r="BG281" s="213"/>
      <c r="BH281" s="213"/>
      <c r="CG281" s="213"/>
      <c r="CH281" s="213"/>
      <c r="CI281" s="213"/>
      <c r="CJ281" s="213"/>
      <c r="CK281" s="213"/>
      <c r="CL281" s="213"/>
      <c r="CM281" s="213"/>
      <c r="CN281" s="213"/>
      <c r="CO281" s="213"/>
      <c r="CQ281" s="213"/>
      <c r="CR281" s="213"/>
      <c r="CS281" s="213"/>
      <c r="CT281" s="213"/>
      <c r="CU281" s="213"/>
      <c r="CV281" s="213"/>
      <c r="CW281" s="213"/>
      <c r="CX281" s="213"/>
      <c r="CY281" s="213"/>
      <c r="CZ281" s="213"/>
      <c r="DA281" s="213"/>
      <c r="DC281" s="203"/>
      <c r="DD281" s="182"/>
      <c r="DE281" s="145"/>
      <c r="DF281" s="145"/>
      <c r="DG281" s="145"/>
      <c r="DH281" s="145"/>
      <c r="DI281" s="145"/>
      <c r="DJ281" s="145"/>
      <c r="DK281" s="145"/>
      <c r="DL281" s="145"/>
      <c r="DM281" s="170"/>
      <c r="DN281" s="170"/>
      <c r="EQ281" s="213"/>
      <c r="ER281" s="213"/>
      <c r="ES281" s="213"/>
      <c r="ET281" s="213"/>
      <c r="EU281" s="213"/>
      <c r="EV281" s="213"/>
      <c r="EW281" s="213"/>
      <c r="EX281" s="213"/>
      <c r="EY281" s="213"/>
      <c r="FA281" s="213"/>
      <c r="FB281" s="213"/>
      <c r="FC281" s="213"/>
      <c r="FD281" s="213"/>
      <c r="FE281" s="213"/>
      <c r="FF281" s="213"/>
      <c r="FG281" s="213"/>
      <c r="FH281" s="213"/>
      <c r="FI281" s="213"/>
      <c r="FJ281" s="213"/>
      <c r="FK281" s="213"/>
      <c r="FM281" s="203"/>
      <c r="FN281" s="182"/>
      <c r="FO281" s="145"/>
      <c r="FP281" s="145"/>
      <c r="FQ281" s="145"/>
      <c r="FR281" s="145"/>
      <c r="FS281" s="145"/>
      <c r="FT281" s="145"/>
      <c r="FU281" s="145"/>
      <c r="FV281" s="145"/>
      <c r="FW281" s="170"/>
      <c r="FX281" s="170"/>
      <c r="HA281" s="213"/>
      <c r="HB281" s="213"/>
      <c r="HC281" s="213"/>
      <c r="HD281" s="213"/>
      <c r="HE281" s="213"/>
      <c r="HF281" s="213"/>
      <c r="HG281" s="213"/>
      <c r="HH281" s="213"/>
      <c r="HI281" s="213"/>
      <c r="HK281" s="213"/>
      <c r="HL281" s="213"/>
      <c r="HM281" s="213"/>
      <c r="HN281" s="213"/>
      <c r="HO281" s="213"/>
      <c r="HP281" s="213"/>
      <c r="HQ281" s="213"/>
      <c r="HR281" s="213"/>
      <c r="HS281" s="213"/>
      <c r="HT281" s="213"/>
      <c r="HU281" s="213"/>
      <c r="HW281" s="203"/>
      <c r="HX281" s="182"/>
      <c r="HY281" s="145"/>
      <c r="HZ281" s="145"/>
      <c r="IA281" s="145"/>
      <c r="IB281" s="145"/>
      <c r="IC281" s="145"/>
      <c r="ID281" s="145"/>
      <c r="IE281" s="145"/>
      <c r="IF281" s="145"/>
      <c r="IG281" s="170"/>
      <c r="IH281" s="170"/>
    </row>
    <row r="282" spans="1:256" s="168" customFormat="1">
      <c r="A282" s="143"/>
      <c r="B282" s="340" t="s">
        <v>483</v>
      </c>
      <c r="C282" s="167" t="s">
        <v>783</v>
      </c>
      <c r="D282" s="167" t="s">
        <v>785</v>
      </c>
      <c r="E282" s="167" t="s">
        <v>828</v>
      </c>
      <c r="F282" s="167" t="s">
        <v>786</v>
      </c>
      <c r="G282" s="167" t="s">
        <v>829</v>
      </c>
      <c r="H282" s="166" t="s">
        <v>909</v>
      </c>
      <c r="I282" s="166" t="s">
        <v>831</v>
      </c>
      <c r="J282" s="166"/>
      <c r="K282" s="166"/>
      <c r="L282" s="166"/>
      <c r="X282" s="213"/>
      <c r="Y282" s="213"/>
      <c r="Z282" s="213"/>
      <c r="AA282" s="213"/>
      <c r="AB282" s="213"/>
      <c r="AC282" s="213"/>
      <c r="AD282" s="213"/>
      <c r="AE282" s="213"/>
      <c r="AF282" s="213"/>
      <c r="AG282" s="213"/>
      <c r="AH282" s="213"/>
      <c r="AJ282" s="203"/>
      <c r="AK282" s="182"/>
      <c r="AL282" s="126"/>
      <c r="AM282" s="126"/>
      <c r="AN282" s="126"/>
      <c r="AO282" s="126"/>
      <c r="AP282" s="126"/>
      <c r="AQ282" s="126"/>
      <c r="AR282" s="126"/>
      <c r="AS282" s="126"/>
      <c r="AT282" s="170"/>
      <c r="AU282" s="170"/>
      <c r="BX282" s="213"/>
      <c r="BY282" s="213"/>
      <c r="BZ282" s="213"/>
      <c r="CA282" s="213"/>
      <c r="CB282" s="213"/>
      <c r="CC282" s="213"/>
      <c r="CD282" s="213"/>
      <c r="CE282" s="213"/>
      <c r="CF282" s="213"/>
      <c r="CH282" s="213"/>
      <c r="CI282" s="213"/>
      <c r="CJ282" s="213"/>
      <c r="CK282" s="213"/>
      <c r="CL282" s="213"/>
      <c r="CM282" s="213"/>
      <c r="CN282" s="213"/>
      <c r="CO282" s="213"/>
      <c r="CP282" s="213"/>
      <c r="CQ282" s="213"/>
      <c r="CR282" s="213"/>
      <c r="CT282" s="203"/>
      <c r="CU282" s="182"/>
      <c r="CV282" s="127"/>
      <c r="CW282" s="127"/>
      <c r="CX282" s="127"/>
      <c r="CY282" s="126"/>
      <c r="CZ282" s="126"/>
      <c r="DA282" s="126"/>
      <c r="DB282" s="126"/>
      <c r="DC282" s="126"/>
      <c r="DD282" s="170"/>
      <c r="DE282" s="170"/>
      <c r="EH282" s="214"/>
      <c r="EI282" s="214"/>
      <c r="EJ282" s="214"/>
      <c r="EK282" s="213"/>
      <c r="EL282" s="213"/>
      <c r="EM282" s="213"/>
      <c r="EN282" s="213"/>
      <c r="EO282" s="213"/>
      <c r="EP282" s="213"/>
      <c r="ER282" s="213"/>
      <c r="ES282" s="213"/>
      <c r="ET282" s="213"/>
      <c r="EU282" s="213"/>
      <c r="EV282" s="213"/>
      <c r="EW282" s="213"/>
      <c r="EX282" s="213"/>
      <c r="EY282" s="213"/>
      <c r="EZ282" s="213"/>
      <c r="FA282" s="213"/>
      <c r="FB282" s="213"/>
      <c r="FD282" s="203"/>
      <c r="FE282" s="182"/>
      <c r="FF282" s="126"/>
      <c r="FG282" s="126"/>
      <c r="FH282" s="126"/>
      <c r="FI282" s="126"/>
      <c r="FJ282" s="126"/>
      <c r="FK282" s="126"/>
      <c r="FL282" s="126"/>
      <c r="FM282" s="126"/>
      <c r="FN282" s="170"/>
      <c r="FO282" s="170"/>
      <c r="GR282" s="213"/>
      <c r="GS282" s="213"/>
      <c r="GT282" s="213"/>
      <c r="GU282" s="213"/>
      <c r="GV282" s="213"/>
      <c r="GW282" s="213"/>
      <c r="GX282" s="213"/>
      <c r="GY282" s="213"/>
      <c r="GZ282" s="213"/>
      <c r="HB282" s="213"/>
      <c r="HC282" s="213"/>
      <c r="HD282" s="213"/>
      <c r="HE282" s="213"/>
      <c r="HF282" s="213"/>
      <c r="HG282" s="213"/>
      <c r="HH282" s="213"/>
      <c r="HI282" s="213"/>
      <c r="HJ282" s="213"/>
      <c r="HK282" s="213"/>
      <c r="HL282" s="213"/>
      <c r="HN282" s="203"/>
      <c r="HO282" s="182"/>
      <c r="HP282" s="126"/>
      <c r="HQ282" s="126"/>
      <c r="HR282" s="126"/>
      <c r="HS282" s="126"/>
      <c r="HT282" s="126"/>
      <c r="HU282" s="126"/>
      <c r="HV282" s="126"/>
      <c r="HW282" s="126"/>
      <c r="HX282" s="170"/>
      <c r="HY282" s="170"/>
    </row>
    <row r="283" spans="1:256" s="213" customFormat="1">
      <c r="A283" s="167"/>
      <c r="B283" s="182" t="s">
        <v>158</v>
      </c>
      <c r="C283" s="165" t="s">
        <v>443</v>
      </c>
      <c r="D283" s="165" t="s">
        <v>443</v>
      </c>
      <c r="E283" s="165">
        <v>75</v>
      </c>
      <c r="F283" s="165" t="s">
        <v>443</v>
      </c>
      <c r="G283" s="165">
        <v>78</v>
      </c>
      <c r="H283" s="166">
        <v>76</v>
      </c>
      <c r="I283" s="166">
        <v>69</v>
      </c>
      <c r="J283" s="166"/>
      <c r="K283" s="166"/>
      <c r="L283" s="166"/>
      <c r="Z283" s="168"/>
      <c r="AA283" s="203"/>
      <c r="AB283" s="217"/>
      <c r="AC283" s="169"/>
      <c r="AD283" s="169"/>
      <c r="AE283" s="169"/>
      <c r="AF283" s="169"/>
      <c r="AG283" s="169"/>
      <c r="AH283" s="169"/>
      <c r="AI283" s="169"/>
      <c r="AJ283" s="169"/>
      <c r="AK283" s="170"/>
      <c r="AL283" s="170"/>
      <c r="AM283" s="168"/>
      <c r="AN283" s="168"/>
      <c r="AO283" s="168"/>
      <c r="AP283" s="168"/>
      <c r="AQ283" s="168"/>
      <c r="AR283" s="168"/>
      <c r="AS283" s="168"/>
      <c r="AT283" s="168"/>
      <c r="AU283" s="168"/>
      <c r="AV283" s="168"/>
      <c r="AW283" s="168"/>
      <c r="AX283" s="168"/>
      <c r="AY283" s="168"/>
      <c r="AZ283" s="168"/>
      <c r="BA283" s="168"/>
      <c r="BB283" s="168"/>
      <c r="BC283" s="168"/>
      <c r="BD283" s="168"/>
      <c r="BE283" s="168"/>
      <c r="BF283" s="168"/>
      <c r="BG283" s="168"/>
      <c r="BH283" s="168"/>
      <c r="BI283" s="168"/>
      <c r="BJ283" s="168"/>
      <c r="BK283" s="168"/>
      <c r="BL283" s="168"/>
      <c r="BM283" s="168"/>
      <c r="BN283" s="168"/>
      <c r="BO283" s="169"/>
      <c r="BP283" s="169"/>
      <c r="BQ283" s="169"/>
      <c r="BR283" s="169"/>
      <c r="BS283" s="169"/>
      <c r="BT283" s="169"/>
      <c r="BU283" s="169"/>
      <c r="BV283" s="169"/>
      <c r="CJ283" s="168"/>
      <c r="CK283" s="203"/>
      <c r="CL283" s="204"/>
      <c r="CR283" s="170"/>
      <c r="CS283" s="170"/>
      <c r="CT283" s="170"/>
      <c r="CU283" s="170"/>
      <c r="CV283" s="170"/>
      <c r="CW283" s="168"/>
      <c r="CX283" s="168"/>
      <c r="CY283" s="168"/>
      <c r="CZ283" s="168"/>
      <c r="DA283" s="168"/>
      <c r="DB283" s="168"/>
      <c r="DC283" s="168"/>
      <c r="DD283" s="168"/>
      <c r="DE283" s="168"/>
      <c r="DF283" s="168"/>
      <c r="DG283" s="168"/>
      <c r="DH283" s="168"/>
      <c r="DI283" s="168"/>
      <c r="DJ283" s="168"/>
      <c r="DK283" s="168"/>
      <c r="DL283" s="168"/>
      <c r="DM283" s="168"/>
      <c r="DN283" s="168"/>
      <c r="DO283" s="168"/>
      <c r="DP283" s="168"/>
      <c r="DQ283" s="168"/>
      <c r="DR283" s="168"/>
      <c r="DS283" s="168"/>
      <c r="DT283" s="168"/>
      <c r="DU283" s="168"/>
      <c r="DV283" s="168"/>
      <c r="DW283" s="168"/>
      <c r="DX283" s="168"/>
      <c r="ET283" s="168"/>
      <c r="EU283" s="203"/>
      <c r="EV283" s="204"/>
      <c r="EW283" s="169"/>
      <c r="EX283" s="169"/>
      <c r="EY283" s="169"/>
      <c r="EZ283" s="169"/>
      <c r="FA283" s="169"/>
      <c r="FB283" s="170"/>
      <c r="FC283" s="170"/>
      <c r="FD283" s="170"/>
      <c r="FE283" s="170"/>
      <c r="FF283" s="170"/>
      <c r="FG283" s="168"/>
      <c r="FH283" s="168"/>
      <c r="FI283" s="168"/>
      <c r="FJ283" s="168"/>
      <c r="FK283" s="168"/>
      <c r="FL283" s="168"/>
      <c r="FM283" s="168"/>
      <c r="FN283" s="168"/>
      <c r="FO283" s="168"/>
      <c r="FP283" s="168"/>
      <c r="FQ283" s="168"/>
      <c r="FR283" s="168"/>
      <c r="FS283" s="168"/>
      <c r="FT283" s="168"/>
      <c r="FU283" s="168"/>
      <c r="FV283" s="168"/>
      <c r="FW283" s="168"/>
      <c r="FX283" s="168"/>
      <c r="FY283" s="168"/>
      <c r="FZ283" s="168"/>
      <c r="GA283" s="168"/>
      <c r="GB283" s="168"/>
      <c r="GC283" s="168"/>
      <c r="GD283" s="168"/>
      <c r="GE283" s="168"/>
      <c r="GF283" s="168"/>
      <c r="GG283" s="168"/>
      <c r="GH283" s="168"/>
      <c r="HD283" s="168"/>
      <c r="HE283" s="203"/>
      <c r="HF283" s="204"/>
      <c r="HG283" s="169"/>
      <c r="HH283" s="169"/>
      <c r="HI283" s="169"/>
      <c r="HJ283" s="169"/>
      <c r="HK283" s="169"/>
      <c r="HL283" s="170"/>
      <c r="HM283" s="170"/>
      <c r="HN283" s="170"/>
      <c r="HO283" s="170"/>
      <c r="HP283" s="170"/>
      <c r="HQ283" s="168"/>
      <c r="HR283" s="168"/>
      <c r="HS283" s="168"/>
      <c r="HT283" s="168"/>
      <c r="HU283" s="168"/>
      <c r="HV283" s="168"/>
      <c r="HW283" s="168"/>
      <c r="HX283" s="168"/>
      <c r="HY283" s="168"/>
      <c r="HZ283" s="168"/>
      <c r="IA283" s="168"/>
      <c r="IB283" s="168"/>
      <c r="IC283" s="168"/>
      <c r="ID283" s="168"/>
      <c r="IE283" s="168"/>
      <c r="IF283" s="168"/>
      <c r="IG283" s="168"/>
      <c r="IH283" s="168"/>
      <c r="II283" s="168"/>
      <c r="IJ283" s="168"/>
      <c r="IK283" s="168"/>
      <c r="IL283" s="168"/>
      <c r="IM283" s="168"/>
      <c r="IN283" s="168"/>
      <c r="IO283" s="168"/>
      <c r="IP283" s="168"/>
      <c r="IQ283" s="168"/>
      <c r="IR283" s="168"/>
    </row>
    <row r="284" spans="1:256" s="213" customFormat="1">
      <c r="A284" s="167"/>
      <c r="B284" s="340" t="s">
        <v>442</v>
      </c>
      <c r="C284" s="165">
        <v>5</v>
      </c>
      <c r="D284" s="165">
        <v>1</v>
      </c>
      <c r="E284" s="165">
        <v>126</v>
      </c>
      <c r="F284" s="165">
        <v>1</v>
      </c>
      <c r="G284" s="165">
        <v>10</v>
      </c>
      <c r="H284" s="165">
        <v>6</v>
      </c>
      <c r="I284" s="165">
        <v>37</v>
      </c>
      <c r="J284" s="165"/>
      <c r="K284" s="165"/>
      <c r="L284" s="165"/>
      <c r="X284" s="169"/>
      <c r="Y284" s="170"/>
      <c r="Z284" s="170"/>
      <c r="AA284" s="170"/>
      <c r="AB284" s="170"/>
      <c r="AC284" s="170"/>
      <c r="AD284" s="168"/>
      <c r="AE284" s="168"/>
      <c r="AF284" s="168"/>
      <c r="AG284" s="168"/>
      <c r="AH284" s="168"/>
      <c r="AI284" s="168"/>
      <c r="AJ284" s="168"/>
      <c r="AK284" s="168"/>
      <c r="AL284" s="168"/>
      <c r="AM284" s="168"/>
      <c r="AN284" s="168"/>
      <c r="AO284" s="168"/>
      <c r="AP284" s="168"/>
      <c r="AQ284" s="168"/>
      <c r="AR284" s="168"/>
      <c r="AS284" s="168"/>
      <c r="AT284" s="168"/>
      <c r="AU284" s="168"/>
      <c r="AV284" s="168"/>
      <c r="AW284" s="168"/>
      <c r="AX284" s="168"/>
      <c r="AY284" s="168"/>
      <c r="AZ284" s="168"/>
      <c r="BA284" s="168"/>
      <c r="BB284" s="168"/>
      <c r="BC284" s="168"/>
      <c r="BD284" s="168"/>
      <c r="BE284" s="168"/>
      <c r="CA284" s="168"/>
      <c r="CB284" s="203"/>
      <c r="CC284" s="204"/>
      <c r="CD284" s="169"/>
      <c r="CE284" s="169"/>
      <c r="CF284" s="169"/>
      <c r="CG284" s="169"/>
      <c r="CH284" s="169"/>
      <c r="CI284" s="170"/>
      <c r="CJ284" s="170"/>
      <c r="CK284" s="170"/>
      <c r="CL284" s="170"/>
      <c r="CM284" s="170"/>
      <c r="CN284" s="168"/>
      <c r="CO284" s="168"/>
      <c r="CP284" s="168"/>
      <c r="CQ284" s="168"/>
      <c r="CR284" s="168"/>
      <c r="CS284" s="168"/>
      <c r="CT284" s="168"/>
      <c r="CU284" s="168"/>
      <c r="CV284" s="168"/>
      <c r="CW284" s="168"/>
      <c r="CX284" s="168"/>
      <c r="CY284" s="168"/>
      <c r="CZ284" s="168"/>
      <c r="DA284" s="168"/>
      <c r="DB284" s="168"/>
      <c r="DC284" s="168"/>
      <c r="DD284" s="168"/>
      <c r="DE284" s="168"/>
      <c r="DF284" s="168"/>
      <c r="DG284" s="168"/>
      <c r="DH284" s="168"/>
      <c r="DI284" s="168"/>
      <c r="DJ284" s="168"/>
      <c r="DK284" s="168"/>
      <c r="DL284" s="168"/>
      <c r="DM284" s="168"/>
      <c r="DN284" s="168"/>
      <c r="DO284" s="168"/>
      <c r="EK284" s="168"/>
      <c r="EL284" s="203"/>
      <c r="EM284" s="204"/>
      <c r="EN284" s="169"/>
      <c r="EO284" s="169"/>
      <c r="EP284" s="169"/>
      <c r="EQ284" s="169"/>
      <c r="ER284" s="169"/>
      <c r="ES284" s="170"/>
      <c r="ET284" s="170"/>
      <c r="EU284" s="170"/>
      <c r="EV284" s="170"/>
      <c r="EW284" s="170"/>
      <c r="EX284" s="168"/>
      <c r="EY284" s="168"/>
      <c r="EZ284" s="168"/>
      <c r="FA284" s="168"/>
      <c r="FB284" s="168"/>
      <c r="FC284" s="168"/>
      <c r="FD284" s="168"/>
      <c r="FE284" s="168"/>
      <c r="FF284" s="168"/>
      <c r="FG284" s="168"/>
      <c r="FH284" s="168"/>
      <c r="FI284" s="168"/>
      <c r="FJ284" s="168"/>
      <c r="FK284" s="168"/>
      <c r="FL284" s="168"/>
      <c r="FM284" s="168"/>
      <c r="FN284" s="168"/>
      <c r="FO284" s="168"/>
      <c r="FP284" s="168"/>
      <c r="FQ284" s="168"/>
      <c r="FR284" s="168"/>
      <c r="FS284" s="168"/>
      <c r="FT284" s="168"/>
      <c r="FU284" s="168"/>
      <c r="FV284" s="168"/>
      <c r="FW284" s="168"/>
      <c r="FX284" s="168"/>
      <c r="FY284" s="168"/>
      <c r="GU284" s="168"/>
      <c r="GV284" s="203"/>
      <c r="GW284" s="204"/>
      <c r="GX284" s="169"/>
      <c r="GY284" s="169"/>
      <c r="GZ284" s="169"/>
      <c r="HA284" s="169"/>
      <c r="HB284" s="169"/>
      <c r="HC284" s="170"/>
      <c r="HD284" s="170"/>
      <c r="HE284" s="170"/>
      <c r="HF284" s="170"/>
      <c r="HG284" s="170"/>
      <c r="HH284" s="168"/>
      <c r="HI284" s="168"/>
      <c r="HJ284" s="168"/>
      <c r="HK284" s="168"/>
      <c r="HL284" s="168"/>
      <c r="HM284" s="168"/>
      <c r="HN284" s="168"/>
      <c r="HO284" s="168"/>
      <c r="HP284" s="168"/>
      <c r="HQ284" s="168"/>
      <c r="HR284" s="168"/>
      <c r="HS284" s="168"/>
      <c r="HT284" s="168"/>
      <c r="HU284" s="168"/>
      <c r="HV284" s="168"/>
      <c r="HW284" s="168"/>
      <c r="HX284" s="168"/>
      <c r="HY284" s="168"/>
      <c r="HZ284" s="168"/>
      <c r="IA284" s="168"/>
      <c r="IB284" s="168"/>
      <c r="IC284" s="168"/>
      <c r="ID284" s="168"/>
      <c r="IE284" s="168"/>
      <c r="IF284" s="168"/>
      <c r="IG284" s="168"/>
      <c r="IH284" s="168"/>
      <c r="II284" s="168"/>
    </row>
    <row r="285" spans="1:256" s="203" customFormat="1">
      <c r="A285" s="164"/>
      <c r="B285" s="167"/>
      <c r="C285" s="167"/>
      <c r="D285" s="167"/>
      <c r="E285" s="167"/>
      <c r="F285" s="167"/>
      <c r="G285" s="167"/>
      <c r="H285" s="143"/>
      <c r="I285" s="143"/>
      <c r="J285" s="143"/>
      <c r="K285" s="143"/>
      <c r="L285" s="143"/>
      <c r="M285" s="168"/>
      <c r="N285" s="168"/>
      <c r="O285" s="168"/>
      <c r="P285" s="168"/>
      <c r="Q285" s="168"/>
      <c r="R285" s="168"/>
      <c r="S285" s="168"/>
      <c r="T285" s="168"/>
      <c r="U285" s="168"/>
      <c r="V285" s="168"/>
      <c r="W285" s="168"/>
      <c r="X285" s="168"/>
      <c r="Y285" s="168"/>
      <c r="Z285" s="168"/>
      <c r="AA285" s="168"/>
      <c r="AB285" s="168"/>
      <c r="AC285" s="168"/>
      <c r="AD285" s="168"/>
      <c r="AE285" s="168"/>
      <c r="AF285" s="168"/>
      <c r="AG285" s="168"/>
      <c r="AH285" s="168"/>
      <c r="AI285" s="168"/>
      <c r="AJ285" s="168"/>
      <c r="AK285" s="168"/>
      <c r="AL285" s="168"/>
      <c r="AM285" s="168"/>
      <c r="AN285" s="168"/>
      <c r="AO285" s="168"/>
      <c r="AP285" s="168"/>
      <c r="AQ285" s="168"/>
      <c r="AR285" s="168"/>
      <c r="AS285" s="168"/>
      <c r="AT285" s="168"/>
      <c r="AU285" s="168"/>
      <c r="AV285" s="168"/>
      <c r="AW285" s="213"/>
      <c r="AX285" s="213"/>
      <c r="AY285" s="213"/>
      <c r="AZ285" s="213"/>
      <c r="BA285" s="213"/>
      <c r="BB285" s="213"/>
      <c r="BC285" s="213"/>
      <c r="BD285" s="213"/>
      <c r="BE285" s="213"/>
      <c r="BF285" s="213"/>
      <c r="BG285" s="213"/>
      <c r="BH285" s="213"/>
      <c r="BI285" s="213"/>
      <c r="BJ285" s="213"/>
      <c r="BK285" s="213"/>
      <c r="BL285" s="213"/>
      <c r="BM285" s="213"/>
      <c r="BN285" s="213"/>
      <c r="BO285" s="213"/>
      <c r="BP285" s="213"/>
      <c r="BQ285" s="213"/>
      <c r="BR285" s="168"/>
      <c r="BT285" s="204"/>
      <c r="BU285" s="169"/>
      <c r="BV285" s="169"/>
      <c r="BW285" s="169"/>
      <c r="BX285" s="169"/>
      <c r="BY285" s="169"/>
      <c r="BZ285" s="170"/>
      <c r="CA285" s="170"/>
      <c r="CB285" s="170"/>
      <c r="CC285" s="170"/>
      <c r="CD285" s="170"/>
      <c r="CE285" s="168"/>
      <c r="CF285" s="168"/>
      <c r="CG285" s="168"/>
      <c r="CH285" s="168"/>
      <c r="CI285" s="168"/>
      <c r="CJ285" s="168"/>
      <c r="CK285" s="168"/>
      <c r="CL285" s="168"/>
      <c r="CM285" s="168"/>
      <c r="CN285" s="168"/>
      <c r="CO285" s="168"/>
      <c r="CP285" s="168"/>
      <c r="CQ285" s="168"/>
      <c r="CR285" s="168"/>
      <c r="CS285" s="168"/>
      <c r="CT285" s="168"/>
      <c r="CU285" s="168"/>
      <c r="CV285" s="168"/>
      <c r="CW285" s="168"/>
      <c r="CX285" s="168"/>
      <c r="CY285" s="168"/>
      <c r="CZ285" s="168"/>
      <c r="DA285" s="168"/>
      <c r="DB285" s="168"/>
      <c r="DC285" s="168"/>
      <c r="DD285" s="168"/>
      <c r="DE285" s="168"/>
      <c r="DF285" s="168"/>
      <c r="DG285" s="213"/>
      <c r="DH285" s="213"/>
      <c r="DI285" s="213"/>
      <c r="DJ285" s="213"/>
      <c r="DK285" s="213"/>
      <c r="DL285" s="213"/>
      <c r="DM285" s="213"/>
      <c r="DN285" s="213"/>
      <c r="DO285" s="213"/>
      <c r="DP285" s="213"/>
      <c r="DQ285" s="213"/>
      <c r="DR285" s="213"/>
      <c r="DS285" s="213"/>
      <c r="DT285" s="213"/>
      <c r="DU285" s="213"/>
      <c r="DV285" s="213"/>
      <c r="DW285" s="213"/>
      <c r="DX285" s="213"/>
      <c r="DY285" s="213"/>
      <c r="DZ285" s="213"/>
      <c r="EA285" s="213"/>
      <c r="EB285" s="168"/>
      <c r="ED285" s="204"/>
      <c r="EE285" s="169"/>
      <c r="EF285" s="169"/>
      <c r="EG285" s="169"/>
      <c r="EH285" s="169"/>
      <c r="EI285" s="169"/>
      <c r="EJ285" s="170"/>
      <c r="EK285" s="170"/>
      <c r="EL285" s="170"/>
      <c r="EM285" s="170"/>
      <c r="EN285" s="170"/>
      <c r="EO285" s="168"/>
      <c r="EP285" s="168"/>
      <c r="EQ285" s="168"/>
      <c r="ER285" s="168"/>
      <c r="ES285" s="168"/>
      <c r="ET285" s="168"/>
      <c r="EU285" s="168"/>
      <c r="EV285" s="168"/>
      <c r="EW285" s="168"/>
      <c r="EX285" s="168"/>
      <c r="EY285" s="168"/>
      <c r="EZ285" s="168"/>
      <c r="FA285" s="168"/>
      <c r="FB285" s="168"/>
      <c r="FC285" s="168"/>
      <c r="FD285" s="168"/>
      <c r="FE285" s="168"/>
      <c r="FF285" s="168"/>
      <c r="FG285" s="168"/>
      <c r="FH285" s="168"/>
      <c r="FI285" s="168"/>
      <c r="FJ285" s="168"/>
      <c r="FK285" s="168"/>
      <c r="FL285" s="168"/>
      <c r="FM285" s="168"/>
      <c r="FN285" s="168"/>
      <c r="FO285" s="168"/>
      <c r="FP285" s="168"/>
      <c r="FQ285" s="213"/>
      <c r="FR285" s="213"/>
      <c r="FS285" s="213"/>
      <c r="FT285" s="213"/>
      <c r="FU285" s="213"/>
      <c r="FV285" s="213"/>
      <c r="FW285" s="213"/>
      <c r="FX285" s="213"/>
      <c r="FY285" s="213"/>
      <c r="FZ285" s="213"/>
      <c r="GA285" s="213"/>
      <c r="GB285" s="213"/>
      <c r="GC285" s="213"/>
      <c r="GD285" s="213"/>
      <c r="GE285" s="213"/>
      <c r="GF285" s="213"/>
      <c r="GG285" s="213"/>
      <c r="GH285" s="213"/>
      <c r="GI285" s="213"/>
      <c r="GJ285" s="213"/>
      <c r="GK285" s="213"/>
      <c r="GL285" s="168"/>
      <c r="GN285" s="204"/>
      <c r="GO285" s="169"/>
      <c r="GP285" s="169"/>
      <c r="GQ285" s="169"/>
      <c r="GR285" s="169"/>
      <c r="GS285" s="169"/>
      <c r="GT285" s="170"/>
      <c r="GU285" s="170"/>
      <c r="GV285" s="170"/>
      <c r="GW285" s="170"/>
      <c r="GX285" s="170"/>
      <c r="GY285" s="168"/>
      <c r="GZ285" s="168"/>
      <c r="HA285" s="168"/>
      <c r="HB285" s="168"/>
      <c r="HC285" s="168"/>
      <c r="HD285" s="168"/>
      <c r="HE285" s="168"/>
      <c r="HF285" s="168"/>
      <c r="HG285" s="168"/>
      <c r="HH285" s="168"/>
      <c r="HI285" s="168"/>
      <c r="HJ285" s="168"/>
      <c r="HK285" s="168"/>
      <c r="HL285" s="168"/>
      <c r="HM285" s="168"/>
      <c r="HN285" s="168"/>
      <c r="HO285" s="168"/>
      <c r="HP285" s="168"/>
      <c r="HQ285" s="168"/>
      <c r="HR285" s="168"/>
      <c r="HS285" s="168"/>
      <c r="HT285" s="168"/>
      <c r="HU285" s="168"/>
      <c r="HV285" s="168"/>
      <c r="HW285" s="168"/>
      <c r="HX285" s="168"/>
      <c r="HY285" s="168"/>
      <c r="HZ285" s="168"/>
      <c r="IA285" s="213"/>
      <c r="IB285" s="213"/>
      <c r="IC285" s="213"/>
      <c r="ID285" s="213"/>
      <c r="IE285" s="213"/>
      <c r="IF285" s="213"/>
      <c r="IG285" s="213"/>
      <c r="IH285" s="213"/>
      <c r="II285" s="213"/>
      <c r="IJ285" s="213"/>
      <c r="IK285" s="213"/>
      <c r="IL285" s="213"/>
      <c r="IM285" s="213"/>
      <c r="IN285" s="213"/>
      <c r="IO285" s="213"/>
      <c r="IP285" s="213"/>
      <c r="IQ285" s="213"/>
      <c r="IR285" s="213"/>
      <c r="IS285" s="213"/>
      <c r="IT285" s="213"/>
      <c r="IU285" s="213"/>
      <c r="IV285" s="168"/>
    </row>
    <row r="286" spans="1:256" s="170" customFormat="1">
      <c r="A286" s="166"/>
      <c r="B286" s="165"/>
      <c r="C286" s="165"/>
      <c r="D286" s="165"/>
      <c r="E286" s="165"/>
      <c r="F286" s="165"/>
      <c r="G286" s="166"/>
      <c r="H286" s="166"/>
      <c r="I286" s="166"/>
      <c r="J286" s="166"/>
      <c r="K286" s="166"/>
      <c r="L286" s="166"/>
      <c r="X286" s="168"/>
      <c r="Y286" s="168"/>
      <c r="Z286" s="168"/>
      <c r="AA286" s="168"/>
      <c r="AB286" s="168"/>
      <c r="AC286" s="168"/>
      <c r="AD286" s="168"/>
      <c r="AE286" s="168"/>
      <c r="AF286" s="168"/>
      <c r="AG286" s="168"/>
      <c r="AH286" s="168"/>
      <c r="AI286" s="168"/>
      <c r="AJ286" s="168"/>
      <c r="AK286" s="168"/>
      <c r="AL286" s="168"/>
      <c r="AM286" s="168"/>
      <c r="AN286" s="213"/>
      <c r="AO286" s="213"/>
      <c r="AP286" s="213"/>
      <c r="AQ286" s="213"/>
      <c r="AR286" s="213"/>
      <c r="AS286" s="213"/>
      <c r="AT286" s="213"/>
      <c r="AU286" s="213"/>
      <c r="AV286" s="213"/>
      <c r="AW286" s="213"/>
      <c r="AX286" s="213"/>
      <c r="AY286" s="213"/>
      <c r="AZ286" s="213"/>
      <c r="BA286" s="213"/>
      <c r="BB286" s="213"/>
      <c r="BC286" s="213"/>
      <c r="BD286" s="213"/>
      <c r="BE286" s="213"/>
      <c r="BF286" s="213"/>
      <c r="BG286" s="213"/>
      <c r="BH286" s="213"/>
      <c r="BI286" s="168"/>
      <c r="BJ286" s="203"/>
      <c r="BK286" s="204"/>
      <c r="BL286" s="169"/>
      <c r="BM286" s="169"/>
      <c r="BN286" s="169"/>
      <c r="BO286" s="169"/>
      <c r="BP286" s="169"/>
      <c r="BV286" s="168"/>
      <c r="BW286" s="168"/>
      <c r="BX286" s="168"/>
      <c r="BY286" s="168"/>
      <c r="BZ286" s="168"/>
      <c r="CA286" s="168"/>
      <c r="CB286" s="168"/>
      <c r="CC286" s="168"/>
      <c r="CD286" s="168"/>
      <c r="CE286" s="168"/>
      <c r="CF286" s="168"/>
      <c r="CG286" s="168"/>
      <c r="CH286" s="168"/>
      <c r="CI286" s="168"/>
      <c r="CJ286" s="168"/>
      <c r="CK286" s="168"/>
      <c r="CL286" s="168"/>
      <c r="CM286" s="168"/>
      <c r="CN286" s="168"/>
      <c r="CO286" s="168"/>
      <c r="CP286" s="168"/>
      <c r="CQ286" s="168"/>
      <c r="CR286" s="168"/>
      <c r="CS286" s="168"/>
      <c r="CT286" s="168"/>
      <c r="CU286" s="168"/>
      <c r="CV286" s="168"/>
      <c r="CW286" s="168"/>
      <c r="CX286" s="213"/>
      <c r="CY286" s="213"/>
      <c r="CZ286" s="213"/>
      <c r="DA286" s="213"/>
      <c r="DB286" s="213"/>
      <c r="DC286" s="213"/>
      <c r="DD286" s="213"/>
      <c r="DE286" s="213"/>
      <c r="DF286" s="213"/>
      <c r="DG286" s="213"/>
      <c r="DH286" s="213"/>
      <c r="DI286" s="213"/>
      <c r="DJ286" s="213"/>
      <c r="DK286" s="213"/>
      <c r="DL286" s="213"/>
      <c r="DM286" s="213"/>
      <c r="DN286" s="213"/>
      <c r="DO286" s="213"/>
      <c r="DP286" s="213"/>
      <c r="DQ286" s="213"/>
      <c r="DR286" s="213"/>
      <c r="DS286" s="168"/>
      <c r="DT286" s="203"/>
      <c r="DU286" s="204"/>
      <c r="DV286" s="169"/>
      <c r="DW286" s="169"/>
      <c r="DX286" s="169"/>
      <c r="DY286" s="169"/>
      <c r="DZ286" s="169"/>
      <c r="EF286" s="168"/>
      <c r="EG286" s="168"/>
      <c r="EH286" s="168"/>
      <c r="EI286" s="168"/>
      <c r="EJ286" s="168"/>
      <c r="EK286" s="168"/>
      <c r="EL286" s="168"/>
      <c r="EM286" s="168"/>
      <c r="EN286" s="168"/>
      <c r="EO286" s="168"/>
      <c r="EP286" s="168"/>
      <c r="EQ286" s="168"/>
      <c r="ER286" s="168"/>
      <c r="ES286" s="168"/>
      <c r="ET286" s="168"/>
      <c r="EU286" s="168"/>
      <c r="EV286" s="168"/>
      <c r="EW286" s="168"/>
      <c r="EX286" s="168"/>
      <c r="EY286" s="168"/>
      <c r="EZ286" s="168"/>
      <c r="FA286" s="168"/>
      <c r="FB286" s="168"/>
      <c r="FC286" s="168"/>
      <c r="FD286" s="168"/>
      <c r="FE286" s="168"/>
      <c r="FF286" s="168"/>
      <c r="FG286" s="168"/>
      <c r="FH286" s="213"/>
      <c r="FI286" s="213"/>
      <c r="FJ286" s="213"/>
      <c r="FK286" s="213"/>
      <c r="FL286" s="213"/>
      <c r="FM286" s="213"/>
      <c r="FN286" s="213"/>
      <c r="FO286" s="213"/>
      <c r="FP286" s="213"/>
      <c r="FQ286" s="213"/>
      <c r="FR286" s="213"/>
      <c r="FS286" s="213"/>
      <c r="FT286" s="213"/>
      <c r="FU286" s="213"/>
      <c r="FV286" s="213"/>
      <c r="FW286" s="213"/>
      <c r="FX286" s="213"/>
      <c r="FY286" s="213"/>
      <c r="FZ286" s="213"/>
      <c r="GA286" s="213"/>
      <c r="GB286" s="213"/>
      <c r="GC286" s="168"/>
      <c r="GD286" s="203"/>
      <c r="GE286" s="204"/>
      <c r="GF286" s="169"/>
      <c r="GG286" s="169"/>
      <c r="GH286" s="169"/>
      <c r="GI286" s="169"/>
      <c r="GJ286" s="169"/>
      <c r="GP286" s="168"/>
      <c r="GQ286" s="168"/>
      <c r="GR286" s="168"/>
      <c r="GS286" s="168"/>
      <c r="GT286" s="168"/>
      <c r="GU286" s="168"/>
      <c r="GV286" s="168"/>
      <c r="GW286" s="168"/>
      <c r="GX286" s="168"/>
      <c r="GY286" s="168"/>
      <c r="GZ286" s="168"/>
      <c r="HA286" s="168"/>
      <c r="HB286" s="168"/>
      <c r="HC286" s="168"/>
      <c r="HD286" s="168"/>
      <c r="HE286" s="168"/>
      <c r="HF286" s="168"/>
      <c r="HG286" s="168"/>
      <c r="HH286" s="168"/>
      <c r="HI286" s="168"/>
      <c r="HJ286" s="168"/>
      <c r="HK286" s="168"/>
      <c r="HL286" s="168"/>
      <c r="HM286" s="168"/>
      <c r="HN286" s="168"/>
      <c r="HO286" s="168"/>
      <c r="HP286" s="168"/>
      <c r="HQ286" s="168"/>
      <c r="HR286" s="213"/>
      <c r="HS286" s="213"/>
      <c r="HT286" s="213"/>
      <c r="HU286" s="213"/>
      <c r="HV286" s="213"/>
      <c r="HW286" s="213"/>
      <c r="HX286" s="213"/>
      <c r="HY286" s="213"/>
      <c r="HZ286" s="213"/>
      <c r="IA286" s="213"/>
      <c r="IB286" s="213"/>
      <c r="IC286" s="213"/>
      <c r="ID286" s="213"/>
      <c r="IE286" s="213"/>
      <c r="IF286" s="213"/>
      <c r="IG286" s="213"/>
      <c r="IH286" s="213"/>
      <c r="II286" s="213"/>
      <c r="IJ286" s="213"/>
      <c r="IK286" s="213"/>
      <c r="IL286" s="213"/>
      <c r="IM286" s="168"/>
      <c r="IN286" s="203"/>
      <c r="IO286" s="204"/>
      <c r="IP286" s="169"/>
      <c r="IQ286" s="169"/>
      <c r="IR286" s="169"/>
      <c r="IS286" s="169"/>
      <c r="IT286" s="169"/>
    </row>
    <row r="287" spans="1:256" s="168" customFormat="1">
      <c r="A287" s="143"/>
      <c r="B287" s="166"/>
      <c r="C287" s="143"/>
      <c r="D287" s="143"/>
      <c r="E287" s="143"/>
      <c r="F287" s="143"/>
      <c r="G287" s="143"/>
      <c r="H287" s="143"/>
      <c r="I287" s="143"/>
      <c r="J287" s="143"/>
      <c r="K287" s="143"/>
      <c r="L287" s="143"/>
      <c r="AE287" s="213"/>
      <c r="AF287" s="213"/>
      <c r="AG287" s="213"/>
      <c r="AH287" s="213"/>
      <c r="AI287" s="213"/>
      <c r="AJ287" s="213"/>
      <c r="AK287" s="213"/>
      <c r="AL287" s="213"/>
      <c r="AM287" s="213"/>
      <c r="AN287" s="213"/>
      <c r="AO287" s="213"/>
      <c r="AP287" s="213"/>
      <c r="AQ287" s="213"/>
      <c r="AR287" s="213"/>
      <c r="AS287" s="213"/>
      <c r="AT287" s="213"/>
      <c r="AU287" s="213"/>
      <c r="AV287" s="213"/>
      <c r="AW287" s="213"/>
      <c r="AX287" s="213"/>
      <c r="AY287" s="213"/>
      <c r="BA287" s="203"/>
      <c r="BB287" s="204"/>
      <c r="BC287" s="169"/>
      <c r="BD287" s="169"/>
      <c r="BE287" s="169"/>
      <c r="BF287" s="169"/>
      <c r="BG287" s="169"/>
      <c r="BH287" s="170"/>
      <c r="BI287" s="170"/>
      <c r="BJ287" s="170"/>
      <c r="BK287" s="170"/>
      <c r="BL287" s="170"/>
      <c r="CO287" s="213"/>
      <c r="CP287" s="213"/>
      <c r="CQ287" s="213"/>
      <c r="CR287" s="213"/>
      <c r="CS287" s="213"/>
      <c r="CT287" s="213"/>
      <c r="CU287" s="213"/>
      <c r="CV287" s="213"/>
      <c r="CW287" s="213"/>
      <c r="CX287" s="213"/>
      <c r="CY287" s="213"/>
      <c r="CZ287" s="213"/>
      <c r="DA287" s="213"/>
      <c r="DB287" s="213"/>
      <c r="DC287" s="213"/>
      <c r="DD287" s="213"/>
      <c r="DE287" s="213"/>
      <c r="DF287" s="213"/>
      <c r="DG287" s="213"/>
      <c r="DH287" s="213"/>
      <c r="DI287" s="213"/>
      <c r="DK287" s="205"/>
      <c r="DL287" s="204"/>
      <c r="DM287" s="173"/>
      <c r="DN287" s="173"/>
      <c r="DO287" s="173"/>
      <c r="DP287" s="173"/>
      <c r="DQ287" s="173"/>
      <c r="DR287" s="173"/>
      <c r="DS287" s="173"/>
      <c r="DT287" s="173"/>
      <c r="DU287" s="173"/>
      <c r="DV287" s="173"/>
      <c r="DW287" s="173"/>
      <c r="DX287" s="212"/>
      <c r="DY287" s="212"/>
      <c r="DZ287" s="212"/>
      <c r="EA287" s="212"/>
      <c r="EB287" s="212"/>
      <c r="EC287" s="212"/>
      <c r="ED287" s="212"/>
      <c r="EE287" s="212"/>
      <c r="EF287" s="212"/>
      <c r="EG287" s="212"/>
      <c r="EH287" s="212"/>
      <c r="EI287" s="212"/>
      <c r="EJ287" s="212"/>
      <c r="EK287" s="212"/>
      <c r="EL287" s="212"/>
      <c r="EM287" s="212"/>
      <c r="EN287" s="212"/>
      <c r="EO287" s="212"/>
      <c r="EP287" s="212"/>
      <c r="EQ287" s="212"/>
      <c r="ER287" s="212"/>
      <c r="ES287" s="212"/>
      <c r="ET287" s="212"/>
      <c r="EU287" s="212"/>
      <c r="EV287" s="212"/>
      <c r="EW287" s="212"/>
      <c r="EX287" s="212"/>
      <c r="EY287" s="215"/>
      <c r="EZ287" s="215"/>
      <c r="FA287" s="215"/>
      <c r="FB287" s="215"/>
      <c r="FC287" s="215"/>
      <c r="FD287" s="215"/>
      <c r="FE287" s="215"/>
      <c r="FF287" s="215"/>
      <c r="FG287" s="215"/>
      <c r="FH287" s="215"/>
      <c r="FI287" s="215"/>
      <c r="FJ287" s="215"/>
      <c r="FK287" s="215"/>
      <c r="FL287" s="215"/>
      <c r="FM287" s="215"/>
      <c r="FN287" s="215"/>
      <c r="FO287" s="215"/>
      <c r="FP287" s="215"/>
      <c r="FQ287" s="215"/>
      <c r="FR287" s="215"/>
      <c r="FS287" s="215"/>
      <c r="FT287" s="212"/>
      <c r="FU287" s="206"/>
      <c r="FV287" s="207"/>
      <c r="FW287" s="208"/>
      <c r="FX287" s="208"/>
      <c r="FY287" s="208"/>
      <c r="FZ287" s="208"/>
      <c r="GA287" s="208"/>
      <c r="GB287" s="208"/>
      <c r="GC287" s="208"/>
      <c r="GD287" s="208"/>
      <c r="GE287" s="209"/>
      <c r="GF287" s="209"/>
      <c r="GG287" s="210"/>
      <c r="GH287" s="210"/>
      <c r="GI287" s="210"/>
      <c r="GJ287" s="210"/>
      <c r="GK287" s="210"/>
      <c r="GL287" s="210"/>
      <c r="GM287" s="210"/>
      <c r="GN287" s="210"/>
      <c r="GO287" s="210"/>
      <c r="GP287" s="210"/>
      <c r="GQ287" s="210"/>
      <c r="GR287" s="210"/>
      <c r="GS287" s="210"/>
      <c r="GT287" s="210"/>
      <c r="GU287" s="210"/>
      <c r="GV287" s="210"/>
      <c r="GW287" s="210"/>
      <c r="GX287" s="210"/>
      <c r="GY287" s="210"/>
      <c r="GZ287" s="210"/>
      <c r="HA287" s="210"/>
      <c r="HB287" s="210"/>
      <c r="HC287" s="210"/>
      <c r="HD287" s="210"/>
      <c r="HE287" s="210"/>
      <c r="HF287" s="210"/>
      <c r="HG287" s="210"/>
      <c r="HH287" s="210"/>
      <c r="HI287" s="216"/>
      <c r="HJ287" s="216"/>
      <c r="HK287" s="216"/>
      <c r="HL287" s="216"/>
      <c r="HM287" s="216"/>
      <c r="HN287" s="216"/>
      <c r="HO287" s="216"/>
      <c r="HP287" s="216"/>
      <c r="HQ287" s="216"/>
      <c r="HR287" s="210"/>
      <c r="HS287" s="216"/>
      <c r="HT287" s="216"/>
      <c r="HU287" s="216"/>
      <c r="HV287" s="216"/>
      <c r="HW287" s="216"/>
      <c r="HX287" s="216"/>
      <c r="HY287" s="216"/>
      <c r="HZ287" s="216"/>
      <c r="IA287" s="216"/>
      <c r="IB287" s="216"/>
      <c r="IC287" s="216"/>
      <c r="ID287" s="210"/>
      <c r="IE287" s="182"/>
      <c r="IF287" s="145"/>
      <c r="IG287" s="211"/>
      <c r="IH287" s="211"/>
      <c r="II287" s="211"/>
      <c r="IJ287" s="211"/>
      <c r="IK287" s="211"/>
      <c r="IL287" s="211"/>
      <c r="IM287" s="211"/>
      <c r="IN287" s="170"/>
      <c r="IO287" s="170"/>
    </row>
    <row r="288" spans="1:256" s="168" customFormat="1" ht="14.25" customHeight="1">
      <c r="A288" s="143"/>
      <c r="B288" s="143"/>
      <c r="C288" s="143"/>
      <c r="D288" s="143"/>
      <c r="E288" s="143"/>
      <c r="F288" s="143"/>
      <c r="G288" s="143"/>
      <c r="H288" s="143"/>
      <c r="I288" s="143"/>
      <c r="J288" s="143"/>
      <c r="K288" s="143"/>
      <c r="L288" s="143"/>
      <c r="X288" s="213"/>
      <c r="Y288" s="213"/>
      <c r="Z288" s="213"/>
      <c r="AA288" s="213"/>
      <c r="AB288" s="213"/>
      <c r="AC288" s="213"/>
      <c r="AE288" s="213"/>
      <c r="AF288" s="213"/>
      <c r="AG288" s="213"/>
      <c r="AH288" s="213"/>
      <c r="AI288" s="213"/>
      <c r="AJ288" s="213"/>
      <c r="AK288" s="213"/>
      <c r="AL288" s="213"/>
      <c r="AM288" s="213"/>
      <c r="AN288" s="213"/>
      <c r="AO288" s="213"/>
      <c r="ID288" s="182"/>
      <c r="IE288" s="145"/>
      <c r="IF288" s="145"/>
      <c r="IG288" s="145"/>
      <c r="IH288" s="145"/>
      <c r="II288" s="145"/>
      <c r="IJ288" s="145"/>
      <c r="IK288" s="145"/>
      <c r="IL288" s="145"/>
      <c r="IM288" s="170"/>
      <c r="IN288" s="170"/>
    </row>
    <row r="289" spans="1:64" s="168" customFormat="1" ht="14.25" customHeight="1">
      <c r="A289" s="143" t="s">
        <v>183</v>
      </c>
      <c r="B289" s="143"/>
      <c r="C289" s="143"/>
      <c r="D289" s="143"/>
      <c r="E289" s="143"/>
      <c r="F289" s="143"/>
      <c r="G289" s="143"/>
      <c r="H289" s="143"/>
      <c r="I289" s="143"/>
      <c r="J289" s="143"/>
      <c r="K289" s="143"/>
      <c r="L289" s="143"/>
      <c r="X289" s="213"/>
      <c r="Y289" s="213"/>
      <c r="Z289" s="213"/>
      <c r="AA289" s="213"/>
      <c r="AB289" s="213"/>
      <c r="AD289" s="213"/>
      <c r="AE289" s="213"/>
      <c r="AF289" s="213"/>
      <c r="AG289" s="213"/>
      <c r="AH289" s="213"/>
      <c r="AI289" s="213"/>
      <c r="AJ289" s="213"/>
      <c r="AK289" s="213"/>
      <c r="AL289" s="213"/>
      <c r="AM289" s="213"/>
      <c r="AN289" s="213"/>
    </row>
    <row r="290" spans="1:64" s="168" customFormat="1" ht="14.25" customHeight="1">
      <c r="A290" s="143">
        <v>2</v>
      </c>
      <c r="B290" s="143"/>
      <c r="C290" s="143"/>
      <c r="D290" s="143"/>
      <c r="E290" s="143"/>
      <c r="F290" s="143"/>
      <c r="G290" s="143"/>
      <c r="H290" s="143"/>
      <c r="I290" s="143"/>
      <c r="J290" s="143"/>
      <c r="K290" s="143"/>
      <c r="L290" s="143"/>
    </row>
    <row r="291" spans="1:64" s="168" customFormat="1" ht="14.25" customHeight="1">
      <c r="A291" s="143"/>
      <c r="B291" s="143"/>
      <c r="C291" s="143"/>
      <c r="D291" s="143"/>
      <c r="E291" s="143"/>
      <c r="F291" s="143"/>
      <c r="G291" s="143"/>
      <c r="H291" s="143"/>
      <c r="I291" s="143"/>
      <c r="J291" s="143"/>
      <c r="K291" s="143"/>
      <c r="L291" s="143"/>
    </row>
    <row r="292" spans="1:64" s="168" customFormat="1" ht="14.25" customHeight="1">
      <c r="A292" s="143"/>
      <c r="B292" s="143"/>
      <c r="C292" s="143"/>
      <c r="D292" s="143"/>
      <c r="E292" s="143"/>
      <c r="F292" s="143"/>
      <c r="G292" s="143"/>
      <c r="H292" s="143"/>
      <c r="I292" s="143"/>
      <c r="J292" s="143"/>
      <c r="K292" s="143"/>
      <c r="L292" s="143"/>
      <c r="AY292" s="182"/>
      <c r="AZ292" s="145"/>
      <c r="BA292" s="145"/>
      <c r="BB292" s="145"/>
      <c r="BC292" s="145"/>
      <c r="BD292" s="145"/>
      <c r="BE292" s="145"/>
      <c r="BF292" s="145"/>
      <c r="BG292" s="145"/>
      <c r="BH292" s="170"/>
      <c r="BI292" s="170"/>
    </row>
    <row r="293" spans="1:64" s="168" customFormat="1" ht="14.25" customHeight="1">
      <c r="A293" s="143"/>
      <c r="B293" s="143"/>
      <c r="C293" s="143"/>
      <c r="D293" s="143"/>
      <c r="E293" s="143"/>
      <c r="F293" s="143"/>
      <c r="G293" s="143"/>
      <c r="H293" s="143"/>
      <c r="I293" s="143"/>
      <c r="J293" s="143"/>
      <c r="K293" s="143"/>
      <c r="L293" s="143"/>
      <c r="AB293" s="213"/>
      <c r="AC293" s="213"/>
      <c r="AD293" s="213"/>
      <c r="AE293" s="213"/>
      <c r="AF293" s="213"/>
      <c r="AG293" s="213"/>
      <c r="AH293" s="213"/>
      <c r="AI293" s="213"/>
      <c r="AJ293" s="213"/>
      <c r="AL293" s="213"/>
      <c r="AM293" s="213"/>
      <c r="AN293" s="213"/>
      <c r="AO293" s="213"/>
      <c r="AP293" s="213"/>
      <c r="AQ293" s="213"/>
      <c r="AR293" s="213"/>
      <c r="AS293" s="213"/>
      <c r="AT293" s="213"/>
      <c r="AU293" s="213"/>
      <c r="AV293" s="213"/>
    </row>
    <row r="294" spans="1:64" s="168" customFormat="1" ht="14.25" customHeight="1">
      <c r="A294" s="143"/>
      <c r="B294" s="143"/>
      <c r="C294" s="143"/>
      <c r="D294" s="143"/>
      <c r="E294" s="143"/>
      <c r="F294" s="143"/>
      <c r="G294" s="143"/>
      <c r="H294" s="143"/>
      <c r="I294" s="143"/>
      <c r="J294" s="143"/>
      <c r="K294" s="143"/>
      <c r="L294" s="143"/>
    </row>
    <row r="295" spans="1:64" s="168" customFormat="1" ht="14.25" customHeight="1">
      <c r="A295" s="143"/>
      <c r="B295" s="143"/>
      <c r="C295" s="143"/>
      <c r="D295" s="143"/>
      <c r="E295" s="143"/>
      <c r="F295" s="143"/>
      <c r="G295" s="143"/>
      <c r="H295" s="143"/>
      <c r="I295" s="143"/>
      <c r="J295" s="143"/>
      <c r="K295" s="143"/>
      <c r="L295" s="143"/>
    </row>
    <row r="296" spans="1:64" s="145" customFormat="1" ht="14.25" customHeight="1">
      <c r="A296" s="143"/>
      <c r="B296" s="143"/>
      <c r="C296" s="143"/>
      <c r="D296" s="143"/>
      <c r="E296" s="143"/>
      <c r="F296" s="143"/>
      <c r="G296" s="143"/>
      <c r="H296" s="143"/>
      <c r="I296" s="143"/>
      <c r="J296" s="143"/>
      <c r="K296" s="143"/>
      <c r="L296" s="143"/>
      <c r="M296" s="168"/>
      <c r="N296" s="168"/>
      <c r="O296" s="168"/>
      <c r="P296" s="168"/>
      <c r="Q296" s="168"/>
      <c r="R296" s="168"/>
      <c r="S296" s="168"/>
      <c r="T296" s="168"/>
      <c r="U296" s="168"/>
      <c r="V296" s="168"/>
      <c r="W296" s="168"/>
      <c r="X296" s="168"/>
      <c r="Y296" s="168"/>
      <c r="Z296" s="168"/>
      <c r="AA296" s="168"/>
      <c r="AB296" s="168"/>
      <c r="AC296" s="168"/>
      <c r="AD296" s="168"/>
      <c r="AE296" s="168"/>
      <c r="AF296" s="168"/>
      <c r="AG296" s="168"/>
      <c r="AH296" s="168"/>
      <c r="AI296" s="168"/>
      <c r="AJ296" s="168"/>
      <c r="AK296" s="168"/>
      <c r="AL296" s="168"/>
      <c r="AM296" s="168"/>
      <c r="AN296" s="168"/>
      <c r="AO296" s="168"/>
      <c r="AP296" s="168"/>
      <c r="AQ296" s="168"/>
      <c r="AR296" s="168"/>
      <c r="AS296" s="168"/>
      <c r="AT296" s="168"/>
      <c r="AU296" s="168"/>
      <c r="AV296" s="168"/>
      <c r="AW296" s="168"/>
      <c r="AX296" s="168"/>
      <c r="AY296" s="168"/>
      <c r="AZ296" s="168"/>
      <c r="BA296" s="168"/>
      <c r="BB296" s="168"/>
      <c r="BC296" s="168"/>
      <c r="BD296" s="168"/>
      <c r="BE296" s="168"/>
      <c r="BF296" s="168"/>
      <c r="BG296" s="182"/>
    </row>
    <row r="297" spans="1:64" s="168" customFormat="1" ht="14.25" customHeight="1">
      <c r="A297" s="145"/>
      <c r="B297" s="145"/>
      <c r="C297" s="145"/>
      <c r="D297" s="145"/>
      <c r="E297" s="145"/>
      <c r="F297" s="166"/>
      <c r="G297" s="166"/>
      <c r="H297" s="143"/>
      <c r="I297" s="143"/>
      <c r="J297" s="143"/>
      <c r="K297" s="143"/>
      <c r="L297" s="143"/>
      <c r="AJ297" s="213"/>
      <c r="AK297" s="213"/>
      <c r="AL297" s="213"/>
      <c r="AM297" s="213"/>
      <c r="AN297" s="213"/>
      <c r="AO297" s="213"/>
      <c r="AP297" s="213"/>
      <c r="AQ297" s="213"/>
      <c r="AR297" s="213"/>
      <c r="AT297" s="213"/>
      <c r="AU297" s="213"/>
      <c r="AV297" s="213"/>
      <c r="AW297" s="213"/>
      <c r="AX297" s="213"/>
      <c r="AY297" s="213"/>
      <c r="AZ297" s="213"/>
      <c r="BA297" s="213"/>
      <c r="BB297" s="213"/>
      <c r="BC297" s="213"/>
      <c r="BD297" s="213"/>
    </row>
    <row r="298" spans="1:64" s="168" customFormat="1" ht="14.25" customHeight="1">
      <c r="A298" s="143"/>
      <c r="B298" s="143"/>
      <c r="C298" s="143"/>
      <c r="D298" s="143"/>
      <c r="E298" s="143"/>
      <c r="F298" s="143"/>
      <c r="G298" s="143"/>
      <c r="H298" s="143"/>
      <c r="I298" s="143"/>
      <c r="J298" s="143"/>
      <c r="K298" s="143"/>
      <c r="L298" s="143"/>
    </row>
    <row r="299" spans="1:64" s="168" customFormat="1" ht="14.25" customHeight="1">
      <c r="A299" s="143">
        <f>A269+1</f>
        <v>10</v>
      </c>
      <c r="B299" s="143"/>
      <c r="C299" s="187" t="str">
        <f>IF($A$1 = 1, (IF("("&amp;C309&amp;")" ="()","","("&amp;C309&amp;")")), (IF("("&amp;C314&amp;")     ("&amp;C309&amp;")"="()     ()","","("&amp;C314&amp;")     ("&amp;C309&amp;")")))</f>
        <v>(1)     (1)</v>
      </c>
      <c r="D299" s="187" t="str">
        <f t="shared" ref="D299:J299" si="27">IF($A$1 = 1, (IF("("&amp;D309&amp;")" ="()","","("&amp;D309&amp;")")), (IF("("&amp;D314&amp;")     ("&amp;D309&amp;")"="()     ()","","("&amp;D314&amp;")     ("&amp;D309&amp;")")))</f>
        <v>(8)     (6)</v>
      </c>
      <c r="E299" s="187" t="str">
        <f t="shared" si="27"/>
        <v/>
      </c>
      <c r="F299" s="187" t="str">
        <f t="shared" si="27"/>
        <v/>
      </c>
      <c r="G299" s="187" t="str">
        <f t="shared" si="27"/>
        <v/>
      </c>
      <c r="H299" s="187" t="str">
        <f t="shared" si="27"/>
        <v/>
      </c>
      <c r="I299" s="187" t="str">
        <f t="shared" si="27"/>
        <v/>
      </c>
      <c r="J299" s="187" t="str">
        <f t="shared" si="27"/>
        <v/>
      </c>
      <c r="K299" s="187"/>
      <c r="L299" s="187"/>
      <c r="M299" s="220"/>
      <c r="N299" s="220"/>
      <c r="O299" s="220"/>
      <c r="P299" s="220"/>
      <c r="Q299" s="220"/>
      <c r="R299" s="220"/>
      <c r="S299" s="220"/>
      <c r="T299" s="220"/>
      <c r="U299" s="220"/>
      <c r="V299" s="220"/>
      <c r="W299" s="220"/>
    </row>
    <row r="300" spans="1:64" s="168" customFormat="1" ht="59.1" customHeight="1">
      <c r="A300" s="143"/>
      <c r="B300" s="177"/>
      <c r="C300" s="178" t="s">
        <v>833</v>
      </c>
      <c r="D300" s="178" t="s">
        <v>834</v>
      </c>
      <c r="E300" s="178"/>
      <c r="F300" s="178"/>
      <c r="G300" s="178"/>
      <c r="H300" s="178"/>
      <c r="I300" s="178"/>
      <c r="J300" s="178"/>
      <c r="K300" s="178"/>
      <c r="L300" s="178"/>
      <c r="M300" s="208"/>
      <c r="N300" s="208"/>
      <c r="O300" s="208"/>
      <c r="P300" s="208"/>
      <c r="Q300" s="208"/>
      <c r="R300" s="208"/>
      <c r="S300" s="208"/>
      <c r="T300" s="208"/>
      <c r="U300" s="208"/>
      <c r="V300" s="208"/>
      <c r="W300" s="208"/>
      <c r="X300" s="210"/>
      <c r="Y300" s="210"/>
      <c r="Z300" s="210"/>
      <c r="AA300" s="210"/>
      <c r="AB300" s="210"/>
      <c r="AC300" s="210"/>
      <c r="AD300" s="210"/>
      <c r="AE300" s="210"/>
      <c r="AF300" s="210"/>
      <c r="AG300" s="210"/>
      <c r="AH300" s="210"/>
      <c r="AI300" s="210"/>
      <c r="AJ300" s="210"/>
      <c r="AK300" s="210"/>
      <c r="AL300" s="210"/>
      <c r="AM300" s="210"/>
      <c r="AN300" s="210"/>
      <c r="AO300" s="216"/>
      <c r="AP300" s="216"/>
      <c r="AQ300" s="216"/>
      <c r="AR300" s="216"/>
      <c r="AS300" s="216"/>
      <c r="AT300" s="216"/>
      <c r="AU300" s="216"/>
      <c r="AV300" s="216"/>
      <c r="AW300" s="216"/>
      <c r="AX300" s="210"/>
      <c r="AY300" s="216"/>
      <c r="AZ300" s="216"/>
      <c r="BA300" s="216"/>
      <c r="BB300" s="216"/>
      <c r="BC300" s="216"/>
      <c r="BD300" s="216"/>
      <c r="BE300" s="216"/>
      <c r="BF300" s="216"/>
      <c r="BG300" s="216"/>
      <c r="BH300" s="216"/>
      <c r="BI300" s="216"/>
      <c r="BJ300" s="210"/>
      <c r="BK300" s="210"/>
      <c r="BL300" s="210"/>
    </row>
    <row r="301" spans="1:64" s="213" customFormat="1" ht="18" customHeight="1" thickBot="1">
      <c r="A301" s="143"/>
      <c r="B301" s="181" t="s">
        <v>3</v>
      </c>
      <c r="C301" s="148" t="s">
        <v>443</v>
      </c>
      <c r="D301" s="148">
        <v>46</v>
      </c>
      <c r="E301" s="148"/>
      <c r="F301" s="148"/>
      <c r="G301" s="148"/>
      <c r="H301" s="148"/>
      <c r="I301" s="148"/>
      <c r="J301" s="148"/>
      <c r="K301" s="148"/>
      <c r="L301" s="148"/>
      <c r="M301" s="211"/>
      <c r="N301" s="211"/>
      <c r="O301" s="211"/>
      <c r="P301" s="211"/>
      <c r="Q301" s="211"/>
      <c r="R301" s="211"/>
      <c r="S301" s="211"/>
      <c r="T301" s="211"/>
      <c r="U301" s="211"/>
      <c r="V301" s="211"/>
      <c r="W301" s="211"/>
      <c r="X301" s="168"/>
      <c r="Y301" s="168"/>
      <c r="Z301" s="168"/>
      <c r="AA301" s="168"/>
      <c r="AB301" s="168"/>
      <c r="AC301" s="168"/>
      <c r="AD301" s="168"/>
      <c r="AE301" s="168"/>
      <c r="AF301" s="168"/>
      <c r="AG301" s="168"/>
      <c r="AH301" s="168"/>
      <c r="AI301" s="168"/>
      <c r="AJ301" s="168"/>
      <c r="AK301" s="168"/>
      <c r="AL301" s="168"/>
      <c r="AM301" s="168"/>
      <c r="AN301" s="168"/>
      <c r="AX301" s="168"/>
      <c r="BJ301" s="168"/>
      <c r="BK301" s="168"/>
      <c r="BL301" s="168"/>
    </row>
    <row r="302" spans="1:64" s="168" customFormat="1" ht="18" customHeight="1" thickBot="1">
      <c r="A302" s="167"/>
      <c r="B302" s="182" t="s">
        <v>18</v>
      </c>
      <c r="C302" s="148" t="s">
        <v>443</v>
      </c>
      <c r="D302" s="148">
        <v>53</v>
      </c>
      <c r="E302" s="148"/>
      <c r="F302" s="148"/>
      <c r="G302" s="148"/>
      <c r="H302" s="148"/>
      <c r="I302" s="148"/>
      <c r="J302" s="148"/>
      <c r="K302" s="148"/>
      <c r="L302" s="148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AO302" s="213"/>
      <c r="AP302" s="213"/>
      <c r="AQ302" s="213"/>
      <c r="AR302" s="213"/>
      <c r="AS302" s="213"/>
      <c r="AT302" s="213"/>
      <c r="AU302" s="213"/>
      <c r="AV302" s="213"/>
      <c r="AW302" s="213"/>
      <c r="AY302" s="213"/>
      <c r="AZ302" s="213"/>
      <c r="BA302" s="213"/>
      <c r="BB302" s="213"/>
      <c r="BC302" s="213"/>
      <c r="BD302" s="213"/>
      <c r="BE302" s="213"/>
      <c r="BF302" s="213"/>
      <c r="BG302" s="213"/>
      <c r="BH302" s="213"/>
      <c r="BI302" s="213"/>
    </row>
    <row r="303" spans="1:64" s="168" customFormat="1" ht="18" customHeight="1" thickBot="1">
      <c r="A303" s="143"/>
      <c r="B303" s="183" t="s">
        <v>32</v>
      </c>
      <c r="C303" s="147" t="s">
        <v>443</v>
      </c>
      <c r="D303" s="147">
        <v>49</v>
      </c>
      <c r="E303" s="147"/>
      <c r="F303" s="147"/>
      <c r="G303" s="147"/>
      <c r="H303" s="147"/>
      <c r="I303" s="147"/>
      <c r="J303" s="147"/>
      <c r="K303" s="147"/>
      <c r="L303" s="147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AO303" s="213"/>
      <c r="AP303" s="213"/>
      <c r="AQ303" s="213"/>
      <c r="AR303" s="213"/>
      <c r="AS303" s="213"/>
      <c r="AT303" s="213"/>
      <c r="AU303" s="213"/>
      <c r="AV303" s="213"/>
      <c r="AW303" s="213"/>
      <c r="AY303" s="213"/>
      <c r="AZ303" s="213"/>
      <c r="BA303" s="213"/>
      <c r="BB303" s="213"/>
      <c r="BC303" s="213"/>
      <c r="BD303" s="213"/>
      <c r="BE303" s="213"/>
      <c r="BF303" s="213"/>
      <c r="BG303" s="213"/>
      <c r="BH303" s="213"/>
    </row>
    <row r="304" spans="1:64" s="168" customFormat="1" ht="18" customHeight="1" thickBot="1">
      <c r="A304" s="143"/>
      <c r="B304" s="182" t="s">
        <v>45</v>
      </c>
      <c r="C304" s="145" t="s">
        <v>443</v>
      </c>
      <c r="D304" s="145">
        <v>46</v>
      </c>
      <c r="E304" s="145"/>
      <c r="F304" s="145"/>
      <c r="G304" s="145"/>
      <c r="H304" s="145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AO304" s="213"/>
      <c r="AP304" s="213"/>
      <c r="AQ304" s="213"/>
      <c r="AR304" s="213"/>
      <c r="AS304" s="213"/>
      <c r="AT304" s="213"/>
      <c r="AU304" s="213"/>
      <c r="AV304" s="213"/>
      <c r="AW304" s="213"/>
      <c r="AY304" s="213"/>
      <c r="AZ304" s="213"/>
      <c r="BA304" s="213"/>
      <c r="BB304" s="213"/>
      <c r="BC304" s="213"/>
      <c r="BD304" s="213"/>
      <c r="BE304" s="213"/>
      <c r="BF304" s="213"/>
      <c r="BG304" s="213"/>
      <c r="BH304" s="213"/>
    </row>
    <row r="305" spans="1:256" s="168" customFormat="1" ht="18" customHeight="1" thickBot="1">
      <c r="A305" s="143"/>
      <c r="B305" s="184" t="s">
        <v>54</v>
      </c>
      <c r="C305" s="146" t="s">
        <v>443</v>
      </c>
      <c r="D305" s="146">
        <v>58</v>
      </c>
      <c r="E305" s="146"/>
      <c r="F305" s="146"/>
      <c r="G305" s="146"/>
      <c r="H305" s="146"/>
      <c r="I305" s="146"/>
      <c r="J305" s="146"/>
      <c r="K305" s="146"/>
      <c r="L305" s="146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AO305" s="213"/>
      <c r="AP305" s="213"/>
      <c r="AQ305" s="213"/>
      <c r="AR305" s="213"/>
      <c r="AS305" s="213"/>
      <c r="AT305" s="213"/>
      <c r="AU305" s="213"/>
      <c r="AV305" s="213"/>
      <c r="AW305" s="213"/>
      <c r="AY305" s="213"/>
      <c r="AZ305" s="213"/>
      <c r="BA305" s="213"/>
      <c r="BB305" s="213"/>
      <c r="BC305" s="213"/>
      <c r="BD305" s="213"/>
      <c r="BE305" s="213"/>
      <c r="BF305" s="213"/>
      <c r="BG305" s="213"/>
      <c r="BH305" s="213"/>
      <c r="BM305" s="213"/>
      <c r="BN305" s="213"/>
      <c r="BO305" s="213"/>
      <c r="BP305" s="213"/>
      <c r="BQ305" s="213"/>
      <c r="BR305" s="213"/>
      <c r="BS305" s="213"/>
      <c r="BT305" s="213"/>
    </row>
    <row r="306" spans="1:256" s="168" customFormat="1">
      <c r="A306" s="143"/>
      <c r="B306" s="182" t="s">
        <v>66</v>
      </c>
      <c r="C306" s="145"/>
      <c r="D306" s="145">
        <v>33</v>
      </c>
      <c r="E306" s="145"/>
      <c r="F306" s="145"/>
      <c r="G306" s="145"/>
      <c r="H306" s="125"/>
      <c r="I306" s="125"/>
      <c r="J306" s="125"/>
      <c r="K306" s="125"/>
      <c r="L306" s="12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AO306" s="213"/>
      <c r="AP306" s="213"/>
      <c r="AQ306" s="213"/>
      <c r="AR306" s="213"/>
      <c r="AS306" s="213"/>
      <c r="AT306" s="213"/>
      <c r="AU306" s="213"/>
      <c r="AV306" s="213"/>
      <c r="AW306" s="213"/>
      <c r="AY306" s="213"/>
      <c r="AZ306" s="213"/>
      <c r="BA306" s="213"/>
      <c r="BB306" s="213"/>
      <c r="BC306" s="213"/>
      <c r="BD306" s="213"/>
      <c r="BE306" s="213"/>
      <c r="BF306" s="213"/>
      <c r="BG306" s="213"/>
      <c r="BH306" s="213"/>
      <c r="BM306" s="213"/>
      <c r="BN306" s="213"/>
      <c r="BO306" s="213"/>
      <c r="BP306" s="213"/>
      <c r="BQ306" s="213"/>
      <c r="BR306" s="213"/>
      <c r="BS306" s="213"/>
    </row>
    <row r="307" spans="1:256" s="168" customFormat="1">
      <c r="A307" s="143"/>
      <c r="B307" s="182" t="s">
        <v>158</v>
      </c>
      <c r="C307" s="126" t="s">
        <v>443</v>
      </c>
      <c r="D307" s="126">
        <v>50</v>
      </c>
      <c r="E307" s="126"/>
      <c r="F307" s="126"/>
      <c r="G307" s="126"/>
      <c r="H307" s="126"/>
      <c r="I307" s="126"/>
      <c r="J307" s="126"/>
      <c r="K307" s="126"/>
      <c r="L307" s="126"/>
      <c r="M307" s="126"/>
      <c r="N307" s="126"/>
      <c r="O307" s="126"/>
      <c r="P307" s="126"/>
      <c r="Q307" s="126"/>
      <c r="R307" s="126"/>
      <c r="S307" s="126"/>
      <c r="T307" s="126"/>
      <c r="U307" s="126"/>
      <c r="V307" s="126"/>
      <c r="W307" s="126"/>
      <c r="AO307" s="213"/>
      <c r="AP307" s="213"/>
      <c r="AQ307" s="213"/>
      <c r="AR307" s="213"/>
      <c r="AS307" s="213"/>
      <c r="AT307" s="213"/>
      <c r="AU307" s="213"/>
      <c r="AV307" s="213"/>
      <c r="AW307" s="213"/>
      <c r="AY307" s="213"/>
      <c r="AZ307" s="213"/>
      <c r="BA307" s="213"/>
      <c r="BB307" s="213"/>
      <c r="BC307" s="213"/>
      <c r="BD307" s="213"/>
      <c r="BE307" s="213"/>
      <c r="BF307" s="213"/>
      <c r="BG307" s="213"/>
      <c r="BH307" s="213"/>
      <c r="BM307" s="213"/>
      <c r="BN307" s="213"/>
      <c r="BO307" s="213"/>
      <c r="BP307" s="213"/>
      <c r="BQ307" s="213"/>
      <c r="BR307" s="213"/>
    </row>
    <row r="308" spans="1:256" s="168" customFormat="1">
      <c r="A308" s="143"/>
      <c r="B308" s="182" t="s">
        <v>191</v>
      </c>
      <c r="C308" s="127">
        <v>69</v>
      </c>
      <c r="D308" s="127">
        <v>69</v>
      </c>
      <c r="E308" s="127"/>
      <c r="F308" s="127"/>
      <c r="G308" s="127"/>
      <c r="H308" s="126"/>
      <c r="I308" s="126"/>
      <c r="J308" s="126"/>
      <c r="K308" s="126"/>
      <c r="L308" s="126"/>
      <c r="M308" s="126"/>
      <c r="N308" s="126"/>
      <c r="O308" s="126"/>
      <c r="P308" s="126"/>
      <c r="Q308" s="126"/>
      <c r="R308" s="126"/>
      <c r="S308" s="126"/>
      <c r="T308" s="126"/>
      <c r="U308" s="126"/>
      <c r="V308" s="126"/>
      <c r="W308" s="126"/>
      <c r="AO308" s="214"/>
      <c r="AP308" s="214"/>
      <c r="AQ308" s="214"/>
      <c r="AR308" s="214"/>
      <c r="AS308" s="214"/>
      <c r="AT308" s="213"/>
      <c r="AU308" s="213"/>
      <c r="AV308" s="213"/>
      <c r="AW308" s="213"/>
      <c r="AY308" s="213"/>
      <c r="AZ308" s="213"/>
      <c r="BA308" s="213"/>
      <c r="BB308" s="213"/>
      <c r="BC308" s="213"/>
      <c r="BD308" s="213"/>
      <c r="BE308" s="213"/>
      <c r="BF308" s="213"/>
      <c r="BG308" s="213"/>
      <c r="BH308" s="213"/>
      <c r="BM308" s="213"/>
      <c r="BN308" s="213"/>
      <c r="BO308" s="213"/>
      <c r="BP308" s="213"/>
      <c r="BQ308" s="213"/>
    </row>
    <row r="309" spans="1:256" s="168" customFormat="1" ht="15" thickBot="1">
      <c r="A309" s="143"/>
      <c r="B309" s="182" t="s">
        <v>442</v>
      </c>
      <c r="C309" s="126">
        <v>1</v>
      </c>
      <c r="D309" s="315">
        <v>6</v>
      </c>
      <c r="E309" s="315"/>
      <c r="F309" s="315"/>
      <c r="G309" s="315"/>
      <c r="H309" s="315"/>
      <c r="I309" s="315"/>
      <c r="J309" s="315"/>
      <c r="K309" s="315"/>
      <c r="L309" s="315"/>
      <c r="M309" s="126"/>
      <c r="N309" s="126"/>
      <c r="O309" s="126"/>
      <c r="P309" s="126"/>
      <c r="Q309" s="126"/>
      <c r="R309" s="126"/>
      <c r="S309" s="126"/>
      <c r="T309" s="126"/>
      <c r="U309" s="126"/>
      <c r="V309" s="126"/>
      <c r="W309" s="126"/>
      <c r="AO309" s="213"/>
      <c r="AP309" s="213"/>
      <c r="AQ309" s="213"/>
      <c r="AR309" s="213"/>
      <c r="AS309" s="213"/>
      <c r="AT309" s="213"/>
      <c r="AU309" s="213"/>
      <c r="AV309" s="213"/>
      <c r="AW309" s="213"/>
      <c r="AY309" s="213"/>
      <c r="AZ309" s="213"/>
      <c r="BA309" s="213"/>
      <c r="BB309" s="213"/>
      <c r="BC309" s="213"/>
      <c r="BD309" s="213"/>
      <c r="BE309" s="213"/>
      <c r="BF309" s="213"/>
      <c r="BG309" s="213"/>
      <c r="BH309" s="213"/>
      <c r="BM309" s="213"/>
      <c r="BN309" s="213"/>
      <c r="BO309" s="213"/>
      <c r="BP309" s="213"/>
    </row>
    <row r="310" spans="1:256" s="169" customFormat="1">
      <c r="A310" s="143"/>
      <c r="B310" s="338" t="s">
        <v>166</v>
      </c>
      <c r="C310" s="316" t="str">
        <f>IF(OR(C313="**",C313=""),"",VALUE(C313))</f>
        <v/>
      </c>
      <c r="D310" s="316">
        <f t="shared" ref="D310:J310" si="28">IF(OR(D313="**",D313=""),"",VALUE(D313))</f>
        <v>59</v>
      </c>
      <c r="E310" s="316" t="str">
        <f t="shared" si="28"/>
        <v/>
      </c>
      <c r="F310" s="316" t="str">
        <f t="shared" si="28"/>
        <v/>
      </c>
      <c r="G310" s="316" t="str">
        <f t="shared" si="28"/>
        <v/>
      </c>
      <c r="H310" s="316" t="str">
        <f t="shared" si="28"/>
        <v/>
      </c>
      <c r="I310" s="316" t="str">
        <f t="shared" si="28"/>
        <v/>
      </c>
      <c r="J310" s="316" t="str">
        <f t="shared" si="28"/>
        <v/>
      </c>
      <c r="K310" s="316"/>
      <c r="L310" s="316"/>
      <c r="M310" s="126"/>
      <c r="N310" s="126"/>
      <c r="O310" s="126"/>
      <c r="P310" s="126"/>
      <c r="Q310" s="126"/>
      <c r="R310" s="126"/>
      <c r="S310" s="126"/>
      <c r="T310" s="126"/>
      <c r="U310" s="126"/>
      <c r="V310" s="126"/>
      <c r="W310" s="126"/>
      <c r="X310" s="168"/>
      <c r="Y310" s="168"/>
      <c r="Z310" s="168"/>
      <c r="AA310" s="168"/>
      <c r="AB310" s="168"/>
      <c r="AC310" s="168"/>
      <c r="AD310" s="168"/>
      <c r="AE310" s="168"/>
      <c r="AF310" s="168"/>
      <c r="AG310" s="168"/>
      <c r="AH310" s="168"/>
      <c r="AI310" s="168"/>
      <c r="AJ310" s="168"/>
      <c r="AK310" s="168"/>
      <c r="AL310" s="168"/>
      <c r="AM310" s="168"/>
      <c r="AN310" s="168"/>
      <c r="AO310" s="213"/>
      <c r="AP310" s="213"/>
      <c r="AQ310" s="213"/>
      <c r="AR310" s="213"/>
      <c r="AS310" s="213"/>
      <c r="AT310" s="213"/>
      <c r="AU310" s="213"/>
      <c r="AV310" s="213"/>
      <c r="AW310" s="213"/>
      <c r="AX310" s="168"/>
      <c r="AY310" s="213"/>
      <c r="AZ310" s="213"/>
      <c r="BA310" s="213"/>
      <c r="BB310" s="213"/>
      <c r="BC310" s="213"/>
      <c r="BD310" s="213"/>
      <c r="BE310" s="213"/>
      <c r="BF310" s="213"/>
      <c r="BG310" s="213"/>
      <c r="BH310" s="213"/>
      <c r="BI310" s="168"/>
      <c r="BJ310" s="168"/>
      <c r="BK310" s="168"/>
      <c r="BL310" s="168"/>
      <c r="BM310" s="213"/>
      <c r="BN310" s="213"/>
      <c r="BO310" s="213"/>
      <c r="BP310" s="168"/>
      <c r="BQ310" s="168"/>
      <c r="BR310" s="168"/>
      <c r="BS310" s="168"/>
      <c r="BT310" s="168"/>
      <c r="BU310" s="168"/>
      <c r="BV310" s="168"/>
      <c r="BW310" s="168"/>
      <c r="BX310" s="168"/>
      <c r="BY310" s="168"/>
      <c r="BZ310" s="168"/>
      <c r="CA310" s="168"/>
      <c r="CB310" s="168"/>
      <c r="CC310" s="168"/>
      <c r="CD310" s="168"/>
      <c r="CE310" s="168"/>
      <c r="CF310" s="168"/>
      <c r="CG310" s="168"/>
      <c r="CH310" s="168"/>
      <c r="CI310" s="168"/>
      <c r="CJ310" s="168"/>
      <c r="CK310" s="168"/>
      <c r="CL310" s="168"/>
      <c r="CM310" s="168"/>
      <c r="CN310" s="168"/>
      <c r="CO310" s="168"/>
      <c r="CP310" s="168"/>
      <c r="CQ310" s="168"/>
      <c r="CR310" s="168"/>
      <c r="CS310" s="168"/>
      <c r="CT310" s="168"/>
      <c r="CU310" s="168"/>
      <c r="CV310" s="168"/>
      <c r="CW310" s="168"/>
      <c r="CX310" s="168"/>
      <c r="CY310" s="168"/>
      <c r="CZ310" s="168"/>
      <c r="DA310" s="168"/>
      <c r="DB310" s="168"/>
      <c r="DC310" s="168"/>
      <c r="DD310" s="168"/>
      <c r="DE310" s="168"/>
      <c r="DF310" s="168"/>
      <c r="DG310" s="168"/>
      <c r="DH310" s="168"/>
      <c r="DI310" s="168"/>
      <c r="DJ310" s="168"/>
      <c r="DK310" s="168"/>
      <c r="DL310" s="168"/>
      <c r="DM310" s="168"/>
      <c r="DN310" s="168"/>
      <c r="DO310" s="168"/>
      <c r="DP310" s="168"/>
      <c r="DQ310" s="168"/>
      <c r="DR310" s="168"/>
      <c r="DS310" s="168"/>
      <c r="DT310" s="168"/>
      <c r="DU310" s="168"/>
      <c r="DV310" s="168"/>
      <c r="DW310" s="168"/>
      <c r="DX310" s="168"/>
      <c r="DY310" s="168"/>
      <c r="DZ310" s="168"/>
      <c r="EA310" s="168"/>
      <c r="EB310" s="168"/>
      <c r="EC310" s="168"/>
      <c r="ED310" s="168"/>
      <c r="EE310" s="168"/>
      <c r="EF310" s="168"/>
      <c r="EG310" s="168"/>
      <c r="EH310" s="168"/>
      <c r="EI310" s="168"/>
      <c r="EJ310" s="168"/>
      <c r="EK310" s="168"/>
      <c r="EL310" s="168"/>
      <c r="EM310" s="168"/>
      <c r="EN310" s="168"/>
      <c r="EO310" s="168"/>
      <c r="EP310" s="168"/>
      <c r="EQ310" s="168"/>
      <c r="ER310" s="168"/>
      <c r="ES310" s="168"/>
      <c r="ET310" s="168"/>
      <c r="EU310" s="168"/>
      <c r="EV310" s="168"/>
      <c r="EW310" s="168"/>
      <c r="EX310" s="168"/>
      <c r="EY310" s="168"/>
      <c r="EZ310" s="168"/>
      <c r="FA310" s="168"/>
      <c r="FB310" s="168"/>
      <c r="FC310" s="168"/>
      <c r="FD310" s="168"/>
      <c r="FE310" s="168"/>
      <c r="FF310" s="168"/>
      <c r="FG310" s="168"/>
      <c r="FH310" s="168"/>
      <c r="FI310" s="168"/>
      <c r="FJ310" s="168"/>
      <c r="FK310" s="168"/>
      <c r="FL310" s="168"/>
      <c r="FM310" s="168"/>
      <c r="FN310" s="168"/>
      <c r="FO310" s="168"/>
      <c r="FP310" s="168"/>
      <c r="FQ310" s="168"/>
      <c r="FR310" s="168"/>
      <c r="FS310" s="168"/>
      <c r="FT310" s="168"/>
      <c r="FU310" s="168"/>
      <c r="FV310" s="168"/>
      <c r="FW310" s="168"/>
      <c r="FX310" s="168"/>
      <c r="FY310" s="168"/>
      <c r="FZ310" s="168"/>
      <c r="GA310" s="168"/>
      <c r="GB310" s="168"/>
      <c r="GC310" s="168"/>
      <c r="GD310" s="168"/>
      <c r="GE310" s="168"/>
      <c r="GF310" s="168"/>
      <c r="GG310" s="168"/>
      <c r="GH310" s="168"/>
      <c r="GI310" s="168"/>
      <c r="GJ310" s="168"/>
      <c r="GK310" s="168"/>
      <c r="GL310" s="168"/>
      <c r="GM310" s="168"/>
      <c r="GN310" s="168"/>
      <c r="GO310" s="168"/>
      <c r="GP310" s="168"/>
      <c r="GQ310" s="168"/>
      <c r="GR310" s="168"/>
      <c r="GS310" s="168"/>
      <c r="GT310" s="168"/>
      <c r="GU310" s="168"/>
      <c r="GV310" s="168"/>
      <c r="GW310" s="168"/>
      <c r="GX310" s="168"/>
      <c r="GY310" s="168"/>
      <c r="GZ310" s="168"/>
      <c r="HA310" s="168"/>
      <c r="HB310" s="168"/>
      <c r="HC310" s="168"/>
      <c r="HD310" s="168"/>
      <c r="HE310" s="168"/>
      <c r="HF310" s="168"/>
      <c r="HG310" s="168"/>
      <c r="HH310" s="168"/>
      <c r="HI310" s="168"/>
      <c r="HJ310" s="168"/>
      <c r="HK310" s="168"/>
      <c r="HL310" s="168"/>
      <c r="HM310" s="168"/>
      <c r="HN310" s="168"/>
      <c r="HO310" s="168"/>
      <c r="HP310" s="168"/>
      <c r="HQ310" s="168"/>
      <c r="HR310" s="168"/>
      <c r="HS310" s="168"/>
      <c r="HT310" s="168"/>
      <c r="HU310" s="168"/>
      <c r="HV310" s="168"/>
      <c r="HW310" s="168"/>
      <c r="HX310" s="168"/>
      <c r="HY310" s="168"/>
      <c r="HZ310" s="168"/>
      <c r="IA310" s="168"/>
      <c r="IB310" s="168"/>
      <c r="IC310" s="168"/>
      <c r="ID310" s="168"/>
      <c r="IE310" s="168"/>
      <c r="IF310" s="168"/>
      <c r="IG310" s="168"/>
      <c r="IH310" s="168"/>
      <c r="II310" s="168"/>
      <c r="IJ310" s="168"/>
      <c r="IK310" s="168"/>
      <c r="IL310" s="168"/>
      <c r="IM310" s="168"/>
      <c r="IN310" s="168"/>
      <c r="IO310" s="168"/>
      <c r="IP310" s="168"/>
      <c r="IQ310" s="168"/>
      <c r="IR310" s="168"/>
      <c r="IS310" s="168"/>
      <c r="IT310" s="168"/>
    </row>
    <row r="311" spans="1:256" s="168" customFormat="1" ht="15" thickBot="1">
      <c r="A311" s="165"/>
      <c r="B311" s="339" t="s">
        <v>165</v>
      </c>
      <c r="C311" s="317" t="str">
        <f t="shared" ref="C311:J311" si="29">IF(OR(C307="**",C307=""),"",VALUE(C307))</f>
        <v/>
      </c>
      <c r="D311" s="317">
        <f t="shared" si="29"/>
        <v>50</v>
      </c>
      <c r="E311" s="317" t="str">
        <f t="shared" si="29"/>
        <v/>
      </c>
      <c r="F311" s="317" t="str">
        <f t="shared" si="29"/>
        <v/>
      </c>
      <c r="G311" s="317" t="str">
        <f t="shared" si="29"/>
        <v/>
      </c>
      <c r="H311" s="317" t="str">
        <f t="shared" si="29"/>
        <v/>
      </c>
      <c r="I311" s="317" t="str">
        <f t="shared" si="29"/>
        <v/>
      </c>
      <c r="J311" s="317" t="str">
        <f t="shared" si="29"/>
        <v/>
      </c>
      <c r="K311" s="317"/>
      <c r="L311" s="317"/>
      <c r="M311" s="169"/>
      <c r="N311" s="169"/>
      <c r="O311" s="169"/>
      <c r="P311" s="169"/>
      <c r="Q311" s="169"/>
      <c r="R311" s="169"/>
      <c r="S311" s="169"/>
      <c r="T311" s="169"/>
      <c r="U311" s="169"/>
      <c r="V311" s="169"/>
      <c r="W311" s="169"/>
      <c r="AO311" s="169"/>
      <c r="AP311" s="169"/>
      <c r="AQ311" s="169"/>
      <c r="AR311" s="169"/>
      <c r="AS311" s="169"/>
      <c r="AT311" s="169"/>
      <c r="AU311" s="169"/>
      <c r="AV311" s="169"/>
      <c r="AW311" s="213"/>
      <c r="AX311" s="213"/>
      <c r="AY311" s="213"/>
      <c r="AZ311" s="213"/>
      <c r="BA311" s="213"/>
      <c r="BB311" s="213"/>
      <c r="BC311" s="213"/>
      <c r="BD311" s="213"/>
      <c r="BE311" s="213"/>
      <c r="BF311" s="213"/>
      <c r="BG311" s="213"/>
      <c r="BH311" s="213"/>
      <c r="BM311" s="213"/>
      <c r="BN311" s="213"/>
    </row>
    <row r="312" spans="1:256" s="168" customFormat="1">
      <c r="A312" s="143"/>
      <c r="B312" s="340" t="s">
        <v>483</v>
      </c>
      <c r="C312" s="167" t="s">
        <v>910</v>
      </c>
      <c r="D312" s="167" t="s">
        <v>911</v>
      </c>
      <c r="E312" s="167"/>
      <c r="F312" s="167"/>
      <c r="G312" s="167"/>
      <c r="H312" s="166"/>
      <c r="I312" s="166"/>
      <c r="J312" s="166"/>
      <c r="K312" s="166"/>
      <c r="L312" s="166"/>
      <c r="M312" s="169"/>
      <c r="N312" s="169"/>
      <c r="O312" s="169"/>
      <c r="P312" s="169"/>
      <c r="Q312" s="169"/>
      <c r="R312" s="169"/>
      <c r="S312" s="169"/>
      <c r="T312" s="169"/>
      <c r="U312" s="169"/>
      <c r="V312" s="169"/>
      <c r="W312" s="169"/>
      <c r="AS312" s="213"/>
      <c r="AT312" s="213"/>
      <c r="AU312" s="213"/>
      <c r="AV312" s="213"/>
      <c r="AW312" s="213"/>
      <c r="AX312" s="213"/>
      <c r="AY312" s="213"/>
      <c r="AZ312" s="213"/>
      <c r="BA312" s="213"/>
      <c r="BB312" s="213"/>
      <c r="BC312" s="213"/>
      <c r="BD312" s="213"/>
      <c r="BE312" s="213"/>
      <c r="BF312" s="213"/>
      <c r="BG312" s="213"/>
      <c r="BH312" s="213"/>
      <c r="BI312" s="213"/>
      <c r="BJ312" s="213"/>
      <c r="BK312" s="213"/>
      <c r="BL312" s="213"/>
      <c r="BM312" s="213"/>
    </row>
    <row r="313" spans="1:256" s="168" customFormat="1">
      <c r="A313" s="143"/>
      <c r="B313" s="182" t="s">
        <v>158</v>
      </c>
      <c r="C313" s="165" t="s">
        <v>443</v>
      </c>
      <c r="D313" s="165">
        <v>59</v>
      </c>
      <c r="E313" s="165"/>
      <c r="F313" s="165"/>
      <c r="G313" s="165"/>
      <c r="H313" s="166"/>
      <c r="I313" s="166"/>
      <c r="J313" s="166"/>
      <c r="K313" s="166"/>
      <c r="L313" s="166"/>
      <c r="M313" s="169"/>
      <c r="N313" s="169"/>
      <c r="O313" s="169"/>
      <c r="P313" s="169"/>
      <c r="Q313" s="169"/>
      <c r="R313" s="169"/>
      <c r="S313" s="169"/>
      <c r="T313" s="169"/>
      <c r="U313" s="169"/>
      <c r="V313" s="169"/>
      <c r="W313" s="169"/>
      <c r="AR313" s="213"/>
      <c r="AS313" s="213"/>
      <c r="AT313" s="213"/>
      <c r="AU313" s="213"/>
      <c r="AV313" s="213"/>
      <c r="AW313" s="213"/>
      <c r="AX313" s="213"/>
      <c r="AY313" s="213"/>
      <c r="AZ313" s="213"/>
      <c r="BA313" s="213"/>
      <c r="BB313" s="213"/>
      <c r="BC313" s="213"/>
      <c r="BD313" s="213"/>
      <c r="BE313" s="213"/>
      <c r="BF313" s="213"/>
      <c r="BG313" s="213"/>
      <c r="BH313" s="213"/>
      <c r="BI313" s="213"/>
      <c r="BJ313" s="213"/>
      <c r="BK313" s="213"/>
      <c r="BL313" s="213"/>
    </row>
    <row r="314" spans="1:256" s="168" customFormat="1">
      <c r="A314" s="143"/>
      <c r="B314" s="340" t="s">
        <v>442</v>
      </c>
      <c r="C314" s="165">
        <v>1</v>
      </c>
      <c r="D314" s="165">
        <v>8</v>
      </c>
      <c r="E314" s="165"/>
      <c r="F314" s="165"/>
      <c r="G314" s="165"/>
      <c r="H314" s="165"/>
      <c r="I314" s="165"/>
      <c r="J314" s="165"/>
      <c r="K314" s="165"/>
      <c r="L314" s="165"/>
      <c r="M314" s="169"/>
      <c r="N314" s="169"/>
      <c r="O314" s="169"/>
      <c r="P314" s="169"/>
      <c r="Q314" s="169"/>
      <c r="R314" s="169"/>
      <c r="S314" s="169"/>
      <c r="T314" s="169"/>
      <c r="U314" s="169"/>
      <c r="V314" s="169"/>
      <c r="W314" s="169"/>
      <c r="AQ314" s="213"/>
      <c r="AR314" s="213"/>
      <c r="AS314" s="213"/>
      <c r="AT314" s="213"/>
      <c r="AU314" s="213"/>
      <c r="AV314" s="213"/>
      <c r="AW314" s="213"/>
      <c r="AX314" s="213"/>
      <c r="AY314" s="213"/>
      <c r="AZ314" s="213"/>
      <c r="BA314" s="213"/>
      <c r="BB314" s="213"/>
      <c r="BC314" s="213"/>
      <c r="BD314" s="213"/>
      <c r="BE314" s="213"/>
      <c r="BF314" s="213"/>
      <c r="BG314" s="213"/>
      <c r="BH314" s="213"/>
      <c r="BI314" s="213"/>
      <c r="BJ314" s="213"/>
      <c r="BK314" s="213"/>
    </row>
    <row r="315" spans="1:256" s="168" customFormat="1">
      <c r="A315" s="143"/>
      <c r="B315" s="143"/>
      <c r="C315" s="172"/>
      <c r="D315" s="165"/>
      <c r="E315" s="165"/>
      <c r="F315" s="165"/>
      <c r="G315" s="165"/>
      <c r="H315" s="165"/>
      <c r="I315" s="165"/>
      <c r="J315" s="165"/>
      <c r="K315" s="165"/>
      <c r="L315" s="165"/>
      <c r="M315" s="169"/>
      <c r="N315" s="169"/>
      <c r="O315" s="169"/>
      <c r="P315" s="169"/>
      <c r="Q315" s="169"/>
      <c r="R315" s="169"/>
      <c r="S315" s="169"/>
      <c r="T315" s="169"/>
      <c r="U315" s="169"/>
      <c r="V315" s="169"/>
      <c r="W315" s="169"/>
      <c r="AP315" s="213"/>
      <c r="AQ315" s="213"/>
      <c r="AR315" s="213"/>
      <c r="AS315" s="213"/>
      <c r="AT315" s="213"/>
      <c r="AU315" s="213"/>
      <c r="AV315" s="213"/>
      <c r="AW315" s="213"/>
      <c r="AX315" s="213"/>
      <c r="AY315" s="213"/>
      <c r="AZ315" s="213"/>
      <c r="BA315" s="213"/>
      <c r="BB315" s="213"/>
      <c r="BC315" s="213"/>
      <c r="BD315" s="213"/>
      <c r="BE315" s="213"/>
      <c r="BF315" s="213"/>
      <c r="BG315" s="213"/>
      <c r="BH315" s="213"/>
      <c r="BI315" s="213"/>
      <c r="BJ315" s="213"/>
    </row>
    <row r="316" spans="1:256" s="170" customFormat="1">
      <c r="A316" s="143"/>
      <c r="B316" s="164"/>
      <c r="C316" s="172"/>
      <c r="D316" s="165"/>
      <c r="E316" s="165"/>
      <c r="F316" s="165"/>
      <c r="G316" s="165"/>
      <c r="H316" s="165"/>
      <c r="I316" s="165"/>
      <c r="J316" s="165"/>
      <c r="K316" s="165"/>
      <c r="L316" s="165"/>
      <c r="M316" s="169"/>
      <c r="N316" s="169"/>
      <c r="O316" s="169"/>
      <c r="P316" s="169"/>
      <c r="Q316" s="169"/>
      <c r="R316" s="169"/>
      <c r="S316" s="169"/>
      <c r="T316" s="169"/>
      <c r="U316" s="169"/>
      <c r="V316" s="169"/>
      <c r="W316" s="169"/>
      <c r="X316" s="168"/>
      <c r="Y316" s="168"/>
      <c r="Z316" s="168"/>
      <c r="AA316" s="168"/>
      <c r="AB316" s="168"/>
      <c r="AC316" s="168"/>
      <c r="AD316" s="168"/>
      <c r="AE316" s="168"/>
      <c r="AF316" s="168"/>
      <c r="AG316" s="168"/>
      <c r="AH316" s="168"/>
      <c r="AI316" s="168"/>
      <c r="AJ316" s="168"/>
      <c r="AK316" s="168"/>
      <c r="AL316" s="168"/>
      <c r="AM316" s="168"/>
      <c r="AN316" s="168"/>
      <c r="AO316" s="168"/>
      <c r="AP316" s="213"/>
      <c r="AQ316" s="213"/>
      <c r="AR316" s="213"/>
      <c r="AS316" s="213"/>
      <c r="AT316" s="213"/>
      <c r="AU316" s="213"/>
      <c r="AV316" s="213"/>
      <c r="AW316" s="213"/>
      <c r="AX316" s="213"/>
      <c r="AY316" s="213"/>
      <c r="AZ316" s="213"/>
      <c r="BA316" s="213"/>
      <c r="BB316" s="213"/>
      <c r="BC316" s="213"/>
      <c r="BD316" s="213"/>
      <c r="BE316" s="213"/>
      <c r="BF316" s="213"/>
      <c r="BG316" s="213"/>
      <c r="BH316" s="213"/>
      <c r="BI316" s="213"/>
      <c r="BJ316" s="213"/>
      <c r="BK316" s="168"/>
      <c r="BL316" s="203"/>
      <c r="BM316" s="204"/>
      <c r="BN316" s="169"/>
      <c r="BO316" s="169"/>
      <c r="BP316" s="169"/>
      <c r="BQ316" s="169"/>
      <c r="BR316" s="169"/>
      <c r="BX316" s="168"/>
      <c r="BY316" s="168"/>
      <c r="BZ316" s="168"/>
      <c r="CA316" s="168"/>
      <c r="CB316" s="168"/>
      <c r="CC316" s="168"/>
      <c r="CD316" s="168"/>
      <c r="CE316" s="168"/>
      <c r="CF316" s="168"/>
      <c r="CG316" s="168"/>
      <c r="CH316" s="168"/>
      <c r="CI316" s="168"/>
      <c r="CJ316" s="168"/>
      <c r="CK316" s="168"/>
      <c r="CL316" s="168"/>
      <c r="CM316" s="168"/>
      <c r="CN316" s="168"/>
      <c r="CO316" s="168"/>
      <c r="CP316" s="168"/>
      <c r="CQ316" s="168"/>
      <c r="CR316" s="168"/>
      <c r="CS316" s="168"/>
      <c r="CT316" s="168"/>
      <c r="CU316" s="168"/>
      <c r="CV316" s="168"/>
      <c r="CW316" s="168"/>
      <c r="CX316" s="168"/>
      <c r="CY316" s="168"/>
      <c r="CZ316" s="213"/>
      <c r="DA316" s="213"/>
      <c r="DB316" s="213"/>
      <c r="DC316" s="213"/>
      <c r="DD316" s="213"/>
      <c r="DE316" s="213"/>
      <c r="DF316" s="213"/>
      <c r="DG316" s="213"/>
      <c r="DH316" s="213"/>
      <c r="DI316" s="213"/>
      <c r="DJ316" s="213"/>
      <c r="DK316" s="213"/>
      <c r="DL316" s="213"/>
      <c r="DM316" s="213"/>
      <c r="DN316" s="213"/>
      <c r="DO316" s="213"/>
      <c r="DP316" s="213"/>
      <c r="DQ316" s="213"/>
      <c r="DR316" s="213"/>
      <c r="DS316" s="213"/>
      <c r="DT316" s="213"/>
      <c r="DU316" s="168"/>
      <c r="DV316" s="203"/>
      <c r="DW316" s="204"/>
      <c r="DX316" s="169"/>
      <c r="DY316" s="169"/>
      <c r="DZ316" s="169"/>
      <c r="EA316" s="169"/>
      <c r="EB316" s="169"/>
      <c r="EH316" s="168"/>
      <c r="EI316" s="168"/>
      <c r="EJ316" s="168"/>
      <c r="EK316" s="168"/>
      <c r="EL316" s="168"/>
      <c r="EM316" s="168"/>
      <c r="EN316" s="168"/>
      <c r="EO316" s="168"/>
      <c r="EP316" s="168"/>
      <c r="EQ316" s="168"/>
      <c r="ER316" s="168"/>
      <c r="ES316" s="168"/>
      <c r="ET316" s="168"/>
      <c r="EU316" s="168"/>
      <c r="EV316" s="168"/>
      <c r="EW316" s="168"/>
      <c r="EX316" s="168"/>
      <c r="EY316" s="168"/>
      <c r="EZ316" s="168"/>
      <c r="FA316" s="168"/>
      <c r="FB316" s="168"/>
      <c r="FC316" s="168"/>
      <c r="FD316" s="168"/>
      <c r="FE316" s="168"/>
      <c r="FF316" s="168"/>
      <c r="FG316" s="168"/>
      <c r="FH316" s="168"/>
      <c r="FI316" s="168"/>
      <c r="FJ316" s="213"/>
      <c r="FK316" s="213"/>
      <c r="FL316" s="213"/>
      <c r="FM316" s="213"/>
      <c r="FN316" s="213"/>
      <c r="FO316" s="213"/>
      <c r="FP316" s="213"/>
      <c r="FQ316" s="213"/>
      <c r="FR316" s="213"/>
      <c r="FS316" s="213"/>
      <c r="FT316" s="213"/>
      <c r="FU316" s="213"/>
      <c r="FV316" s="213"/>
      <c r="FW316" s="213"/>
      <c r="FX316" s="213"/>
      <c r="FY316" s="213"/>
      <c r="FZ316" s="213"/>
      <c r="GA316" s="213"/>
      <c r="GB316" s="213"/>
      <c r="GC316" s="213"/>
      <c r="GD316" s="213"/>
      <c r="GE316" s="168"/>
      <c r="GF316" s="203"/>
      <c r="GG316" s="204"/>
      <c r="GH316" s="169"/>
      <c r="GI316" s="169"/>
      <c r="GJ316" s="169"/>
      <c r="GK316" s="169"/>
      <c r="GL316" s="169"/>
      <c r="GR316" s="168"/>
      <c r="GS316" s="168"/>
      <c r="GT316" s="168"/>
      <c r="GU316" s="168"/>
      <c r="GV316" s="168"/>
      <c r="GW316" s="168"/>
      <c r="GX316" s="168"/>
      <c r="GY316" s="168"/>
      <c r="GZ316" s="168"/>
      <c r="HA316" s="168"/>
      <c r="HB316" s="168"/>
      <c r="HC316" s="168"/>
      <c r="HD316" s="168"/>
      <c r="HE316" s="168"/>
      <c r="HF316" s="168"/>
      <c r="HG316" s="168"/>
      <c r="HH316" s="168"/>
      <c r="HI316" s="168"/>
      <c r="HJ316" s="168"/>
      <c r="HK316" s="168"/>
      <c r="HL316" s="168"/>
      <c r="HM316" s="168"/>
      <c r="HN316" s="168"/>
      <c r="HO316" s="168"/>
      <c r="HP316" s="168"/>
      <c r="HQ316" s="168"/>
      <c r="HR316" s="168"/>
      <c r="HS316" s="168"/>
      <c r="HT316" s="213"/>
      <c r="HU316" s="213"/>
      <c r="HV316" s="213"/>
      <c r="HW316" s="213"/>
      <c r="HX316" s="213"/>
      <c r="HY316" s="213"/>
      <c r="HZ316" s="213"/>
      <c r="IA316" s="213"/>
      <c r="IB316" s="213"/>
      <c r="IC316" s="213"/>
      <c r="ID316" s="213"/>
      <c r="IE316" s="213"/>
      <c r="IF316" s="213"/>
      <c r="IG316" s="213"/>
      <c r="IH316" s="213"/>
      <c r="II316" s="213"/>
      <c r="IJ316" s="213"/>
      <c r="IK316" s="213"/>
      <c r="IL316" s="213"/>
      <c r="IM316" s="213"/>
      <c r="IN316" s="213"/>
      <c r="IO316" s="168"/>
      <c r="IP316" s="203"/>
      <c r="IQ316" s="204"/>
      <c r="IR316" s="169"/>
      <c r="IS316" s="169"/>
      <c r="IT316" s="169"/>
      <c r="IU316" s="169"/>
      <c r="IV316" s="169"/>
    </row>
    <row r="317" spans="1:256" s="168" customFormat="1">
      <c r="A317" s="166"/>
      <c r="B317" s="166"/>
      <c r="C317" s="166"/>
      <c r="D317" s="166"/>
      <c r="E317" s="143"/>
      <c r="F317" s="143"/>
      <c r="G317" s="143"/>
      <c r="H317" s="143"/>
      <c r="I317" s="143"/>
      <c r="J317" s="143"/>
      <c r="K317" s="143"/>
      <c r="L317" s="143"/>
      <c r="AG317" s="213"/>
      <c r="AH317" s="213"/>
      <c r="AI317" s="213"/>
      <c r="AJ317" s="213"/>
      <c r="AK317" s="213"/>
      <c r="AL317" s="213"/>
      <c r="AM317" s="213"/>
      <c r="AN317" s="213"/>
      <c r="AO317" s="213"/>
      <c r="AP317" s="213"/>
      <c r="AQ317" s="213"/>
      <c r="AR317" s="213"/>
      <c r="AS317" s="213"/>
      <c r="AT317" s="213"/>
      <c r="AU317" s="213"/>
      <c r="AV317" s="213"/>
      <c r="AW317" s="213"/>
      <c r="AX317" s="213"/>
      <c r="AY317" s="213"/>
      <c r="AZ317" s="213"/>
      <c r="BA317" s="213"/>
      <c r="BC317" s="203"/>
      <c r="BD317" s="204"/>
      <c r="BE317" s="169"/>
      <c r="BF317" s="169"/>
      <c r="BG317" s="169"/>
      <c r="BH317" s="169"/>
      <c r="BI317" s="169"/>
      <c r="BJ317" s="170"/>
      <c r="BK317" s="170"/>
      <c r="BL317" s="170"/>
      <c r="BM317" s="170"/>
      <c r="BN317" s="170"/>
      <c r="CQ317" s="213"/>
      <c r="CR317" s="213"/>
      <c r="CS317" s="213"/>
      <c r="CT317" s="213"/>
      <c r="CU317" s="213"/>
      <c r="CV317" s="213"/>
      <c r="CW317" s="213"/>
      <c r="CX317" s="213"/>
      <c r="CY317" s="213"/>
      <c r="CZ317" s="213"/>
      <c r="DA317" s="213"/>
      <c r="DB317" s="213"/>
      <c r="DC317" s="213"/>
      <c r="DD317" s="213"/>
      <c r="DE317" s="213"/>
      <c r="DF317" s="213"/>
      <c r="DG317" s="213"/>
      <c r="DH317" s="213"/>
      <c r="DI317" s="213"/>
      <c r="DJ317" s="213"/>
      <c r="DK317" s="213"/>
      <c r="DM317" s="203"/>
      <c r="DN317" s="204"/>
      <c r="DO317" s="169"/>
      <c r="DP317" s="169"/>
      <c r="DQ317" s="169"/>
      <c r="DR317" s="169"/>
      <c r="DS317" s="169"/>
      <c r="DT317" s="170"/>
      <c r="DU317" s="170"/>
      <c r="DV317" s="170"/>
      <c r="DW317" s="170"/>
      <c r="DX317" s="170"/>
      <c r="FA317" s="213"/>
      <c r="FB317" s="213"/>
      <c r="FC317" s="213"/>
      <c r="FD317" s="213"/>
      <c r="FE317" s="213"/>
      <c r="FF317" s="213"/>
      <c r="FG317" s="213"/>
      <c r="FH317" s="213"/>
      <c r="FI317" s="213"/>
      <c r="FJ317" s="213"/>
      <c r="FK317" s="213"/>
      <c r="FL317" s="213"/>
      <c r="FM317" s="213"/>
      <c r="FN317" s="213"/>
      <c r="FO317" s="213"/>
      <c r="FP317" s="213"/>
      <c r="FQ317" s="213"/>
      <c r="FR317" s="213"/>
      <c r="FS317" s="213"/>
      <c r="FT317" s="213"/>
      <c r="FU317" s="213"/>
      <c r="FW317" s="203"/>
      <c r="FX317" s="204"/>
      <c r="FY317" s="169"/>
      <c r="FZ317" s="169"/>
      <c r="GA317" s="169"/>
      <c r="GB317" s="169"/>
      <c r="GC317" s="169"/>
      <c r="GD317" s="170"/>
      <c r="GE317" s="170"/>
      <c r="GF317" s="170"/>
      <c r="GG317" s="170"/>
      <c r="GH317" s="170"/>
      <c r="HK317" s="213"/>
      <c r="HL317" s="213"/>
      <c r="HM317" s="213"/>
      <c r="HN317" s="213"/>
      <c r="HO317" s="213"/>
      <c r="HP317" s="213"/>
      <c r="HQ317" s="213"/>
      <c r="HR317" s="213"/>
      <c r="HS317" s="213"/>
      <c r="HT317" s="213"/>
      <c r="HU317" s="213"/>
      <c r="HV317" s="213"/>
      <c r="HW317" s="213"/>
      <c r="HX317" s="213"/>
      <c r="HY317" s="213"/>
      <c r="HZ317" s="213"/>
      <c r="IA317" s="213"/>
      <c r="IB317" s="213"/>
      <c r="IC317" s="213"/>
      <c r="ID317" s="213"/>
      <c r="IE317" s="213"/>
      <c r="IG317" s="203"/>
      <c r="IH317" s="204"/>
      <c r="II317" s="169"/>
      <c r="IJ317" s="169"/>
      <c r="IK317" s="169"/>
      <c r="IL317" s="169"/>
      <c r="IM317" s="169"/>
      <c r="IN317" s="170"/>
      <c r="IO317" s="170"/>
      <c r="IP317" s="170"/>
      <c r="IQ317" s="170"/>
      <c r="IR317" s="170"/>
    </row>
    <row r="318" spans="1:256" s="212" customFormat="1" ht="14.25" customHeight="1">
      <c r="A318" s="143"/>
      <c r="B318" s="143"/>
      <c r="C318" s="143"/>
      <c r="D318" s="143"/>
      <c r="E318" s="143"/>
      <c r="F318" s="143"/>
      <c r="G318" s="143"/>
      <c r="H318" s="143"/>
      <c r="I318" s="143"/>
      <c r="J318" s="143"/>
      <c r="K318" s="143"/>
      <c r="L318" s="143"/>
      <c r="M318" s="168"/>
      <c r="N318" s="168"/>
      <c r="O318" s="168"/>
      <c r="P318" s="168"/>
      <c r="Q318" s="168"/>
      <c r="R318" s="168"/>
      <c r="S318" s="168"/>
      <c r="T318" s="168"/>
      <c r="U318" s="168"/>
      <c r="V318" s="168"/>
      <c r="W318" s="168"/>
      <c r="X318" s="213"/>
      <c r="Y318" s="213"/>
      <c r="Z318" s="213"/>
      <c r="AA318" s="213"/>
      <c r="AB318" s="213"/>
      <c r="AC318" s="213"/>
      <c r="AD318" s="213"/>
      <c r="AE318" s="213"/>
      <c r="AF318" s="213"/>
      <c r="AG318" s="213"/>
      <c r="AH318" s="213"/>
      <c r="AI318" s="213"/>
      <c r="AJ318" s="213"/>
      <c r="AK318" s="213"/>
      <c r="AL318" s="213"/>
      <c r="AM318" s="213"/>
      <c r="AN318" s="213"/>
      <c r="AO318" s="213"/>
      <c r="AP318" s="213"/>
      <c r="AQ318" s="213"/>
      <c r="AR318" s="213"/>
      <c r="AS318" s="168"/>
      <c r="AT318" s="203"/>
      <c r="AU318" s="204"/>
      <c r="AV318" s="169"/>
      <c r="AW318" s="169"/>
      <c r="AX318" s="169"/>
      <c r="AY318" s="169"/>
      <c r="AZ318" s="169"/>
      <c r="BA318" s="170"/>
      <c r="BB318" s="170"/>
      <c r="BC318" s="170"/>
      <c r="BD318" s="170"/>
      <c r="BE318" s="170"/>
      <c r="BF318" s="168"/>
      <c r="BG318" s="168"/>
      <c r="BH318" s="168"/>
      <c r="BI318" s="168"/>
      <c r="BJ318" s="168"/>
      <c r="BK318" s="168"/>
      <c r="BL318" s="168"/>
      <c r="BM318" s="168"/>
      <c r="BN318" s="168"/>
      <c r="BO318" s="168"/>
      <c r="BP318" s="168"/>
      <c r="BQ318" s="168"/>
      <c r="BR318" s="168"/>
      <c r="BS318" s="168"/>
      <c r="BT318" s="168"/>
      <c r="BU318" s="168"/>
      <c r="BV318" s="168"/>
      <c r="BW318" s="168"/>
      <c r="BX318" s="168"/>
      <c r="BY318" s="168"/>
      <c r="BZ318" s="168"/>
      <c r="CA318" s="168"/>
      <c r="CB318" s="168"/>
      <c r="CC318" s="168"/>
      <c r="CD318" s="168"/>
      <c r="CE318" s="168"/>
      <c r="CF318" s="168"/>
      <c r="CG318" s="168"/>
      <c r="CH318" s="213"/>
      <c r="CI318" s="213"/>
      <c r="CJ318" s="213"/>
      <c r="CK318" s="213"/>
      <c r="CL318" s="213"/>
      <c r="CM318" s="213"/>
      <c r="CN318" s="213"/>
      <c r="CO318" s="213"/>
      <c r="CP318" s="213"/>
      <c r="CQ318" s="213"/>
      <c r="CR318" s="213"/>
      <c r="CS318" s="213"/>
      <c r="CT318" s="213"/>
      <c r="CU318" s="213"/>
      <c r="CV318" s="213"/>
      <c r="CW318" s="213"/>
      <c r="CX318" s="213"/>
      <c r="CY318" s="213"/>
      <c r="CZ318" s="213"/>
      <c r="DA318" s="213"/>
      <c r="DB318" s="213"/>
      <c r="DC318" s="168"/>
      <c r="DD318" s="203"/>
      <c r="DE318" s="204"/>
      <c r="DF318" s="169"/>
      <c r="DG318" s="169"/>
      <c r="DH318" s="169"/>
      <c r="DI318" s="169"/>
      <c r="DJ318" s="169"/>
      <c r="DK318" s="170"/>
      <c r="DL318" s="170"/>
      <c r="DM318" s="170"/>
      <c r="DN318" s="170"/>
      <c r="DO318" s="170"/>
      <c r="DP318" s="168"/>
      <c r="DQ318" s="168"/>
      <c r="DR318" s="168"/>
      <c r="DS318" s="168"/>
      <c r="DT318" s="168"/>
      <c r="DU318" s="168"/>
      <c r="DV318" s="168"/>
      <c r="DW318" s="168"/>
      <c r="DX318" s="168"/>
      <c r="DY318" s="168"/>
      <c r="DZ318" s="168"/>
      <c r="EA318" s="168"/>
      <c r="EB318" s="168"/>
      <c r="EC318" s="168"/>
      <c r="ED318" s="168"/>
      <c r="EE318" s="168"/>
      <c r="EF318" s="168"/>
      <c r="EG318" s="168"/>
      <c r="EH318" s="168"/>
      <c r="EI318" s="168"/>
      <c r="EJ318" s="168"/>
      <c r="EK318" s="168"/>
      <c r="EL318" s="168"/>
      <c r="EM318" s="168"/>
      <c r="EN318" s="168"/>
      <c r="EO318" s="168"/>
      <c r="EP318" s="168"/>
      <c r="EQ318" s="168"/>
      <c r="ER318" s="213"/>
      <c r="ES318" s="213"/>
      <c r="ET318" s="213"/>
      <c r="EU318" s="213"/>
      <c r="EV318" s="213"/>
      <c r="EW318" s="213"/>
      <c r="EX318" s="213"/>
      <c r="EY318" s="213"/>
      <c r="EZ318" s="213"/>
      <c r="FA318" s="213"/>
      <c r="FB318" s="213"/>
      <c r="FC318" s="213"/>
      <c r="FD318" s="213"/>
      <c r="FE318" s="213"/>
      <c r="FF318" s="213"/>
      <c r="FG318" s="213"/>
      <c r="FH318" s="213"/>
      <c r="FI318" s="213"/>
      <c r="FJ318" s="213"/>
      <c r="FK318" s="213"/>
      <c r="FL318" s="213"/>
      <c r="FM318" s="168"/>
      <c r="FN318" s="203"/>
      <c r="FO318" s="204"/>
      <c r="FP318" s="169"/>
      <c r="FQ318" s="169"/>
      <c r="FR318" s="169"/>
      <c r="FS318" s="169"/>
      <c r="FT318" s="169"/>
      <c r="FU318" s="170"/>
      <c r="FV318" s="170"/>
      <c r="FW318" s="170"/>
      <c r="FX318" s="170"/>
      <c r="FY318" s="170"/>
      <c r="FZ318" s="168"/>
      <c r="GA318" s="168"/>
      <c r="GB318" s="168"/>
      <c r="GC318" s="168"/>
      <c r="GD318" s="168"/>
      <c r="GE318" s="168"/>
      <c r="GF318" s="168"/>
      <c r="GG318" s="168"/>
      <c r="GH318" s="168"/>
      <c r="GI318" s="168"/>
      <c r="GJ318" s="168"/>
      <c r="GK318" s="168"/>
      <c r="GL318" s="168"/>
      <c r="GM318" s="168"/>
      <c r="GN318" s="168"/>
      <c r="GO318" s="168"/>
      <c r="GP318" s="168"/>
      <c r="GQ318" s="168"/>
      <c r="GR318" s="168"/>
      <c r="GS318" s="168"/>
      <c r="GT318" s="168"/>
      <c r="GU318" s="168"/>
      <c r="GV318" s="168"/>
      <c r="GW318" s="168"/>
      <c r="GX318" s="168"/>
      <c r="GY318" s="168"/>
      <c r="GZ318" s="168"/>
      <c r="HA318" s="168"/>
      <c r="HB318" s="213"/>
      <c r="HC318" s="213"/>
      <c r="HD318" s="213"/>
      <c r="HE318" s="213"/>
      <c r="HF318" s="213"/>
      <c r="HG318" s="213"/>
      <c r="HH318" s="213"/>
      <c r="HI318" s="213"/>
      <c r="HJ318" s="213"/>
      <c r="HK318" s="213"/>
      <c r="HL318" s="213"/>
      <c r="HM318" s="213"/>
      <c r="HN318" s="213"/>
      <c r="HO318" s="213"/>
      <c r="HP318" s="213"/>
      <c r="HQ318" s="213"/>
      <c r="HR318" s="213"/>
      <c r="HS318" s="213"/>
      <c r="HT318" s="213"/>
      <c r="HU318" s="213"/>
      <c r="HV318" s="213"/>
      <c r="HW318" s="168"/>
      <c r="HX318" s="205"/>
      <c r="HY318" s="204"/>
      <c r="HZ318" s="173"/>
      <c r="IA318" s="173"/>
      <c r="IB318" s="173"/>
      <c r="IC318" s="173"/>
      <c r="ID318" s="173"/>
      <c r="IE318" s="173"/>
      <c r="IF318" s="173"/>
      <c r="IG318" s="173"/>
      <c r="IH318" s="173"/>
      <c r="II318" s="173"/>
      <c r="IJ318" s="173"/>
      <c r="IK318" s="173"/>
      <c r="IL318" s="173"/>
      <c r="IM318" s="173"/>
      <c r="IN318" s="173"/>
    </row>
    <row r="319" spans="1:256" s="168" customFormat="1" ht="14.25" customHeight="1">
      <c r="A319" s="174" t="s">
        <v>183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212"/>
      <c r="N319" s="212"/>
      <c r="O319" s="212"/>
      <c r="P319" s="212"/>
      <c r="Q319" s="212"/>
      <c r="R319" s="212"/>
      <c r="S319" s="212"/>
      <c r="T319" s="212"/>
      <c r="U319" s="212"/>
      <c r="V319" s="212"/>
      <c r="W319" s="212"/>
      <c r="X319" s="215"/>
      <c r="Y319" s="215"/>
      <c r="Z319" s="215"/>
      <c r="AA319" s="215"/>
      <c r="AB319" s="215"/>
      <c r="AC319" s="215"/>
      <c r="AD319" s="215"/>
      <c r="AE319" s="215"/>
      <c r="AF319" s="215"/>
      <c r="AG319" s="215"/>
      <c r="AH319" s="215"/>
      <c r="AI319" s="215"/>
      <c r="AJ319" s="212"/>
      <c r="AK319" s="206"/>
      <c r="AL319" s="207"/>
      <c r="AM319" s="208"/>
      <c r="AN319" s="208"/>
      <c r="AO319" s="208"/>
      <c r="AP319" s="208"/>
      <c r="AQ319" s="208"/>
      <c r="AR319" s="208"/>
      <c r="AS319" s="208"/>
      <c r="AT319" s="208"/>
      <c r="AU319" s="209"/>
      <c r="AV319" s="209"/>
      <c r="AW319" s="210"/>
      <c r="AX319" s="210"/>
      <c r="AY319" s="210"/>
      <c r="AZ319" s="210"/>
      <c r="BA319" s="210"/>
      <c r="BB319" s="210"/>
      <c r="BC319" s="210"/>
      <c r="BD319" s="210"/>
      <c r="BE319" s="210"/>
      <c r="BF319" s="210"/>
      <c r="BG319" s="210"/>
      <c r="BH319" s="210"/>
      <c r="BI319" s="210"/>
      <c r="BJ319" s="210"/>
      <c r="BK319" s="210"/>
      <c r="BL319" s="210"/>
      <c r="BM319" s="210"/>
      <c r="BN319" s="210"/>
      <c r="BO319" s="210"/>
      <c r="BP319" s="210"/>
      <c r="BQ319" s="210"/>
      <c r="BR319" s="210"/>
      <c r="BS319" s="210"/>
      <c r="BT319" s="210"/>
      <c r="BU319" s="210"/>
      <c r="BV319" s="210"/>
      <c r="BW319" s="210"/>
      <c r="BX319" s="210"/>
      <c r="BY319" s="216"/>
      <c r="BZ319" s="216"/>
      <c r="CA319" s="216"/>
      <c r="CB319" s="216"/>
      <c r="CC319" s="216"/>
      <c r="CD319" s="216"/>
      <c r="CE319" s="216"/>
      <c r="CF319" s="216"/>
      <c r="CG319" s="216"/>
      <c r="CH319" s="210"/>
      <c r="CI319" s="216"/>
      <c r="CJ319" s="216"/>
      <c r="CK319" s="216"/>
      <c r="CL319" s="216"/>
      <c r="CM319" s="216"/>
      <c r="CN319" s="216"/>
      <c r="CO319" s="216"/>
      <c r="CP319" s="216"/>
      <c r="CQ319" s="216"/>
      <c r="CR319" s="216"/>
      <c r="CS319" s="216"/>
      <c r="CT319" s="210"/>
      <c r="CU319" s="203"/>
      <c r="CV319" s="182"/>
      <c r="CW319" s="145"/>
      <c r="CX319" s="211"/>
      <c r="CY319" s="211"/>
      <c r="CZ319" s="211"/>
      <c r="DA319" s="211"/>
      <c r="DB319" s="211"/>
      <c r="DC319" s="211"/>
      <c r="DD319" s="211"/>
      <c r="DE319" s="170"/>
      <c r="DF319" s="170"/>
      <c r="EI319" s="213"/>
      <c r="EJ319" s="213"/>
      <c r="EK319" s="213"/>
      <c r="EL319" s="213"/>
      <c r="EM319" s="213"/>
      <c r="EN319" s="213"/>
      <c r="EO319" s="213"/>
      <c r="EP319" s="213"/>
      <c r="EQ319" s="213"/>
      <c r="ES319" s="213"/>
      <c r="ET319" s="213"/>
      <c r="EU319" s="213"/>
      <c r="EV319" s="213"/>
      <c r="EW319" s="213"/>
      <c r="EX319" s="213"/>
      <c r="EY319" s="213"/>
      <c r="EZ319" s="213"/>
      <c r="FA319" s="213"/>
      <c r="FB319" s="213"/>
      <c r="FC319" s="213"/>
      <c r="FE319" s="203"/>
      <c r="FF319" s="182"/>
      <c r="FG319" s="145"/>
      <c r="FH319" s="145"/>
      <c r="FI319" s="145"/>
      <c r="FJ319" s="145"/>
      <c r="FK319" s="145"/>
      <c r="FL319" s="145"/>
      <c r="FM319" s="145"/>
      <c r="FN319" s="145"/>
      <c r="FO319" s="170"/>
      <c r="FP319" s="170"/>
      <c r="GS319" s="213"/>
      <c r="GT319" s="213"/>
      <c r="GU319" s="213"/>
      <c r="GV319" s="213"/>
      <c r="GW319" s="213"/>
      <c r="GX319" s="213"/>
      <c r="GY319" s="213"/>
      <c r="GZ319" s="213"/>
      <c r="HA319" s="213"/>
      <c r="HC319" s="213"/>
      <c r="HD319" s="213"/>
      <c r="HE319" s="213"/>
      <c r="HF319" s="213"/>
      <c r="HG319" s="213"/>
      <c r="HH319" s="213"/>
      <c r="HI319" s="213"/>
      <c r="HJ319" s="213"/>
      <c r="HK319" s="213"/>
      <c r="HL319" s="213"/>
      <c r="HM319" s="213"/>
      <c r="HO319" s="182"/>
      <c r="HP319" s="145"/>
      <c r="HQ319" s="145"/>
      <c r="HR319" s="145"/>
      <c r="HS319" s="145"/>
      <c r="HT319" s="145"/>
      <c r="HU319" s="145"/>
      <c r="HV319" s="145"/>
      <c r="HW319" s="145"/>
      <c r="HX319" s="170"/>
      <c r="HY319" s="170"/>
    </row>
    <row r="320" spans="1:256" s="168" customFormat="1" ht="14.25" customHeight="1">
      <c r="A320" s="143">
        <v>4</v>
      </c>
      <c r="B320" s="143"/>
      <c r="C320" s="143"/>
      <c r="D320" s="143"/>
      <c r="E320" s="167"/>
      <c r="F320" s="167"/>
      <c r="G320" s="167"/>
      <c r="H320" s="167"/>
      <c r="I320" s="167"/>
      <c r="J320" s="167"/>
      <c r="K320" s="167"/>
      <c r="L320" s="167"/>
      <c r="M320" s="213"/>
      <c r="N320" s="213"/>
      <c r="O320" s="213"/>
      <c r="P320" s="213"/>
      <c r="Q320" s="213"/>
      <c r="R320" s="213"/>
      <c r="S320" s="213"/>
      <c r="T320" s="213"/>
      <c r="U320" s="213"/>
      <c r="V320" s="213"/>
      <c r="W320" s="213"/>
      <c r="X320" s="213"/>
      <c r="Y320" s="213"/>
      <c r="HN320" s="182"/>
      <c r="HO320" s="145"/>
      <c r="HP320" s="145"/>
      <c r="HQ320" s="145"/>
      <c r="HR320" s="145"/>
      <c r="HS320" s="145"/>
      <c r="HT320" s="145"/>
      <c r="HU320" s="145"/>
      <c r="HV320" s="145"/>
      <c r="HW320" s="170"/>
      <c r="HX320" s="170"/>
    </row>
    <row r="321" spans="1:64" s="168" customFormat="1" ht="14.25" customHeight="1">
      <c r="A321" s="143"/>
      <c r="B321" s="143"/>
      <c r="C321" s="143"/>
      <c r="D321" s="167"/>
      <c r="E321" s="167"/>
      <c r="F321" s="167"/>
      <c r="G321" s="167"/>
      <c r="H321" s="167"/>
      <c r="I321" s="167"/>
      <c r="J321" s="167"/>
      <c r="K321" s="167"/>
      <c r="L321" s="167"/>
      <c r="M321" s="213"/>
      <c r="N321" s="213"/>
      <c r="O321" s="213"/>
      <c r="P321" s="213"/>
      <c r="Q321" s="213"/>
      <c r="R321" s="213"/>
      <c r="S321" s="213"/>
      <c r="T321" s="213"/>
      <c r="U321" s="213"/>
      <c r="V321" s="213"/>
      <c r="W321" s="213"/>
      <c r="X321" s="213"/>
    </row>
    <row r="322" spans="1:64" s="168" customFormat="1" ht="14.25" customHeight="1">
      <c r="A322" s="143"/>
      <c r="B322" s="143"/>
      <c r="C322" s="143"/>
      <c r="D322" s="143"/>
      <c r="E322" s="143"/>
      <c r="F322" s="143"/>
      <c r="G322" s="143"/>
      <c r="H322" s="143"/>
      <c r="I322" s="143"/>
      <c r="J322" s="143"/>
      <c r="K322" s="143"/>
      <c r="L322" s="143"/>
    </row>
    <row r="323" spans="1:64" s="168" customFormat="1" ht="14.25" customHeight="1">
      <c r="A323" s="143"/>
      <c r="B323" s="143"/>
      <c r="C323" s="143"/>
      <c r="D323" s="143"/>
      <c r="E323" s="143"/>
      <c r="F323" s="143"/>
      <c r="G323" s="143"/>
      <c r="H323" s="143"/>
      <c r="I323" s="143"/>
      <c r="J323" s="143"/>
      <c r="K323" s="143"/>
      <c r="L323" s="143"/>
    </row>
    <row r="324" spans="1:64" s="168" customFormat="1" ht="14.25" customHeight="1">
      <c r="A324" s="143"/>
      <c r="B324" s="143"/>
      <c r="C324" s="143"/>
      <c r="D324" s="143"/>
      <c r="E324" s="143"/>
      <c r="F324" s="143"/>
      <c r="G324" s="143"/>
      <c r="H324" s="143"/>
      <c r="I324" s="143"/>
      <c r="J324" s="143"/>
      <c r="K324" s="143"/>
      <c r="L324" s="143"/>
      <c r="AI324" s="182"/>
      <c r="AJ324" s="145"/>
      <c r="AK324" s="145"/>
      <c r="AL324" s="145"/>
      <c r="AM324" s="145"/>
      <c r="AN324" s="145"/>
      <c r="AO324" s="145"/>
      <c r="AP324" s="145"/>
      <c r="AQ324" s="145"/>
      <c r="AR324" s="170"/>
      <c r="AS324" s="170"/>
    </row>
    <row r="325" spans="1:64" s="168" customFormat="1" ht="14.25" customHeight="1">
      <c r="A325" s="143"/>
      <c r="B325" s="143"/>
      <c r="C325" s="143"/>
      <c r="D325" s="143"/>
      <c r="E325" s="143"/>
      <c r="F325" s="143"/>
      <c r="G325" s="143"/>
      <c r="H325" s="143"/>
      <c r="I325" s="143"/>
      <c r="J325" s="143"/>
      <c r="K325" s="143"/>
      <c r="L325" s="143"/>
      <c r="X325" s="213"/>
      <c r="Y325" s="213"/>
      <c r="Z325" s="213"/>
      <c r="AA325" s="213"/>
      <c r="AB325" s="213"/>
      <c r="AC325" s="213"/>
      <c r="AD325" s="213"/>
      <c r="AE325" s="213"/>
      <c r="AF325" s="213"/>
    </row>
    <row r="326" spans="1:64" s="168" customFormat="1" ht="14.25" customHeight="1">
      <c r="A326" s="143"/>
      <c r="B326" s="143"/>
      <c r="C326" s="143"/>
      <c r="D326" s="143"/>
      <c r="E326" s="143"/>
      <c r="F326" s="143"/>
      <c r="G326" s="143"/>
      <c r="H326" s="143"/>
      <c r="I326" s="143"/>
      <c r="J326" s="143"/>
      <c r="K326" s="143"/>
      <c r="L326" s="143"/>
    </row>
    <row r="327" spans="1:64" s="168" customFormat="1" ht="14.25" customHeight="1">
      <c r="A327" s="143"/>
      <c r="B327" s="143"/>
      <c r="C327" s="143"/>
      <c r="D327" s="143"/>
      <c r="E327" s="143"/>
      <c r="F327" s="143"/>
      <c r="G327" s="143"/>
      <c r="H327" s="143"/>
      <c r="I327" s="143"/>
      <c r="J327" s="143"/>
      <c r="K327" s="143"/>
      <c r="L327" s="143"/>
    </row>
    <row r="328" spans="1:64" s="168" customFormat="1" ht="14.25" customHeight="1">
      <c r="A328" s="143"/>
      <c r="B328" s="143"/>
      <c r="C328" s="143"/>
      <c r="D328" s="143"/>
      <c r="E328" s="143"/>
      <c r="F328" s="143"/>
      <c r="G328" s="143"/>
      <c r="H328" s="143"/>
      <c r="I328" s="143"/>
      <c r="J328" s="143"/>
      <c r="K328" s="143"/>
      <c r="L328" s="143"/>
      <c r="AQ328" s="182"/>
      <c r="AR328" s="145"/>
      <c r="AS328" s="145"/>
      <c r="AT328" s="145"/>
      <c r="AU328" s="145"/>
      <c r="AV328" s="145"/>
      <c r="AW328" s="145"/>
      <c r="AX328" s="145"/>
      <c r="AY328" s="145"/>
      <c r="AZ328" s="170"/>
      <c r="BA328" s="170"/>
    </row>
    <row r="329" spans="1:64" s="168" customFormat="1" ht="14.25" customHeight="1">
      <c r="A329" s="143">
        <f>A299+1</f>
        <v>11</v>
      </c>
      <c r="B329" s="143"/>
      <c r="C329" s="187" t="str">
        <f>IF($A$1 = 1, (IF("("&amp;C339&amp;")" ="()","","("&amp;C339&amp;")")), (IF("("&amp;C344&amp;")     ("&amp;C339&amp;")"="()     ()","","("&amp;C344&amp;")     ("&amp;C339&amp;")")))</f>
        <v>(2)     (1)</v>
      </c>
      <c r="D329" s="187" t="str">
        <f t="shared" ref="D329:J329" si="30">IF($A$1 = 1, (IF("("&amp;D339&amp;")" ="()","","("&amp;D339&amp;")")), (IF("("&amp;D344&amp;")     ("&amp;D339&amp;")"="()     ()","","("&amp;D344&amp;")     ("&amp;D339&amp;")")))</f>
        <v>(4)     (1)</v>
      </c>
      <c r="E329" s="187" t="str">
        <f t="shared" si="30"/>
        <v>(1)     (4)</v>
      </c>
      <c r="F329" s="187" t="str">
        <f t="shared" si="30"/>
        <v>(24)     (0)</v>
      </c>
      <c r="G329" s="187" t="str">
        <f t="shared" si="30"/>
        <v/>
      </c>
      <c r="H329" s="187" t="str">
        <f t="shared" si="30"/>
        <v/>
      </c>
      <c r="I329" s="187" t="str">
        <f t="shared" si="30"/>
        <v/>
      </c>
      <c r="J329" s="187" t="str">
        <f t="shared" si="30"/>
        <v/>
      </c>
      <c r="K329" s="187"/>
      <c r="L329" s="187"/>
      <c r="M329" s="220"/>
      <c r="N329" s="220"/>
      <c r="O329" s="220"/>
      <c r="P329" s="220"/>
      <c r="Q329" s="220"/>
      <c r="R329" s="220"/>
      <c r="S329" s="220"/>
      <c r="T329" s="220"/>
      <c r="U329" s="220"/>
      <c r="V329" s="220"/>
      <c r="W329" s="220"/>
      <c r="X329" s="213"/>
      <c r="Y329" s="213"/>
      <c r="Z329" s="213"/>
      <c r="AA329" s="213"/>
      <c r="AB329" s="213"/>
      <c r="AD329" s="213"/>
      <c r="AE329" s="213"/>
      <c r="AF329" s="213"/>
      <c r="AG329" s="213"/>
      <c r="AH329" s="213"/>
      <c r="AI329" s="213"/>
      <c r="AJ329" s="213"/>
      <c r="AK329" s="213"/>
      <c r="AL329" s="213"/>
      <c r="AM329" s="213"/>
      <c r="AN329" s="213"/>
    </row>
    <row r="330" spans="1:64" s="168" customFormat="1" ht="59.1" customHeight="1" thickBot="1">
      <c r="A330" s="143"/>
      <c r="B330" s="177"/>
      <c r="C330" s="374" t="s">
        <v>835</v>
      </c>
      <c r="D330" s="374" t="s">
        <v>836</v>
      </c>
      <c r="E330" s="374" t="s">
        <v>837</v>
      </c>
      <c r="F330" s="374" t="s">
        <v>838</v>
      </c>
      <c r="G330" s="374"/>
      <c r="H330" s="374"/>
      <c r="I330" s="374"/>
      <c r="J330" s="374"/>
      <c r="K330" s="345"/>
      <c r="L330" s="346"/>
      <c r="M330" s="208"/>
      <c r="N330" s="208"/>
      <c r="O330" s="208"/>
      <c r="P330" s="208"/>
      <c r="Q330" s="208"/>
      <c r="R330" s="208"/>
      <c r="S330" s="208"/>
      <c r="T330" s="208"/>
      <c r="U330" s="208"/>
      <c r="V330" s="208"/>
      <c r="W330" s="208"/>
      <c r="X330" s="210"/>
      <c r="Y330" s="210"/>
      <c r="Z330" s="210"/>
      <c r="AA330" s="210"/>
      <c r="AB330" s="210"/>
      <c r="AC330" s="210"/>
      <c r="AD330" s="210"/>
      <c r="AE330" s="210"/>
      <c r="AF330" s="210"/>
      <c r="AG330" s="210"/>
      <c r="AH330" s="210"/>
      <c r="AI330" s="210"/>
      <c r="AJ330" s="210"/>
      <c r="AK330" s="210"/>
      <c r="AL330" s="210"/>
      <c r="AM330" s="210"/>
      <c r="AN330" s="210"/>
      <c r="AO330" s="216"/>
      <c r="AP330" s="216"/>
      <c r="AQ330" s="216"/>
      <c r="AR330" s="216"/>
      <c r="AS330" s="216"/>
      <c r="AT330" s="216"/>
      <c r="AU330" s="216"/>
      <c r="AV330" s="216"/>
      <c r="AW330" s="216"/>
      <c r="AX330" s="210"/>
      <c r="AY330" s="216"/>
      <c r="AZ330" s="216"/>
      <c r="BA330" s="216"/>
      <c r="BB330" s="216"/>
      <c r="BC330" s="216"/>
      <c r="BD330" s="216"/>
      <c r="BE330" s="216"/>
      <c r="BF330" s="216"/>
      <c r="BG330" s="216"/>
      <c r="BH330" s="216"/>
      <c r="BI330" s="216"/>
      <c r="BJ330" s="210"/>
      <c r="BK330" s="210"/>
      <c r="BL330" s="210"/>
    </row>
    <row r="331" spans="1:64" s="168" customFormat="1" ht="18" customHeight="1" thickBot="1">
      <c r="A331" s="143"/>
      <c r="B331" s="181" t="s">
        <v>3</v>
      </c>
      <c r="C331" s="148" t="s">
        <v>443</v>
      </c>
      <c r="D331" s="148" t="s">
        <v>443</v>
      </c>
      <c r="E331" s="148" t="s">
        <v>443</v>
      </c>
      <c r="F331" s="148" t="s">
        <v>443</v>
      </c>
      <c r="G331" s="148"/>
      <c r="H331" s="148"/>
      <c r="I331" s="148"/>
      <c r="J331" s="148"/>
      <c r="K331" s="148"/>
      <c r="L331" s="148"/>
      <c r="M331" s="211"/>
      <c r="N331" s="211"/>
      <c r="O331" s="211"/>
      <c r="P331" s="211"/>
      <c r="Q331" s="211"/>
      <c r="R331" s="211"/>
      <c r="S331" s="211"/>
      <c r="T331" s="211"/>
      <c r="U331" s="211"/>
      <c r="V331" s="211"/>
      <c r="W331" s="211"/>
      <c r="AO331" s="213"/>
      <c r="AP331" s="213"/>
      <c r="AQ331" s="213"/>
      <c r="AR331" s="213"/>
      <c r="AS331" s="213"/>
      <c r="AT331" s="213"/>
      <c r="AU331" s="213"/>
      <c r="AV331" s="213"/>
      <c r="AW331" s="213"/>
      <c r="AY331" s="213"/>
      <c r="AZ331" s="213"/>
      <c r="BA331" s="213"/>
      <c r="BB331" s="213"/>
      <c r="BC331" s="213"/>
      <c r="BD331" s="213"/>
      <c r="BE331" s="213"/>
      <c r="BF331" s="213"/>
      <c r="BG331" s="213"/>
      <c r="BH331" s="213"/>
      <c r="BI331" s="213"/>
    </row>
    <row r="332" spans="1:64" s="168" customFormat="1" ht="18" customHeight="1" thickBot="1">
      <c r="A332" s="143"/>
      <c r="B332" s="182" t="s">
        <v>18</v>
      </c>
      <c r="C332" s="148" t="s">
        <v>443</v>
      </c>
      <c r="D332" s="148" t="s">
        <v>443</v>
      </c>
      <c r="E332" s="148" t="s">
        <v>443</v>
      </c>
      <c r="F332" s="148" t="s">
        <v>443</v>
      </c>
      <c r="G332" s="148"/>
      <c r="H332" s="148"/>
      <c r="I332" s="148"/>
      <c r="J332" s="148"/>
      <c r="K332" s="148"/>
      <c r="L332" s="148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AO332" s="213"/>
      <c r="AP332" s="213"/>
      <c r="AQ332" s="213"/>
      <c r="AR332" s="213"/>
      <c r="AS332" s="213"/>
      <c r="AT332" s="213"/>
      <c r="AU332" s="213"/>
      <c r="AV332" s="213"/>
      <c r="AW332" s="213"/>
      <c r="AY332" s="213"/>
      <c r="AZ332" s="213"/>
      <c r="BA332" s="213"/>
      <c r="BB332" s="213"/>
      <c r="BC332" s="213"/>
      <c r="BD332" s="213"/>
      <c r="BE332" s="213"/>
      <c r="BF332" s="213"/>
      <c r="BG332" s="213"/>
      <c r="BH332" s="213"/>
      <c r="BI332" s="213"/>
    </row>
    <row r="333" spans="1:64" s="168" customFormat="1" ht="18" customHeight="1" thickBot="1">
      <c r="A333" s="143"/>
      <c r="B333" s="183" t="s">
        <v>32</v>
      </c>
      <c r="C333" s="147" t="s">
        <v>443</v>
      </c>
      <c r="D333" s="147" t="s">
        <v>443</v>
      </c>
      <c r="E333" s="147" t="s">
        <v>443</v>
      </c>
      <c r="F333" s="147" t="s">
        <v>443</v>
      </c>
      <c r="G333" s="147"/>
      <c r="H333" s="147"/>
      <c r="I333" s="147"/>
      <c r="J333" s="147"/>
      <c r="K333" s="147"/>
      <c r="L333" s="147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AO333" s="213"/>
      <c r="AP333" s="213"/>
      <c r="AQ333" s="213"/>
      <c r="AR333" s="213"/>
      <c r="AS333" s="213"/>
      <c r="AT333" s="213"/>
      <c r="AU333" s="213"/>
      <c r="AV333" s="213"/>
      <c r="AW333" s="213"/>
      <c r="AY333" s="213"/>
      <c r="AZ333" s="213"/>
      <c r="BA333" s="213"/>
      <c r="BB333" s="213"/>
      <c r="BC333" s="213"/>
      <c r="BD333" s="213"/>
      <c r="BE333" s="213"/>
      <c r="BF333" s="213"/>
      <c r="BG333" s="213"/>
      <c r="BH333" s="213"/>
    </row>
    <row r="334" spans="1:64" s="168" customFormat="1" ht="18" customHeight="1" thickBot="1">
      <c r="A334" s="143"/>
      <c r="B334" s="182" t="s">
        <v>45</v>
      </c>
      <c r="C334" s="145" t="s">
        <v>443</v>
      </c>
      <c r="D334" s="145" t="s">
        <v>443</v>
      </c>
      <c r="E334" s="145" t="s">
        <v>443</v>
      </c>
      <c r="F334" s="145" t="s">
        <v>443</v>
      </c>
      <c r="G334" s="145"/>
      <c r="H334" s="145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AO334" s="213"/>
      <c r="AP334" s="213"/>
      <c r="AQ334" s="213"/>
      <c r="AR334" s="213"/>
      <c r="AS334" s="213"/>
      <c r="AT334" s="213"/>
      <c r="AU334" s="213"/>
      <c r="AV334" s="213"/>
      <c r="AW334" s="213"/>
      <c r="AY334" s="213"/>
      <c r="AZ334" s="213"/>
      <c r="BA334" s="213"/>
      <c r="BB334" s="213"/>
      <c r="BC334" s="213"/>
      <c r="BD334" s="213"/>
      <c r="BE334" s="213"/>
      <c r="BF334" s="213"/>
      <c r="BG334" s="213"/>
      <c r="BH334" s="213"/>
    </row>
    <row r="335" spans="1:64" s="168" customFormat="1" ht="18" customHeight="1" thickBot="1">
      <c r="A335" s="143"/>
      <c r="B335" s="184" t="s">
        <v>54</v>
      </c>
      <c r="C335" s="146" t="s">
        <v>443</v>
      </c>
      <c r="D335" s="146" t="s">
        <v>443</v>
      </c>
      <c r="E335" s="146" t="s">
        <v>443</v>
      </c>
      <c r="F335" s="146" t="s">
        <v>443</v>
      </c>
      <c r="G335" s="146"/>
      <c r="H335" s="146"/>
      <c r="I335" s="146"/>
      <c r="J335" s="146"/>
      <c r="K335" s="146"/>
      <c r="L335" s="146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AO335" s="213"/>
      <c r="AP335" s="213"/>
      <c r="AQ335" s="213"/>
      <c r="AR335" s="213"/>
      <c r="AS335" s="213"/>
      <c r="AT335" s="213"/>
      <c r="AU335" s="213"/>
      <c r="AV335" s="213"/>
      <c r="AW335" s="213"/>
      <c r="AY335" s="213"/>
      <c r="AZ335" s="213"/>
      <c r="BA335" s="213"/>
      <c r="BB335" s="213"/>
      <c r="BC335" s="213"/>
      <c r="BD335" s="213"/>
      <c r="BE335" s="213"/>
      <c r="BF335" s="213"/>
      <c r="BG335" s="213"/>
      <c r="BH335" s="213"/>
    </row>
    <row r="336" spans="1:64" s="127" customFormat="1">
      <c r="A336" s="143"/>
      <c r="B336" s="182" t="s">
        <v>66</v>
      </c>
      <c r="C336" s="145"/>
      <c r="D336" s="145"/>
      <c r="E336" s="145"/>
      <c r="F336" s="145"/>
      <c r="G336" s="145"/>
      <c r="H336" s="125"/>
      <c r="I336" s="125"/>
      <c r="J336" s="125"/>
      <c r="K336" s="125"/>
      <c r="L336" s="12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68"/>
      <c r="Y336" s="168"/>
      <c r="Z336" s="168"/>
      <c r="AA336" s="168"/>
      <c r="AB336" s="168"/>
      <c r="AC336" s="168"/>
      <c r="AD336" s="168"/>
      <c r="AE336" s="168"/>
      <c r="AF336" s="168"/>
      <c r="AG336" s="168"/>
      <c r="AH336" s="168"/>
      <c r="AI336" s="168"/>
      <c r="AJ336" s="168"/>
      <c r="AK336" s="168"/>
      <c r="AL336" s="168"/>
      <c r="AM336" s="168"/>
      <c r="AN336" s="168"/>
      <c r="AO336" s="213"/>
      <c r="AP336" s="213"/>
      <c r="AQ336" s="213"/>
      <c r="AR336" s="213"/>
      <c r="AS336" s="213"/>
      <c r="AT336" s="213"/>
      <c r="AU336" s="213"/>
      <c r="AV336" s="213"/>
      <c r="AW336" s="213"/>
      <c r="AX336" s="168"/>
      <c r="AY336" s="213"/>
      <c r="AZ336" s="213"/>
      <c r="BA336" s="213"/>
      <c r="BB336" s="213"/>
      <c r="BC336" s="213"/>
      <c r="BD336" s="213"/>
      <c r="BE336" s="213"/>
      <c r="BF336" s="213"/>
      <c r="BG336" s="213"/>
      <c r="BH336" s="213"/>
      <c r="BI336" s="168"/>
      <c r="BJ336" s="168"/>
      <c r="BK336" s="168"/>
      <c r="BL336" s="168"/>
    </row>
    <row r="337" spans="1:256" s="126" customFormat="1">
      <c r="A337" s="127"/>
      <c r="B337" s="182" t="s">
        <v>158</v>
      </c>
      <c r="C337" s="126" t="s">
        <v>443</v>
      </c>
      <c r="D337" s="126" t="s">
        <v>443</v>
      </c>
      <c r="E337" s="126" t="s">
        <v>443</v>
      </c>
      <c r="F337" s="126" t="s">
        <v>443</v>
      </c>
      <c r="X337" s="168"/>
      <c r="Y337" s="168"/>
      <c r="Z337" s="168"/>
      <c r="AA337" s="168"/>
      <c r="AB337" s="168"/>
      <c r="AC337" s="168"/>
      <c r="AD337" s="168"/>
      <c r="AE337" s="168"/>
      <c r="AF337" s="168"/>
      <c r="AG337" s="168"/>
      <c r="AH337" s="168"/>
      <c r="AI337" s="168"/>
      <c r="AJ337" s="168"/>
      <c r="AK337" s="168"/>
      <c r="AL337" s="168"/>
      <c r="AM337" s="168"/>
      <c r="AN337" s="168"/>
      <c r="AO337" s="213"/>
      <c r="AP337" s="213"/>
      <c r="AQ337" s="213"/>
      <c r="AR337" s="213"/>
      <c r="AS337" s="213"/>
      <c r="AT337" s="213"/>
      <c r="AU337" s="213"/>
      <c r="AV337" s="213"/>
      <c r="AW337" s="213"/>
      <c r="AX337" s="168"/>
      <c r="AY337" s="213"/>
      <c r="AZ337" s="213"/>
      <c r="BA337" s="213"/>
      <c r="BB337" s="213"/>
      <c r="BC337" s="213"/>
      <c r="BD337" s="213"/>
      <c r="BE337" s="213"/>
      <c r="BF337" s="213"/>
      <c r="BG337" s="213"/>
      <c r="BH337" s="213"/>
      <c r="BI337" s="168"/>
      <c r="BJ337" s="168"/>
      <c r="BK337" s="168"/>
      <c r="BL337" s="168"/>
      <c r="BM337" s="168"/>
      <c r="BN337" s="168"/>
      <c r="BO337" s="168"/>
      <c r="BP337" s="168"/>
      <c r="BQ337" s="168"/>
      <c r="BR337" s="168"/>
      <c r="BS337" s="168"/>
      <c r="BT337" s="168"/>
      <c r="BU337" s="168"/>
      <c r="BV337" s="168"/>
      <c r="BW337" s="168"/>
      <c r="BX337" s="168"/>
      <c r="BY337" s="168"/>
      <c r="BZ337" s="168"/>
      <c r="CA337" s="168"/>
      <c r="CB337" s="168"/>
      <c r="CC337" s="168"/>
      <c r="CD337" s="168"/>
      <c r="CE337" s="168"/>
      <c r="CF337" s="168"/>
      <c r="CG337" s="168"/>
      <c r="CH337" s="168"/>
      <c r="CI337" s="168"/>
      <c r="CJ337" s="168"/>
      <c r="CK337" s="168"/>
      <c r="CL337" s="168"/>
      <c r="CM337" s="168"/>
      <c r="CN337" s="168"/>
      <c r="CO337" s="168"/>
      <c r="CP337" s="168"/>
      <c r="CQ337" s="168"/>
      <c r="CR337" s="168"/>
      <c r="CS337" s="168"/>
      <c r="CT337" s="168"/>
      <c r="CU337" s="168"/>
      <c r="CV337" s="168"/>
      <c r="CW337" s="168"/>
      <c r="CX337" s="168"/>
      <c r="CY337" s="168"/>
      <c r="CZ337" s="168"/>
      <c r="DA337" s="168"/>
      <c r="DB337" s="168"/>
      <c r="DC337" s="168"/>
      <c r="DD337" s="168"/>
      <c r="DE337" s="168"/>
      <c r="DF337" s="168"/>
      <c r="DG337" s="168"/>
      <c r="DH337" s="168"/>
      <c r="DI337" s="168"/>
      <c r="DJ337" s="168"/>
      <c r="DK337" s="168"/>
      <c r="DL337" s="168"/>
      <c r="DM337" s="168"/>
      <c r="DN337" s="168"/>
      <c r="DO337" s="168"/>
      <c r="DP337" s="168"/>
      <c r="DQ337" s="168"/>
      <c r="DR337" s="168"/>
      <c r="DS337" s="168"/>
      <c r="DT337" s="168"/>
      <c r="DU337" s="168"/>
      <c r="DV337" s="168"/>
      <c r="DW337" s="168"/>
      <c r="DX337" s="168"/>
      <c r="DY337" s="168"/>
      <c r="DZ337" s="168"/>
      <c r="EA337" s="168"/>
      <c r="EB337" s="168"/>
      <c r="EC337" s="168"/>
      <c r="ED337" s="168"/>
      <c r="EE337" s="168"/>
      <c r="EF337" s="168"/>
      <c r="EG337" s="168"/>
      <c r="EH337" s="168"/>
      <c r="EI337" s="168"/>
      <c r="EJ337" s="168"/>
      <c r="EK337" s="168"/>
      <c r="EL337" s="168"/>
      <c r="EM337" s="168"/>
      <c r="EN337" s="168"/>
      <c r="EO337" s="168"/>
      <c r="EP337" s="168"/>
      <c r="EQ337" s="168"/>
      <c r="ER337" s="168"/>
      <c r="ES337" s="168"/>
      <c r="ET337" s="168"/>
      <c r="EU337" s="168"/>
      <c r="EV337" s="168"/>
      <c r="EW337" s="168"/>
      <c r="EX337" s="168"/>
      <c r="EY337" s="168"/>
      <c r="EZ337" s="168"/>
      <c r="FA337" s="168"/>
      <c r="FB337" s="168"/>
      <c r="FC337" s="168"/>
      <c r="FD337" s="168"/>
      <c r="FE337" s="168"/>
      <c r="FF337" s="168"/>
      <c r="FG337" s="168"/>
      <c r="FH337" s="168"/>
      <c r="FI337" s="168"/>
      <c r="FJ337" s="168"/>
      <c r="FK337" s="168"/>
      <c r="FL337" s="168"/>
      <c r="FM337" s="168"/>
      <c r="FN337" s="168"/>
      <c r="FO337" s="168"/>
      <c r="FP337" s="168"/>
      <c r="FQ337" s="168"/>
      <c r="FR337" s="168"/>
      <c r="FS337" s="168"/>
      <c r="FT337" s="168"/>
      <c r="FU337" s="168"/>
      <c r="FV337" s="168"/>
      <c r="FW337" s="168"/>
      <c r="FX337" s="168"/>
      <c r="FY337" s="168"/>
      <c r="FZ337" s="168"/>
      <c r="GA337" s="168"/>
      <c r="GB337" s="168"/>
      <c r="GC337" s="168"/>
      <c r="GD337" s="168"/>
      <c r="GE337" s="168"/>
      <c r="GF337" s="168"/>
      <c r="GG337" s="168"/>
      <c r="GH337" s="168"/>
      <c r="GI337" s="168"/>
      <c r="GJ337" s="168"/>
      <c r="GK337" s="168"/>
      <c r="GL337" s="168"/>
      <c r="GM337" s="168"/>
      <c r="GN337" s="168"/>
      <c r="GO337" s="168"/>
      <c r="GP337" s="168"/>
      <c r="GQ337" s="168"/>
      <c r="GR337" s="168"/>
      <c r="GS337" s="168"/>
      <c r="GT337" s="168"/>
      <c r="GU337" s="168"/>
      <c r="GV337" s="168"/>
      <c r="GW337" s="168"/>
      <c r="GX337" s="168"/>
      <c r="GY337" s="168"/>
      <c r="GZ337" s="168"/>
      <c r="HA337" s="168"/>
      <c r="HB337" s="168"/>
      <c r="HC337" s="168"/>
      <c r="HD337" s="168"/>
      <c r="HE337" s="168"/>
      <c r="HF337" s="168"/>
      <c r="HG337" s="168"/>
      <c r="HH337" s="168"/>
      <c r="HI337" s="168"/>
      <c r="HJ337" s="168"/>
      <c r="HK337" s="168"/>
      <c r="HL337" s="168"/>
      <c r="HM337" s="168"/>
      <c r="HN337" s="168"/>
      <c r="HO337" s="168"/>
      <c r="HP337" s="168"/>
      <c r="HQ337" s="168"/>
      <c r="HR337" s="168"/>
      <c r="HS337" s="168"/>
      <c r="HT337" s="168"/>
      <c r="HU337" s="168"/>
      <c r="HV337" s="168"/>
      <c r="HW337" s="168"/>
      <c r="HX337" s="168"/>
      <c r="HY337" s="168"/>
      <c r="HZ337" s="168"/>
      <c r="IA337" s="168"/>
      <c r="IB337" s="168"/>
      <c r="IC337" s="168"/>
      <c r="ID337" s="168"/>
      <c r="IE337" s="168"/>
      <c r="IF337" s="168"/>
      <c r="IG337" s="168"/>
      <c r="IH337" s="168"/>
      <c r="II337" s="168"/>
      <c r="IJ337" s="168"/>
      <c r="IK337" s="168"/>
      <c r="IL337" s="168"/>
      <c r="IM337" s="168"/>
      <c r="IN337" s="168"/>
      <c r="IO337" s="168"/>
      <c r="IP337" s="168"/>
      <c r="IQ337" s="168"/>
      <c r="IR337" s="168"/>
      <c r="IS337" s="182"/>
    </row>
    <row r="338" spans="1:256" s="126" customFormat="1">
      <c r="B338" s="182" t="s">
        <v>191</v>
      </c>
      <c r="C338" s="127">
        <v>69</v>
      </c>
      <c r="D338" s="127">
        <v>69</v>
      </c>
      <c r="E338" s="127">
        <v>69</v>
      </c>
      <c r="F338" s="127">
        <v>69</v>
      </c>
      <c r="G338" s="127"/>
      <c r="X338" s="168"/>
      <c r="Y338" s="168"/>
      <c r="Z338" s="168"/>
      <c r="AA338" s="168"/>
      <c r="AB338" s="168"/>
      <c r="AC338" s="168"/>
      <c r="AD338" s="168"/>
      <c r="AE338" s="168"/>
      <c r="AF338" s="168"/>
      <c r="AG338" s="168"/>
      <c r="AH338" s="168"/>
      <c r="AI338" s="168"/>
      <c r="AJ338" s="168"/>
      <c r="AK338" s="168"/>
      <c r="AL338" s="168"/>
      <c r="AM338" s="168"/>
      <c r="AN338" s="168"/>
      <c r="AO338" s="214"/>
      <c r="AP338" s="214"/>
      <c r="AQ338" s="214"/>
      <c r="AR338" s="214"/>
      <c r="AS338" s="214"/>
      <c r="AT338" s="213"/>
      <c r="AU338" s="213"/>
      <c r="AV338" s="213"/>
      <c r="AW338" s="213"/>
      <c r="AX338" s="168"/>
      <c r="AY338" s="213"/>
      <c r="AZ338" s="213"/>
      <c r="BA338" s="213"/>
      <c r="BB338" s="213"/>
      <c r="BC338" s="213"/>
      <c r="BD338" s="213"/>
      <c r="BE338" s="213"/>
      <c r="BF338" s="213"/>
      <c r="BG338" s="213"/>
      <c r="BH338" s="213"/>
      <c r="BI338" s="168"/>
      <c r="BJ338" s="168"/>
      <c r="BK338" s="168"/>
      <c r="BL338" s="168"/>
      <c r="BM338" s="168"/>
      <c r="BN338" s="168"/>
      <c r="BO338" s="168"/>
      <c r="BP338" s="168"/>
      <c r="BQ338" s="168"/>
      <c r="BR338" s="168"/>
      <c r="BS338" s="168"/>
      <c r="BT338" s="168"/>
      <c r="BU338" s="168"/>
      <c r="BV338" s="168"/>
      <c r="BW338" s="168"/>
      <c r="BX338" s="168"/>
      <c r="BY338" s="168"/>
      <c r="BZ338" s="168"/>
      <c r="CA338" s="168"/>
      <c r="CB338" s="168"/>
      <c r="CC338" s="168"/>
      <c r="CD338" s="168"/>
      <c r="CE338" s="168"/>
      <c r="CF338" s="168"/>
      <c r="CG338" s="168"/>
      <c r="CH338" s="168"/>
      <c r="CI338" s="168"/>
      <c r="CJ338" s="168"/>
      <c r="CK338" s="168"/>
      <c r="CL338" s="168"/>
      <c r="CM338" s="168"/>
      <c r="CN338" s="168"/>
      <c r="CO338" s="168"/>
      <c r="CP338" s="168"/>
      <c r="CQ338" s="168"/>
      <c r="CR338" s="168"/>
      <c r="CS338" s="168"/>
      <c r="CT338" s="168"/>
      <c r="CU338" s="168"/>
      <c r="CV338" s="168"/>
      <c r="CW338" s="168"/>
      <c r="CX338" s="168"/>
      <c r="CY338" s="168"/>
      <c r="CZ338" s="168"/>
      <c r="DA338" s="168"/>
      <c r="DB338" s="168"/>
      <c r="DC338" s="168"/>
      <c r="DD338" s="168"/>
      <c r="DE338" s="168"/>
      <c r="DF338" s="168"/>
      <c r="DG338" s="168"/>
      <c r="DH338" s="168"/>
      <c r="DI338" s="168"/>
      <c r="DJ338" s="168"/>
      <c r="DK338" s="168"/>
      <c r="DL338" s="168"/>
      <c r="DM338" s="168"/>
      <c r="DN338" s="168"/>
      <c r="DO338" s="168"/>
      <c r="DP338" s="168"/>
      <c r="DQ338" s="168"/>
      <c r="DR338" s="168"/>
      <c r="DS338" s="168"/>
      <c r="DT338" s="168"/>
      <c r="DU338" s="168"/>
      <c r="DV338" s="168"/>
      <c r="DW338" s="168"/>
      <c r="DX338" s="168"/>
      <c r="DY338" s="168"/>
      <c r="DZ338" s="168"/>
      <c r="EA338" s="168"/>
      <c r="EB338" s="168"/>
      <c r="EC338" s="168"/>
      <c r="ED338" s="168"/>
      <c r="EE338" s="168"/>
      <c r="EF338" s="168"/>
      <c r="EG338" s="168"/>
      <c r="EH338" s="168"/>
      <c r="EI338" s="168"/>
      <c r="EJ338" s="168"/>
      <c r="EK338" s="168"/>
      <c r="EL338" s="168"/>
      <c r="EM338" s="168"/>
      <c r="EN338" s="168"/>
      <c r="EO338" s="168"/>
      <c r="EP338" s="168"/>
      <c r="EQ338" s="168"/>
      <c r="ER338" s="168"/>
      <c r="ES338" s="168"/>
      <c r="ET338" s="168"/>
      <c r="EU338" s="168"/>
      <c r="EV338" s="168"/>
      <c r="EW338" s="168"/>
      <c r="EX338" s="168"/>
      <c r="EY338" s="168"/>
      <c r="EZ338" s="168"/>
      <c r="FA338" s="168"/>
      <c r="FB338" s="168"/>
      <c r="FC338" s="168"/>
      <c r="FD338" s="168"/>
      <c r="FE338" s="168"/>
      <c r="FF338" s="168"/>
      <c r="FG338" s="168"/>
      <c r="FH338" s="168"/>
      <c r="FI338" s="168"/>
      <c r="FJ338" s="168"/>
      <c r="FK338" s="168"/>
      <c r="FL338" s="168"/>
      <c r="FM338" s="168"/>
      <c r="FN338" s="168"/>
      <c r="FO338" s="168"/>
      <c r="FP338" s="168"/>
      <c r="FQ338" s="168"/>
      <c r="FR338" s="168"/>
      <c r="FS338" s="168"/>
      <c r="FT338" s="168"/>
      <c r="FU338" s="168"/>
      <c r="FV338" s="168"/>
      <c r="FW338" s="168"/>
      <c r="FX338" s="168"/>
      <c r="FY338" s="168"/>
      <c r="FZ338" s="168"/>
      <c r="GA338" s="168"/>
      <c r="GB338" s="168"/>
      <c r="GC338" s="168"/>
      <c r="GD338" s="168"/>
      <c r="GE338" s="168"/>
      <c r="GF338" s="168"/>
      <c r="GG338" s="168"/>
      <c r="GH338" s="168"/>
      <c r="GI338" s="168"/>
      <c r="GJ338" s="168"/>
      <c r="GK338" s="168"/>
      <c r="GL338" s="168"/>
      <c r="GM338" s="168"/>
      <c r="GN338" s="168"/>
      <c r="GO338" s="168"/>
      <c r="GP338" s="168"/>
      <c r="GQ338" s="168"/>
      <c r="GR338" s="168"/>
      <c r="GS338" s="168"/>
      <c r="GT338" s="168"/>
      <c r="GU338" s="168"/>
      <c r="GV338" s="168"/>
      <c r="GW338" s="168"/>
      <c r="GX338" s="168"/>
      <c r="GY338" s="168"/>
      <c r="GZ338" s="168"/>
      <c r="HA338" s="168"/>
      <c r="HB338" s="168"/>
      <c r="HC338" s="168"/>
      <c r="HD338" s="168"/>
      <c r="HE338" s="168"/>
      <c r="HF338" s="168"/>
      <c r="HG338" s="168"/>
      <c r="HH338" s="168"/>
      <c r="HI338" s="168"/>
      <c r="HJ338" s="168"/>
      <c r="HK338" s="168"/>
      <c r="HL338" s="168"/>
      <c r="HM338" s="168"/>
      <c r="HN338" s="168"/>
      <c r="HO338" s="168"/>
      <c r="HP338" s="168"/>
      <c r="HQ338" s="168"/>
      <c r="HR338" s="168"/>
      <c r="HS338" s="168"/>
      <c r="HT338" s="168"/>
      <c r="HU338" s="168"/>
      <c r="HV338" s="168"/>
      <c r="HW338" s="168"/>
      <c r="HX338" s="168"/>
      <c r="HY338" s="168"/>
      <c r="HZ338" s="168"/>
      <c r="IA338" s="168"/>
      <c r="IB338" s="168"/>
      <c r="IC338" s="168"/>
      <c r="ID338" s="168"/>
      <c r="IE338" s="168"/>
      <c r="IF338" s="168"/>
      <c r="IG338" s="168"/>
      <c r="IH338" s="168"/>
      <c r="II338" s="168"/>
      <c r="IJ338" s="168"/>
      <c r="IK338" s="168"/>
      <c r="IL338" s="168"/>
      <c r="IM338" s="168"/>
      <c r="IN338" s="168"/>
      <c r="IO338" s="168"/>
      <c r="IP338" s="168"/>
      <c r="IQ338" s="168"/>
      <c r="IR338" s="182"/>
    </row>
    <row r="339" spans="1:256" s="169" customFormat="1" ht="15" thickBot="1">
      <c r="A339" s="126"/>
      <c r="B339" s="182" t="s">
        <v>442</v>
      </c>
      <c r="C339" s="126">
        <v>1</v>
      </c>
      <c r="D339" s="315">
        <v>1</v>
      </c>
      <c r="E339" s="315">
        <v>4</v>
      </c>
      <c r="F339" s="315">
        <v>0</v>
      </c>
      <c r="G339" s="315"/>
      <c r="H339" s="315"/>
      <c r="I339" s="315"/>
      <c r="J339" s="315"/>
      <c r="K339" s="315"/>
      <c r="L339" s="315"/>
      <c r="M339" s="126"/>
      <c r="N339" s="126"/>
      <c r="O339" s="126"/>
      <c r="P339" s="126"/>
      <c r="Q339" s="126"/>
      <c r="R339" s="126"/>
      <c r="S339" s="126"/>
      <c r="T339" s="126"/>
      <c r="U339" s="126"/>
      <c r="V339" s="126"/>
      <c r="W339" s="126"/>
      <c r="X339" s="168"/>
      <c r="Y339" s="168"/>
      <c r="Z339" s="168"/>
      <c r="AA339" s="168"/>
      <c r="AB339" s="168"/>
      <c r="AC339" s="168"/>
      <c r="AD339" s="168"/>
      <c r="AE339" s="168"/>
      <c r="AF339" s="168"/>
      <c r="AG339" s="168"/>
      <c r="AH339" s="168"/>
      <c r="AI339" s="168"/>
      <c r="AJ339" s="168"/>
      <c r="AK339" s="168"/>
      <c r="AL339" s="168"/>
      <c r="AM339" s="168"/>
      <c r="AN339" s="168"/>
      <c r="AO339" s="213"/>
      <c r="AP339" s="213"/>
      <c r="AQ339" s="213"/>
      <c r="AR339" s="213"/>
      <c r="AS339" s="213"/>
      <c r="AT339" s="213"/>
      <c r="AU339" s="213"/>
      <c r="AV339" s="213"/>
      <c r="AW339" s="213"/>
      <c r="AX339" s="168"/>
      <c r="AY339" s="213"/>
      <c r="AZ339" s="213"/>
      <c r="BA339" s="213"/>
      <c r="BB339" s="213"/>
      <c r="BC339" s="213"/>
      <c r="BD339" s="213"/>
      <c r="BE339" s="213"/>
      <c r="BF339" s="213"/>
      <c r="BG339" s="213"/>
      <c r="BH339" s="213"/>
      <c r="BI339" s="168"/>
      <c r="BJ339" s="168"/>
      <c r="BK339" s="168"/>
      <c r="BL339" s="168"/>
      <c r="BM339" s="168"/>
      <c r="BN339" s="168"/>
      <c r="BO339" s="168"/>
      <c r="BP339" s="168"/>
      <c r="BQ339" s="168"/>
      <c r="BR339" s="168"/>
      <c r="BS339" s="168"/>
      <c r="BT339" s="168"/>
      <c r="BU339" s="168"/>
      <c r="BV339" s="168"/>
      <c r="BW339" s="168"/>
      <c r="BX339" s="168"/>
      <c r="BY339" s="168"/>
      <c r="BZ339" s="168"/>
      <c r="CA339" s="168"/>
      <c r="CB339" s="168"/>
      <c r="CC339" s="168"/>
      <c r="CD339" s="168"/>
      <c r="CE339" s="168"/>
      <c r="CF339" s="168"/>
      <c r="CG339" s="168"/>
      <c r="CH339" s="168"/>
      <c r="CI339" s="168"/>
      <c r="CJ339" s="168"/>
      <c r="CK339" s="168"/>
      <c r="CL339" s="168"/>
      <c r="CM339" s="168"/>
      <c r="CN339" s="168"/>
      <c r="CO339" s="168"/>
      <c r="CP339" s="168"/>
      <c r="CQ339" s="168"/>
      <c r="CR339" s="168"/>
      <c r="CS339" s="168"/>
      <c r="CT339" s="168"/>
      <c r="CU339" s="168"/>
      <c r="CV339" s="168"/>
      <c r="CW339" s="168"/>
      <c r="CX339" s="168"/>
      <c r="CY339" s="168"/>
      <c r="CZ339" s="168"/>
      <c r="DA339" s="168"/>
      <c r="DB339" s="168"/>
      <c r="DC339" s="168"/>
      <c r="DD339" s="168"/>
      <c r="DE339" s="168"/>
      <c r="DF339" s="168"/>
      <c r="DG339" s="168"/>
      <c r="DH339" s="168"/>
      <c r="DI339" s="168"/>
      <c r="DJ339" s="168"/>
      <c r="DK339" s="168"/>
      <c r="DL339" s="168"/>
      <c r="DM339" s="168"/>
      <c r="DN339" s="168"/>
      <c r="DO339" s="168"/>
      <c r="DP339" s="168"/>
      <c r="DQ339" s="168"/>
      <c r="DR339" s="168"/>
      <c r="DS339" s="168"/>
      <c r="DT339" s="168"/>
      <c r="DU339" s="168"/>
      <c r="DV339" s="168"/>
      <c r="DW339" s="168"/>
      <c r="DX339" s="168"/>
      <c r="DY339" s="168"/>
      <c r="DZ339" s="168"/>
      <c r="EA339" s="168"/>
      <c r="EB339" s="168"/>
      <c r="EC339" s="168"/>
      <c r="ED339" s="168"/>
      <c r="EE339" s="168"/>
      <c r="EF339" s="168"/>
      <c r="EG339" s="168"/>
      <c r="EH339" s="168"/>
      <c r="EI339" s="168"/>
      <c r="EJ339" s="168"/>
      <c r="EK339" s="168"/>
      <c r="EL339" s="168"/>
      <c r="EM339" s="168"/>
      <c r="EN339" s="168"/>
      <c r="EO339" s="168"/>
      <c r="EP339" s="168"/>
      <c r="EQ339" s="168"/>
      <c r="ER339" s="168"/>
      <c r="ES339" s="168"/>
      <c r="ET339" s="168"/>
      <c r="EU339" s="168"/>
      <c r="EV339" s="168"/>
      <c r="EW339" s="168"/>
      <c r="EX339" s="168"/>
      <c r="EY339" s="168"/>
      <c r="EZ339" s="168"/>
      <c r="FA339" s="168"/>
      <c r="FB339" s="168"/>
      <c r="FC339" s="168"/>
      <c r="FD339" s="168"/>
      <c r="FE339" s="168"/>
      <c r="FF339" s="168"/>
      <c r="FG339" s="168"/>
      <c r="FH339" s="168"/>
      <c r="FI339" s="168"/>
      <c r="FJ339" s="168"/>
      <c r="FK339" s="168"/>
      <c r="FL339" s="168"/>
      <c r="FM339" s="168"/>
      <c r="FN339" s="168"/>
      <c r="FO339" s="168"/>
      <c r="FP339" s="168"/>
      <c r="FQ339" s="168"/>
      <c r="FR339" s="168"/>
      <c r="FS339" s="168"/>
      <c r="FT339" s="168"/>
      <c r="FU339" s="168"/>
      <c r="FV339" s="168"/>
      <c r="FW339" s="168"/>
      <c r="FX339" s="168"/>
      <c r="FY339" s="168"/>
      <c r="FZ339" s="168"/>
      <c r="GA339" s="168"/>
      <c r="GB339" s="168"/>
      <c r="GC339" s="168"/>
      <c r="GD339" s="168"/>
      <c r="GE339" s="168"/>
      <c r="GF339" s="168"/>
      <c r="GG339" s="168"/>
      <c r="GH339" s="168"/>
      <c r="GI339" s="168"/>
      <c r="GJ339" s="168"/>
      <c r="GK339" s="168"/>
      <c r="GL339" s="168"/>
      <c r="GM339" s="168"/>
      <c r="GN339" s="168"/>
      <c r="GO339" s="168"/>
      <c r="GP339" s="168"/>
      <c r="GQ339" s="168"/>
      <c r="GR339" s="168"/>
      <c r="GS339" s="168"/>
      <c r="GT339" s="168"/>
      <c r="GU339" s="168"/>
      <c r="GV339" s="168"/>
      <c r="GW339" s="168"/>
      <c r="GX339" s="168"/>
      <c r="GY339" s="168"/>
      <c r="GZ339" s="168"/>
      <c r="HA339" s="168"/>
      <c r="HB339" s="168"/>
      <c r="HC339" s="168"/>
      <c r="HD339" s="168"/>
      <c r="HE339" s="168"/>
      <c r="HF339" s="168"/>
      <c r="HG339" s="168"/>
      <c r="HH339" s="168"/>
      <c r="HI339" s="168"/>
      <c r="HJ339" s="168"/>
      <c r="HK339" s="168"/>
      <c r="HL339" s="168"/>
      <c r="HM339" s="168"/>
      <c r="HN339" s="168"/>
      <c r="HO339" s="168"/>
      <c r="HP339" s="168"/>
      <c r="HQ339" s="168"/>
      <c r="HR339" s="168"/>
      <c r="HS339" s="168"/>
      <c r="HT339" s="168"/>
      <c r="HU339" s="168"/>
      <c r="HV339" s="168"/>
      <c r="HW339" s="168"/>
      <c r="HX339" s="168"/>
      <c r="HY339" s="168"/>
      <c r="HZ339" s="168"/>
      <c r="IA339" s="168"/>
      <c r="IB339" s="168"/>
      <c r="IC339" s="168"/>
      <c r="ID339" s="168"/>
      <c r="IE339" s="168"/>
      <c r="IF339" s="168"/>
      <c r="IG339" s="168"/>
      <c r="IH339" s="168"/>
      <c r="II339" s="168"/>
      <c r="IJ339" s="168"/>
      <c r="IK339" s="168"/>
      <c r="IL339" s="168"/>
      <c r="IM339" s="168"/>
      <c r="IN339" s="168"/>
      <c r="IO339" s="168"/>
      <c r="IP339" s="168"/>
      <c r="IQ339" s="217"/>
    </row>
    <row r="340" spans="1:256" s="170" customFormat="1">
      <c r="A340" s="165"/>
      <c r="B340" s="338" t="s">
        <v>166</v>
      </c>
      <c r="C340" s="316" t="str">
        <f>IF(OR(C343="**",C343=""),"",VALUE(C343))</f>
        <v/>
      </c>
      <c r="D340" s="316" t="str">
        <f t="shared" ref="D340:J340" si="31">IF(OR(D343="**",D343=""),"",VALUE(D343))</f>
        <v/>
      </c>
      <c r="E340" s="316" t="str">
        <f t="shared" si="31"/>
        <v/>
      </c>
      <c r="F340" s="316">
        <f t="shared" si="31"/>
        <v>54</v>
      </c>
      <c r="G340" s="316" t="str">
        <f t="shared" si="31"/>
        <v/>
      </c>
      <c r="H340" s="316" t="str">
        <f t="shared" si="31"/>
        <v/>
      </c>
      <c r="I340" s="316" t="str">
        <f t="shared" si="31"/>
        <v/>
      </c>
      <c r="J340" s="316" t="str">
        <f t="shared" si="31"/>
        <v/>
      </c>
      <c r="K340" s="316"/>
      <c r="L340" s="316"/>
      <c r="M340" s="126"/>
      <c r="N340" s="126"/>
      <c r="O340" s="126"/>
      <c r="P340" s="126"/>
      <c r="Q340" s="126"/>
      <c r="R340" s="126"/>
      <c r="S340" s="126"/>
      <c r="T340" s="126"/>
      <c r="U340" s="126"/>
      <c r="V340" s="126"/>
      <c r="W340" s="126"/>
      <c r="X340" s="168"/>
      <c r="Y340" s="168"/>
      <c r="Z340" s="168"/>
      <c r="AA340" s="168"/>
      <c r="AB340" s="168"/>
      <c r="AC340" s="168"/>
      <c r="AD340" s="168"/>
      <c r="AE340" s="168"/>
      <c r="AF340" s="168"/>
      <c r="AG340" s="168"/>
      <c r="AH340" s="168"/>
      <c r="AI340" s="168"/>
      <c r="AJ340" s="168"/>
      <c r="AK340" s="168"/>
      <c r="AL340" s="168"/>
      <c r="AM340" s="168"/>
      <c r="AN340" s="168"/>
      <c r="AO340" s="213"/>
      <c r="AP340" s="213"/>
      <c r="AQ340" s="213"/>
      <c r="AR340" s="213"/>
      <c r="AS340" s="213"/>
      <c r="AT340" s="213"/>
      <c r="AU340" s="213"/>
      <c r="AV340" s="213"/>
      <c r="AW340" s="213"/>
      <c r="AX340" s="168"/>
      <c r="AY340" s="213"/>
      <c r="AZ340" s="213"/>
      <c r="BA340" s="213"/>
      <c r="BB340" s="213"/>
      <c r="BC340" s="213"/>
      <c r="BD340" s="213"/>
      <c r="BE340" s="213"/>
      <c r="BF340" s="213"/>
      <c r="BG340" s="213"/>
      <c r="BH340" s="213"/>
      <c r="BI340" s="168"/>
      <c r="BJ340" s="168"/>
      <c r="BK340" s="168"/>
      <c r="BL340" s="168"/>
      <c r="BM340" s="168"/>
      <c r="BN340" s="168"/>
      <c r="BO340" s="168"/>
      <c r="BP340" s="168"/>
      <c r="BQ340" s="168"/>
      <c r="BR340" s="168"/>
      <c r="BS340" s="168"/>
      <c r="BT340" s="168"/>
      <c r="BU340" s="168"/>
      <c r="BV340" s="168"/>
      <c r="BW340" s="168"/>
      <c r="BX340" s="168"/>
      <c r="BY340" s="168"/>
      <c r="BZ340" s="168"/>
      <c r="CA340" s="168"/>
      <c r="CB340" s="168"/>
      <c r="CC340" s="168"/>
      <c r="CD340" s="168"/>
      <c r="CE340" s="168"/>
      <c r="CF340" s="168"/>
      <c r="CG340" s="168"/>
      <c r="CH340" s="168"/>
      <c r="CI340" s="168"/>
      <c r="CJ340" s="168"/>
      <c r="CK340" s="168"/>
      <c r="CL340" s="168"/>
      <c r="CM340" s="168"/>
      <c r="CN340" s="168"/>
      <c r="CO340" s="168"/>
      <c r="CP340" s="168"/>
      <c r="CQ340" s="168"/>
      <c r="CR340" s="168"/>
      <c r="CS340" s="168"/>
      <c r="CT340" s="168"/>
      <c r="CU340" s="168"/>
      <c r="CV340" s="168"/>
      <c r="CW340" s="168"/>
      <c r="CX340" s="168"/>
      <c r="CY340" s="168"/>
      <c r="CZ340" s="168"/>
      <c r="DA340" s="168"/>
      <c r="DB340" s="168"/>
      <c r="DC340" s="168"/>
      <c r="DD340" s="168"/>
      <c r="DE340" s="168"/>
      <c r="DF340" s="168"/>
      <c r="DG340" s="168"/>
      <c r="DH340" s="168"/>
      <c r="DI340" s="168"/>
      <c r="DJ340" s="168"/>
      <c r="DK340" s="168"/>
      <c r="DL340" s="168"/>
      <c r="DM340" s="168"/>
      <c r="DN340" s="168"/>
      <c r="DO340" s="168"/>
      <c r="DP340" s="168"/>
      <c r="DQ340" s="168"/>
      <c r="DR340" s="168"/>
      <c r="DS340" s="168"/>
      <c r="DT340" s="168"/>
      <c r="DU340" s="168"/>
      <c r="DV340" s="168"/>
      <c r="DW340" s="168"/>
      <c r="DX340" s="168"/>
      <c r="DY340" s="168"/>
      <c r="DZ340" s="168"/>
      <c r="EA340" s="168"/>
      <c r="EB340" s="168"/>
      <c r="EC340" s="168"/>
      <c r="ED340" s="168"/>
      <c r="EE340" s="168"/>
      <c r="EF340" s="168"/>
      <c r="EG340" s="168"/>
      <c r="EH340" s="168"/>
      <c r="EI340" s="168"/>
      <c r="EJ340" s="168"/>
      <c r="EK340" s="168"/>
      <c r="EL340" s="168"/>
      <c r="EM340" s="168"/>
      <c r="EN340" s="168"/>
      <c r="EO340" s="168"/>
      <c r="EP340" s="168"/>
      <c r="EQ340" s="168"/>
      <c r="ER340" s="168"/>
      <c r="ES340" s="168"/>
      <c r="ET340" s="168"/>
      <c r="EU340" s="168"/>
      <c r="EV340" s="168"/>
      <c r="EW340" s="168"/>
      <c r="EX340" s="168"/>
      <c r="EY340" s="168"/>
      <c r="EZ340" s="168"/>
      <c r="FA340" s="168"/>
      <c r="FB340" s="168"/>
      <c r="FC340" s="168"/>
      <c r="FD340" s="168"/>
      <c r="FE340" s="168"/>
      <c r="FF340" s="168"/>
      <c r="FG340" s="168"/>
      <c r="FH340" s="168"/>
      <c r="FI340" s="168"/>
      <c r="FJ340" s="168"/>
      <c r="FK340" s="168"/>
      <c r="FL340" s="168"/>
      <c r="FM340" s="168"/>
      <c r="FN340" s="168"/>
      <c r="FO340" s="168"/>
      <c r="FP340" s="168"/>
      <c r="FQ340" s="168"/>
      <c r="FR340" s="168"/>
      <c r="FS340" s="168"/>
      <c r="FT340" s="168"/>
      <c r="FU340" s="168"/>
      <c r="FV340" s="168"/>
      <c r="FW340" s="168"/>
      <c r="FX340" s="168"/>
      <c r="FY340" s="168"/>
      <c r="FZ340" s="168"/>
      <c r="GA340" s="168"/>
      <c r="GB340" s="168"/>
      <c r="GC340" s="168"/>
      <c r="GD340" s="168"/>
      <c r="GE340" s="168"/>
      <c r="GF340" s="168"/>
      <c r="GG340" s="168"/>
      <c r="GH340" s="168"/>
      <c r="GI340" s="168"/>
      <c r="GJ340" s="168"/>
      <c r="GK340" s="168"/>
      <c r="GL340" s="168"/>
      <c r="GM340" s="168"/>
      <c r="GN340" s="168"/>
      <c r="GO340" s="168"/>
      <c r="GP340" s="168"/>
      <c r="GQ340" s="168"/>
      <c r="GR340" s="168"/>
      <c r="GS340" s="168"/>
      <c r="GT340" s="168"/>
      <c r="GU340" s="168"/>
      <c r="GV340" s="168"/>
      <c r="GW340" s="168"/>
      <c r="GX340" s="168"/>
      <c r="GY340" s="168"/>
      <c r="GZ340" s="168"/>
      <c r="HA340" s="168"/>
      <c r="HB340" s="168"/>
      <c r="HC340" s="168"/>
      <c r="HD340" s="168"/>
      <c r="HE340" s="168"/>
      <c r="HF340" s="168"/>
      <c r="HG340" s="168"/>
      <c r="HH340" s="168"/>
      <c r="HI340" s="168"/>
      <c r="HJ340" s="168"/>
      <c r="HK340" s="168"/>
      <c r="HL340" s="168"/>
      <c r="HM340" s="168"/>
      <c r="HN340" s="168"/>
      <c r="HO340" s="168"/>
      <c r="HP340" s="168"/>
      <c r="HQ340" s="168"/>
      <c r="HR340" s="168"/>
      <c r="HS340" s="168"/>
      <c r="HT340" s="168"/>
      <c r="HU340" s="168"/>
      <c r="HV340" s="168"/>
      <c r="HW340" s="168"/>
      <c r="HX340" s="168"/>
      <c r="HY340" s="168"/>
      <c r="HZ340" s="168"/>
      <c r="IA340" s="168"/>
      <c r="IB340" s="168"/>
      <c r="IC340" s="168"/>
      <c r="ID340" s="168"/>
      <c r="IE340" s="168"/>
      <c r="IF340" s="168"/>
      <c r="IG340" s="169"/>
      <c r="IH340" s="169"/>
      <c r="II340" s="169"/>
      <c r="IJ340" s="169"/>
      <c r="IK340" s="169"/>
      <c r="IL340" s="169"/>
      <c r="IM340" s="169"/>
      <c r="IN340" s="169"/>
      <c r="IO340" s="168"/>
      <c r="IP340" s="204"/>
      <c r="IQ340" s="213"/>
      <c r="IR340" s="213"/>
      <c r="IS340" s="213"/>
      <c r="IT340" s="213"/>
      <c r="IU340" s="213"/>
    </row>
    <row r="341" spans="1:256" s="170" customFormat="1" ht="15" thickBot="1">
      <c r="A341" s="166"/>
      <c r="B341" s="339" t="s">
        <v>165</v>
      </c>
      <c r="C341" s="317" t="str">
        <f t="shared" ref="C341:J341" si="32">IF(OR(C337="**",C337=""),"",VALUE(C337))</f>
        <v/>
      </c>
      <c r="D341" s="317" t="str">
        <f t="shared" si="32"/>
        <v/>
      </c>
      <c r="E341" s="317" t="str">
        <f t="shared" si="32"/>
        <v/>
      </c>
      <c r="F341" s="317" t="str">
        <f t="shared" si="32"/>
        <v/>
      </c>
      <c r="G341" s="317" t="str">
        <f t="shared" si="32"/>
        <v/>
      </c>
      <c r="H341" s="317" t="str">
        <f t="shared" si="32"/>
        <v/>
      </c>
      <c r="I341" s="317" t="str">
        <f t="shared" si="32"/>
        <v/>
      </c>
      <c r="J341" s="317" t="str">
        <f t="shared" si="32"/>
        <v/>
      </c>
      <c r="K341" s="317"/>
      <c r="L341" s="317"/>
      <c r="M341" s="169"/>
      <c r="N341" s="169"/>
      <c r="O341" s="169"/>
      <c r="P341" s="169"/>
      <c r="Q341" s="169"/>
      <c r="R341" s="169"/>
      <c r="S341" s="169"/>
      <c r="T341" s="169"/>
      <c r="U341" s="169"/>
      <c r="V341" s="169"/>
      <c r="W341" s="169"/>
      <c r="X341" s="168"/>
      <c r="Y341" s="168"/>
      <c r="Z341" s="168"/>
      <c r="AA341" s="168"/>
      <c r="AB341" s="168"/>
      <c r="AC341" s="168"/>
      <c r="AD341" s="168"/>
      <c r="AE341" s="168"/>
      <c r="AF341" s="168"/>
      <c r="AG341" s="168"/>
      <c r="AH341" s="168"/>
      <c r="AI341" s="168"/>
      <c r="AJ341" s="168"/>
      <c r="AK341" s="168"/>
      <c r="AL341" s="168"/>
      <c r="AM341" s="168"/>
      <c r="AN341" s="168"/>
      <c r="AO341" s="169"/>
      <c r="AP341" s="169"/>
      <c r="AQ341" s="169"/>
      <c r="AR341" s="169"/>
      <c r="AS341" s="169"/>
      <c r="AT341" s="169"/>
      <c r="AU341" s="169"/>
      <c r="AV341" s="169"/>
      <c r="AW341" s="213"/>
      <c r="AX341" s="213"/>
      <c r="AY341" s="213"/>
      <c r="AZ341" s="213"/>
      <c r="BA341" s="213"/>
      <c r="BB341" s="213"/>
      <c r="BC341" s="213"/>
      <c r="BD341" s="213"/>
      <c r="BE341" s="213"/>
      <c r="BF341" s="213"/>
      <c r="BG341" s="213"/>
      <c r="BH341" s="213"/>
      <c r="BI341" s="168"/>
      <c r="BJ341" s="168"/>
      <c r="BK341" s="168"/>
      <c r="BL341" s="168"/>
      <c r="BM341" s="168"/>
      <c r="BN341" s="168"/>
      <c r="BO341" s="168"/>
      <c r="BP341" s="168"/>
      <c r="BQ341" s="168"/>
      <c r="BR341" s="168"/>
      <c r="BS341" s="168"/>
      <c r="BT341" s="168"/>
      <c r="BU341" s="168"/>
      <c r="BV341" s="168"/>
      <c r="BW341" s="168"/>
      <c r="BX341" s="168"/>
      <c r="BY341" s="168"/>
      <c r="BZ341" s="168"/>
      <c r="CA341" s="168"/>
      <c r="CB341" s="168"/>
      <c r="CC341" s="168"/>
      <c r="CD341" s="168"/>
      <c r="CE341" s="168"/>
      <c r="CF341" s="168"/>
      <c r="CG341" s="168"/>
      <c r="CH341" s="168"/>
      <c r="CI341" s="168"/>
      <c r="CJ341" s="168"/>
      <c r="CK341" s="168"/>
      <c r="CL341" s="168"/>
      <c r="CM341" s="168"/>
      <c r="CN341" s="168"/>
      <c r="CO341" s="168"/>
      <c r="CP341" s="168"/>
      <c r="CQ341" s="168"/>
      <c r="CR341" s="168"/>
      <c r="CS341" s="168"/>
      <c r="CT341" s="168"/>
      <c r="CU341" s="168"/>
      <c r="CV341" s="168"/>
      <c r="CW341" s="168"/>
      <c r="CX341" s="168"/>
      <c r="CY341" s="168"/>
      <c r="CZ341" s="168"/>
      <c r="DA341" s="168"/>
      <c r="DB341" s="168"/>
      <c r="DC341" s="168"/>
      <c r="DD341" s="168"/>
      <c r="DE341" s="168"/>
      <c r="DF341" s="168"/>
      <c r="DG341" s="168"/>
      <c r="DH341" s="168"/>
      <c r="DI341" s="168"/>
      <c r="DJ341" s="168"/>
      <c r="DK341" s="168"/>
      <c r="DL341" s="168"/>
      <c r="DM341" s="168"/>
      <c r="DN341" s="168"/>
      <c r="DO341" s="168"/>
      <c r="DP341" s="168"/>
      <c r="DQ341" s="168"/>
      <c r="DR341" s="168"/>
      <c r="DS341" s="168"/>
      <c r="DT341" s="168"/>
      <c r="DU341" s="168"/>
      <c r="DV341" s="168"/>
      <c r="DW341" s="168"/>
      <c r="DX341" s="168"/>
      <c r="DY341" s="168"/>
      <c r="DZ341" s="168"/>
      <c r="EA341" s="168"/>
      <c r="EB341" s="168"/>
      <c r="EC341" s="168"/>
      <c r="ED341" s="168"/>
      <c r="EE341" s="168"/>
      <c r="EF341" s="168"/>
      <c r="EG341" s="168"/>
      <c r="EH341" s="168"/>
      <c r="EI341" s="168"/>
      <c r="EJ341" s="168"/>
      <c r="EK341" s="168"/>
      <c r="EL341" s="168"/>
      <c r="EM341" s="168"/>
      <c r="EN341" s="168"/>
      <c r="EO341" s="168"/>
      <c r="EP341" s="168"/>
      <c r="EQ341" s="168"/>
      <c r="ER341" s="168"/>
      <c r="ES341" s="168"/>
      <c r="ET341" s="168"/>
      <c r="EU341" s="168"/>
      <c r="EV341" s="168"/>
      <c r="EW341" s="168"/>
      <c r="EX341" s="168"/>
      <c r="EY341" s="168"/>
      <c r="EZ341" s="168"/>
      <c r="FA341" s="168"/>
      <c r="FB341" s="168"/>
      <c r="FC341" s="168"/>
      <c r="FD341" s="168"/>
      <c r="FE341" s="168"/>
      <c r="FF341" s="168"/>
      <c r="FG341" s="168"/>
      <c r="FH341" s="168"/>
      <c r="FI341" s="168"/>
      <c r="FJ341" s="168"/>
      <c r="FK341" s="168"/>
      <c r="FL341" s="168"/>
      <c r="FM341" s="168"/>
      <c r="FN341" s="168"/>
      <c r="FO341" s="168"/>
      <c r="FP341" s="168"/>
      <c r="FQ341" s="168"/>
      <c r="FR341" s="168"/>
      <c r="FS341" s="168"/>
      <c r="FT341" s="168"/>
      <c r="FU341" s="168"/>
      <c r="FV341" s="168"/>
      <c r="FW341" s="168"/>
      <c r="FX341" s="168"/>
      <c r="FY341" s="168"/>
      <c r="FZ341" s="168"/>
      <c r="GA341" s="168"/>
      <c r="GB341" s="168"/>
      <c r="GC341" s="168"/>
      <c r="GD341" s="168"/>
      <c r="GE341" s="168"/>
      <c r="GF341" s="168"/>
      <c r="GG341" s="168"/>
      <c r="GH341" s="168"/>
      <c r="GI341" s="168"/>
      <c r="GJ341" s="168"/>
      <c r="GK341" s="168"/>
      <c r="GL341" s="168"/>
      <c r="GM341" s="168"/>
      <c r="GN341" s="168"/>
      <c r="GO341" s="168"/>
      <c r="GP341" s="168"/>
      <c r="GQ341" s="168"/>
      <c r="GR341" s="168"/>
      <c r="GS341" s="168"/>
      <c r="GT341" s="168"/>
      <c r="GU341" s="168"/>
      <c r="GV341" s="168"/>
      <c r="GW341" s="168"/>
      <c r="GX341" s="168"/>
      <c r="GY341" s="168"/>
      <c r="GZ341" s="168"/>
      <c r="HA341" s="168"/>
      <c r="HB341" s="168"/>
      <c r="HC341" s="168"/>
      <c r="HD341" s="168"/>
      <c r="HE341" s="168"/>
      <c r="HF341" s="168"/>
      <c r="HG341" s="168"/>
      <c r="HH341" s="168"/>
      <c r="HI341" s="168"/>
      <c r="HJ341" s="168"/>
      <c r="HK341" s="168"/>
      <c r="HL341" s="168"/>
      <c r="HM341" s="168"/>
      <c r="HN341" s="168"/>
      <c r="HO341" s="168"/>
      <c r="HP341" s="168"/>
      <c r="HQ341" s="168"/>
      <c r="HR341" s="168"/>
      <c r="HS341" s="168"/>
      <c r="HT341" s="168"/>
      <c r="HU341" s="168"/>
      <c r="HV341" s="168"/>
      <c r="HW341" s="168"/>
      <c r="HX341" s="168"/>
      <c r="HY341" s="168"/>
      <c r="HZ341" s="168"/>
      <c r="IA341" s="168"/>
      <c r="IB341" s="168"/>
      <c r="IC341" s="168"/>
      <c r="ID341" s="168"/>
      <c r="IE341" s="168"/>
      <c r="IF341" s="168"/>
      <c r="IG341" s="168"/>
      <c r="IH341" s="168"/>
      <c r="II341" s="168"/>
      <c r="IJ341" s="168"/>
      <c r="IK341" s="168"/>
      <c r="IL341" s="168"/>
      <c r="IM341" s="168"/>
      <c r="IN341" s="168"/>
      <c r="IO341" s="204"/>
      <c r="IP341" s="169"/>
      <c r="IQ341" s="169"/>
      <c r="IR341" s="169"/>
      <c r="IS341" s="169"/>
      <c r="IT341" s="169"/>
    </row>
    <row r="342" spans="1:256" s="170" customFormat="1">
      <c r="A342" s="166"/>
      <c r="B342" s="340" t="s">
        <v>483</v>
      </c>
      <c r="C342" s="167" t="s">
        <v>835</v>
      </c>
      <c r="D342" s="167" t="s">
        <v>912</v>
      </c>
      <c r="E342" s="167" t="s">
        <v>913</v>
      </c>
      <c r="F342" s="167" t="s">
        <v>838</v>
      </c>
      <c r="G342" s="167"/>
      <c r="H342" s="166"/>
      <c r="I342" s="166"/>
      <c r="J342" s="166"/>
      <c r="K342" s="166"/>
      <c r="L342" s="166"/>
      <c r="M342" s="168"/>
      <c r="N342" s="168"/>
      <c r="O342" s="168"/>
      <c r="P342" s="168"/>
      <c r="Q342" s="168"/>
      <c r="R342" s="168"/>
      <c r="S342" s="168"/>
      <c r="T342" s="168"/>
      <c r="U342" s="168"/>
      <c r="V342" s="168"/>
      <c r="W342" s="168"/>
      <c r="X342" s="168"/>
      <c r="Y342" s="168"/>
      <c r="Z342" s="168"/>
      <c r="AA342" s="168"/>
      <c r="AB342" s="168"/>
      <c r="AC342" s="168"/>
      <c r="AD342" s="168"/>
      <c r="AE342" s="213"/>
      <c r="AF342" s="213"/>
      <c r="AG342" s="213"/>
      <c r="AH342" s="213"/>
      <c r="AI342" s="213"/>
      <c r="AJ342" s="213"/>
      <c r="AK342" s="213"/>
      <c r="AL342" s="213"/>
      <c r="AM342" s="213"/>
      <c r="AN342" s="213"/>
      <c r="AO342" s="213"/>
      <c r="AP342" s="213"/>
      <c r="AQ342" s="213"/>
      <c r="AR342" s="213"/>
      <c r="AS342" s="213"/>
      <c r="AT342" s="213"/>
      <c r="AU342" s="213"/>
      <c r="AV342" s="213"/>
      <c r="AW342" s="213"/>
      <c r="AX342" s="213"/>
      <c r="AY342" s="213"/>
      <c r="AZ342" s="168"/>
      <c r="BA342" s="168"/>
      <c r="BB342" s="168"/>
      <c r="BC342" s="168"/>
      <c r="BD342" s="168"/>
      <c r="BE342" s="168"/>
      <c r="BF342" s="168"/>
      <c r="BG342" s="168"/>
      <c r="BH342" s="168"/>
      <c r="BI342" s="168"/>
      <c r="BJ342" s="168"/>
      <c r="BK342" s="168"/>
      <c r="BL342" s="168"/>
      <c r="BM342" s="168"/>
      <c r="BN342" s="168"/>
      <c r="BO342" s="168"/>
      <c r="BP342" s="168"/>
      <c r="BQ342" s="168"/>
      <c r="BR342" s="168"/>
      <c r="BS342" s="168"/>
      <c r="BT342" s="168"/>
      <c r="BU342" s="168"/>
      <c r="BV342" s="168"/>
      <c r="BW342" s="168"/>
      <c r="BX342" s="168"/>
      <c r="BY342" s="168"/>
      <c r="BZ342" s="168"/>
      <c r="CA342" s="168"/>
      <c r="CB342" s="168"/>
      <c r="CC342" s="168"/>
      <c r="CD342" s="168"/>
      <c r="CE342" s="168"/>
      <c r="CF342" s="168"/>
      <c r="CG342" s="168"/>
      <c r="CH342" s="168"/>
      <c r="CI342" s="168"/>
      <c r="CJ342" s="168"/>
      <c r="CK342" s="168"/>
      <c r="CL342" s="168"/>
      <c r="CM342" s="168"/>
      <c r="CN342" s="168"/>
      <c r="CO342" s="168"/>
      <c r="CP342" s="168"/>
      <c r="CQ342" s="168"/>
      <c r="CR342" s="168"/>
      <c r="CS342" s="168"/>
      <c r="CT342" s="168"/>
      <c r="CU342" s="168"/>
      <c r="CV342" s="168"/>
      <c r="CW342" s="168"/>
      <c r="CX342" s="168"/>
      <c r="CY342" s="168"/>
      <c r="CZ342" s="168"/>
      <c r="DA342" s="168"/>
      <c r="DB342" s="168"/>
      <c r="DC342" s="168"/>
      <c r="DD342" s="168"/>
      <c r="DE342" s="168"/>
      <c r="DF342" s="168"/>
      <c r="DG342" s="168"/>
      <c r="DH342" s="168"/>
      <c r="DI342" s="168"/>
      <c r="DJ342" s="168"/>
      <c r="DK342" s="168"/>
      <c r="DL342" s="168"/>
      <c r="DM342" s="168"/>
      <c r="DN342" s="168"/>
      <c r="DO342" s="168"/>
      <c r="DP342" s="168"/>
      <c r="DQ342" s="168"/>
      <c r="DR342" s="168"/>
      <c r="DS342" s="168"/>
      <c r="DT342" s="168"/>
      <c r="DU342" s="168"/>
      <c r="DV342" s="168"/>
      <c r="DW342" s="168"/>
      <c r="DX342" s="168"/>
      <c r="DY342" s="168"/>
      <c r="DZ342" s="168"/>
      <c r="EA342" s="168"/>
      <c r="EB342" s="168"/>
      <c r="EC342" s="168"/>
      <c r="ED342" s="168"/>
      <c r="EE342" s="168"/>
      <c r="EF342" s="168"/>
      <c r="EG342" s="168"/>
      <c r="EH342" s="168"/>
      <c r="EI342" s="168"/>
      <c r="EJ342" s="168"/>
      <c r="EK342" s="168"/>
      <c r="EL342" s="168"/>
      <c r="EM342" s="168"/>
      <c r="EN342" s="168"/>
      <c r="EO342" s="168"/>
      <c r="EP342" s="168"/>
      <c r="EQ342" s="168"/>
      <c r="ER342" s="168"/>
      <c r="ES342" s="168"/>
      <c r="ET342" s="168"/>
      <c r="EU342" s="168"/>
      <c r="EV342" s="168"/>
      <c r="EW342" s="168"/>
      <c r="EX342" s="168"/>
      <c r="EY342" s="168"/>
      <c r="EZ342" s="168"/>
      <c r="FA342" s="168"/>
      <c r="FB342" s="168"/>
      <c r="FC342" s="168"/>
      <c r="FD342" s="168"/>
      <c r="FE342" s="168"/>
      <c r="FF342" s="168"/>
      <c r="FG342" s="168"/>
      <c r="FH342" s="168"/>
      <c r="FI342" s="168"/>
      <c r="FJ342" s="168"/>
      <c r="FK342" s="168"/>
      <c r="FL342" s="168"/>
      <c r="FM342" s="168"/>
      <c r="FN342" s="168"/>
      <c r="FO342" s="168"/>
      <c r="FP342" s="168"/>
      <c r="FQ342" s="168"/>
      <c r="FR342" s="168"/>
      <c r="FS342" s="168"/>
      <c r="FT342" s="168"/>
      <c r="FU342" s="168"/>
      <c r="FV342" s="168"/>
      <c r="FW342" s="168"/>
      <c r="FX342" s="168"/>
      <c r="FY342" s="168"/>
      <c r="FZ342" s="168"/>
      <c r="GA342" s="168"/>
      <c r="GB342" s="168"/>
      <c r="GC342" s="168"/>
      <c r="GD342" s="168"/>
      <c r="GE342" s="168"/>
      <c r="GF342" s="168"/>
      <c r="GG342" s="168"/>
      <c r="GH342" s="168"/>
      <c r="GI342" s="168"/>
      <c r="GJ342" s="168"/>
      <c r="GK342" s="168"/>
      <c r="GL342" s="168"/>
      <c r="GM342" s="168"/>
      <c r="GN342" s="168"/>
      <c r="GO342" s="168"/>
      <c r="GP342" s="168"/>
      <c r="GQ342" s="168"/>
      <c r="GR342" s="168"/>
      <c r="GS342" s="168"/>
      <c r="GT342" s="168"/>
      <c r="GU342" s="168"/>
      <c r="GV342" s="168"/>
      <c r="GW342" s="168"/>
      <c r="GX342" s="168"/>
      <c r="GY342" s="168"/>
      <c r="GZ342" s="168"/>
      <c r="HA342" s="168"/>
      <c r="HB342" s="168"/>
      <c r="HC342" s="168"/>
      <c r="HD342" s="168"/>
      <c r="HE342" s="168"/>
      <c r="HF342" s="168"/>
      <c r="HG342" s="168"/>
      <c r="HH342" s="168"/>
      <c r="HI342" s="168"/>
      <c r="HJ342" s="168"/>
      <c r="HK342" s="168"/>
      <c r="HL342" s="168"/>
      <c r="HM342" s="168"/>
      <c r="HN342" s="168"/>
      <c r="HO342" s="168"/>
      <c r="HP342" s="168"/>
      <c r="HQ342" s="168"/>
      <c r="HR342" s="168"/>
      <c r="HS342" s="168"/>
      <c r="HT342" s="168"/>
      <c r="HU342" s="168"/>
      <c r="HV342" s="168"/>
      <c r="HW342" s="168"/>
      <c r="HX342" s="168"/>
      <c r="HY342" s="168"/>
      <c r="HZ342" s="168"/>
      <c r="IA342" s="168"/>
      <c r="IB342" s="168"/>
      <c r="IC342" s="168"/>
      <c r="ID342" s="168"/>
      <c r="IE342" s="168"/>
      <c r="IF342" s="168"/>
      <c r="IG342" s="168"/>
      <c r="IH342" s="168"/>
      <c r="II342" s="168"/>
      <c r="IJ342" s="168"/>
      <c r="IK342" s="168"/>
      <c r="IL342" s="168"/>
      <c r="IM342" s="168"/>
      <c r="IN342" s="204"/>
      <c r="IO342" s="169"/>
      <c r="IP342" s="169"/>
      <c r="IQ342" s="169"/>
      <c r="IR342" s="169"/>
      <c r="IS342" s="169"/>
    </row>
    <row r="343" spans="1:256" s="170" customFormat="1">
      <c r="A343" s="166"/>
      <c r="B343" s="182" t="s">
        <v>158</v>
      </c>
      <c r="C343" s="165" t="s">
        <v>443</v>
      </c>
      <c r="D343" s="165" t="s">
        <v>443</v>
      </c>
      <c r="E343" s="165" t="s">
        <v>443</v>
      </c>
      <c r="F343" s="165">
        <v>54</v>
      </c>
      <c r="G343" s="165"/>
      <c r="H343" s="166"/>
      <c r="I343" s="166"/>
      <c r="J343" s="166"/>
      <c r="K343" s="166"/>
      <c r="L343" s="166"/>
      <c r="M343" s="168"/>
      <c r="N343" s="168"/>
      <c r="O343" s="168"/>
      <c r="P343" s="168"/>
      <c r="Q343" s="168"/>
      <c r="R343" s="168"/>
      <c r="S343" s="168"/>
      <c r="T343" s="168"/>
      <c r="U343" s="168"/>
      <c r="V343" s="168"/>
      <c r="W343" s="168"/>
      <c r="X343" s="168"/>
      <c r="Y343" s="168"/>
      <c r="Z343" s="168"/>
      <c r="AA343" s="168"/>
      <c r="AB343" s="168"/>
      <c r="AC343" s="168"/>
      <c r="AD343" s="213"/>
      <c r="AE343" s="213"/>
      <c r="AF343" s="213"/>
      <c r="AG343" s="213"/>
      <c r="AH343" s="213"/>
      <c r="AI343" s="213"/>
      <c r="AJ343" s="213"/>
      <c r="AK343" s="213"/>
      <c r="AL343" s="213"/>
      <c r="AM343" s="213"/>
      <c r="AN343" s="213"/>
      <c r="AO343" s="213"/>
      <c r="AP343" s="213"/>
      <c r="AQ343" s="213"/>
      <c r="AR343" s="213"/>
      <c r="AS343" s="213"/>
      <c r="AT343" s="213"/>
      <c r="AU343" s="213"/>
      <c r="AV343" s="213"/>
      <c r="AW343" s="213"/>
      <c r="AX343" s="213"/>
      <c r="AY343" s="168"/>
      <c r="AZ343" s="168"/>
      <c r="BA343" s="168"/>
      <c r="BB343" s="168"/>
      <c r="BC343" s="168"/>
      <c r="BD343" s="168"/>
      <c r="BE343" s="168"/>
      <c r="BF343" s="168"/>
      <c r="BG343" s="168"/>
      <c r="BH343" s="168"/>
      <c r="BI343" s="168"/>
      <c r="BJ343" s="168"/>
      <c r="BK343" s="168"/>
      <c r="BL343" s="168"/>
      <c r="BM343" s="168"/>
      <c r="BN343" s="168"/>
      <c r="BO343" s="168"/>
      <c r="BP343" s="168"/>
      <c r="BQ343" s="168"/>
      <c r="BR343" s="168"/>
      <c r="BS343" s="168"/>
      <c r="BT343" s="168"/>
      <c r="BU343" s="168"/>
      <c r="BV343" s="168"/>
      <c r="BW343" s="168"/>
      <c r="BX343" s="168"/>
      <c r="BY343" s="168"/>
      <c r="BZ343" s="168"/>
      <c r="CA343" s="168"/>
      <c r="CB343" s="168"/>
      <c r="CC343" s="168"/>
      <c r="CD343" s="168"/>
      <c r="CE343" s="168"/>
      <c r="CF343" s="168"/>
      <c r="CG343" s="168"/>
      <c r="CH343" s="168"/>
      <c r="CI343" s="168"/>
      <c r="CJ343" s="168"/>
      <c r="CK343" s="168"/>
      <c r="CL343" s="168"/>
      <c r="CM343" s="168"/>
      <c r="CN343" s="168"/>
      <c r="CO343" s="168"/>
      <c r="CP343" s="168"/>
      <c r="CQ343" s="168"/>
      <c r="CR343" s="168"/>
      <c r="CS343" s="168"/>
      <c r="CT343" s="168"/>
      <c r="CU343" s="168"/>
      <c r="CV343" s="168"/>
      <c r="CW343" s="168"/>
      <c r="CX343" s="168"/>
      <c r="CY343" s="168"/>
      <c r="CZ343" s="168"/>
      <c r="DA343" s="168"/>
      <c r="DB343" s="168"/>
      <c r="DC343" s="168"/>
      <c r="DD343" s="168"/>
      <c r="DE343" s="168"/>
      <c r="DF343" s="168"/>
      <c r="DG343" s="168"/>
      <c r="DH343" s="168"/>
      <c r="DI343" s="168"/>
      <c r="DJ343" s="168"/>
      <c r="DK343" s="168"/>
      <c r="DL343" s="168"/>
      <c r="DM343" s="168"/>
      <c r="DN343" s="168"/>
      <c r="DO343" s="168"/>
      <c r="DP343" s="168"/>
      <c r="DQ343" s="168"/>
      <c r="DR343" s="168"/>
      <c r="DS343" s="168"/>
      <c r="DT343" s="168"/>
      <c r="DU343" s="168"/>
      <c r="DV343" s="168"/>
      <c r="DW343" s="168"/>
      <c r="DX343" s="168"/>
      <c r="DY343" s="168"/>
      <c r="DZ343" s="168"/>
      <c r="EA343" s="168"/>
      <c r="EB343" s="168"/>
      <c r="EC343" s="168"/>
      <c r="ED343" s="168"/>
      <c r="EE343" s="168"/>
      <c r="EF343" s="168"/>
      <c r="EG343" s="168"/>
      <c r="EH343" s="168"/>
      <c r="EI343" s="168"/>
      <c r="EJ343" s="168"/>
      <c r="EK343" s="168"/>
      <c r="EL343" s="168"/>
      <c r="EM343" s="168"/>
      <c r="EN343" s="168"/>
      <c r="EO343" s="168"/>
      <c r="EP343" s="168"/>
      <c r="EQ343" s="168"/>
      <c r="ER343" s="168"/>
      <c r="ES343" s="168"/>
      <c r="ET343" s="168"/>
      <c r="EU343" s="168"/>
      <c r="EV343" s="168"/>
      <c r="EW343" s="168"/>
      <c r="EX343" s="168"/>
      <c r="EY343" s="168"/>
      <c r="EZ343" s="168"/>
      <c r="FA343" s="168"/>
      <c r="FB343" s="168"/>
      <c r="FC343" s="168"/>
      <c r="FD343" s="168"/>
      <c r="FE343" s="168"/>
      <c r="FF343" s="168"/>
      <c r="FG343" s="168"/>
      <c r="FH343" s="168"/>
      <c r="FI343" s="168"/>
      <c r="FJ343" s="168"/>
      <c r="FK343" s="168"/>
      <c r="FL343" s="168"/>
      <c r="FM343" s="168"/>
      <c r="FN343" s="168"/>
      <c r="FO343" s="168"/>
      <c r="FP343" s="168"/>
      <c r="FQ343" s="168"/>
      <c r="FR343" s="168"/>
      <c r="FS343" s="168"/>
      <c r="FT343" s="168"/>
      <c r="FU343" s="168"/>
      <c r="FV343" s="168"/>
      <c r="FW343" s="168"/>
      <c r="FX343" s="168"/>
      <c r="FY343" s="168"/>
      <c r="FZ343" s="168"/>
      <c r="GA343" s="168"/>
      <c r="GB343" s="168"/>
      <c r="GC343" s="168"/>
      <c r="GD343" s="168"/>
      <c r="GE343" s="168"/>
      <c r="GF343" s="168"/>
      <c r="GG343" s="168"/>
      <c r="GH343" s="168"/>
      <c r="GI343" s="168"/>
      <c r="GJ343" s="168"/>
      <c r="GK343" s="168"/>
      <c r="GL343" s="168"/>
      <c r="GM343" s="168"/>
      <c r="GN343" s="168"/>
      <c r="GO343" s="168"/>
      <c r="GP343" s="168"/>
      <c r="GQ343" s="168"/>
      <c r="GR343" s="168"/>
      <c r="GS343" s="168"/>
      <c r="GT343" s="168"/>
      <c r="GU343" s="168"/>
      <c r="GV343" s="168"/>
      <c r="GW343" s="168"/>
      <c r="GX343" s="168"/>
      <c r="GY343" s="168"/>
      <c r="GZ343" s="168"/>
      <c r="HA343" s="168"/>
      <c r="HB343" s="168"/>
      <c r="HC343" s="168"/>
      <c r="HD343" s="168"/>
      <c r="HE343" s="168"/>
      <c r="HF343" s="168"/>
      <c r="HG343" s="168"/>
      <c r="HH343" s="168"/>
      <c r="HI343" s="168"/>
      <c r="HJ343" s="168"/>
      <c r="HK343" s="168"/>
      <c r="HL343" s="168"/>
      <c r="HM343" s="168"/>
      <c r="HN343" s="168"/>
      <c r="HO343" s="168"/>
      <c r="HP343" s="168"/>
      <c r="HQ343" s="168"/>
      <c r="HR343" s="168"/>
      <c r="HS343" s="168"/>
      <c r="HT343" s="168"/>
      <c r="HU343" s="168"/>
      <c r="HV343" s="168"/>
      <c r="HW343" s="168"/>
      <c r="HX343" s="168"/>
      <c r="HY343" s="168"/>
      <c r="HZ343" s="168"/>
      <c r="IA343" s="168"/>
      <c r="IB343" s="168"/>
      <c r="IC343" s="168"/>
      <c r="ID343" s="168"/>
      <c r="IE343" s="168"/>
      <c r="IF343" s="168"/>
      <c r="IG343" s="168"/>
      <c r="IH343" s="168"/>
      <c r="II343" s="168"/>
      <c r="IJ343" s="168"/>
      <c r="IK343" s="168"/>
      <c r="IL343" s="168"/>
      <c r="IM343" s="204"/>
      <c r="IN343" s="169"/>
      <c r="IO343" s="169"/>
      <c r="IP343" s="169"/>
      <c r="IQ343" s="169"/>
      <c r="IR343" s="169"/>
    </row>
    <row r="344" spans="1:256" s="168" customFormat="1">
      <c r="A344" s="143"/>
      <c r="B344" s="340" t="s">
        <v>442</v>
      </c>
      <c r="C344" s="165">
        <v>2</v>
      </c>
      <c r="D344" s="165">
        <v>4</v>
      </c>
      <c r="E344" s="165">
        <v>1</v>
      </c>
      <c r="F344" s="165">
        <v>24</v>
      </c>
      <c r="G344" s="165"/>
      <c r="H344" s="165"/>
      <c r="I344" s="165"/>
      <c r="J344" s="165"/>
      <c r="K344" s="165"/>
      <c r="L344" s="165"/>
      <c r="AC344" s="213"/>
      <c r="AD344" s="213"/>
      <c r="AE344" s="213"/>
      <c r="AF344" s="213"/>
      <c r="AG344" s="213"/>
      <c r="AH344" s="213"/>
      <c r="AI344" s="213"/>
      <c r="AJ344" s="213"/>
      <c r="AK344" s="213"/>
      <c r="AL344" s="213"/>
      <c r="AM344" s="213"/>
      <c r="AN344" s="213"/>
      <c r="AO344" s="213"/>
      <c r="AP344" s="213"/>
      <c r="AQ344" s="213"/>
      <c r="AR344" s="213"/>
      <c r="AS344" s="213"/>
      <c r="AT344" s="213"/>
      <c r="AU344" s="213"/>
      <c r="AV344" s="213"/>
      <c r="AW344" s="213"/>
      <c r="IL344" s="204"/>
      <c r="IM344" s="169"/>
      <c r="IN344" s="169"/>
      <c r="IO344" s="169"/>
      <c r="IP344" s="169"/>
      <c r="IQ344" s="169"/>
      <c r="IR344" s="170"/>
      <c r="IS344" s="170"/>
      <c r="IT344" s="170"/>
      <c r="IU344" s="170"/>
      <c r="IV344" s="170"/>
    </row>
    <row r="345" spans="1:256" s="168" customFormat="1">
      <c r="A345" s="143"/>
      <c r="B345" s="143"/>
      <c r="C345" s="143"/>
      <c r="D345" s="143"/>
      <c r="E345" s="143"/>
      <c r="F345" s="143"/>
      <c r="G345" s="143"/>
      <c r="H345" s="143"/>
      <c r="I345" s="143"/>
      <c r="J345" s="143"/>
      <c r="K345" s="143"/>
      <c r="L345" s="143"/>
      <c r="AB345" s="213"/>
      <c r="AC345" s="213"/>
      <c r="AD345" s="213"/>
      <c r="AE345" s="213"/>
      <c r="AF345" s="213"/>
      <c r="AG345" s="213"/>
      <c r="AH345" s="213"/>
      <c r="AI345" s="213"/>
      <c r="AJ345" s="213"/>
      <c r="AK345" s="213"/>
      <c r="AL345" s="213"/>
      <c r="AM345" s="213"/>
      <c r="AN345" s="213"/>
      <c r="AO345" s="213"/>
      <c r="AP345" s="213"/>
      <c r="AQ345" s="213"/>
      <c r="AR345" s="213"/>
      <c r="AS345" s="213"/>
      <c r="AT345" s="213"/>
      <c r="AU345" s="213"/>
      <c r="AV345" s="213"/>
      <c r="IK345" s="204"/>
      <c r="IL345" s="169"/>
      <c r="IM345" s="169"/>
      <c r="IN345" s="169"/>
      <c r="IO345" s="169"/>
      <c r="IP345" s="169"/>
      <c r="IQ345" s="170"/>
      <c r="IR345" s="170"/>
      <c r="IS345" s="170"/>
      <c r="IT345" s="170"/>
      <c r="IU345" s="170"/>
    </row>
    <row r="346" spans="1:256" s="168" customFormat="1">
      <c r="A346" s="143"/>
      <c r="B346" s="143"/>
      <c r="C346" s="143"/>
      <c r="D346" s="143"/>
      <c r="E346" s="143"/>
      <c r="F346" s="143"/>
      <c r="G346" s="143"/>
      <c r="H346" s="143"/>
      <c r="I346" s="143"/>
      <c r="J346" s="143"/>
      <c r="K346" s="143"/>
      <c r="L346" s="143"/>
      <c r="AA346" s="213"/>
      <c r="AB346" s="213"/>
      <c r="AC346" s="213"/>
      <c r="AD346" s="213"/>
      <c r="AE346" s="213"/>
      <c r="AF346" s="213"/>
      <c r="AG346" s="213"/>
      <c r="AH346" s="213"/>
      <c r="AI346" s="213"/>
      <c r="AJ346" s="213"/>
      <c r="AK346" s="213"/>
      <c r="AL346" s="213"/>
      <c r="AM346" s="213"/>
      <c r="AN346" s="213"/>
      <c r="AO346" s="213"/>
      <c r="AP346" s="213"/>
      <c r="AQ346" s="213"/>
      <c r="AR346" s="213"/>
      <c r="AS346" s="213"/>
      <c r="AT346" s="213"/>
      <c r="AU346" s="213"/>
      <c r="IJ346" s="204"/>
      <c r="IK346" s="169"/>
      <c r="IL346" s="169"/>
      <c r="IM346" s="169"/>
      <c r="IN346" s="169"/>
      <c r="IO346" s="169"/>
      <c r="IP346" s="170"/>
      <c r="IQ346" s="170"/>
      <c r="IR346" s="170"/>
      <c r="IS346" s="170"/>
      <c r="IT346" s="170"/>
    </row>
    <row r="347" spans="1:256" s="168" customFormat="1">
      <c r="A347" s="143"/>
      <c r="B347" s="143"/>
      <c r="C347" s="143"/>
      <c r="D347" s="143"/>
      <c r="E347" s="143"/>
      <c r="F347" s="143"/>
      <c r="G347" s="143"/>
      <c r="H347" s="143"/>
      <c r="I347" s="143"/>
      <c r="J347" s="143"/>
      <c r="K347" s="143"/>
      <c r="L347" s="143"/>
      <c r="Z347" s="213"/>
      <c r="AA347" s="213"/>
      <c r="AB347" s="213"/>
      <c r="AC347" s="213"/>
      <c r="AD347" s="213"/>
      <c r="AE347" s="213"/>
      <c r="AF347" s="213"/>
      <c r="AG347" s="213"/>
      <c r="AH347" s="213"/>
      <c r="AI347" s="213"/>
      <c r="AJ347" s="213"/>
      <c r="AK347" s="213"/>
      <c r="AL347" s="213"/>
      <c r="AM347" s="213"/>
      <c r="AN347" s="213"/>
      <c r="AO347" s="213"/>
      <c r="AP347" s="213"/>
      <c r="AQ347" s="213"/>
      <c r="AR347" s="213"/>
      <c r="AS347" s="213"/>
      <c r="AT347" s="213"/>
      <c r="II347" s="203"/>
      <c r="IJ347" s="204"/>
      <c r="IK347" s="169"/>
      <c r="IL347" s="169"/>
      <c r="IM347" s="169"/>
      <c r="IN347" s="169"/>
      <c r="IO347" s="169"/>
      <c r="IP347" s="170"/>
      <c r="IQ347" s="170"/>
      <c r="IR347" s="170"/>
      <c r="IS347" s="170"/>
      <c r="IT347" s="170"/>
    </row>
    <row r="348" spans="1:256" s="168" customFormat="1" ht="14.25" customHeight="1">
      <c r="A348" s="143"/>
      <c r="B348" s="143"/>
      <c r="C348" s="143"/>
      <c r="D348" s="143"/>
      <c r="E348" s="143"/>
      <c r="F348" s="143"/>
      <c r="G348" s="143"/>
      <c r="H348" s="143"/>
      <c r="I348" s="143"/>
      <c r="J348" s="143"/>
      <c r="K348" s="143"/>
      <c r="L348" s="143"/>
      <c r="Z348" s="213"/>
      <c r="AA348" s="213"/>
      <c r="AB348" s="213"/>
      <c r="AC348" s="213"/>
      <c r="AD348" s="213"/>
      <c r="AE348" s="213"/>
      <c r="AF348" s="213"/>
      <c r="AG348" s="213"/>
      <c r="AH348" s="213"/>
      <c r="AI348" s="213"/>
      <c r="AJ348" s="213"/>
      <c r="AK348" s="213"/>
      <c r="AL348" s="213"/>
      <c r="AM348" s="213"/>
      <c r="AN348" s="213"/>
      <c r="AO348" s="213"/>
      <c r="AP348" s="213"/>
      <c r="AQ348" s="213"/>
      <c r="AR348" s="213"/>
      <c r="AS348" s="213"/>
      <c r="AT348" s="213"/>
      <c r="AV348" s="203"/>
      <c r="AW348" s="204"/>
      <c r="AX348" s="169"/>
      <c r="AY348" s="169"/>
      <c r="AZ348" s="169"/>
      <c r="BA348" s="169"/>
      <c r="BB348" s="169"/>
      <c r="BC348" s="170"/>
      <c r="BD348" s="170"/>
      <c r="BE348" s="170"/>
      <c r="BF348" s="170"/>
      <c r="BG348" s="170"/>
      <c r="CJ348" s="213"/>
      <c r="CK348" s="213"/>
      <c r="CL348" s="213"/>
      <c r="CM348" s="213"/>
      <c r="CN348" s="213"/>
      <c r="CO348" s="213"/>
      <c r="CP348" s="213"/>
      <c r="CQ348" s="213"/>
      <c r="CR348" s="213"/>
      <c r="CS348" s="213"/>
      <c r="CT348" s="213"/>
      <c r="CU348" s="213"/>
      <c r="CV348" s="213"/>
      <c r="CW348" s="213"/>
      <c r="CX348" s="213"/>
      <c r="CY348" s="213"/>
      <c r="CZ348" s="213"/>
      <c r="DA348" s="213"/>
      <c r="DB348" s="213"/>
      <c r="DC348" s="213"/>
      <c r="DD348" s="213"/>
      <c r="DF348" s="203"/>
      <c r="DG348" s="204"/>
      <c r="DH348" s="169"/>
      <c r="DI348" s="169"/>
      <c r="DJ348" s="169"/>
      <c r="DK348" s="169"/>
      <c r="DL348" s="169"/>
      <c r="DM348" s="170"/>
      <c r="DN348" s="170"/>
      <c r="DO348" s="170"/>
      <c r="DP348" s="170"/>
      <c r="DQ348" s="170"/>
      <c r="ET348" s="213"/>
      <c r="EU348" s="213"/>
      <c r="EV348" s="213"/>
      <c r="EW348" s="213"/>
      <c r="EX348" s="213"/>
      <c r="EY348" s="213"/>
      <c r="EZ348" s="213"/>
      <c r="FA348" s="213"/>
      <c r="FB348" s="213"/>
      <c r="FC348" s="213"/>
      <c r="FD348" s="213"/>
      <c r="FE348" s="213"/>
      <c r="FF348" s="213"/>
      <c r="FG348" s="213"/>
      <c r="FH348" s="213"/>
      <c r="FI348" s="213"/>
      <c r="FJ348" s="213"/>
      <c r="FK348" s="213"/>
      <c r="FL348" s="213"/>
      <c r="FM348" s="213"/>
      <c r="FN348" s="213"/>
      <c r="FP348" s="203"/>
      <c r="FQ348" s="204"/>
      <c r="FR348" s="169"/>
      <c r="FS348" s="169"/>
      <c r="FT348" s="169"/>
      <c r="FU348" s="169"/>
      <c r="FV348" s="169"/>
      <c r="FW348" s="170"/>
      <c r="FX348" s="170"/>
      <c r="FY348" s="170"/>
      <c r="FZ348" s="170"/>
      <c r="GA348" s="170"/>
      <c r="HD348" s="213"/>
      <c r="HE348" s="213"/>
      <c r="HF348" s="213"/>
      <c r="HG348" s="213"/>
      <c r="HH348" s="213"/>
      <c r="HI348" s="213"/>
      <c r="HJ348" s="213"/>
      <c r="HK348" s="213"/>
      <c r="HL348" s="213"/>
      <c r="HM348" s="213"/>
      <c r="HN348" s="213"/>
      <c r="HO348" s="213"/>
      <c r="HP348" s="213"/>
      <c r="HQ348" s="213"/>
      <c r="HR348" s="213"/>
      <c r="HS348" s="213"/>
      <c r="HT348" s="213"/>
      <c r="HU348" s="213"/>
      <c r="HV348" s="213"/>
      <c r="HW348" s="213"/>
      <c r="HX348" s="213"/>
      <c r="HZ348" s="203"/>
      <c r="IA348" s="204"/>
      <c r="IB348" s="169"/>
      <c r="IC348" s="169"/>
      <c r="ID348" s="169"/>
      <c r="IE348" s="169"/>
      <c r="IF348" s="169"/>
      <c r="IG348" s="170"/>
      <c r="IH348" s="170"/>
      <c r="II348" s="170"/>
      <c r="IJ348" s="170"/>
      <c r="IK348" s="170"/>
    </row>
    <row r="349" spans="1:256" s="168" customFormat="1" ht="14.25" customHeight="1">
      <c r="A349" s="143" t="s">
        <v>183</v>
      </c>
      <c r="B349" s="143"/>
      <c r="C349" s="143"/>
      <c r="D349" s="143"/>
      <c r="E349" s="143"/>
      <c r="F349" s="143"/>
      <c r="G349" s="143"/>
      <c r="H349" s="143"/>
      <c r="I349" s="143"/>
      <c r="J349" s="143"/>
      <c r="K349" s="143"/>
      <c r="L349" s="143"/>
      <c r="X349" s="213"/>
      <c r="Y349" s="213"/>
      <c r="Z349" s="213"/>
      <c r="AA349" s="213"/>
      <c r="AB349" s="213"/>
      <c r="AC349" s="213"/>
      <c r="AD349" s="213"/>
      <c r="AE349" s="213"/>
      <c r="AF349" s="213"/>
      <c r="AG349" s="213"/>
      <c r="AH349" s="213"/>
      <c r="AI349" s="213"/>
      <c r="AJ349" s="213"/>
      <c r="AK349" s="213"/>
      <c r="AM349" s="203"/>
      <c r="AN349" s="204"/>
      <c r="AO349" s="169"/>
      <c r="AP349" s="169"/>
      <c r="AQ349" s="169"/>
      <c r="AR349" s="169"/>
      <c r="AS349" s="169"/>
      <c r="AT349" s="170"/>
      <c r="AU349" s="170"/>
      <c r="AV349" s="170"/>
      <c r="AW349" s="170"/>
      <c r="AX349" s="170"/>
      <c r="CA349" s="213"/>
      <c r="CB349" s="213"/>
      <c r="CC349" s="213"/>
      <c r="CD349" s="213"/>
      <c r="CE349" s="213"/>
      <c r="CF349" s="213"/>
      <c r="CG349" s="213"/>
      <c r="CH349" s="213"/>
      <c r="CI349" s="213"/>
      <c r="CJ349" s="213"/>
      <c r="CK349" s="213"/>
      <c r="CL349" s="213"/>
      <c r="CM349" s="213"/>
      <c r="CN349" s="213"/>
      <c r="CO349" s="213"/>
      <c r="CP349" s="213"/>
      <c r="CQ349" s="213"/>
      <c r="CR349" s="213"/>
      <c r="CS349" s="213"/>
      <c r="CT349" s="213"/>
      <c r="CU349" s="213"/>
      <c r="CW349" s="203"/>
      <c r="CX349" s="204"/>
      <c r="CY349" s="169"/>
      <c r="CZ349" s="169"/>
      <c r="DA349" s="169"/>
      <c r="DB349" s="169"/>
      <c r="DC349" s="169"/>
      <c r="DD349" s="170"/>
      <c r="DE349" s="170"/>
      <c r="DF349" s="170"/>
      <c r="DG349" s="170"/>
      <c r="DH349" s="170"/>
      <c r="EK349" s="213"/>
      <c r="EL349" s="213"/>
      <c r="EM349" s="213"/>
      <c r="EN349" s="213"/>
      <c r="EO349" s="213"/>
      <c r="EP349" s="213"/>
      <c r="EQ349" s="213"/>
      <c r="ER349" s="213"/>
      <c r="ES349" s="213"/>
      <c r="ET349" s="213"/>
      <c r="EU349" s="213"/>
      <c r="EV349" s="213"/>
      <c r="EW349" s="213"/>
      <c r="EX349" s="213"/>
      <c r="EY349" s="213"/>
      <c r="EZ349" s="213"/>
      <c r="FA349" s="213"/>
      <c r="FB349" s="213"/>
      <c r="FC349" s="213"/>
      <c r="FD349" s="213"/>
      <c r="FE349" s="213"/>
      <c r="FG349" s="203"/>
      <c r="FH349" s="204"/>
      <c r="FI349" s="169"/>
      <c r="FJ349" s="169"/>
      <c r="FK349" s="169"/>
      <c r="FL349" s="169"/>
      <c r="FM349" s="169"/>
      <c r="FN349" s="170"/>
      <c r="FO349" s="170"/>
      <c r="FP349" s="170"/>
      <c r="FQ349" s="170"/>
      <c r="FR349" s="170"/>
      <c r="GU349" s="213"/>
      <c r="GV349" s="213"/>
      <c r="GW349" s="213"/>
      <c r="GX349" s="213"/>
      <c r="GY349" s="213"/>
      <c r="GZ349" s="213"/>
      <c r="HA349" s="213"/>
      <c r="HB349" s="213"/>
      <c r="HC349" s="213"/>
      <c r="HD349" s="213"/>
      <c r="HE349" s="213"/>
      <c r="HF349" s="213"/>
      <c r="HG349" s="213"/>
      <c r="HH349" s="213"/>
      <c r="HI349" s="213"/>
      <c r="HJ349" s="213"/>
      <c r="HK349" s="213"/>
      <c r="HL349" s="213"/>
      <c r="HM349" s="213"/>
      <c r="HN349" s="213"/>
      <c r="HO349" s="213"/>
      <c r="HQ349" s="203"/>
      <c r="HR349" s="204"/>
      <c r="HS349" s="169"/>
      <c r="HT349" s="169"/>
      <c r="HU349" s="169"/>
      <c r="HV349" s="169"/>
      <c r="HW349" s="169"/>
      <c r="HX349" s="170"/>
      <c r="HY349" s="170"/>
      <c r="HZ349" s="170"/>
      <c r="IA349" s="170"/>
      <c r="IB349" s="170"/>
    </row>
    <row r="350" spans="1:256" s="213" customFormat="1" ht="14.25" customHeight="1">
      <c r="A350" s="143">
        <v>4</v>
      </c>
      <c r="B350" s="143"/>
      <c r="C350" s="143"/>
      <c r="D350" s="143"/>
      <c r="E350" s="143"/>
      <c r="F350" s="143"/>
      <c r="G350" s="143"/>
      <c r="H350" s="167"/>
      <c r="I350" s="167"/>
      <c r="J350" s="167"/>
      <c r="K350" s="167"/>
      <c r="L350" s="167"/>
      <c r="AC350" s="168"/>
      <c r="AD350" s="205"/>
      <c r="AE350" s="204"/>
      <c r="AF350" s="169"/>
      <c r="AG350" s="169"/>
      <c r="AH350" s="169"/>
      <c r="AI350" s="169"/>
      <c r="AJ350" s="169"/>
      <c r="AK350" s="170"/>
      <c r="AL350" s="170"/>
      <c r="AM350" s="170"/>
      <c r="AN350" s="186"/>
      <c r="AO350" s="220"/>
      <c r="AP350" s="212"/>
      <c r="AQ350" s="212"/>
      <c r="AR350" s="212"/>
      <c r="AS350" s="212"/>
      <c r="AT350" s="212"/>
      <c r="AU350" s="212"/>
      <c r="AV350" s="212"/>
      <c r="AW350" s="212"/>
      <c r="AX350" s="212"/>
      <c r="AY350" s="212"/>
      <c r="AZ350" s="212"/>
      <c r="BA350" s="212"/>
      <c r="BB350" s="212"/>
      <c r="BC350" s="212"/>
      <c r="BD350" s="212"/>
      <c r="BE350" s="212"/>
      <c r="BF350" s="212"/>
      <c r="BG350" s="212"/>
      <c r="BH350" s="212"/>
      <c r="BI350" s="212"/>
      <c r="BJ350" s="212"/>
      <c r="BK350" s="212"/>
      <c r="BL350" s="212"/>
      <c r="BM350" s="212"/>
      <c r="BN350" s="212"/>
      <c r="BO350" s="212"/>
      <c r="BP350" s="212"/>
      <c r="BQ350" s="212"/>
      <c r="BR350" s="215"/>
      <c r="BS350" s="215"/>
      <c r="BT350" s="215"/>
      <c r="BU350" s="215"/>
      <c r="BV350" s="215"/>
      <c r="BW350" s="215"/>
      <c r="BX350" s="215"/>
      <c r="BY350" s="215"/>
      <c r="BZ350" s="215"/>
      <c r="CA350" s="215"/>
      <c r="CB350" s="215"/>
      <c r="CC350" s="215"/>
      <c r="CD350" s="215"/>
      <c r="CE350" s="215"/>
      <c r="CF350" s="215"/>
      <c r="CG350" s="215"/>
      <c r="CH350" s="215"/>
      <c r="CI350" s="215"/>
      <c r="CJ350" s="215"/>
      <c r="CK350" s="215"/>
      <c r="CL350" s="215"/>
      <c r="CM350" s="212"/>
      <c r="CN350" s="205"/>
      <c r="CO350" s="204"/>
      <c r="CP350" s="173"/>
      <c r="CQ350" s="173"/>
      <c r="CR350" s="173"/>
      <c r="CS350" s="173"/>
      <c r="CT350" s="173"/>
      <c r="CU350" s="173"/>
      <c r="CV350" s="173"/>
      <c r="CW350" s="173"/>
      <c r="CX350" s="173"/>
      <c r="CY350" s="173"/>
      <c r="CZ350" s="173"/>
      <c r="DA350" s="173"/>
      <c r="DB350" s="173"/>
      <c r="DC350" s="173"/>
      <c r="DD350" s="173"/>
      <c r="DE350" s="212"/>
      <c r="DF350" s="212"/>
      <c r="DG350" s="212"/>
      <c r="DH350" s="212"/>
      <c r="DI350" s="212"/>
      <c r="DJ350" s="212"/>
      <c r="DK350" s="212"/>
      <c r="DL350" s="212"/>
      <c r="DM350" s="212"/>
      <c r="DN350" s="212"/>
      <c r="DO350" s="212"/>
      <c r="DP350" s="212"/>
      <c r="DQ350" s="212"/>
      <c r="DR350" s="212"/>
      <c r="DS350" s="212"/>
      <c r="DT350" s="212"/>
      <c r="DU350" s="212"/>
      <c r="DV350" s="212"/>
      <c r="DW350" s="212"/>
      <c r="DX350" s="212"/>
      <c r="DY350" s="212"/>
      <c r="DZ350" s="212"/>
      <c r="EA350" s="212"/>
      <c r="EB350" s="215"/>
      <c r="EC350" s="215"/>
      <c r="ED350" s="215"/>
      <c r="EE350" s="215"/>
      <c r="EF350" s="215"/>
      <c r="EG350" s="215"/>
      <c r="EH350" s="215"/>
      <c r="EI350" s="215"/>
      <c r="EJ350" s="215"/>
      <c r="EK350" s="215"/>
      <c r="EL350" s="215"/>
      <c r="EM350" s="215"/>
      <c r="EN350" s="215"/>
      <c r="EO350" s="215"/>
      <c r="EP350" s="215"/>
      <c r="EQ350" s="215"/>
      <c r="ER350" s="215"/>
      <c r="ES350" s="215"/>
      <c r="ET350" s="215"/>
      <c r="EU350" s="215"/>
      <c r="EV350" s="215"/>
      <c r="EW350" s="212"/>
      <c r="EX350" s="206"/>
      <c r="EY350" s="207"/>
      <c r="EZ350" s="208"/>
      <c r="FA350" s="208"/>
      <c r="FB350" s="208"/>
      <c r="FC350" s="208"/>
      <c r="FD350" s="208"/>
      <c r="FE350" s="208"/>
      <c r="FF350" s="208"/>
      <c r="FG350" s="208"/>
      <c r="FH350" s="209"/>
      <c r="FI350" s="209"/>
      <c r="FJ350" s="210"/>
      <c r="FK350" s="210"/>
      <c r="FL350" s="210"/>
      <c r="FM350" s="210"/>
      <c r="FN350" s="210"/>
      <c r="FO350" s="210"/>
      <c r="FP350" s="210"/>
      <c r="FQ350" s="210"/>
      <c r="FR350" s="210"/>
      <c r="FS350" s="210"/>
      <c r="FT350" s="210"/>
      <c r="FU350" s="210"/>
      <c r="FV350" s="210"/>
      <c r="FW350" s="210"/>
      <c r="FX350" s="210"/>
      <c r="FY350" s="210"/>
      <c r="FZ350" s="210"/>
      <c r="GA350" s="210"/>
      <c r="GB350" s="210"/>
      <c r="GC350" s="210"/>
      <c r="GD350" s="210"/>
      <c r="GE350" s="210"/>
      <c r="GF350" s="210"/>
      <c r="GG350" s="210"/>
      <c r="GH350" s="210"/>
      <c r="GI350" s="210"/>
      <c r="GJ350" s="210"/>
      <c r="GK350" s="210"/>
      <c r="GL350" s="216"/>
      <c r="GM350" s="216"/>
      <c r="GN350" s="216"/>
      <c r="GO350" s="216"/>
      <c r="GP350" s="216"/>
      <c r="GQ350" s="216"/>
      <c r="GR350" s="216"/>
      <c r="GS350" s="216"/>
      <c r="GT350" s="216"/>
      <c r="GU350" s="210"/>
      <c r="GV350" s="216"/>
      <c r="GW350" s="216"/>
      <c r="GX350" s="216"/>
      <c r="GY350" s="216"/>
      <c r="GZ350" s="216"/>
      <c r="HA350" s="216"/>
      <c r="HB350" s="216"/>
      <c r="HC350" s="216"/>
      <c r="HD350" s="216"/>
      <c r="HE350" s="216"/>
      <c r="HF350" s="216"/>
      <c r="HG350" s="210"/>
      <c r="HH350" s="203"/>
      <c r="HI350" s="182"/>
      <c r="HJ350" s="145"/>
      <c r="HK350" s="211"/>
      <c r="HL350" s="211"/>
      <c r="HM350" s="211"/>
      <c r="HN350" s="211"/>
      <c r="HO350" s="211"/>
      <c r="HP350" s="211"/>
      <c r="HQ350" s="211"/>
      <c r="HR350" s="170"/>
      <c r="HS350" s="170"/>
      <c r="HT350" s="168"/>
      <c r="HU350" s="168"/>
      <c r="HV350" s="168"/>
      <c r="HW350" s="168"/>
      <c r="HX350" s="168"/>
      <c r="HY350" s="168"/>
      <c r="HZ350" s="168"/>
      <c r="IA350" s="168"/>
      <c r="IB350" s="168"/>
      <c r="IC350" s="168"/>
      <c r="ID350" s="168"/>
      <c r="IE350" s="168"/>
      <c r="IF350" s="168"/>
      <c r="IG350" s="168"/>
      <c r="IH350" s="168"/>
      <c r="II350" s="168"/>
      <c r="IJ350" s="168"/>
      <c r="IK350" s="168"/>
      <c r="IL350" s="168"/>
      <c r="IM350" s="168"/>
      <c r="IN350" s="168"/>
      <c r="IO350" s="168"/>
      <c r="IP350" s="168"/>
      <c r="IQ350" s="168"/>
      <c r="IR350" s="168"/>
      <c r="IS350" s="168"/>
      <c r="IT350" s="168"/>
      <c r="IU350" s="168"/>
    </row>
    <row r="351" spans="1:256" s="213" customFormat="1" ht="14.25" customHeight="1">
      <c r="A351" s="167"/>
      <c r="B351" s="167"/>
      <c r="C351" s="167"/>
      <c r="D351" s="167"/>
      <c r="E351" s="167"/>
      <c r="F351" s="167"/>
      <c r="G351" s="167"/>
      <c r="H351" s="143"/>
      <c r="I351" s="143"/>
      <c r="J351" s="143"/>
      <c r="K351" s="143"/>
      <c r="L351" s="143"/>
      <c r="M351" s="168"/>
      <c r="N351" s="168"/>
      <c r="O351" s="168"/>
      <c r="P351" s="168"/>
      <c r="Q351" s="168"/>
      <c r="R351" s="168"/>
      <c r="S351" s="168"/>
      <c r="T351" s="168"/>
      <c r="U351" s="168"/>
      <c r="V351" s="168"/>
      <c r="W351" s="168"/>
      <c r="X351" s="145"/>
      <c r="Y351" s="145"/>
      <c r="Z351" s="145"/>
      <c r="AA351" s="145"/>
      <c r="AB351" s="145"/>
      <c r="AC351" s="145"/>
      <c r="AD351" s="145"/>
      <c r="AE351" s="170"/>
      <c r="AF351" s="170"/>
      <c r="AG351" s="168"/>
      <c r="AH351" s="168"/>
      <c r="AI351" s="168"/>
      <c r="AJ351" s="168"/>
      <c r="AK351" s="168"/>
      <c r="AL351" s="168"/>
      <c r="AM351" s="168"/>
      <c r="AN351" s="168"/>
      <c r="AO351" s="168"/>
      <c r="AP351" s="168"/>
      <c r="AQ351" s="168"/>
      <c r="AR351" s="168"/>
      <c r="AS351" s="168"/>
      <c r="AT351" s="168"/>
      <c r="AU351" s="168"/>
      <c r="AV351" s="168"/>
      <c r="AW351" s="168"/>
      <c r="AX351" s="168"/>
      <c r="AY351" s="168"/>
      <c r="AZ351" s="168"/>
      <c r="BA351" s="168"/>
      <c r="BB351" s="168"/>
      <c r="BC351" s="168"/>
      <c r="BD351" s="168"/>
      <c r="BE351" s="168"/>
      <c r="BF351" s="168"/>
      <c r="BG351" s="168"/>
      <c r="BH351" s="168"/>
      <c r="BR351" s="168"/>
      <c r="CD351" s="168"/>
      <c r="CE351" s="203"/>
      <c r="CF351" s="182"/>
      <c r="CG351" s="145"/>
      <c r="CH351" s="145"/>
      <c r="CI351" s="145"/>
      <c r="CJ351" s="145"/>
      <c r="CK351" s="145"/>
      <c r="CL351" s="145"/>
      <c r="CM351" s="145"/>
      <c r="CN351" s="145"/>
      <c r="CO351" s="170"/>
      <c r="CP351" s="170"/>
      <c r="CQ351" s="168"/>
      <c r="CR351" s="168"/>
      <c r="CS351" s="168"/>
      <c r="CT351" s="168"/>
      <c r="CU351" s="168"/>
      <c r="CV351" s="168"/>
      <c r="CW351" s="168"/>
      <c r="CX351" s="168"/>
      <c r="CY351" s="168"/>
      <c r="CZ351" s="168"/>
      <c r="DA351" s="168"/>
      <c r="DB351" s="168"/>
      <c r="DC351" s="168"/>
      <c r="DD351" s="168"/>
      <c r="DE351" s="168"/>
      <c r="DF351" s="168"/>
      <c r="DG351" s="168"/>
      <c r="DH351" s="168"/>
      <c r="DI351" s="168"/>
      <c r="DJ351" s="168"/>
      <c r="DK351" s="168"/>
      <c r="DL351" s="168"/>
      <c r="DM351" s="168"/>
      <c r="DN351" s="168"/>
      <c r="DO351" s="168"/>
      <c r="DP351" s="168"/>
      <c r="DQ351" s="168"/>
      <c r="DR351" s="168"/>
      <c r="EB351" s="168"/>
      <c r="EN351" s="168"/>
      <c r="EO351" s="203"/>
      <c r="EP351" s="182"/>
      <c r="EQ351" s="145"/>
      <c r="ER351" s="145"/>
      <c r="ES351" s="145"/>
      <c r="ET351" s="145"/>
      <c r="EU351" s="145"/>
      <c r="EV351" s="145"/>
      <c r="EW351" s="145"/>
      <c r="EX351" s="145"/>
      <c r="EY351" s="170"/>
      <c r="EZ351" s="170"/>
      <c r="FA351" s="168"/>
      <c r="FB351" s="168"/>
      <c r="FC351" s="168"/>
      <c r="FD351" s="168"/>
      <c r="FE351" s="168"/>
      <c r="FF351" s="168"/>
      <c r="FG351" s="168"/>
      <c r="FH351" s="168"/>
      <c r="FI351" s="168"/>
      <c r="FJ351" s="168"/>
      <c r="FK351" s="168"/>
      <c r="FL351" s="168"/>
      <c r="FM351" s="168"/>
      <c r="FN351" s="168"/>
      <c r="FO351" s="168"/>
      <c r="FP351" s="168"/>
      <c r="FQ351" s="168"/>
      <c r="FR351" s="168"/>
      <c r="FS351" s="168"/>
      <c r="FT351" s="168"/>
      <c r="FU351" s="168"/>
      <c r="FV351" s="168"/>
      <c r="FW351" s="168"/>
      <c r="FX351" s="168"/>
      <c r="FY351" s="168"/>
      <c r="FZ351" s="168"/>
      <c r="GA351" s="168"/>
      <c r="GB351" s="168"/>
      <c r="GL351" s="168"/>
      <c r="GX351" s="168"/>
      <c r="GY351" s="203"/>
      <c r="GZ351" s="182"/>
      <c r="HA351" s="145"/>
      <c r="HB351" s="145"/>
      <c r="HC351" s="145"/>
      <c r="HD351" s="145"/>
      <c r="HE351" s="145"/>
      <c r="HF351" s="145"/>
      <c r="HG351" s="145"/>
      <c r="HH351" s="145"/>
      <c r="HI351" s="170"/>
      <c r="HJ351" s="170"/>
      <c r="HK351" s="168"/>
      <c r="HL351" s="168"/>
      <c r="HM351" s="168"/>
      <c r="HN351" s="168"/>
      <c r="HO351" s="168"/>
      <c r="HP351" s="168"/>
      <c r="HQ351" s="168"/>
      <c r="HR351" s="168"/>
      <c r="HS351" s="168"/>
      <c r="HT351" s="168"/>
      <c r="HU351" s="168"/>
      <c r="HV351" s="168"/>
      <c r="HW351" s="168"/>
      <c r="HX351" s="168"/>
      <c r="HY351" s="168"/>
      <c r="HZ351" s="168"/>
      <c r="IA351" s="168"/>
      <c r="IB351" s="168"/>
      <c r="IC351" s="168"/>
      <c r="ID351" s="168"/>
      <c r="IE351" s="168"/>
      <c r="IF351" s="168"/>
      <c r="IG351" s="168"/>
      <c r="IH351" s="168"/>
      <c r="II351" s="168"/>
      <c r="IJ351" s="168"/>
      <c r="IK351" s="168"/>
      <c r="IL351" s="168"/>
      <c r="IV351" s="168"/>
    </row>
    <row r="352" spans="1:256" s="213" customFormat="1" ht="14.25" customHeight="1">
      <c r="A352" s="167"/>
      <c r="B352" s="167"/>
      <c r="C352" s="167"/>
      <c r="D352" s="167"/>
      <c r="E352" s="167"/>
      <c r="F352" s="167"/>
      <c r="G352" s="167"/>
      <c r="H352" s="167"/>
      <c r="I352" s="167"/>
      <c r="J352" s="167"/>
      <c r="K352" s="167"/>
      <c r="L352" s="167"/>
      <c r="X352" s="168"/>
      <c r="Y352" s="168"/>
      <c r="Z352" s="168"/>
      <c r="AA352" s="168"/>
      <c r="AB352" s="168"/>
      <c r="AC352" s="168"/>
      <c r="AD352" s="168"/>
      <c r="AE352" s="168"/>
      <c r="AF352" s="168"/>
      <c r="AG352" s="168"/>
      <c r="AH352" s="168"/>
      <c r="AI352" s="168"/>
      <c r="AJ352" s="168"/>
      <c r="AK352" s="168"/>
      <c r="AL352" s="168"/>
      <c r="AM352" s="168"/>
      <c r="AN352" s="168"/>
      <c r="AO352" s="168"/>
      <c r="AP352" s="168"/>
      <c r="AQ352" s="168"/>
      <c r="AR352" s="168"/>
      <c r="AS352" s="168"/>
      <c r="AT352" s="168"/>
      <c r="AU352" s="168"/>
      <c r="AV352" s="168"/>
      <c r="AW352" s="168"/>
      <c r="AX352" s="168"/>
      <c r="AY352" s="168"/>
      <c r="AZ352" s="168"/>
      <c r="BA352" s="168"/>
      <c r="BB352" s="168"/>
      <c r="BC352" s="168"/>
      <c r="BD352" s="168"/>
      <c r="BE352" s="168"/>
      <c r="BF352" s="168"/>
      <c r="BG352" s="168"/>
      <c r="BH352" s="168"/>
      <c r="BI352" s="168"/>
      <c r="BJ352" s="168"/>
      <c r="BK352" s="168"/>
      <c r="BL352" s="168"/>
      <c r="BM352" s="168"/>
      <c r="BN352" s="168"/>
      <c r="BO352" s="168"/>
      <c r="BP352" s="168"/>
      <c r="BQ352" s="168"/>
      <c r="BR352" s="168"/>
      <c r="BS352" s="168"/>
      <c r="BT352" s="168"/>
      <c r="BU352" s="168"/>
      <c r="BV352" s="168"/>
      <c r="BW352" s="168"/>
      <c r="BX352" s="168"/>
      <c r="BY352" s="168"/>
      <c r="BZ352" s="168"/>
      <c r="CA352" s="168"/>
      <c r="CB352" s="168"/>
      <c r="CC352" s="168"/>
      <c r="CD352" s="168"/>
      <c r="CE352" s="168"/>
      <c r="CF352" s="168"/>
      <c r="CG352" s="168"/>
      <c r="CH352" s="168"/>
      <c r="CI352" s="168"/>
      <c r="CJ352" s="168"/>
      <c r="CK352" s="168"/>
      <c r="CL352" s="168"/>
      <c r="CM352" s="168"/>
      <c r="CN352" s="168"/>
      <c r="CO352" s="168"/>
      <c r="CP352" s="168"/>
      <c r="CQ352" s="168"/>
      <c r="CR352" s="168"/>
      <c r="CS352" s="168"/>
      <c r="CT352" s="168"/>
      <c r="CU352" s="168"/>
      <c r="CV352" s="168"/>
      <c r="CW352" s="168"/>
      <c r="CX352" s="168"/>
      <c r="CY352" s="168"/>
      <c r="CZ352" s="168"/>
      <c r="DA352" s="168"/>
      <c r="DB352" s="168"/>
      <c r="DC352" s="168"/>
      <c r="DD352" s="168"/>
      <c r="DE352" s="168"/>
      <c r="DF352" s="168"/>
      <c r="DG352" s="168"/>
      <c r="DH352" s="168"/>
      <c r="DI352" s="168"/>
      <c r="DJ352" s="168"/>
      <c r="DK352" s="168"/>
      <c r="DL352" s="168"/>
      <c r="DM352" s="168"/>
      <c r="DN352" s="168"/>
      <c r="DO352" s="168"/>
      <c r="DP352" s="168"/>
      <c r="DQ352" s="168"/>
      <c r="DR352" s="168"/>
      <c r="DS352" s="168"/>
      <c r="DT352" s="168"/>
      <c r="DU352" s="168"/>
      <c r="DV352" s="168"/>
      <c r="DW352" s="168"/>
      <c r="DX352" s="168"/>
      <c r="DY352" s="168"/>
      <c r="DZ352" s="168"/>
      <c r="EA352" s="168"/>
      <c r="EB352" s="168"/>
      <c r="EC352" s="168"/>
      <c r="ED352" s="168"/>
      <c r="EE352" s="168"/>
      <c r="EF352" s="168"/>
      <c r="EG352" s="168"/>
      <c r="EH352" s="168"/>
      <c r="EI352" s="168"/>
      <c r="EJ352" s="168"/>
      <c r="EK352" s="168"/>
      <c r="EL352" s="168"/>
      <c r="EM352" s="168"/>
      <c r="EN352" s="168"/>
      <c r="EO352" s="168"/>
      <c r="EP352" s="168"/>
      <c r="EQ352" s="168"/>
      <c r="ER352" s="168"/>
      <c r="ES352" s="168"/>
      <c r="ET352" s="168"/>
      <c r="EU352" s="168"/>
      <c r="EV352" s="168"/>
      <c r="EW352" s="168"/>
      <c r="EX352" s="168"/>
      <c r="EY352" s="168"/>
      <c r="EZ352" s="168"/>
      <c r="FA352" s="168"/>
      <c r="FB352" s="168"/>
      <c r="FC352" s="168"/>
      <c r="FD352" s="168"/>
      <c r="FE352" s="168"/>
      <c r="FF352" s="168"/>
      <c r="FG352" s="168"/>
      <c r="FH352" s="168"/>
      <c r="FI352" s="168"/>
      <c r="FJ352" s="168"/>
      <c r="FK352" s="168"/>
      <c r="FL352" s="168"/>
      <c r="FM352" s="168"/>
      <c r="FN352" s="168"/>
      <c r="FO352" s="168"/>
      <c r="FP352" s="168"/>
      <c r="FQ352" s="168"/>
      <c r="FR352" s="168"/>
      <c r="FS352" s="168"/>
      <c r="FT352" s="168"/>
      <c r="FU352" s="168"/>
      <c r="FV352" s="168"/>
      <c r="FW352" s="168"/>
      <c r="FX352" s="168"/>
      <c r="FY352" s="168"/>
      <c r="FZ352" s="168"/>
      <c r="GA352" s="168"/>
      <c r="GB352" s="168"/>
      <c r="GC352" s="168"/>
      <c r="GD352" s="168"/>
      <c r="GE352" s="168"/>
      <c r="GF352" s="168"/>
      <c r="GG352" s="168"/>
      <c r="GH352" s="168"/>
      <c r="GI352" s="168"/>
      <c r="GJ352" s="168"/>
      <c r="GK352" s="168"/>
      <c r="GL352" s="168"/>
      <c r="GM352" s="168"/>
      <c r="GN352" s="168"/>
      <c r="GO352" s="168"/>
      <c r="GP352" s="168"/>
      <c r="GQ352" s="168"/>
      <c r="GR352" s="168"/>
      <c r="GS352" s="168"/>
      <c r="GT352" s="168"/>
      <c r="GU352" s="168"/>
      <c r="GV352" s="168"/>
      <c r="GW352" s="168"/>
      <c r="GX352" s="168"/>
      <c r="GY352" s="203"/>
      <c r="GZ352" s="182"/>
      <c r="HA352" s="145"/>
      <c r="HB352" s="145"/>
      <c r="HC352" s="145"/>
      <c r="HD352" s="145"/>
      <c r="HE352" s="145"/>
      <c r="HF352" s="145"/>
      <c r="HG352" s="145"/>
      <c r="HH352" s="145"/>
      <c r="HI352" s="170"/>
      <c r="HJ352" s="170"/>
      <c r="HK352" s="168"/>
      <c r="HL352" s="168"/>
      <c r="HM352" s="168"/>
      <c r="HN352" s="168"/>
      <c r="HO352" s="168"/>
      <c r="HP352" s="168"/>
      <c r="HQ352" s="168"/>
      <c r="HR352" s="168"/>
      <c r="HS352" s="168"/>
      <c r="HT352" s="168"/>
      <c r="HU352" s="168"/>
      <c r="HV352" s="168"/>
      <c r="HW352" s="168"/>
      <c r="HX352" s="168"/>
      <c r="HY352" s="168"/>
      <c r="HZ352" s="168"/>
      <c r="IA352" s="168"/>
      <c r="IB352" s="168"/>
      <c r="IC352" s="168"/>
      <c r="ID352" s="168"/>
      <c r="IE352" s="168"/>
      <c r="IF352" s="168"/>
      <c r="IG352" s="168"/>
      <c r="IH352" s="168"/>
      <c r="II352" s="168"/>
      <c r="IJ352" s="168"/>
      <c r="IK352" s="168"/>
      <c r="IV352" s="168"/>
    </row>
    <row r="353" spans="1:64" s="168" customFormat="1" ht="14.25" customHeight="1">
      <c r="A353" s="167"/>
      <c r="B353" s="167"/>
      <c r="C353" s="167"/>
      <c r="D353" s="167"/>
      <c r="E353" s="167"/>
      <c r="F353" s="167"/>
      <c r="G353" s="167"/>
      <c r="H353" s="167"/>
      <c r="I353" s="167"/>
      <c r="J353" s="167"/>
      <c r="K353" s="167"/>
      <c r="L353" s="167"/>
      <c r="M353" s="213"/>
      <c r="N353" s="213"/>
      <c r="O353" s="213"/>
      <c r="P353" s="213"/>
      <c r="Q353" s="213"/>
      <c r="R353" s="213"/>
      <c r="S353" s="213"/>
      <c r="T353" s="213"/>
      <c r="U353" s="213"/>
      <c r="V353" s="213"/>
      <c r="W353" s="213"/>
    </row>
    <row r="354" spans="1:64" s="168" customFormat="1" ht="14.25" customHeight="1">
      <c r="A354" s="143"/>
      <c r="B354" s="143"/>
      <c r="C354" s="143"/>
      <c r="D354" s="143"/>
      <c r="E354" s="143"/>
      <c r="F354" s="143"/>
      <c r="G354" s="143"/>
      <c r="H354" s="143"/>
      <c r="I354" s="143"/>
      <c r="J354" s="143"/>
      <c r="K354" s="143"/>
      <c r="L354" s="143"/>
    </row>
    <row r="355" spans="1:64" s="168" customFormat="1" ht="14.25" customHeight="1">
      <c r="A355" s="143"/>
      <c r="B355" s="143"/>
      <c r="C355" s="143"/>
      <c r="D355" s="143"/>
      <c r="E355" s="143"/>
      <c r="F355" s="143"/>
      <c r="G355" s="143"/>
      <c r="H355" s="143"/>
      <c r="I355" s="143"/>
      <c r="J355" s="143"/>
      <c r="K355" s="143"/>
      <c r="L355" s="143"/>
    </row>
    <row r="356" spans="1:64" s="213" customFormat="1" ht="14.25" customHeight="1">
      <c r="A356" s="143"/>
      <c r="B356" s="143"/>
      <c r="C356" s="143"/>
      <c r="D356" s="143"/>
      <c r="E356" s="143"/>
      <c r="F356" s="143"/>
      <c r="G356" s="143"/>
      <c r="H356" s="143"/>
      <c r="I356" s="143"/>
      <c r="J356" s="143"/>
      <c r="K356" s="143"/>
      <c r="L356" s="143"/>
      <c r="M356" s="168"/>
      <c r="N356" s="168"/>
      <c r="O356" s="168"/>
      <c r="P356" s="168"/>
      <c r="Q356" s="168"/>
      <c r="R356" s="168"/>
      <c r="S356" s="168"/>
      <c r="T356" s="168"/>
      <c r="U356" s="168"/>
      <c r="V356" s="168"/>
      <c r="W356" s="168"/>
      <c r="X356" s="126"/>
      <c r="Y356" s="126"/>
      <c r="Z356" s="126"/>
      <c r="AA356" s="126"/>
      <c r="AB356" s="126"/>
      <c r="AC356" s="126"/>
      <c r="AD356" s="126"/>
      <c r="AE356" s="170"/>
      <c r="AF356" s="170"/>
      <c r="AG356" s="168"/>
      <c r="AH356" s="168"/>
      <c r="AI356" s="168"/>
      <c r="AJ356" s="168"/>
      <c r="AK356" s="168"/>
      <c r="AL356" s="168"/>
      <c r="AM356" s="168"/>
      <c r="AN356" s="168"/>
      <c r="AO356" s="168"/>
      <c r="AP356" s="168"/>
      <c r="AQ356" s="168"/>
      <c r="AR356" s="168"/>
      <c r="AS356" s="168"/>
      <c r="AT356" s="168"/>
      <c r="AU356" s="168"/>
      <c r="AV356" s="168"/>
      <c r="AW356" s="168"/>
      <c r="AX356" s="168"/>
      <c r="AY356" s="168"/>
      <c r="AZ356" s="168"/>
      <c r="BA356" s="168"/>
      <c r="BB356" s="168"/>
      <c r="BC356" s="168"/>
      <c r="BD356" s="168"/>
      <c r="BE356" s="168"/>
      <c r="BF356" s="168"/>
      <c r="BG356" s="168"/>
      <c r="BH356" s="168"/>
    </row>
    <row r="357" spans="1:64" s="168" customFormat="1" ht="14.25" customHeight="1">
      <c r="A357" s="167"/>
      <c r="B357" s="167"/>
      <c r="C357" s="167"/>
      <c r="D357" s="167"/>
      <c r="E357" s="167"/>
      <c r="F357" s="167"/>
      <c r="G357" s="167"/>
      <c r="H357" s="143"/>
      <c r="I357" s="143"/>
      <c r="J357" s="143"/>
      <c r="K357" s="143"/>
      <c r="L357" s="143"/>
    </row>
    <row r="358" spans="1:64" s="168" customFormat="1" ht="14.25" customHeight="1">
      <c r="A358" s="143"/>
      <c r="B358" s="143"/>
      <c r="C358" s="143"/>
      <c r="D358" s="143"/>
      <c r="E358" s="143"/>
      <c r="F358" s="143"/>
      <c r="G358" s="143"/>
      <c r="H358" s="143"/>
      <c r="I358" s="143"/>
      <c r="J358" s="143"/>
      <c r="K358" s="143"/>
      <c r="L358" s="143"/>
    </row>
    <row r="359" spans="1:64" s="168" customFormat="1" ht="14.25" customHeight="1">
      <c r="A359" s="143">
        <f>A329+1</f>
        <v>12</v>
      </c>
      <c r="B359" s="143"/>
      <c r="C359" s="187" t="str">
        <f>IF($A$1 = 1, (IF("("&amp;C369&amp;")" ="()","","("&amp;C369&amp;")")), (IF("("&amp;C374&amp;")     ("&amp;C369&amp;")"="()     ()","","("&amp;C374&amp;")     ("&amp;C369&amp;")")))</f>
        <v>(0)     (1)</v>
      </c>
      <c r="D359" s="187" t="str">
        <f t="shared" ref="D359:E359" si="33">IF($A$1 = 1, (IF("("&amp;D369&amp;")" ="()","","("&amp;D369&amp;")")), (IF("("&amp;D374&amp;")     ("&amp;D369&amp;")"="()     ()","","("&amp;D374&amp;")     ("&amp;D369&amp;")")))</f>
        <v>(0)     (1)</v>
      </c>
      <c r="E359" s="187" t="str">
        <f t="shared" si="33"/>
        <v>(0)     (35)</v>
      </c>
      <c r="F359" s="187" t="str">
        <f t="shared" ref="F359:J359" si="34">IF($A$1 = 1, (IF("("&amp;F369&amp;")" ="()","","("&amp;F369&amp;")")), (IF("("&amp;F374&amp;")     ("&amp;F369&amp;")"="()     ()","","("&amp;F374&amp;")     ("&amp;F369&amp;")")))</f>
        <v>(0)     (17)</v>
      </c>
      <c r="G359" s="187" t="str">
        <f t="shared" si="34"/>
        <v/>
      </c>
      <c r="H359" s="187" t="str">
        <f t="shared" si="34"/>
        <v/>
      </c>
      <c r="I359" s="187" t="str">
        <f t="shared" si="34"/>
        <v/>
      </c>
      <c r="J359" s="187" t="str">
        <f t="shared" si="34"/>
        <v/>
      </c>
      <c r="K359" s="187"/>
      <c r="L359" s="187"/>
      <c r="M359" s="220"/>
      <c r="N359" s="220"/>
      <c r="O359" s="220"/>
      <c r="P359" s="220"/>
      <c r="Q359" s="220"/>
      <c r="R359" s="220"/>
      <c r="S359" s="220"/>
      <c r="T359" s="220"/>
      <c r="U359" s="220"/>
      <c r="V359" s="220"/>
      <c r="W359" s="220"/>
    </row>
    <row r="360" spans="1:64" s="168" customFormat="1" ht="59.1" customHeight="1">
      <c r="A360" s="143"/>
      <c r="B360" s="177"/>
      <c r="C360" s="178" t="s">
        <v>839</v>
      </c>
      <c r="D360" s="178" t="s">
        <v>840</v>
      </c>
      <c r="E360" s="178" t="s">
        <v>841</v>
      </c>
      <c r="F360" s="178" t="s">
        <v>842</v>
      </c>
      <c r="G360" s="178"/>
      <c r="H360" s="178"/>
      <c r="I360" s="178"/>
      <c r="J360" s="178"/>
      <c r="K360" s="178"/>
      <c r="L360" s="178"/>
      <c r="M360" s="208"/>
      <c r="N360" s="208"/>
      <c r="O360" s="208"/>
      <c r="P360" s="208"/>
      <c r="Q360" s="208"/>
      <c r="R360" s="208"/>
      <c r="S360" s="208"/>
      <c r="T360" s="208"/>
      <c r="U360" s="208"/>
      <c r="V360" s="208"/>
      <c r="W360" s="208"/>
      <c r="X360" s="210"/>
      <c r="Y360" s="210"/>
      <c r="Z360" s="210"/>
      <c r="AA360" s="210"/>
      <c r="AB360" s="210"/>
      <c r="AC360" s="210"/>
      <c r="AD360" s="210"/>
      <c r="AE360" s="210"/>
      <c r="AF360" s="210"/>
      <c r="AG360" s="210"/>
      <c r="AH360" s="210"/>
      <c r="AI360" s="210"/>
      <c r="AJ360" s="210"/>
      <c r="AK360" s="210"/>
      <c r="AL360" s="210"/>
      <c r="AM360" s="210"/>
      <c r="AN360" s="210"/>
      <c r="AO360" s="216"/>
      <c r="AP360" s="216"/>
      <c r="AQ360" s="216"/>
      <c r="AR360" s="216"/>
      <c r="AS360" s="216"/>
      <c r="AT360" s="216"/>
      <c r="AU360" s="216"/>
      <c r="AV360" s="216"/>
      <c r="AW360" s="216"/>
      <c r="AX360" s="210"/>
      <c r="AY360" s="216"/>
      <c r="AZ360" s="216"/>
      <c r="BA360" s="216"/>
      <c r="BB360" s="216"/>
      <c r="BC360" s="216"/>
      <c r="BD360" s="216"/>
      <c r="BE360" s="216"/>
      <c r="BF360" s="216"/>
      <c r="BG360" s="216"/>
      <c r="BH360" s="216"/>
      <c r="BI360" s="216"/>
      <c r="BJ360" s="210"/>
      <c r="BK360" s="210"/>
      <c r="BL360" s="210"/>
    </row>
    <row r="361" spans="1:64" s="168" customFormat="1" ht="18" customHeight="1" thickBot="1">
      <c r="A361" s="143"/>
      <c r="B361" s="181" t="s">
        <v>3</v>
      </c>
      <c r="C361" s="148" t="s">
        <v>443</v>
      </c>
      <c r="D361" s="148" t="s">
        <v>443</v>
      </c>
      <c r="E361" s="148">
        <v>50</v>
      </c>
      <c r="F361" s="148">
        <v>44</v>
      </c>
      <c r="G361" s="148"/>
      <c r="H361" s="148"/>
      <c r="I361" s="148"/>
      <c r="J361" s="148"/>
      <c r="K361" s="148"/>
      <c r="L361" s="148"/>
      <c r="M361" s="211"/>
      <c r="N361" s="211"/>
      <c r="O361" s="211"/>
      <c r="P361" s="211"/>
      <c r="Q361" s="211"/>
      <c r="R361" s="211"/>
      <c r="S361" s="211"/>
      <c r="T361" s="211"/>
      <c r="U361" s="211"/>
      <c r="V361" s="211"/>
      <c r="W361" s="211"/>
      <c r="AO361" s="213"/>
      <c r="AP361" s="213"/>
      <c r="AQ361" s="213"/>
      <c r="AR361" s="213"/>
      <c r="AS361" s="213"/>
      <c r="AT361" s="213"/>
      <c r="AU361" s="213"/>
      <c r="AV361" s="213"/>
      <c r="AW361" s="213"/>
      <c r="AY361" s="213"/>
      <c r="AZ361" s="213"/>
      <c r="BA361" s="213"/>
      <c r="BB361" s="213"/>
      <c r="BC361" s="213"/>
      <c r="BD361" s="213"/>
      <c r="BE361" s="213"/>
      <c r="BF361" s="213"/>
      <c r="BG361" s="213"/>
      <c r="BH361" s="213"/>
      <c r="BI361" s="213"/>
    </row>
    <row r="362" spans="1:64" s="168" customFormat="1" ht="18" customHeight="1" thickBot="1">
      <c r="A362" s="143"/>
      <c r="B362" s="182" t="s">
        <v>18</v>
      </c>
      <c r="C362" s="148" t="s">
        <v>443</v>
      </c>
      <c r="D362" s="148" t="s">
        <v>443</v>
      </c>
      <c r="E362" s="148">
        <v>63</v>
      </c>
      <c r="F362" s="148">
        <v>48</v>
      </c>
      <c r="G362" s="148"/>
      <c r="H362" s="148"/>
      <c r="I362" s="148"/>
      <c r="J362" s="148"/>
      <c r="K362" s="148"/>
      <c r="L362" s="148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AO362" s="213"/>
      <c r="AP362" s="213"/>
      <c r="AQ362" s="213"/>
      <c r="AR362" s="213"/>
      <c r="AS362" s="213"/>
      <c r="AT362" s="213"/>
      <c r="AU362" s="213"/>
      <c r="AV362" s="213"/>
      <c r="AW362" s="213"/>
      <c r="AY362" s="213"/>
      <c r="AZ362" s="213"/>
      <c r="BA362" s="213"/>
      <c r="BB362" s="213"/>
      <c r="BC362" s="213"/>
      <c r="BD362" s="213"/>
      <c r="BE362" s="213"/>
      <c r="BF362" s="213"/>
      <c r="BG362" s="213"/>
      <c r="BH362" s="213"/>
      <c r="BI362" s="213"/>
    </row>
    <row r="363" spans="1:64" s="168" customFormat="1" ht="18" customHeight="1" thickBot="1">
      <c r="A363" s="143"/>
      <c r="B363" s="183" t="s">
        <v>32</v>
      </c>
      <c r="C363" s="147" t="s">
        <v>443</v>
      </c>
      <c r="D363" s="147" t="s">
        <v>443</v>
      </c>
      <c r="E363" s="147">
        <v>47</v>
      </c>
      <c r="F363" s="147">
        <v>48</v>
      </c>
      <c r="G363" s="147"/>
      <c r="H363" s="147"/>
      <c r="I363" s="147"/>
      <c r="J363" s="147"/>
      <c r="K363" s="147"/>
      <c r="L363" s="147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AO363" s="213"/>
      <c r="AP363" s="213"/>
      <c r="AQ363" s="213"/>
      <c r="AR363" s="213"/>
      <c r="AS363" s="213"/>
      <c r="AT363" s="213"/>
      <c r="AU363" s="213"/>
      <c r="AV363" s="213"/>
      <c r="AW363" s="213"/>
      <c r="AY363" s="213"/>
      <c r="AZ363" s="213"/>
      <c r="BA363" s="213"/>
      <c r="BB363" s="213"/>
      <c r="BC363" s="213"/>
      <c r="BD363" s="213"/>
      <c r="BE363" s="213"/>
      <c r="BF363" s="213"/>
      <c r="BG363" s="213"/>
      <c r="BH363" s="213"/>
    </row>
    <row r="364" spans="1:64" s="168" customFormat="1" ht="18" customHeight="1" thickBot="1">
      <c r="A364" s="143"/>
      <c r="B364" s="182" t="s">
        <v>45</v>
      </c>
      <c r="C364" s="145" t="s">
        <v>443</v>
      </c>
      <c r="D364" s="145" t="s">
        <v>443</v>
      </c>
      <c r="E364" s="145">
        <v>53</v>
      </c>
      <c r="F364" s="145">
        <v>40</v>
      </c>
      <c r="G364" s="145"/>
      <c r="H364" s="145"/>
      <c r="I364" s="145"/>
      <c r="J364" s="145"/>
      <c r="K364" s="145"/>
      <c r="L364" s="145"/>
      <c r="M364" s="145"/>
      <c r="N364" s="145"/>
      <c r="O364" s="145"/>
      <c r="P364" s="145"/>
      <c r="Q364" s="145"/>
      <c r="R364" s="145"/>
      <c r="S364" s="145"/>
      <c r="T364" s="145"/>
      <c r="U364" s="145"/>
      <c r="V364" s="145"/>
      <c r="W364" s="145"/>
      <c r="AO364" s="213"/>
      <c r="AP364" s="213"/>
      <c r="AQ364" s="213"/>
      <c r="AR364" s="213"/>
      <c r="AS364" s="213"/>
      <c r="AT364" s="213"/>
      <c r="AU364" s="213"/>
      <c r="AV364" s="213"/>
      <c r="AW364" s="213"/>
      <c r="AY364" s="213"/>
      <c r="AZ364" s="213"/>
      <c r="BA364" s="213"/>
      <c r="BB364" s="213"/>
      <c r="BC364" s="213"/>
      <c r="BD364" s="213"/>
      <c r="BE364" s="213"/>
      <c r="BF364" s="213"/>
      <c r="BG364" s="213"/>
      <c r="BH364" s="213"/>
    </row>
    <row r="365" spans="1:64" s="168" customFormat="1" ht="18" customHeight="1" thickBot="1">
      <c r="A365" s="143"/>
      <c r="B365" s="184" t="s">
        <v>54</v>
      </c>
      <c r="C365" s="146" t="s">
        <v>443</v>
      </c>
      <c r="D365" s="146" t="s">
        <v>443</v>
      </c>
      <c r="E365" s="146">
        <v>56</v>
      </c>
      <c r="F365" s="146">
        <v>37</v>
      </c>
      <c r="G365" s="146"/>
      <c r="H365" s="146"/>
      <c r="I365" s="146"/>
      <c r="J365" s="146"/>
      <c r="K365" s="146"/>
      <c r="L365" s="146"/>
      <c r="M365" s="145"/>
      <c r="N365" s="145"/>
      <c r="O365" s="145"/>
      <c r="P365" s="145"/>
      <c r="Q365" s="145"/>
      <c r="R365" s="145"/>
      <c r="S365" s="145"/>
      <c r="T365" s="145"/>
      <c r="U365" s="145"/>
      <c r="V365" s="145"/>
      <c r="W365" s="145"/>
      <c r="AO365" s="213"/>
      <c r="AP365" s="213"/>
      <c r="AQ365" s="213"/>
      <c r="AR365" s="213"/>
      <c r="AS365" s="213"/>
      <c r="AT365" s="213"/>
      <c r="AU365" s="213"/>
      <c r="AV365" s="213"/>
      <c r="AW365" s="213"/>
      <c r="AY365" s="213"/>
      <c r="AZ365" s="213"/>
      <c r="BA365" s="213"/>
      <c r="BB365" s="213"/>
      <c r="BC365" s="213"/>
      <c r="BD365" s="213"/>
      <c r="BE365" s="213"/>
      <c r="BF365" s="213"/>
      <c r="BG365" s="213"/>
      <c r="BH365" s="213"/>
    </row>
    <row r="366" spans="1:64" s="168" customFormat="1">
      <c r="A366" s="143"/>
      <c r="B366" s="182" t="s">
        <v>66</v>
      </c>
      <c r="C366" s="145"/>
      <c r="D366" s="145"/>
      <c r="E366" s="145">
        <v>63</v>
      </c>
      <c r="F366" s="145">
        <v>35</v>
      </c>
      <c r="G366" s="145"/>
      <c r="H366" s="125"/>
      <c r="I366" s="125"/>
      <c r="J366" s="125"/>
      <c r="K366" s="125"/>
      <c r="L366" s="125"/>
      <c r="M366" s="145"/>
      <c r="N366" s="145"/>
      <c r="O366" s="145"/>
      <c r="P366" s="145"/>
      <c r="Q366" s="145"/>
      <c r="R366" s="145"/>
      <c r="S366" s="145"/>
      <c r="T366" s="145"/>
      <c r="U366" s="145"/>
      <c r="V366" s="145"/>
      <c r="W366" s="145"/>
      <c r="AO366" s="213"/>
      <c r="AP366" s="213"/>
      <c r="AQ366" s="213"/>
      <c r="AR366" s="213"/>
      <c r="AS366" s="213"/>
      <c r="AT366" s="213"/>
      <c r="AU366" s="213"/>
      <c r="AV366" s="213"/>
      <c r="AW366" s="213"/>
      <c r="AY366" s="213"/>
      <c r="AZ366" s="213"/>
      <c r="BA366" s="213"/>
      <c r="BB366" s="213"/>
      <c r="BC366" s="213"/>
      <c r="BD366" s="213"/>
      <c r="BE366" s="213"/>
      <c r="BF366" s="213"/>
      <c r="BG366" s="213"/>
      <c r="BH366" s="213"/>
    </row>
    <row r="367" spans="1:64" s="168" customFormat="1">
      <c r="A367" s="143"/>
      <c r="B367" s="182" t="s">
        <v>158</v>
      </c>
      <c r="C367" s="126" t="s">
        <v>443</v>
      </c>
      <c r="D367" s="126" t="s">
        <v>443</v>
      </c>
      <c r="E367" s="126">
        <v>54</v>
      </c>
      <c r="F367" s="126">
        <v>44</v>
      </c>
      <c r="G367" s="126"/>
      <c r="H367" s="126"/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  <c r="T367" s="126"/>
      <c r="U367" s="126"/>
      <c r="V367" s="126"/>
      <c r="W367" s="126"/>
      <c r="AO367" s="213"/>
      <c r="AP367" s="213"/>
      <c r="AQ367" s="213"/>
      <c r="AR367" s="213"/>
      <c r="AS367" s="213"/>
      <c r="AT367" s="213"/>
      <c r="AU367" s="213"/>
      <c r="AV367" s="213"/>
      <c r="AW367" s="213"/>
      <c r="AY367" s="213"/>
      <c r="AZ367" s="213"/>
      <c r="BA367" s="213"/>
      <c r="BB367" s="213"/>
      <c r="BC367" s="213"/>
      <c r="BD367" s="213"/>
      <c r="BE367" s="213"/>
      <c r="BF367" s="213"/>
      <c r="BG367" s="213"/>
      <c r="BH367" s="213"/>
    </row>
    <row r="368" spans="1:64" s="168" customFormat="1">
      <c r="A368" s="143"/>
      <c r="B368" s="182" t="s">
        <v>191</v>
      </c>
      <c r="C368" s="127">
        <v>69</v>
      </c>
      <c r="D368" s="127">
        <v>69</v>
      </c>
      <c r="E368" s="127">
        <v>69</v>
      </c>
      <c r="F368" s="127">
        <v>69</v>
      </c>
      <c r="G368" s="127"/>
      <c r="H368" s="126"/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  <c r="S368" s="126"/>
      <c r="T368" s="126"/>
      <c r="U368" s="126"/>
      <c r="V368" s="126"/>
      <c r="W368" s="126"/>
      <c r="AO368" s="214"/>
      <c r="AP368" s="214"/>
      <c r="AQ368" s="214"/>
      <c r="AR368" s="214"/>
      <c r="AS368" s="214"/>
      <c r="AT368" s="213"/>
      <c r="AU368" s="213"/>
      <c r="AV368" s="213"/>
      <c r="AW368" s="213"/>
      <c r="AY368" s="213"/>
      <c r="AZ368" s="213"/>
      <c r="BA368" s="213"/>
      <c r="BB368" s="213"/>
      <c r="BC368" s="213"/>
      <c r="BD368" s="213"/>
      <c r="BE368" s="213"/>
      <c r="BF368" s="213"/>
      <c r="BG368" s="213"/>
      <c r="BH368" s="213"/>
    </row>
    <row r="369" spans="1:256" s="168" customFormat="1" ht="15" thickBot="1">
      <c r="A369" s="143"/>
      <c r="B369" s="182" t="s">
        <v>442</v>
      </c>
      <c r="C369" s="126">
        <v>1</v>
      </c>
      <c r="D369" s="315">
        <v>1</v>
      </c>
      <c r="E369" s="315">
        <v>35</v>
      </c>
      <c r="F369" s="315">
        <v>17</v>
      </c>
      <c r="G369" s="315"/>
      <c r="H369" s="315"/>
      <c r="I369" s="315"/>
      <c r="J369" s="315"/>
      <c r="K369" s="315"/>
      <c r="L369" s="315"/>
      <c r="M369" s="126"/>
      <c r="N369" s="126"/>
      <c r="O369" s="126"/>
      <c r="P369" s="126"/>
      <c r="Q369" s="126"/>
      <c r="R369" s="126"/>
      <c r="S369" s="126"/>
      <c r="T369" s="126"/>
      <c r="U369" s="126"/>
      <c r="V369" s="126"/>
      <c r="W369" s="126"/>
      <c r="AO369" s="213"/>
      <c r="AP369" s="213"/>
      <c r="AQ369" s="213"/>
      <c r="AR369" s="213"/>
      <c r="AS369" s="213"/>
      <c r="AT369" s="213"/>
      <c r="AU369" s="213"/>
      <c r="AV369" s="213"/>
      <c r="AW369" s="213"/>
      <c r="AY369" s="213"/>
      <c r="AZ369" s="213"/>
      <c r="BA369" s="213"/>
      <c r="BB369" s="213"/>
      <c r="BC369" s="213"/>
      <c r="BD369" s="213"/>
      <c r="BE369" s="213"/>
      <c r="BF369" s="213"/>
      <c r="BG369" s="213"/>
      <c r="BH369" s="213"/>
      <c r="II369" s="203"/>
      <c r="IJ369" s="217"/>
      <c r="IK369" s="169"/>
      <c r="IL369" s="169"/>
      <c r="IM369" s="169"/>
      <c r="IN369" s="169"/>
      <c r="IO369" s="169"/>
      <c r="IP369" s="169"/>
      <c r="IQ369" s="169"/>
      <c r="IR369" s="169"/>
      <c r="IS369" s="170"/>
      <c r="IT369" s="170"/>
    </row>
    <row r="370" spans="1:256" s="168" customFormat="1">
      <c r="A370" s="143"/>
      <c r="B370" s="338" t="s">
        <v>166</v>
      </c>
      <c r="C370" s="316" t="str">
        <f>IF(OR(C373="**",C373=""),"",VALUE(C373))</f>
        <v/>
      </c>
      <c r="D370" s="316" t="str">
        <f t="shared" ref="D370:J370" si="35">IF(OR(D373="**",D373=""),"",VALUE(D373))</f>
        <v/>
      </c>
      <c r="E370" s="316" t="str">
        <f t="shared" si="35"/>
        <v/>
      </c>
      <c r="F370" s="316" t="str">
        <f t="shared" si="35"/>
        <v/>
      </c>
      <c r="G370" s="316" t="str">
        <f t="shared" si="35"/>
        <v/>
      </c>
      <c r="H370" s="316" t="str">
        <f t="shared" si="35"/>
        <v/>
      </c>
      <c r="I370" s="316" t="str">
        <f t="shared" si="35"/>
        <v/>
      </c>
      <c r="J370" s="316" t="str">
        <f t="shared" si="35"/>
        <v/>
      </c>
      <c r="K370" s="316"/>
      <c r="L370" s="316"/>
      <c r="M370" s="126"/>
      <c r="N370" s="126"/>
      <c r="O370" s="126"/>
      <c r="P370" s="126"/>
      <c r="Q370" s="126"/>
      <c r="R370" s="126"/>
      <c r="S370" s="126"/>
      <c r="T370" s="126"/>
      <c r="U370" s="126"/>
      <c r="V370" s="126"/>
      <c r="W370" s="126"/>
      <c r="AO370" s="213"/>
      <c r="AP370" s="213"/>
      <c r="AQ370" s="213"/>
      <c r="AR370" s="213"/>
      <c r="AS370" s="213"/>
      <c r="AT370" s="213"/>
      <c r="AU370" s="213"/>
      <c r="AV370" s="213"/>
      <c r="AW370" s="213"/>
      <c r="AY370" s="213"/>
      <c r="AZ370" s="213"/>
      <c r="BA370" s="213"/>
      <c r="BB370" s="213"/>
      <c r="BC370" s="213"/>
      <c r="BD370" s="213"/>
      <c r="BE370" s="213"/>
      <c r="BF370" s="213"/>
      <c r="BG370" s="213"/>
      <c r="BH370" s="213"/>
      <c r="HZ370" s="169"/>
      <c r="IA370" s="169"/>
      <c r="IB370" s="169"/>
      <c r="IC370" s="169"/>
      <c r="ID370" s="169"/>
      <c r="IE370" s="169"/>
      <c r="IF370" s="169"/>
      <c r="IG370" s="169"/>
      <c r="II370" s="203"/>
      <c r="IJ370" s="204"/>
      <c r="IK370" s="213"/>
      <c r="IL370" s="213"/>
      <c r="IM370" s="213"/>
      <c r="IN370" s="213"/>
      <c r="IO370" s="213"/>
      <c r="IP370" s="170"/>
      <c r="IQ370" s="170"/>
      <c r="IR370" s="170"/>
      <c r="IS370" s="170"/>
      <c r="IT370" s="170"/>
    </row>
    <row r="371" spans="1:256" s="168" customFormat="1" ht="15" thickBot="1">
      <c r="A371" s="143"/>
      <c r="B371" s="339" t="s">
        <v>165</v>
      </c>
      <c r="C371" s="317" t="str">
        <f t="shared" ref="C371:J371" si="36">IF(OR(C367="**",C367=""),"",VALUE(C367))</f>
        <v/>
      </c>
      <c r="D371" s="317" t="str">
        <f t="shared" si="36"/>
        <v/>
      </c>
      <c r="E371" s="317">
        <f t="shared" si="36"/>
        <v>54</v>
      </c>
      <c r="F371" s="317">
        <f t="shared" si="36"/>
        <v>44</v>
      </c>
      <c r="G371" s="317" t="str">
        <f t="shared" si="36"/>
        <v/>
      </c>
      <c r="H371" s="317" t="str">
        <f t="shared" si="36"/>
        <v/>
      </c>
      <c r="I371" s="317" t="str">
        <f t="shared" si="36"/>
        <v/>
      </c>
      <c r="J371" s="317" t="str">
        <f t="shared" si="36"/>
        <v/>
      </c>
      <c r="K371" s="317"/>
      <c r="L371" s="317"/>
      <c r="M371" s="169"/>
      <c r="N371" s="169"/>
      <c r="O371" s="169"/>
      <c r="P371" s="169"/>
      <c r="Q371" s="169"/>
      <c r="R371" s="169"/>
      <c r="S371" s="169"/>
      <c r="T371" s="169"/>
      <c r="U371" s="169"/>
      <c r="V371" s="169"/>
      <c r="W371" s="169"/>
      <c r="AO371" s="169"/>
      <c r="AP371" s="169"/>
      <c r="AQ371" s="169"/>
      <c r="AR371" s="169"/>
      <c r="AS371" s="169"/>
      <c r="AT371" s="169"/>
      <c r="AU371" s="169"/>
      <c r="AV371" s="169"/>
      <c r="AW371" s="213"/>
      <c r="AX371" s="213"/>
      <c r="AY371" s="213"/>
      <c r="AZ371" s="213"/>
      <c r="BA371" s="213"/>
      <c r="BB371" s="213"/>
      <c r="BC371" s="213"/>
      <c r="BD371" s="213"/>
      <c r="BE371" s="213"/>
      <c r="BF371" s="213"/>
      <c r="BG371" s="213"/>
      <c r="BH371" s="213"/>
      <c r="II371" s="203"/>
      <c r="IJ371" s="204"/>
      <c r="IK371" s="169"/>
      <c r="IL371" s="169"/>
      <c r="IM371" s="169"/>
      <c r="IN371" s="169"/>
      <c r="IO371" s="169"/>
      <c r="IP371" s="170"/>
      <c r="IQ371" s="170"/>
      <c r="IR371" s="170"/>
      <c r="IS371" s="170"/>
      <c r="IT371" s="170"/>
    </row>
    <row r="372" spans="1:256" s="168" customFormat="1">
      <c r="A372" s="143"/>
      <c r="B372" s="340" t="s">
        <v>483</v>
      </c>
      <c r="C372" s="167" t="s">
        <v>839</v>
      </c>
      <c r="D372" s="167" t="s">
        <v>840</v>
      </c>
      <c r="E372" s="167" t="s">
        <v>841</v>
      </c>
      <c r="F372" s="167" t="s">
        <v>842</v>
      </c>
      <c r="G372" s="167"/>
      <c r="H372" s="166"/>
      <c r="I372" s="166"/>
      <c r="J372" s="166"/>
      <c r="K372" s="166"/>
      <c r="L372" s="166"/>
      <c r="Z372" s="213"/>
      <c r="AA372" s="213"/>
      <c r="AB372" s="213"/>
      <c r="AC372" s="213"/>
      <c r="AD372" s="213"/>
      <c r="AE372" s="213"/>
      <c r="AF372" s="213"/>
      <c r="AG372" s="213"/>
      <c r="AH372" s="213"/>
      <c r="AI372" s="213"/>
      <c r="AJ372" s="213"/>
      <c r="AK372" s="213"/>
      <c r="AL372" s="213"/>
      <c r="AM372" s="213"/>
      <c r="AN372" s="213"/>
      <c r="AO372" s="213"/>
      <c r="AP372" s="213"/>
      <c r="AQ372" s="213"/>
      <c r="AR372" s="213"/>
      <c r="AS372" s="213"/>
      <c r="AT372" s="213"/>
      <c r="II372" s="203"/>
      <c r="IJ372" s="204"/>
      <c r="IK372" s="169"/>
      <c r="IL372" s="169"/>
      <c r="IM372" s="169"/>
      <c r="IN372" s="169"/>
      <c r="IO372" s="169"/>
      <c r="IP372" s="170"/>
      <c r="IQ372" s="170"/>
      <c r="IR372" s="170"/>
      <c r="IS372" s="170"/>
      <c r="IT372" s="170"/>
    </row>
    <row r="373" spans="1:256" s="168" customFormat="1">
      <c r="A373" s="143"/>
      <c r="B373" s="182" t="s">
        <v>158</v>
      </c>
      <c r="C373" s="165" t="s">
        <v>443</v>
      </c>
      <c r="D373" s="165" t="s">
        <v>443</v>
      </c>
      <c r="E373" s="165" t="s">
        <v>443</v>
      </c>
      <c r="F373" s="165" t="s">
        <v>443</v>
      </c>
      <c r="G373" s="165"/>
      <c r="H373" s="166"/>
      <c r="I373" s="166"/>
      <c r="J373" s="166"/>
      <c r="K373" s="166"/>
      <c r="L373" s="166"/>
      <c r="Z373" s="213"/>
      <c r="AA373" s="213"/>
      <c r="AB373" s="213"/>
      <c r="AC373" s="213"/>
      <c r="AD373" s="213"/>
      <c r="AE373" s="213"/>
      <c r="AF373" s="213"/>
      <c r="AG373" s="213"/>
      <c r="AH373" s="213"/>
      <c r="AI373" s="213"/>
      <c r="AJ373" s="213"/>
      <c r="AK373" s="213"/>
      <c r="AL373" s="213"/>
      <c r="AM373" s="213"/>
      <c r="AN373" s="213"/>
      <c r="AO373" s="213"/>
      <c r="AP373" s="213"/>
      <c r="AQ373" s="213"/>
      <c r="AR373" s="213"/>
      <c r="AS373" s="213"/>
      <c r="AT373" s="213"/>
      <c r="II373" s="203"/>
      <c r="IJ373" s="204"/>
      <c r="IK373" s="169"/>
      <c r="IL373" s="169"/>
      <c r="IM373" s="169"/>
      <c r="IN373" s="169"/>
      <c r="IO373" s="169"/>
      <c r="IP373" s="170"/>
      <c r="IQ373" s="170"/>
      <c r="IR373" s="170"/>
      <c r="IS373" s="170"/>
      <c r="IT373" s="170"/>
    </row>
    <row r="374" spans="1:256" s="168" customFormat="1">
      <c r="A374" s="143"/>
      <c r="B374" s="340" t="s">
        <v>442</v>
      </c>
      <c r="C374" s="165">
        <v>0</v>
      </c>
      <c r="D374" s="165">
        <v>0</v>
      </c>
      <c r="E374" s="165">
        <v>0</v>
      </c>
      <c r="F374" s="165">
        <v>0</v>
      </c>
      <c r="G374" s="165"/>
      <c r="H374" s="165"/>
      <c r="I374" s="165"/>
      <c r="J374" s="165"/>
      <c r="K374" s="165"/>
      <c r="L374" s="165"/>
      <c r="Z374" s="213"/>
      <c r="AA374" s="213"/>
      <c r="AB374" s="213"/>
      <c r="AC374" s="213"/>
      <c r="AD374" s="213"/>
      <c r="AE374" s="213"/>
      <c r="AF374" s="213"/>
      <c r="AG374" s="213"/>
      <c r="AH374" s="213"/>
      <c r="AI374" s="213"/>
      <c r="AJ374" s="213"/>
      <c r="AK374" s="213"/>
      <c r="AL374" s="213"/>
      <c r="AM374" s="213"/>
      <c r="AN374" s="213"/>
      <c r="AO374" s="213"/>
      <c r="AP374" s="213"/>
      <c r="AQ374" s="213"/>
      <c r="AR374" s="213"/>
      <c r="AS374" s="213"/>
      <c r="AT374" s="213"/>
      <c r="II374" s="203"/>
      <c r="IJ374" s="204"/>
      <c r="IK374" s="169"/>
      <c r="IL374" s="169"/>
      <c r="IM374" s="169"/>
      <c r="IN374" s="169"/>
      <c r="IO374" s="169"/>
      <c r="IP374" s="170"/>
      <c r="IQ374" s="170"/>
      <c r="IR374" s="170"/>
      <c r="IS374" s="170"/>
      <c r="IT374" s="170"/>
    </row>
    <row r="375" spans="1:256" s="168" customFormat="1">
      <c r="A375" s="143"/>
      <c r="B375" s="143"/>
      <c r="C375" s="143"/>
      <c r="D375" s="143"/>
      <c r="E375" s="143"/>
      <c r="F375" s="143"/>
      <c r="G375" s="143"/>
      <c r="H375" s="143"/>
      <c r="I375" s="143"/>
      <c r="J375" s="143"/>
      <c r="K375" s="143"/>
      <c r="L375" s="143"/>
      <c r="Z375" s="213"/>
      <c r="AA375" s="213"/>
      <c r="AB375" s="213"/>
      <c r="AC375" s="213"/>
      <c r="AD375" s="213"/>
      <c r="AE375" s="213"/>
      <c r="AF375" s="213"/>
      <c r="AG375" s="213"/>
      <c r="AH375" s="213"/>
      <c r="AI375" s="213"/>
      <c r="AJ375" s="213"/>
      <c r="AK375" s="213"/>
      <c r="AL375" s="213"/>
      <c r="AM375" s="213"/>
      <c r="AN375" s="213"/>
      <c r="AO375" s="213"/>
      <c r="AP375" s="213"/>
      <c r="AQ375" s="213"/>
      <c r="AR375" s="213"/>
      <c r="AS375" s="213"/>
      <c r="AT375" s="213"/>
      <c r="II375" s="203"/>
      <c r="IJ375" s="204"/>
      <c r="IK375" s="169"/>
      <c r="IL375" s="169"/>
      <c r="IM375" s="169"/>
      <c r="IN375" s="169"/>
      <c r="IO375" s="169"/>
      <c r="IP375" s="170"/>
      <c r="IQ375" s="170"/>
      <c r="IR375" s="170"/>
      <c r="IS375" s="170"/>
      <c r="IT375" s="170"/>
    </row>
    <row r="376" spans="1:256" s="168" customFormat="1">
      <c r="A376" s="143"/>
      <c r="B376" s="143"/>
      <c r="C376" s="143"/>
      <c r="D376" s="143"/>
      <c r="E376" s="143"/>
      <c r="F376" s="143"/>
      <c r="G376" s="143"/>
      <c r="H376" s="143"/>
      <c r="I376" s="143"/>
      <c r="J376" s="143"/>
      <c r="K376" s="143"/>
      <c r="L376" s="143"/>
      <c r="Z376" s="213"/>
      <c r="AA376" s="213"/>
      <c r="AB376" s="213"/>
      <c r="AC376" s="213"/>
      <c r="AD376" s="213"/>
      <c r="AE376" s="213"/>
      <c r="AF376" s="213"/>
      <c r="AG376" s="213"/>
      <c r="AH376" s="213"/>
      <c r="AI376" s="213"/>
      <c r="AJ376" s="213"/>
      <c r="AK376" s="213"/>
      <c r="AL376" s="213"/>
      <c r="AM376" s="213"/>
      <c r="AN376" s="213"/>
      <c r="AO376" s="213"/>
      <c r="AP376" s="213"/>
      <c r="AQ376" s="213"/>
      <c r="AR376" s="213"/>
      <c r="AS376" s="213"/>
      <c r="AT376" s="213"/>
      <c r="II376" s="203"/>
      <c r="IJ376" s="204"/>
      <c r="IK376" s="169"/>
      <c r="IL376" s="169"/>
      <c r="IM376" s="169"/>
      <c r="IN376" s="169"/>
      <c r="IO376" s="169"/>
      <c r="IP376" s="170"/>
      <c r="IQ376" s="170"/>
      <c r="IR376" s="170"/>
      <c r="IS376" s="170"/>
      <c r="IT376" s="170"/>
    </row>
    <row r="377" spans="1:256" s="168" customFormat="1">
      <c r="A377" s="143"/>
      <c r="B377" s="143"/>
      <c r="C377" s="143"/>
      <c r="D377" s="143"/>
      <c r="E377" s="143"/>
      <c r="F377" s="143"/>
      <c r="G377" s="143"/>
      <c r="H377" s="143"/>
      <c r="I377" s="143"/>
      <c r="J377" s="143"/>
      <c r="K377" s="143"/>
      <c r="L377" s="143"/>
      <c r="Z377" s="213"/>
      <c r="AA377" s="213"/>
      <c r="AB377" s="213"/>
      <c r="AC377" s="213"/>
      <c r="AD377" s="213"/>
      <c r="AE377" s="213"/>
      <c r="AF377" s="213"/>
      <c r="AG377" s="213"/>
      <c r="AH377" s="213"/>
      <c r="AI377" s="213"/>
      <c r="AJ377" s="213"/>
      <c r="AK377" s="213"/>
      <c r="AL377" s="213"/>
      <c r="AM377" s="213"/>
      <c r="AN377" s="213"/>
      <c r="AO377" s="213"/>
      <c r="AP377" s="213"/>
      <c r="AQ377" s="213"/>
      <c r="AR377" s="213"/>
      <c r="AS377" s="213"/>
      <c r="AT377" s="213"/>
      <c r="II377" s="203"/>
      <c r="IJ377" s="204"/>
      <c r="IK377" s="169"/>
      <c r="IL377" s="169"/>
      <c r="IM377" s="169"/>
      <c r="IN377" s="169"/>
      <c r="IO377" s="169"/>
      <c r="IP377" s="170"/>
      <c r="IQ377" s="170"/>
      <c r="IR377" s="170"/>
      <c r="IS377" s="170"/>
      <c r="IT377" s="170"/>
    </row>
    <row r="378" spans="1:256" s="168" customFormat="1" ht="14.25" customHeight="1">
      <c r="A378" s="143"/>
      <c r="B378" s="143"/>
      <c r="C378" s="143"/>
      <c r="D378" s="143"/>
      <c r="E378" s="143"/>
      <c r="F378" s="143"/>
      <c r="G378" s="143"/>
      <c r="H378" s="143"/>
      <c r="I378" s="143"/>
      <c r="J378" s="143"/>
      <c r="K378" s="143"/>
      <c r="L378" s="143"/>
      <c r="Z378" s="213"/>
      <c r="AA378" s="213"/>
      <c r="AB378" s="213"/>
      <c r="AC378" s="213"/>
      <c r="AD378" s="213"/>
      <c r="AE378" s="213"/>
      <c r="AF378" s="213"/>
      <c r="AG378" s="213"/>
      <c r="AH378" s="213"/>
      <c r="AI378" s="213"/>
      <c r="AJ378" s="213"/>
      <c r="AK378" s="213"/>
      <c r="AL378" s="213"/>
      <c r="AM378" s="213"/>
      <c r="AN378" s="213"/>
      <c r="AO378" s="213"/>
      <c r="AP378" s="213"/>
      <c r="AQ378" s="213"/>
      <c r="AR378" s="213"/>
      <c r="AS378" s="213"/>
      <c r="AT378" s="213"/>
      <c r="II378" s="203"/>
      <c r="IJ378" s="204"/>
      <c r="IK378" s="169"/>
      <c r="IL378" s="169"/>
      <c r="IM378" s="169"/>
      <c r="IN378" s="169"/>
      <c r="IO378" s="169"/>
      <c r="IP378" s="170"/>
      <c r="IQ378" s="170"/>
      <c r="IR378" s="170"/>
      <c r="IS378" s="170"/>
      <c r="IT378" s="170"/>
    </row>
    <row r="379" spans="1:256" s="168" customFormat="1" ht="14.25" customHeight="1">
      <c r="A379" s="143" t="s">
        <v>183</v>
      </c>
      <c r="B379" s="143"/>
      <c r="C379" s="143"/>
      <c r="D379" s="143"/>
      <c r="E379" s="143"/>
      <c r="F379" s="143"/>
      <c r="G379" s="143"/>
      <c r="H379" s="143"/>
      <c r="I379" s="143"/>
      <c r="J379" s="143"/>
      <c r="K379" s="143"/>
      <c r="L379" s="143"/>
      <c r="Z379" s="213"/>
      <c r="AA379" s="213"/>
      <c r="AB379" s="213"/>
      <c r="AC379" s="213"/>
      <c r="AD379" s="213"/>
      <c r="AE379" s="213"/>
      <c r="AF379" s="213"/>
      <c r="AG379" s="213"/>
      <c r="AH379" s="213"/>
      <c r="AI379" s="213"/>
      <c r="AJ379" s="213"/>
      <c r="AK379" s="213"/>
      <c r="AL379" s="213"/>
      <c r="AM379" s="213"/>
      <c r="AN379" s="213"/>
      <c r="AO379" s="213"/>
      <c r="AP379" s="213"/>
      <c r="AQ379" s="213"/>
      <c r="AR379" s="213"/>
      <c r="AS379" s="213"/>
      <c r="AT379" s="213"/>
      <c r="II379" s="203"/>
      <c r="IJ379" s="204"/>
      <c r="IK379" s="169"/>
      <c r="IL379" s="169"/>
      <c r="IM379" s="169"/>
      <c r="IN379" s="169"/>
      <c r="IO379" s="169"/>
      <c r="IP379" s="170"/>
      <c r="IQ379" s="170"/>
      <c r="IR379" s="170"/>
      <c r="IS379" s="170"/>
      <c r="IT379" s="170"/>
    </row>
    <row r="380" spans="1:256" s="168" customFormat="1" ht="14.25" customHeight="1">
      <c r="A380" s="143">
        <v>2</v>
      </c>
      <c r="B380" s="143"/>
      <c r="C380" s="143"/>
      <c r="D380" s="143"/>
      <c r="E380" s="143"/>
      <c r="F380" s="143"/>
      <c r="G380" s="143"/>
      <c r="H380" s="143"/>
      <c r="I380" s="143"/>
      <c r="J380" s="143"/>
      <c r="K380" s="143"/>
      <c r="L380" s="143"/>
      <c r="Z380" s="213"/>
      <c r="AA380" s="213"/>
      <c r="AB380" s="213"/>
      <c r="AC380" s="213"/>
      <c r="AD380" s="213"/>
      <c r="AE380" s="213"/>
      <c r="AF380" s="213"/>
      <c r="AG380" s="213"/>
      <c r="AH380" s="213"/>
      <c r="AI380" s="213"/>
      <c r="AJ380" s="213"/>
      <c r="AK380" s="213"/>
      <c r="AL380" s="213"/>
      <c r="AM380" s="213"/>
      <c r="AN380" s="213"/>
      <c r="AO380" s="213"/>
      <c r="AP380" s="213"/>
      <c r="AQ380" s="213"/>
      <c r="AR380" s="213"/>
      <c r="AS380" s="213"/>
      <c r="AT380" s="213"/>
      <c r="AV380" s="203"/>
      <c r="AW380" s="204"/>
      <c r="AX380" s="169"/>
      <c r="AY380" s="169"/>
      <c r="AZ380" s="169"/>
      <c r="BA380" s="169"/>
      <c r="BB380" s="169"/>
      <c r="BC380" s="170"/>
      <c r="BD380" s="170"/>
      <c r="BE380" s="170"/>
      <c r="BF380" s="170"/>
      <c r="BG380" s="170"/>
      <c r="CJ380" s="213"/>
      <c r="CK380" s="213"/>
      <c r="CL380" s="213"/>
      <c r="CM380" s="213"/>
      <c r="CN380" s="213"/>
      <c r="CO380" s="213"/>
      <c r="CP380" s="213"/>
      <c r="CQ380" s="213"/>
      <c r="CR380" s="213"/>
      <c r="CS380" s="213"/>
      <c r="CT380" s="213"/>
      <c r="CU380" s="213"/>
      <c r="CV380" s="213"/>
      <c r="CW380" s="213"/>
      <c r="CX380" s="213"/>
      <c r="CY380" s="213"/>
      <c r="CZ380" s="213"/>
      <c r="DA380" s="213"/>
      <c r="DB380" s="213"/>
      <c r="DC380" s="213"/>
      <c r="DD380" s="213"/>
      <c r="DF380" s="203"/>
      <c r="DG380" s="204"/>
      <c r="DH380" s="169"/>
      <c r="DI380" s="169"/>
      <c r="DJ380" s="169"/>
      <c r="DK380" s="169"/>
      <c r="DL380" s="169"/>
      <c r="DM380" s="170"/>
      <c r="DN380" s="170"/>
      <c r="DO380" s="170"/>
      <c r="DP380" s="170"/>
      <c r="DQ380" s="170"/>
      <c r="ET380" s="213"/>
      <c r="EU380" s="213"/>
      <c r="EV380" s="213"/>
      <c r="EW380" s="213"/>
      <c r="EX380" s="213"/>
      <c r="EY380" s="213"/>
      <c r="EZ380" s="213"/>
      <c r="FA380" s="213"/>
      <c r="FB380" s="213"/>
      <c r="FC380" s="213"/>
      <c r="FD380" s="213"/>
      <c r="FE380" s="213"/>
      <c r="FF380" s="213"/>
      <c r="FG380" s="213"/>
      <c r="FH380" s="213"/>
      <c r="FI380" s="213"/>
      <c r="FJ380" s="213"/>
      <c r="FK380" s="213"/>
      <c r="FL380" s="213"/>
      <c r="FM380" s="213"/>
      <c r="FN380" s="213"/>
      <c r="FP380" s="203"/>
      <c r="FQ380" s="204"/>
      <c r="FR380" s="169"/>
      <c r="FS380" s="169"/>
      <c r="FT380" s="169"/>
      <c r="FU380" s="169"/>
      <c r="FV380" s="169"/>
      <c r="FW380" s="170"/>
      <c r="FX380" s="170"/>
      <c r="FY380" s="170"/>
      <c r="FZ380" s="170"/>
      <c r="GA380" s="170"/>
      <c r="HD380" s="213"/>
      <c r="HE380" s="213"/>
      <c r="HF380" s="213"/>
      <c r="HG380" s="213"/>
      <c r="HH380" s="213"/>
      <c r="HI380" s="213"/>
      <c r="HJ380" s="213"/>
      <c r="HK380" s="213"/>
      <c r="HL380" s="213"/>
      <c r="HM380" s="213"/>
      <c r="HN380" s="213"/>
      <c r="HO380" s="213"/>
      <c r="HP380" s="213"/>
      <c r="HQ380" s="213"/>
      <c r="HR380" s="213"/>
      <c r="HS380" s="213"/>
      <c r="HT380" s="213"/>
      <c r="HU380" s="213"/>
      <c r="HV380" s="213"/>
      <c r="HW380" s="213"/>
      <c r="HX380" s="213"/>
      <c r="HZ380" s="203"/>
      <c r="IA380" s="204"/>
      <c r="IB380" s="169"/>
      <c r="IC380" s="169"/>
      <c r="ID380" s="169"/>
      <c r="IE380" s="169"/>
      <c r="IF380" s="169"/>
      <c r="IG380" s="170"/>
      <c r="IH380" s="170"/>
      <c r="II380" s="170"/>
      <c r="IJ380" s="170"/>
      <c r="IK380" s="170"/>
    </row>
    <row r="381" spans="1:256" s="212" customFormat="1" ht="14.25" customHeight="1">
      <c r="A381" s="143"/>
      <c r="B381" s="143"/>
      <c r="C381" s="143"/>
      <c r="D381" s="143"/>
      <c r="E381" s="143"/>
      <c r="F381" s="143"/>
      <c r="G381" s="143"/>
      <c r="H381" s="143"/>
      <c r="I381" s="143"/>
      <c r="J381" s="143"/>
      <c r="K381" s="143"/>
      <c r="L381" s="143"/>
      <c r="M381" s="168"/>
      <c r="N381" s="168"/>
      <c r="O381" s="168"/>
      <c r="P381" s="168"/>
      <c r="Q381" s="168"/>
      <c r="R381" s="168"/>
      <c r="S381" s="168"/>
      <c r="T381" s="168"/>
      <c r="U381" s="168"/>
      <c r="V381" s="168"/>
      <c r="W381" s="168"/>
      <c r="X381" s="213"/>
      <c r="Y381" s="213"/>
      <c r="Z381" s="213"/>
      <c r="AA381" s="213"/>
      <c r="AB381" s="213"/>
      <c r="AC381" s="213"/>
      <c r="AD381" s="213"/>
      <c r="AE381" s="213"/>
      <c r="AF381" s="213"/>
      <c r="AG381" s="213"/>
      <c r="AH381" s="213"/>
      <c r="AI381" s="213"/>
      <c r="AJ381" s="213"/>
      <c r="AK381" s="213"/>
      <c r="AL381" s="168"/>
      <c r="AM381" s="203"/>
      <c r="AN381" s="204"/>
      <c r="AO381" s="169"/>
      <c r="AP381" s="169"/>
      <c r="AQ381" s="169"/>
      <c r="AR381" s="169"/>
      <c r="AS381" s="169"/>
      <c r="AT381" s="170"/>
      <c r="AU381" s="170"/>
      <c r="AV381" s="170"/>
      <c r="AW381" s="170"/>
      <c r="AX381" s="170"/>
      <c r="AY381" s="168"/>
      <c r="AZ381" s="168"/>
      <c r="BA381" s="168"/>
      <c r="BB381" s="168"/>
      <c r="BC381" s="168"/>
      <c r="BD381" s="168"/>
      <c r="BE381" s="168"/>
      <c r="BF381" s="168"/>
      <c r="BG381" s="168"/>
      <c r="BH381" s="168"/>
      <c r="BI381" s="168"/>
      <c r="BJ381" s="168"/>
      <c r="BK381" s="168"/>
      <c r="BL381" s="168"/>
      <c r="BM381" s="168"/>
      <c r="BN381" s="168"/>
      <c r="BO381" s="168"/>
      <c r="BP381" s="168"/>
      <c r="BQ381" s="168"/>
      <c r="BR381" s="168"/>
      <c r="BS381" s="168"/>
      <c r="BT381" s="168"/>
      <c r="BU381" s="168"/>
      <c r="BV381" s="168"/>
      <c r="BW381" s="168"/>
      <c r="BX381" s="168"/>
      <c r="BY381" s="168"/>
      <c r="BZ381" s="168"/>
      <c r="CA381" s="213"/>
      <c r="CB381" s="213"/>
      <c r="CC381" s="213"/>
      <c r="CD381" s="213"/>
      <c r="CE381" s="213"/>
      <c r="CF381" s="213"/>
      <c r="CG381" s="213"/>
      <c r="CH381" s="213"/>
      <c r="CI381" s="213"/>
      <c r="CJ381" s="213"/>
      <c r="CK381" s="213"/>
      <c r="CL381" s="213"/>
      <c r="CM381" s="213"/>
      <c r="CN381" s="213"/>
      <c r="CO381" s="213"/>
      <c r="CP381" s="213"/>
      <c r="CQ381" s="213"/>
      <c r="CR381" s="213"/>
      <c r="CS381" s="213"/>
      <c r="CT381" s="213"/>
      <c r="CU381" s="213"/>
      <c r="CV381" s="168"/>
      <c r="CW381" s="203"/>
      <c r="CX381" s="204"/>
      <c r="CY381" s="169"/>
      <c r="CZ381" s="169"/>
      <c r="DA381" s="169"/>
      <c r="DB381" s="169"/>
      <c r="DC381" s="169"/>
      <c r="DD381" s="170"/>
      <c r="DE381" s="170"/>
      <c r="DF381" s="170"/>
      <c r="DG381" s="170"/>
      <c r="DH381" s="170"/>
      <c r="DI381" s="168"/>
      <c r="DJ381" s="168"/>
      <c r="DK381" s="168"/>
      <c r="DL381" s="168"/>
      <c r="DM381" s="168"/>
      <c r="DN381" s="168"/>
      <c r="DO381" s="168"/>
      <c r="DP381" s="168"/>
      <c r="DQ381" s="168"/>
      <c r="DR381" s="168"/>
      <c r="DS381" s="168"/>
      <c r="DT381" s="168"/>
      <c r="DU381" s="168"/>
      <c r="DV381" s="168"/>
      <c r="DW381" s="168"/>
      <c r="DX381" s="168"/>
      <c r="DY381" s="168"/>
      <c r="DZ381" s="168"/>
      <c r="EA381" s="168"/>
      <c r="EB381" s="168"/>
      <c r="EC381" s="168"/>
      <c r="ED381" s="168"/>
      <c r="EE381" s="168"/>
      <c r="EF381" s="168"/>
      <c r="EG381" s="168"/>
      <c r="EH381" s="168"/>
      <c r="EI381" s="168"/>
      <c r="EJ381" s="168"/>
      <c r="EK381" s="213"/>
      <c r="EL381" s="213"/>
      <c r="EM381" s="213"/>
      <c r="EN381" s="213"/>
      <c r="EO381" s="213"/>
      <c r="EP381" s="213"/>
      <c r="EQ381" s="213"/>
      <c r="ER381" s="213"/>
      <c r="ES381" s="213"/>
      <c r="ET381" s="213"/>
      <c r="EU381" s="213"/>
      <c r="EV381" s="213"/>
      <c r="EW381" s="213"/>
      <c r="EX381" s="213"/>
      <c r="EY381" s="213"/>
      <c r="EZ381" s="213"/>
      <c r="FA381" s="213"/>
      <c r="FB381" s="213"/>
      <c r="FC381" s="213"/>
      <c r="FD381" s="213"/>
      <c r="FE381" s="213"/>
      <c r="FF381" s="168"/>
      <c r="FG381" s="203"/>
      <c r="FH381" s="204"/>
      <c r="FI381" s="169"/>
      <c r="FJ381" s="169"/>
      <c r="FK381" s="169"/>
      <c r="FL381" s="169"/>
      <c r="FM381" s="169"/>
      <c r="FN381" s="170"/>
      <c r="FO381" s="170"/>
      <c r="FP381" s="170"/>
      <c r="FQ381" s="186"/>
      <c r="FR381" s="170"/>
      <c r="FS381" s="168"/>
      <c r="FT381" s="168"/>
      <c r="FU381" s="168"/>
      <c r="FV381" s="168"/>
      <c r="FW381" s="168"/>
      <c r="FX381" s="168"/>
      <c r="FY381" s="168"/>
      <c r="FZ381" s="168"/>
      <c r="GA381" s="168"/>
      <c r="GB381" s="168"/>
      <c r="GC381" s="168"/>
      <c r="GD381" s="168"/>
      <c r="GE381" s="168"/>
      <c r="GF381" s="168"/>
      <c r="GG381" s="168"/>
      <c r="GH381" s="168"/>
      <c r="GI381" s="168"/>
      <c r="GJ381" s="168"/>
      <c r="GK381" s="168"/>
      <c r="GL381" s="168"/>
      <c r="GM381" s="168"/>
      <c r="GN381" s="168"/>
      <c r="GO381" s="168"/>
      <c r="GP381" s="168"/>
      <c r="GQ381" s="168"/>
      <c r="GR381" s="168"/>
      <c r="GS381" s="168"/>
      <c r="GT381" s="168"/>
      <c r="GU381" s="213"/>
      <c r="GV381" s="213"/>
      <c r="GW381" s="213"/>
      <c r="GX381" s="213"/>
      <c r="GY381" s="213"/>
      <c r="GZ381" s="213"/>
      <c r="HA381" s="213"/>
      <c r="HB381" s="213"/>
      <c r="HC381" s="213"/>
      <c r="HD381" s="213"/>
      <c r="HE381" s="213"/>
      <c r="HF381" s="213"/>
      <c r="HG381" s="213"/>
      <c r="HH381" s="213"/>
      <c r="HI381" s="213"/>
      <c r="HJ381" s="213"/>
      <c r="HK381" s="213"/>
      <c r="HL381" s="213"/>
      <c r="HM381" s="213"/>
      <c r="HN381" s="213"/>
      <c r="HO381" s="213"/>
      <c r="HP381" s="168"/>
      <c r="HQ381" s="205"/>
      <c r="HR381" s="204"/>
      <c r="HS381" s="173"/>
      <c r="HT381" s="173"/>
      <c r="HU381" s="173"/>
      <c r="HV381" s="173"/>
      <c r="HW381" s="173"/>
      <c r="HX381" s="173"/>
      <c r="HY381" s="173"/>
      <c r="HZ381" s="173"/>
      <c r="IA381" s="173"/>
      <c r="IB381" s="173"/>
      <c r="IC381" s="173"/>
      <c r="ID381" s="173"/>
      <c r="IE381" s="173"/>
      <c r="IF381" s="173"/>
    </row>
    <row r="382" spans="1:256" s="213" customFormat="1" ht="14.25" customHeight="1">
      <c r="A382" s="174"/>
      <c r="B382" s="174"/>
      <c r="C382" s="174"/>
      <c r="D382" s="174"/>
      <c r="E382" s="174"/>
      <c r="F382" s="174"/>
      <c r="G382" s="174"/>
      <c r="H382" s="175"/>
      <c r="I382" s="175"/>
      <c r="J382" s="175"/>
      <c r="K382" s="175"/>
      <c r="L382" s="17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215"/>
      <c r="Z382" s="215"/>
      <c r="AA382" s="215"/>
      <c r="AB382" s="215"/>
      <c r="AC382" s="212"/>
      <c r="AD382" s="206"/>
      <c r="AE382" s="207"/>
      <c r="AF382" s="208"/>
      <c r="AG382" s="208"/>
      <c r="AH382" s="208"/>
      <c r="AI382" s="208"/>
      <c r="AJ382" s="208"/>
      <c r="AK382" s="208"/>
      <c r="AL382" s="208"/>
      <c r="AM382" s="208"/>
      <c r="AN382" s="209"/>
      <c r="AO382" s="209"/>
      <c r="AP382" s="210"/>
      <c r="AQ382" s="210"/>
      <c r="AR382" s="210"/>
      <c r="AS382" s="210"/>
      <c r="AT382" s="210"/>
      <c r="AU382" s="210"/>
      <c r="AV382" s="210"/>
      <c r="AW382" s="210"/>
      <c r="AX382" s="210"/>
      <c r="AY382" s="210"/>
      <c r="AZ382" s="210"/>
      <c r="BA382" s="210"/>
      <c r="BB382" s="210"/>
      <c r="BC382" s="210"/>
      <c r="BD382" s="210"/>
      <c r="BE382" s="210"/>
      <c r="BF382" s="210"/>
      <c r="BG382" s="210"/>
      <c r="BH382" s="210"/>
      <c r="BI382" s="210"/>
      <c r="BJ382" s="210"/>
      <c r="BK382" s="210"/>
      <c r="BL382" s="210"/>
      <c r="BM382" s="210"/>
      <c r="BN382" s="210"/>
      <c r="BO382" s="210"/>
      <c r="BP382" s="210"/>
      <c r="BQ382" s="210"/>
      <c r="BR382" s="216"/>
      <c r="BS382" s="216"/>
      <c r="BT382" s="216"/>
      <c r="BU382" s="216"/>
      <c r="BV382" s="216"/>
      <c r="BW382" s="216"/>
      <c r="BX382" s="216"/>
      <c r="BY382" s="216"/>
      <c r="BZ382" s="216"/>
      <c r="CA382" s="210"/>
      <c r="CB382" s="216"/>
      <c r="CC382" s="216"/>
      <c r="CD382" s="216"/>
      <c r="CE382" s="216"/>
      <c r="CF382" s="216"/>
      <c r="CG382" s="216"/>
      <c r="CH382" s="216"/>
      <c r="CI382" s="216"/>
      <c r="CJ382" s="216"/>
      <c r="CK382" s="216"/>
      <c r="CL382" s="216"/>
      <c r="CM382" s="210"/>
      <c r="CN382" s="203"/>
      <c r="CO382" s="182"/>
      <c r="CP382" s="145"/>
      <c r="CQ382" s="211"/>
      <c r="CR382" s="211"/>
      <c r="CS382" s="211"/>
      <c r="CT382" s="211"/>
      <c r="CU382" s="211"/>
      <c r="CV382" s="211"/>
      <c r="CW382" s="211"/>
      <c r="CX382" s="170"/>
      <c r="CY382" s="170"/>
      <c r="CZ382" s="168"/>
      <c r="DA382" s="168"/>
      <c r="DB382" s="168"/>
      <c r="DC382" s="168"/>
      <c r="DD382" s="168"/>
      <c r="DE382" s="168"/>
      <c r="DF382" s="168"/>
      <c r="DG382" s="168"/>
      <c r="DH382" s="168"/>
      <c r="DI382" s="168"/>
      <c r="DJ382" s="168"/>
      <c r="DK382" s="168"/>
      <c r="DL382" s="168"/>
      <c r="DM382" s="168"/>
      <c r="DN382" s="168"/>
      <c r="DO382" s="168"/>
      <c r="DP382" s="168"/>
      <c r="DQ382" s="168"/>
      <c r="DR382" s="168"/>
      <c r="DS382" s="168"/>
      <c r="DT382" s="168"/>
      <c r="DU382" s="168"/>
      <c r="DV382" s="168"/>
      <c r="DW382" s="168"/>
      <c r="DX382" s="168"/>
      <c r="DY382" s="168"/>
      <c r="DZ382" s="168"/>
      <c r="EA382" s="168"/>
      <c r="EK382" s="168"/>
      <c r="EW382" s="168"/>
      <c r="EX382" s="203"/>
      <c r="EY382" s="182"/>
      <c r="EZ382" s="145"/>
      <c r="FA382" s="145"/>
      <c r="FB382" s="145"/>
      <c r="FC382" s="145"/>
      <c r="FD382" s="145"/>
      <c r="FE382" s="145"/>
      <c r="FF382" s="145"/>
      <c r="FG382" s="145"/>
      <c r="FH382" s="170"/>
      <c r="FI382" s="170"/>
      <c r="FJ382" s="168"/>
      <c r="FK382" s="168"/>
      <c r="FL382" s="168"/>
      <c r="FM382" s="168"/>
      <c r="FN382" s="168"/>
      <c r="FO382" s="168"/>
      <c r="FP382" s="168"/>
      <c r="FQ382" s="168"/>
      <c r="FR382" s="168"/>
      <c r="FS382" s="168"/>
      <c r="FT382" s="168"/>
      <c r="FU382" s="168"/>
      <c r="FV382" s="168"/>
      <c r="FW382" s="168"/>
      <c r="FX382" s="168"/>
      <c r="FY382" s="168"/>
      <c r="FZ382" s="168"/>
      <c r="GA382" s="168"/>
      <c r="GB382" s="168"/>
      <c r="GC382" s="168"/>
      <c r="GD382" s="168"/>
      <c r="GE382" s="168"/>
      <c r="GF382" s="168"/>
      <c r="GG382" s="168"/>
      <c r="GH382" s="168"/>
      <c r="GI382" s="168"/>
      <c r="GJ382" s="168"/>
      <c r="GK382" s="168"/>
      <c r="GU382" s="168"/>
      <c r="HG382" s="168"/>
      <c r="HH382" s="203"/>
      <c r="HI382" s="182"/>
      <c r="HJ382" s="145"/>
      <c r="HK382" s="145"/>
      <c r="HL382" s="145"/>
      <c r="HM382" s="145"/>
      <c r="HN382" s="145"/>
      <c r="HO382" s="145"/>
      <c r="HP382" s="145"/>
      <c r="HQ382" s="145"/>
      <c r="HR382" s="170"/>
      <c r="HS382" s="170"/>
      <c r="HT382" s="168"/>
      <c r="HU382" s="168"/>
      <c r="HV382" s="168"/>
      <c r="HW382" s="168"/>
      <c r="HX382" s="168"/>
      <c r="HY382" s="168"/>
      <c r="HZ382" s="168"/>
      <c r="IA382" s="168"/>
      <c r="IB382" s="168"/>
      <c r="IC382" s="168"/>
      <c r="ID382" s="168"/>
      <c r="IE382" s="168"/>
      <c r="IF382" s="168"/>
      <c r="IG382" s="168"/>
      <c r="IH382" s="168"/>
      <c r="II382" s="168"/>
      <c r="IJ382" s="168"/>
      <c r="IK382" s="168"/>
      <c r="IL382" s="168"/>
      <c r="IM382" s="168"/>
      <c r="IN382" s="168"/>
      <c r="IO382" s="168"/>
      <c r="IP382" s="168"/>
      <c r="IQ382" s="168"/>
      <c r="IR382" s="168"/>
      <c r="IS382" s="168"/>
      <c r="IT382" s="168"/>
      <c r="IU382" s="168"/>
    </row>
    <row r="383" spans="1:256" s="213" customFormat="1" ht="14.25" customHeight="1">
      <c r="A383" s="167"/>
      <c r="B383" s="167"/>
      <c r="C383" s="167"/>
      <c r="D383" s="167"/>
      <c r="E383" s="167"/>
      <c r="F383" s="167"/>
      <c r="G383" s="167"/>
      <c r="H383" s="143"/>
      <c r="I383" s="143"/>
      <c r="J383" s="143"/>
      <c r="K383" s="143"/>
      <c r="L383" s="143"/>
      <c r="M383" s="168"/>
      <c r="N383" s="168"/>
      <c r="O383" s="168"/>
      <c r="P383" s="168"/>
      <c r="Q383" s="168"/>
      <c r="R383" s="168"/>
      <c r="S383" s="168"/>
      <c r="T383" s="168"/>
      <c r="U383" s="168"/>
      <c r="V383" s="168"/>
      <c r="W383" s="168"/>
      <c r="X383" s="145"/>
      <c r="Y383" s="145"/>
      <c r="Z383" s="145"/>
      <c r="AA383" s="145"/>
      <c r="AB383" s="145"/>
      <c r="AC383" s="145"/>
      <c r="AD383" s="145"/>
      <c r="AE383" s="170"/>
      <c r="AF383" s="170"/>
      <c r="AG383" s="168"/>
      <c r="AH383" s="168"/>
      <c r="AI383" s="168"/>
      <c r="AJ383" s="168"/>
      <c r="AK383" s="168"/>
      <c r="AL383" s="168"/>
      <c r="AM383" s="168"/>
      <c r="AN383" s="168"/>
      <c r="AO383" s="168"/>
      <c r="AP383" s="168"/>
      <c r="AQ383" s="168"/>
      <c r="AR383" s="168"/>
      <c r="AS383" s="168"/>
      <c r="AT383" s="168"/>
      <c r="AU383" s="168"/>
      <c r="AV383" s="168"/>
      <c r="AW383" s="168"/>
      <c r="AX383" s="168"/>
      <c r="AY383" s="168"/>
      <c r="AZ383" s="168"/>
      <c r="BA383" s="168"/>
      <c r="BB383" s="168"/>
      <c r="BC383" s="168"/>
      <c r="BD383" s="168"/>
      <c r="BE383" s="168"/>
      <c r="BF383" s="168"/>
      <c r="BG383" s="168"/>
      <c r="BH383" s="168"/>
      <c r="BR383" s="168"/>
      <c r="CD383" s="168"/>
      <c r="CE383" s="203"/>
      <c r="CF383" s="182"/>
      <c r="CG383" s="145"/>
      <c r="CH383" s="145"/>
      <c r="CI383" s="145"/>
      <c r="CJ383" s="145"/>
      <c r="CK383" s="145"/>
      <c r="CL383" s="145"/>
      <c r="CM383" s="145"/>
      <c r="CN383" s="145"/>
      <c r="CO383" s="170"/>
      <c r="CP383" s="170"/>
      <c r="CQ383" s="168"/>
      <c r="CR383" s="168"/>
      <c r="CS383" s="168"/>
      <c r="CT383" s="168"/>
      <c r="CU383" s="168"/>
      <c r="CV383" s="168"/>
      <c r="CW383" s="168"/>
      <c r="CX383" s="168"/>
      <c r="CY383" s="168"/>
      <c r="CZ383" s="168"/>
      <c r="DA383" s="168"/>
      <c r="DB383" s="168"/>
      <c r="DC383" s="168"/>
      <c r="DD383" s="168"/>
      <c r="DE383" s="168"/>
      <c r="DF383" s="168"/>
      <c r="DG383" s="168"/>
      <c r="DH383" s="168"/>
      <c r="DI383" s="168"/>
      <c r="DJ383" s="168"/>
      <c r="DK383" s="168"/>
      <c r="DL383" s="168"/>
      <c r="DM383" s="168"/>
      <c r="DN383" s="168"/>
      <c r="DO383" s="168"/>
      <c r="DP383" s="168"/>
      <c r="DQ383" s="168"/>
      <c r="DR383" s="168"/>
      <c r="EB383" s="168"/>
      <c r="EN383" s="168"/>
      <c r="EO383" s="203"/>
      <c r="EP383" s="182"/>
      <c r="EQ383" s="145"/>
      <c r="ER383" s="145"/>
      <c r="ES383" s="145"/>
      <c r="ET383" s="145"/>
      <c r="EU383" s="145"/>
      <c r="EV383" s="145"/>
      <c r="EW383" s="145"/>
      <c r="EX383" s="145"/>
      <c r="EY383" s="170"/>
      <c r="EZ383" s="170"/>
      <c r="FA383" s="168"/>
      <c r="FB383" s="168"/>
      <c r="FC383" s="168"/>
      <c r="FD383" s="168"/>
      <c r="FE383" s="168"/>
      <c r="FF383" s="168"/>
      <c r="FG383" s="168"/>
      <c r="FH383" s="168"/>
      <c r="FI383" s="168"/>
      <c r="FJ383" s="168"/>
      <c r="FK383" s="168"/>
      <c r="FL383" s="168"/>
      <c r="FM383" s="168"/>
      <c r="FN383" s="168"/>
      <c r="FO383" s="168"/>
      <c r="FP383" s="168"/>
      <c r="FQ383" s="168"/>
      <c r="FR383" s="168"/>
      <c r="FS383" s="168"/>
      <c r="FT383" s="168"/>
      <c r="FU383" s="168"/>
      <c r="FV383" s="168"/>
      <c r="FW383" s="168"/>
      <c r="FX383" s="168"/>
      <c r="FY383" s="168"/>
      <c r="FZ383" s="168"/>
      <c r="GA383" s="168"/>
      <c r="GL383" s="168"/>
      <c r="GX383" s="168"/>
      <c r="GY383" s="203"/>
      <c r="GZ383" s="182"/>
      <c r="HA383" s="126"/>
      <c r="HB383" s="126"/>
      <c r="HC383" s="126"/>
      <c r="HD383" s="126"/>
      <c r="HE383" s="126"/>
      <c r="HF383" s="126"/>
      <c r="HG383" s="126"/>
      <c r="HH383" s="126"/>
      <c r="HI383" s="170"/>
      <c r="HJ383" s="170"/>
      <c r="HK383" s="168"/>
      <c r="HL383" s="168"/>
      <c r="HM383" s="168"/>
      <c r="HN383" s="168"/>
      <c r="HO383" s="168"/>
      <c r="HP383" s="168"/>
      <c r="HQ383" s="168"/>
      <c r="HR383" s="168"/>
      <c r="HS383" s="168"/>
      <c r="HT383" s="168"/>
      <c r="HU383" s="168"/>
      <c r="HV383" s="168"/>
      <c r="HW383" s="168"/>
      <c r="HX383" s="168"/>
      <c r="HY383" s="168"/>
      <c r="HZ383" s="168"/>
      <c r="IA383" s="168"/>
      <c r="IB383" s="168"/>
      <c r="IC383" s="168"/>
      <c r="ID383" s="168"/>
      <c r="IE383" s="168"/>
      <c r="IF383" s="168"/>
      <c r="IG383" s="168"/>
      <c r="IH383" s="168"/>
      <c r="II383" s="168"/>
      <c r="IJ383" s="168"/>
      <c r="IK383" s="168"/>
      <c r="IL383" s="168"/>
      <c r="IV383" s="168"/>
    </row>
    <row r="384" spans="1:256" s="214" customFormat="1" ht="14.25" customHeight="1">
      <c r="A384" s="167"/>
      <c r="B384" s="167"/>
      <c r="C384" s="167"/>
      <c r="D384" s="167"/>
      <c r="E384" s="167"/>
      <c r="F384" s="167"/>
      <c r="G384" s="167"/>
      <c r="H384" s="167"/>
      <c r="I384" s="167"/>
      <c r="J384" s="167"/>
      <c r="K384" s="167"/>
      <c r="L384" s="167"/>
      <c r="M384" s="213"/>
      <c r="N384" s="213"/>
      <c r="O384" s="213"/>
      <c r="P384" s="213"/>
      <c r="Q384" s="213"/>
      <c r="R384" s="213"/>
      <c r="S384" s="213"/>
      <c r="T384" s="213"/>
      <c r="U384" s="213"/>
      <c r="V384" s="213"/>
      <c r="W384" s="213"/>
      <c r="X384" s="168"/>
      <c r="Y384" s="168"/>
      <c r="Z384" s="168"/>
      <c r="AA384" s="168"/>
      <c r="AB384" s="168"/>
      <c r="AC384" s="168"/>
      <c r="AD384" s="168"/>
      <c r="AE384" s="168"/>
      <c r="AF384" s="168"/>
      <c r="AG384" s="168"/>
      <c r="AH384" s="168"/>
      <c r="AI384" s="168"/>
      <c r="AJ384" s="168"/>
      <c r="AK384" s="168"/>
      <c r="AL384" s="168"/>
      <c r="AM384" s="168"/>
      <c r="AN384" s="168"/>
      <c r="AO384" s="168"/>
      <c r="AP384" s="168"/>
      <c r="AQ384" s="168"/>
      <c r="AR384" s="168"/>
      <c r="AS384" s="168"/>
      <c r="AT384" s="168"/>
      <c r="AU384" s="168"/>
      <c r="AV384" s="168"/>
      <c r="AW384" s="168"/>
      <c r="AX384" s="168"/>
      <c r="AY384" s="168"/>
      <c r="AZ384" s="168"/>
      <c r="BA384" s="168"/>
      <c r="BB384" s="168"/>
      <c r="BC384" s="168"/>
      <c r="BD384" s="168"/>
      <c r="BE384" s="168"/>
      <c r="BF384" s="168"/>
      <c r="BG384" s="168"/>
      <c r="BH384" s="168"/>
      <c r="BI384" s="168"/>
      <c r="BJ384" s="168"/>
      <c r="BK384" s="168"/>
      <c r="BL384" s="168"/>
      <c r="BM384" s="168"/>
      <c r="BN384" s="168"/>
      <c r="BO384" s="168"/>
      <c r="BP384" s="168"/>
      <c r="BQ384" s="168"/>
      <c r="BR384" s="168"/>
      <c r="BS384" s="168"/>
      <c r="BT384" s="168"/>
      <c r="BU384" s="168"/>
      <c r="BV384" s="168"/>
      <c r="BW384" s="168"/>
      <c r="BX384" s="168"/>
      <c r="BY384" s="168"/>
      <c r="BZ384" s="168"/>
      <c r="CA384" s="168"/>
      <c r="CB384" s="168"/>
      <c r="CC384" s="168"/>
      <c r="CD384" s="168"/>
      <c r="CE384" s="168"/>
      <c r="CF384" s="168"/>
      <c r="CG384" s="168"/>
      <c r="CH384" s="168"/>
      <c r="CI384" s="168"/>
      <c r="CJ384" s="168"/>
      <c r="CK384" s="168"/>
      <c r="CL384" s="168"/>
      <c r="CM384" s="168"/>
      <c r="CN384" s="168"/>
      <c r="CO384" s="168"/>
      <c r="CP384" s="168"/>
      <c r="CQ384" s="168"/>
      <c r="CR384" s="168"/>
      <c r="CS384" s="168"/>
      <c r="CT384" s="168"/>
      <c r="CU384" s="168"/>
      <c r="CV384" s="168"/>
      <c r="CW384" s="168"/>
      <c r="CX384" s="168"/>
      <c r="CY384" s="168"/>
      <c r="CZ384" s="168"/>
      <c r="DA384" s="168"/>
      <c r="DB384" s="168"/>
      <c r="DC384" s="168"/>
      <c r="DD384" s="168"/>
      <c r="DE384" s="168"/>
      <c r="DF384" s="168"/>
      <c r="DG384" s="168"/>
      <c r="DH384" s="168"/>
      <c r="DI384" s="168"/>
      <c r="DJ384" s="168"/>
      <c r="DK384" s="168"/>
      <c r="DL384" s="168"/>
      <c r="DM384" s="168"/>
      <c r="DN384" s="168"/>
      <c r="DO384" s="168"/>
      <c r="DP384" s="168"/>
      <c r="DQ384" s="168"/>
      <c r="DR384" s="168"/>
      <c r="DS384" s="168"/>
      <c r="DT384" s="168"/>
      <c r="DU384" s="168"/>
      <c r="DV384" s="168"/>
      <c r="DW384" s="168"/>
      <c r="DX384" s="168"/>
      <c r="DY384" s="168"/>
      <c r="DZ384" s="168"/>
      <c r="EA384" s="168"/>
      <c r="EB384" s="168"/>
      <c r="EC384" s="168"/>
      <c r="ED384" s="168"/>
      <c r="EE384" s="168"/>
      <c r="EF384" s="168"/>
      <c r="EG384" s="168"/>
      <c r="EH384" s="168"/>
      <c r="EI384" s="168"/>
      <c r="EJ384" s="168"/>
      <c r="EK384" s="168"/>
      <c r="EL384" s="168"/>
      <c r="EM384" s="168"/>
      <c r="EN384" s="168"/>
      <c r="EO384" s="168"/>
      <c r="EP384" s="168"/>
      <c r="EQ384" s="168"/>
      <c r="ER384" s="168"/>
      <c r="ES384" s="168"/>
      <c r="ET384" s="168"/>
      <c r="EU384" s="168"/>
      <c r="EV384" s="168"/>
      <c r="EW384" s="168"/>
      <c r="EX384" s="168"/>
      <c r="EY384" s="168"/>
      <c r="EZ384" s="168"/>
      <c r="FA384" s="168"/>
      <c r="FB384" s="168"/>
      <c r="FC384" s="168"/>
      <c r="FD384" s="168"/>
      <c r="FE384" s="168"/>
      <c r="FF384" s="168"/>
      <c r="FG384" s="168"/>
      <c r="FH384" s="168"/>
      <c r="FI384" s="168"/>
      <c r="FJ384" s="168"/>
      <c r="FK384" s="168"/>
      <c r="FL384" s="168"/>
      <c r="FM384" s="168"/>
      <c r="FN384" s="168"/>
      <c r="FO384" s="168"/>
      <c r="FP384" s="168"/>
      <c r="FQ384" s="168"/>
      <c r="FR384" s="168"/>
      <c r="FS384" s="168"/>
      <c r="FT384" s="168"/>
      <c r="FU384" s="168"/>
      <c r="FV384" s="168"/>
      <c r="FW384" s="168"/>
      <c r="FX384" s="168"/>
      <c r="FY384" s="168"/>
      <c r="FZ384" s="168"/>
      <c r="GA384" s="168"/>
      <c r="GB384" s="168"/>
      <c r="GC384" s="168"/>
      <c r="GD384" s="168"/>
      <c r="GE384" s="168"/>
      <c r="GF384" s="168"/>
      <c r="GG384" s="168"/>
      <c r="GH384" s="168"/>
      <c r="GI384" s="168"/>
      <c r="GJ384" s="168"/>
      <c r="GK384" s="168"/>
      <c r="GL384" s="168"/>
      <c r="GM384" s="168"/>
      <c r="GN384" s="168"/>
      <c r="GO384" s="168"/>
      <c r="GP384" s="168"/>
      <c r="GQ384" s="168"/>
      <c r="GR384" s="168"/>
      <c r="GS384" s="168"/>
      <c r="GT384" s="168"/>
      <c r="GU384" s="168"/>
      <c r="GV384" s="168"/>
      <c r="GW384" s="168"/>
      <c r="GX384" s="168"/>
      <c r="GY384" s="203"/>
      <c r="GZ384" s="182"/>
      <c r="HA384" s="127"/>
      <c r="HB384" s="127"/>
      <c r="HC384" s="127"/>
      <c r="HD384" s="127"/>
      <c r="HE384" s="127"/>
      <c r="HF384" s="127"/>
      <c r="HG384" s="127"/>
      <c r="HH384" s="127"/>
      <c r="HI384" s="218"/>
      <c r="HJ384" s="218"/>
      <c r="HK384" s="219"/>
      <c r="HL384" s="219"/>
      <c r="HM384" s="219"/>
      <c r="HN384" s="219"/>
      <c r="HO384" s="219"/>
      <c r="HP384" s="219"/>
      <c r="HQ384" s="219"/>
      <c r="HR384" s="219"/>
      <c r="HS384" s="219"/>
      <c r="HT384" s="219"/>
      <c r="HU384" s="219"/>
      <c r="HV384" s="219"/>
      <c r="HW384" s="219"/>
      <c r="HX384" s="219"/>
      <c r="HY384" s="219"/>
      <c r="HZ384" s="219"/>
      <c r="IA384" s="219"/>
      <c r="IB384" s="219"/>
      <c r="IC384" s="219"/>
      <c r="ID384" s="168"/>
      <c r="IE384" s="168"/>
      <c r="IF384" s="168"/>
      <c r="IG384" s="168"/>
      <c r="IH384" s="168"/>
      <c r="II384" s="168"/>
      <c r="IJ384" s="168"/>
      <c r="IK384" s="168"/>
      <c r="IL384" s="168"/>
      <c r="IV384" s="219"/>
    </row>
    <row r="385" spans="1:64" s="168" customFormat="1" ht="14.25" customHeight="1">
      <c r="A385" s="185"/>
      <c r="B385" s="185"/>
      <c r="C385" s="185"/>
      <c r="D385" s="185"/>
      <c r="E385" s="185"/>
      <c r="F385" s="185"/>
      <c r="G385" s="185"/>
      <c r="H385" s="185"/>
      <c r="I385" s="185"/>
      <c r="J385" s="185"/>
      <c r="K385" s="185"/>
      <c r="L385" s="185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</row>
    <row r="386" spans="1:64" s="168" customFormat="1" ht="14.25" customHeight="1">
      <c r="A386" s="143"/>
      <c r="B386" s="143"/>
      <c r="C386" s="143"/>
      <c r="D386" s="143"/>
      <c r="E386" s="143"/>
      <c r="F386" s="143"/>
      <c r="G386" s="143"/>
      <c r="H386" s="143"/>
      <c r="I386" s="143"/>
      <c r="J386" s="143"/>
      <c r="K386" s="143"/>
      <c r="L386" s="143"/>
    </row>
    <row r="387" spans="1:64" s="168" customFormat="1" ht="14.25" customHeight="1">
      <c r="A387" s="143"/>
      <c r="B387" s="143"/>
      <c r="C387" s="143"/>
      <c r="D387" s="143"/>
      <c r="E387" s="143"/>
      <c r="F387" s="143"/>
      <c r="G387" s="143"/>
      <c r="H387" s="143"/>
      <c r="I387" s="143"/>
      <c r="J387" s="143"/>
      <c r="K387" s="143"/>
      <c r="L387" s="143"/>
    </row>
    <row r="388" spans="1:64" s="213" customFormat="1" ht="14.25" customHeight="1">
      <c r="A388" s="143"/>
      <c r="B388" s="143"/>
      <c r="C388" s="143"/>
      <c r="D388" s="143"/>
      <c r="E388" s="143"/>
      <c r="F388" s="143"/>
      <c r="G388" s="143"/>
      <c r="H388" s="143"/>
      <c r="I388" s="143"/>
      <c r="J388" s="143"/>
      <c r="K388" s="143"/>
      <c r="L388" s="143"/>
      <c r="M388" s="168"/>
      <c r="N388" s="168"/>
      <c r="O388" s="168"/>
      <c r="P388" s="168"/>
      <c r="Q388" s="168"/>
      <c r="R388" s="168"/>
      <c r="S388" s="168"/>
      <c r="T388" s="168"/>
      <c r="U388" s="168"/>
      <c r="V388" s="168"/>
      <c r="W388" s="168"/>
      <c r="X388" s="126"/>
      <c r="Y388" s="126"/>
      <c r="Z388" s="126"/>
      <c r="AA388" s="126"/>
      <c r="AB388" s="126"/>
      <c r="AC388" s="126"/>
      <c r="AD388" s="126"/>
      <c r="AE388" s="170"/>
      <c r="AF388" s="170"/>
      <c r="AG388" s="168"/>
      <c r="AH388" s="168"/>
      <c r="AI388" s="168"/>
      <c r="AJ388" s="168"/>
      <c r="AK388" s="168"/>
      <c r="AL388" s="168"/>
      <c r="AM388" s="168"/>
      <c r="AN388" s="168"/>
      <c r="AO388" s="168"/>
      <c r="AP388" s="168"/>
      <c r="AQ388" s="168"/>
      <c r="AR388" s="168"/>
      <c r="AS388" s="168"/>
      <c r="AT388" s="168"/>
      <c r="AU388" s="168"/>
      <c r="AV388" s="168"/>
      <c r="AW388" s="168"/>
      <c r="AX388" s="168"/>
      <c r="AY388" s="168"/>
      <c r="AZ388" s="168"/>
      <c r="BA388" s="168"/>
      <c r="BB388" s="168"/>
      <c r="BC388" s="168"/>
      <c r="BD388" s="168"/>
      <c r="BE388" s="168"/>
      <c r="BF388" s="168"/>
      <c r="BG388" s="168"/>
      <c r="BH388" s="168"/>
    </row>
    <row r="389" spans="1:64" s="168" customFormat="1" ht="14.25" customHeight="1">
      <c r="A389" s="167">
        <f>A359+1</f>
        <v>13</v>
      </c>
      <c r="B389" s="167"/>
      <c r="C389" s="187" t="str">
        <f>IF($A$1 = 1, (IF("("&amp;C399&amp;")" ="()","","("&amp;C399&amp;")")), (IF("("&amp;C404&amp;")     ("&amp;C399&amp;")"="()     ()","","("&amp;C404&amp;")     ("&amp;C399&amp;")")))</f>
        <v>(0)     (4)</v>
      </c>
      <c r="D389" s="187" t="str">
        <f t="shared" ref="D389:K389" si="37">IF($A$1 = 1, (IF("("&amp;D399&amp;")" ="()","","("&amp;D399&amp;")")), (IF("("&amp;D404&amp;")     ("&amp;D399&amp;")"="()     ()","","("&amp;D404&amp;")     ("&amp;D399&amp;")")))</f>
        <v>(0)     (1)</v>
      </c>
      <c r="E389" s="187" t="str">
        <f t="shared" si="37"/>
        <v/>
      </c>
      <c r="F389" s="187" t="str">
        <f t="shared" si="37"/>
        <v/>
      </c>
      <c r="G389" s="187" t="str">
        <f t="shared" si="37"/>
        <v/>
      </c>
      <c r="H389" s="187" t="str">
        <f t="shared" si="37"/>
        <v/>
      </c>
      <c r="I389" s="187" t="str">
        <f t="shared" si="37"/>
        <v/>
      </c>
      <c r="J389" s="187" t="str">
        <f t="shared" si="37"/>
        <v/>
      </c>
      <c r="K389" s="187" t="str">
        <f t="shared" si="37"/>
        <v/>
      </c>
      <c r="L389" s="187"/>
      <c r="M389" s="220"/>
      <c r="N389" s="220"/>
      <c r="O389" s="220"/>
      <c r="P389" s="220"/>
      <c r="Q389" s="220"/>
      <c r="R389" s="220"/>
      <c r="S389" s="220"/>
      <c r="T389" s="220"/>
      <c r="U389" s="220"/>
      <c r="V389" s="220"/>
      <c r="W389" s="220"/>
    </row>
    <row r="390" spans="1:64" s="168" customFormat="1" ht="59.1" customHeight="1">
      <c r="A390" s="143"/>
      <c r="B390" s="177"/>
      <c r="C390" s="178" t="s">
        <v>844</v>
      </c>
      <c r="D390" s="178" t="s">
        <v>845</v>
      </c>
      <c r="E390" s="178"/>
      <c r="F390" s="178"/>
      <c r="G390" s="178"/>
      <c r="H390" s="178"/>
      <c r="I390" s="178"/>
      <c r="J390" s="178"/>
      <c r="K390" s="178"/>
      <c r="L390" s="178"/>
      <c r="M390" s="208"/>
      <c r="N390" s="208"/>
      <c r="O390" s="208"/>
      <c r="P390" s="208"/>
      <c r="Q390" s="208"/>
      <c r="R390" s="208"/>
      <c r="S390" s="208"/>
      <c r="T390" s="208"/>
      <c r="U390" s="208"/>
      <c r="V390" s="208"/>
      <c r="W390" s="208"/>
      <c r="X390" s="210"/>
      <c r="Y390" s="210"/>
      <c r="Z390" s="210"/>
      <c r="AA390" s="210"/>
      <c r="AB390" s="210"/>
      <c r="AC390" s="210"/>
      <c r="AD390" s="210"/>
      <c r="AE390" s="210"/>
      <c r="AF390" s="210"/>
      <c r="AG390" s="210"/>
      <c r="AH390" s="210"/>
      <c r="AI390" s="210"/>
      <c r="AJ390" s="210"/>
      <c r="AK390" s="210"/>
      <c r="AL390" s="210"/>
      <c r="AM390" s="210"/>
      <c r="AN390" s="210"/>
      <c r="AO390" s="216"/>
      <c r="AP390" s="216"/>
      <c r="AQ390" s="216"/>
      <c r="AR390" s="216"/>
      <c r="AS390" s="216"/>
      <c r="AT390" s="216"/>
      <c r="AU390" s="216"/>
      <c r="AV390" s="216"/>
      <c r="AW390" s="216"/>
      <c r="AX390" s="210"/>
      <c r="AY390" s="216"/>
      <c r="AZ390" s="216"/>
      <c r="BA390" s="216"/>
      <c r="BB390" s="216"/>
      <c r="BC390" s="216"/>
      <c r="BD390" s="216"/>
      <c r="BE390" s="216"/>
      <c r="BF390" s="216"/>
      <c r="BG390" s="216"/>
      <c r="BH390" s="216"/>
      <c r="BI390" s="216"/>
      <c r="BJ390" s="210"/>
      <c r="BK390" s="210"/>
      <c r="BL390" s="210"/>
    </row>
    <row r="391" spans="1:64" s="168" customFormat="1" ht="18" customHeight="1" thickBot="1">
      <c r="A391" s="143"/>
      <c r="B391" s="181" t="s">
        <v>3</v>
      </c>
      <c r="C391" s="148" t="s">
        <v>443</v>
      </c>
      <c r="D391" s="148" t="s">
        <v>443</v>
      </c>
      <c r="E391" s="148"/>
      <c r="F391" s="148"/>
      <c r="G391" s="148"/>
      <c r="H391" s="148"/>
      <c r="I391" s="148"/>
      <c r="J391" s="148"/>
      <c r="K391" s="148"/>
      <c r="L391" s="148"/>
      <c r="M391" s="211"/>
      <c r="N391" s="211"/>
      <c r="O391" s="211"/>
      <c r="P391" s="211"/>
      <c r="Q391" s="211"/>
      <c r="R391" s="211"/>
      <c r="S391" s="211"/>
      <c r="T391" s="211"/>
      <c r="U391" s="211"/>
      <c r="V391" s="211"/>
      <c r="W391" s="211"/>
      <c r="AO391" s="213"/>
      <c r="AP391" s="213"/>
      <c r="AQ391" s="213"/>
      <c r="AR391" s="213"/>
      <c r="AS391" s="213"/>
      <c r="AT391" s="213"/>
      <c r="AU391" s="213"/>
      <c r="AV391" s="213"/>
      <c r="AW391" s="213"/>
      <c r="AY391" s="213"/>
      <c r="AZ391" s="213"/>
      <c r="BA391" s="213"/>
      <c r="BB391" s="213"/>
      <c r="BC391" s="213"/>
      <c r="BD391" s="213"/>
      <c r="BE391" s="213"/>
      <c r="BF391" s="213"/>
      <c r="BG391" s="213"/>
      <c r="BH391" s="213"/>
      <c r="BI391" s="213"/>
    </row>
    <row r="392" spans="1:64" s="168" customFormat="1" ht="18" customHeight="1" thickBot="1">
      <c r="A392" s="143"/>
      <c r="B392" s="182" t="s">
        <v>18</v>
      </c>
      <c r="C392" s="148" t="s">
        <v>443</v>
      </c>
      <c r="D392" s="148" t="s">
        <v>443</v>
      </c>
      <c r="E392" s="148"/>
      <c r="F392" s="148"/>
      <c r="G392" s="148"/>
      <c r="H392" s="148"/>
      <c r="I392" s="148"/>
      <c r="J392" s="148"/>
      <c r="K392" s="148"/>
      <c r="L392" s="148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AO392" s="213"/>
      <c r="AP392" s="213"/>
      <c r="AQ392" s="213"/>
      <c r="AR392" s="213"/>
      <c r="AS392" s="213"/>
      <c r="AT392" s="213"/>
      <c r="AU392" s="213"/>
      <c r="AV392" s="213"/>
      <c r="AW392" s="213"/>
      <c r="AY392" s="213"/>
      <c r="AZ392" s="213"/>
      <c r="BA392" s="213"/>
      <c r="BB392" s="213"/>
      <c r="BC392" s="213"/>
      <c r="BD392" s="213"/>
      <c r="BE392" s="213"/>
      <c r="BF392" s="213"/>
      <c r="BG392" s="213"/>
      <c r="BH392" s="213"/>
      <c r="BI392" s="213"/>
    </row>
    <row r="393" spans="1:64" s="168" customFormat="1" ht="18" customHeight="1" thickBot="1">
      <c r="A393" s="143"/>
      <c r="B393" s="183" t="s">
        <v>32</v>
      </c>
      <c r="C393" s="147" t="s">
        <v>443</v>
      </c>
      <c r="D393" s="147" t="s">
        <v>443</v>
      </c>
      <c r="E393" s="147"/>
      <c r="F393" s="147"/>
      <c r="G393" s="147"/>
      <c r="H393" s="147"/>
      <c r="I393" s="147"/>
      <c r="J393" s="147"/>
      <c r="K393" s="147"/>
      <c r="L393" s="147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AO393" s="213"/>
      <c r="AP393" s="213"/>
      <c r="AQ393" s="213"/>
      <c r="AR393" s="213"/>
      <c r="AS393" s="213"/>
      <c r="AT393" s="213"/>
      <c r="AU393" s="213"/>
      <c r="AV393" s="213"/>
      <c r="AW393" s="213"/>
      <c r="AY393" s="213"/>
      <c r="AZ393" s="213"/>
      <c r="BA393" s="213"/>
      <c r="BB393" s="213"/>
      <c r="BC393" s="213"/>
      <c r="BD393" s="213"/>
      <c r="BE393" s="213"/>
      <c r="BF393" s="213"/>
      <c r="BG393" s="213"/>
      <c r="BH393" s="213"/>
    </row>
    <row r="394" spans="1:64" s="168" customFormat="1" ht="18" customHeight="1" thickBot="1">
      <c r="A394" s="143"/>
      <c r="B394" s="182" t="s">
        <v>45</v>
      </c>
      <c r="C394" s="145" t="s">
        <v>443</v>
      </c>
      <c r="D394" s="145" t="s">
        <v>443</v>
      </c>
      <c r="E394" s="145"/>
      <c r="F394" s="145"/>
      <c r="G394" s="145"/>
      <c r="H394" s="145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AO394" s="213"/>
      <c r="AP394" s="213"/>
      <c r="AQ394" s="213"/>
      <c r="AR394" s="213"/>
      <c r="AS394" s="213"/>
      <c r="AT394" s="213"/>
      <c r="AU394" s="213"/>
      <c r="AV394" s="213"/>
      <c r="AW394" s="213"/>
      <c r="AY394" s="213"/>
      <c r="AZ394" s="213"/>
      <c r="BA394" s="213"/>
      <c r="BB394" s="213"/>
      <c r="BC394" s="213"/>
      <c r="BD394" s="213"/>
      <c r="BE394" s="213"/>
      <c r="BF394" s="213"/>
      <c r="BG394" s="213"/>
      <c r="BH394" s="213"/>
    </row>
    <row r="395" spans="1:64" s="168" customFormat="1" ht="18" customHeight="1" thickBot="1">
      <c r="A395" s="143"/>
      <c r="B395" s="184" t="s">
        <v>54</v>
      </c>
      <c r="C395" s="146" t="s">
        <v>443</v>
      </c>
      <c r="D395" s="146" t="s">
        <v>443</v>
      </c>
      <c r="E395" s="146"/>
      <c r="F395" s="146"/>
      <c r="G395" s="146"/>
      <c r="H395" s="146"/>
      <c r="I395" s="146"/>
      <c r="J395" s="146"/>
      <c r="K395" s="146"/>
      <c r="L395" s="146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AO395" s="213"/>
      <c r="AP395" s="213"/>
      <c r="AQ395" s="213"/>
      <c r="AR395" s="213"/>
      <c r="AS395" s="213"/>
      <c r="AT395" s="213"/>
      <c r="AU395" s="213"/>
      <c r="AV395" s="213"/>
      <c r="AW395" s="213"/>
      <c r="AY395" s="213"/>
      <c r="AZ395" s="213"/>
      <c r="BA395" s="213"/>
      <c r="BB395" s="213"/>
      <c r="BC395" s="213"/>
      <c r="BD395" s="213"/>
      <c r="BE395" s="213"/>
      <c r="BF395" s="213"/>
      <c r="BG395" s="213"/>
      <c r="BH395" s="213"/>
    </row>
    <row r="396" spans="1:64" s="168" customFormat="1">
      <c r="A396" s="143"/>
      <c r="B396" s="182" t="s">
        <v>66</v>
      </c>
      <c r="C396" s="145"/>
      <c r="D396" s="145"/>
      <c r="E396" s="145"/>
      <c r="F396" s="145"/>
      <c r="G396" s="145"/>
      <c r="H396" s="125"/>
      <c r="I396" s="125"/>
      <c r="J396" s="125"/>
      <c r="K396" s="125"/>
      <c r="L396" s="12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AO396" s="213"/>
      <c r="AP396" s="213"/>
      <c r="AQ396" s="213"/>
      <c r="AR396" s="213"/>
      <c r="AS396" s="213"/>
      <c r="AT396" s="213"/>
      <c r="AU396" s="213"/>
      <c r="AV396" s="213"/>
      <c r="AW396" s="213"/>
      <c r="AY396" s="213"/>
      <c r="AZ396" s="213"/>
      <c r="BA396" s="213"/>
      <c r="BB396" s="213"/>
      <c r="BC396" s="213"/>
      <c r="BD396" s="213"/>
      <c r="BE396" s="213"/>
      <c r="BF396" s="213"/>
      <c r="BG396" s="213"/>
      <c r="BH396" s="213"/>
    </row>
    <row r="397" spans="1:64" s="168" customFormat="1">
      <c r="A397" s="143"/>
      <c r="B397" s="182" t="s">
        <v>158</v>
      </c>
      <c r="C397" s="126" t="s">
        <v>443</v>
      </c>
      <c r="D397" s="126" t="s">
        <v>443</v>
      </c>
      <c r="E397" s="126"/>
      <c r="F397" s="126"/>
      <c r="G397" s="126"/>
      <c r="H397" s="126"/>
      <c r="I397" s="126"/>
      <c r="J397" s="126"/>
      <c r="K397" s="126"/>
      <c r="L397" s="126"/>
      <c r="M397" s="126"/>
      <c r="N397" s="126"/>
      <c r="O397" s="126"/>
      <c r="P397" s="126"/>
      <c r="Q397" s="126"/>
      <c r="R397" s="126"/>
      <c r="S397" s="126"/>
      <c r="T397" s="126"/>
      <c r="U397" s="126"/>
      <c r="V397" s="126"/>
      <c r="W397" s="126"/>
      <c r="AO397" s="213"/>
      <c r="AP397" s="213"/>
      <c r="AQ397" s="213"/>
      <c r="AR397" s="213"/>
      <c r="AS397" s="213"/>
      <c r="AT397" s="213"/>
      <c r="AU397" s="213"/>
      <c r="AV397" s="213"/>
      <c r="AW397" s="213"/>
      <c r="AY397" s="213"/>
      <c r="AZ397" s="213"/>
      <c r="BA397" s="213"/>
      <c r="BB397" s="213"/>
      <c r="BC397" s="213"/>
      <c r="BD397" s="213"/>
      <c r="BE397" s="213"/>
      <c r="BF397" s="213"/>
      <c r="BG397" s="213"/>
      <c r="BH397" s="213"/>
    </row>
    <row r="398" spans="1:64" s="168" customFormat="1">
      <c r="A398" s="143"/>
      <c r="B398" s="182" t="s">
        <v>191</v>
      </c>
      <c r="C398" s="127">
        <v>69</v>
      </c>
      <c r="D398" s="127">
        <v>69</v>
      </c>
      <c r="E398" s="127"/>
      <c r="F398" s="127"/>
      <c r="G398" s="127"/>
      <c r="H398" s="126"/>
      <c r="I398" s="126"/>
      <c r="J398" s="126"/>
      <c r="K398" s="126"/>
      <c r="L398" s="126"/>
      <c r="M398" s="126"/>
      <c r="N398" s="126"/>
      <c r="O398" s="126"/>
      <c r="P398" s="126"/>
      <c r="Q398" s="126"/>
      <c r="R398" s="126"/>
      <c r="S398" s="126"/>
      <c r="T398" s="126"/>
      <c r="U398" s="126"/>
      <c r="V398" s="126"/>
      <c r="W398" s="126"/>
      <c r="AO398" s="214"/>
      <c r="AP398" s="214"/>
      <c r="AQ398" s="214"/>
      <c r="AR398" s="214"/>
      <c r="AS398" s="214"/>
      <c r="AT398" s="213"/>
      <c r="AU398" s="213"/>
      <c r="AV398" s="213"/>
      <c r="AW398" s="213"/>
      <c r="AY398" s="213"/>
      <c r="AZ398" s="213"/>
      <c r="BA398" s="213"/>
      <c r="BB398" s="213"/>
      <c r="BC398" s="213"/>
      <c r="BD398" s="213"/>
      <c r="BE398" s="213"/>
      <c r="BF398" s="213"/>
      <c r="BG398" s="213"/>
      <c r="BH398" s="213"/>
    </row>
    <row r="399" spans="1:64" s="168" customFormat="1" ht="15" thickBot="1">
      <c r="A399" s="143"/>
      <c r="B399" s="182" t="s">
        <v>442</v>
      </c>
      <c r="C399" s="126">
        <v>4</v>
      </c>
      <c r="D399" s="315">
        <v>1</v>
      </c>
      <c r="E399" s="315"/>
      <c r="F399" s="315"/>
      <c r="G399" s="315"/>
      <c r="H399" s="315"/>
      <c r="I399" s="315"/>
      <c r="J399" s="315"/>
      <c r="K399" s="315"/>
      <c r="L399" s="315"/>
      <c r="M399" s="126"/>
      <c r="N399" s="126"/>
      <c r="O399" s="126"/>
      <c r="P399" s="126"/>
      <c r="Q399" s="126"/>
      <c r="R399" s="126"/>
      <c r="S399" s="126"/>
      <c r="T399" s="126"/>
      <c r="U399" s="126"/>
      <c r="V399" s="126"/>
      <c r="W399" s="126"/>
      <c r="AO399" s="213"/>
      <c r="AP399" s="213"/>
      <c r="AQ399" s="213"/>
      <c r="AR399" s="213"/>
      <c r="AS399" s="213"/>
      <c r="AT399" s="213"/>
      <c r="AU399" s="213"/>
      <c r="AV399" s="213"/>
      <c r="AW399" s="213"/>
      <c r="AY399" s="213"/>
      <c r="AZ399" s="213"/>
      <c r="BA399" s="213"/>
      <c r="BB399" s="213"/>
      <c r="BC399" s="213"/>
      <c r="BD399" s="213"/>
      <c r="BE399" s="213"/>
      <c r="BF399" s="213"/>
      <c r="BG399" s="213"/>
      <c r="BH399" s="213"/>
    </row>
    <row r="400" spans="1:64" s="168" customFormat="1">
      <c r="A400" s="143"/>
      <c r="B400" s="338" t="s">
        <v>166</v>
      </c>
      <c r="C400" s="316" t="str">
        <f>IF(OR(C403="**",C403=""),"",VALUE(C403))</f>
        <v/>
      </c>
      <c r="D400" s="316" t="str">
        <f t="shared" ref="D400:J400" si="38">IF(OR(D403="**",D403=""),"",VALUE(D403))</f>
        <v/>
      </c>
      <c r="E400" s="316" t="str">
        <f t="shared" si="38"/>
        <v/>
      </c>
      <c r="F400" s="316" t="str">
        <f t="shared" si="38"/>
        <v/>
      </c>
      <c r="G400" s="316" t="str">
        <f t="shared" si="38"/>
        <v/>
      </c>
      <c r="H400" s="316" t="str">
        <f t="shared" si="38"/>
        <v/>
      </c>
      <c r="I400" s="316" t="str">
        <f t="shared" si="38"/>
        <v/>
      </c>
      <c r="J400" s="316" t="str">
        <f t="shared" si="38"/>
        <v/>
      </c>
      <c r="K400" s="316"/>
      <c r="L400" s="316"/>
      <c r="M400" s="126"/>
      <c r="N400" s="126"/>
      <c r="O400" s="126"/>
      <c r="P400" s="126"/>
      <c r="Q400" s="126"/>
      <c r="R400" s="126"/>
      <c r="S400" s="126"/>
      <c r="T400" s="126"/>
      <c r="U400" s="126"/>
      <c r="V400" s="126"/>
      <c r="W400" s="126"/>
      <c r="AO400" s="213"/>
      <c r="AP400" s="213"/>
      <c r="AQ400" s="213"/>
      <c r="AR400" s="213"/>
      <c r="AS400" s="213"/>
      <c r="AT400" s="213"/>
      <c r="AU400" s="213"/>
      <c r="AV400" s="213"/>
      <c r="AW400" s="213"/>
      <c r="AY400" s="213"/>
      <c r="AZ400" s="213"/>
      <c r="BA400" s="213"/>
      <c r="BB400" s="213"/>
      <c r="BC400" s="213"/>
      <c r="BD400" s="213"/>
      <c r="BE400" s="213"/>
      <c r="BF400" s="213"/>
      <c r="BG400" s="213"/>
      <c r="BH400" s="213"/>
    </row>
    <row r="401" spans="1:60" s="168" customFormat="1" ht="15" thickBot="1">
      <c r="A401" s="143"/>
      <c r="B401" s="339" t="s">
        <v>165</v>
      </c>
      <c r="C401" s="317" t="str">
        <f t="shared" ref="C401:J401" si="39">IF(OR(C397="**",C397=""),"",VALUE(C397))</f>
        <v/>
      </c>
      <c r="D401" s="317" t="str">
        <f t="shared" si="39"/>
        <v/>
      </c>
      <c r="E401" s="317" t="str">
        <f t="shared" si="39"/>
        <v/>
      </c>
      <c r="F401" s="317" t="str">
        <f t="shared" si="39"/>
        <v/>
      </c>
      <c r="G401" s="317" t="str">
        <f t="shared" si="39"/>
        <v/>
      </c>
      <c r="H401" s="317" t="str">
        <f t="shared" si="39"/>
        <v/>
      </c>
      <c r="I401" s="317" t="str">
        <f t="shared" si="39"/>
        <v/>
      </c>
      <c r="J401" s="317" t="str">
        <f t="shared" si="39"/>
        <v/>
      </c>
      <c r="K401" s="317"/>
      <c r="L401" s="317"/>
      <c r="M401" s="169"/>
      <c r="N401" s="169"/>
      <c r="O401" s="169"/>
      <c r="P401" s="169"/>
      <c r="Q401" s="169"/>
      <c r="R401" s="169"/>
      <c r="S401" s="169"/>
      <c r="T401" s="169"/>
      <c r="U401" s="169"/>
      <c r="V401" s="169"/>
      <c r="W401" s="169"/>
      <c r="AO401" s="169"/>
      <c r="AP401" s="169"/>
      <c r="AQ401" s="169"/>
      <c r="AR401" s="169"/>
      <c r="AS401" s="169"/>
      <c r="AT401" s="169"/>
      <c r="AU401" s="169"/>
      <c r="AV401" s="169"/>
      <c r="AW401" s="213"/>
      <c r="AX401" s="213"/>
      <c r="AY401" s="213"/>
      <c r="AZ401" s="213"/>
      <c r="BA401" s="213"/>
      <c r="BB401" s="213"/>
      <c r="BC401" s="213"/>
      <c r="BD401" s="213"/>
      <c r="BE401" s="213"/>
      <c r="BF401" s="213"/>
      <c r="BG401" s="213"/>
      <c r="BH401" s="213"/>
    </row>
    <row r="402" spans="1:60" s="168" customFormat="1">
      <c r="A402" s="143"/>
      <c r="B402" s="340" t="s">
        <v>483</v>
      </c>
      <c r="C402" s="167" t="s">
        <v>844</v>
      </c>
      <c r="D402" s="167" t="s">
        <v>845</v>
      </c>
      <c r="E402" s="167"/>
      <c r="F402" s="167"/>
      <c r="G402" s="167"/>
      <c r="H402" s="166"/>
      <c r="I402" s="166"/>
      <c r="J402" s="166"/>
      <c r="K402" s="166"/>
      <c r="L402" s="166"/>
    </row>
    <row r="403" spans="1:60" s="168" customFormat="1">
      <c r="A403" s="143"/>
      <c r="B403" s="182" t="s">
        <v>158</v>
      </c>
      <c r="C403" s="165" t="s">
        <v>443</v>
      </c>
      <c r="D403" s="165" t="s">
        <v>443</v>
      </c>
      <c r="E403" s="165"/>
      <c r="F403" s="165"/>
      <c r="G403" s="165"/>
      <c r="H403" s="166"/>
      <c r="I403" s="166"/>
      <c r="J403" s="166"/>
      <c r="K403" s="166"/>
      <c r="L403" s="166"/>
    </row>
    <row r="404" spans="1:60" s="169" customFormat="1">
      <c r="A404" s="143"/>
      <c r="B404" s="340" t="s">
        <v>442</v>
      </c>
      <c r="C404" s="165">
        <v>0</v>
      </c>
      <c r="D404" s="165">
        <v>0</v>
      </c>
      <c r="E404" s="165"/>
      <c r="F404" s="165"/>
      <c r="G404" s="165"/>
      <c r="H404" s="165"/>
      <c r="I404" s="165"/>
      <c r="J404" s="165"/>
      <c r="K404" s="165"/>
      <c r="L404" s="165"/>
      <c r="M404" s="168"/>
      <c r="N404" s="168"/>
      <c r="O404" s="168"/>
      <c r="P404" s="168"/>
      <c r="Q404" s="168"/>
      <c r="R404" s="168"/>
      <c r="S404" s="168"/>
      <c r="T404" s="168"/>
      <c r="U404" s="168"/>
      <c r="V404" s="168"/>
      <c r="W404" s="168"/>
      <c r="X404" s="168"/>
      <c r="Y404" s="168"/>
      <c r="Z404" s="168"/>
      <c r="AA404" s="168"/>
      <c r="AB404" s="168"/>
      <c r="AC404" s="168"/>
      <c r="AD404" s="168"/>
      <c r="AE404" s="168"/>
      <c r="AF404" s="168"/>
      <c r="AG404" s="168"/>
      <c r="AH404" s="168"/>
      <c r="AI404" s="168"/>
      <c r="AJ404" s="168"/>
      <c r="AK404" s="168"/>
      <c r="AL404" s="168"/>
      <c r="AM404" s="168"/>
      <c r="AN404" s="168"/>
      <c r="AO404" s="168"/>
      <c r="AP404" s="168"/>
      <c r="AQ404" s="168"/>
      <c r="AR404" s="168"/>
      <c r="AS404" s="168"/>
      <c r="AT404" s="168"/>
      <c r="AU404" s="168"/>
      <c r="AV404" s="168"/>
      <c r="AW404" s="168"/>
      <c r="AX404" s="168"/>
      <c r="AY404" s="168"/>
      <c r="AZ404" s="168"/>
      <c r="BA404" s="168"/>
      <c r="BB404" s="168"/>
      <c r="BC404" s="168"/>
      <c r="BD404" s="168"/>
      <c r="BE404" s="203"/>
      <c r="BF404" s="204"/>
    </row>
    <row r="405" spans="1:60" s="168" customFormat="1">
      <c r="A405" s="165"/>
      <c r="B405" s="166"/>
      <c r="C405" s="166"/>
      <c r="D405" s="166"/>
      <c r="E405" s="166"/>
      <c r="F405" s="166"/>
      <c r="G405" s="143"/>
      <c r="H405" s="143"/>
      <c r="I405" s="143"/>
      <c r="J405" s="143"/>
      <c r="K405" s="143"/>
      <c r="L405" s="143"/>
      <c r="AI405" s="213"/>
      <c r="AJ405" s="213"/>
      <c r="AK405" s="213"/>
      <c r="AL405" s="213"/>
      <c r="AM405" s="213"/>
      <c r="AN405" s="213"/>
      <c r="AO405" s="213"/>
      <c r="AP405" s="213"/>
      <c r="AQ405" s="213"/>
      <c r="AR405" s="213"/>
      <c r="AS405" s="213"/>
      <c r="AT405" s="213"/>
      <c r="AU405" s="213"/>
      <c r="AV405" s="213"/>
      <c r="AW405" s="213"/>
      <c r="AX405" s="213"/>
      <c r="AY405" s="213"/>
      <c r="AZ405" s="213"/>
      <c r="BA405" s="213"/>
      <c r="BB405" s="213"/>
      <c r="BC405" s="213"/>
    </row>
    <row r="406" spans="1:60" s="168" customFormat="1">
      <c r="A406" s="143"/>
      <c r="B406" s="143"/>
      <c r="C406" s="143"/>
      <c r="D406" s="143"/>
      <c r="E406" s="143"/>
      <c r="F406" s="143"/>
      <c r="G406" s="143"/>
      <c r="H406" s="143"/>
      <c r="I406" s="143"/>
      <c r="J406" s="143"/>
      <c r="K406" s="143"/>
      <c r="L406" s="143"/>
    </row>
    <row r="407" spans="1:60" s="168" customFormat="1">
      <c r="A407" s="143"/>
      <c r="B407" s="143"/>
      <c r="C407" s="143"/>
      <c r="D407" s="143"/>
      <c r="E407" s="143"/>
      <c r="F407" s="143"/>
      <c r="G407" s="143"/>
      <c r="H407" s="143"/>
      <c r="I407" s="143"/>
      <c r="J407" s="143"/>
      <c r="K407" s="143"/>
      <c r="L407" s="143"/>
    </row>
    <row r="408" spans="1:60" s="168" customFormat="1" ht="14.25" customHeight="1">
      <c r="A408" s="143"/>
      <c r="B408" s="143"/>
      <c r="C408" s="143"/>
      <c r="D408" s="143"/>
      <c r="E408" s="143"/>
      <c r="F408" s="143"/>
      <c r="G408" s="143"/>
      <c r="H408" s="143"/>
      <c r="I408" s="143"/>
      <c r="J408" s="143"/>
      <c r="K408" s="143"/>
      <c r="L408" s="143"/>
    </row>
    <row r="409" spans="1:60" s="213" customFormat="1" ht="14.25" customHeight="1">
      <c r="A409" s="143" t="s">
        <v>183</v>
      </c>
      <c r="B409" s="143"/>
      <c r="C409" s="143"/>
      <c r="D409" s="164"/>
      <c r="E409" s="172"/>
      <c r="F409" s="165"/>
      <c r="G409" s="165"/>
      <c r="H409" s="165"/>
      <c r="I409" s="165"/>
      <c r="J409" s="165"/>
      <c r="K409" s="165"/>
      <c r="L409" s="165"/>
      <c r="M409" s="169"/>
      <c r="N409" s="169"/>
      <c r="O409" s="169"/>
      <c r="P409" s="169"/>
      <c r="Q409" s="169"/>
      <c r="R409" s="169"/>
      <c r="S409" s="169"/>
      <c r="T409" s="169"/>
      <c r="U409" s="169"/>
      <c r="V409" s="169"/>
      <c r="W409" s="169"/>
      <c r="X409" s="168"/>
      <c r="Y409" s="168"/>
      <c r="Z409" s="168"/>
      <c r="AA409" s="168"/>
      <c r="AB409" s="168"/>
      <c r="AC409" s="168"/>
      <c r="AD409" s="168"/>
      <c r="AE409" s="168"/>
      <c r="AF409" s="168"/>
      <c r="AG409" s="168"/>
      <c r="AH409" s="168"/>
      <c r="AI409" s="168"/>
      <c r="AJ409" s="168"/>
      <c r="AK409" s="168"/>
      <c r="AL409" s="168"/>
      <c r="AM409" s="168"/>
      <c r="AN409" s="168"/>
      <c r="AO409" s="168"/>
      <c r="AP409" s="168"/>
      <c r="AQ409" s="168"/>
    </row>
    <row r="410" spans="1:60" s="168" customFormat="1" ht="14.25" customHeight="1">
      <c r="A410" s="167">
        <v>2</v>
      </c>
      <c r="B410" s="167"/>
      <c r="C410" s="143"/>
      <c r="D410" s="143"/>
      <c r="E410" s="143"/>
      <c r="F410" s="143"/>
      <c r="G410" s="143"/>
      <c r="H410" s="143"/>
      <c r="I410" s="143"/>
      <c r="J410" s="143"/>
      <c r="K410" s="143"/>
      <c r="L410" s="143"/>
    </row>
    <row r="411" spans="1:60" s="168" customFormat="1" ht="14.25" customHeight="1">
      <c r="A411" s="143"/>
      <c r="B411" s="143"/>
      <c r="C411" s="143"/>
      <c r="D411" s="143"/>
      <c r="E411" s="143"/>
      <c r="F411" s="143"/>
      <c r="G411" s="143"/>
      <c r="H411" s="143"/>
      <c r="I411" s="143"/>
      <c r="J411" s="143"/>
      <c r="K411" s="143"/>
      <c r="L411" s="143"/>
    </row>
    <row r="412" spans="1:60" s="168" customFormat="1" ht="14.25" customHeight="1">
      <c r="A412" s="143"/>
      <c r="B412" s="143"/>
      <c r="C412" s="143"/>
      <c r="D412" s="143"/>
      <c r="E412" s="143"/>
      <c r="F412" s="143"/>
      <c r="G412" s="143"/>
      <c r="H412" s="143"/>
      <c r="I412" s="143"/>
      <c r="J412" s="143"/>
      <c r="K412" s="143"/>
      <c r="L412" s="143"/>
    </row>
    <row r="413" spans="1:60" s="213" customFormat="1" ht="14.25" customHeight="1">
      <c r="A413" s="143"/>
      <c r="B413" s="143"/>
      <c r="C413" s="143"/>
      <c r="D413" s="143"/>
      <c r="E413" s="143"/>
      <c r="F413" s="143"/>
      <c r="G413" s="143"/>
      <c r="H413" s="143"/>
      <c r="I413" s="143"/>
      <c r="J413" s="143"/>
      <c r="K413" s="143"/>
      <c r="L413" s="143"/>
      <c r="M413" s="168"/>
      <c r="N413" s="168"/>
      <c r="O413" s="168"/>
      <c r="P413" s="168"/>
      <c r="Q413" s="168"/>
      <c r="R413" s="168"/>
      <c r="S413" s="168"/>
      <c r="T413" s="168"/>
      <c r="U413" s="168"/>
      <c r="V413" s="168"/>
      <c r="W413" s="168"/>
      <c r="X413" s="170"/>
      <c r="Y413" s="168"/>
      <c r="Z413" s="168"/>
      <c r="AA413" s="168"/>
      <c r="AB413" s="168"/>
      <c r="AC413" s="168"/>
      <c r="AD413" s="168"/>
      <c r="AE413" s="168"/>
      <c r="AF413" s="168"/>
      <c r="AG413" s="168"/>
      <c r="AH413" s="168"/>
      <c r="AI413" s="168"/>
      <c r="AJ413" s="168"/>
      <c r="AK413" s="168"/>
      <c r="AL413" s="168"/>
      <c r="AM413" s="168"/>
      <c r="AN413" s="168"/>
      <c r="AO413" s="168"/>
      <c r="AP413" s="168"/>
      <c r="AQ413" s="168"/>
      <c r="AR413" s="168"/>
      <c r="AS413" s="168"/>
      <c r="AT413" s="168"/>
      <c r="AU413" s="168"/>
      <c r="AV413" s="168"/>
      <c r="AW413" s="168"/>
      <c r="AX413" s="168"/>
      <c r="AY413" s="168"/>
      <c r="AZ413" s="168"/>
    </row>
    <row r="414" spans="1:60" s="168" customFormat="1" ht="14.25" customHeight="1">
      <c r="A414" s="167"/>
      <c r="B414" s="167"/>
      <c r="C414" s="167"/>
      <c r="D414" s="167"/>
      <c r="E414" s="167"/>
      <c r="F414" s="167"/>
      <c r="G414" s="167"/>
      <c r="H414" s="167"/>
      <c r="I414" s="167"/>
      <c r="J414" s="167"/>
      <c r="K414" s="167"/>
      <c r="L414" s="167"/>
      <c r="M414" s="213"/>
      <c r="N414" s="213"/>
      <c r="O414" s="213"/>
      <c r="P414" s="213"/>
      <c r="Q414" s="213"/>
      <c r="R414" s="213"/>
      <c r="S414" s="213"/>
      <c r="T414" s="213"/>
      <c r="U414" s="213"/>
      <c r="V414" s="213"/>
      <c r="W414" s="213"/>
    </row>
    <row r="415" spans="1:60" s="168" customFormat="1" ht="14.25" customHeight="1">
      <c r="A415" s="143"/>
      <c r="B415" s="143"/>
      <c r="C415" s="143"/>
      <c r="D415" s="143"/>
      <c r="E415" s="143"/>
      <c r="F415" s="143"/>
      <c r="G415" s="143"/>
      <c r="H415" s="143"/>
      <c r="I415" s="143"/>
      <c r="J415" s="143"/>
      <c r="K415" s="143"/>
      <c r="L415" s="143"/>
    </row>
    <row r="416" spans="1:60" s="168" customFormat="1" ht="14.25" customHeight="1">
      <c r="A416" s="143"/>
      <c r="B416" s="143"/>
      <c r="C416" s="143"/>
      <c r="D416" s="143"/>
      <c r="E416" s="143"/>
      <c r="F416" s="143"/>
      <c r="G416" s="143"/>
      <c r="H416" s="143"/>
      <c r="I416" s="143"/>
      <c r="J416" s="143"/>
      <c r="K416" s="143"/>
      <c r="L416" s="143"/>
    </row>
    <row r="417" spans="1:64" s="213" customFormat="1" ht="14.25" customHeight="1">
      <c r="A417" s="143"/>
      <c r="B417" s="143"/>
      <c r="C417" s="143"/>
      <c r="D417" s="143"/>
      <c r="E417" s="143"/>
      <c r="F417" s="143"/>
      <c r="G417" s="143"/>
      <c r="H417" s="143"/>
      <c r="I417" s="143"/>
      <c r="J417" s="143"/>
      <c r="K417" s="143"/>
      <c r="L417" s="143"/>
      <c r="M417" s="168"/>
      <c r="N417" s="168"/>
      <c r="O417" s="168"/>
      <c r="P417" s="168"/>
      <c r="Q417" s="168"/>
      <c r="R417" s="168"/>
      <c r="S417" s="168"/>
      <c r="T417" s="168"/>
      <c r="U417" s="168"/>
      <c r="V417" s="168"/>
      <c r="W417" s="168"/>
      <c r="X417" s="169"/>
      <c r="Y417" s="169"/>
      <c r="Z417" s="169"/>
      <c r="AA417" s="169"/>
      <c r="AB417" s="169"/>
      <c r="AC417" s="170"/>
      <c r="AD417" s="170"/>
      <c r="AE417" s="170"/>
      <c r="AF417" s="170"/>
      <c r="AG417" s="170"/>
      <c r="AH417" s="168"/>
      <c r="AI417" s="168"/>
      <c r="AJ417" s="168"/>
      <c r="AK417" s="168"/>
      <c r="AL417" s="168"/>
      <c r="AM417" s="168"/>
      <c r="AN417" s="168"/>
      <c r="AO417" s="168"/>
      <c r="AP417" s="168"/>
      <c r="AQ417" s="168"/>
      <c r="AR417" s="168"/>
      <c r="AS417" s="168"/>
      <c r="AT417" s="168"/>
      <c r="AU417" s="168"/>
      <c r="AV417" s="168"/>
      <c r="AW417" s="168"/>
      <c r="AX417" s="168"/>
      <c r="AY417" s="168"/>
      <c r="AZ417" s="168"/>
      <c r="BA417" s="168"/>
      <c r="BB417" s="168"/>
      <c r="BC417" s="168"/>
      <c r="BD417" s="168"/>
      <c r="BE417" s="168"/>
      <c r="BF417" s="168"/>
      <c r="BG417" s="168"/>
      <c r="BH417" s="168"/>
      <c r="BI417" s="168"/>
    </row>
    <row r="418" spans="1:64" s="168" customFormat="1" ht="14.25" customHeight="1">
      <c r="A418" s="167"/>
      <c r="B418" s="167"/>
      <c r="C418" s="167"/>
      <c r="D418" s="167"/>
      <c r="E418" s="167"/>
      <c r="F418" s="167"/>
      <c r="G418" s="167"/>
      <c r="H418" s="167"/>
      <c r="I418" s="167"/>
      <c r="J418" s="167"/>
      <c r="K418" s="167"/>
      <c r="L418" s="167"/>
      <c r="M418" s="213"/>
      <c r="N418" s="213"/>
      <c r="O418" s="213"/>
      <c r="P418" s="213"/>
      <c r="Q418" s="213"/>
      <c r="R418" s="213"/>
      <c r="S418" s="213"/>
      <c r="T418" s="213"/>
      <c r="U418" s="213"/>
      <c r="V418" s="213"/>
      <c r="W418" s="213"/>
    </row>
    <row r="419" spans="1:64" s="168" customFormat="1" ht="14.25" customHeight="1">
      <c r="A419" s="143">
        <f>A389+1</f>
        <v>14</v>
      </c>
      <c r="B419" s="143"/>
      <c r="C419" s="187" t="str">
        <f>IF($A$1 = 1, (IF("("&amp;C429&amp;")" ="()","","("&amp;C429&amp;")")), (IF("("&amp;C434&amp;")     ("&amp;C429&amp;")"="()     ()","","("&amp;C434&amp;")     ("&amp;C429&amp;")")))</f>
        <v>(0)     (1)</v>
      </c>
      <c r="D419" s="187" t="str">
        <f t="shared" ref="D419:J419" si="40">IF($A$1 = 1, (IF("("&amp;D429&amp;")" ="()","","("&amp;D429&amp;")")), (IF("("&amp;D434&amp;")     ("&amp;D429&amp;")"="()     ()","","("&amp;D434&amp;")     ("&amp;D429&amp;")")))</f>
        <v>(3)     (4)</v>
      </c>
      <c r="E419" s="187" t="str">
        <f t="shared" si="40"/>
        <v/>
      </c>
      <c r="F419" s="187" t="str">
        <f t="shared" si="40"/>
        <v/>
      </c>
      <c r="G419" s="187" t="str">
        <f t="shared" si="40"/>
        <v/>
      </c>
      <c r="H419" s="187" t="str">
        <f t="shared" si="40"/>
        <v/>
      </c>
      <c r="I419" s="187" t="str">
        <f t="shared" si="40"/>
        <v/>
      </c>
      <c r="J419" s="187" t="str">
        <f t="shared" si="40"/>
        <v/>
      </c>
      <c r="K419" s="187"/>
      <c r="L419" s="187"/>
      <c r="M419" s="220"/>
      <c r="N419" s="220"/>
      <c r="O419" s="220"/>
      <c r="P419" s="220"/>
      <c r="Q419" s="220"/>
      <c r="R419" s="220"/>
      <c r="S419" s="220"/>
      <c r="T419" s="220"/>
      <c r="U419" s="220"/>
      <c r="V419" s="220"/>
      <c r="W419" s="220"/>
    </row>
    <row r="420" spans="1:64" s="168" customFormat="1" ht="59.1" customHeight="1">
      <c r="A420" s="143"/>
      <c r="B420" s="177"/>
      <c r="C420" s="178" t="s">
        <v>846</v>
      </c>
      <c r="D420" s="178" t="s">
        <v>847</v>
      </c>
      <c r="E420" s="178"/>
      <c r="F420" s="178"/>
      <c r="G420" s="178"/>
      <c r="H420" s="178"/>
      <c r="I420" s="178"/>
      <c r="J420" s="178"/>
      <c r="K420" s="178"/>
      <c r="L420" s="178"/>
      <c r="M420" s="208"/>
      <c r="N420" s="208"/>
      <c r="O420" s="208"/>
      <c r="P420" s="208"/>
      <c r="Q420" s="208"/>
      <c r="R420" s="208"/>
      <c r="S420" s="208"/>
      <c r="T420" s="208"/>
      <c r="U420" s="208"/>
      <c r="V420" s="208"/>
      <c r="W420" s="208"/>
      <c r="X420" s="210"/>
      <c r="Y420" s="210"/>
      <c r="Z420" s="210"/>
      <c r="AA420" s="210"/>
      <c r="AB420" s="210"/>
      <c r="AC420" s="210"/>
      <c r="AD420" s="210"/>
      <c r="AE420" s="210"/>
      <c r="AF420" s="210"/>
      <c r="AG420" s="210"/>
      <c r="AH420" s="210"/>
      <c r="AI420" s="210"/>
      <c r="AJ420" s="210"/>
      <c r="AK420" s="210"/>
      <c r="AL420" s="210"/>
      <c r="AM420" s="210"/>
      <c r="AN420" s="210"/>
      <c r="AO420" s="216"/>
      <c r="AP420" s="216"/>
      <c r="AQ420" s="216"/>
      <c r="AR420" s="216"/>
      <c r="AS420" s="216"/>
      <c r="AT420" s="216"/>
      <c r="AU420" s="216"/>
      <c r="AV420" s="216"/>
      <c r="AW420" s="216"/>
      <c r="AX420" s="210"/>
      <c r="AY420" s="216"/>
      <c r="AZ420" s="216"/>
      <c r="BA420" s="216"/>
      <c r="BB420" s="216"/>
      <c r="BC420" s="216"/>
      <c r="BD420" s="216"/>
      <c r="BE420" s="216"/>
      <c r="BF420" s="216"/>
      <c r="BG420" s="216"/>
      <c r="BH420" s="216"/>
      <c r="BI420" s="216"/>
      <c r="BJ420" s="210"/>
      <c r="BK420" s="210"/>
      <c r="BL420" s="210"/>
    </row>
    <row r="421" spans="1:64" s="168" customFormat="1" ht="18" customHeight="1" thickBot="1">
      <c r="A421" s="143"/>
      <c r="B421" s="181" t="s">
        <v>3</v>
      </c>
      <c r="C421" s="148" t="s">
        <v>443</v>
      </c>
      <c r="D421" s="148" t="s">
        <v>443</v>
      </c>
      <c r="E421" s="148"/>
      <c r="F421" s="148"/>
      <c r="G421" s="148"/>
      <c r="H421" s="148"/>
      <c r="I421" s="148"/>
      <c r="J421" s="148"/>
      <c r="K421" s="148"/>
      <c r="L421" s="148"/>
      <c r="M421" s="211"/>
      <c r="N421" s="211"/>
      <c r="O421" s="211"/>
      <c r="P421" s="211"/>
      <c r="Q421" s="211"/>
      <c r="R421" s="211"/>
      <c r="S421" s="211"/>
      <c r="T421" s="211"/>
      <c r="U421" s="211"/>
      <c r="V421" s="211"/>
      <c r="W421" s="211"/>
      <c r="AO421" s="213"/>
      <c r="AP421" s="213"/>
      <c r="AQ421" s="213"/>
      <c r="AR421" s="213"/>
      <c r="AS421" s="213"/>
      <c r="AT421" s="213"/>
      <c r="AU421" s="213"/>
      <c r="AV421" s="213"/>
      <c r="AW421" s="213"/>
      <c r="AY421" s="213"/>
      <c r="AZ421" s="213"/>
      <c r="BA421" s="213"/>
      <c r="BB421" s="213"/>
      <c r="BC421" s="213"/>
      <c r="BD421" s="213"/>
      <c r="BE421" s="213"/>
      <c r="BF421" s="213"/>
      <c r="BG421" s="213"/>
      <c r="BH421" s="213"/>
      <c r="BI421" s="213"/>
    </row>
    <row r="422" spans="1:64" s="168" customFormat="1" ht="18" customHeight="1" thickBot="1">
      <c r="A422" s="143"/>
      <c r="B422" s="182" t="s">
        <v>18</v>
      </c>
      <c r="C422" s="148" t="s">
        <v>443</v>
      </c>
      <c r="D422" s="148" t="s">
        <v>443</v>
      </c>
      <c r="E422" s="148"/>
      <c r="F422" s="148"/>
      <c r="G422" s="148"/>
      <c r="H422" s="148"/>
      <c r="I422" s="148"/>
      <c r="J422" s="148"/>
      <c r="K422" s="148"/>
      <c r="L422" s="148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AO422" s="213"/>
      <c r="AP422" s="213"/>
      <c r="AQ422" s="213"/>
      <c r="AR422" s="213"/>
      <c r="AS422" s="213"/>
      <c r="AT422" s="213"/>
      <c r="AU422" s="213"/>
      <c r="AV422" s="213"/>
      <c r="AW422" s="213"/>
      <c r="AY422" s="213"/>
      <c r="AZ422" s="213"/>
      <c r="BA422" s="213"/>
      <c r="BB422" s="213"/>
      <c r="BC422" s="213"/>
      <c r="BD422" s="213"/>
      <c r="BE422" s="213"/>
      <c r="BF422" s="213"/>
      <c r="BG422" s="213"/>
      <c r="BH422" s="213"/>
      <c r="BI422" s="213"/>
    </row>
    <row r="423" spans="1:64" s="168" customFormat="1" ht="18" customHeight="1" thickBot="1">
      <c r="A423" s="143"/>
      <c r="B423" s="183" t="s">
        <v>32</v>
      </c>
      <c r="C423" s="147" t="s">
        <v>443</v>
      </c>
      <c r="D423" s="147" t="s">
        <v>443</v>
      </c>
      <c r="E423" s="147"/>
      <c r="F423" s="147"/>
      <c r="G423" s="147"/>
      <c r="H423" s="147"/>
      <c r="I423" s="147"/>
      <c r="J423" s="147"/>
      <c r="K423" s="147"/>
      <c r="L423" s="147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AO423" s="213"/>
      <c r="AP423" s="213"/>
      <c r="AQ423" s="213"/>
      <c r="AR423" s="213"/>
      <c r="AS423" s="213"/>
      <c r="AT423" s="213"/>
      <c r="AU423" s="213"/>
      <c r="AV423" s="213"/>
      <c r="AW423" s="213"/>
      <c r="AY423" s="213"/>
      <c r="AZ423" s="213"/>
      <c r="BA423" s="213"/>
      <c r="BB423" s="213"/>
      <c r="BC423" s="213"/>
      <c r="BD423" s="213"/>
      <c r="BE423" s="213"/>
      <c r="BF423" s="213"/>
      <c r="BG423" s="213"/>
      <c r="BH423" s="213"/>
    </row>
    <row r="424" spans="1:64" s="168" customFormat="1" ht="18" customHeight="1" thickBot="1">
      <c r="A424" s="143"/>
      <c r="B424" s="182" t="s">
        <v>45</v>
      </c>
      <c r="C424" s="145" t="s">
        <v>443</v>
      </c>
      <c r="D424" s="145" t="s">
        <v>443</v>
      </c>
      <c r="E424" s="145"/>
      <c r="F424" s="145"/>
      <c r="G424" s="145"/>
      <c r="H424" s="145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AO424" s="213"/>
      <c r="AP424" s="213"/>
      <c r="AQ424" s="213"/>
      <c r="AR424" s="213"/>
      <c r="AS424" s="213"/>
      <c r="AT424" s="213"/>
      <c r="AU424" s="213"/>
      <c r="AV424" s="213"/>
      <c r="AW424" s="213"/>
      <c r="AY424" s="213"/>
      <c r="AZ424" s="213"/>
      <c r="BA424" s="213"/>
      <c r="BB424" s="213"/>
      <c r="BC424" s="213"/>
      <c r="BD424" s="213"/>
      <c r="BE424" s="213"/>
      <c r="BF424" s="213"/>
      <c r="BG424" s="213"/>
      <c r="BH424" s="213"/>
    </row>
    <row r="425" spans="1:64" s="168" customFormat="1" ht="18" customHeight="1" thickBot="1">
      <c r="A425" s="143"/>
      <c r="B425" s="184" t="s">
        <v>54</v>
      </c>
      <c r="C425" s="146" t="s">
        <v>443</v>
      </c>
      <c r="D425" s="146" t="s">
        <v>443</v>
      </c>
      <c r="E425" s="146"/>
      <c r="F425" s="146"/>
      <c r="G425" s="146"/>
      <c r="H425" s="146"/>
      <c r="I425" s="146"/>
      <c r="J425" s="146"/>
      <c r="K425" s="146"/>
      <c r="L425" s="146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AO425" s="213"/>
      <c r="AP425" s="213"/>
      <c r="AQ425" s="213"/>
      <c r="AR425" s="213"/>
      <c r="AS425" s="213"/>
      <c r="AT425" s="213"/>
      <c r="AU425" s="213"/>
      <c r="AV425" s="213"/>
      <c r="AW425" s="213"/>
      <c r="AY425" s="213"/>
      <c r="AZ425" s="213"/>
      <c r="BA425" s="213"/>
      <c r="BB425" s="213"/>
      <c r="BC425" s="213"/>
      <c r="BD425" s="213"/>
      <c r="BE425" s="213"/>
      <c r="BF425" s="213"/>
      <c r="BG425" s="213"/>
      <c r="BH425" s="213"/>
    </row>
    <row r="426" spans="1:64" s="168" customFormat="1">
      <c r="A426" s="143"/>
      <c r="B426" s="182" t="s">
        <v>66</v>
      </c>
      <c r="C426" s="145"/>
      <c r="D426" s="145"/>
      <c r="E426" s="145"/>
      <c r="F426" s="145"/>
      <c r="G426" s="145"/>
      <c r="H426" s="125"/>
      <c r="I426" s="125"/>
      <c r="J426" s="125"/>
      <c r="K426" s="125"/>
      <c r="L426" s="12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AO426" s="213"/>
      <c r="AP426" s="213"/>
      <c r="AQ426" s="213"/>
      <c r="AR426" s="213"/>
      <c r="AS426" s="213"/>
      <c r="AT426" s="213"/>
      <c r="AU426" s="213"/>
      <c r="AV426" s="213"/>
      <c r="AW426" s="213"/>
      <c r="AY426" s="213"/>
      <c r="AZ426" s="213"/>
      <c r="BA426" s="213"/>
      <c r="BB426" s="213"/>
      <c r="BC426" s="213"/>
      <c r="BD426" s="213"/>
      <c r="BE426" s="213"/>
      <c r="BF426" s="213"/>
      <c r="BG426" s="213"/>
      <c r="BH426" s="213"/>
    </row>
    <row r="427" spans="1:64" s="168" customFormat="1">
      <c r="A427" s="143"/>
      <c r="B427" s="182" t="s">
        <v>158</v>
      </c>
      <c r="C427" s="126" t="s">
        <v>443</v>
      </c>
      <c r="D427" s="126" t="s">
        <v>443</v>
      </c>
      <c r="E427" s="126"/>
      <c r="F427" s="126"/>
      <c r="G427" s="126"/>
      <c r="H427" s="126"/>
      <c r="I427" s="126"/>
      <c r="J427" s="126"/>
      <c r="K427" s="126"/>
      <c r="L427" s="126"/>
      <c r="M427" s="126"/>
      <c r="N427" s="126"/>
      <c r="O427" s="126"/>
      <c r="P427" s="126"/>
      <c r="Q427" s="126"/>
      <c r="R427" s="126"/>
      <c r="S427" s="126"/>
      <c r="T427" s="126"/>
      <c r="U427" s="126"/>
      <c r="V427" s="126"/>
      <c r="W427" s="126"/>
      <c r="AO427" s="213"/>
      <c r="AP427" s="213"/>
      <c r="AQ427" s="213"/>
      <c r="AR427" s="213"/>
      <c r="AS427" s="213"/>
      <c r="AT427" s="213"/>
      <c r="AU427" s="213"/>
      <c r="AV427" s="213"/>
      <c r="AW427" s="213"/>
      <c r="AY427" s="213"/>
      <c r="AZ427" s="213"/>
      <c r="BA427" s="213"/>
      <c r="BB427" s="213"/>
      <c r="BC427" s="213"/>
      <c r="BD427" s="213"/>
      <c r="BE427" s="213"/>
      <c r="BF427" s="213"/>
      <c r="BG427" s="213"/>
      <c r="BH427" s="213"/>
    </row>
    <row r="428" spans="1:64" s="168" customFormat="1">
      <c r="A428" s="143"/>
      <c r="B428" s="182" t="s">
        <v>191</v>
      </c>
      <c r="C428" s="127">
        <v>69</v>
      </c>
      <c r="D428" s="127">
        <v>69</v>
      </c>
      <c r="E428" s="127"/>
      <c r="F428" s="127"/>
      <c r="G428" s="127"/>
      <c r="H428" s="126"/>
      <c r="I428" s="126"/>
      <c r="J428" s="126"/>
      <c r="K428" s="126"/>
      <c r="L428" s="126"/>
      <c r="M428" s="126"/>
      <c r="N428" s="126"/>
      <c r="O428" s="126"/>
      <c r="P428" s="126"/>
      <c r="Q428" s="126"/>
      <c r="R428" s="126"/>
      <c r="S428" s="126"/>
      <c r="T428" s="126"/>
      <c r="U428" s="126"/>
      <c r="V428" s="126"/>
      <c r="W428" s="126"/>
      <c r="AO428" s="214"/>
      <c r="AP428" s="214"/>
      <c r="AQ428" s="214"/>
      <c r="AR428" s="214"/>
      <c r="AS428" s="214"/>
      <c r="AT428" s="213"/>
      <c r="AU428" s="213"/>
      <c r="AV428" s="213"/>
      <c r="AW428" s="213"/>
      <c r="AY428" s="213"/>
      <c r="AZ428" s="213"/>
      <c r="BA428" s="213"/>
      <c r="BB428" s="213"/>
      <c r="BC428" s="213"/>
      <c r="BD428" s="213"/>
      <c r="BE428" s="213"/>
      <c r="BF428" s="213"/>
      <c r="BG428" s="213"/>
      <c r="BH428" s="213"/>
    </row>
    <row r="429" spans="1:64" s="168" customFormat="1" ht="15" thickBot="1">
      <c r="A429" s="143"/>
      <c r="B429" s="182" t="s">
        <v>442</v>
      </c>
      <c r="C429" s="126">
        <v>1</v>
      </c>
      <c r="D429" s="315">
        <v>4</v>
      </c>
      <c r="E429" s="315"/>
      <c r="F429" s="315"/>
      <c r="G429" s="315"/>
      <c r="H429" s="315"/>
      <c r="I429" s="315"/>
      <c r="J429" s="315"/>
      <c r="K429" s="315"/>
      <c r="L429" s="315"/>
      <c r="M429" s="126"/>
      <c r="N429" s="126"/>
      <c r="O429" s="126"/>
      <c r="P429" s="126"/>
      <c r="Q429" s="126"/>
      <c r="R429" s="126"/>
      <c r="S429" s="126"/>
      <c r="T429" s="126"/>
      <c r="U429" s="126"/>
      <c r="V429" s="126"/>
      <c r="W429" s="126"/>
      <c r="AO429" s="213"/>
      <c r="AP429" s="213"/>
      <c r="AQ429" s="213"/>
      <c r="AR429" s="213"/>
      <c r="AS429" s="213"/>
      <c r="AT429" s="213"/>
      <c r="AU429" s="213"/>
      <c r="AV429" s="213"/>
      <c r="AW429" s="213"/>
      <c r="AY429" s="213"/>
      <c r="AZ429" s="213"/>
      <c r="BA429" s="213"/>
      <c r="BB429" s="213"/>
      <c r="BC429" s="213"/>
      <c r="BD429" s="213"/>
      <c r="BE429" s="213"/>
      <c r="BF429" s="213"/>
      <c r="BG429" s="213"/>
      <c r="BH429" s="213"/>
    </row>
    <row r="430" spans="1:64" s="168" customFormat="1">
      <c r="A430" s="143"/>
      <c r="B430" s="338" t="s">
        <v>166</v>
      </c>
      <c r="C430" s="316" t="str">
        <f>IF(OR(C433="**",C433=""),"",VALUE(C433))</f>
        <v/>
      </c>
      <c r="D430" s="316" t="str">
        <f t="shared" ref="D430:J430" si="41">IF(OR(D433="**",D433=""),"",VALUE(D433))</f>
        <v/>
      </c>
      <c r="E430" s="316" t="str">
        <f t="shared" si="41"/>
        <v/>
      </c>
      <c r="F430" s="316" t="str">
        <f t="shared" si="41"/>
        <v/>
      </c>
      <c r="G430" s="316" t="str">
        <f t="shared" si="41"/>
        <v/>
      </c>
      <c r="H430" s="316" t="str">
        <f t="shared" si="41"/>
        <v/>
      </c>
      <c r="I430" s="316" t="str">
        <f t="shared" si="41"/>
        <v/>
      </c>
      <c r="J430" s="316" t="str">
        <f t="shared" si="41"/>
        <v/>
      </c>
      <c r="K430" s="316"/>
      <c r="L430" s="316"/>
      <c r="M430" s="126"/>
      <c r="N430" s="126"/>
      <c r="O430" s="126"/>
      <c r="P430" s="126"/>
      <c r="Q430" s="126"/>
      <c r="R430" s="126"/>
      <c r="S430" s="126"/>
      <c r="T430" s="126"/>
      <c r="U430" s="126"/>
      <c r="V430" s="126"/>
      <c r="W430" s="126"/>
      <c r="AO430" s="213"/>
      <c r="AP430" s="213"/>
      <c r="AQ430" s="213"/>
      <c r="AR430" s="213"/>
      <c r="AS430" s="213"/>
      <c r="AT430" s="213"/>
      <c r="AU430" s="213"/>
      <c r="AV430" s="213"/>
      <c r="AW430" s="213"/>
      <c r="AY430" s="213"/>
      <c r="AZ430" s="213"/>
      <c r="BA430" s="213"/>
      <c r="BB430" s="213"/>
      <c r="BC430" s="213"/>
      <c r="BD430" s="213"/>
      <c r="BE430" s="213"/>
      <c r="BF430" s="213"/>
      <c r="BG430" s="213"/>
      <c r="BH430" s="213"/>
    </row>
    <row r="431" spans="1:64" s="168" customFormat="1" ht="15" thickBot="1">
      <c r="A431" s="143"/>
      <c r="B431" s="339" t="s">
        <v>165</v>
      </c>
      <c r="C431" s="317" t="str">
        <f t="shared" ref="C431:J431" si="42">IF(OR(C427="**",C427=""),"",VALUE(C427))</f>
        <v/>
      </c>
      <c r="D431" s="317" t="str">
        <f t="shared" si="42"/>
        <v/>
      </c>
      <c r="E431" s="317" t="str">
        <f t="shared" si="42"/>
        <v/>
      </c>
      <c r="F431" s="317" t="str">
        <f t="shared" si="42"/>
        <v/>
      </c>
      <c r="G431" s="317" t="str">
        <f t="shared" si="42"/>
        <v/>
      </c>
      <c r="H431" s="317" t="str">
        <f t="shared" si="42"/>
        <v/>
      </c>
      <c r="I431" s="317" t="str">
        <f t="shared" si="42"/>
        <v/>
      </c>
      <c r="J431" s="317" t="str">
        <f t="shared" si="42"/>
        <v/>
      </c>
      <c r="K431" s="317"/>
      <c r="L431" s="317"/>
      <c r="M431" s="169"/>
      <c r="N431" s="169"/>
      <c r="O431" s="169"/>
      <c r="P431" s="169"/>
      <c r="Q431" s="169"/>
      <c r="R431" s="169"/>
      <c r="S431" s="169"/>
      <c r="T431" s="169"/>
      <c r="U431" s="169"/>
      <c r="V431" s="169"/>
      <c r="W431" s="169"/>
      <c r="AO431" s="169"/>
      <c r="AP431" s="169"/>
      <c r="AQ431" s="169"/>
      <c r="AR431" s="169"/>
      <c r="AS431" s="169"/>
      <c r="AT431" s="169"/>
      <c r="AU431" s="169"/>
      <c r="AV431" s="169"/>
      <c r="AW431" s="213"/>
      <c r="AX431" s="213"/>
      <c r="AY431" s="213"/>
      <c r="AZ431" s="213"/>
      <c r="BA431" s="213"/>
      <c r="BB431" s="213"/>
      <c r="BC431" s="213"/>
      <c r="BD431" s="213"/>
      <c r="BE431" s="213"/>
      <c r="BF431" s="213"/>
      <c r="BG431" s="213"/>
      <c r="BH431" s="213"/>
    </row>
    <row r="432" spans="1:64" s="168" customFormat="1">
      <c r="A432" s="143"/>
      <c r="B432" s="340" t="s">
        <v>483</v>
      </c>
      <c r="C432" s="167" t="s">
        <v>846</v>
      </c>
      <c r="D432" s="167" t="s">
        <v>914</v>
      </c>
      <c r="E432" s="167"/>
      <c r="F432" s="167"/>
      <c r="G432" s="167"/>
      <c r="H432" s="166"/>
      <c r="I432" s="166"/>
      <c r="J432" s="166"/>
      <c r="K432" s="166"/>
      <c r="L432" s="166"/>
    </row>
    <row r="433" spans="1:23" s="169" customFormat="1">
      <c r="A433" s="143"/>
      <c r="B433" s="182" t="s">
        <v>158</v>
      </c>
      <c r="C433" s="165" t="s">
        <v>443</v>
      </c>
      <c r="D433" s="165" t="s">
        <v>443</v>
      </c>
      <c r="E433" s="165"/>
      <c r="F433" s="165"/>
      <c r="G433" s="165"/>
      <c r="H433" s="166"/>
      <c r="I433" s="166"/>
      <c r="J433" s="166"/>
      <c r="K433" s="166"/>
      <c r="L433" s="166"/>
      <c r="M433" s="168"/>
      <c r="N433" s="168"/>
      <c r="O433" s="168"/>
      <c r="P433" s="168"/>
      <c r="Q433" s="168"/>
      <c r="R433" s="168"/>
      <c r="S433" s="168"/>
      <c r="T433" s="168"/>
      <c r="U433" s="168"/>
      <c r="V433" s="168"/>
      <c r="W433" s="168"/>
    </row>
    <row r="434" spans="1:23" s="168" customFormat="1">
      <c r="A434" s="165"/>
      <c r="B434" s="340" t="s">
        <v>442</v>
      </c>
      <c r="C434" s="165">
        <v>0</v>
      </c>
      <c r="D434" s="165">
        <v>3</v>
      </c>
      <c r="E434" s="165"/>
      <c r="F434" s="165"/>
      <c r="G434" s="165"/>
      <c r="H434" s="165"/>
      <c r="I434" s="165"/>
      <c r="J434" s="165"/>
      <c r="K434" s="165"/>
      <c r="L434" s="165"/>
    </row>
    <row r="435" spans="1:23" s="168" customFormat="1">
      <c r="A435" s="143"/>
      <c r="B435" s="143"/>
      <c r="C435" s="143"/>
      <c r="D435" s="143"/>
      <c r="E435" s="143"/>
      <c r="F435" s="143"/>
      <c r="G435" s="143"/>
      <c r="H435" s="143"/>
      <c r="I435" s="143"/>
      <c r="J435" s="143"/>
      <c r="K435" s="143"/>
      <c r="L435" s="143"/>
    </row>
    <row r="436" spans="1:23" s="168" customFormat="1">
      <c r="A436" s="143"/>
      <c r="B436" s="143"/>
      <c r="C436" s="143"/>
      <c r="D436" s="143"/>
      <c r="E436" s="143"/>
      <c r="F436" s="143"/>
      <c r="G436" s="143"/>
      <c r="H436" s="143"/>
      <c r="I436" s="143"/>
      <c r="J436" s="143"/>
      <c r="K436" s="143"/>
      <c r="L436" s="143"/>
    </row>
    <row r="437" spans="1:23" s="168" customFormat="1">
      <c r="A437" s="143"/>
      <c r="B437" s="143"/>
      <c r="C437" s="143"/>
      <c r="D437" s="143"/>
      <c r="E437" s="143"/>
      <c r="F437" s="143"/>
      <c r="G437" s="143"/>
      <c r="H437" s="143"/>
      <c r="I437" s="143"/>
      <c r="J437" s="143"/>
      <c r="K437" s="143"/>
      <c r="L437" s="143"/>
    </row>
    <row r="438" spans="1:23" s="213" customFormat="1" ht="14.25" customHeight="1">
      <c r="A438" s="143"/>
      <c r="B438" s="143"/>
      <c r="C438" s="143"/>
      <c r="D438" s="143"/>
      <c r="E438" s="164"/>
      <c r="F438" s="172"/>
      <c r="G438" s="165"/>
      <c r="H438" s="165"/>
      <c r="I438" s="165"/>
      <c r="J438" s="165"/>
      <c r="K438" s="165"/>
      <c r="L438" s="165"/>
      <c r="M438" s="169"/>
      <c r="N438" s="169"/>
      <c r="O438" s="169"/>
      <c r="P438" s="169"/>
      <c r="Q438" s="169"/>
      <c r="R438" s="169"/>
      <c r="S438" s="169"/>
      <c r="T438" s="169"/>
      <c r="U438" s="169"/>
      <c r="V438" s="169"/>
      <c r="W438" s="169"/>
    </row>
    <row r="439" spans="1:23" s="168" customFormat="1" ht="14.25" customHeight="1">
      <c r="A439" s="167" t="s">
        <v>183</v>
      </c>
      <c r="B439" s="167"/>
      <c r="C439" s="167"/>
      <c r="D439" s="143"/>
      <c r="E439" s="143"/>
      <c r="F439" s="143"/>
      <c r="G439" s="143"/>
      <c r="H439" s="143"/>
      <c r="I439" s="143"/>
      <c r="J439" s="143"/>
      <c r="K439" s="143"/>
      <c r="L439" s="143"/>
    </row>
    <row r="440" spans="1:23" s="168" customFormat="1" ht="14.25" customHeight="1">
      <c r="A440" s="143">
        <v>2</v>
      </c>
      <c r="B440" s="143"/>
      <c r="C440" s="143"/>
      <c r="D440" s="143"/>
      <c r="E440" s="143"/>
      <c r="F440" s="143"/>
      <c r="G440" s="143"/>
      <c r="H440" s="143"/>
      <c r="I440" s="143"/>
      <c r="J440" s="143"/>
      <c r="K440" s="143"/>
      <c r="L440" s="143"/>
    </row>
    <row r="441" spans="1:23" s="168" customFormat="1" ht="14.25" customHeight="1">
      <c r="A441" s="143"/>
      <c r="B441" s="143"/>
      <c r="C441" s="143"/>
      <c r="D441" s="143"/>
      <c r="E441" s="143"/>
      <c r="F441" s="143"/>
      <c r="G441" s="143"/>
      <c r="H441" s="143"/>
      <c r="I441" s="143"/>
      <c r="J441" s="143"/>
      <c r="K441" s="143"/>
      <c r="L441" s="143"/>
    </row>
    <row r="442" spans="1:23" s="213" customFormat="1" ht="14.25" customHeight="1">
      <c r="A442" s="143"/>
      <c r="B442" s="143"/>
      <c r="C442" s="143"/>
      <c r="D442" s="143"/>
      <c r="E442" s="143"/>
      <c r="F442" s="143"/>
      <c r="G442" s="143"/>
      <c r="H442" s="143"/>
      <c r="I442" s="143"/>
      <c r="J442" s="143"/>
      <c r="K442" s="143"/>
      <c r="L442" s="143"/>
      <c r="M442" s="168"/>
      <c r="N442" s="168"/>
      <c r="O442" s="168"/>
      <c r="P442" s="168"/>
      <c r="Q442" s="168"/>
      <c r="R442" s="168"/>
      <c r="S442" s="168"/>
      <c r="T442" s="168"/>
      <c r="U442" s="168"/>
      <c r="V442" s="168"/>
      <c r="W442" s="168"/>
    </row>
    <row r="443" spans="1:23" s="168" customFormat="1" ht="14.25" customHeight="1">
      <c r="A443" s="167"/>
      <c r="B443" s="167"/>
      <c r="C443" s="167"/>
      <c r="D443" s="167"/>
      <c r="E443" s="167"/>
      <c r="F443" s="167"/>
      <c r="G443" s="167"/>
      <c r="H443" s="167"/>
      <c r="I443" s="167"/>
      <c r="J443" s="167"/>
      <c r="K443" s="167"/>
      <c r="L443" s="167"/>
      <c r="M443" s="213"/>
      <c r="N443" s="213"/>
      <c r="O443" s="213"/>
      <c r="P443" s="213"/>
      <c r="Q443" s="213"/>
      <c r="R443" s="213"/>
      <c r="S443" s="213"/>
      <c r="T443" s="213"/>
      <c r="U443" s="213"/>
      <c r="V443" s="213"/>
      <c r="W443" s="213"/>
    </row>
    <row r="444" spans="1:23" s="168" customFormat="1" ht="14.25" customHeight="1">
      <c r="A444" s="143"/>
      <c r="B444" s="143"/>
      <c r="C444" s="143"/>
      <c r="D444" s="143"/>
      <c r="E444" s="143"/>
      <c r="F444" s="143"/>
      <c r="G444" s="143"/>
      <c r="H444" s="143"/>
      <c r="I444" s="143"/>
      <c r="J444" s="143"/>
      <c r="K444" s="143"/>
      <c r="L444" s="143"/>
    </row>
    <row r="445" spans="1:23" s="168" customFormat="1" ht="14.25" customHeight="1">
      <c r="A445" s="143"/>
      <c r="B445" s="143"/>
      <c r="C445" s="143"/>
      <c r="D445" s="143"/>
      <c r="E445" s="143"/>
      <c r="F445" s="143"/>
      <c r="G445" s="143"/>
      <c r="H445" s="143"/>
      <c r="I445" s="143"/>
      <c r="J445" s="143"/>
      <c r="K445" s="143"/>
      <c r="L445" s="143"/>
    </row>
    <row r="446" spans="1:23" s="168" customFormat="1" ht="14.25" customHeight="1">
      <c r="A446" s="143"/>
      <c r="B446" s="143"/>
      <c r="C446" s="143"/>
      <c r="D446" s="143"/>
      <c r="E446" s="143"/>
      <c r="F446" s="143"/>
      <c r="G446" s="143"/>
      <c r="H446" s="143"/>
      <c r="I446" s="143"/>
      <c r="J446" s="143"/>
      <c r="K446" s="143"/>
      <c r="L446" s="143"/>
    </row>
    <row r="447" spans="1:23" s="168" customFormat="1" ht="14.25" customHeight="1">
      <c r="A447" s="167"/>
      <c r="B447" s="167"/>
      <c r="C447" s="167"/>
      <c r="D447" s="167"/>
      <c r="E447" s="167"/>
      <c r="F447" s="167"/>
      <c r="G447" s="167"/>
      <c r="H447" s="167"/>
      <c r="I447" s="167"/>
      <c r="J447" s="167"/>
      <c r="K447" s="167"/>
      <c r="L447" s="167"/>
      <c r="M447" s="213"/>
      <c r="N447" s="213"/>
      <c r="O447" s="213"/>
      <c r="P447" s="213"/>
      <c r="Q447" s="213"/>
      <c r="R447" s="213"/>
      <c r="S447" s="213"/>
      <c r="T447" s="213"/>
      <c r="U447" s="213"/>
      <c r="V447" s="213"/>
      <c r="W447" s="213"/>
    </row>
    <row r="448" spans="1:23" s="168" customFormat="1" ht="14.25" customHeight="1">
      <c r="A448" s="167"/>
      <c r="B448" s="167"/>
      <c r="C448" s="167"/>
      <c r="D448" s="167"/>
      <c r="E448" s="167"/>
      <c r="F448" s="167"/>
      <c r="G448" s="167"/>
      <c r="H448" s="167"/>
      <c r="I448" s="167"/>
      <c r="J448" s="167"/>
      <c r="K448" s="167"/>
      <c r="L448" s="167"/>
      <c r="M448" s="213"/>
      <c r="N448" s="213"/>
      <c r="O448" s="213"/>
      <c r="P448" s="213"/>
      <c r="Q448" s="213"/>
      <c r="R448" s="213"/>
      <c r="S448" s="213"/>
      <c r="T448" s="213"/>
      <c r="U448" s="213"/>
      <c r="V448" s="213"/>
      <c r="W448" s="213"/>
    </row>
    <row r="449" spans="1:64" s="168" customFormat="1" ht="14.25" customHeight="1">
      <c r="A449" s="167">
        <f>A419+1</f>
        <v>15</v>
      </c>
      <c r="B449" s="167"/>
      <c r="C449" s="187" t="str">
        <f>IF($A$1 = 1, (IF("("&amp;C459&amp;")" ="()","","("&amp;C459&amp;")")), (IF("("&amp;C464&amp;")     ("&amp;C459&amp;")"="()     ()","","("&amp;C464&amp;")     ("&amp;C459&amp;")")))</f>
        <v>(41)     (28)</v>
      </c>
      <c r="D449" s="187" t="str">
        <f t="shared" ref="D449:J449" si="43">IF($A$1 = 1, (IF("("&amp;D459&amp;")" ="()","","("&amp;D459&amp;")")), (IF("("&amp;D464&amp;")     ("&amp;D459&amp;")"="()     ()","","("&amp;D464&amp;")     ("&amp;D459&amp;")")))</f>
        <v>(41)     (13)</v>
      </c>
      <c r="E449" s="187" t="str">
        <f t="shared" si="43"/>
        <v/>
      </c>
      <c r="F449" s="187" t="str">
        <f t="shared" si="43"/>
        <v/>
      </c>
      <c r="G449" s="187" t="str">
        <f t="shared" si="43"/>
        <v/>
      </c>
      <c r="H449" s="187" t="str">
        <f t="shared" si="43"/>
        <v/>
      </c>
      <c r="I449" s="187" t="str">
        <f t="shared" si="43"/>
        <v/>
      </c>
      <c r="J449" s="187" t="str">
        <f t="shared" si="43"/>
        <v/>
      </c>
      <c r="K449" s="187"/>
      <c r="L449" s="187"/>
      <c r="M449" s="220"/>
      <c r="N449" s="220"/>
      <c r="O449" s="220"/>
      <c r="P449" s="220"/>
      <c r="Q449" s="220"/>
      <c r="R449" s="220"/>
      <c r="S449" s="220"/>
      <c r="T449" s="220"/>
      <c r="U449" s="220"/>
      <c r="V449" s="220"/>
      <c r="W449" s="220"/>
      <c r="X449" s="204"/>
      <c r="Y449" s="169"/>
      <c r="Z449" s="169"/>
      <c r="AA449" s="169"/>
      <c r="AB449" s="169"/>
      <c r="AC449" s="169"/>
      <c r="AD449" s="170"/>
      <c r="AE449" s="170"/>
      <c r="AF449" s="170"/>
      <c r="AG449" s="170"/>
      <c r="AH449" s="170"/>
    </row>
    <row r="450" spans="1:64" s="168" customFormat="1" ht="78" customHeight="1">
      <c r="A450" s="167"/>
      <c r="B450" s="177"/>
      <c r="C450" s="178" t="s">
        <v>848</v>
      </c>
      <c r="D450" s="178" t="s">
        <v>849</v>
      </c>
      <c r="E450" s="178"/>
      <c r="F450" s="178"/>
      <c r="G450" s="178"/>
      <c r="H450" s="178"/>
      <c r="I450" s="178"/>
      <c r="J450" s="178"/>
      <c r="K450" s="178"/>
      <c r="L450" s="178"/>
      <c r="M450" s="208"/>
      <c r="N450" s="208"/>
      <c r="O450" s="208"/>
      <c r="P450" s="208"/>
      <c r="Q450" s="208"/>
      <c r="R450" s="208"/>
      <c r="S450" s="208"/>
      <c r="T450" s="208"/>
      <c r="U450" s="208"/>
      <c r="V450" s="208"/>
      <c r="W450" s="208"/>
      <c r="X450" s="210"/>
      <c r="Y450" s="210"/>
      <c r="Z450" s="210"/>
      <c r="AA450" s="210"/>
      <c r="AB450" s="210"/>
      <c r="AC450" s="210"/>
      <c r="AD450" s="210"/>
      <c r="AE450" s="210"/>
      <c r="AF450" s="210"/>
      <c r="AG450" s="210"/>
      <c r="AH450" s="210"/>
      <c r="AI450" s="210"/>
      <c r="AJ450" s="210"/>
      <c r="AK450" s="210"/>
      <c r="AL450" s="210"/>
      <c r="AM450" s="210"/>
      <c r="AN450" s="210"/>
      <c r="AO450" s="216"/>
      <c r="AP450" s="216"/>
      <c r="AQ450" s="216"/>
      <c r="AR450" s="216"/>
      <c r="AS450" s="216"/>
      <c r="AT450" s="216"/>
      <c r="AU450" s="216"/>
      <c r="AV450" s="216"/>
      <c r="AW450" s="216"/>
      <c r="AX450" s="210"/>
      <c r="AY450" s="216"/>
      <c r="AZ450" s="216"/>
      <c r="BA450" s="216"/>
      <c r="BB450" s="216"/>
      <c r="BC450" s="216"/>
      <c r="BD450" s="216"/>
      <c r="BE450" s="216"/>
      <c r="BF450" s="216"/>
      <c r="BG450" s="216"/>
      <c r="BH450" s="216"/>
      <c r="BI450" s="216"/>
      <c r="BJ450" s="210"/>
      <c r="BK450" s="210"/>
      <c r="BL450" s="210"/>
    </row>
    <row r="451" spans="1:64" s="168" customFormat="1" ht="18" customHeight="1" thickBot="1">
      <c r="A451" s="167"/>
      <c r="B451" s="181" t="s">
        <v>3</v>
      </c>
      <c r="C451" s="148">
        <v>47</v>
      </c>
      <c r="D451" s="148">
        <v>53</v>
      </c>
      <c r="E451" s="148"/>
      <c r="F451" s="148"/>
      <c r="G451" s="148"/>
      <c r="H451" s="148"/>
      <c r="I451" s="148"/>
      <c r="J451" s="148"/>
      <c r="K451" s="148"/>
      <c r="L451" s="148"/>
      <c r="M451" s="211"/>
      <c r="N451" s="211"/>
      <c r="O451" s="211"/>
      <c r="P451" s="211"/>
      <c r="Q451" s="211"/>
      <c r="R451" s="211"/>
      <c r="S451" s="211"/>
      <c r="T451" s="211"/>
      <c r="U451" s="211"/>
      <c r="V451" s="211"/>
      <c r="W451" s="211"/>
      <c r="AO451" s="213"/>
      <c r="AP451" s="213"/>
      <c r="AQ451" s="213"/>
      <c r="AR451" s="213"/>
      <c r="AS451" s="213"/>
      <c r="AT451" s="213"/>
      <c r="AU451" s="213"/>
      <c r="AV451" s="213"/>
      <c r="AW451" s="213"/>
      <c r="AY451" s="213"/>
      <c r="AZ451" s="213"/>
      <c r="BA451" s="213"/>
      <c r="BB451" s="213"/>
      <c r="BC451" s="213"/>
      <c r="BD451" s="213"/>
      <c r="BE451" s="213"/>
      <c r="BF451" s="213"/>
      <c r="BG451" s="213"/>
      <c r="BH451" s="213"/>
      <c r="BI451" s="213"/>
    </row>
    <row r="452" spans="1:64" s="212" customFormat="1" ht="18" customHeight="1" thickBot="1">
      <c r="A452" s="167"/>
      <c r="B452" s="182" t="s">
        <v>18</v>
      </c>
      <c r="C452" s="148">
        <v>52</v>
      </c>
      <c r="D452" s="148">
        <v>60</v>
      </c>
      <c r="E452" s="148"/>
      <c r="F452" s="148"/>
      <c r="G452" s="148"/>
      <c r="H452" s="148"/>
      <c r="I452" s="148"/>
      <c r="J452" s="148"/>
      <c r="K452" s="148"/>
      <c r="L452" s="148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68"/>
      <c r="Y452" s="168"/>
      <c r="Z452" s="168"/>
      <c r="AA452" s="168"/>
      <c r="AB452" s="168"/>
      <c r="AC452" s="168"/>
      <c r="AD452" s="168"/>
      <c r="AE452" s="168"/>
      <c r="AF452" s="168"/>
      <c r="AG452" s="168"/>
      <c r="AH452" s="168"/>
      <c r="AI452" s="168"/>
      <c r="AJ452" s="168"/>
      <c r="AK452" s="168"/>
      <c r="AL452" s="168"/>
      <c r="AM452" s="168"/>
      <c r="AN452" s="168"/>
      <c r="AO452" s="213"/>
      <c r="AP452" s="213"/>
      <c r="AQ452" s="213"/>
      <c r="AR452" s="213"/>
      <c r="AS452" s="213"/>
      <c r="AT452" s="213"/>
      <c r="AU452" s="213"/>
      <c r="AV452" s="213"/>
      <c r="AW452" s="213"/>
      <c r="AX452" s="168"/>
      <c r="AY452" s="213"/>
      <c r="AZ452" s="213"/>
      <c r="BA452" s="213"/>
      <c r="BB452" s="213"/>
      <c r="BC452" s="213"/>
      <c r="BD452" s="213"/>
      <c r="BE452" s="213"/>
      <c r="BF452" s="213"/>
      <c r="BG452" s="213"/>
      <c r="BH452" s="213"/>
      <c r="BI452" s="213"/>
      <c r="BJ452" s="168"/>
      <c r="BK452" s="168"/>
      <c r="BL452" s="168"/>
    </row>
    <row r="453" spans="1:64" s="210" customFormat="1" ht="18" customHeight="1" thickBot="1">
      <c r="A453" s="175"/>
      <c r="B453" s="183" t="s">
        <v>32</v>
      </c>
      <c r="C453" s="147">
        <v>46</v>
      </c>
      <c r="D453" s="147">
        <v>58</v>
      </c>
      <c r="E453" s="147"/>
      <c r="F453" s="147"/>
      <c r="G453" s="147"/>
      <c r="H453" s="147"/>
      <c r="I453" s="147"/>
      <c r="J453" s="147"/>
      <c r="K453" s="147"/>
      <c r="L453" s="147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68"/>
      <c r="Y453" s="168"/>
      <c r="Z453" s="168"/>
      <c r="AA453" s="168"/>
      <c r="AB453" s="168"/>
      <c r="AC453" s="168"/>
      <c r="AD453" s="168"/>
      <c r="AE453" s="168"/>
      <c r="AF453" s="168"/>
      <c r="AG453" s="168"/>
      <c r="AH453" s="168"/>
      <c r="AI453" s="168"/>
      <c r="AJ453" s="168"/>
      <c r="AK453" s="168"/>
      <c r="AL453" s="168"/>
      <c r="AM453" s="168"/>
      <c r="AN453" s="168"/>
      <c r="AO453" s="213"/>
      <c r="AP453" s="213"/>
      <c r="AQ453" s="213"/>
      <c r="AR453" s="213"/>
      <c r="AS453" s="213"/>
      <c r="AT453" s="213"/>
      <c r="AU453" s="213"/>
      <c r="AV453" s="213"/>
      <c r="AW453" s="213"/>
      <c r="AX453" s="168"/>
      <c r="AY453" s="213"/>
      <c r="AZ453" s="213"/>
      <c r="BA453" s="213"/>
      <c r="BB453" s="213"/>
      <c r="BC453" s="213"/>
      <c r="BD453" s="213"/>
      <c r="BE453" s="213"/>
      <c r="BF453" s="213"/>
      <c r="BG453" s="213"/>
      <c r="BH453" s="213"/>
      <c r="BI453" s="168"/>
      <c r="BJ453" s="168"/>
      <c r="BK453" s="168"/>
      <c r="BL453" s="168"/>
    </row>
    <row r="454" spans="1:64" s="168" customFormat="1" ht="18" customHeight="1" thickBot="1">
      <c r="A454" s="180"/>
      <c r="B454" s="182" t="s">
        <v>45</v>
      </c>
      <c r="C454" s="145">
        <v>46</v>
      </c>
      <c r="D454" s="145">
        <v>70</v>
      </c>
      <c r="E454" s="145"/>
      <c r="F454" s="145"/>
      <c r="G454" s="145"/>
      <c r="H454" s="145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AO454" s="213"/>
      <c r="AP454" s="213"/>
      <c r="AQ454" s="213"/>
      <c r="AR454" s="213"/>
      <c r="AS454" s="213"/>
      <c r="AT454" s="213"/>
      <c r="AU454" s="213"/>
      <c r="AV454" s="213"/>
      <c r="AW454" s="213"/>
      <c r="AY454" s="213"/>
      <c r="AZ454" s="213"/>
      <c r="BA454" s="213"/>
      <c r="BB454" s="213"/>
      <c r="BC454" s="213"/>
      <c r="BD454" s="213"/>
      <c r="BE454" s="213"/>
      <c r="BF454" s="213"/>
      <c r="BG454" s="213"/>
      <c r="BH454" s="213"/>
    </row>
    <row r="455" spans="1:64" s="168" customFormat="1" ht="18" customHeight="1" thickBot="1">
      <c r="A455" s="167"/>
      <c r="B455" s="184" t="s">
        <v>54</v>
      </c>
      <c r="C455" s="146">
        <v>49</v>
      </c>
      <c r="D455" s="146">
        <v>72</v>
      </c>
      <c r="E455" s="146"/>
      <c r="F455" s="146"/>
      <c r="G455" s="146"/>
      <c r="H455" s="146"/>
      <c r="I455" s="146"/>
      <c r="J455" s="146"/>
      <c r="K455" s="146"/>
      <c r="L455" s="146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AO455" s="213"/>
      <c r="AP455" s="213"/>
      <c r="AQ455" s="213"/>
      <c r="AR455" s="213"/>
      <c r="AS455" s="213"/>
      <c r="AT455" s="213"/>
      <c r="AU455" s="213"/>
      <c r="AV455" s="213"/>
      <c r="AW455" s="213"/>
      <c r="AY455" s="213"/>
      <c r="AZ455" s="213"/>
      <c r="BA455" s="213"/>
      <c r="BB455" s="213"/>
      <c r="BC455" s="213"/>
      <c r="BD455" s="213"/>
      <c r="BE455" s="213"/>
      <c r="BF455" s="213"/>
      <c r="BG455" s="213"/>
      <c r="BH455" s="213"/>
    </row>
    <row r="456" spans="1:64" s="168" customFormat="1">
      <c r="A456" s="167"/>
      <c r="B456" s="182" t="s">
        <v>66</v>
      </c>
      <c r="C456" s="145">
        <v>41</v>
      </c>
      <c r="D456" s="145">
        <v>46</v>
      </c>
      <c r="E456" s="145"/>
      <c r="F456" s="145"/>
      <c r="G456" s="145"/>
      <c r="H456" s="125"/>
      <c r="I456" s="125"/>
      <c r="J456" s="125"/>
      <c r="K456" s="125"/>
      <c r="L456" s="12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AO456" s="213"/>
      <c r="AP456" s="213"/>
      <c r="AQ456" s="213"/>
      <c r="AR456" s="213"/>
      <c r="AS456" s="213"/>
      <c r="AT456" s="213"/>
      <c r="AU456" s="213"/>
      <c r="AV456" s="213"/>
      <c r="AW456" s="213"/>
      <c r="AY456" s="213"/>
      <c r="AZ456" s="213"/>
      <c r="BA456" s="213"/>
      <c r="BB456" s="213"/>
      <c r="BC456" s="213"/>
      <c r="BD456" s="213"/>
      <c r="BE456" s="213"/>
      <c r="BF456" s="213"/>
      <c r="BG456" s="213"/>
      <c r="BH456" s="213"/>
    </row>
    <row r="457" spans="1:64" s="168" customFormat="1">
      <c r="A457" s="167"/>
      <c r="B457" s="182" t="s">
        <v>158</v>
      </c>
      <c r="C457" s="126">
        <v>48</v>
      </c>
      <c r="D457" s="126">
        <v>61</v>
      </c>
      <c r="E457" s="126"/>
      <c r="F457" s="126"/>
      <c r="G457" s="126"/>
      <c r="H457" s="126"/>
      <c r="I457" s="126"/>
      <c r="J457" s="126"/>
      <c r="K457" s="126"/>
      <c r="L457" s="126"/>
      <c r="M457" s="126"/>
      <c r="N457" s="126"/>
      <c r="O457" s="126"/>
      <c r="P457" s="126"/>
      <c r="Q457" s="126"/>
      <c r="R457" s="126"/>
      <c r="S457" s="126"/>
      <c r="T457" s="126"/>
      <c r="U457" s="126"/>
      <c r="V457" s="126"/>
      <c r="W457" s="126"/>
      <c r="AO457" s="213"/>
      <c r="AP457" s="213"/>
      <c r="AQ457" s="213"/>
      <c r="AR457" s="213"/>
      <c r="AS457" s="213"/>
      <c r="AT457" s="213"/>
      <c r="AU457" s="213"/>
      <c r="AV457" s="213"/>
      <c r="AW457" s="213"/>
      <c r="AY457" s="213"/>
      <c r="AZ457" s="213"/>
      <c r="BA457" s="213"/>
      <c r="BB457" s="213"/>
      <c r="BC457" s="213"/>
      <c r="BD457" s="213"/>
      <c r="BE457" s="213"/>
      <c r="BF457" s="213"/>
      <c r="BG457" s="213"/>
      <c r="BH457" s="213"/>
    </row>
    <row r="458" spans="1:64" s="168" customFormat="1">
      <c r="A458" s="167"/>
      <c r="B458" s="182" t="s">
        <v>191</v>
      </c>
      <c r="C458" s="127">
        <v>69</v>
      </c>
      <c r="D458" s="127">
        <v>69</v>
      </c>
      <c r="E458" s="127"/>
      <c r="F458" s="127"/>
      <c r="G458" s="127"/>
      <c r="H458" s="126"/>
      <c r="I458" s="126"/>
      <c r="J458" s="126"/>
      <c r="K458" s="126"/>
      <c r="L458" s="126"/>
      <c r="M458" s="126"/>
      <c r="N458" s="126"/>
      <c r="O458" s="126"/>
      <c r="P458" s="126"/>
      <c r="Q458" s="126"/>
      <c r="R458" s="126"/>
      <c r="S458" s="126"/>
      <c r="T458" s="126"/>
      <c r="U458" s="126"/>
      <c r="V458" s="126"/>
      <c r="W458" s="126"/>
      <c r="AO458" s="214"/>
      <c r="AP458" s="214"/>
      <c r="AQ458" s="214"/>
      <c r="AR458" s="214"/>
      <c r="AS458" s="214"/>
      <c r="AT458" s="213"/>
      <c r="AU458" s="213"/>
      <c r="AV458" s="213"/>
      <c r="AW458" s="213"/>
      <c r="AY458" s="213"/>
      <c r="AZ458" s="213"/>
      <c r="BA458" s="213"/>
      <c r="BB458" s="213"/>
      <c r="BC458" s="213"/>
      <c r="BD458" s="213"/>
      <c r="BE458" s="213"/>
      <c r="BF458" s="213"/>
      <c r="BG458" s="213"/>
      <c r="BH458" s="213"/>
    </row>
    <row r="459" spans="1:64" s="168" customFormat="1" ht="15" thickBot="1">
      <c r="A459" s="167"/>
      <c r="B459" s="182" t="s">
        <v>442</v>
      </c>
      <c r="C459" s="126">
        <v>28</v>
      </c>
      <c r="D459" s="315">
        <v>13</v>
      </c>
      <c r="E459" s="315"/>
      <c r="F459" s="315"/>
      <c r="G459" s="315"/>
      <c r="H459" s="315"/>
      <c r="I459" s="315"/>
      <c r="J459" s="315"/>
      <c r="K459" s="315"/>
      <c r="L459" s="315"/>
      <c r="M459" s="126"/>
      <c r="N459" s="126"/>
      <c r="O459" s="126"/>
      <c r="P459" s="126"/>
      <c r="Q459" s="126"/>
      <c r="R459" s="126"/>
      <c r="S459" s="126"/>
      <c r="T459" s="126"/>
      <c r="U459" s="126"/>
      <c r="V459" s="126"/>
      <c r="W459" s="126"/>
      <c r="AO459" s="213"/>
      <c r="AP459" s="213"/>
      <c r="AQ459" s="213"/>
      <c r="AR459" s="213"/>
      <c r="AS459" s="213"/>
      <c r="AT459" s="213"/>
      <c r="AU459" s="213"/>
      <c r="AV459" s="213"/>
      <c r="AW459" s="213"/>
      <c r="AY459" s="213"/>
      <c r="AZ459" s="213"/>
      <c r="BA459" s="213"/>
      <c r="BB459" s="213"/>
      <c r="BC459" s="213"/>
      <c r="BD459" s="213"/>
      <c r="BE459" s="213"/>
      <c r="BF459" s="213"/>
      <c r="BG459" s="213"/>
      <c r="BH459" s="213"/>
    </row>
    <row r="460" spans="1:64" s="168" customFormat="1">
      <c r="A460" s="167"/>
      <c r="B460" s="338" t="s">
        <v>166</v>
      </c>
      <c r="C460" s="316">
        <f>IF(OR(C463="**",C463=""),"",VALUE(C463))</f>
        <v>63</v>
      </c>
      <c r="D460" s="316">
        <f t="shared" ref="D460:J460" si="44">IF(OR(D463="**",D463=""),"",VALUE(D463))</f>
        <v>63</v>
      </c>
      <c r="E460" s="316" t="str">
        <f t="shared" si="44"/>
        <v/>
      </c>
      <c r="F460" s="316" t="str">
        <f t="shared" si="44"/>
        <v/>
      </c>
      <c r="G460" s="316" t="str">
        <f t="shared" si="44"/>
        <v/>
      </c>
      <c r="H460" s="316" t="str">
        <f t="shared" si="44"/>
        <v/>
      </c>
      <c r="I460" s="316" t="str">
        <f t="shared" si="44"/>
        <v/>
      </c>
      <c r="J460" s="316" t="str">
        <f t="shared" si="44"/>
        <v/>
      </c>
      <c r="K460" s="316"/>
      <c r="L460" s="316"/>
      <c r="M460" s="126"/>
      <c r="N460" s="126"/>
      <c r="O460" s="126"/>
      <c r="P460" s="126"/>
      <c r="Q460" s="126"/>
      <c r="R460" s="126"/>
      <c r="S460" s="126"/>
      <c r="T460" s="126"/>
      <c r="U460" s="126"/>
      <c r="V460" s="126"/>
      <c r="W460" s="126"/>
      <c r="AO460" s="213"/>
      <c r="AP460" s="213"/>
      <c r="AQ460" s="213"/>
      <c r="AR460" s="213"/>
      <c r="AS460" s="213"/>
      <c r="AT460" s="213"/>
      <c r="AU460" s="213"/>
      <c r="AV460" s="213"/>
      <c r="AW460" s="213"/>
      <c r="AY460" s="213"/>
      <c r="AZ460" s="213"/>
      <c r="BA460" s="213"/>
      <c r="BB460" s="213"/>
      <c r="BC460" s="213"/>
      <c r="BD460" s="213"/>
      <c r="BE460" s="213"/>
      <c r="BF460" s="213"/>
      <c r="BG460" s="213"/>
      <c r="BH460" s="213"/>
    </row>
    <row r="461" spans="1:64" s="168" customFormat="1" ht="15" thickBot="1">
      <c r="A461" s="167"/>
      <c r="B461" s="339" t="s">
        <v>165</v>
      </c>
      <c r="C461" s="317">
        <f t="shared" ref="C461:J461" si="45">IF(OR(C457="**",C457=""),"",VALUE(C457))</f>
        <v>48</v>
      </c>
      <c r="D461" s="317">
        <f t="shared" si="45"/>
        <v>61</v>
      </c>
      <c r="E461" s="317" t="str">
        <f t="shared" si="45"/>
        <v/>
      </c>
      <c r="F461" s="317" t="str">
        <f t="shared" si="45"/>
        <v/>
      </c>
      <c r="G461" s="317" t="str">
        <f t="shared" si="45"/>
        <v/>
      </c>
      <c r="H461" s="317" t="str">
        <f t="shared" si="45"/>
        <v/>
      </c>
      <c r="I461" s="317" t="str">
        <f t="shared" si="45"/>
        <v/>
      </c>
      <c r="J461" s="317" t="str">
        <f t="shared" si="45"/>
        <v/>
      </c>
      <c r="K461" s="317"/>
      <c r="L461" s="317"/>
      <c r="M461" s="169"/>
      <c r="N461" s="169"/>
      <c r="O461" s="169"/>
      <c r="P461" s="169"/>
      <c r="Q461" s="169"/>
      <c r="R461" s="169"/>
      <c r="S461" s="169"/>
      <c r="T461" s="169"/>
      <c r="U461" s="169"/>
      <c r="V461" s="169"/>
      <c r="W461" s="169"/>
      <c r="AO461" s="169"/>
      <c r="AP461" s="169"/>
      <c r="AQ461" s="169"/>
      <c r="AR461" s="169"/>
      <c r="AS461" s="169"/>
      <c r="AT461" s="169"/>
      <c r="AU461" s="169"/>
      <c r="AV461" s="169"/>
      <c r="AW461" s="213"/>
      <c r="AX461" s="213"/>
      <c r="AY461" s="213"/>
      <c r="AZ461" s="213"/>
      <c r="BA461" s="213"/>
      <c r="BB461" s="213"/>
      <c r="BC461" s="213"/>
      <c r="BD461" s="213"/>
      <c r="BE461" s="213"/>
      <c r="BF461" s="213"/>
      <c r="BG461" s="213"/>
      <c r="BH461" s="213"/>
    </row>
    <row r="462" spans="1:64" s="168" customFormat="1">
      <c r="A462" s="185"/>
      <c r="B462" s="340" t="s">
        <v>483</v>
      </c>
      <c r="C462" s="167" t="s">
        <v>915</v>
      </c>
      <c r="D462" s="167" t="s">
        <v>915</v>
      </c>
      <c r="E462" s="167"/>
      <c r="F462" s="167"/>
      <c r="G462" s="167"/>
      <c r="H462" s="166"/>
      <c r="I462" s="166"/>
      <c r="J462" s="166"/>
      <c r="K462" s="166"/>
      <c r="L462" s="166"/>
      <c r="M462" s="213"/>
      <c r="N462" s="213"/>
      <c r="O462" s="213"/>
      <c r="P462" s="213"/>
      <c r="Q462" s="213"/>
      <c r="R462" s="213"/>
      <c r="S462" s="213"/>
      <c r="T462" s="213"/>
      <c r="U462" s="213"/>
      <c r="V462" s="213"/>
      <c r="W462" s="213"/>
      <c r="X462" s="182"/>
      <c r="Y462" s="126"/>
      <c r="Z462" s="126"/>
      <c r="AA462" s="126"/>
      <c r="AB462" s="126"/>
      <c r="AC462" s="126"/>
      <c r="AD462" s="126"/>
      <c r="AE462" s="126"/>
      <c r="AF462" s="126"/>
      <c r="AG462" s="170"/>
      <c r="AH462" s="170"/>
    </row>
    <row r="463" spans="1:64" s="168" customFormat="1">
      <c r="A463" s="167"/>
      <c r="B463" s="182" t="s">
        <v>158</v>
      </c>
      <c r="C463" s="165">
        <v>63</v>
      </c>
      <c r="D463" s="165">
        <v>63</v>
      </c>
      <c r="E463" s="165"/>
      <c r="F463" s="165"/>
      <c r="G463" s="165"/>
      <c r="H463" s="166"/>
      <c r="I463" s="166"/>
      <c r="J463" s="166"/>
      <c r="K463" s="166"/>
      <c r="L463" s="166"/>
      <c r="M463" s="213"/>
      <c r="N463" s="213"/>
      <c r="O463" s="213"/>
      <c r="P463" s="213"/>
      <c r="Q463" s="213"/>
      <c r="R463" s="213"/>
      <c r="S463" s="213"/>
      <c r="T463" s="213"/>
      <c r="U463" s="213"/>
      <c r="V463" s="213"/>
      <c r="W463" s="213"/>
    </row>
    <row r="464" spans="1:64" s="168" customFormat="1">
      <c r="A464" s="143"/>
      <c r="B464" s="340" t="s">
        <v>442</v>
      </c>
      <c r="C464" s="165">
        <v>41</v>
      </c>
      <c r="D464" s="165">
        <v>41</v>
      </c>
      <c r="E464" s="165"/>
      <c r="F464" s="165"/>
      <c r="G464" s="165"/>
      <c r="H464" s="165"/>
      <c r="I464" s="165"/>
      <c r="J464" s="165"/>
      <c r="K464" s="165"/>
      <c r="L464" s="165"/>
    </row>
    <row r="465" spans="1:64" s="168" customFormat="1">
      <c r="A465" s="143"/>
      <c r="B465" s="143"/>
      <c r="C465" s="143"/>
      <c r="D465" s="143"/>
      <c r="E465" s="143"/>
      <c r="F465" s="143"/>
      <c r="G465" s="143"/>
      <c r="H465" s="143"/>
      <c r="I465" s="143"/>
      <c r="J465" s="143"/>
      <c r="K465" s="143"/>
      <c r="L465" s="143"/>
    </row>
    <row r="466" spans="1:64" s="168" customFormat="1">
      <c r="A466" s="143"/>
      <c r="B466" s="143"/>
      <c r="C466" s="143"/>
      <c r="D466" s="143"/>
      <c r="E466" s="143"/>
      <c r="F466" s="143"/>
      <c r="G466" s="143"/>
      <c r="H466" s="143"/>
      <c r="I466" s="143"/>
      <c r="J466" s="143"/>
      <c r="K466" s="143"/>
      <c r="L466" s="143"/>
      <c r="AF466" s="203"/>
      <c r="AG466" s="182"/>
      <c r="AH466" s="126"/>
      <c r="AI466" s="126"/>
      <c r="AJ466" s="126"/>
      <c r="AK466" s="126"/>
      <c r="AL466" s="126"/>
      <c r="AM466" s="126"/>
      <c r="AN466" s="126"/>
      <c r="AO466" s="126"/>
      <c r="AP466" s="170"/>
      <c r="AQ466" s="170"/>
    </row>
    <row r="467" spans="1:64" s="168" customFormat="1">
      <c r="A467" s="143"/>
      <c r="B467" s="143"/>
      <c r="C467" s="143"/>
      <c r="D467" s="143"/>
      <c r="E467" s="143"/>
      <c r="F467" s="143"/>
      <c r="G467" s="143"/>
      <c r="H467" s="143"/>
      <c r="I467" s="143"/>
      <c r="J467" s="143"/>
      <c r="K467" s="143"/>
      <c r="L467" s="143"/>
      <c r="X467" s="213"/>
      <c r="Y467" s="213"/>
      <c r="Z467" s="213"/>
      <c r="AA467" s="213"/>
      <c r="AB467" s="213"/>
      <c r="AC467" s="213"/>
      <c r="AD467" s="213"/>
    </row>
    <row r="468" spans="1:64" s="168" customFormat="1" ht="14.25" customHeight="1">
      <c r="A468" s="143"/>
      <c r="B468" s="143"/>
      <c r="C468" s="143"/>
      <c r="D468" s="143"/>
      <c r="E468" s="143"/>
      <c r="F468" s="143"/>
      <c r="G468" s="143"/>
      <c r="H468" s="143"/>
      <c r="I468" s="143"/>
      <c r="J468" s="143"/>
      <c r="K468" s="143"/>
      <c r="L468" s="143"/>
    </row>
    <row r="469" spans="1:64" s="168" customFormat="1" ht="14.25" customHeight="1">
      <c r="A469" s="143" t="s">
        <v>183</v>
      </c>
      <c r="B469" s="143"/>
      <c r="C469" s="143"/>
      <c r="D469" s="143"/>
      <c r="E469" s="143"/>
      <c r="F469" s="143"/>
      <c r="G469" s="143"/>
      <c r="H469" s="143"/>
      <c r="I469" s="143"/>
      <c r="J469" s="143"/>
      <c r="K469" s="143"/>
      <c r="L469" s="143"/>
    </row>
    <row r="470" spans="1:64" s="168" customFormat="1" ht="14.25" customHeight="1">
      <c r="A470" s="143">
        <v>2</v>
      </c>
      <c r="B470" s="143"/>
      <c r="C470" s="143"/>
      <c r="D470" s="143"/>
      <c r="E470" s="143"/>
      <c r="F470" s="143"/>
      <c r="G470" s="143"/>
      <c r="H470" s="143"/>
      <c r="I470" s="143"/>
      <c r="J470" s="143"/>
      <c r="K470" s="143"/>
      <c r="L470" s="143"/>
      <c r="AO470" s="203"/>
      <c r="AP470" s="217"/>
      <c r="AQ470" s="169"/>
      <c r="AR470" s="169"/>
      <c r="AS470" s="169"/>
      <c r="AT470" s="169"/>
      <c r="AU470" s="169"/>
      <c r="AV470" s="169"/>
      <c r="AW470" s="169"/>
      <c r="AX470" s="169"/>
      <c r="AY470" s="170"/>
      <c r="AZ470" s="170"/>
    </row>
    <row r="471" spans="1:64" s="168" customFormat="1" ht="14.25" customHeight="1">
      <c r="A471" s="143"/>
      <c r="B471" s="143"/>
      <c r="C471" s="143"/>
      <c r="D471" s="143"/>
      <c r="E471" s="143"/>
      <c r="F471" s="143"/>
      <c r="G471" s="143"/>
      <c r="H471" s="143"/>
      <c r="I471" s="143"/>
      <c r="J471" s="143"/>
      <c r="K471" s="143"/>
      <c r="L471" s="143"/>
      <c r="X471" s="169"/>
      <c r="Y471" s="169"/>
      <c r="Z471" s="169"/>
      <c r="AA471" s="213"/>
      <c r="AB471" s="213"/>
      <c r="AC471" s="213"/>
      <c r="AD471" s="213"/>
      <c r="AE471" s="213"/>
      <c r="AF471" s="213"/>
      <c r="AG471" s="213"/>
      <c r="AH471" s="213"/>
      <c r="AI471" s="213"/>
      <c r="AJ471" s="213"/>
      <c r="AK471" s="213"/>
      <c r="AL471" s="213"/>
      <c r="AM471" s="213"/>
    </row>
    <row r="472" spans="1:64" s="168" customFormat="1" ht="14.25" customHeight="1">
      <c r="A472" s="143"/>
      <c r="B472" s="143"/>
      <c r="C472" s="143"/>
      <c r="D472" s="143"/>
      <c r="E472" s="143"/>
      <c r="F472" s="143"/>
      <c r="G472" s="143"/>
      <c r="H472" s="143"/>
      <c r="I472" s="143"/>
      <c r="J472" s="143"/>
      <c r="K472" s="143"/>
      <c r="L472" s="143"/>
    </row>
    <row r="473" spans="1:64" s="168" customFormat="1" ht="14.25" customHeight="1">
      <c r="A473" s="143"/>
      <c r="B473" s="143"/>
      <c r="C473" s="143"/>
      <c r="D473" s="143"/>
      <c r="E473" s="143"/>
      <c r="F473" s="143"/>
      <c r="G473" s="143"/>
      <c r="H473" s="143"/>
      <c r="I473" s="143"/>
      <c r="J473" s="143"/>
      <c r="K473" s="143"/>
      <c r="L473" s="143"/>
    </row>
    <row r="474" spans="1:64" s="168" customFormat="1" ht="14.25" customHeight="1">
      <c r="A474" s="143"/>
      <c r="B474" s="143"/>
      <c r="C474" s="143"/>
      <c r="D474" s="143"/>
      <c r="E474" s="143"/>
      <c r="F474" s="143"/>
      <c r="G474" s="143"/>
      <c r="H474" s="143"/>
      <c r="I474" s="143"/>
      <c r="J474" s="143"/>
      <c r="K474" s="143"/>
      <c r="L474" s="143"/>
      <c r="AO474" s="169"/>
      <c r="AP474" s="169"/>
      <c r="AQ474" s="169"/>
      <c r="AR474" s="169"/>
      <c r="AS474" s="169"/>
      <c r="AT474" s="169"/>
      <c r="AU474" s="169"/>
      <c r="AV474" s="169"/>
      <c r="AX474" s="203"/>
      <c r="AY474" s="204"/>
      <c r="AZ474" s="213"/>
      <c r="BA474" s="213"/>
      <c r="BB474" s="213"/>
      <c r="BC474" s="213"/>
      <c r="BD474" s="213"/>
      <c r="BE474" s="170"/>
      <c r="BF474" s="170"/>
      <c r="BG474" s="170"/>
      <c r="BH474" s="170"/>
      <c r="BI474" s="170"/>
    </row>
    <row r="475" spans="1:64" s="168" customFormat="1" ht="14.25" customHeight="1">
      <c r="A475" s="143"/>
      <c r="B475" s="143"/>
      <c r="C475" s="143"/>
      <c r="D475" s="143"/>
      <c r="E475" s="143"/>
      <c r="F475" s="143"/>
      <c r="G475" s="143"/>
      <c r="H475" s="143"/>
      <c r="I475" s="143"/>
      <c r="J475" s="143"/>
      <c r="K475" s="143"/>
      <c r="L475" s="143"/>
      <c r="AB475" s="213"/>
      <c r="AC475" s="213"/>
      <c r="AD475" s="213"/>
      <c r="AE475" s="213"/>
      <c r="AF475" s="213"/>
      <c r="AG475" s="213"/>
      <c r="AH475" s="213"/>
      <c r="AI475" s="213"/>
      <c r="AJ475" s="213"/>
      <c r="AK475" s="213"/>
      <c r="AL475" s="213"/>
      <c r="AM475" s="213"/>
      <c r="AN475" s="213"/>
      <c r="AO475" s="213"/>
      <c r="AP475" s="213"/>
      <c r="AQ475" s="213"/>
      <c r="AR475" s="213"/>
      <c r="AS475" s="213"/>
      <c r="AT475" s="213"/>
      <c r="AU475" s="213"/>
      <c r="AV475" s="213"/>
    </row>
    <row r="476" spans="1:64" s="168" customFormat="1" ht="14.25" customHeight="1">
      <c r="A476" s="143"/>
      <c r="B476" s="143"/>
      <c r="C476" s="143"/>
      <c r="D476" s="143"/>
      <c r="E476" s="143"/>
      <c r="F476" s="143"/>
      <c r="G476" s="143"/>
      <c r="H476" s="143"/>
      <c r="I476" s="143"/>
      <c r="J476" s="143"/>
      <c r="K476" s="143"/>
      <c r="L476" s="143"/>
    </row>
    <row r="477" spans="1:64" s="168" customFormat="1" ht="14.25" customHeight="1">
      <c r="A477" s="143"/>
      <c r="B477" s="143"/>
      <c r="C477" s="143"/>
      <c r="D477" s="143"/>
      <c r="E477" s="143"/>
      <c r="F477" s="143"/>
      <c r="G477" s="143"/>
      <c r="H477" s="143"/>
      <c r="I477" s="143"/>
      <c r="J477" s="143"/>
      <c r="K477" s="143"/>
      <c r="L477" s="143"/>
    </row>
    <row r="478" spans="1:64" s="169" customFormat="1" ht="14.25" customHeight="1">
      <c r="A478" s="143"/>
      <c r="B478" s="143"/>
      <c r="C478" s="143"/>
      <c r="D478" s="143"/>
      <c r="E478" s="143"/>
      <c r="F478" s="143"/>
      <c r="G478" s="143"/>
      <c r="H478" s="143"/>
      <c r="I478" s="143"/>
      <c r="J478" s="143"/>
      <c r="K478" s="143"/>
      <c r="L478" s="143"/>
      <c r="M478" s="168"/>
      <c r="N478" s="168"/>
      <c r="O478" s="168"/>
      <c r="P478" s="168"/>
      <c r="Q478" s="168"/>
      <c r="R478" s="168"/>
      <c r="S478" s="168"/>
      <c r="T478" s="168"/>
      <c r="U478" s="168"/>
      <c r="V478" s="168"/>
      <c r="W478" s="168"/>
      <c r="X478" s="168"/>
      <c r="Y478" s="168"/>
      <c r="Z478" s="168"/>
      <c r="AA478" s="168"/>
      <c r="AB478" s="168"/>
      <c r="AC478" s="168"/>
      <c r="AD478" s="168"/>
      <c r="AE478" s="168"/>
      <c r="AF478" s="168"/>
      <c r="AG478" s="168"/>
      <c r="AH478" s="168"/>
      <c r="AI478" s="168"/>
      <c r="AJ478" s="168"/>
      <c r="AK478" s="168"/>
      <c r="AL478" s="168"/>
      <c r="AM478" s="168"/>
      <c r="AN478" s="168"/>
      <c r="AO478" s="168"/>
      <c r="AP478" s="168"/>
      <c r="AQ478" s="168"/>
      <c r="AR478" s="168"/>
      <c r="AS478" s="168"/>
      <c r="AT478" s="168"/>
      <c r="AU478" s="168"/>
      <c r="AV478" s="168"/>
      <c r="AW478" s="168"/>
      <c r="AX478" s="168"/>
      <c r="AY478" s="168"/>
      <c r="AZ478" s="168"/>
      <c r="BA478" s="168"/>
      <c r="BB478" s="168"/>
      <c r="BC478" s="168"/>
      <c r="BD478" s="168"/>
      <c r="BE478" s="168"/>
      <c r="BF478" s="168"/>
      <c r="BG478" s="203"/>
      <c r="BH478" s="204"/>
    </row>
    <row r="479" spans="1:64" s="168" customFormat="1" ht="14.25" customHeight="1">
      <c r="A479" s="165">
        <f>A449+1</f>
        <v>16</v>
      </c>
      <c r="B479" s="165"/>
      <c r="C479" s="187" t="str">
        <f>IF($A$1 = 1, (IF("("&amp;C489&amp;")" ="()","","("&amp;C489&amp;")")), (IF("("&amp;C494&amp;")     ("&amp;C489&amp;")"="()     ()","","("&amp;C494&amp;")     ("&amp;C489&amp;")")))</f>
        <v>(2)     (3)</v>
      </c>
      <c r="D479" s="187" t="str">
        <f t="shared" ref="D479:J479" si="46">IF($A$1 = 1, (IF("("&amp;D489&amp;")" ="()","","("&amp;D489&amp;")")), (IF("("&amp;D494&amp;")     ("&amp;D489&amp;")"="()     ()","","("&amp;D494&amp;")     ("&amp;D489&amp;")")))</f>
        <v>(0)     (0)</v>
      </c>
      <c r="E479" s="187" t="str">
        <f t="shared" si="46"/>
        <v/>
      </c>
      <c r="F479" s="187" t="str">
        <f t="shared" si="46"/>
        <v/>
      </c>
      <c r="G479" s="187" t="str">
        <f t="shared" si="46"/>
        <v/>
      </c>
      <c r="H479" s="187" t="str">
        <f t="shared" si="46"/>
        <v/>
      </c>
      <c r="I479" s="187" t="str">
        <f t="shared" si="46"/>
        <v/>
      </c>
      <c r="J479" s="187" t="str">
        <f t="shared" si="46"/>
        <v/>
      </c>
      <c r="K479" s="166"/>
      <c r="L479" s="166"/>
      <c r="M479" s="170"/>
      <c r="N479" s="170"/>
      <c r="O479" s="170"/>
      <c r="P479" s="170"/>
      <c r="Q479" s="170"/>
      <c r="R479" s="170"/>
      <c r="S479" s="170"/>
      <c r="T479" s="170"/>
      <c r="U479" s="170"/>
      <c r="V479" s="170"/>
      <c r="W479" s="170"/>
      <c r="AK479" s="213"/>
      <c r="AL479" s="213"/>
      <c r="AM479" s="213"/>
      <c r="AN479" s="213"/>
      <c r="AO479" s="213"/>
      <c r="AP479" s="213"/>
      <c r="AQ479" s="213"/>
      <c r="AR479" s="213"/>
      <c r="AS479" s="213"/>
      <c r="AT479" s="213"/>
      <c r="AU479" s="213"/>
      <c r="AV479" s="213"/>
      <c r="AW479" s="213"/>
      <c r="AX479" s="213"/>
      <c r="AY479" s="213"/>
      <c r="AZ479" s="213"/>
      <c r="BA479" s="213"/>
      <c r="BB479" s="213"/>
      <c r="BC479" s="213"/>
      <c r="BD479" s="213"/>
      <c r="BE479" s="213"/>
    </row>
    <row r="480" spans="1:64" s="168" customFormat="1" ht="59.1" customHeight="1">
      <c r="A480" s="143"/>
      <c r="B480" s="177"/>
      <c r="C480" s="178" t="s">
        <v>850</v>
      </c>
      <c r="D480" s="178" t="s">
        <v>851</v>
      </c>
      <c r="E480" s="178"/>
      <c r="F480" s="178"/>
      <c r="G480" s="178"/>
      <c r="H480" s="178"/>
      <c r="I480" s="178"/>
      <c r="J480" s="178"/>
      <c r="K480" s="178"/>
      <c r="L480" s="178"/>
      <c r="M480" s="208"/>
      <c r="N480" s="208"/>
      <c r="O480" s="208"/>
      <c r="P480" s="208"/>
      <c r="Q480" s="208"/>
      <c r="R480" s="208"/>
      <c r="S480" s="208"/>
      <c r="T480" s="208"/>
      <c r="U480" s="208"/>
      <c r="V480" s="208"/>
      <c r="W480" s="208"/>
      <c r="X480" s="210"/>
      <c r="Y480" s="210"/>
      <c r="Z480" s="210"/>
      <c r="AA480" s="210"/>
      <c r="AB480" s="210"/>
      <c r="AC480" s="210"/>
      <c r="AD480" s="210"/>
      <c r="AE480" s="210"/>
      <c r="AF480" s="210"/>
      <c r="AG480" s="210"/>
      <c r="AH480" s="210"/>
      <c r="AI480" s="210"/>
      <c r="AJ480" s="210"/>
      <c r="AK480" s="210"/>
      <c r="AL480" s="210"/>
      <c r="AM480" s="210"/>
      <c r="AN480" s="210"/>
      <c r="AO480" s="216"/>
      <c r="AP480" s="216"/>
      <c r="AQ480" s="216"/>
      <c r="AR480" s="216"/>
      <c r="AS480" s="216"/>
      <c r="AT480" s="216"/>
      <c r="AU480" s="216"/>
      <c r="AV480" s="216"/>
      <c r="AW480" s="216"/>
      <c r="AX480" s="210"/>
      <c r="AY480" s="216"/>
      <c r="AZ480" s="216"/>
      <c r="BA480" s="216"/>
      <c r="BB480" s="216"/>
      <c r="BC480" s="216"/>
      <c r="BD480" s="216"/>
      <c r="BE480" s="216"/>
      <c r="BF480" s="216"/>
      <c r="BG480" s="216"/>
      <c r="BH480" s="216"/>
      <c r="BI480" s="216"/>
      <c r="BJ480" s="210"/>
      <c r="BK480" s="210"/>
      <c r="BL480" s="210"/>
    </row>
    <row r="481" spans="1:64" s="168" customFormat="1" ht="18" customHeight="1" thickBot="1">
      <c r="A481" s="143"/>
      <c r="B481" s="181" t="s">
        <v>3</v>
      </c>
      <c r="C481" s="148" t="s">
        <v>443</v>
      </c>
      <c r="D481" s="148" t="s">
        <v>443</v>
      </c>
      <c r="E481" s="148"/>
      <c r="F481" s="148"/>
      <c r="G481" s="148"/>
      <c r="H481" s="148"/>
      <c r="I481" s="148"/>
      <c r="J481" s="148"/>
      <c r="K481" s="148"/>
      <c r="L481" s="148"/>
      <c r="M481" s="211"/>
      <c r="N481" s="211"/>
      <c r="O481" s="211"/>
      <c r="P481" s="211"/>
      <c r="Q481" s="211"/>
      <c r="R481" s="211"/>
      <c r="S481" s="211"/>
      <c r="T481" s="211"/>
      <c r="U481" s="211"/>
      <c r="V481" s="211"/>
      <c r="W481" s="211"/>
      <c r="AO481" s="213"/>
      <c r="AP481" s="213"/>
      <c r="AQ481" s="213"/>
      <c r="AR481" s="213"/>
      <c r="AS481" s="213"/>
      <c r="AT481" s="213"/>
      <c r="AU481" s="213"/>
      <c r="AV481" s="213"/>
      <c r="AW481" s="213"/>
      <c r="AY481" s="213"/>
      <c r="AZ481" s="213"/>
      <c r="BA481" s="213"/>
      <c r="BB481" s="213"/>
      <c r="BC481" s="213"/>
      <c r="BD481" s="213"/>
      <c r="BE481" s="213"/>
      <c r="BF481" s="213"/>
      <c r="BG481" s="213"/>
      <c r="BH481" s="213"/>
      <c r="BI481" s="213"/>
    </row>
    <row r="482" spans="1:64" s="168" customFormat="1" ht="18" customHeight="1" thickBot="1">
      <c r="A482" s="143"/>
      <c r="B482" s="182" t="s">
        <v>18</v>
      </c>
      <c r="C482" s="148" t="s">
        <v>443</v>
      </c>
      <c r="D482" s="148" t="s">
        <v>443</v>
      </c>
      <c r="E482" s="148"/>
      <c r="F482" s="148"/>
      <c r="G482" s="148"/>
      <c r="H482" s="148"/>
      <c r="I482" s="148"/>
      <c r="J482" s="148"/>
      <c r="K482" s="148"/>
      <c r="L482" s="148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AO482" s="213"/>
      <c r="AP482" s="213"/>
      <c r="AQ482" s="213"/>
      <c r="AR482" s="213"/>
      <c r="AS482" s="213"/>
      <c r="AT482" s="213"/>
      <c r="AU482" s="213"/>
      <c r="AV482" s="213"/>
      <c r="AW482" s="213"/>
      <c r="AY482" s="213"/>
      <c r="AZ482" s="213"/>
      <c r="BA482" s="213"/>
      <c r="BB482" s="213"/>
      <c r="BC482" s="213"/>
      <c r="BD482" s="213"/>
      <c r="BE482" s="213"/>
      <c r="BF482" s="213"/>
      <c r="BG482" s="213"/>
      <c r="BH482" s="213"/>
      <c r="BI482" s="213"/>
    </row>
    <row r="483" spans="1:64" s="213" customFormat="1" ht="18" customHeight="1" thickBot="1">
      <c r="A483" s="167"/>
      <c r="B483" s="183" t="s">
        <v>32</v>
      </c>
      <c r="C483" s="147" t="s">
        <v>443</v>
      </c>
      <c r="D483" s="147" t="s">
        <v>443</v>
      </c>
      <c r="E483" s="147"/>
      <c r="F483" s="147"/>
      <c r="G483" s="147"/>
      <c r="H483" s="147"/>
      <c r="I483" s="147"/>
      <c r="J483" s="147"/>
      <c r="K483" s="147"/>
      <c r="L483" s="147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68"/>
      <c r="Y483" s="168"/>
      <c r="Z483" s="168"/>
      <c r="AA483" s="168"/>
      <c r="AB483" s="168"/>
      <c r="AC483" s="168"/>
      <c r="AD483" s="168"/>
      <c r="AE483" s="168"/>
      <c r="AF483" s="168"/>
      <c r="AG483" s="168"/>
      <c r="AH483" s="168"/>
      <c r="AI483" s="168"/>
      <c r="AJ483" s="168"/>
      <c r="AK483" s="168"/>
      <c r="AL483" s="168"/>
      <c r="AM483" s="168"/>
      <c r="AN483" s="168"/>
      <c r="AX483" s="168"/>
      <c r="BI483" s="168"/>
      <c r="BJ483" s="168"/>
      <c r="BK483" s="168"/>
      <c r="BL483" s="168"/>
    </row>
    <row r="484" spans="1:64" s="168" customFormat="1" ht="18" customHeight="1" thickBot="1">
      <c r="A484" s="143"/>
      <c r="B484" s="182" t="s">
        <v>45</v>
      </c>
      <c r="C484" s="145" t="s">
        <v>443</v>
      </c>
      <c r="D484" s="145" t="s">
        <v>443</v>
      </c>
      <c r="E484" s="145"/>
      <c r="F484" s="145"/>
      <c r="G484" s="145"/>
      <c r="H484" s="145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AO484" s="213"/>
      <c r="AP484" s="213"/>
      <c r="AQ484" s="213"/>
      <c r="AR484" s="213"/>
      <c r="AS484" s="213"/>
      <c r="AT484" s="213"/>
      <c r="AU484" s="213"/>
      <c r="AV484" s="213"/>
      <c r="AW484" s="213"/>
      <c r="AY484" s="213"/>
      <c r="AZ484" s="213"/>
      <c r="BA484" s="213"/>
      <c r="BB484" s="213"/>
      <c r="BC484" s="213"/>
      <c r="BD484" s="213"/>
      <c r="BE484" s="213"/>
      <c r="BF484" s="213"/>
      <c r="BG484" s="213"/>
      <c r="BH484" s="213"/>
    </row>
    <row r="485" spans="1:64" s="168" customFormat="1" ht="18" customHeight="1" thickBot="1">
      <c r="A485" s="143"/>
      <c r="B485" s="184" t="s">
        <v>54</v>
      </c>
      <c r="C485" s="146" t="s">
        <v>443</v>
      </c>
      <c r="D485" s="146" t="s">
        <v>443</v>
      </c>
      <c r="E485" s="146"/>
      <c r="F485" s="146"/>
      <c r="G485" s="146"/>
      <c r="H485" s="146"/>
      <c r="I485" s="146"/>
      <c r="J485" s="146"/>
      <c r="K485" s="146"/>
      <c r="L485" s="146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AO485" s="213"/>
      <c r="AP485" s="213"/>
      <c r="AQ485" s="213"/>
      <c r="AR485" s="213"/>
      <c r="AS485" s="213"/>
      <c r="AT485" s="213"/>
      <c r="AU485" s="213"/>
      <c r="AV485" s="213"/>
      <c r="AW485" s="213"/>
      <c r="AY485" s="213"/>
      <c r="AZ485" s="213"/>
      <c r="BA485" s="213"/>
      <c r="BB485" s="213"/>
      <c r="BC485" s="213"/>
      <c r="BD485" s="213"/>
      <c r="BE485" s="213"/>
      <c r="BF485" s="213"/>
      <c r="BG485" s="213"/>
      <c r="BH485" s="213"/>
    </row>
    <row r="486" spans="1:64" s="168" customFormat="1">
      <c r="A486" s="143"/>
      <c r="B486" s="182" t="s">
        <v>66</v>
      </c>
      <c r="C486" s="145"/>
      <c r="D486" s="145"/>
      <c r="E486" s="145"/>
      <c r="F486" s="145"/>
      <c r="G486" s="145"/>
      <c r="H486" s="125"/>
      <c r="I486" s="125"/>
      <c r="J486" s="125"/>
      <c r="K486" s="125"/>
      <c r="L486" s="12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AO486" s="213"/>
      <c r="AP486" s="213"/>
      <c r="AQ486" s="213"/>
      <c r="AR486" s="213"/>
      <c r="AS486" s="213"/>
      <c r="AT486" s="213"/>
      <c r="AU486" s="213"/>
      <c r="AV486" s="213"/>
      <c r="AW486" s="213"/>
      <c r="AY486" s="213"/>
      <c r="AZ486" s="213"/>
      <c r="BA486" s="213"/>
      <c r="BB486" s="213"/>
      <c r="BC486" s="213"/>
      <c r="BD486" s="213"/>
      <c r="BE486" s="213"/>
      <c r="BF486" s="213"/>
      <c r="BG486" s="213"/>
      <c r="BH486" s="213"/>
    </row>
    <row r="487" spans="1:64" s="213" customFormat="1">
      <c r="A487" s="167"/>
      <c r="B487" s="182" t="s">
        <v>158</v>
      </c>
      <c r="C487" s="126" t="s">
        <v>443</v>
      </c>
      <c r="D487" s="126" t="s">
        <v>443</v>
      </c>
      <c r="E487" s="126"/>
      <c r="F487" s="126"/>
      <c r="G487" s="126"/>
      <c r="H487" s="126"/>
      <c r="I487" s="126"/>
      <c r="J487" s="126"/>
      <c r="K487" s="126"/>
      <c r="L487" s="126"/>
      <c r="M487" s="126"/>
      <c r="N487" s="126"/>
      <c r="O487" s="126"/>
      <c r="P487" s="126"/>
      <c r="Q487" s="126"/>
      <c r="R487" s="126"/>
      <c r="S487" s="126"/>
      <c r="T487" s="126"/>
      <c r="U487" s="126"/>
      <c r="V487" s="126"/>
      <c r="W487" s="126"/>
      <c r="X487" s="168"/>
      <c r="Y487" s="168"/>
      <c r="Z487" s="168"/>
      <c r="AA487" s="168"/>
      <c r="AB487" s="168"/>
      <c r="AC487" s="168"/>
      <c r="AD487" s="168"/>
      <c r="AE487" s="168"/>
      <c r="AF487" s="168"/>
      <c r="AG487" s="168"/>
      <c r="AH487" s="168"/>
      <c r="AI487" s="168"/>
      <c r="AJ487" s="168"/>
      <c r="AK487" s="168"/>
      <c r="AL487" s="168"/>
      <c r="AM487" s="168"/>
      <c r="AN487" s="168"/>
      <c r="AX487" s="168"/>
      <c r="BI487" s="168"/>
      <c r="BJ487" s="168"/>
      <c r="BK487" s="168"/>
      <c r="BL487" s="168"/>
    </row>
    <row r="488" spans="1:64" s="168" customFormat="1">
      <c r="A488" s="143"/>
      <c r="B488" s="182" t="s">
        <v>191</v>
      </c>
      <c r="C488" s="127">
        <v>69</v>
      </c>
      <c r="D488" s="127">
        <v>69</v>
      </c>
      <c r="E488" s="127"/>
      <c r="F488" s="127"/>
      <c r="G488" s="127"/>
      <c r="H488" s="126"/>
      <c r="I488" s="126"/>
      <c r="J488" s="126"/>
      <c r="K488" s="126"/>
      <c r="L488" s="126"/>
      <c r="M488" s="126"/>
      <c r="N488" s="126"/>
      <c r="O488" s="126"/>
      <c r="P488" s="126"/>
      <c r="Q488" s="126"/>
      <c r="R488" s="126"/>
      <c r="S488" s="126"/>
      <c r="T488" s="126"/>
      <c r="U488" s="126"/>
      <c r="V488" s="126"/>
      <c r="W488" s="126"/>
      <c r="AO488" s="214"/>
      <c r="AP488" s="214"/>
      <c r="AQ488" s="214"/>
      <c r="AR488" s="214"/>
      <c r="AS488" s="214"/>
      <c r="AT488" s="213"/>
      <c r="AU488" s="213"/>
      <c r="AV488" s="213"/>
      <c r="AW488" s="213"/>
      <c r="AY488" s="213"/>
      <c r="AZ488" s="213"/>
      <c r="BA488" s="213"/>
      <c r="BB488" s="213"/>
      <c r="BC488" s="213"/>
      <c r="BD488" s="213"/>
      <c r="BE488" s="213"/>
      <c r="BF488" s="213"/>
      <c r="BG488" s="213"/>
      <c r="BH488" s="213"/>
    </row>
    <row r="489" spans="1:64" s="168" customFormat="1" ht="15" thickBot="1">
      <c r="A489" s="143"/>
      <c r="B489" s="182" t="s">
        <v>442</v>
      </c>
      <c r="C489" s="126">
        <v>3</v>
      </c>
      <c r="D489" s="315">
        <v>0</v>
      </c>
      <c r="E489" s="315"/>
      <c r="F489" s="315"/>
      <c r="G489" s="315"/>
      <c r="H489" s="315"/>
      <c r="I489" s="315"/>
      <c r="J489" s="315"/>
      <c r="K489" s="315"/>
      <c r="L489" s="315"/>
      <c r="M489" s="126"/>
      <c r="N489" s="126"/>
      <c r="O489" s="126"/>
      <c r="P489" s="126"/>
      <c r="Q489" s="126"/>
      <c r="R489" s="126"/>
      <c r="S489" s="126"/>
      <c r="T489" s="126"/>
      <c r="U489" s="126"/>
      <c r="V489" s="126"/>
      <c r="W489" s="126"/>
      <c r="AO489" s="213"/>
      <c r="AP489" s="213"/>
      <c r="AQ489" s="213"/>
      <c r="AR489" s="213"/>
      <c r="AS489" s="213"/>
      <c r="AT489" s="213"/>
      <c r="AU489" s="213"/>
      <c r="AV489" s="213"/>
      <c r="AW489" s="213"/>
      <c r="AY489" s="213"/>
      <c r="AZ489" s="213"/>
      <c r="BA489" s="213"/>
      <c r="BB489" s="213"/>
      <c r="BC489" s="213"/>
      <c r="BD489" s="213"/>
      <c r="BE489" s="213"/>
      <c r="BF489" s="213"/>
      <c r="BG489" s="213"/>
      <c r="BH489" s="213"/>
    </row>
    <row r="490" spans="1:64" s="168" customFormat="1">
      <c r="A490" s="143"/>
      <c r="B490" s="338" t="s">
        <v>166</v>
      </c>
      <c r="C490" s="316" t="str">
        <f>IF(OR(C493="**",C493=""),"",VALUE(C493))</f>
        <v/>
      </c>
      <c r="D490" s="316" t="str">
        <f t="shared" ref="D490:J490" si="47">IF(OR(D493="**",D493=""),"",VALUE(D493))</f>
        <v/>
      </c>
      <c r="E490" s="316" t="str">
        <f t="shared" si="47"/>
        <v/>
      </c>
      <c r="F490" s="316" t="str">
        <f t="shared" si="47"/>
        <v/>
      </c>
      <c r="G490" s="316" t="str">
        <f t="shared" si="47"/>
        <v/>
      </c>
      <c r="H490" s="316" t="str">
        <f t="shared" si="47"/>
        <v/>
      </c>
      <c r="I490" s="316" t="str">
        <f t="shared" si="47"/>
        <v/>
      </c>
      <c r="J490" s="316" t="str">
        <f t="shared" si="47"/>
        <v/>
      </c>
      <c r="K490" s="316"/>
      <c r="L490" s="316"/>
      <c r="M490" s="126"/>
      <c r="N490" s="126"/>
      <c r="O490" s="126"/>
      <c r="P490" s="126"/>
      <c r="Q490" s="126"/>
      <c r="R490" s="126"/>
      <c r="S490" s="126"/>
      <c r="T490" s="126"/>
      <c r="U490" s="126"/>
      <c r="V490" s="126"/>
      <c r="W490" s="126"/>
      <c r="AO490" s="213"/>
      <c r="AP490" s="213"/>
      <c r="AQ490" s="213"/>
      <c r="AR490" s="213"/>
      <c r="AS490" s="213"/>
      <c r="AT490" s="213"/>
      <c r="AU490" s="213"/>
      <c r="AV490" s="213"/>
      <c r="AW490" s="213"/>
      <c r="AY490" s="213"/>
      <c r="AZ490" s="213"/>
      <c r="BA490" s="213"/>
      <c r="BB490" s="213"/>
      <c r="BC490" s="213"/>
      <c r="BD490" s="213"/>
      <c r="BE490" s="213"/>
      <c r="BF490" s="213"/>
      <c r="BG490" s="213"/>
      <c r="BH490" s="213"/>
    </row>
    <row r="491" spans="1:64" s="168" customFormat="1" ht="15" thickBot="1">
      <c r="A491" s="143"/>
      <c r="B491" s="339" t="s">
        <v>165</v>
      </c>
      <c r="C491" s="317" t="str">
        <f t="shared" ref="C491:J491" si="48">IF(OR(C487="**",C487=""),"",VALUE(C487))</f>
        <v/>
      </c>
      <c r="D491" s="317" t="str">
        <f t="shared" si="48"/>
        <v/>
      </c>
      <c r="E491" s="317" t="str">
        <f t="shared" si="48"/>
        <v/>
      </c>
      <c r="F491" s="317" t="str">
        <f t="shared" si="48"/>
        <v/>
      </c>
      <c r="G491" s="317" t="str">
        <f t="shared" si="48"/>
        <v/>
      </c>
      <c r="H491" s="317" t="str">
        <f t="shared" si="48"/>
        <v/>
      </c>
      <c r="I491" s="317" t="str">
        <f t="shared" si="48"/>
        <v/>
      </c>
      <c r="J491" s="317" t="str">
        <f t="shared" si="48"/>
        <v/>
      </c>
      <c r="K491" s="317"/>
      <c r="L491" s="317"/>
      <c r="M491" s="169"/>
      <c r="N491" s="169"/>
      <c r="O491" s="169"/>
      <c r="P491" s="169"/>
      <c r="Q491" s="169"/>
      <c r="R491" s="169"/>
      <c r="S491" s="169"/>
      <c r="T491" s="169"/>
      <c r="U491" s="169"/>
      <c r="V491" s="169"/>
      <c r="W491" s="169"/>
      <c r="AO491" s="169"/>
      <c r="AP491" s="169"/>
      <c r="AQ491" s="169"/>
      <c r="AR491" s="169"/>
      <c r="AS491" s="169"/>
      <c r="AT491" s="169"/>
      <c r="AU491" s="169"/>
      <c r="AV491" s="169"/>
      <c r="AW491" s="213"/>
      <c r="AX491" s="213"/>
      <c r="AY491" s="213"/>
      <c r="AZ491" s="213"/>
      <c r="BA491" s="213"/>
      <c r="BB491" s="213"/>
      <c r="BC491" s="213"/>
      <c r="BD491" s="213"/>
      <c r="BE491" s="213"/>
      <c r="BF491" s="213"/>
      <c r="BG491" s="213"/>
      <c r="BH491" s="213"/>
    </row>
    <row r="492" spans="1:64" s="168" customFormat="1">
      <c r="A492" s="143"/>
      <c r="B492" s="340" t="s">
        <v>483</v>
      </c>
      <c r="C492" s="167" t="s">
        <v>916</v>
      </c>
      <c r="D492" s="167" t="s">
        <v>851</v>
      </c>
      <c r="E492" s="167"/>
      <c r="F492" s="167"/>
      <c r="G492" s="167"/>
      <c r="H492" s="166"/>
      <c r="I492" s="166"/>
      <c r="J492" s="166"/>
      <c r="K492" s="166"/>
      <c r="L492" s="166"/>
      <c r="M492" s="213"/>
      <c r="N492" s="213"/>
      <c r="O492" s="213"/>
      <c r="P492" s="213"/>
      <c r="Q492" s="213"/>
      <c r="R492" s="213"/>
      <c r="S492" s="213"/>
      <c r="T492" s="213"/>
      <c r="U492" s="213"/>
      <c r="V492" s="213"/>
      <c r="W492" s="213"/>
    </row>
    <row r="493" spans="1:64" s="168" customFormat="1">
      <c r="A493" s="143"/>
      <c r="B493" s="182" t="s">
        <v>158</v>
      </c>
      <c r="C493" s="165" t="s">
        <v>443</v>
      </c>
      <c r="D493" s="165" t="s">
        <v>443</v>
      </c>
      <c r="E493" s="165"/>
      <c r="F493" s="165"/>
      <c r="G493" s="165"/>
      <c r="H493" s="166"/>
      <c r="I493" s="166"/>
      <c r="J493" s="166"/>
      <c r="K493" s="166"/>
      <c r="L493" s="166"/>
    </row>
    <row r="494" spans="1:64" s="168" customFormat="1">
      <c r="A494" s="143"/>
      <c r="B494" s="340" t="s">
        <v>442</v>
      </c>
      <c r="C494" s="165">
        <v>2</v>
      </c>
      <c r="D494" s="165">
        <v>0</v>
      </c>
      <c r="E494" s="165"/>
      <c r="F494" s="165"/>
      <c r="G494" s="165"/>
      <c r="H494" s="165"/>
      <c r="I494" s="165"/>
      <c r="J494" s="165"/>
      <c r="K494" s="165"/>
      <c r="L494" s="165"/>
    </row>
    <row r="495" spans="1:64" s="168" customFormat="1">
      <c r="A495" s="143"/>
      <c r="B495" s="143"/>
      <c r="C495" s="143"/>
      <c r="D495" s="143"/>
      <c r="E495" s="143"/>
      <c r="F495" s="143"/>
      <c r="G495" s="143"/>
      <c r="H495" s="143"/>
      <c r="I495" s="143"/>
      <c r="J495" s="143"/>
      <c r="K495" s="143"/>
      <c r="L495" s="143"/>
      <c r="AG495" s="203"/>
      <c r="AH495" s="204"/>
      <c r="AI495" s="169"/>
      <c r="AJ495" s="169"/>
      <c r="AK495" s="169"/>
      <c r="AL495" s="169"/>
      <c r="AM495" s="169"/>
      <c r="AN495" s="170"/>
      <c r="AO495" s="170"/>
      <c r="AP495" s="170"/>
      <c r="AQ495" s="170"/>
      <c r="AR495" s="170"/>
    </row>
    <row r="496" spans="1:64" s="168" customFormat="1">
      <c r="A496" s="143"/>
      <c r="B496" s="143"/>
      <c r="C496" s="143"/>
      <c r="D496" s="143"/>
      <c r="E496" s="143"/>
      <c r="F496" s="143"/>
      <c r="G496" s="143"/>
      <c r="H496" s="143"/>
      <c r="I496" s="143"/>
      <c r="J496" s="143"/>
      <c r="K496" s="143"/>
      <c r="L496" s="143"/>
      <c r="X496" s="213"/>
      <c r="Y496" s="213"/>
      <c r="Z496" s="213"/>
      <c r="AA496" s="213"/>
      <c r="AB496" s="213"/>
      <c r="AC496" s="213"/>
      <c r="AD496" s="213"/>
      <c r="AE496" s="213"/>
    </row>
    <row r="497" spans="1:64" s="168" customFormat="1">
      <c r="A497" s="143"/>
      <c r="B497" s="143"/>
      <c r="C497" s="143"/>
      <c r="D497" s="143"/>
      <c r="E497" s="143"/>
      <c r="F497" s="143"/>
      <c r="G497" s="143"/>
      <c r="H497" s="143"/>
      <c r="I497" s="143"/>
      <c r="J497" s="143"/>
      <c r="K497" s="143"/>
      <c r="L497" s="143"/>
    </row>
    <row r="498" spans="1:64" s="168" customFormat="1" ht="14.25" customHeight="1">
      <c r="A498" s="143"/>
      <c r="B498" s="143"/>
      <c r="C498" s="143"/>
      <c r="D498" s="143"/>
      <c r="E498" s="143"/>
      <c r="F498" s="143"/>
      <c r="G498" s="143"/>
      <c r="H498" s="143"/>
      <c r="I498" s="143"/>
      <c r="J498" s="143"/>
      <c r="K498" s="143"/>
      <c r="L498" s="143"/>
    </row>
    <row r="499" spans="1:64" s="168" customFormat="1" ht="14.25" customHeight="1">
      <c r="A499" s="143" t="s">
        <v>183</v>
      </c>
      <c r="B499" s="143"/>
      <c r="C499" s="143"/>
      <c r="D499" s="143"/>
      <c r="E499" s="143"/>
      <c r="F499" s="143"/>
      <c r="G499" s="143"/>
      <c r="H499" s="143"/>
      <c r="I499" s="143"/>
      <c r="J499" s="143"/>
      <c r="K499" s="143"/>
      <c r="L499" s="143"/>
      <c r="AP499" s="203"/>
      <c r="AQ499" s="204"/>
      <c r="AR499" s="169"/>
      <c r="AS499" s="169"/>
      <c r="AT499" s="169"/>
      <c r="AU499" s="169"/>
      <c r="AV499" s="169"/>
      <c r="AW499" s="170"/>
      <c r="AX499" s="170"/>
      <c r="AY499" s="170"/>
      <c r="AZ499" s="170"/>
      <c r="BA499" s="170"/>
    </row>
    <row r="500" spans="1:64" s="168" customFormat="1" ht="14.25" customHeight="1">
      <c r="A500" s="143">
        <v>4</v>
      </c>
      <c r="B500" s="143"/>
      <c r="C500" s="143"/>
      <c r="D500" s="143"/>
      <c r="E500" s="143"/>
      <c r="F500" s="143"/>
      <c r="G500" s="143"/>
      <c r="H500" s="143"/>
      <c r="I500" s="143"/>
      <c r="J500" s="143"/>
      <c r="K500" s="143"/>
      <c r="L500" s="14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  <c r="AH500" s="213"/>
      <c r="AI500" s="213"/>
      <c r="AJ500" s="213"/>
      <c r="AK500" s="213"/>
      <c r="AL500" s="213"/>
      <c r="AM500" s="213"/>
      <c r="AN500" s="213"/>
    </row>
    <row r="501" spans="1:64" s="168" customFormat="1" ht="14.25" customHeight="1">
      <c r="A501" s="143"/>
      <c r="B501" s="143"/>
      <c r="C501" s="143"/>
      <c r="D501" s="143"/>
      <c r="E501" s="143"/>
      <c r="F501" s="143"/>
      <c r="G501" s="143"/>
      <c r="H501" s="143"/>
      <c r="I501" s="143"/>
      <c r="J501" s="143"/>
      <c r="K501" s="143"/>
      <c r="L501" s="143"/>
    </row>
    <row r="502" spans="1:64" s="168" customFormat="1" ht="14.25" customHeight="1">
      <c r="A502" s="143"/>
      <c r="B502" s="143"/>
      <c r="C502" s="143"/>
      <c r="D502" s="143"/>
      <c r="E502" s="143"/>
      <c r="F502" s="143"/>
      <c r="G502" s="143"/>
      <c r="H502" s="143"/>
      <c r="I502" s="143"/>
      <c r="J502" s="143"/>
      <c r="K502" s="143"/>
      <c r="L502" s="143"/>
    </row>
    <row r="503" spans="1:64" s="170" customFormat="1" ht="14.25" customHeight="1">
      <c r="A503" s="143"/>
      <c r="B503" s="143"/>
      <c r="C503" s="143"/>
      <c r="D503" s="143"/>
      <c r="E503" s="143"/>
      <c r="F503" s="143"/>
      <c r="G503" s="143"/>
      <c r="H503" s="143"/>
      <c r="I503" s="143"/>
      <c r="J503" s="143"/>
      <c r="K503" s="143"/>
      <c r="L503" s="143"/>
      <c r="M503" s="168"/>
      <c r="N503" s="168"/>
      <c r="O503" s="168"/>
      <c r="P503" s="168"/>
      <c r="Q503" s="168"/>
      <c r="R503" s="168"/>
      <c r="S503" s="168"/>
      <c r="T503" s="168"/>
      <c r="U503" s="168"/>
      <c r="V503" s="168"/>
      <c r="W503" s="168"/>
      <c r="X503" s="168"/>
      <c r="Y503" s="168"/>
      <c r="Z503" s="168"/>
      <c r="AA503" s="168"/>
      <c r="AB503" s="168"/>
      <c r="AC503" s="168"/>
      <c r="AD503" s="168"/>
      <c r="AE503" s="168"/>
      <c r="AF503" s="168"/>
      <c r="AG503" s="168"/>
      <c r="AH503" s="168"/>
      <c r="AI503" s="168"/>
      <c r="AJ503" s="168"/>
      <c r="AK503" s="168"/>
      <c r="AL503" s="168"/>
      <c r="AM503" s="168"/>
      <c r="AN503" s="168"/>
      <c r="AO503" s="168"/>
      <c r="AP503" s="168"/>
      <c r="AQ503" s="168"/>
      <c r="AR503" s="168"/>
      <c r="AS503" s="168"/>
      <c r="AT503" s="168"/>
      <c r="AU503" s="168"/>
      <c r="AV503" s="168"/>
      <c r="AW503" s="168"/>
      <c r="AX503" s="168"/>
      <c r="AY503" s="203"/>
      <c r="AZ503" s="204"/>
      <c r="BA503" s="169"/>
      <c r="BB503" s="169"/>
      <c r="BC503" s="169"/>
      <c r="BD503" s="169"/>
      <c r="BE503" s="169"/>
    </row>
    <row r="504" spans="1:64" s="168" customFormat="1" ht="14.25" customHeight="1">
      <c r="A504" s="143"/>
      <c r="B504" s="143"/>
      <c r="C504" s="143"/>
      <c r="D504" s="143"/>
      <c r="E504" s="143"/>
      <c r="F504" s="143"/>
      <c r="G504" s="143"/>
      <c r="H504" s="143"/>
      <c r="I504" s="143"/>
      <c r="J504" s="143"/>
      <c r="K504" s="143"/>
      <c r="L504" s="143"/>
      <c r="AC504" s="213"/>
      <c r="AD504" s="213"/>
      <c r="AE504" s="213"/>
      <c r="AF504" s="213"/>
      <c r="AG504" s="213"/>
      <c r="AH504" s="213"/>
      <c r="AI504" s="213"/>
      <c r="AJ504" s="213"/>
      <c r="AK504" s="213"/>
      <c r="AL504" s="213"/>
      <c r="AM504" s="213"/>
      <c r="AN504" s="213"/>
      <c r="AO504" s="213"/>
      <c r="AP504" s="213"/>
      <c r="AQ504" s="213"/>
      <c r="AR504" s="213"/>
      <c r="AS504" s="213"/>
      <c r="AT504" s="213"/>
      <c r="AU504" s="213"/>
      <c r="AV504" s="213"/>
      <c r="AW504" s="213"/>
    </row>
    <row r="505" spans="1:64" s="168" customFormat="1" ht="14.25" customHeight="1">
      <c r="A505" s="143"/>
      <c r="B505" s="143"/>
      <c r="C505" s="143"/>
      <c r="D505" s="143"/>
      <c r="E505" s="143"/>
      <c r="F505" s="143"/>
      <c r="G505" s="143"/>
      <c r="H505" s="143"/>
      <c r="I505" s="143"/>
      <c r="J505" s="143"/>
      <c r="K505" s="143"/>
      <c r="L505" s="143"/>
    </row>
    <row r="506" spans="1:64" s="168" customFormat="1" ht="14.25" customHeight="1">
      <c r="A506" s="143"/>
      <c r="B506" s="143"/>
      <c r="C506" s="143"/>
      <c r="D506" s="143"/>
      <c r="E506" s="143"/>
      <c r="F506" s="143"/>
      <c r="G506" s="143"/>
      <c r="H506" s="143"/>
      <c r="I506" s="143"/>
      <c r="J506" s="143"/>
      <c r="K506" s="143"/>
      <c r="L506" s="143"/>
    </row>
    <row r="507" spans="1:64" s="169" customFormat="1" ht="14.25" customHeight="1">
      <c r="A507" s="143"/>
      <c r="B507" s="143"/>
      <c r="C507" s="143"/>
      <c r="D507" s="143"/>
      <c r="E507" s="143"/>
      <c r="F507" s="143"/>
      <c r="G507" s="143"/>
      <c r="H507" s="143"/>
      <c r="I507" s="143"/>
      <c r="J507" s="143"/>
      <c r="K507" s="143"/>
      <c r="L507" s="143"/>
      <c r="M507" s="168"/>
      <c r="N507" s="168"/>
      <c r="O507" s="168"/>
      <c r="P507" s="168"/>
      <c r="Q507" s="168"/>
      <c r="R507" s="168"/>
      <c r="S507" s="168"/>
      <c r="T507" s="168"/>
      <c r="U507" s="168"/>
      <c r="V507" s="168"/>
      <c r="W507" s="168"/>
      <c r="X507" s="168"/>
      <c r="Y507" s="168"/>
      <c r="Z507" s="168"/>
      <c r="AA507" s="168"/>
      <c r="AB507" s="168"/>
      <c r="AC507" s="168"/>
      <c r="AD507" s="168"/>
      <c r="AE507" s="168"/>
      <c r="AF507" s="168"/>
      <c r="AG507" s="168"/>
      <c r="AH507" s="168"/>
      <c r="AI507" s="168"/>
      <c r="AJ507" s="168"/>
      <c r="AK507" s="168"/>
      <c r="AL507" s="168"/>
      <c r="AM507" s="168"/>
      <c r="AN507" s="168"/>
      <c r="AO507" s="168"/>
      <c r="AP507" s="168"/>
      <c r="AQ507" s="168"/>
      <c r="AR507" s="168"/>
      <c r="AS507" s="168"/>
      <c r="AT507" s="168"/>
      <c r="AU507" s="168"/>
      <c r="AV507" s="168"/>
      <c r="AW507" s="168"/>
      <c r="AX507" s="168"/>
      <c r="AY507" s="168"/>
      <c r="AZ507" s="168"/>
      <c r="BA507" s="168"/>
      <c r="BB507" s="168"/>
      <c r="BC507" s="168"/>
      <c r="BD507" s="168"/>
      <c r="BE507" s="168"/>
      <c r="BF507" s="168"/>
      <c r="BG507" s="168"/>
      <c r="BH507" s="203"/>
      <c r="BI507" s="204"/>
    </row>
    <row r="508" spans="1:64" s="168" customFormat="1" ht="14.25" customHeight="1">
      <c r="A508" s="165"/>
      <c r="B508" s="165"/>
      <c r="C508" s="165"/>
      <c r="D508" s="165"/>
      <c r="E508" s="166"/>
      <c r="F508" s="166"/>
      <c r="G508" s="166"/>
      <c r="H508" s="166"/>
      <c r="I508" s="166"/>
      <c r="J508" s="166"/>
      <c r="K508" s="166"/>
      <c r="L508" s="166"/>
      <c r="M508" s="170"/>
      <c r="N508" s="170"/>
      <c r="O508" s="170"/>
      <c r="P508" s="170"/>
      <c r="Q508" s="170"/>
      <c r="R508" s="170"/>
      <c r="S508" s="170"/>
      <c r="T508" s="170"/>
      <c r="U508" s="170"/>
      <c r="V508" s="170"/>
      <c r="W508" s="170"/>
      <c r="AL508" s="213"/>
      <c r="AM508" s="213"/>
      <c r="AN508" s="213"/>
      <c r="AO508" s="213"/>
      <c r="AP508" s="213"/>
      <c r="AQ508" s="213"/>
      <c r="AR508" s="213"/>
      <c r="AS508" s="213"/>
      <c r="AT508" s="213"/>
      <c r="AU508" s="213"/>
      <c r="AV508" s="213"/>
      <c r="AW508" s="213"/>
      <c r="AX508" s="213"/>
      <c r="AY508" s="213"/>
      <c r="AZ508" s="213"/>
      <c r="BA508" s="213"/>
      <c r="BB508" s="213"/>
      <c r="BC508" s="213"/>
      <c r="BD508" s="213"/>
      <c r="BE508" s="213"/>
      <c r="BF508" s="213"/>
    </row>
    <row r="509" spans="1:64" s="168" customFormat="1" ht="14.25" customHeight="1">
      <c r="A509" s="143">
        <f>A479+1</f>
        <v>17</v>
      </c>
      <c r="B509" s="143"/>
      <c r="C509" s="187" t="str">
        <f>IF($A$1 = 1, (IF("("&amp;C519&amp;")" ="()","","("&amp;C519&amp;")")), (IF("("&amp;C524&amp;")     ("&amp;C519&amp;")"="()     ()","","("&amp;C524&amp;")     ("&amp;C519&amp;")")))</f>
        <v>(5)     (5)</v>
      </c>
      <c r="D509" s="187" t="str">
        <f t="shared" ref="D509:J509" si="49">IF($A$1 = 1, (IF("("&amp;D519&amp;")" ="()","","("&amp;D519&amp;")")), (IF("("&amp;D524&amp;")     ("&amp;D519&amp;")"="()     ()","","("&amp;D524&amp;")     ("&amp;D519&amp;")")))</f>
        <v>(2)     (2)</v>
      </c>
      <c r="E509" s="187" t="str">
        <f t="shared" si="49"/>
        <v>(4)     (4)</v>
      </c>
      <c r="F509" s="187" t="str">
        <f t="shared" si="49"/>
        <v>(10)     (11)</v>
      </c>
      <c r="G509" s="187" t="str">
        <f t="shared" si="49"/>
        <v/>
      </c>
      <c r="H509" s="187" t="str">
        <f t="shared" si="49"/>
        <v/>
      </c>
      <c r="I509" s="187" t="str">
        <f t="shared" si="49"/>
        <v/>
      </c>
      <c r="J509" s="187" t="str">
        <f t="shared" si="49"/>
        <v/>
      </c>
      <c r="K509" s="166"/>
      <c r="L509" s="166"/>
      <c r="M509" s="170"/>
      <c r="N509" s="170"/>
      <c r="O509" s="170"/>
      <c r="P509" s="170"/>
      <c r="Q509" s="170"/>
      <c r="R509" s="170"/>
      <c r="S509" s="170"/>
      <c r="T509" s="170"/>
      <c r="U509" s="170"/>
      <c r="V509" s="170"/>
      <c r="W509" s="170"/>
    </row>
    <row r="510" spans="1:64" s="168" customFormat="1" ht="59.1" customHeight="1">
      <c r="A510" s="143"/>
      <c r="B510" s="177"/>
      <c r="C510" s="178" t="s">
        <v>852</v>
      </c>
      <c r="D510" s="178" t="s">
        <v>784</v>
      </c>
      <c r="E510" s="178" t="s">
        <v>853</v>
      </c>
      <c r="F510" s="178" t="s">
        <v>854</v>
      </c>
      <c r="G510" s="178"/>
      <c r="H510" s="178"/>
      <c r="I510" s="178"/>
      <c r="J510" s="178"/>
      <c r="K510" s="178"/>
      <c r="L510" s="178"/>
      <c r="M510" s="208"/>
      <c r="N510" s="208"/>
      <c r="O510" s="208"/>
      <c r="P510" s="208"/>
      <c r="Q510" s="208"/>
      <c r="R510" s="208"/>
      <c r="S510" s="208"/>
      <c r="T510" s="208"/>
      <c r="U510" s="208"/>
      <c r="V510" s="208"/>
      <c r="W510" s="208"/>
      <c r="X510" s="210"/>
      <c r="Y510" s="210"/>
      <c r="Z510" s="210"/>
      <c r="AA510" s="210"/>
      <c r="AB510" s="210"/>
      <c r="AC510" s="210"/>
      <c r="AD510" s="210"/>
      <c r="AE510" s="210"/>
      <c r="AF510" s="210"/>
      <c r="AG510" s="210"/>
      <c r="AH510" s="210"/>
      <c r="AI510" s="210"/>
      <c r="AJ510" s="210"/>
      <c r="AK510" s="210"/>
      <c r="AL510" s="210"/>
      <c r="AM510" s="210"/>
      <c r="AN510" s="210"/>
      <c r="AO510" s="216"/>
      <c r="AP510" s="216"/>
      <c r="AQ510" s="216"/>
      <c r="AR510" s="216"/>
      <c r="AS510" s="216"/>
      <c r="AT510" s="216"/>
      <c r="AU510" s="216"/>
      <c r="AV510" s="216"/>
      <c r="AW510" s="216"/>
      <c r="AX510" s="210"/>
      <c r="AY510" s="216"/>
      <c r="AZ510" s="216"/>
      <c r="BA510" s="216"/>
      <c r="BB510" s="216"/>
      <c r="BC510" s="216"/>
      <c r="BD510" s="216"/>
      <c r="BE510" s="216"/>
      <c r="BF510" s="216"/>
      <c r="BG510" s="216"/>
      <c r="BH510" s="216"/>
      <c r="BI510" s="216"/>
      <c r="BJ510" s="210"/>
      <c r="BK510" s="210"/>
      <c r="BL510" s="210"/>
    </row>
    <row r="511" spans="1:64" s="168" customFormat="1" ht="18" customHeight="1" thickBot="1">
      <c r="A511" s="143"/>
      <c r="B511" s="181" t="s">
        <v>3</v>
      </c>
      <c r="C511" s="148" t="s">
        <v>443</v>
      </c>
      <c r="D511" s="148" t="s">
        <v>443</v>
      </c>
      <c r="E511" s="148" t="s">
        <v>443</v>
      </c>
      <c r="F511" s="148">
        <v>89</v>
      </c>
      <c r="G511" s="148"/>
      <c r="H511" s="148"/>
      <c r="I511" s="148"/>
      <c r="J511" s="148"/>
      <c r="K511" s="148"/>
      <c r="L511" s="148"/>
      <c r="M511" s="211"/>
      <c r="N511" s="211"/>
      <c r="O511" s="211"/>
      <c r="P511" s="211"/>
      <c r="Q511" s="211"/>
      <c r="R511" s="211"/>
      <c r="S511" s="211"/>
      <c r="T511" s="211"/>
      <c r="U511" s="211"/>
      <c r="V511" s="211"/>
      <c r="W511" s="211"/>
      <c r="AO511" s="213"/>
      <c r="AP511" s="213"/>
      <c r="AQ511" s="213"/>
      <c r="AR511" s="213"/>
      <c r="AS511" s="213"/>
      <c r="AT511" s="213"/>
      <c r="AU511" s="213"/>
      <c r="AV511" s="213"/>
      <c r="AW511" s="213"/>
      <c r="AY511" s="213"/>
      <c r="AZ511" s="213"/>
      <c r="BA511" s="213"/>
      <c r="BB511" s="213"/>
      <c r="BC511" s="213"/>
      <c r="BD511" s="213"/>
      <c r="BE511" s="213"/>
      <c r="BF511" s="213"/>
      <c r="BG511" s="213"/>
      <c r="BH511" s="213"/>
      <c r="BI511" s="213"/>
    </row>
    <row r="512" spans="1:64" s="213" customFormat="1" ht="18" customHeight="1" thickBot="1">
      <c r="A512" s="143"/>
      <c r="B512" s="182" t="s">
        <v>18</v>
      </c>
      <c r="C512" s="148" t="s">
        <v>443</v>
      </c>
      <c r="D512" s="148" t="s">
        <v>443</v>
      </c>
      <c r="E512" s="148" t="s">
        <v>443</v>
      </c>
      <c r="F512" s="148">
        <v>82</v>
      </c>
      <c r="G512" s="148"/>
      <c r="H512" s="148"/>
      <c r="I512" s="148"/>
      <c r="J512" s="148"/>
      <c r="K512" s="148"/>
      <c r="L512" s="148"/>
      <c r="M512" s="145"/>
      <c r="N512" s="145"/>
      <c r="O512" s="145"/>
      <c r="P512" s="145"/>
      <c r="Q512" s="145"/>
      <c r="R512" s="145"/>
      <c r="S512" s="145"/>
      <c r="T512" s="145"/>
      <c r="U512" s="145"/>
      <c r="V512" s="145"/>
      <c r="W512" s="145"/>
      <c r="X512" s="168"/>
      <c r="Y512" s="168"/>
      <c r="Z512" s="168"/>
      <c r="AA512" s="168"/>
      <c r="AB512" s="168"/>
      <c r="AC512" s="168"/>
      <c r="AD512" s="168"/>
      <c r="AE512" s="168"/>
      <c r="AF512" s="168"/>
      <c r="AG512" s="168"/>
      <c r="AH512" s="168"/>
      <c r="AI512" s="168"/>
      <c r="AJ512" s="168"/>
      <c r="AK512" s="168"/>
      <c r="AL512" s="168"/>
      <c r="AM512" s="168"/>
      <c r="AN512" s="168"/>
      <c r="AX512" s="168"/>
      <c r="BJ512" s="168"/>
      <c r="BK512" s="168"/>
      <c r="BL512" s="168"/>
    </row>
    <row r="513" spans="1:64" s="168" customFormat="1" ht="18" customHeight="1" thickBot="1">
      <c r="A513" s="143"/>
      <c r="B513" s="183" t="s">
        <v>32</v>
      </c>
      <c r="C513" s="147" t="s">
        <v>443</v>
      </c>
      <c r="D513" s="147" t="s">
        <v>443</v>
      </c>
      <c r="E513" s="147" t="s">
        <v>443</v>
      </c>
      <c r="F513" s="147">
        <v>81</v>
      </c>
      <c r="G513" s="147"/>
      <c r="H513" s="147"/>
      <c r="I513" s="147"/>
      <c r="J513" s="147"/>
      <c r="K513" s="147"/>
      <c r="L513" s="147"/>
      <c r="M513" s="145"/>
      <c r="N513" s="145"/>
      <c r="O513" s="145"/>
      <c r="P513" s="145"/>
      <c r="Q513" s="145"/>
      <c r="R513" s="145"/>
      <c r="S513" s="145"/>
      <c r="T513" s="145"/>
      <c r="U513" s="145"/>
      <c r="V513" s="145"/>
      <c r="W513" s="145"/>
      <c r="AO513" s="213"/>
      <c r="AP513" s="213"/>
      <c r="AQ513" s="213"/>
      <c r="AR513" s="213"/>
      <c r="AS513" s="213"/>
      <c r="AT513" s="213"/>
      <c r="AU513" s="213"/>
      <c r="AV513" s="213"/>
      <c r="AW513" s="213"/>
      <c r="AY513" s="213"/>
      <c r="AZ513" s="213"/>
      <c r="BA513" s="213"/>
      <c r="BB513" s="213"/>
      <c r="BC513" s="213"/>
      <c r="BD513" s="213"/>
      <c r="BE513" s="213"/>
      <c r="BF513" s="213"/>
      <c r="BG513" s="213"/>
      <c r="BH513" s="213"/>
    </row>
    <row r="514" spans="1:64" s="168" customFormat="1" ht="18" customHeight="1" thickBot="1">
      <c r="A514" s="143"/>
      <c r="B514" s="182" t="s">
        <v>45</v>
      </c>
      <c r="C514" s="145" t="s">
        <v>443</v>
      </c>
      <c r="D514" s="145" t="s">
        <v>443</v>
      </c>
      <c r="E514" s="145" t="s">
        <v>443</v>
      </c>
      <c r="F514" s="145">
        <v>76</v>
      </c>
      <c r="G514" s="145"/>
      <c r="H514" s="145"/>
      <c r="I514" s="145"/>
      <c r="J514" s="145"/>
      <c r="K514" s="145"/>
      <c r="L514" s="145"/>
      <c r="M514" s="145"/>
      <c r="N514" s="145"/>
      <c r="O514" s="145"/>
      <c r="P514" s="145"/>
      <c r="Q514" s="145"/>
      <c r="R514" s="145"/>
      <c r="S514" s="145"/>
      <c r="T514" s="145"/>
      <c r="U514" s="145"/>
      <c r="V514" s="145"/>
      <c r="W514" s="145"/>
      <c r="AO514" s="213"/>
      <c r="AP514" s="213"/>
      <c r="AQ514" s="213"/>
      <c r="AR514" s="213"/>
      <c r="AS514" s="213"/>
      <c r="AT514" s="213"/>
      <c r="AU514" s="213"/>
      <c r="AV514" s="213"/>
      <c r="AW514" s="213"/>
      <c r="AY514" s="213"/>
      <c r="AZ514" s="213"/>
      <c r="BA514" s="213"/>
      <c r="BB514" s="213"/>
      <c r="BC514" s="213"/>
      <c r="BD514" s="213"/>
      <c r="BE514" s="213"/>
      <c r="BF514" s="213"/>
      <c r="BG514" s="213"/>
      <c r="BH514" s="213"/>
    </row>
    <row r="515" spans="1:64" s="168" customFormat="1" ht="18" customHeight="1" thickBot="1">
      <c r="A515" s="143"/>
      <c r="B515" s="184" t="s">
        <v>54</v>
      </c>
      <c r="C515" s="146" t="s">
        <v>443</v>
      </c>
      <c r="D515" s="146" t="s">
        <v>443</v>
      </c>
      <c r="E515" s="146" t="s">
        <v>443</v>
      </c>
      <c r="F515" s="146">
        <v>82</v>
      </c>
      <c r="G515" s="146"/>
      <c r="H515" s="146"/>
      <c r="I515" s="146"/>
      <c r="J515" s="146"/>
      <c r="K515" s="146"/>
      <c r="L515" s="146"/>
      <c r="M515" s="145"/>
      <c r="N515" s="145"/>
      <c r="O515" s="145"/>
      <c r="P515" s="145"/>
      <c r="Q515" s="145"/>
      <c r="R515" s="145"/>
      <c r="S515" s="145"/>
      <c r="T515" s="145"/>
      <c r="U515" s="145"/>
      <c r="V515" s="145"/>
      <c r="W515" s="145"/>
      <c r="AO515" s="213"/>
      <c r="AP515" s="213"/>
      <c r="AQ515" s="213"/>
      <c r="AR515" s="213"/>
      <c r="AS515" s="213"/>
      <c r="AT515" s="213"/>
      <c r="AU515" s="213"/>
      <c r="AV515" s="213"/>
      <c r="AW515" s="213"/>
      <c r="AY515" s="213"/>
      <c r="AZ515" s="213"/>
      <c r="BA515" s="213"/>
      <c r="BB515" s="213"/>
      <c r="BC515" s="213"/>
      <c r="BD515" s="213"/>
      <c r="BE515" s="213"/>
      <c r="BF515" s="213"/>
      <c r="BG515" s="213"/>
      <c r="BH515" s="213"/>
    </row>
    <row r="516" spans="1:64" s="213" customFormat="1">
      <c r="A516" s="167"/>
      <c r="B516" s="182" t="s">
        <v>66</v>
      </c>
      <c r="C516" s="145"/>
      <c r="D516" s="145"/>
      <c r="E516" s="145"/>
      <c r="F516" s="145">
        <v>82</v>
      </c>
      <c r="G516" s="145"/>
      <c r="H516" s="125"/>
      <c r="I516" s="125"/>
      <c r="J516" s="125"/>
      <c r="K516" s="125"/>
      <c r="L516" s="125"/>
      <c r="M516" s="145"/>
      <c r="N516" s="145"/>
      <c r="O516" s="145"/>
      <c r="P516" s="145"/>
      <c r="Q516" s="145"/>
      <c r="R516" s="145"/>
      <c r="S516" s="145"/>
      <c r="T516" s="145"/>
      <c r="U516" s="145"/>
      <c r="V516" s="145"/>
      <c r="W516" s="145"/>
      <c r="X516" s="168"/>
      <c r="Y516" s="168"/>
      <c r="Z516" s="168"/>
      <c r="AA516" s="168"/>
      <c r="AB516" s="168"/>
      <c r="AC516" s="168"/>
      <c r="AD516" s="168"/>
      <c r="AE516" s="168"/>
      <c r="AF516" s="168"/>
      <c r="AG516" s="168"/>
      <c r="AH516" s="168"/>
      <c r="AI516" s="168"/>
      <c r="AJ516" s="168"/>
      <c r="AK516" s="168"/>
      <c r="AL516" s="168"/>
      <c r="AM516" s="168"/>
      <c r="AN516" s="168"/>
      <c r="AX516" s="168"/>
      <c r="BI516" s="168"/>
      <c r="BJ516" s="168"/>
      <c r="BK516" s="168"/>
      <c r="BL516" s="168"/>
    </row>
    <row r="517" spans="1:64" s="168" customFormat="1">
      <c r="A517" s="143"/>
      <c r="B517" s="182" t="s">
        <v>158</v>
      </c>
      <c r="C517" s="126" t="s">
        <v>443</v>
      </c>
      <c r="D517" s="126" t="s">
        <v>443</v>
      </c>
      <c r="E517" s="126" t="s">
        <v>443</v>
      </c>
      <c r="F517" s="126">
        <v>83</v>
      </c>
      <c r="G517" s="126"/>
      <c r="H517" s="126"/>
      <c r="I517" s="126"/>
      <c r="J517" s="126"/>
      <c r="K517" s="126"/>
      <c r="L517" s="126"/>
      <c r="M517" s="126"/>
      <c r="N517" s="126"/>
      <c r="O517" s="126"/>
      <c r="P517" s="126"/>
      <c r="Q517" s="126"/>
      <c r="R517" s="126"/>
      <c r="S517" s="126"/>
      <c r="T517" s="126"/>
      <c r="U517" s="126"/>
      <c r="V517" s="126"/>
      <c r="W517" s="126"/>
      <c r="AO517" s="213"/>
      <c r="AP517" s="213"/>
      <c r="AQ517" s="213"/>
      <c r="AR517" s="213"/>
      <c r="AS517" s="213"/>
      <c r="AT517" s="213"/>
      <c r="AU517" s="213"/>
      <c r="AV517" s="213"/>
      <c r="AW517" s="213"/>
      <c r="AY517" s="213"/>
      <c r="AZ517" s="213"/>
      <c r="BA517" s="213"/>
      <c r="BB517" s="213"/>
      <c r="BC517" s="213"/>
      <c r="BD517" s="213"/>
      <c r="BE517" s="213"/>
      <c r="BF517" s="213"/>
      <c r="BG517" s="213"/>
      <c r="BH517" s="213"/>
    </row>
    <row r="518" spans="1:64" s="168" customFormat="1">
      <c r="A518" s="143"/>
      <c r="B518" s="182" t="s">
        <v>191</v>
      </c>
      <c r="C518" s="127">
        <v>69</v>
      </c>
      <c r="D518" s="127">
        <v>69</v>
      </c>
      <c r="E518" s="127">
        <v>69</v>
      </c>
      <c r="F518" s="127">
        <v>69</v>
      </c>
      <c r="G518" s="127"/>
      <c r="H518" s="126"/>
      <c r="I518" s="126"/>
      <c r="J518" s="126"/>
      <c r="K518" s="126"/>
      <c r="L518" s="126"/>
      <c r="M518" s="126"/>
      <c r="N518" s="126"/>
      <c r="O518" s="126"/>
      <c r="P518" s="126"/>
      <c r="Q518" s="126"/>
      <c r="R518" s="126"/>
      <c r="S518" s="126"/>
      <c r="T518" s="126"/>
      <c r="U518" s="126"/>
      <c r="V518" s="126"/>
      <c r="W518" s="126"/>
      <c r="AO518" s="214"/>
      <c r="AP518" s="214"/>
      <c r="AQ518" s="214"/>
      <c r="AR518" s="214"/>
      <c r="AS518" s="214"/>
      <c r="AT518" s="213"/>
      <c r="AU518" s="213"/>
      <c r="AV518" s="213"/>
      <c r="AW518" s="213"/>
      <c r="AY518" s="213"/>
      <c r="AZ518" s="213"/>
      <c r="BA518" s="213"/>
      <c r="BB518" s="213"/>
      <c r="BC518" s="213"/>
      <c r="BD518" s="213"/>
      <c r="BE518" s="213"/>
      <c r="BF518" s="213"/>
      <c r="BG518" s="213"/>
      <c r="BH518" s="213"/>
    </row>
    <row r="519" spans="1:64" s="168" customFormat="1" ht="15" thickBot="1">
      <c r="A519" s="143"/>
      <c r="B519" s="182" t="s">
        <v>442</v>
      </c>
      <c r="C519" s="126">
        <v>5</v>
      </c>
      <c r="D519" s="315">
        <v>2</v>
      </c>
      <c r="E519" s="315">
        <v>4</v>
      </c>
      <c r="F519" s="315">
        <v>11</v>
      </c>
      <c r="G519" s="315"/>
      <c r="H519" s="315"/>
      <c r="I519" s="315"/>
      <c r="J519" s="315"/>
      <c r="K519" s="315"/>
      <c r="L519" s="315"/>
      <c r="M519" s="126"/>
      <c r="N519" s="126"/>
      <c r="O519" s="126"/>
      <c r="P519" s="126"/>
      <c r="Q519" s="126"/>
      <c r="R519" s="126"/>
      <c r="S519" s="126"/>
      <c r="T519" s="126"/>
      <c r="U519" s="126"/>
      <c r="V519" s="126"/>
      <c r="W519" s="126"/>
      <c r="AO519" s="213"/>
      <c r="AP519" s="213"/>
      <c r="AQ519" s="213"/>
      <c r="AR519" s="213"/>
      <c r="AS519" s="213"/>
      <c r="AT519" s="213"/>
      <c r="AU519" s="213"/>
      <c r="AV519" s="213"/>
      <c r="AW519" s="213"/>
      <c r="AY519" s="213"/>
      <c r="AZ519" s="213"/>
      <c r="BA519" s="213"/>
      <c r="BB519" s="213"/>
      <c r="BC519" s="213"/>
      <c r="BD519" s="213"/>
      <c r="BE519" s="213"/>
      <c r="BF519" s="213"/>
      <c r="BG519" s="213"/>
      <c r="BH519" s="213"/>
    </row>
    <row r="520" spans="1:64" s="168" customFormat="1">
      <c r="A520" s="143"/>
      <c r="B520" s="338" t="s">
        <v>166</v>
      </c>
      <c r="C520" s="316" t="str">
        <f>IF(OR(C523="**",C523=""),"",VALUE(C523))</f>
        <v/>
      </c>
      <c r="D520" s="316" t="str">
        <f t="shared" ref="D520:J520" si="50">IF(OR(D523="**",D523=""),"",VALUE(D523))</f>
        <v/>
      </c>
      <c r="E520" s="316" t="str">
        <f t="shared" si="50"/>
        <v/>
      </c>
      <c r="F520" s="316">
        <f t="shared" si="50"/>
        <v>86</v>
      </c>
      <c r="G520" s="316" t="str">
        <f t="shared" si="50"/>
        <v/>
      </c>
      <c r="H520" s="316" t="str">
        <f t="shared" si="50"/>
        <v/>
      </c>
      <c r="I520" s="316" t="str">
        <f t="shared" si="50"/>
        <v/>
      </c>
      <c r="J520" s="316" t="str">
        <f t="shared" si="50"/>
        <v/>
      </c>
      <c r="K520" s="316"/>
      <c r="L520" s="316"/>
      <c r="M520" s="126"/>
      <c r="N520" s="126"/>
      <c r="O520" s="126"/>
      <c r="P520" s="126"/>
      <c r="Q520" s="126"/>
      <c r="R520" s="126"/>
      <c r="S520" s="126"/>
      <c r="T520" s="126"/>
      <c r="U520" s="126"/>
      <c r="V520" s="126"/>
      <c r="W520" s="126"/>
      <c r="AO520" s="213"/>
      <c r="AP520" s="213"/>
      <c r="AQ520" s="213"/>
      <c r="AR520" s="213"/>
      <c r="AS520" s="213"/>
      <c r="AT520" s="213"/>
      <c r="AU520" s="213"/>
      <c r="AV520" s="213"/>
      <c r="AW520" s="213"/>
      <c r="AY520" s="213"/>
      <c r="AZ520" s="213"/>
      <c r="BA520" s="213"/>
      <c r="BB520" s="213"/>
      <c r="BC520" s="213"/>
      <c r="BD520" s="213"/>
      <c r="BE520" s="213"/>
      <c r="BF520" s="213"/>
      <c r="BG520" s="213"/>
      <c r="BH520" s="213"/>
    </row>
    <row r="521" spans="1:64" s="168" customFormat="1" ht="15" thickBot="1">
      <c r="A521" s="143"/>
      <c r="B521" s="339" t="s">
        <v>165</v>
      </c>
      <c r="C521" s="317" t="str">
        <f t="shared" ref="C521:J521" si="51">IF(OR(C517="**",C517=""),"",VALUE(C517))</f>
        <v/>
      </c>
      <c r="D521" s="317" t="str">
        <f t="shared" si="51"/>
        <v/>
      </c>
      <c r="E521" s="317" t="str">
        <f t="shared" si="51"/>
        <v/>
      </c>
      <c r="F521" s="317">
        <f t="shared" si="51"/>
        <v>83</v>
      </c>
      <c r="G521" s="317" t="str">
        <f t="shared" si="51"/>
        <v/>
      </c>
      <c r="H521" s="317" t="str">
        <f t="shared" si="51"/>
        <v/>
      </c>
      <c r="I521" s="317" t="str">
        <f t="shared" si="51"/>
        <v/>
      </c>
      <c r="J521" s="317" t="str">
        <f t="shared" si="51"/>
        <v/>
      </c>
      <c r="K521" s="317"/>
      <c r="L521" s="317"/>
      <c r="M521" s="169"/>
      <c r="N521" s="169"/>
      <c r="O521" s="169"/>
      <c r="P521" s="169"/>
      <c r="Q521" s="169"/>
      <c r="R521" s="169"/>
      <c r="S521" s="169"/>
      <c r="T521" s="169"/>
      <c r="U521" s="169"/>
      <c r="V521" s="169"/>
      <c r="W521" s="169"/>
      <c r="AO521" s="169"/>
      <c r="AP521" s="169"/>
      <c r="AQ521" s="169"/>
      <c r="AR521" s="169"/>
      <c r="AS521" s="169"/>
      <c r="AT521" s="169"/>
      <c r="AU521" s="169"/>
      <c r="AV521" s="169"/>
      <c r="AW521" s="213"/>
      <c r="AX521" s="213"/>
      <c r="AY521" s="213"/>
      <c r="AZ521" s="213"/>
      <c r="BA521" s="213"/>
      <c r="BB521" s="213"/>
      <c r="BC521" s="213"/>
      <c r="BD521" s="213"/>
      <c r="BE521" s="213"/>
      <c r="BF521" s="213"/>
      <c r="BG521" s="213"/>
      <c r="BH521" s="213"/>
    </row>
    <row r="522" spans="1:64" s="168" customFormat="1">
      <c r="A522" s="143"/>
      <c r="B522" s="340" t="s">
        <v>483</v>
      </c>
      <c r="C522" s="167" t="s">
        <v>917</v>
      </c>
      <c r="D522" s="167" t="s">
        <v>918</v>
      </c>
      <c r="E522" s="167" t="s">
        <v>919</v>
      </c>
      <c r="F522" s="167" t="s">
        <v>920</v>
      </c>
      <c r="G522" s="167"/>
      <c r="H522" s="166"/>
      <c r="I522" s="166"/>
      <c r="J522" s="166"/>
      <c r="K522" s="166"/>
      <c r="L522" s="166"/>
    </row>
    <row r="523" spans="1:64" s="168" customFormat="1">
      <c r="A523" s="143"/>
      <c r="B523" s="182" t="s">
        <v>158</v>
      </c>
      <c r="C523" s="165" t="s">
        <v>443</v>
      </c>
      <c r="D523" s="165" t="s">
        <v>443</v>
      </c>
      <c r="E523" s="165" t="s">
        <v>443</v>
      </c>
      <c r="F523" s="165">
        <v>86</v>
      </c>
      <c r="G523" s="165"/>
      <c r="H523" s="166"/>
      <c r="I523" s="166"/>
      <c r="J523" s="166"/>
      <c r="K523" s="166"/>
      <c r="L523" s="166"/>
    </row>
    <row r="524" spans="1:64" s="168" customFormat="1">
      <c r="A524" s="143"/>
      <c r="B524" s="340" t="s">
        <v>442</v>
      </c>
      <c r="C524" s="165">
        <v>5</v>
      </c>
      <c r="D524" s="165">
        <v>2</v>
      </c>
      <c r="E524" s="165">
        <v>4</v>
      </c>
      <c r="F524" s="165">
        <v>10</v>
      </c>
      <c r="G524" s="165"/>
      <c r="H524" s="165"/>
      <c r="I524" s="165"/>
      <c r="J524" s="165"/>
      <c r="K524" s="165"/>
      <c r="L524" s="165"/>
      <c r="AH524" s="203"/>
      <c r="AI524" s="204"/>
      <c r="AJ524" s="169"/>
      <c r="AK524" s="169"/>
      <c r="AL524" s="169"/>
      <c r="AM524" s="169"/>
      <c r="AN524" s="169"/>
      <c r="AO524" s="170"/>
      <c r="AP524" s="170"/>
      <c r="AQ524" s="170"/>
      <c r="AR524" s="170"/>
      <c r="AS524" s="170"/>
    </row>
    <row r="525" spans="1:64" s="168" customFormat="1">
      <c r="A525" s="143"/>
      <c r="B525" s="143"/>
      <c r="C525" s="143"/>
      <c r="D525" s="143"/>
      <c r="E525" s="143"/>
      <c r="F525" s="143"/>
      <c r="G525" s="143"/>
      <c r="H525" s="143"/>
      <c r="I525" s="143"/>
      <c r="J525" s="143"/>
      <c r="K525" s="143"/>
      <c r="L525" s="143"/>
      <c r="X525" s="213"/>
      <c r="Y525" s="213"/>
      <c r="Z525" s="213"/>
      <c r="AA525" s="213"/>
      <c r="AB525" s="213"/>
      <c r="AC525" s="213"/>
      <c r="AD525" s="213"/>
      <c r="AE525" s="213"/>
      <c r="AF525" s="213"/>
    </row>
    <row r="526" spans="1:64" s="168" customFormat="1">
      <c r="A526" s="143"/>
      <c r="B526" s="143"/>
      <c r="C526" s="143"/>
      <c r="D526" s="143"/>
      <c r="E526" s="143"/>
      <c r="F526" s="143"/>
      <c r="G526" s="143"/>
      <c r="H526" s="143"/>
      <c r="I526" s="143"/>
      <c r="J526" s="143"/>
      <c r="K526" s="143"/>
      <c r="L526" s="143"/>
    </row>
    <row r="527" spans="1:64" s="168" customFormat="1">
      <c r="A527" s="143"/>
      <c r="B527" s="143"/>
      <c r="C527" s="143"/>
      <c r="D527" s="143"/>
      <c r="E527" s="143"/>
      <c r="F527" s="143"/>
      <c r="G527" s="143"/>
      <c r="H527" s="143"/>
      <c r="I527" s="143"/>
      <c r="J527" s="143"/>
      <c r="K527" s="143"/>
      <c r="L527" s="143"/>
    </row>
    <row r="528" spans="1:64" s="168" customFormat="1" ht="14.25" customHeight="1">
      <c r="A528" s="143"/>
      <c r="B528" s="143"/>
      <c r="C528" s="143"/>
      <c r="D528" s="143"/>
      <c r="E528" s="143"/>
      <c r="F528" s="143"/>
      <c r="G528" s="143"/>
      <c r="H528" s="143"/>
      <c r="I528" s="143"/>
      <c r="J528" s="143"/>
      <c r="K528" s="143"/>
      <c r="L528" s="143"/>
      <c r="AQ528" s="203"/>
      <c r="AR528" s="204"/>
      <c r="AS528" s="169"/>
      <c r="AT528" s="169"/>
      <c r="AU528" s="169"/>
      <c r="AV528" s="169"/>
      <c r="AW528" s="169"/>
      <c r="AX528" s="170"/>
      <c r="AY528" s="170"/>
      <c r="AZ528" s="170"/>
      <c r="BA528" s="170"/>
      <c r="BB528" s="170"/>
    </row>
    <row r="529" spans="1:64" s="168" customFormat="1" ht="14.25" customHeight="1">
      <c r="A529" s="143" t="s">
        <v>183</v>
      </c>
      <c r="B529" s="143"/>
      <c r="C529" s="143"/>
      <c r="D529" s="143"/>
      <c r="E529" s="143"/>
      <c r="F529" s="143"/>
      <c r="G529" s="143"/>
      <c r="H529" s="143"/>
      <c r="I529" s="143"/>
      <c r="J529" s="143"/>
      <c r="K529" s="143"/>
      <c r="L529" s="14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  <c r="AH529" s="213"/>
      <c r="AI529" s="213"/>
      <c r="AJ529" s="213"/>
      <c r="AK529" s="213"/>
      <c r="AL529" s="213"/>
      <c r="AM529" s="213"/>
      <c r="AN529" s="213"/>
      <c r="AO529" s="213"/>
      <c r="AQ529" s="203"/>
      <c r="AR529" s="204"/>
      <c r="AS529" s="169"/>
      <c r="AT529" s="169"/>
      <c r="AU529" s="169"/>
      <c r="AV529" s="169"/>
      <c r="AW529" s="169"/>
      <c r="AX529" s="170"/>
      <c r="AY529" s="170"/>
      <c r="AZ529" s="170"/>
      <c r="BA529" s="170"/>
      <c r="BB529" s="170"/>
    </row>
    <row r="530" spans="1:64" s="168" customFormat="1" ht="14.25" customHeight="1">
      <c r="A530" s="143">
        <v>3</v>
      </c>
      <c r="B530" s="143"/>
      <c r="C530" s="143"/>
      <c r="D530" s="143"/>
      <c r="E530" s="143"/>
      <c r="F530" s="143"/>
      <c r="G530" s="143"/>
      <c r="H530" s="143"/>
      <c r="I530" s="143"/>
      <c r="J530" s="143"/>
      <c r="K530" s="143"/>
      <c r="L530" s="14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  <c r="AH530" s="213"/>
      <c r="AI530" s="213"/>
      <c r="AJ530" s="213"/>
      <c r="AK530" s="213"/>
      <c r="AL530" s="213"/>
      <c r="AM530" s="213"/>
      <c r="AN530" s="213"/>
      <c r="AO530" s="213"/>
      <c r="AQ530" s="203"/>
      <c r="AR530" s="204"/>
      <c r="AS530" s="169"/>
      <c r="AT530" s="169"/>
      <c r="AU530" s="169"/>
      <c r="AV530" s="169"/>
      <c r="AW530" s="169"/>
      <c r="AX530" s="170"/>
      <c r="AY530" s="170"/>
      <c r="AZ530" s="170"/>
      <c r="BA530" s="170"/>
      <c r="BB530" s="170"/>
    </row>
    <row r="531" spans="1:64" s="168" customFormat="1" ht="14.25" customHeight="1">
      <c r="A531" s="143"/>
      <c r="B531" s="143"/>
      <c r="C531" s="143"/>
      <c r="D531" s="143"/>
      <c r="E531" s="143"/>
      <c r="F531" s="143"/>
      <c r="G531" s="143"/>
      <c r="H531" s="143"/>
      <c r="I531" s="143"/>
      <c r="J531" s="143"/>
      <c r="K531" s="143"/>
      <c r="L531" s="14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  <c r="AH531" s="213"/>
      <c r="AI531" s="213"/>
      <c r="AJ531" s="213"/>
      <c r="AK531" s="213"/>
      <c r="AL531" s="213"/>
      <c r="AM531" s="213"/>
      <c r="AN531" s="213"/>
      <c r="AO531" s="213"/>
      <c r="AQ531" s="203"/>
      <c r="AR531" s="204"/>
      <c r="AS531" s="169"/>
      <c r="AT531" s="169"/>
      <c r="AU531" s="169"/>
      <c r="AV531" s="169"/>
      <c r="AW531" s="169"/>
      <c r="AX531" s="170"/>
      <c r="AY531" s="170"/>
      <c r="AZ531" s="170"/>
      <c r="BA531" s="186"/>
      <c r="BB531" s="170"/>
    </row>
    <row r="532" spans="1:64" s="168" customFormat="1" ht="14.25" customHeight="1">
      <c r="A532" s="143"/>
      <c r="B532" s="143"/>
      <c r="C532" s="143"/>
      <c r="D532" s="143"/>
      <c r="E532" s="143"/>
      <c r="F532" s="143"/>
      <c r="G532" s="143"/>
      <c r="H532" s="143"/>
      <c r="I532" s="143"/>
      <c r="J532" s="143"/>
      <c r="K532" s="143"/>
      <c r="L532" s="14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  <c r="AH532" s="213"/>
      <c r="AI532" s="213"/>
      <c r="AJ532" s="213"/>
      <c r="AK532" s="213"/>
      <c r="AL532" s="213"/>
      <c r="AM532" s="213"/>
      <c r="AN532" s="213"/>
      <c r="AO532" s="213"/>
      <c r="AQ532" s="205"/>
      <c r="AR532" s="204"/>
      <c r="AS532" s="173"/>
      <c r="AT532" s="173"/>
      <c r="AU532" s="173"/>
      <c r="AV532" s="173"/>
      <c r="AW532" s="173"/>
      <c r="AX532" s="173"/>
      <c r="AY532" s="173"/>
      <c r="AZ532" s="173"/>
      <c r="BA532" s="173"/>
      <c r="BB532" s="173"/>
      <c r="BC532" s="173"/>
      <c r="BD532" s="173"/>
      <c r="BE532" s="173"/>
      <c r="BF532" s="173"/>
      <c r="BG532" s="173"/>
      <c r="BH532" s="173"/>
      <c r="BI532" s="173"/>
    </row>
    <row r="533" spans="1:64" s="210" customFormat="1" ht="14.25" customHeight="1">
      <c r="A533" s="143"/>
      <c r="B533" s="143"/>
      <c r="C533" s="143"/>
      <c r="D533" s="143"/>
      <c r="E533" s="143"/>
      <c r="F533" s="143"/>
      <c r="G533" s="143"/>
      <c r="H533" s="143"/>
      <c r="I533" s="143"/>
      <c r="J533" s="143"/>
      <c r="K533" s="143"/>
      <c r="L533" s="143"/>
      <c r="M533" s="168"/>
      <c r="N533" s="168"/>
      <c r="O533" s="168"/>
      <c r="P533" s="168"/>
      <c r="Q533" s="168"/>
      <c r="R533" s="168"/>
      <c r="S533" s="168"/>
      <c r="T533" s="168"/>
      <c r="U533" s="168"/>
      <c r="V533" s="168"/>
      <c r="W533" s="168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  <c r="AH533" s="213"/>
      <c r="AI533" s="213"/>
      <c r="AJ533" s="213"/>
      <c r="AK533" s="213"/>
      <c r="AL533" s="213"/>
      <c r="AM533" s="213"/>
      <c r="AN533" s="213"/>
      <c r="AO533" s="213"/>
      <c r="AP533" s="168"/>
      <c r="AQ533" s="206"/>
      <c r="AR533" s="207"/>
      <c r="AS533" s="208"/>
      <c r="AT533" s="208"/>
      <c r="AU533" s="208"/>
      <c r="AV533" s="208"/>
      <c r="AW533" s="208"/>
      <c r="AX533" s="208"/>
      <c r="AY533" s="208"/>
      <c r="AZ533" s="208"/>
      <c r="BA533" s="209"/>
      <c r="BB533" s="209"/>
    </row>
    <row r="534" spans="1:64" s="168" customFormat="1" ht="14.25" customHeight="1">
      <c r="A534" s="179"/>
      <c r="B534" s="179"/>
      <c r="C534" s="179"/>
      <c r="D534" s="179"/>
      <c r="E534" s="179"/>
      <c r="F534" s="179"/>
      <c r="G534" s="179"/>
      <c r="H534" s="179"/>
      <c r="I534" s="179"/>
      <c r="J534" s="179"/>
      <c r="K534" s="179"/>
      <c r="L534" s="179"/>
      <c r="M534" s="210"/>
      <c r="N534" s="210"/>
      <c r="O534" s="210"/>
      <c r="P534" s="210"/>
      <c r="Q534" s="210"/>
      <c r="R534" s="210"/>
      <c r="S534" s="210"/>
      <c r="T534" s="210"/>
      <c r="U534" s="210"/>
      <c r="V534" s="210"/>
      <c r="W534" s="210"/>
      <c r="X534" s="216"/>
      <c r="Y534" s="216"/>
      <c r="Z534" s="216"/>
      <c r="AA534" s="216"/>
      <c r="AB534" s="216"/>
      <c r="AC534" s="216"/>
      <c r="AD534" s="210"/>
      <c r="AE534" s="216"/>
      <c r="AF534" s="216"/>
      <c r="AG534" s="216"/>
      <c r="AH534" s="216"/>
      <c r="AI534" s="216"/>
      <c r="AJ534" s="216"/>
      <c r="AK534" s="216"/>
      <c r="AL534" s="216"/>
      <c r="AM534" s="216"/>
      <c r="AN534" s="216"/>
      <c r="AO534" s="216"/>
      <c r="AP534" s="210"/>
      <c r="AQ534" s="203"/>
      <c r="AR534" s="182"/>
      <c r="AS534" s="145"/>
      <c r="AT534" s="211"/>
      <c r="AU534" s="211"/>
      <c r="AV534" s="211"/>
      <c r="AW534" s="211"/>
      <c r="AX534" s="211"/>
      <c r="AY534" s="211"/>
      <c r="AZ534" s="211"/>
      <c r="BA534" s="170"/>
      <c r="BB534" s="170"/>
    </row>
    <row r="535" spans="1:64" s="168" customFormat="1" ht="14.25" customHeight="1">
      <c r="A535" s="143"/>
      <c r="B535" s="143"/>
      <c r="C535" s="143"/>
      <c r="D535" s="143"/>
      <c r="E535" s="143"/>
      <c r="F535" s="143"/>
      <c r="G535" s="143"/>
      <c r="H535" s="143"/>
      <c r="I535" s="143"/>
      <c r="J535" s="143"/>
      <c r="K535" s="143"/>
      <c r="L535" s="143"/>
      <c r="X535" s="213"/>
      <c r="Y535" s="213"/>
      <c r="Z535" s="213"/>
      <c r="AA535" s="213"/>
      <c r="AB535" s="213"/>
      <c r="AC535" s="213"/>
      <c r="AE535" s="213"/>
      <c r="AF535" s="213"/>
      <c r="AG535" s="213"/>
      <c r="AH535" s="213"/>
      <c r="AI535" s="213"/>
      <c r="AJ535" s="213"/>
      <c r="AK535" s="213"/>
      <c r="AL535" s="213"/>
      <c r="AM535" s="213"/>
      <c r="AN535" s="213"/>
      <c r="AO535" s="213"/>
      <c r="AQ535" s="203"/>
      <c r="AR535" s="182"/>
      <c r="AS535" s="145"/>
      <c r="AT535" s="145"/>
      <c r="AU535" s="145"/>
      <c r="AV535" s="145"/>
      <c r="AW535" s="145"/>
      <c r="AX535" s="145"/>
      <c r="AY535" s="145"/>
      <c r="AZ535" s="145"/>
      <c r="BA535" s="170"/>
      <c r="BB535" s="170"/>
    </row>
    <row r="536" spans="1:64" s="168" customFormat="1" ht="14.25" customHeight="1">
      <c r="A536" s="143"/>
      <c r="B536" s="143"/>
      <c r="C536" s="143"/>
      <c r="D536" s="143"/>
      <c r="E536" s="143"/>
      <c r="F536" s="143"/>
      <c r="G536" s="143"/>
      <c r="H536" s="143"/>
      <c r="I536" s="143"/>
      <c r="J536" s="143"/>
      <c r="K536" s="143"/>
      <c r="L536" s="143"/>
      <c r="X536" s="213"/>
      <c r="Y536" s="213"/>
      <c r="Z536" s="213"/>
      <c r="AA536" s="213"/>
      <c r="AB536" s="213"/>
      <c r="AC536" s="213"/>
      <c r="AE536" s="213"/>
      <c r="AF536" s="213"/>
      <c r="AG536" s="213"/>
      <c r="AH536" s="213"/>
      <c r="AI536" s="213"/>
      <c r="AJ536" s="213"/>
      <c r="AK536" s="213"/>
      <c r="AL536" s="213"/>
      <c r="AM536" s="213"/>
      <c r="AN536" s="213"/>
      <c r="AO536" s="213"/>
      <c r="AQ536" s="203"/>
      <c r="AR536" s="182"/>
      <c r="AS536" s="145"/>
      <c r="AT536" s="145"/>
      <c r="AU536" s="145"/>
      <c r="AV536" s="145"/>
      <c r="AW536" s="145"/>
      <c r="AX536" s="145"/>
      <c r="AY536" s="145"/>
      <c r="AZ536" s="145"/>
      <c r="BA536" s="170"/>
      <c r="BB536" s="170"/>
    </row>
    <row r="537" spans="1:64" s="168" customFormat="1" ht="14.25" customHeight="1">
      <c r="A537" s="143"/>
      <c r="B537" s="143"/>
      <c r="C537" s="143"/>
      <c r="D537" s="143"/>
      <c r="E537" s="143"/>
      <c r="F537" s="143"/>
      <c r="G537" s="143"/>
      <c r="H537" s="143"/>
      <c r="I537" s="143"/>
      <c r="J537" s="143"/>
      <c r="K537" s="143"/>
      <c r="L537" s="143"/>
      <c r="X537" s="213"/>
      <c r="Y537" s="213"/>
      <c r="Z537" s="213"/>
      <c r="AA537" s="213"/>
      <c r="AB537" s="213"/>
      <c r="AC537" s="213"/>
      <c r="AE537" s="213"/>
      <c r="AF537" s="213"/>
      <c r="AG537" s="213"/>
      <c r="AH537" s="213"/>
      <c r="AI537" s="213"/>
      <c r="AJ537" s="213"/>
      <c r="AK537" s="213"/>
      <c r="AL537" s="213"/>
      <c r="AM537" s="213"/>
      <c r="AN537" s="213"/>
      <c r="AO537" s="213"/>
      <c r="AQ537" s="203"/>
      <c r="AR537" s="182"/>
      <c r="AS537" s="145"/>
      <c r="AT537" s="145"/>
      <c r="AU537" s="145"/>
      <c r="AV537" s="145"/>
      <c r="AW537" s="145"/>
      <c r="AX537" s="145"/>
      <c r="AY537" s="145"/>
      <c r="AZ537" s="145"/>
      <c r="BA537" s="170"/>
      <c r="BB537" s="170"/>
    </row>
    <row r="538" spans="1:64" s="168" customFormat="1" ht="14.25" customHeight="1">
      <c r="A538" s="143"/>
      <c r="B538" s="143"/>
      <c r="C538" s="143"/>
      <c r="D538" s="143"/>
      <c r="E538" s="143"/>
      <c r="F538" s="143"/>
      <c r="G538" s="143"/>
      <c r="H538" s="143"/>
      <c r="I538" s="143"/>
      <c r="J538" s="143"/>
      <c r="K538" s="143"/>
      <c r="L538" s="143"/>
      <c r="X538" s="213"/>
      <c r="Y538" s="213"/>
      <c r="Z538" s="213"/>
      <c r="AA538" s="213"/>
      <c r="AB538" s="213"/>
      <c r="AC538" s="213"/>
      <c r="AE538" s="213"/>
      <c r="AF538" s="213"/>
      <c r="AG538" s="213"/>
      <c r="AH538" s="213"/>
      <c r="AI538" s="213"/>
      <c r="AJ538" s="213"/>
      <c r="AK538" s="213"/>
      <c r="AL538" s="213"/>
      <c r="AM538" s="213"/>
      <c r="AN538" s="213"/>
      <c r="AO538" s="213"/>
      <c r="AQ538" s="203"/>
      <c r="AR538" s="182"/>
      <c r="AS538" s="145"/>
      <c r="AT538" s="145"/>
      <c r="AU538" s="145"/>
      <c r="AV538" s="145"/>
      <c r="AW538" s="145"/>
      <c r="AX538" s="145"/>
      <c r="AY538" s="145"/>
      <c r="AZ538" s="145"/>
      <c r="BA538" s="170"/>
      <c r="BB538" s="170"/>
    </row>
    <row r="539" spans="1:64" s="168" customFormat="1" ht="14.25" customHeight="1">
      <c r="A539" s="143">
        <f>A509+1</f>
        <v>18</v>
      </c>
      <c r="B539" s="143"/>
      <c r="C539" s="187" t="str">
        <f>IF($A$1 = 1, (IF("("&amp;C549&amp;")" ="()","","("&amp;C549&amp;")")), (IF("("&amp;C554&amp;")     ("&amp;C549&amp;")"="()     ()","","("&amp;C554&amp;")     ("&amp;C549&amp;")")))</f>
        <v>(11)     (8)</v>
      </c>
      <c r="D539" s="187" t="str">
        <f t="shared" ref="D539:J539" si="52">IF($A$1 = 1, (IF("("&amp;D549&amp;")" ="()","","("&amp;D549&amp;")")), (IF("("&amp;D554&amp;")     ("&amp;D549&amp;")"="()     ()","","("&amp;D554&amp;")     ("&amp;D549&amp;")")))</f>
        <v>(71)     (139)</v>
      </c>
      <c r="E539" s="187" t="str">
        <f t="shared" si="52"/>
        <v>(7)     (10)</v>
      </c>
      <c r="F539" s="187" t="str">
        <f t="shared" si="52"/>
        <v/>
      </c>
      <c r="G539" s="187" t="str">
        <f t="shared" si="52"/>
        <v/>
      </c>
      <c r="H539" s="187" t="str">
        <f t="shared" si="52"/>
        <v/>
      </c>
      <c r="I539" s="187" t="str">
        <f t="shared" si="52"/>
        <v/>
      </c>
      <c r="J539" s="187" t="str">
        <f t="shared" si="52"/>
        <v/>
      </c>
      <c r="K539" s="166"/>
      <c r="L539" s="166"/>
      <c r="M539" s="170"/>
      <c r="N539" s="170"/>
      <c r="O539" s="170"/>
      <c r="P539" s="170"/>
      <c r="Q539" s="170"/>
      <c r="R539" s="170"/>
      <c r="S539" s="170"/>
      <c r="T539" s="170"/>
      <c r="U539" s="170"/>
      <c r="V539" s="170"/>
      <c r="W539" s="170"/>
      <c r="X539" s="213"/>
      <c r="Y539" s="213"/>
      <c r="Z539" s="213"/>
      <c r="AA539" s="213"/>
      <c r="AB539" s="213"/>
      <c r="AC539" s="213"/>
      <c r="AE539" s="213"/>
      <c r="AF539" s="213"/>
      <c r="AG539" s="213"/>
      <c r="AH539" s="213"/>
      <c r="AI539" s="213"/>
      <c r="AJ539" s="213"/>
      <c r="AK539" s="213"/>
      <c r="AL539" s="213"/>
      <c r="AM539" s="213"/>
      <c r="AN539" s="213"/>
      <c r="AO539" s="213"/>
      <c r="AQ539" s="203"/>
      <c r="AR539" s="182"/>
      <c r="AS539" s="145"/>
      <c r="AT539" s="145"/>
      <c r="AU539" s="145"/>
      <c r="AV539" s="145"/>
      <c r="AW539" s="145"/>
      <c r="AX539" s="145"/>
      <c r="AY539" s="145"/>
      <c r="AZ539" s="145"/>
      <c r="BA539" s="170"/>
      <c r="BB539" s="170"/>
    </row>
    <row r="540" spans="1:64" s="168" customFormat="1" ht="59.1" customHeight="1">
      <c r="A540" s="143"/>
      <c r="B540" s="177"/>
      <c r="C540" s="178" t="s">
        <v>855</v>
      </c>
      <c r="D540" s="178" t="s">
        <v>856</v>
      </c>
      <c r="E540" s="178" t="s">
        <v>857</v>
      </c>
      <c r="F540" s="178"/>
      <c r="G540" s="178"/>
      <c r="H540" s="178"/>
      <c r="I540" s="178"/>
      <c r="J540" s="178"/>
      <c r="K540" s="178"/>
      <c r="L540" s="178"/>
      <c r="M540" s="208"/>
      <c r="N540" s="208"/>
      <c r="O540" s="208"/>
      <c r="P540" s="208"/>
      <c r="Q540" s="208"/>
      <c r="R540" s="208"/>
      <c r="S540" s="208"/>
      <c r="T540" s="208"/>
      <c r="U540" s="208"/>
      <c r="V540" s="208"/>
      <c r="W540" s="208"/>
      <c r="X540" s="210"/>
      <c r="Y540" s="210"/>
      <c r="Z540" s="210"/>
      <c r="AA540" s="210"/>
      <c r="AB540" s="210"/>
      <c r="AC540" s="210"/>
      <c r="AD540" s="210"/>
      <c r="AE540" s="210"/>
      <c r="AF540" s="210"/>
      <c r="AG540" s="210"/>
      <c r="AH540" s="210"/>
      <c r="AI540" s="210"/>
      <c r="AJ540" s="210"/>
      <c r="AK540" s="210"/>
      <c r="AL540" s="210"/>
      <c r="AM540" s="210"/>
      <c r="AN540" s="210"/>
      <c r="AO540" s="216"/>
      <c r="AP540" s="216"/>
      <c r="AQ540" s="216"/>
      <c r="AR540" s="216"/>
      <c r="AS540" s="216"/>
      <c r="AT540" s="216"/>
      <c r="AU540" s="216"/>
      <c r="AV540" s="216"/>
      <c r="AW540" s="216"/>
      <c r="AX540" s="210"/>
      <c r="AY540" s="216"/>
      <c r="AZ540" s="216"/>
      <c r="BA540" s="216"/>
      <c r="BB540" s="216"/>
      <c r="BC540" s="216"/>
      <c r="BD540" s="216"/>
      <c r="BE540" s="216"/>
      <c r="BF540" s="216"/>
      <c r="BG540" s="216"/>
      <c r="BH540" s="216"/>
      <c r="BI540" s="216"/>
      <c r="BJ540" s="210"/>
      <c r="BK540" s="210"/>
      <c r="BL540" s="210"/>
    </row>
    <row r="541" spans="1:64" s="168" customFormat="1" ht="18" customHeight="1" thickBot="1">
      <c r="A541" s="143"/>
      <c r="B541" s="181" t="s">
        <v>3</v>
      </c>
      <c r="C541" s="148">
        <v>89</v>
      </c>
      <c r="D541" s="148">
        <v>72</v>
      </c>
      <c r="E541" s="148">
        <v>78</v>
      </c>
      <c r="F541" s="148"/>
      <c r="G541" s="148"/>
      <c r="H541" s="148"/>
      <c r="I541" s="148"/>
      <c r="J541" s="148"/>
      <c r="K541" s="148"/>
      <c r="L541" s="148"/>
      <c r="M541" s="211"/>
      <c r="N541" s="211"/>
      <c r="O541" s="211"/>
      <c r="P541" s="211"/>
      <c r="Q541" s="211"/>
      <c r="R541" s="211"/>
      <c r="S541" s="211"/>
      <c r="T541" s="211"/>
      <c r="U541" s="211"/>
      <c r="V541" s="211"/>
      <c r="W541" s="211"/>
      <c r="AO541" s="213"/>
      <c r="AP541" s="213"/>
      <c r="AQ541" s="213"/>
      <c r="AR541" s="213"/>
      <c r="AS541" s="213"/>
      <c r="AT541" s="213"/>
      <c r="AU541" s="213"/>
      <c r="AV541" s="213"/>
      <c r="AW541" s="213"/>
      <c r="AY541" s="213"/>
      <c r="AZ541" s="213"/>
      <c r="BA541" s="213"/>
      <c r="BB541" s="213"/>
      <c r="BC541" s="213"/>
      <c r="BD541" s="213"/>
      <c r="BE541" s="213"/>
      <c r="BF541" s="213"/>
      <c r="BG541" s="213"/>
      <c r="BH541" s="213"/>
      <c r="BI541" s="213"/>
    </row>
    <row r="542" spans="1:64" s="168" customFormat="1" ht="18" customHeight="1" thickBot="1">
      <c r="A542" s="143"/>
      <c r="B542" s="182" t="s">
        <v>18</v>
      </c>
      <c r="C542" s="148">
        <v>90</v>
      </c>
      <c r="D542" s="148">
        <v>73</v>
      </c>
      <c r="E542" s="148">
        <v>77</v>
      </c>
      <c r="F542" s="148"/>
      <c r="G542" s="148"/>
      <c r="H542" s="148"/>
      <c r="I542" s="148"/>
      <c r="J542" s="148"/>
      <c r="K542" s="148"/>
      <c r="L542" s="148"/>
      <c r="M542" s="145"/>
      <c r="N542" s="145"/>
      <c r="O542" s="145"/>
      <c r="P542" s="145"/>
      <c r="Q542" s="145"/>
      <c r="R542" s="145"/>
      <c r="S542" s="145"/>
      <c r="T542" s="145"/>
      <c r="U542" s="145"/>
      <c r="V542" s="145"/>
      <c r="W542" s="145"/>
      <c r="AO542" s="213"/>
      <c r="AP542" s="213"/>
      <c r="AQ542" s="213"/>
      <c r="AR542" s="213"/>
      <c r="AS542" s="213"/>
      <c r="AT542" s="213"/>
      <c r="AU542" s="213"/>
      <c r="AV542" s="213"/>
      <c r="AW542" s="213"/>
      <c r="AY542" s="213"/>
      <c r="AZ542" s="213"/>
      <c r="BA542" s="213"/>
      <c r="BB542" s="213"/>
      <c r="BC542" s="213"/>
      <c r="BD542" s="213"/>
      <c r="BE542" s="213"/>
      <c r="BF542" s="213"/>
      <c r="BG542" s="213"/>
      <c r="BH542" s="213"/>
      <c r="BI542" s="213"/>
    </row>
    <row r="543" spans="1:64" s="168" customFormat="1" ht="18" customHeight="1" thickBot="1">
      <c r="A543" s="143"/>
      <c r="B543" s="183" t="s">
        <v>32</v>
      </c>
      <c r="C543" s="147">
        <v>86</v>
      </c>
      <c r="D543" s="147">
        <v>69</v>
      </c>
      <c r="E543" s="147">
        <v>76</v>
      </c>
      <c r="F543" s="147"/>
      <c r="G543" s="147"/>
      <c r="H543" s="147"/>
      <c r="I543" s="147"/>
      <c r="J543" s="147"/>
      <c r="K543" s="147"/>
      <c r="L543" s="147"/>
      <c r="M543" s="145"/>
      <c r="N543" s="145"/>
      <c r="O543" s="145"/>
      <c r="P543" s="145"/>
      <c r="Q543" s="145"/>
      <c r="R543" s="145"/>
      <c r="S543" s="145"/>
      <c r="T543" s="145"/>
      <c r="U543" s="145"/>
      <c r="V543" s="145"/>
      <c r="W543" s="145"/>
      <c r="AO543" s="213"/>
      <c r="AP543" s="213"/>
      <c r="AQ543" s="213"/>
      <c r="AR543" s="213"/>
      <c r="AS543" s="213"/>
      <c r="AT543" s="213"/>
      <c r="AU543" s="213"/>
      <c r="AV543" s="213"/>
      <c r="AW543" s="213"/>
      <c r="AY543" s="213"/>
      <c r="AZ543" s="213"/>
      <c r="BA543" s="213"/>
      <c r="BB543" s="213"/>
      <c r="BC543" s="213"/>
      <c r="BD543" s="213"/>
      <c r="BE543" s="213"/>
      <c r="BF543" s="213"/>
      <c r="BG543" s="213"/>
      <c r="BH543" s="213"/>
    </row>
    <row r="544" spans="1:64" s="168" customFormat="1" ht="18" customHeight="1" thickBot="1">
      <c r="A544" s="143"/>
      <c r="B544" s="182" t="s">
        <v>45</v>
      </c>
      <c r="C544" s="145">
        <v>94</v>
      </c>
      <c r="D544" s="145">
        <v>68</v>
      </c>
      <c r="E544" s="145">
        <v>71</v>
      </c>
      <c r="F544" s="145"/>
      <c r="G544" s="145"/>
      <c r="H544" s="145"/>
      <c r="I544" s="145"/>
      <c r="J544" s="145"/>
      <c r="K544" s="145"/>
      <c r="L544" s="145"/>
      <c r="M544" s="145"/>
      <c r="N544" s="145"/>
      <c r="O544" s="145"/>
      <c r="P544" s="145"/>
      <c r="Q544" s="145"/>
      <c r="R544" s="145"/>
      <c r="S544" s="145"/>
      <c r="T544" s="145"/>
      <c r="U544" s="145"/>
      <c r="V544" s="145"/>
      <c r="W544" s="145"/>
      <c r="AO544" s="213"/>
      <c r="AP544" s="213"/>
      <c r="AQ544" s="213"/>
      <c r="AR544" s="213"/>
      <c r="AS544" s="213"/>
      <c r="AT544" s="213"/>
      <c r="AU544" s="213"/>
      <c r="AV544" s="213"/>
      <c r="AW544" s="213"/>
      <c r="AY544" s="213"/>
      <c r="AZ544" s="213"/>
      <c r="BA544" s="213"/>
      <c r="BB544" s="213"/>
      <c r="BC544" s="213"/>
      <c r="BD544" s="213"/>
      <c r="BE544" s="213"/>
      <c r="BF544" s="213"/>
      <c r="BG544" s="213"/>
      <c r="BH544" s="213"/>
    </row>
    <row r="545" spans="1:60" s="168" customFormat="1" ht="18" customHeight="1" thickBot="1">
      <c r="A545" s="143"/>
      <c r="B545" s="184" t="s">
        <v>54</v>
      </c>
      <c r="C545" s="146">
        <v>91</v>
      </c>
      <c r="D545" s="146">
        <v>76</v>
      </c>
      <c r="E545" s="146">
        <v>67</v>
      </c>
      <c r="F545" s="146"/>
      <c r="G545" s="146"/>
      <c r="H545" s="146"/>
      <c r="I545" s="146"/>
      <c r="J545" s="146"/>
      <c r="K545" s="146"/>
      <c r="L545" s="146"/>
      <c r="M545" s="145"/>
      <c r="N545" s="145"/>
      <c r="O545" s="145"/>
      <c r="P545" s="145"/>
      <c r="Q545" s="145"/>
      <c r="R545" s="145"/>
      <c r="S545" s="145"/>
      <c r="T545" s="145"/>
      <c r="U545" s="145"/>
      <c r="V545" s="145"/>
      <c r="W545" s="145"/>
      <c r="AO545" s="213"/>
      <c r="AP545" s="213"/>
      <c r="AQ545" s="213"/>
      <c r="AR545" s="213"/>
      <c r="AS545" s="213"/>
      <c r="AT545" s="213"/>
      <c r="AU545" s="213"/>
      <c r="AV545" s="213"/>
      <c r="AW545" s="213"/>
      <c r="AY545" s="213"/>
      <c r="AZ545" s="213"/>
      <c r="BA545" s="213"/>
      <c r="BB545" s="213"/>
      <c r="BC545" s="213"/>
      <c r="BD545" s="213"/>
      <c r="BE545" s="213"/>
      <c r="BF545" s="213"/>
      <c r="BG545" s="213"/>
      <c r="BH545" s="213"/>
    </row>
    <row r="546" spans="1:60" s="168" customFormat="1">
      <c r="A546" s="143"/>
      <c r="B546" s="182" t="s">
        <v>66</v>
      </c>
      <c r="C546" s="145">
        <v>88</v>
      </c>
      <c r="D546" s="145">
        <v>67</v>
      </c>
      <c r="E546" s="145">
        <v>70</v>
      </c>
      <c r="F546" s="145"/>
      <c r="G546" s="145"/>
      <c r="H546" s="125"/>
      <c r="I546" s="125"/>
      <c r="J546" s="125"/>
      <c r="K546" s="125"/>
      <c r="L546" s="125"/>
      <c r="M546" s="145"/>
      <c r="N546" s="145"/>
      <c r="O546" s="145"/>
      <c r="P546" s="145"/>
      <c r="Q546" s="145"/>
      <c r="R546" s="145"/>
      <c r="S546" s="145"/>
      <c r="T546" s="145"/>
      <c r="U546" s="145"/>
      <c r="V546" s="145"/>
      <c r="W546" s="145"/>
      <c r="AO546" s="213"/>
      <c r="AP546" s="213"/>
      <c r="AQ546" s="213"/>
      <c r="AR546" s="213"/>
      <c r="AS546" s="213"/>
      <c r="AT546" s="213"/>
      <c r="AU546" s="213"/>
      <c r="AV546" s="213"/>
      <c r="AW546" s="213"/>
      <c r="AY546" s="213"/>
      <c r="AZ546" s="213"/>
      <c r="BA546" s="213"/>
      <c r="BB546" s="213"/>
      <c r="BC546" s="213"/>
      <c r="BD546" s="213"/>
      <c r="BE546" s="213"/>
      <c r="BF546" s="213"/>
      <c r="BG546" s="213"/>
      <c r="BH546" s="213"/>
    </row>
    <row r="547" spans="1:60" s="168" customFormat="1">
      <c r="A547" s="143"/>
      <c r="B547" s="182" t="s">
        <v>158</v>
      </c>
      <c r="C547" s="126">
        <v>90</v>
      </c>
      <c r="D547" s="126">
        <v>72</v>
      </c>
      <c r="E547" s="126">
        <v>74</v>
      </c>
      <c r="F547" s="126"/>
      <c r="G547" s="126"/>
      <c r="H547" s="126"/>
      <c r="I547" s="126"/>
      <c r="J547" s="126"/>
      <c r="K547" s="126"/>
      <c r="L547" s="126"/>
      <c r="M547" s="126"/>
      <c r="N547" s="126"/>
      <c r="O547" s="126"/>
      <c r="P547" s="126"/>
      <c r="Q547" s="126"/>
      <c r="R547" s="126"/>
      <c r="S547" s="126"/>
      <c r="T547" s="126"/>
      <c r="U547" s="126"/>
      <c r="V547" s="126"/>
      <c r="W547" s="126"/>
      <c r="AO547" s="213"/>
      <c r="AP547" s="213"/>
      <c r="AQ547" s="213"/>
      <c r="AR547" s="213"/>
      <c r="AS547" s="213"/>
      <c r="AT547" s="213"/>
      <c r="AU547" s="213"/>
      <c r="AV547" s="213"/>
      <c r="AW547" s="213"/>
      <c r="AY547" s="213"/>
      <c r="AZ547" s="213"/>
      <c r="BA547" s="213"/>
      <c r="BB547" s="213"/>
      <c r="BC547" s="213"/>
      <c r="BD547" s="213"/>
      <c r="BE547" s="213"/>
      <c r="BF547" s="213"/>
      <c r="BG547" s="213"/>
      <c r="BH547" s="213"/>
    </row>
    <row r="548" spans="1:60" s="168" customFormat="1">
      <c r="A548" s="143"/>
      <c r="B548" s="182" t="s">
        <v>191</v>
      </c>
      <c r="C548" s="127">
        <v>69</v>
      </c>
      <c r="D548" s="127">
        <v>69</v>
      </c>
      <c r="E548" s="127">
        <v>69</v>
      </c>
      <c r="F548" s="127"/>
      <c r="G548" s="127"/>
      <c r="H548" s="126"/>
      <c r="I548" s="126"/>
      <c r="J548" s="126"/>
      <c r="K548" s="126"/>
      <c r="L548" s="126"/>
      <c r="M548" s="126"/>
      <c r="N548" s="126"/>
      <c r="O548" s="126"/>
      <c r="P548" s="126"/>
      <c r="Q548" s="126"/>
      <c r="R548" s="126"/>
      <c r="S548" s="126"/>
      <c r="T548" s="126"/>
      <c r="U548" s="126"/>
      <c r="V548" s="126"/>
      <c r="W548" s="126"/>
      <c r="AO548" s="214"/>
      <c r="AP548" s="214"/>
      <c r="AQ548" s="214"/>
      <c r="AR548" s="214"/>
      <c r="AS548" s="214"/>
      <c r="AT548" s="213"/>
      <c r="AU548" s="213"/>
      <c r="AV548" s="213"/>
      <c r="AW548" s="213"/>
      <c r="AY548" s="213"/>
      <c r="AZ548" s="213"/>
      <c r="BA548" s="213"/>
      <c r="BB548" s="213"/>
      <c r="BC548" s="213"/>
      <c r="BD548" s="213"/>
      <c r="BE548" s="213"/>
      <c r="BF548" s="213"/>
      <c r="BG548" s="213"/>
      <c r="BH548" s="213"/>
    </row>
    <row r="549" spans="1:60" s="168" customFormat="1" ht="15" thickBot="1">
      <c r="A549" s="143"/>
      <c r="B549" s="182" t="s">
        <v>442</v>
      </c>
      <c r="C549" s="126">
        <v>8</v>
      </c>
      <c r="D549" s="315">
        <v>139</v>
      </c>
      <c r="E549" s="315">
        <v>10</v>
      </c>
      <c r="F549" s="315"/>
      <c r="G549" s="315"/>
      <c r="H549" s="315"/>
      <c r="I549" s="315"/>
      <c r="J549" s="315"/>
      <c r="K549" s="315"/>
      <c r="L549" s="315"/>
      <c r="M549" s="126"/>
      <c r="N549" s="126"/>
      <c r="O549" s="126"/>
      <c r="P549" s="126"/>
      <c r="Q549" s="126"/>
      <c r="R549" s="126"/>
      <c r="S549" s="126"/>
      <c r="T549" s="126"/>
      <c r="U549" s="126"/>
      <c r="V549" s="126"/>
      <c r="W549" s="126"/>
      <c r="AO549" s="213"/>
      <c r="AP549" s="213"/>
      <c r="AQ549" s="213"/>
      <c r="AR549" s="213"/>
      <c r="AS549" s="213"/>
      <c r="AT549" s="213"/>
      <c r="AU549" s="213"/>
      <c r="AV549" s="213"/>
      <c r="AW549" s="213"/>
      <c r="AY549" s="213"/>
      <c r="AZ549" s="213"/>
      <c r="BA549" s="213"/>
      <c r="BB549" s="213"/>
      <c r="BC549" s="213"/>
      <c r="BD549" s="213"/>
      <c r="BE549" s="213"/>
      <c r="BF549" s="213"/>
      <c r="BG549" s="213"/>
      <c r="BH549" s="213"/>
    </row>
    <row r="550" spans="1:60" s="168" customFormat="1">
      <c r="A550" s="143"/>
      <c r="B550" s="338" t="s">
        <v>166</v>
      </c>
      <c r="C550" s="316">
        <f>IF(OR(C553="**",C553=""),"",VALUE(C553))</f>
        <v>82</v>
      </c>
      <c r="D550" s="316">
        <f t="shared" ref="D550:J550" si="53">IF(OR(D553="**",D553=""),"",VALUE(D553))</f>
        <v>82</v>
      </c>
      <c r="E550" s="316">
        <f t="shared" si="53"/>
        <v>92</v>
      </c>
      <c r="F550" s="316" t="str">
        <f t="shared" si="53"/>
        <v/>
      </c>
      <c r="G550" s="316" t="str">
        <f t="shared" si="53"/>
        <v/>
      </c>
      <c r="H550" s="316" t="str">
        <f t="shared" si="53"/>
        <v/>
      </c>
      <c r="I550" s="316" t="str">
        <f t="shared" si="53"/>
        <v/>
      </c>
      <c r="J550" s="316" t="str">
        <f t="shared" si="53"/>
        <v/>
      </c>
      <c r="K550" s="316"/>
      <c r="L550" s="316"/>
      <c r="M550" s="126"/>
      <c r="N550" s="126"/>
      <c r="O550" s="126"/>
      <c r="P550" s="126"/>
      <c r="Q550" s="126"/>
      <c r="R550" s="126"/>
      <c r="S550" s="126"/>
      <c r="T550" s="126"/>
      <c r="U550" s="126"/>
      <c r="V550" s="126"/>
      <c r="W550" s="126"/>
      <c r="AO550" s="213"/>
      <c r="AP550" s="213"/>
      <c r="AQ550" s="213"/>
      <c r="AR550" s="213"/>
      <c r="AS550" s="213"/>
      <c r="AT550" s="213"/>
      <c r="AU550" s="213"/>
      <c r="AV550" s="213"/>
      <c r="AW550" s="213"/>
      <c r="AY550" s="213"/>
      <c r="AZ550" s="213"/>
      <c r="BA550" s="213"/>
      <c r="BB550" s="213"/>
      <c r="BC550" s="213"/>
      <c r="BD550" s="213"/>
      <c r="BE550" s="213"/>
      <c r="BF550" s="213"/>
      <c r="BG550" s="213"/>
      <c r="BH550" s="213"/>
    </row>
    <row r="551" spans="1:60" s="168" customFormat="1" ht="15" thickBot="1">
      <c r="A551" s="143"/>
      <c r="B551" s="339" t="s">
        <v>165</v>
      </c>
      <c r="C551" s="317">
        <f t="shared" ref="C551:J551" si="54">IF(OR(C547="**",C547=""),"",VALUE(C547))</f>
        <v>90</v>
      </c>
      <c r="D551" s="317">
        <f t="shared" si="54"/>
        <v>72</v>
      </c>
      <c r="E551" s="317">
        <f t="shared" si="54"/>
        <v>74</v>
      </c>
      <c r="F551" s="317" t="str">
        <f t="shared" si="54"/>
        <v/>
      </c>
      <c r="G551" s="317" t="str">
        <f t="shared" si="54"/>
        <v/>
      </c>
      <c r="H551" s="317" t="str">
        <f t="shared" si="54"/>
        <v/>
      </c>
      <c r="I551" s="317" t="str">
        <f t="shared" si="54"/>
        <v/>
      </c>
      <c r="J551" s="317" t="str">
        <f t="shared" si="54"/>
        <v/>
      </c>
      <c r="K551" s="317"/>
      <c r="L551" s="317"/>
      <c r="M551" s="169"/>
      <c r="N551" s="169"/>
      <c r="O551" s="169"/>
      <c r="P551" s="169"/>
      <c r="Q551" s="169"/>
      <c r="R551" s="169"/>
      <c r="S551" s="169"/>
      <c r="T551" s="169"/>
      <c r="U551" s="169"/>
      <c r="V551" s="169"/>
      <c r="W551" s="169"/>
      <c r="AO551" s="169"/>
      <c r="AP551" s="169"/>
      <c r="AQ551" s="169"/>
      <c r="AR551" s="169"/>
      <c r="AS551" s="169"/>
      <c r="AT551" s="169"/>
      <c r="AU551" s="169"/>
      <c r="AV551" s="169"/>
      <c r="AW551" s="213"/>
      <c r="AX551" s="213"/>
      <c r="AY551" s="213"/>
      <c r="AZ551" s="213"/>
      <c r="BA551" s="213"/>
      <c r="BB551" s="213"/>
      <c r="BC551" s="213"/>
      <c r="BD551" s="213"/>
      <c r="BE551" s="213"/>
      <c r="BF551" s="213"/>
      <c r="BG551" s="213"/>
      <c r="BH551" s="213"/>
    </row>
    <row r="552" spans="1:60" s="168" customFormat="1">
      <c r="A552" s="143"/>
      <c r="B552" s="340" t="s">
        <v>483</v>
      </c>
      <c r="C552" s="167" t="s">
        <v>921</v>
      </c>
      <c r="D552" s="167" t="s">
        <v>922</v>
      </c>
      <c r="E552" s="167" t="s">
        <v>923</v>
      </c>
      <c r="F552" s="167"/>
      <c r="G552" s="167"/>
      <c r="H552" s="166"/>
      <c r="I552" s="166"/>
      <c r="J552" s="166"/>
      <c r="K552" s="166"/>
      <c r="L552" s="166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  <c r="AI552" s="203"/>
      <c r="AJ552" s="204"/>
      <c r="AK552" s="169"/>
      <c r="AL552" s="169"/>
      <c r="AM552" s="169"/>
      <c r="AN552" s="169"/>
      <c r="AO552" s="169"/>
      <c r="AP552" s="170"/>
      <c r="AQ552" s="170"/>
      <c r="AR552" s="170"/>
      <c r="AS552" s="170"/>
      <c r="AT552" s="170"/>
    </row>
    <row r="553" spans="1:60" s="168" customFormat="1">
      <c r="A553" s="143"/>
      <c r="B553" s="182" t="s">
        <v>158</v>
      </c>
      <c r="C553" s="165">
        <v>82</v>
      </c>
      <c r="D553" s="165">
        <v>82</v>
      </c>
      <c r="E553" s="165">
        <v>92</v>
      </c>
      <c r="F553" s="165"/>
      <c r="G553" s="165"/>
      <c r="H553" s="166"/>
      <c r="I553" s="166"/>
      <c r="J553" s="166"/>
      <c r="K553" s="166"/>
      <c r="L553" s="166"/>
      <c r="X553" s="213"/>
      <c r="Y553" s="213"/>
      <c r="Z553" s="213"/>
      <c r="AA553" s="213"/>
      <c r="AB553" s="213"/>
      <c r="AC553" s="213"/>
      <c r="AD553" s="213"/>
      <c r="AE553" s="213"/>
      <c r="AF553" s="213"/>
      <c r="AH553" s="203"/>
      <c r="AI553" s="204"/>
      <c r="AJ553" s="169"/>
      <c r="AK553" s="169"/>
      <c r="AL553" s="169"/>
      <c r="AM553" s="169"/>
      <c r="AN553" s="169"/>
      <c r="AO553" s="170"/>
      <c r="AP553" s="170"/>
      <c r="AQ553" s="170"/>
      <c r="AR553" s="170"/>
      <c r="AS553" s="170"/>
    </row>
    <row r="554" spans="1:60" s="168" customFormat="1">
      <c r="A554" s="143"/>
      <c r="B554" s="340" t="s">
        <v>442</v>
      </c>
      <c r="C554" s="165">
        <v>11</v>
      </c>
      <c r="D554" s="165">
        <v>71</v>
      </c>
      <c r="E554" s="165">
        <v>7</v>
      </c>
      <c r="F554" s="165"/>
      <c r="G554" s="165"/>
      <c r="H554" s="165"/>
      <c r="I554" s="165"/>
      <c r="J554" s="165"/>
      <c r="K554" s="165"/>
      <c r="L554" s="165"/>
      <c r="X554" s="213"/>
      <c r="Y554" s="213"/>
      <c r="Z554" s="213"/>
      <c r="AA554" s="213"/>
      <c r="AB554" s="213"/>
      <c r="AC554" s="213"/>
      <c r="AD554" s="213"/>
      <c r="AE554" s="213"/>
      <c r="AG554" s="203"/>
      <c r="AH554" s="204"/>
      <c r="AI554" s="169"/>
      <c r="AJ554" s="169"/>
      <c r="AK554" s="169"/>
      <c r="AL554" s="169"/>
      <c r="AM554" s="169"/>
      <c r="AN554" s="170"/>
      <c r="AO554" s="170"/>
      <c r="AP554" s="170"/>
      <c r="AQ554" s="170"/>
      <c r="AR554" s="170"/>
    </row>
    <row r="555" spans="1:60" s="168" customFormat="1">
      <c r="A555" s="143"/>
      <c r="B555" s="143"/>
      <c r="C555" s="143"/>
      <c r="D555" s="143"/>
      <c r="E555" s="143"/>
      <c r="F555" s="143"/>
      <c r="G555" s="143"/>
      <c r="H555" s="143"/>
      <c r="I555" s="143"/>
      <c r="J555" s="143"/>
      <c r="K555" s="143"/>
      <c r="L555" s="143"/>
      <c r="X555" s="213"/>
      <c r="Y555" s="213"/>
      <c r="Z555" s="213"/>
      <c r="AA555" s="213"/>
      <c r="AB555" s="213"/>
      <c r="AC555" s="213"/>
      <c r="AD555" s="213"/>
      <c r="AF555" s="203"/>
      <c r="AG555" s="204"/>
      <c r="AH555" s="169"/>
      <c r="AI555" s="169"/>
      <c r="AJ555" s="169"/>
      <c r="AK555" s="169"/>
      <c r="AL555" s="169"/>
      <c r="AM555" s="170"/>
      <c r="AN555" s="170"/>
      <c r="AO555" s="170"/>
      <c r="AP555" s="170"/>
      <c r="AQ555" s="170"/>
    </row>
    <row r="556" spans="1:60" s="168" customFormat="1">
      <c r="A556" s="143"/>
      <c r="B556" s="143"/>
      <c r="C556" s="143"/>
      <c r="D556" s="143"/>
      <c r="E556" s="143"/>
      <c r="F556" s="143"/>
      <c r="G556" s="143"/>
      <c r="H556" s="143"/>
      <c r="I556" s="143"/>
      <c r="J556" s="143"/>
      <c r="K556" s="143"/>
      <c r="L556" s="143"/>
      <c r="X556" s="213"/>
      <c r="Y556" s="213"/>
      <c r="Z556" s="213"/>
      <c r="AA556" s="213"/>
      <c r="AB556" s="213"/>
      <c r="AC556" s="213"/>
      <c r="AE556" s="203"/>
      <c r="AF556" s="204"/>
      <c r="AG556" s="169"/>
      <c r="AH556" s="169"/>
      <c r="AI556" s="169"/>
      <c r="AJ556" s="169"/>
      <c r="AK556" s="169"/>
      <c r="AL556" s="170"/>
      <c r="AM556" s="170"/>
      <c r="AN556" s="170"/>
      <c r="AO556" s="170"/>
      <c r="AP556" s="170"/>
    </row>
    <row r="557" spans="1:60" s="168" customFormat="1">
      <c r="A557" s="143"/>
      <c r="B557" s="143"/>
      <c r="C557" s="143"/>
      <c r="D557" s="143"/>
      <c r="E557" s="143"/>
      <c r="F557" s="143"/>
      <c r="G557" s="143"/>
      <c r="H557" s="143"/>
      <c r="I557" s="143"/>
      <c r="J557" s="143"/>
      <c r="K557" s="143"/>
      <c r="L557" s="143"/>
      <c r="X557" s="213"/>
      <c r="Y557" s="213"/>
      <c r="Z557" s="213"/>
      <c r="AA557" s="213"/>
      <c r="AB557" s="213"/>
      <c r="AD557" s="203"/>
      <c r="AE557" s="204"/>
      <c r="AF557" s="169"/>
      <c r="AG557" s="169"/>
      <c r="AH557" s="169"/>
      <c r="AI557" s="169"/>
      <c r="AJ557" s="169"/>
      <c r="AK557" s="170"/>
      <c r="AL557" s="170"/>
      <c r="AM557" s="170"/>
      <c r="AN557" s="170"/>
      <c r="AO557" s="170"/>
    </row>
    <row r="558" spans="1:60" s="168" customFormat="1" ht="14.25" customHeight="1">
      <c r="A558" s="143"/>
      <c r="B558" s="143"/>
      <c r="C558" s="143"/>
      <c r="D558" s="143"/>
      <c r="E558" s="143"/>
      <c r="F558" s="143"/>
      <c r="G558" s="143"/>
      <c r="H558" s="167"/>
      <c r="I558" s="167"/>
      <c r="J558" s="167"/>
      <c r="K558" s="167"/>
      <c r="L558" s="167"/>
      <c r="M558" s="213"/>
      <c r="N558" s="213"/>
      <c r="O558" s="213"/>
      <c r="P558" s="213"/>
      <c r="Q558" s="213"/>
      <c r="R558" s="213"/>
      <c r="S558" s="213"/>
      <c r="T558" s="213"/>
      <c r="U558" s="213"/>
      <c r="V558" s="213"/>
      <c r="W558" s="213"/>
      <c r="X558" s="213"/>
      <c r="Y558" s="213"/>
      <c r="Z558" s="213"/>
      <c r="AA558" s="213"/>
      <c r="AC558" s="203"/>
      <c r="AD558" s="204"/>
      <c r="AE558" s="169"/>
      <c r="AF558" s="169"/>
      <c r="AG558" s="169"/>
      <c r="AH558" s="169"/>
      <c r="AI558" s="169"/>
      <c r="AJ558" s="170"/>
      <c r="AK558" s="170"/>
      <c r="AL558" s="170"/>
      <c r="AM558" s="170"/>
      <c r="AN558" s="170"/>
    </row>
    <row r="559" spans="1:60" s="168" customFormat="1" ht="14.25" customHeight="1">
      <c r="A559" s="143" t="s">
        <v>183</v>
      </c>
      <c r="B559" s="143"/>
      <c r="C559" s="143"/>
      <c r="D559" s="143"/>
      <c r="E559" s="143"/>
      <c r="F559" s="143"/>
      <c r="G559" s="167"/>
      <c r="H559" s="167"/>
      <c r="I559" s="167"/>
      <c r="J559" s="167"/>
      <c r="K559" s="167"/>
      <c r="L559" s="167"/>
      <c r="M559" s="213"/>
      <c r="N559" s="213"/>
      <c r="O559" s="213"/>
      <c r="P559" s="213"/>
      <c r="Q559" s="213"/>
      <c r="R559" s="213"/>
      <c r="S559" s="213"/>
      <c r="T559" s="213"/>
      <c r="U559" s="213"/>
      <c r="V559" s="213"/>
      <c r="W559" s="213"/>
      <c r="X559" s="213"/>
      <c r="Y559" s="213"/>
      <c r="Z559" s="213"/>
      <c r="AB559" s="203"/>
      <c r="AC559" s="204"/>
      <c r="AD559" s="169"/>
      <c r="AE559" s="169"/>
      <c r="AF559" s="169"/>
      <c r="AG559" s="169"/>
      <c r="AH559" s="169"/>
      <c r="AI559" s="170"/>
      <c r="AJ559" s="170"/>
      <c r="AK559" s="170"/>
      <c r="AL559" s="170"/>
      <c r="AM559" s="170"/>
    </row>
    <row r="560" spans="1:60" s="168" customFormat="1" ht="14.25" customHeight="1">
      <c r="A560" s="143">
        <v>6</v>
      </c>
      <c r="B560" s="143"/>
      <c r="C560" s="143"/>
      <c r="D560" s="143"/>
      <c r="E560" s="143"/>
      <c r="F560" s="167"/>
      <c r="G560" s="167"/>
      <c r="H560" s="167"/>
      <c r="I560" s="167"/>
      <c r="J560" s="167"/>
      <c r="K560" s="167"/>
      <c r="L560" s="167"/>
      <c r="M560" s="213"/>
      <c r="N560" s="213"/>
      <c r="O560" s="213"/>
      <c r="P560" s="213"/>
      <c r="Q560" s="213"/>
      <c r="R560" s="213"/>
      <c r="S560" s="213"/>
      <c r="T560" s="213"/>
      <c r="U560" s="213"/>
      <c r="V560" s="213"/>
      <c r="W560" s="213"/>
      <c r="X560" s="213"/>
      <c r="Y560" s="213"/>
      <c r="AA560" s="203"/>
      <c r="AB560" s="204"/>
      <c r="AC560" s="169"/>
      <c r="AD560" s="169"/>
      <c r="AE560" s="169"/>
      <c r="AF560" s="169"/>
      <c r="AG560" s="169"/>
      <c r="AH560" s="170"/>
      <c r="AI560" s="170"/>
      <c r="AJ560" s="170"/>
      <c r="AK560" s="170"/>
      <c r="AL560" s="170"/>
    </row>
    <row r="561" spans="1:64" s="168" customFormat="1" ht="14.25" customHeight="1">
      <c r="A561" s="143"/>
      <c r="B561" s="143"/>
      <c r="C561" s="143"/>
      <c r="D561" s="143"/>
      <c r="E561" s="167"/>
      <c r="F561" s="167"/>
      <c r="G561" s="167"/>
      <c r="H561" s="167"/>
      <c r="I561" s="167"/>
      <c r="J561" s="167"/>
      <c r="K561" s="167"/>
      <c r="L561" s="167"/>
      <c r="M561" s="213"/>
      <c r="N561" s="213"/>
      <c r="O561" s="213"/>
      <c r="P561" s="213"/>
      <c r="Q561" s="213"/>
      <c r="R561" s="213"/>
      <c r="S561" s="213"/>
      <c r="T561" s="213"/>
      <c r="U561" s="213"/>
      <c r="V561" s="213"/>
      <c r="W561" s="213"/>
      <c r="X561" s="213"/>
      <c r="Y561" s="213"/>
      <c r="AA561" s="203"/>
      <c r="AB561" s="204"/>
      <c r="AC561" s="169"/>
      <c r="AD561" s="169"/>
      <c r="AE561" s="169"/>
      <c r="AF561" s="169"/>
      <c r="AG561" s="169"/>
      <c r="AH561" s="170"/>
      <c r="AI561" s="170"/>
      <c r="AJ561" s="170"/>
      <c r="AK561" s="186"/>
      <c r="AL561" s="170"/>
    </row>
    <row r="562" spans="1:64" s="212" customFormat="1" ht="14.25" customHeight="1">
      <c r="A562" s="143"/>
      <c r="B562" s="143"/>
      <c r="C562" s="143"/>
      <c r="D562" s="143"/>
      <c r="E562" s="167"/>
      <c r="F562" s="167"/>
      <c r="G562" s="167"/>
      <c r="H562" s="167"/>
      <c r="I562" s="167"/>
      <c r="J562" s="167"/>
      <c r="K562" s="167"/>
      <c r="L562" s="167"/>
      <c r="M562" s="213"/>
      <c r="N562" s="213"/>
      <c r="O562" s="213"/>
      <c r="P562" s="213"/>
      <c r="Q562" s="213"/>
      <c r="R562" s="213"/>
      <c r="S562" s="213"/>
      <c r="T562" s="213"/>
      <c r="U562" s="213"/>
      <c r="V562" s="213"/>
      <c r="W562" s="213"/>
      <c r="X562" s="213"/>
      <c r="Y562" s="213"/>
      <c r="Z562" s="168"/>
      <c r="AA562" s="205"/>
      <c r="AB562" s="204"/>
      <c r="AC562" s="173"/>
      <c r="AD562" s="173"/>
      <c r="AE562" s="173"/>
      <c r="AF562" s="173"/>
      <c r="AG562" s="173"/>
      <c r="AH562" s="173"/>
      <c r="AI562" s="173"/>
      <c r="AJ562" s="173"/>
      <c r="AK562" s="173"/>
      <c r="AL562" s="173"/>
      <c r="AM562" s="173"/>
      <c r="AN562" s="173"/>
      <c r="AO562" s="173"/>
      <c r="AP562" s="173"/>
      <c r="AQ562" s="173"/>
      <c r="AR562" s="173"/>
      <c r="AS562" s="173"/>
      <c r="AT562" s="173"/>
      <c r="AU562" s="173"/>
    </row>
    <row r="563" spans="1:64" s="210" customFormat="1" ht="14.25" customHeight="1">
      <c r="A563" s="174"/>
      <c r="B563" s="174"/>
      <c r="C563" s="174"/>
      <c r="D563" s="174"/>
      <c r="E563" s="175"/>
      <c r="F563" s="175"/>
      <c r="G563" s="175"/>
      <c r="H563" s="175"/>
      <c r="I563" s="175"/>
      <c r="J563" s="175"/>
      <c r="K563" s="175"/>
      <c r="L563" s="175"/>
      <c r="M563" s="215"/>
      <c r="N563" s="215"/>
      <c r="O563" s="215"/>
      <c r="P563" s="215"/>
      <c r="Q563" s="215"/>
      <c r="R563" s="215"/>
      <c r="S563" s="215"/>
      <c r="T563" s="215"/>
      <c r="U563" s="215"/>
      <c r="V563" s="215"/>
      <c r="W563" s="215"/>
      <c r="X563" s="215"/>
      <c r="Y563" s="215"/>
      <c r="Z563" s="212"/>
      <c r="AA563" s="206"/>
      <c r="AB563" s="207"/>
      <c r="AC563" s="208"/>
      <c r="AD563" s="208"/>
      <c r="AE563" s="208"/>
      <c r="AF563" s="208"/>
      <c r="AG563" s="208"/>
      <c r="AH563" s="208"/>
      <c r="AI563" s="208"/>
      <c r="AJ563" s="208"/>
      <c r="AK563" s="209"/>
      <c r="AL563" s="209"/>
    </row>
    <row r="564" spans="1:64" s="168" customFormat="1" ht="14.25" customHeight="1">
      <c r="A564" s="179"/>
      <c r="B564" s="179"/>
      <c r="C564" s="179"/>
      <c r="D564" s="179"/>
      <c r="E564" s="180"/>
      <c r="F564" s="180"/>
      <c r="G564" s="180"/>
      <c r="H564" s="180"/>
      <c r="I564" s="180"/>
      <c r="J564" s="180"/>
      <c r="K564" s="180"/>
      <c r="L564" s="180"/>
      <c r="M564" s="216"/>
      <c r="N564" s="216"/>
      <c r="O564" s="216"/>
      <c r="P564" s="216"/>
      <c r="Q564" s="216"/>
      <c r="R564" s="216"/>
      <c r="S564" s="216"/>
      <c r="T564" s="216"/>
      <c r="U564" s="216"/>
      <c r="V564" s="216"/>
      <c r="W564" s="216"/>
      <c r="X564" s="216"/>
      <c r="Y564" s="216"/>
      <c r="Z564" s="210"/>
      <c r="AA564" s="203"/>
      <c r="AB564" s="182"/>
      <c r="AC564" s="145"/>
      <c r="AD564" s="211"/>
      <c r="AE564" s="211"/>
      <c r="AF564" s="211"/>
      <c r="AG564" s="211"/>
      <c r="AH564" s="211"/>
      <c r="AI564" s="211"/>
      <c r="AJ564" s="211"/>
      <c r="AK564" s="170"/>
      <c r="AL564" s="170"/>
    </row>
    <row r="565" spans="1:64" s="168" customFormat="1" ht="14.25" customHeight="1">
      <c r="A565" s="143"/>
      <c r="B565" s="143"/>
      <c r="C565" s="143"/>
      <c r="D565" s="143"/>
      <c r="E565" s="167"/>
      <c r="F565" s="167"/>
      <c r="G565" s="167"/>
      <c r="H565" s="167"/>
      <c r="I565" s="167"/>
      <c r="J565" s="167"/>
      <c r="K565" s="167"/>
      <c r="L565" s="167"/>
      <c r="M565" s="213"/>
      <c r="N565" s="213"/>
      <c r="O565" s="213"/>
      <c r="P565" s="213"/>
      <c r="Q565" s="213"/>
      <c r="R565" s="213"/>
      <c r="S565" s="213"/>
      <c r="T565" s="213"/>
      <c r="U565" s="213"/>
      <c r="V565" s="213"/>
      <c r="W565" s="213"/>
      <c r="X565" s="213"/>
      <c r="Y565" s="213"/>
      <c r="AA565" s="203"/>
      <c r="AB565" s="182"/>
      <c r="AC565" s="145"/>
      <c r="AD565" s="145"/>
      <c r="AE565" s="145"/>
      <c r="AF565" s="145"/>
      <c r="AG565" s="145"/>
      <c r="AH565" s="145"/>
      <c r="AI565" s="145"/>
      <c r="AJ565" s="145"/>
      <c r="AK565" s="170"/>
      <c r="AL565" s="170"/>
    </row>
    <row r="566" spans="1:64" s="168" customFormat="1" ht="14.25" customHeight="1">
      <c r="A566" s="143"/>
      <c r="B566" s="143"/>
      <c r="C566" s="143"/>
      <c r="D566" s="143"/>
      <c r="E566" s="167"/>
      <c r="F566" s="167"/>
      <c r="G566" s="167"/>
      <c r="H566" s="167"/>
      <c r="I566" s="167"/>
      <c r="J566" s="167"/>
      <c r="K566" s="167"/>
      <c r="L566" s="167"/>
      <c r="M566" s="213"/>
      <c r="N566" s="213"/>
      <c r="O566" s="213"/>
      <c r="P566" s="213"/>
      <c r="Q566" s="213"/>
      <c r="R566" s="213"/>
      <c r="S566" s="213"/>
      <c r="T566" s="213"/>
      <c r="U566" s="213"/>
      <c r="V566" s="213"/>
      <c r="W566" s="213"/>
      <c r="X566" s="213"/>
      <c r="Y566" s="213"/>
      <c r="AA566" s="203"/>
      <c r="AB566" s="182"/>
      <c r="AC566" s="145"/>
      <c r="AD566" s="145"/>
      <c r="AE566" s="145"/>
      <c r="AF566" s="145"/>
      <c r="AG566" s="145"/>
      <c r="AH566" s="145"/>
      <c r="AI566" s="145"/>
      <c r="AJ566" s="145"/>
      <c r="AK566" s="170"/>
      <c r="AL566" s="170"/>
    </row>
    <row r="567" spans="1:64" s="168" customFormat="1" ht="14.25" customHeight="1">
      <c r="A567" s="143"/>
      <c r="B567" s="143"/>
      <c r="C567" s="143"/>
      <c r="D567" s="143"/>
      <c r="E567" s="167"/>
      <c r="F567" s="167"/>
      <c r="G567" s="167"/>
      <c r="H567" s="167"/>
      <c r="I567" s="167"/>
      <c r="J567" s="167"/>
      <c r="K567" s="167"/>
      <c r="L567" s="167"/>
      <c r="M567" s="213"/>
      <c r="N567" s="213"/>
      <c r="O567" s="213"/>
      <c r="P567" s="213"/>
      <c r="Q567" s="213"/>
      <c r="R567" s="213"/>
      <c r="S567" s="213"/>
      <c r="T567" s="213"/>
      <c r="U567" s="213"/>
      <c r="V567" s="213"/>
      <c r="W567" s="213"/>
      <c r="X567" s="213"/>
      <c r="Y567" s="213"/>
      <c r="AA567" s="203"/>
      <c r="AB567" s="182"/>
      <c r="AC567" s="145"/>
      <c r="AD567" s="145"/>
      <c r="AE567" s="145"/>
      <c r="AF567" s="145"/>
      <c r="AG567" s="145"/>
      <c r="AH567" s="145"/>
      <c r="AI567" s="145"/>
      <c r="AJ567" s="145"/>
      <c r="AK567" s="170"/>
      <c r="AL567" s="170"/>
    </row>
    <row r="568" spans="1:64" s="168" customFormat="1" ht="14.25" customHeight="1">
      <c r="A568" s="143"/>
      <c r="B568" s="143"/>
      <c r="C568" s="143"/>
      <c r="D568" s="143"/>
      <c r="E568" s="167"/>
      <c r="F568" s="167"/>
      <c r="G568" s="167"/>
      <c r="H568" s="167"/>
      <c r="I568" s="167"/>
      <c r="J568" s="167"/>
      <c r="K568" s="167"/>
      <c r="L568" s="167"/>
      <c r="M568" s="213"/>
      <c r="N568" s="213"/>
      <c r="O568" s="213"/>
      <c r="P568" s="213"/>
      <c r="Q568" s="213"/>
      <c r="R568" s="213"/>
      <c r="S568" s="213"/>
      <c r="T568" s="213"/>
      <c r="U568" s="213"/>
      <c r="V568" s="213"/>
      <c r="W568" s="213"/>
      <c r="X568" s="213"/>
      <c r="Y568" s="213"/>
      <c r="AA568" s="203"/>
      <c r="AB568" s="182"/>
      <c r="AC568" s="145"/>
      <c r="AD568" s="145"/>
      <c r="AE568" s="145"/>
      <c r="AF568" s="145"/>
      <c r="AG568" s="145"/>
      <c r="AH568" s="145"/>
      <c r="AI568" s="145"/>
      <c r="AJ568" s="145"/>
      <c r="AK568" s="170"/>
      <c r="AL568" s="170"/>
    </row>
    <row r="569" spans="1:64" s="168" customFormat="1" ht="14.25" customHeight="1">
      <c r="A569" s="143">
        <f>A539+1</f>
        <v>19</v>
      </c>
      <c r="B569" s="143"/>
      <c r="C569" s="187" t="str">
        <f>IF($A$1 = 1, (IF("("&amp;C579&amp;")" ="()","","("&amp;C579&amp;")")), (IF("("&amp;C584&amp;")     ("&amp;C579&amp;")"="()     ()","","("&amp;C584&amp;")     ("&amp;C579&amp;")")))</f>
        <v>(8)     (7)</v>
      </c>
      <c r="D569" s="187" t="str">
        <f t="shared" ref="D569:J569" si="55">IF($A$1 = 1, (IF("("&amp;D579&amp;")" ="()","","("&amp;D579&amp;")")), (IF("("&amp;D584&amp;")     ("&amp;D579&amp;")"="()     ()","","("&amp;D584&amp;")     ("&amp;D579&amp;")")))</f>
        <v>(7)     (5)</v>
      </c>
      <c r="E569" s="187" t="str">
        <f t="shared" si="55"/>
        <v>(7)     (7)</v>
      </c>
      <c r="F569" s="187" t="str">
        <f t="shared" si="55"/>
        <v>(15)     (14)</v>
      </c>
      <c r="G569" s="187" t="str">
        <f t="shared" si="55"/>
        <v>(7)     (6)</v>
      </c>
      <c r="H569" s="187" t="str">
        <f t="shared" si="55"/>
        <v>(2)     (2)</v>
      </c>
      <c r="I569" s="187" t="str">
        <f t="shared" si="55"/>
        <v/>
      </c>
      <c r="J569" s="187" t="str">
        <f t="shared" si="55"/>
        <v/>
      </c>
      <c r="K569" s="166"/>
      <c r="L569" s="166"/>
      <c r="M569" s="170"/>
      <c r="N569" s="170"/>
      <c r="O569" s="170"/>
      <c r="P569" s="170"/>
      <c r="Q569" s="170"/>
      <c r="R569" s="170"/>
      <c r="S569" s="170"/>
      <c r="T569" s="170"/>
      <c r="U569" s="170"/>
      <c r="V569" s="170"/>
      <c r="W569" s="170"/>
      <c r="X569" s="213"/>
      <c r="Y569" s="213"/>
      <c r="AA569" s="203"/>
      <c r="AB569" s="182"/>
      <c r="AC569" s="145"/>
      <c r="AD569" s="145"/>
      <c r="AE569" s="145"/>
      <c r="AF569" s="145"/>
      <c r="AG569" s="145"/>
      <c r="AH569" s="145"/>
      <c r="AI569" s="145"/>
      <c r="AJ569" s="145"/>
      <c r="AK569" s="170"/>
      <c r="AL569" s="170"/>
    </row>
    <row r="570" spans="1:64" s="168" customFormat="1" ht="59.1" customHeight="1">
      <c r="A570" s="143"/>
      <c r="B570" s="177"/>
      <c r="C570" s="178" t="s">
        <v>858</v>
      </c>
      <c r="D570" s="178" t="s">
        <v>859</v>
      </c>
      <c r="E570" s="178" t="s">
        <v>860</v>
      </c>
      <c r="F570" s="178" t="s">
        <v>861</v>
      </c>
      <c r="G570" s="178" t="s">
        <v>862</v>
      </c>
      <c r="H570" s="178" t="s">
        <v>863</v>
      </c>
      <c r="I570" s="178"/>
      <c r="J570" s="178"/>
      <c r="K570" s="178"/>
      <c r="L570" s="178"/>
      <c r="M570" s="208"/>
      <c r="N570" s="208"/>
      <c r="O570" s="208"/>
      <c r="P570" s="208"/>
      <c r="Q570" s="208"/>
      <c r="R570" s="208"/>
      <c r="S570" s="208"/>
      <c r="T570" s="208"/>
      <c r="U570" s="208"/>
      <c r="V570" s="208"/>
      <c r="W570" s="208"/>
      <c r="X570" s="210"/>
      <c r="Y570" s="210"/>
      <c r="Z570" s="210"/>
      <c r="AA570" s="210"/>
      <c r="AB570" s="210"/>
      <c r="AC570" s="210"/>
      <c r="AD570" s="210"/>
      <c r="AE570" s="210"/>
      <c r="AF570" s="210"/>
      <c r="AG570" s="210"/>
      <c r="AH570" s="210"/>
      <c r="AI570" s="210"/>
      <c r="AJ570" s="210"/>
      <c r="AK570" s="210"/>
      <c r="AL570" s="210"/>
      <c r="AM570" s="210"/>
      <c r="AN570" s="210"/>
      <c r="AO570" s="216"/>
      <c r="AP570" s="216"/>
      <c r="AQ570" s="216"/>
      <c r="AR570" s="216"/>
      <c r="AS570" s="216"/>
      <c r="AT570" s="216"/>
      <c r="AU570" s="216"/>
      <c r="AV570" s="216"/>
      <c r="AW570" s="216"/>
      <c r="AX570" s="210"/>
      <c r="AY570" s="216"/>
      <c r="AZ570" s="216"/>
      <c r="BA570" s="216"/>
      <c r="BB570" s="216"/>
      <c r="BC570" s="216"/>
      <c r="BD570" s="216"/>
      <c r="BE570" s="216"/>
      <c r="BF570" s="216"/>
      <c r="BG570" s="216"/>
      <c r="BH570" s="216"/>
      <c r="BI570" s="216"/>
      <c r="BJ570" s="210"/>
      <c r="BK570" s="210"/>
      <c r="BL570" s="210"/>
    </row>
    <row r="571" spans="1:64" s="168" customFormat="1" ht="18" customHeight="1" thickBot="1">
      <c r="A571" s="143"/>
      <c r="B571" s="181" t="s">
        <v>3</v>
      </c>
      <c r="C571" s="148">
        <v>85</v>
      </c>
      <c r="D571" s="148" t="s">
        <v>443</v>
      </c>
      <c r="E571" s="148">
        <v>96</v>
      </c>
      <c r="F571" s="148">
        <v>94</v>
      </c>
      <c r="G571" s="148">
        <v>70</v>
      </c>
      <c r="H571" s="148" t="s">
        <v>443</v>
      </c>
      <c r="I571" s="148"/>
      <c r="J571" s="148"/>
      <c r="K571" s="148"/>
      <c r="L571" s="148"/>
      <c r="M571" s="211"/>
      <c r="N571" s="211"/>
      <c r="O571" s="211"/>
      <c r="P571" s="211"/>
      <c r="Q571" s="211"/>
      <c r="R571" s="211"/>
      <c r="S571" s="211"/>
      <c r="T571" s="211"/>
      <c r="U571" s="211"/>
      <c r="V571" s="211"/>
      <c r="W571" s="211"/>
      <c r="AO571" s="213"/>
      <c r="AP571" s="213"/>
      <c r="AQ571" s="213"/>
      <c r="AR571" s="213"/>
      <c r="AS571" s="213"/>
      <c r="AT571" s="213"/>
      <c r="AU571" s="213"/>
      <c r="AV571" s="213"/>
      <c r="AW571" s="213"/>
      <c r="AY571" s="213"/>
      <c r="AZ571" s="213"/>
      <c r="BA571" s="213"/>
      <c r="BB571" s="213"/>
      <c r="BC571" s="213"/>
      <c r="BD571" s="213"/>
      <c r="BE571" s="213"/>
      <c r="BF571" s="213"/>
      <c r="BG571" s="213"/>
      <c r="BH571" s="213"/>
      <c r="BI571" s="213"/>
    </row>
    <row r="572" spans="1:64" s="168" customFormat="1" ht="18" customHeight="1" thickBot="1">
      <c r="A572" s="143"/>
      <c r="B572" s="182" t="s">
        <v>18</v>
      </c>
      <c r="C572" s="148">
        <v>78</v>
      </c>
      <c r="D572" s="148" t="s">
        <v>443</v>
      </c>
      <c r="E572" s="148">
        <v>92</v>
      </c>
      <c r="F572" s="148">
        <v>87</v>
      </c>
      <c r="G572" s="148">
        <v>54</v>
      </c>
      <c r="H572" s="148" t="s">
        <v>443</v>
      </c>
      <c r="I572" s="148"/>
      <c r="J572" s="148"/>
      <c r="K572" s="148"/>
      <c r="L572" s="148"/>
      <c r="M572" s="145"/>
      <c r="N572" s="145"/>
      <c r="O572" s="145"/>
      <c r="P572" s="145"/>
      <c r="Q572" s="145"/>
      <c r="R572" s="145"/>
      <c r="S572" s="145"/>
      <c r="T572" s="145"/>
      <c r="U572" s="145"/>
      <c r="V572" s="145"/>
      <c r="W572" s="145"/>
      <c r="AO572" s="213"/>
      <c r="AP572" s="213"/>
      <c r="AQ572" s="213"/>
      <c r="AR572" s="213"/>
      <c r="AS572" s="213"/>
      <c r="AT572" s="213"/>
      <c r="AU572" s="213"/>
      <c r="AV572" s="213"/>
      <c r="AW572" s="213"/>
      <c r="AY572" s="213"/>
      <c r="AZ572" s="213"/>
      <c r="BA572" s="213"/>
      <c r="BB572" s="213"/>
      <c r="BC572" s="213"/>
      <c r="BD572" s="213"/>
      <c r="BE572" s="213"/>
      <c r="BF572" s="213"/>
      <c r="BG572" s="213"/>
      <c r="BH572" s="213"/>
      <c r="BI572" s="213"/>
    </row>
    <row r="573" spans="1:64" s="168" customFormat="1" ht="18" customHeight="1" thickBot="1">
      <c r="A573" s="143"/>
      <c r="B573" s="183" t="s">
        <v>32</v>
      </c>
      <c r="C573" s="147">
        <v>75</v>
      </c>
      <c r="D573" s="147" t="s">
        <v>443</v>
      </c>
      <c r="E573" s="147">
        <v>79</v>
      </c>
      <c r="F573" s="147">
        <v>79</v>
      </c>
      <c r="G573" s="147">
        <v>54</v>
      </c>
      <c r="H573" s="147" t="s">
        <v>443</v>
      </c>
      <c r="I573" s="147"/>
      <c r="J573" s="147"/>
      <c r="K573" s="147"/>
      <c r="L573" s="147"/>
      <c r="M573" s="145"/>
      <c r="N573" s="145"/>
      <c r="O573" s="145"/>
      <c r="P573" s="145"/>
      <c r="Q573" s="145"/>
      <c r="R573" s="145"/>
      <c r="S573" s="145"/>
      <c r="T573" s="145"/>
      <c r="U573" s="145"/>
      <c r="V573" s="145"/>
      <c r="W573" s="145"/>
      <c r="AO573" s="213"/>
      <c r="AP573" s="213"/>
      <c r="AQ573" s="213"/>
      <c r="AR573" s="213"/>
      <c r="AS573" s="213"/>
      <c r="AT573" s="213"/>
      <c r="AU573" s="213"/>
      <c r="AV573" s="213"/>
      <c r="AW573" s="213"/>
      <c r="AY573" s="213"/>
      <c r="AZ573" s="213"/>
      <c r="BA573" s="213"/>
      <c r="BB573" s="213"/>
      <c r="BC573" s="213"/>
      <c r="BD573" s="213"/>
      <c r="BE573" s="213"/>
      <c r="BF573" s="213"/>
      <c r="BG573" s="213"/>
      <c r="BH573" s="213"/>
    </row>
    <row r="574" spans="1:64" s="168" customFormat="1" ht="18" customHeight="1" thickBot="1">
      <c r="A574" s="143"/>
      <c r="B574" s="182" t="s">
        <v>45</v>
      </c>
      <c r="C574" s="145">
        <v>84</v>
      </c>
      <c r="D574" s="145" t="s">
        <v>443</v>
      </c>
      <c r="E574" s="145">
        <v>88</v>
      </c>
      <c r="F574" s="145">
        <v>82</v>
      </c>
      <c r="G574" s="145">
        <v>52</v>
      </c>
      <c r="H574" s="145" t="s">
        <v>443</v>
      </c>
      <c r="I574" s="145"/>
      <c r="J574" s="145"/>
      <c r="K574" s="145"/>
      <c r="L574" s="145"/>
      <c r="M574" s="145"/>
      <c r="N574" s="145"/>
      <c r="O574" s="145"/>
      <c r="P574" s="145"/>
      <c r="Q574" s="145"/>
      <c r="R574" s="145"/>
      <c r="S574" s="145"/>
      <c r="T574" s="145"/>
      <c r="U574" s="145"/>
      <c r="V574" s="145"/>
      <c r="W574" s="145"/>
      <c r="AO574" s="213"/>
      <c r="AP574" s="213"/>
      <c r="AQ574" s="213"/>
      <c r="AR574" s="213"/>
      <c r="AS574" s="213"/>
      <c r="AT574" s="213"/>
      <c r="AU574" s="213"/>
      <c r="AV574" s="213"/>
      <c r="AW574" s="213"/>
      <c r="AY574" s="213"/>
      <c r="AZ574" s="213"/>
      <c r="BA574" s="213"/>
      <c r="BB574" s="213"/>
      <c r="BC574" s="213"/>
      <c r="BD574" s="213"/>
      <c r="BE574" s="213"/>
      <c r="BF574" s="213"/>
      <c r="BG574" s="213"/>
      <c r="BH574" s="213"/>
    </row>
    <row r="575" spans="1:64" s="168" customFormat="1" ht="18" customHeight="1" thickBot="1">
      <c r="A575" s="143"/>
      <c r="B575" s="184" t="s">
        <v>54</v>
      </c>
      <c r="C575" s="146">
        <v>74</v>
      </c>
      <c r="D575" s="146" t="s">
        <v>443</v>
      </c>
      <c r="E575" s="146">
        <v>80</v>
      </c>
      <c r="F575" s="146">
        <v>81</v>
      </c>
      <c r="G575" s="146">
        <v>50</v>
      </c>
      <c r="H575" s="146" t="s">
        <v>443</v>
      </c>
      <c r="I575" s="146"/>
      <c r="J575" s="146"/>
      <c r="K575" s="146"/>
      <c r="L575" s="146"/>
      <c r="M575" s="145"/>
      <c r="N575" s="145"/>
      <c r="O575" s="145"/>
      <c r="P575" s="145"/>
      <c r="Q575" s="145"/>
      <c r="R575" s="145"/>
      <c r="S575" s="145"/>
      <c r="T575" s="145"/>
      <c r="U575" s="145"/>
      <c r="V575" s="145"/>
      <c r="W575" s="145"/>
      <c r="AO575" s="213"/>
      <c r="AP575" s="213"/>
      <c r="AQ575" s="213"/>
      <c r="AR575" s="213"/>
      <c r="AS575" s="213"/>
      <c r="AT575" s="213"/>
      <c r="AU575" s="213"/>
      <c r="AV575" s="213"/>
      <c r="AW575" s="213"/>
      <c r="AY575" s="213"/>
      <c r="AZ575" s="213"/>
      <c r="BA575" s="213"/>
      <c r="BB575" s="213"/>
      <c r="BC575" s="213"/>
      <c r="BD575" s="213"/>
      <c r="BE575" s="213"/>
      <c r="BF575" s="213"/>
      <c r="BG575" s="213"/>
      <c r="BH575" s="213"/>
    </row>
    <row r="576" spans="1:64" s="168" customFormat="1">
      <c r="A576" s="143"/>
      <c r="B576" s="182" t="s">
        <v>66</v>
      </c>
      <c r="C576" s="145">
        <v>71</v>
      </c>
      <c r="D576" s="145"/>
      <c r="E576" s="145">
        <v>86</v>
      </c>
      <c r="F576" s="145">
        <v>93</v>
      </c>
      <c r="G576" s="145">
        <v>50</v>
      </c>
      <c r="H576" s="125"/>
      <c r="I576" s="125"/>
      <c r="J576" s="125"/>
      <c r="K576" s="125"/>
      <c r="L576" s="125"/>
      <c r="M576" s="145"/>
      <c r="N576" s="145"/>
      <c r="O576" s="145"/>
      <c r="P576" s="145"/>
      <c r="Q576" s="145"/>
      <c r="R576" s="145"/>
      <c r="S576" s="145"/>
      <c r="T576" s="145"/>
      <c r="U576" s="145"/>
      <c r="V576" s="145"/>
      <c r="W576" s="145"/>
      <c r="AO576" s="213"/>
      <c r="AP576" s="213"/>
      <c r="AQ576" s="213"/>
      <c r="AR576" s="213"/>
      <c r="AS576" s="213"/>
      <c r="AT576" s="213"/>
      <c r="AU576" s="213"/>
      <c r="AV576" s="213"/>
      <c r="AW576" s="213"/>
      <c r="AY576" s="213"/>
      <c r="AZ576" s="213"/>
      <c r="BA576" s="213"/>
      <c r="BB576" s="213"/>
      <c r="BC576" s="213"/>
      <c r="BD576" s="213"/>
      <c r="BE576" s="213"/>
      <c r="BF576" s="213"/>
      <c r="BG576" s="213"/>
      <c r="BH576" s="213"/>
    </row>
    <row r="577" spans="1:64" s="204" customFormat="1">
      <c r="A577" s="164"/>
      <c r="B577" s="182" t="s">
        <v>158</v>
      </c>
      <c r="C577" s="126">
        <v>79</v>
      </c>
      <c r="D577" s="126" t="s">
        <v>443</v>
      </c>
      <c r="E577" s="126">
        <v>87</v>
      </c>
      <c r="F577" s="126">
        <v>85</v>
      </c>
      <c r="G577" s="126">
        <v>57</v>
      </c>
      <c r="H577" s="126" t="s">
        <v>443</v>
      </c>
      <c r="I577" s="126"/>
      <c r="J577" s="126"/>
      <c r="K577" s="126"/>
      <c r="L577" s="126"/>
      <c r="M577" s="126"/>
      <c r="N577" s="126"/>
      <c r="O577" s="126"/>
      <c r="P577" s="126"/>
      <c r="Q577" s="126"/>
      <c r="R577" s="126"/>
      <c r="S577" s="126"/>
      <c r="T577" s="126"/>
      <c r="U577" s="126"/>
      <c r="V577" s="126"/>
      <c r="W577" s="126"/>
      <c r="X577" s="168"/>
      <c r="Y577" s="168"/>
      <c r="Z577" s="168"/>
      <c r="AA577" s="168"/>
      <c r="AB577" s="168"/>
      <c r="AC577" s="168"/>
      <c r="AD577" s="168"/>
      <c r="AE577" s="168"/>
      <c r="AF577" s="168"/>
      <c r="AG577" s="168"/>
      <c r="AH577" s="168"/>
      <c r="AI577" s="168"/>
      <c r="AJ577" s="168"/>
      <c r="AK577" s="168"/>
      <c r="AL577" s="168"/>
      <c r="AM577" s="168"/>
      <c r="AN577" s="168"/>
      <c r="AO577" s="213"/>
      <c r="AP577" s="213"/>
      <c r="AQ577" s="213"/>
      <c r="AR577" s="213"/>
      <c r="AS577" s="213"/>
      <c r="AT577" s="213"/>
      <c r="AU577" s="213"/>
      <c r="AV577" s="213"/>
      <c r="AW577" s="213"/>
      <c r="AX577" s="168"/>
      <c r="AY577" s="213"/>
      <c r="AZ577" s="213"/>
      <c r="BA577" s="213"/>
      <c r="BB577" s="213"/>
      <c r="BC577" s="213"/>
      <c r="BD577" s="213"/>
      <c r="BE577" s="213"/>
      <c r="BF577" s="213"/>
      <c r="BG577" s="213"/>
      <c r="BH577" s="213"/>
      <c r="BI577" s="168"/>
      <c r="BJ577" s="168"/>
      <c r="BK577" s="168"/>
      <c r="BL577" s="168"/>
    </row>
    <row r="578" spans="1:64" s="169" customFormat="1">
      <c r="A578" s="165"/>
      <c r="B578" s="182" t="s">
        <v>191</v>
      </c>
      <c r="C578" s="127">
        <v>69</v>
      </c>
      <c r="D578" s="127">
        <v>69</v>
      </c>
      <c r="E578" s="127">
        <v>69</v>
      </c>
      <c r="F578" s="127">
        <v>69</v>
      </c>
      <c r="G578" s="127">
        <v>69</v>
      </c>
      <c r="H578" s="126">
        <v>69</v>
      </c>
      <c r="I578" s="126"/>
      <c r="J578" s="126"/>
      <c r="K578" s="126"/>
      <c r="L578" s="126"/>
      <c r="M578" s="126"/>
      <c r="N578" s="126"/>
      <c r="O578" s="126"/>
      <c r="P578" s="126"/>
      <c r="Q578" s="126"/>
      <c r="R578" s="126"/>
      <c r="S578" s="126"/>
      <c r="T578" s="126"/>
      <c r="U578" s="126"/>
      <c r="V578" s="126"/>
      <c r="W578" s="126"/>
      <c r="X578" s="168"/>
      <c r="Y578" s="168"/>
      <c r="Z578" s="168"/>
      <c r="AA578" s="168"/>
      <c r="AB578" s="168"/>
      <c r="AC578" s="168"/>
      <c r="AD578" s="168"/>
      <c r="AE578" s="168"/>
      <c r="AF578" s="168"/>
      <c r="AG578" s="168"/>
      <c r="AH578" s="168"/>
      <c r="AI578" s="168"/>
      <c r="AJ578" s="168"/>
      <c r="AK578" s="168"/>
      <c r="AL578" s="168"/>
      <c r="AM578" s="168"/>
      <c r="AN578" s="168"/>
      <c r="AO578" s="214"/>
      <c r="AP578" s="214"/>
      <c r="AQ578" s="214"/>
      <c r="AR578" s="214"/>
      <c r="AS578" s="214"/>
      <c r="AT578" s="213"/>
      <c r="AU578" s="213"/>
      <c r="AV578" s="213"/>
      <c r="AW578" s="213"/>
      <c r="AX578" s="168"/>
      <c r="AY578" s="213"/>
      <c r="AZ578" s="213"/>
      <c r="BA578" s="213"/>
      <c r="BB578" s="213"/>
      <c r="BC578" s="213"/>
      <c r="BD578" s="213"/>
      <c r="BE578" s="213"/>
      <c r="BF578" s="213"/>
      <c r="BG578" s="213"/>
      <c r="BH578" s="213"/>
      <c r="BI578" s="168"/>
      <c r="BJ578" s="168"/>
      <c r="BK578" s="168"/>
      <c r="BL578" s="168"/>
    </row>
    <row r="579" spans="1:64" s="212" customFormat="1" ht="15" thickBot="1">
      <c r="A579" s="165"/>
      <c r="B579" s="182" t="s">
        <v>442</v>
      </c>
      <c r="C579" s="126">
        <v>7</v>
      </c>
      <c r="D579" s="315">
        <v>5</v>
      </c>
      <c r="E579" s="315">
        <v>7</v>
      </c>
      <c r="F579" s="315">
        <v>14</v>
      </c>
      <c r="G579" s="315">
        <v>6</v>
      </c>
      <c r="H579" s="315">
        <v>2</v>
      </c>
      <c r="I579" s="315"/>
      <c r="J579" s="315"/>
      <c r="K579" s="315"/>
      <c r="L579" s="315"/>
      <c r="M579" s="126"/>
      <c r="N579" s="126"/>
      <c r="O579" s="126"/>
      <c r="P579" s="126"/>
      <c r="Q579" s="126"/>
      <c r="R579" s="126"/>
      <c r="S579" s="126"/>
      <c r="T579" s="126"/>
      <c r="U579" s="126"/>
      <c r="V579" s="126"/>
      <c r="W579" s="126"/>
      <c r="X579" s="168"/>
      <c r="Y579" s="168"/>
      <c r="Z579" s="168"/>
      <c r="AA579" s="168"/>
      <c r="AB579" s="168"/>
      <c r="AC579" s="168"/>
      <c r="AD579" s="168"/>
      <c r="AE579" s="168"/>
      <c r="AF579" s="168"/>
      <c r="AG579" s="168"/>
      <c r="AH579" s="168"/>
      <c r="AI579" s="168"/>
      <c r="AJ579" s="168"/>
      <c r="AK579" s="168"/>
      <c r="AL579" s="168"/>
      <c r="AM579" s="168"/>
      <c r="AN579" s="168"/>
      <c r="AO579" s="213"/>
      <c r="AP579" s="213"/>
      <c r="AQ579" s="213"/>
      <c r="AR579" s="213"/>
      <c r="AS579" s="213"/>
      <c r="AT579" s="213"/>
      <c r="AU579" s="213"/>
      <c r="AV579" s="213"/>
      <c r="AW579" s="213"/>
      <c r="AX579" s="168"/>
      <c r="AY579" s="213"/>
      <c r="AZ579" s="213"/>
      <c r="BA579" s="213"/>
      <c r="BB579" s="213"/>
      <c r="BC579" s="213"/>
      <c r="BD579" s="213"/>
      <c r="BE579" s="213"/>
      <c r="BF579" s="213"/>
      <c r="BG579" s="213"/>
      <c r="BH579" s="213"/>
      <c r="BI579" s="168"/>
      <c r="BJ579" s="168"/>
      <c r="BK579" s="168"/>
      <c r="BL579" s="168"/>
    </row>
    <row r="580" spans="1:64" s="210" customFormat="1">
      <c r="A580" s="174"/>
      <c r="B580" s="338" t="s">
        <v>166</v>
      </c>
      <c r="C580" s="316">
        <f>IF(OR(C583="**",C583=""),"",VALUE(C583))</f>
        <v>79</v>
      </c>
      <c r="D580" s="316">
        <f t="shared" ref="D580:J580" si="56">IF(OR(D583="**",D583=""),"",VALUE(D583))</f>
        <v>96</v>
      </c>
      <c r="E580" s="316">
        <f t="shared" si="56"/>
        <v>88</v>
      </c>
      <c r="F580" s="316">
        <f t="shared" si="56"/>
        <v>64</v>
      </c>
      <c r="G580" s="316">
        <f t="shared" si="56"/>
        <v>65</v>
      </c>
      <c r="H580" s="316" t="str">
        <f t="shared" si="56"/>
        <v/>
      </c>
      <c r="I580" s="316" t="str">
        <f t="shared" si="56"/>
        <v/>
      </c>
      <c r="J580" s="316" t="str">
        <f t="shared" si="56"/>
        <v/>
      </c>
      <c r="K580" s="316"/>
      <c r="L580" s="316"/>
      <c r="M580" s="126"/>
      <c r="N580" s="126"/>
      <c r="O580" s="126"/>
      <c r="P580" s="126"/>
      <c r="Q580" s="126"/>
      <c r="R580" s="126"/>
      <c r="S580" s="126"/>
      <c r="T580" s="126"/>
      <c r="U580" s="126"/>
      <c r="V580" s="126"/>
      <c r="W580" s="126"/>
      <c r="X580" s="168"/>
      <c r="Y580" s="168"/>
      <c r="Z580" s="168"/>
      <c r="AA580" s="168"/>
      <c r="AB580" s="168"/>
      <c r="AC580" s="168"/>
      <c r="AD580" s="168"/>
      <c r="AE580" s="168"/>
      <c r="AF580" s="168"/>
      <c r="AG580" s="168"/>
      <c r="AH580" s="168"/>
      <c r="AI580" s="168"/>
      <c r="AJ580" s="168"/>
      <c r="AK580" s="168"/>
      <c r="AL580" s="168"/>
      <c r="AM580" s="168"/>
      <c r="AN580" s="168"/>
      <c r="AO580" s="213"/>
      <c r="AP580" s="213"/>
      <c r="AQ580" s="213"/>
      <c r="AR580" s="213"/>
      <c r="AS580" s="213"/>
      <c r="AT580" s="213"/>
      <c r="AU580" s="213"/>
      <c r="AV580" s="213"/>
      <c r="AW580" s="213"/>
      <c r="AX580" s="168"/>
      <c r="AY580" s="213"/>
      <c r="AZ580" s="213"/>
      <c r="BA580" s="213"/>
      <c r="BB580" s="213"/>
      <c r="BC580" s="213"/>
      <c r="BD580" s="213"/>
      <c r="BE580" s="213"/>
      <c r="BF580" s="213"/>
      <c r="BG580" s="213"/>
      <c r="BH580" s="213"/>
      <c r="BI580" s="168"/>
      <c r="BJ580" s="168"/>
      <c r="BK580" s="168"/>
      <c r="BL580" s="168"/>
    </row>
    <row r="581" spans="1:64" s="168" customFormat="1" ht="15" thickBot="1">
      <c r="A581" s="179"/>
      <c r="B581" s="339" t="s">
        <v>165</v>
      </c>
      <c r="C581" s="317">
        <f t="shared" ref="C581:J581" si="57">IF(OR(C577="**",C577=""),"",VALUE(C577))</f>
        <v>79</v>
      </c>
      <c r="D581" s="317" t="str">
        <f t="shared" si="57"/>
        <v/>
      </c>
      <c r="E581" s="317">
        <f t="shared" si="57"/>
        <v>87</v>
      </c>
      <c r="F581" s="317">
        <f t="shared" si="57"/>
        <v>85</v>
      </c>
      <c r="G581" s="317">
        <f t="shared" si="57"/>
        <v>57</v>
      </c>
      <c r="H581" s="317" t="str">
        <f t="shared" si="57"/>
        <v/>
      </c>
      <c r="I581" s="317" t="str">
        <f t="shared" si="57"/>
        <v/>
      </c>
      <c r="J581" s="317" t="str">
        <f t="shared" si="57"/>
        <v/>
      </c>
      <c r="K581" s="317"/>
      <c r="L581" s="317"/>
      <c r="M581" s="169"/>
      <c r="N581" s="169"/>
      <c r="O581" s="169"/>
      <c r="P581" s="169"/>
      <c r="Q581" s="169"/>
      <c r="R581" s="169"/>
      <c r="S581" s="169"/>
      <c r="T581" s="169"/>
      <c r="U581" s="169"/>
      <c r="V581" s="169"/>
      <c r="W581" s="169"/>
      <c r="AO581" s="169"/>
      <c r="AP581" s="169"/>
      <c r="AQ581" s="169"/>
      <c r="AR581" s="169"/>
      <c r="AS581" s="169"/>
      <c r="AT581" s="169"/>
      <c r="AU581" s="169"/>
      <c r="AV581" s="169"/>
      <c r="AW581" s="213"/>
      <c r="AX581" s="213"/>
      <c r="AY581" s="213"/>
      <c r="AZ581" s="213"/>
      <c r="BA581" s="213"/>
      <c r="BB581" s="213"/>
      <c r="BC581" s="213"/>
      <c r="BD581" s="213"/>
      <c r="BE581" s="213"/>
      <c r="BF581" s="213"/>
      <c r="BG581" s="213"/>
      <c r="BH581" s="213"/>
    </row>
    <row r="582" spans="1:64" s="168" customFormat="1">
      <c r="A582" s="143"/>
      <c r="B582" s="340" t="s">
        <v>483</v>
      </c>
      <c r="C582" s="167" t="s">
        <v>924</v>
      </c>
      <c r="D582" s="167" t="s">
        <v>925</v>
      </c>
      <c r="E582" s="167" t="s">
        <v>926</v>
      </c>
      <c r="F582" s="167" t="s">
        <v>927</v>
      </c>
      <c r="G582" s="167" t="s">
        <v>928</v>
      </c>
      <c r="H582" s="166" t="s">
        <v>929</v>
      </c>
      <c r="I582" s="166"/>
      <c r="J582" s="166"/>
      <c r="K582" s="166"/>
      <c r="L582" s="166"/>
      <c r="X582" s="213"/>
      <c r="Y582" s="213"/>
      <c r="Z582" s="213"/>
      <c r="AA582" s="213"/>
      <c r="AB582" s="213"/>
      <c r="AC582" s="213"/>
      <c r="AD582" s="213"/>
      <c r="AE582" s="213"/>
      <c r="AG582" s="203"/>
      <c r="AH582" s="182"/>
      <c r="AI582" s="145"/>
      <c r="AJ582" s="145"/>
      <c r="AK582" s="145"/>
      <c r="AL582" s="145"/>
      <c r="AM582" s="145"/>
      <c r="AN582" s="145"/>
      <c r="AO582" s="145"/>
      <c r="AP582" s="145"/>
      <c r="AQ582" s="170"/>
      <c r="AR582" s="170"/>
    </row>
    <row r="583" spans="1:64" s="168" customFormat="1">
      <c r="A583" s="143"/>
      <c r="B583" s="182" t="s">
        <v>158</v>
      </c>
      <c r="C583" s="165">
        <v>79</v>
      </c>
      <c r="D583" s="165">
        <v>96</v>
      </c>
      <c r="E583" s="165">
        <v>88</v>
      </c>
      <c r="F583" s="165">
        <v>64</v>
      </c>
      <c r="G583" s="165">
        <v>65</v>
      </c>
      <c r="H583" s="166" t="s">
        <v>443</v>
      </c>
      <c r="I583" s="166"/>
      <c r="J583" s="166"/>
      <c r="K583" s="166"/>
      <c r="L583" s="166"/>
      <c r="X583" s="213"/>
      <c r="Y583" s="213"/>
      <c r="Z583" s="213"/>
      <c r="AA583" s="213"/>
      <c r="AB583" s="213"/>
      <c r="AC583" s="213"/>
      <c r="AD583" s="213"/>
      <c r="AE583" s="213"/>
      <c r="AG583" s="203"/>
      <c r="AH583" s="182"/>
      <c r="AI583" s="145"/>
      <c r="AJ583" s="145"/>
      <c r="AK583" s="145"/>
      <c r="AL583" s="145"/>
      <c r="AM583" s="145"/>
      <c r="AN583" s="145"/>
      <c r="AO583" s="145"/>
      <c r="AP583" s="145"/>
      <c r="AQ583" s="170"/>
      <c r="AR583" s="170"/>
    </row>
    <row r="584" spans="1:64" s="168" customFormat="1">
      <c r="A584" s="143"/>
      <c r="B584" s="340" t="s">
        <v>442</v>
      </c>
      <c r="C584" s="165">
        <v>8</v>
      </c>
      <c r="D584" s="165">
        <v>7</v>
      </c>
      <c r="E584" s="165">
        <v>7</v>
      </c>
      <c r="F584" s="165">
        <v>15</v>
      </c>
      <c r="G584" s="165">
        <v>7</v>
      </c>
      <c r="H584" s="165">
        <v>2</v>
      </c>
      <c r="I584" s="165"/>
      <c r="J584" s="165"/>
      <c r="K584" s="165"/>
      <c r="L584" s="165"/>
      <c r="X584" s="213"/>
      <c r="Y584" s="213"/>
      <c r="Z584" s="213"/>
      <c r="AA584" s="213"/>
      <c r="AB584" s="213"/>
      <c r="AC584" s="213"/>
      <c r="AD584" s="213"/>
      <c r="AE584" s="213"/>
      <c r="AG584" s="203"/>
      <c r="AH584" s="182"/>
      <c r="AI584" s="145"/>
      <c r="AJ584" s="145"/>
      <c r="AK584" s="145"/>
      <c r="AL584" s="145"/>
      <c r="AM584" s="145"/>
      <c r="AN584" s="145"/>
      <c r="AO584" s="145"/>
      <c r="AP584" s="145"/>
      <c r="AQ584" s="170"/>
      <c r="AR584" s="170"/>
    </row>
    <row r="585" spans="1:64" s="168" customFormat="1">
      <c r="A585" s="143"/>
      <c r="B585" s="143"/>
      <c r="C585" s="143"/>
      <c r="D585" s="143"/>
      <c r="E585" s="143"/>
      <c r="F585" s="143"/>
      <c r="G585" s="143"/>
      <c r="H585" s="143"/>
      <c r="I585" s="143"/>
      <c r="J585" s="143"/>
      <c r="K585" s="143"/>
      <c r="L585" s="143"/>
      <c r="X585" s="213"/>
      <c r="Y585" s="213"/>
      <c r="Z585" s="213"/>
      <c r="AA585" s="213"/>
      <c r="AB585" s="213"/>
      <c r="AC585" s="213"/>
      <c r="AD585" s="213"/>
      <c r="AE585" s="213"/>
      <c r="AG585" s="203"/>
      <c r="AH585" s="182"/>
      <c r="AI585" s="145"/>
      <c r="AJ585" s="145"/>
      <c r="AK585" s="145"/>
      <c r="AL585" s="145"/>
      <c r="AM585" s="145"/>
      <c r="AN585" s="145"/>
      <c r="AO585" s="145"/>
      <c r="AP585" s="145"/>
      <c r="AQ585" s="170"/>
      <c r="AR585" s="170"/>
    </row>
    <row r="586" spans="1:64" s="168" customFormat="1">
      <c r="A586" s="143"/>
      <c r="B586" s="143"/>
      <c r="C586" s="143"/>
      <c r="D586" s="143"/>
      <c r="E586" s="143"/>
      <c r="F586" s="143"/>
      <c r="G586" s="143"/>
      <c r="H586" s="143"/>
      <c r="I586" s="143"/>
      <c r="J586" s="143"/>
      <c r="K586" s="143"/>
      <c r="L586" s="143"/>
      <c r="X586" s="213"/>
      <c r="Y586" s="213"/>
      <c r="Z586" s="213"/>
      <c r="AA586" s="213"/>
      <c r="AB586" s="213"/>
      <c r="AC586" s="213"/>
      <c r="AD586" s="213"/>
      <c r="AE586" s="213"/>
      <c r="AG586" s="203"/>
      <c r="AH586" s="182"/>
      <c r="AI586" s="145"/>
      <c r="AJ586" s="145"/>
      <c r="AK586" s="145"/>
      <c r="AL586" s="145"/>
      <c r="AM586" s="145"/>
      <c r="AN586" s="145"/>
      <c r="AO586" s="145"/>
      <c r="AP586" s="145"/>
      <c r="AQ586" s="170"/>
      <c r="AR586" s="170"/>
    </row>
    <row r="587" spans="1:64" s="168" customFormat="1">
      <c r="A587" s="143"/>
      <c r="B587" s="143"/>
      <c r="C587" s="143"/>
      <c r="D587" s="143"/>
      <c r="E587" s="143"/>
      <c r="F587" s="143"/>
      <c r="G587" s="143"/>
      <c r="H587" s="143"/>
      <c r="I587" s="143"/>
      <c r="J587" s="143"/>
      <c r="K587" s="143"/>
      <c r="L587" s="143"/>
      <c r="X587" s="213"/>
      <c r="Y587" s="213"/>
      <c r="Z587" s="213"/>
      <c r="AA587" s="213"/>
      <c r="AB587" s="213"/>
      <c r="AC587" s="213"/>
      <c r="AD587" s="213"/>
      <c r="AE587" s="213"/>
      <c r="AG587" s="203"/>
      <c r="AH587" s="182"/>
      <c r="AI587" s="126"/>
      <c r="AJ587" s="126"/>
      <c r="AK587" s="126"/>
      <c r="AL587" s="126"/>
      <c r="AM587" s="126"/>
      <c r="AN587" s="126"/>
      <c r="AO587" s="126"/>
      <c r="AP587" s="126"/>
      <c r="AQ587" s="170"/>
      <c r="AR587" s="170"/>
    </row>
    <row r="588" spans="1:64" s="168" customFormat="1" ht="14.25" customHeight="1">
      <c r="A588" s="143"/>
      <c r="B588" s="143"/>
      <c r="C588" s="143"/>
      <c r="D588" s="143"/>
      <c r="E588" s="143"/>
      <c r="F588" s="143"/>
      <c r="G588" s="143"/>
      <c r="H588" s="143"/>
      <c r="I588" s="143"/>
      <c r="J588" s="143"/>
      <c r="K588" s="143"/>
      <c r="L588" s="143"/>
      <c r="X588" s="213"/>
      <c r="Y588" s="213"/>
      <c r="Z588" s="213"/>
      <c r="AA588" s="213"/>
      <c r="AB588" s="213"/>
      <c r="AC588" s="213"/>
      <c r="AD588" s="213"/>
      <c r="AE588" s="213"/>
      <c r="AG588" s="203"/>
      <c r="AH588" s="182"/>
      <c r="AI588" s="127"/>
      <c r="AJ588" s="127"/>
      <c r="AK588" s="127"/>
      <c r="AL588" s="127"/>
      <c r="AM588" s="127"/>
      <c r="AN588" s="126"/>
      <c r="AO588" s="126"/>
      <c r="AP588" s="126"/>
      <c r="AQ588" s="170"/>
      <c r="AR588" s="170"/>
    </row>
    <row r="589" spans="1:64" s="168" customFormat="1" ht="14.25" customHeight="1">
      <c r="A589" s="143" t="s">
        <v>183</v>
      </c>
      <c r="B589" s="143"/>
      <c r="C589" s="143"/>
      <c r="D589" s="143"/>
      <c r="E589" s="143"/>
      <c r="F589" s="143"/>
      <c r="G589" s="143"/>
      <c r="H589" s="143"/>
      <c r="I589" s="143"/>
      <c r="J589" s="143"/>
      <c r="K589" s="143"/>
      <c r="L589" s="143"/>
      <c r="X589" s="213"/>
      <c r="Y589" s="213"/>
      <c r="Z589" s="213"/>
      <c r="AA589" s="213"/>
      <c r="AB589" s="213"/>
      <c r="AC589" s="213"/>
      <c r="AD589" s="213"/>
      <c r="AE589" s="213"/>
      <c r="AG589" s="203"/>
      <c r="AH589" s="182"/>
      <c r="AI589" s="126"/>
      <c r="AJ589" s="126"/>
      <c r="AK589" s="126"/>
      <c r="AL589" s="126"/>
      <c r="AM589" s="126"/>
      <c r="AN589" s="126"/>
      <c r="AO589" s="126"/>
      <c r="AP589" s="126"/>
      <c r="AQ589" s="170"/>
      <c r="AR589" s="170"/>
    </row>
    <row r="590" spans="1:64" s="168" customFormat="1" ht="14.25" customHeight="1">
      <c r="A590" s="143">
        <v>1</v>
      </c>
      <c r="B590" s="143"/>
      <c r="C590" s="143"/>
      <c r="D590" s="143"/>
      <c r="E590" s="143"/>
      <c r="F590" s="143"/>
      <c r="G590" s="143"/>
      <c r="H590" s="143"/>
      <c r="I590" s="143"/>
      <c r="J590" s="143"/>
      <c r="K590" s="143"/>
      <c r="L590" s="143"/>
      <c r="X590" s="213"/>
      <c r="Y590" s="213"/>
      <c r="Z590" s="213"/>
      <c r="AA590" s="213"/>
      <c r="AB590" s="213"/>
      <c r="AC590" s="213"/>
      <c r="AD590" s="213"/>
      <c r="AE590" s="213"/>
      <c r="AG590" s="203"/>
      <c r="AH590" s="182"/>
      <c r="AI590" s="126"/>
      <c r="AJ590" s="126"/>
      <c r="AK590" s="126"/>
      <c r="AL590" s="126"/>
      <c r="AM590" s="126"/>
      <c r="AN590" s="126"/>
      <c r="AO590" s="126"/>
      <c r="AP590" s="126"/>
      <c r="AQ590" s="170"/>
      <c r="AR590" s="170"/>
    </row>
    <row r="591" spans="1:64" s="168" customFormat="1" ht="14.25" customHeight="1">
      <c r="A591" s="143"/>
      <c r="B591" s="143"/>
      <c r="C591" s="143"/>
      <c r="D591" s="143"/>
      <c r="E591" s="143"/>
      <c r="F591" s="143"/>
      <c r="G591" s="143"/>
      <c r="H591" s="143"/>
      <c r="I591" s="143"/>
      <c r="J591" s="143"/>
      <c r="K591" s="143"/>
      <c r="L591" s="143"/>
      <c r="X591" s="213"/>
      <c r="Y591" s="213"/>
      <c r="Z591" s="213"/>
      <c r="AA591" s="213"/>
      <c r="AB591" s="213"/>
      <c r="AC591" s="213"/>
      <c r="AD591" s="213"/>
      <c r="AE591" s="213"/>
      <c r="AG591" s="203"/>
      <c r="AH591" s="217"/>
      <c r="AI591" s="169"/>
      <c r="AJ591" s="169"/>
      <c r="AK591" s="169"/>
      <c r="AL591" s="169"/>
      <c r="AM591" s="169"/>
      <c r="AN591" s="169"/>
      <c r="AO591" s="169"/>
      <c r="AP591" s="169"/>
      <c r="AQ591" s="170"/>
      <c r="AR591" s="170"/>
    </row>
    <row r="592" spans="1:64" s="168" customFormat="1" ht="14.25" customHeight="1">
      <c r="A592" s="143"/>
      <c r="B592" s="143"/>
      <c r="C592" s="143"/>
      <c r="D592" s="143"/>
      <c r="E592" s="143"/>
      <c r="F592" s="143"/>
      <c r="G592" s="143"/>
      <c r="H592" s="143"/>
      <c r="I592" s="143"/>
      <c r="J592" s="143"/>
      <c r="K592" s="143"/>
      <c r="L592" s="143"/>
      <c r="X592" s="213"/>
      <c r="Y592" s="213"/>
      <c r="Z592" s="213"/>
      <c r="AA592" s="213"/>
      <c r="AB592" s="213"/>
      <c r="AC592" s="213"/>
      <c r="AD592" s="213"/>
      <c r="AE592" s="213"/>
      <c r="AG592" s="203"/>
      <c r="AH592" s="204"/>
      <c r="AI592" s="213"/>
      <c r="AJ592" s="213"/>
      <c r="AK592" s="213"/>
      <c r="AL592" s="213"/>
      <c r="AM592" s="213"/>
      <c r="AN592" s="170"/>
      <c r="AO592" s="170"/>
      <c r="AP592" s="170"/>
      <c r="AQ592" s="170"/>
      <c r="AR592" s="170"/>
    </row>
    <row r="593" spans="1:64" s="168" customFormat="1" ht="14.25" customHeight="1">
      <c r="A593" s="143"/>
      <c r="B593" s="143"/>
      <c r="C593" s="143"/>
      <c r="D593" s="143"/>
      <c r="E593" s="143"/>
      <c r="F593" s="143"/>
      <c r="G593" s="143"/>
      <c r="H593" s="143"/>
      <c r="I593" s="143"/>
      <c r="J593" s="143"/>
      <c r="K593" s="143"/>
      <c r="L593" s="143"/>
      <c r="X593" s="213"/>
      <c r="Y593" s="213"/>
      <c r="Z593" s="213"/>
      <c r="AA593" s="213"/>
      <c r="AB593" s="213"/>
      <c r="AC593" s="213"/>
      <c r="AD593" s="213"/>
      <c r="AE593" s="213"/>
      <c r="AG593" s="203"/>
      <c r="AH593" s="204"/>
      <c r="AI593" s="169"/>
      <c r="AJ593" s="169"/>
      <c r="AK593" s="169"/>
      <c r="AL593" s="169"/>
      <c r="AM593" s="169"/>
      <c r="AN593" s="170"/>
      <c r="AO593" s="170"/>
      <c r="AP593" s="170"/>
      <c r="AQ593" s="170"/>
      <c r="AR593" s="170"/>
    </row>
    <row r="594" spans="1:64" s="168" customFormat="1" ht="14.25" customHeight="1">
      <c r="A594" s="143"/>
      <c r="B594" s="143"/>
      <c r="C594" s="143"/>
      <c r="D594" s="143"/>
      <c r="E594" s="143"/>
      <c r="F594" s="143"/>
      <c r="G594" s="143"/>
      <c r="H594" s="143"/>
      <c r="I594" s="143"/>
      <c r="J594" s="143"/>
      <c r="K594" s="143"/>
      <c r="L594" s="143"/>
      <c r="X594" s="213"/>
      <c r="Y594" s="213"/>
      <c r="Z594" s="213"/>
      <c r="AA594" s="213"/>
      <c r="AB594" s="213"/>
      <c r="AC594" s="213"/>
      <c r="AD594" s="213"/>
      <c r="AE594" s="213"/>
      <c r="AG594" s="203"/>
      <c r="AH594" s="204"/>
      <c r="AI594" s="169"/>
      <c r="AJ594" s="169"/>
      <c r="AK594" s="169"/>
      <c r="AL594" s="169"/>
      <c r="AM594" s="169"/>
      <c r="AN594" s="170"/>
      <c r="AO594" s="170"/>
      <c r="AP594" s="170"/>
      <c r="AQ594" s="170"/>
      <c r="AR594" s="170"/>
    </row>
    <row r="595" spans="1:64" s="168" customFormat="1" ht="14.25" customHeight="1">
      <c r="A595" s="143"/>
      <c r="B595" s="143"/>
      <c r="C595" s="143"/>
      <c r="D595" s="143"/>
      <c r="E595" s="143"/>
      <c r="F595" s="143"/>
      <c r="G595" s="143"/>
      <c r="H595" s="143"/>
      <c r="I595" s="143"/>
      <c r="J595" s="143"/>
      <c r="K595" s="143"/>
      <c r="L595" s="143"/>
      <c r="X595" s="213"/>
      <c r="Y595" s="213"/>
      <c r="Z595" s="213"/>
      <c r="AA595" s="213"/>
      <c r="AB595" s="213"/>
      <c r="AC595" s="213"/>
      <c r="AD595" s="213"/>
      <c r="AE595" s="213"/>
      <c r="AG595" s="203"/>
      <c r="AH595" s="204"/>
      <c r="AI595" s="169"/>
      <c r="AJ595" s="169"/>
      <c r="AK595" s="169"/>
      <c r="AL595" s="169"/>
      <c r="AM595" s="169"/>
      <c r="AN595" s="170"/>
      <c r="AO595" s="170"/>
      <c r="AP595" s="170"/>
      <c r="AQ595" s="170"/>
      <c r="AR595" s="170"/>
    </row>
    <row r="596" spans="1:64" s="168" customFormat="1" ht="14.25" customHeight="1">
      <c r="A596" s="143"/>
      <c r="B596" s="143"/>
      <c r="C596" s="143"/>
      <c r="D596" s="143"/>
      <c r="E596" s="143"/>
      <c r="F596" s="143"/>
      <c r="G596" s="143"/>
      <c r="H596" s="143"/>
      <c r="I596" s="143"/>
      <c r="J596" s="143"/>
      <c r="K596" s="143"/>
      <c r="L596" s="143"/>
      <c r="X596" s="213"/>
      <c r="Y596" s="213"/>
      <c r="Z596" s="213"/>
      <c r="AA596" s="213"/>
      <c r="AB596" s="213"/>
      <c r="AC596" s="213"/>
      <c r="AD596" s="213"/>
      <c r="AE596" s="213"/>
      <c r="AG596" s="203"/>
      <c r="AH596" s="204"/>
      <c r="AI596" s="169"/>
      <c r="AJ596" s="169"/>
      <c r="AK596" s="169"/>
      <c r="AL596" s="169"/>
      <c r="AM596" s="169"/>
      <c r="AN596" s="170"/>
      <c r="AO596" s="170"/>
      <c r="AP596" s="170"/>
      <c r="AQ596" s="170"/>
      <c r="AR596" s="170"/>
    </row>
    <row r="597" spans="1:64" s="168" customFormat="1" ht="14.25" customHeight="1">
      <c r="A597" s="143"/>
      <c r="B597" s="143"/>
      <c r="C597" s="143"/>
      <c r="D597" s="143"/>
      <c r="E597" s="143"/>
      <c r="F597" s="143"/>
      <c r="G597" s="143"/>
      <c r="H597" s="143"/>
      <c r="I597" s="143"/>
      <c r="J597" s="143"/>
      <c r="K597" s="143"/>
      <c r="L597" s="143"/>
      <c r="X597" s="213"/>
      <c r="Y597" s="213"/>
      <c r="Z597" s="213"/>
      <c r="AA597" s="213"/>
      <c r="AB597" s="213"/>
      <c r="AC597" s="213"/>
      <c r="AD597" s="213"/>
      <c r="AE597" s="213"/>
      <c r="AG597" s="203"/>
      <c r="AH597" s="204"/>
      <c r="AI597" s="169"/>
      <c r="AJ597" s="169"/>
      <c r="AK597" s="169"/>
      <c r="AL597" s="169"/>
      <c r="AM597" s="169"/>
      <c r="AN597" s="170"/>
      <c r="AO597" s="170"/>
      <c r="AP597" s="170"/>
      <c r="AQ597" s="170"/>
      <c r="AR597" s="170"/>
    </row>
    <row r="598" spans="1:64" s="168" customFormat="1" ht="14.25" customHeight="1">
      <c r="A598" s="143"/>
      <c r="B598" s="143"/>
      <c r="C598" s="143"/>
      <c r="D598" s="143"/>
      <c r="E598" s="143"/>
      <c r="F598" s="143"/>
      <c r="G598" s="143"/>
      <c r="H598" s="143"/>
      <c r="I598" s="143"/>
      <c r="J598" s="143"/>
      <c r="K598" s="143"/>
      <c r="L598" s="143"/>
      <c r="X598" s="213"/>
      <c r="Y598" s="213"/>
      <c r="Z598" s="213"/>
      <c r="AA598" s="213"/>
      <c r="AB598" s="213"/>
      <c r="AC598" s="213"/>
      <c r="AD598" s="213"/>
      <c r="AE598" s="213"/>
      <c r="AG598" s="203"/>
      <c r="AH598" s="204"/>
      <c r="AI598" s="169"/>
      <c r="AJ598" s="169"/>
      <c r="AK598" s="169"/>
      <c r="AL598" s="169"/>
      <c r="AM598" s="169"/>
      <c r="AN598" s="170"/>
      <c r="AO598" s="170"/>
      <c r="AP598" s="170"/>
      <c r="AQ598" s="170"/>
      <c r="AR598" s="170"/>
    </row>
    <row r="599" spans="1:64" s="168" customFormat="1" ht="14.25" customHeight="1">
      <c r="A599" s="143">
        <f>A569+1</f>
        <v>20</v>
      </c>
      <c r="B599" s="143"/>
      <c r="C599" s="187" t="str">
        <f>IF($A$1 = 1, (IF("("&amp;C609&amp;")" ="()","","("&amp;C609&amp;")")), (IF("("&amp;C614&amp;")     ("&amp;C609&amp;")"="()     ()","","("&amp;C614&amp;")     ("&amp;C609&amp;")")))</f>
        <v>(4)     (5)</v>
      </c>
      <c r="D599" s="187" t="str">
        <f t="shared" ref="D599:J599" si="58">IF($A$1 = 1, (IF("("&amp;D609&amp;")" ="()","","("&amp;D609&amp;")")), (IF("("&amp;D614&amp;")     ("&amp;D609&amp;")"="()     ()","","("&amp;D614&amp;")     ("&amp;D609&amp;")")))</f>
        <v/>
      </c>
      <c r="E599" s="187" t="str">
        <f t="shared" si="58"/>
        <v/>
      </c>
      <c r="F599" s="187" t="str">
        <f t="shared" si="58"/>
        <v/>
      </c>
      <c r="G599" s="187" t="str">
        <f t="shared" si="58"/>
        <v/>
      </c>
      <c r="H599" s="187" t="str">
        <f t="shared" si="58"/>
        <v/>
      </c>
      <c r="I599" s="187" t="str">
        <f t="shared" si="58"/>
        <v/>
      </c>
      <c r="J599" s="187" t="str">
        <f t="shared" si="58"/>
        <v/>
      </c>
      <c r="K599" s="166"/>
      <c r="L599" s="166"/>
      <c r="M599" s="170"/>
      <c r="N599" s="170"/>
      <c r="O599" s="170"/>
      <c r="P599" s="170"/>
      <c r="Q599" s="170"/>
      <c r="R599" s="170"/>
      <c r="S599" s="170"/>
      <c r="T599" s="170"/>
      <c r="U599" s="170"/>
      <c r="V599" s="170"/>
      <c r="W599" s="170"/>
      <c r="X599" s="213"/>
      <c r="Y599" s="213"/>
      <c r="Z599" s="213"/>
      <c r="AA599" s="213"/>
      <c r="AB599" s="213"/>
      <c r="AC599" s="213"/>
      <c r="AD599" s="213"/>
      <c r="AE599" s="213"/>
      <c r="AG599" s="203"/>
      <c r="AH599" s="204"/>
      <c r="AI599" s="169"/>
      <c r="AJ599" s="169"/>
      <c r="AK599" s="169"/>
      <c r="AL599" s="169"/>
      <c r="AM599" s="169"/>
      <c r="AN599" s="170"/>
      <c r="AO599" s="170"/>
      <c r="AP599" s="170"/>
      <c r="AQ599" s="170"/>
      <c r="AR599" s="170"/>
    </row>
    <row r="600" spans="1:64" s="168" customFormat="1" ht="59.1" customHeight="1">
      <c r="A600" s="143"/>
      <c r="B600" s="177"/>
      <c r="C600" s="178" t="s">
        <v>864</v>
      </c>
      <c r="D600" s="178"/>
      <c r="E600" s="178"/>
      <c r="F600" s="178"/>
      <c r="G600" s="178"/>
      <c r="H600" s="178"/>
      <c r="I600" s="178"/>
      <c r="J600" s="178"/>
      <c r="K600" s="178"/>
      <c r="L600" s="178"/>
      <c r="M600" s="208"/>
      <c r="N600" s="208"/>
      <c r="O600" s="208"/>
      <c r="P600" s="208"/>
      <c r="Q600" s="208"/>
      <c r="R600" s="208"/>
      <c r="S600" s="208"/>
      <c r="T600" s="208"/>
      <c r="U600" s="208"/>
      <c r="V600" s="208"/>
      <c r="W600" s="208"/>
      <c r="X600" s="210"/>
      <c r="Y600" s="210"/>
      <c r="Z600" s="210"/>
      <c r="AA600" s="210"/>
      <c r="AB600" s="210"/>
      <c r="AC600" s="210"/>
      <c r="AD600" s="210"/>
      <c r="AE600" s="210"/>
      <c r="AF600" s="210"/>
      <c r="AG600" s="210"/>
      <c r="AH600" s="210"/>
      <c r="AI600" s="210"/>
      <c r="AJ600" s="210"/>
      <c r="AK600" s="210"/>
      <c r="AL600" s="210"/>
      <c r="AM600" s="210"/>
      <c r="AN600" s="210"/>
      <c r="AO600" s="216"/>
      <c r="AP600" s="216"/>
      <c r="AQ600" s="216"/>
      <c r="AR600" s="216"/>
      <c r="AS600" s="216"/>
      <c r="AT600" s="216"/>
      <c r="AU600" s="216"/>
      <c r="AV600" s="216"/>
      <c r="AW600" s="216"/>
      <c r="AX600" s="210"/>
      <c r="AY600" s="216"/>
      <c r="AZ600" s="216"/>
      <c r="BA600" s="216"/>
      <c r="BB600" s="216"/>
      <c r="BC600" s="216"/>
      <c r="BD600" s="216"/>
      <c r="BE600" s="216"/>
      <c r="BF600" s="216"/>
      <c r="BG600" s="216"/>
      <c r="BH600" s="216"/>
      <c r="BI600" s="216"/>
      <c r="BJ600" s="210"/>
      <c r="BK600" s="210"/>
      <c r="BL600" s="210"/>
    </row>
    <row r="601" spans="1:64" s="168" customFormat="1" ht="18" customHeight="1" thickBot="1">
      <c r="A601" s="143"/>
      <c r="B601" s="181" t="s">
        <v>3</v>
      </c>
      <c r="C601" s="148" t="s">
        <v>443</v>
      </c>
      <c r="D601" s="148"/>
      <c r="E601" s="148"/>
      <c r="F601" s="148"/>
      <c r="G601" s="148"/>
      <c r="H601" s="148"/>
      <c r="I601" s="148"/>
      <c r="J601" s="148"/>
      <c r="K601" s="148"/>
      <c r="L601" s="148"/>
      <c r="M601" s="211"/>
      <c r="N601" s="211"/>
      <c r="O601" s="211"/>
      <c r="P601" s="211"/>
      <c r="Q601" s="211"/>
      <c r="R601" s="211"/>
      <c r="S601" s="211"/>
      <c r="T601" s="211"/>
      <c r="U601" s="211"/>
      <c r="V601" s="211"/>
      <c r="W601" s="211"/>
      <c r="AO601" s="213"/>
      <c r="AP601" s="213"/>
      <c r="AQ601" s="213"/>
      <c r="AR601" s="213"/>
      <c r="AS601" s="213"/>
      <c r="AT601" s="213"/>
      <c r="AU601" s="213"/>
      <c r="AV601" s="213"/>
      <c r="AW601" s="213"/>
      <c r="AY601" s="213"/>
      <c r="AZ601" s="213"/>
      <c r="BA601" s="213"/>
      <c r="BB601" s="213"/>
      <c r="BC601" s="213"/>
      <c r="BD601" s="213"/>
      <c r="BE601" s="213"/>
      <c r="BF601" s="213"/>
      <c r="BG601" s="213"/>
      <c r="BH601" s="213"/>
      <c r="BI601" s="213"/>
    </row>
    <row r="602" spans="1:64" s="168" customFormat="1" ht="18" customHeight="1" thickBot="1">
      <c r="A602" s="143"/>
      <c r="B602" s="182" t="s">
        <v>18</v>
      </c>
      <c r="C602" s="148" t="s">
        <v>443</v>
      </c>
      <c r="D602" s="148"/>
      <c r="E602" s="148"/>
      <c r="F602" s="148"/>
      <c r="G602" s="148"/>
      <c r="H602" s="148"/>
      <c r="I602" s="148"/>
      <c r="J602" s="148"/>
      <c r="K602" s="148"/>
      <c r="L602" s="148"/>
      <c r="M602" s="145"/>
      <c r="N602" s="145"/>
      <c r="O602" s="145"/>
      <c r="P602" s="145"/>
      <c r="Q602" s="145"/>
      <c r="R602" s="145"/>
      <c r="S602" s="145"/>
      <c r="T602" s="145"/>
      <c r="U602" s="145"/>
      <c r="V602" s="145"/>
      <c r="W602" s="145"/>
      <c r="AO602" s="213"/>
      <c r="AP602" s="213"/>
      <c r="AQ602" s="213"/>
      <c r="AR602" s="213"/>
      <c r="AS602" s="213"/>
      <c r="AT602" s="213"/>
      <c r="AU602" s="213"/>
      <c r="AV602" s="213"/>
      <c r="AW602" s="213"/>
      <c r="AY602" s="213"/>
      <c r="AZ602" s="213"/>
      <c r="BA602" s="213"/>
      <c r="BB602" s="213"/>
      <c r="BC602" s="213"/>
      <c r="BD602" s="213"/>
      <c r="BE602" s="213"/>
      <c r="BF602" s="213"/>
      <c r="BG602" s="213"/>
      <c r="BH602" s="213"/>
      <c r="BI602" s="213"/>
    </row>
    <row r="603" spans="1:64" s="168" customFormat="1" ht="18" customHeight="1" thickBot="1">
      <c r="A603" s="143"/>
      <c r="B603" s="183" t="s">
        <v>32</v>
      </c>
      <c r="C603" s="147" t="s">
        <v>443</v>
      </c>
      <c r="D603" s="147"/>
      <c r="E603" s="147"/>
      <c r="F603" s="147"/>
      <c r="G603" s="147"/>
      <c r="H603" s="147"/>
      <c r="I603" s="147"/>
      <c r="J603" s="147"/>
      <c r="K603" s="147"/>
      <c r="L603" s="147"/>
      <c r="M603" s="145"/>
      <c r="N603" s="145"/>
      <c r="O603" s="145"/>
      <c r="P603" s="145"/>
      <c r="Q603" s="145"/>
      <c r="R603" s="145"/>
      <c r="S603" s="145"/>
      <c r="T603" s="145"/>
      <c r="U603" s="145"/>
      <c r="V603" s="145"/>
      <c r="W603" s="145"/>
      <c r="AO603" s="213"/>
      <c r="AP603" s="213"/>
      <c r="AQ603" s="213"/>
      <c r="AR603" s="213"/>
      <c r="AS603" s="213"/>
      <c r="AT603" s="213"/>
      <c r="AU603" s="213"/>
      <c r="AV603" s="213"/>
      <c r="AW603" s="213"/>
      <c r="AY603" s="213"/>
      <c r="AZ603" s="213"/>
      <c r="BA603" s="213"/>
      <c r="BB603" s="213"/>
      <c r="BC603" s="213"/>
      <c r="BD603" s="213"/>
      <c r="BE603" s="213"/>
      <c r="BF603" s="213"/>
      <c r="BG603" s="213"/>
      <c r="BH603" s="213"/>
    </row>
    <row r="604" spans="1:64" s="168" customFormat="1" ht="18" customHeight="1" thickBot="1">
      <c r="A604" s="143"/>
      <c r="B604" s="182" t="s">
        <v>45</v>
      </c>
      <c r="C604" s="145" t="s">
        <v>443</v>
      </c>
      <c r="D604" s="145"/>
      <c r="E604" s="145"/>
      <c r="F604" s="145"/>
      <c r="G604" s="145"/>
      <c r="H604" s="145"/>
      <c r="I604" s="145"/>
      <c r="J604" s="145"/>
      <c r="K604" s="145"/>
      <c r="L604" s="145"/>
      <c r="M604" s="145"/>
      <c r="N604" s="145"/>
      <c r="O604" s="145"/>
      <c r="P604" s="145"/>
      <c r="Q604" s="145"/>
      <c r="R604" s="145"/>
      <c r="S604" s="145"/>
      <c r="T604" s="145"/>
      <c r="U604" s="145"/>
      <c r="V604" s="145"/>
      <c r="W604" s="145"/>
      <c r="AO604" s="213"/>
      <c r="AP604" s="213"/>
      <c r="AQ604" s="213"/>
      <c r="AR604" s="213"/>
      <c r="AS604" s="213"/>
      <c r="AT604" s="213"/>
      <c r="AU604" s="213"/>
      <c r="AV604" s="213"/>
      <c r="AW604" s="213"/>
      <c r="AY604" s="213"/>
      <c r="AZ604" s="213"/>
      <c r="BA604" s="213"/>
      <c r="BB604" s="213"/>
      <c r="BC604" s="213"/>
      <c r="BD604" s="213"/>
      <c r="BE604" s="213"/>
      <c r="BF604" s="213"/>
      <c r="BG604" s="213"/>
      <c r="BH604" s="213"/>
    </row>
    <row r="605" spans="1:64" s="168" customFormat="1" ht="18" customHeight="1" thickBot="1">
      <c r="A605" s="143"/>
      <c r="B605" s="184" t="s">
        <v>54</v>
      </c>
      <c r="C605" s="146" t="s">
        <v>443</v>
      </c>
      <c r="D605" s="146"/>
      <c r="E605" s="146"/>
      <c r="F605" s="146"/>
      <c r="G605" s="146"/>
      <c r="H605" s="146"/>
      <c r="I605" s="146"/>
      <c r="J605" s="146"/>
      <c r="K605" s="146"/>
      <c r="L605" s="146"/>
      <c r="M605" s="145"/>
      <c r="N605" s="145"/>
      <c r="O605" s="145"/>
      <c r="P605" s="145"/>
      <c r="Q605" s="145"/>
      <c r="R605" s="145"/>
      <c r="S605" s="145"/>
      <c r="T605" s="145"/>
      <c r="U605" s="145"/>
      <c r="V605" s="145"/>
      <c r="W605" s="145"/>
      <c r="AO605" s="213"/>
      <c r="AP605" s="213"/>
      <c r="AQ605" s="213"/>
      <c r="AR605" s="213"/>
      <c r="AS605" s="213"/>
      <c r="AT605" s="213"/>
      <c r="AU605" s="213"/>
      <c r="AV605" s="213"/>
      <c r="AW605" s="213"/>
      <c r="AY605" s="213"/>
      <c r="AZ605" s="213"/>
      <c r="BA605" s="213"/>
      <c r="BB605" s="213"/>
      <c r="BC605" s="213"/>
      <c r="BD605" s="213"/>
      <c r="BE605" s="213"/>
      <c r="BF605" s="213"/>
      <c r="BG605" s="213"/>
      <c r="BH605" s="213"/>
    </row>
    <row r="606" spans="1:64" s="168" customFormat="1">
      <c r="A606" s="143"/>
      <c r="B606" s="182" t="s">
        <v>66</v>
      </c>
      <c r="C606" s="145"/>
      <c r="D606" s="145"/>
      <c r="E606" s="145"/>
      <c r="F606" s="145"/>
      <c r="G606" s="145"/>
      <c r="H606" s="125"/>
      <c r="I606" s="125"/>
      <c r="J606" s="125"/>
      <c r="K606" s="125"/>
      <c r="L606" s="125"/>
      <c r="M606" s="145"/>
      <c r="N606" s="145"/>
      <c r="O606" s="145"/>
      <c r="P606" s="145"/>
      <c r="Q606" s="145"/>
      <c r="R606" s="145"/>
      <c r="S606" s="145"/>
      <c r="T606" s="145"/>
      <c r="U606" s="145"/>
      <c r="V606" s="145"/>
      <c r="W606" s="145"/>
      <c r="AO606" s="213"/>
      <c r="AP606" s="213"/>
      <c r="AQ606" s="213"/>
      <c r="AR606" s="213"/>
      <c r="AS606" s="213"/>
      <c r="AT606" s="213"/>
      <c r="AU606" s="213"/>
      <c r="AV606" s="213"/>
      <c r="AW606" s="213"/>
      <c r="AY606" s="213"/>
      <c r="AZ606" s="213"/>
      <c r="BA606" s="213"/>
      <c r="BB606" s="213"/>
      <c r="BC606" s="213"/>
      <c r="BD606" s="213"/>
      <c r="BE606" s="213"/>
      <c r="BF606" s="213"/>
      <c r="BG606" s="213"/>
      <c r="BH606" s="213"/>
    </row>
    <row r="607" spans="1:64" s="168" customFormat="1">
      <c r="A607" s="143"/>
      <c r="B607" s="182" t="s">
        <v>158</v>
      </c>
      <c r="C607" s="126" t="s">
        <v>443</v>
      </c>
      <c r="D607" s="126"/>
      <c r="E607" s="126"/>
      <c r="F607" s="126"/>
      <c r="G607" s="126"/>
      <c r="H607" s="126"/>
      <c r="I607" s="126"/>
      <c r="J607" s="126"/>
      <c r="K607" s="126"/>
      <c r="L607" s="126"/>
      <c r="M607" s="126"/>
      <c r="N607" s="126"/>
      <c r="O607" s="126"/>
      <c r="P607" s="126"/>
      <c r="Q607" s="126"/>
      <c r="R607" s="126"/>
      <c r="S607" s="126"/>
      <c r="T607" s="126"/>
      <c r="U607" s="126"/>
      <c r="V607" s="126"/>
      <c r="W607" s="126"/>
      <c r="AO607" s="213"/>
      <c r="AP607" s="213"/>
      <c r="AQ607" s="213"/>
      <c r="AR607" s="213"/>
      <c r="AS607" s="213"/>
      <c r="AT607" s="213"/>
      <c r="AU607" s="213"/>
      <c r="AV607" s="213"/>
      <c r="AW607" s="213"/>
      <c r="AY607" s="213"/>
      <c r="AZ607" s="213"/>
      <c r="BA607" s="213"/>
      <c r="BB607" s="213"/>
      <c r="BC607" s="213"/>
      <c r="BD607" s="213"/>
      <c r="BE607" s="213"/>
      <c r="BF607" s="213"/>
      <c r="BG607" s="213"/>
      <c r="BH607" s="213"/>
    </row>
    <row r="608" spans="1:64" s="168" customFormat="1">
      <c r="A608" s="143"/>
      <c r="B608" s="182" t="s">
        <v>191</v>
      </c>
      <c r="C608" s="127">
        <v>69</v>
      </c>
      <c r="D608" s="127"/>
      <c r="E608" s="127"/>
      <c r="F608" s="127"/>
      <c r="G608" s="127"/>
      <c r="H608" s="126"/>
      <c r="I608" s="126"/>
      <c r="J608" s="126"/>
      <c r="K608" s="126"/>
      <c r="L608" s="126"/>
      <c r="M608" s="126"/>
      <c r="N608" s="126"/>
      <c r="O608" s="126"/>
      <c r="P608" s="126"/>
      <c r="Q608" s="126"/>
      <c r="R608" s="126"/>
      <c r="S608" s="126"/>
      <c r="T608" s="126"/>
      <c r="U608" s="126"/>
      <c r="V608" s="126"/>
      <c r="W608" s="126"/>
      <c r="AO608" s="214"/>
      <c r="AP608" s="214"/>
      <c r="AQ608" s="214"/>
      <c r="AR608" s="214"/>
      <c r="AS608" s="214"/>
      <c r="AT608" s="213"/>
      <c r="AU608" s="213"/>
      <c r="AV608" s="213"/>
      <c r="AW608" s="213"/>
      <c r="AY608" s="213"/>
      <c r="AZ608" s="213"/>
      <c r="BA608" s="213"/>
      <c r="BB608" s="213"/>
      <c r="BC608" s="213"/>
      <c r="BD608" s="213"/>
      <c r="BE608" s="213"/>
      <c r="BF608" s="213"/>
      <c r="BG608" s="213"/>
      <c r="BH608" s="213"/>
    </row>
    <row r="609" spans="1:64" s="212" customFormat="1" ht="15" thickBot="1">
      <c r="A609" s="143"/>
      <c r="B609" s="182" t="s">
        <v>442</v>
      </c>
      <c r="C609" s="126">
        <v>5</v>
      </c>
      <c r="D609" s="315"/>
      <c r="E609" s="315"/>
      <c r="F609" s="315"/>
      <c r="G609" s="315"/>
      <c r="H609" s="315"/>
      <c r="I609" s="315"/>
      <c r="J609" s="315"/>
      <c r="K609" s="315"/>
      <c r="L609" s="315"/>
      <c r="M609" s="126"/>
      <c r="N609" s="126"/>
      <c r="O609" s="126"/>
      <c r="P609" s="126"/>
      <c r="Q609" s="126"/>
      <c r="R609" s="126"/>
      <c r="S609" s="126"/>
      <c r="T609" s="126"/>
      <c r="U609" s="126"/>
      <c r="V609" s="126"/>
      <c r="W609" s="126"/>
      <c r="X609" s="168"/>
      <c r="Y609" s="168"/>
      <c r="Z609" s="168"/>
      <c r="AA609" s="168"/>
      <c r="AB609" s="168"/>
      <c r="AC609" s="168"/>
      <c r="AD609" s="168"/>
      <c r="AE609" s="168"/>
      <c r="AF609" s="168"/>
      <c r="AG609" s="168"/>
      <c r="AH609" s="168"/>
      <c r="AI609" s="168"/>
      <c r="AJ609" s="168"/>
      <c r="AK609" s="168"/>
      <c r="AL609" s="168"/>
      <c r="AM609" s="168"/>
      <c r="AN609" s="168"/>
      <c r="AO609" s="213"/>
      <c r="AP609" s="213"/>
      <c r="AQ609" s="213"/>
      <c r="AR609" s="213"/>
      <c r="AS609" s="213"/>
      <c r="AT609" s="213"/>
      <c r="AU609" s="213"/>
      <c r="AV609" s="213"/>
      <c r="AW609" s="213"/>
      <c r="AX609" s="168"/>
      <c r="AY609" s="213"/>
      <c r="AZ609" s="213"/>
      <c r="BA609" s="213"/>
      <c r="BB609" s="213"/>
      <c r="BC609" s="213"/>
      <c r="BD609" s="213"/>
      <c r="BE609" s="213"/>
      <c r="BF609" s="213"/>
      <c r="BG609" s="213"/>
      <c r="BH609" s="213"/>
      <c r="BI609" s="168"/>
      <c r="BJ609" s="168"/>
      <c r="BK609" s="168"/>
      <c r="BL609" s="168"/>
    </row>
    <row r="610" spans="1:64" s="210" customFormat="1">
      <c r="A610" s="174"/>
      <c r="B610" s="338" t="s">
        <v>166</v>
      </c>
      <c r="C610" s="316" t="str">
        <f>IF(OR(C613="**",C613=""),"",VALUE(C613))</f>
        <v/>
      </c>
      <c r="D610" s="316" t="str">
        <f t="shared" ref="D610:J610" si="59">IF(OR(D613="**",D613=""),"",VALUE(D613))</f>
        <v/>
      </c>
      <c r="E610" s="316" t="str">
        <f t="shared" si="59"/>
        <v/>
      </c>
      <c r="F610" s="316" t="str">
        <f t="shared" si="59"/>
        <v/>
      </c>
      <c r="G610" s="316" t="str">
        <f t="shared" si="59"/>
        <v/>
      </c>
      <c r="H610" s="316" t="str">
        <f t="shared" si="59"/>
        <v/>
      </c>
      <c r="I610" s="316" t="str">
        <f t="shared" si="59"/>
        <v/>
      </c>
      <c r="J610" s="316" t="str">
        <f t="shared" si="59"/>
        <v/>
      </c>
      <c r="K610" s="316"/>
      <c r="L610" s="316"/>
      <c r="M610" s="126"/>
      <c r="N610" s="126"/>
      <c r="O610" s="126"/>
      <c r="P610" s="126"/>
      <c r="Q610" s="126"/>
      <c r="R610" s="126"/>
      <c r="S610" s="126"/>
      <c r="T610" s="126"/>
      <c r="U610" s="126"/>
      <c r="V610" s="126"/>
      <c r="W610" s="126"/>
      <c r="X610" s="168"/>
      <c r="Y610" s="168"/>
      <c r="Z610" s="168"/>
      <c r="AA610" s="168"/>
      <c r="AB610" s="168"/>
      <c r="AC610" s="168"/>
      <c r="AD610" s="168"/>
      <c r="AE610" s="168"/>
      <c r="AF610" s="168"/>
      <c r="AG610" s="168"/>
      <c r="AH610" s="168"/>
      <c r="AI610" s="168"/>
      <c r="AJ610" s="168"/>
      <c r="AK610" s="168"/>
      <c r="AL610" s="168"/>
      <c r="AM610" s="168"/>
      <c r="AN610" s="168"/>
      <c r="AO610" s="213"/>
      <c r="AP610" s="213"/>
      <c r="AQ610" s="213"/>
      <c r="AR610" s="213"/>
      <c r="AS610" s="213"/>
      <c r="AT610" s="213"/>
      <c r="AU610" s="213"/>
      <c r="AV610" s="213"/>
      <c r="AW610" s="213"/>
      <c r="AX610" s="168"/>
      <c r="AY610" s="213"/>
      <c r="AZ610" s="213"/>
      <c r="BA610" s="213"/>
      <c r="BB610" s="213"/>
      <c r="BC610" s="213"/>
      <c r="BD610" s="213"/>
      <c r="BE610" s="213"/>
      <c r="BF610" s="213"/>
      <c r="BG610" s="213"/>
      <c r="BH610" s="213"/>
      <c r="BI610" s="168"/>
      <c r="BJ610" s="168"/>
      <c r="BK610" s="168"/>
      <c r="BL610" s="168"/>
    </row>
    <row r="611" spans="1:64" s="168" customFormat="1" ht="15" thickBot="1">
      <c r="A611" s="179"/>
      <c r="B611" s="339" t="s">
        <v>165</v>
      </c>
      <c r="C611" s="317" t="str">
        <f t="shared" ref="C611:J611" si="60">IF(OR(C607="**",C607=""),"",VALUE(C607))</f>
        <v/>
      </c>
      <c r="D611" s="317" t="str">
        <f t="shared" si="60"/>
        <v/>
      </c>
      <c r="E611" s="317" t="str">
        <f t="shared" si="60"/>
        <v/>
      </c>
      <c r="F611" s="317" t="str">
        <f t="shared" si="60"/>
        <v/>
      </c>
      <c r="G611" s="317" t="str">
        <f t="shared" si="60"/>
        <v/>
      </c>
      <c r="H611" s="317" t="str">
        <f t="shared" si="60"/>
        <v/>
      </c>
      <c r="I611" s="317" t="str">
        <f t="shared" si="60"/>
        <v/>
      </c>
      <c r="J611" s="317" t="str">
        <f t="shared" si="60"/>
        <v/>
      </c>
      <c r="K611" s="317"/>
      <c r="L611" s="317"/>
      <c r="M611" s="169"/>
      <c r="N611" s="169"/>
      <c r="O611" s="169"/>
      <c r="P611" s="169"/>
      <c r="Q611" s="169"/>
      <c r="R611" s="169"/>
      <c r="S611" s="169"/>
      <c r="T611" s="169"/>
      <c r="U611" s="169"/>
      <c r="V611" s="169"/>
      <c r="W611" s="169"/>
      <c r="AO611" s="169"/>
      <c r="AP611" s="169"/>
      <c r="AQ611" s="169"/>
      <c r="AR611" s="169"/>
      <c r="AS611" s="169"/>
      <c r="AT611" s="169"/>
      <c r="AU611" s="169"/>
      <c r="AV611" s="169"/>
      <c r="AW611" s="213"/>
      <c r="AX611" s="213"/>
      <c r="AY611" s="213"/>
      <c r="AZ611" s="213"/>
      <c r="BA611" s="213"/>
      <c r="BB611" s="213"/>
      <c r="BC611" s="213"/>
      <c r="BD611" s="213"/>
      <c r="BE611" s="213"/>
      <c r="BF611" s="213"/>
      <c r="BG611" s="213"/>
      <c r="BH611" s="213"/>
    </row>
    <row r="612" spans="1:64" s="168" customFormat="1">
      <c r="A612" s="143"/>
      <c r="B612" s="340" t="s">
        <v>483</v>
      </c>
      <c r="C612" s="167" t="s">
        <v>930</v>
      </c>
      <c r="D612" s="167"/>
      <c r="E612" s="167"/>
      <c r="F612" s="167"/>
      <c r="G612" s="167"/>
      <c r="H612" s="166"/>
      <c r="I612" s="166"/>
      <c r="J612" s="166"/>
      <c r="K612" s="166"/>
      <c r="L612" s="166"/>
      <c r="X612" s="213"/>
      <c r="Y612" s="213"/>
      <c r="Z612" s="213"/>
      <c r="AA612" s="213"/>
      <c r="AB612" s="213"/>
      <c r="AC612" s="213"/>
      <c r="AE612" s="182"/>
      <c r="AF612" s="145"/>
      <c r="AG612" s="145"/>
      <c r="AH612" s="145"/>
      <c r="AI612" s="145"/>
      <c r="AJ612" s="145"/>
      <c r="AK612" s="145"/>
      <c r="AL612" s="145"/>
      <c r="AM612" s="145"/>
      <c r="AN612" s="170"/>
      <c r="AO612" s="170"/>
    </row>
    <row r="613" spans="1:64" s="168" customFormat="1">
      <c r="A613" s="143"/>
      <c r="B613" s="182" t="s">
        <v>158</v>
      </c>
      <c r="C613" s="165" t="s">
        <v>443</v>
      </c>
      <c r="D613" s="165"/>
      <c r="E613" s="165"/>
      <c r="F613" s="165"/>
      <c r="G613" s="165"/>
      <c r="H613" s="166"/>
      <c r="I613" s="166"/>
      <c r="J613" s="166"/>
      <c r="K613" s="166"/>
      <c r="L613" s="166"/>
      <c r="M613" s="213"/>
      <c r="N613" s="213"/>
      <c r="O613" s="213"/>
      <c r="P613" s="213"/>
      <c r="Q613" s="213"/>
      <c r="R613" s="213"/>
      <c r="S613" s="213"/>
      <c r="T613" s="213"/>
      <c r="U613" s="213"/>
      <c r="V613" s="213"/>
      <c r="W613" s="213"/>
      <c r="X613" s="213"/>
      <c r="Y613" s="213"/>
      <c r="Z613" s="213"/>
      <c r="AA613" s="213"/>
      <c r="AC613" s="182"/>
      <c r="AD613" s="145"/>
      <c r="AE613" s="145"/>
      <c r="AF613" s="145"/>
      <c r="AG613" s="145"/>
      <c r="AH613" s="145"/>
      <c r="AI613" s="145"/>
      <c r="AJ613" s="145"/>
      <c r="AK613" s="145"/>
      <c r="AL613" s="170"/>
      <c r="AM613" s="170"/>
    </row>
    <row r="614" spans="1:64" s="168" customFormat="1">
      <c r="A614" s="143"/>
      <c r="B614" s="340" t="s">
        <v>442</v>
      </c>
      <c r="C614" s="165">
        <v>4</v>
      </c>
      <c r="D614" s="165"/>
      <c r="E614" s="165"/>
      <c r="F614" s="165"/>
      <c r="G614" s="165"/>
      <c r="H614" s="165"/>
      <c r="I614" s="165"/>
      <c r="J614" s="165"/>
      <c r="K614" s="165"/>
      <c r="L614" s="165"/>
      <c r="M614" s="213"/>
      <c r="N614" s="213"/>
      <c r="O614" s="213"/>
      <c r="P614" s="213"/>
      <c r="Q614" s="213"/>
      <c r="R614" s="213"/>
      <c r="S614" s="213"/>
      <c r="T614" s="213"/>
      <c r="U614" s="213"/>
      <c r="V614" s="213"/>
      <c r="W614" s="213"/>
      <c r="X614" s="213"/>
      <c r="Y614" s="213"/>
      <c r="AA614" s="182"/>
      <c r="AB614" s="145"/>
      <c r="AC614" s="145"/>
      <c r="AD614" s="145"/>
      <c r="AE614" s="145"/>
      <c r="AF614" s="145"/>
      <c r="AG614" s="145"/>
      <c r="AH614" s="145"/>
      <c r="AI614" s="145"/>
      <c r="AJ614" s="170"/>
      <c r="AK614" s="170"/>
    </row>
    <row r="615" spans="1:64" s="168" customFormat="1">
      <c r="A615" s="143"/>
      <c r="B615" s="143"/>
      <c r="C615" s="143"/>
      <c r="D615" s="167"/>
      <c r="E615" s="167"/>
      <c r="F615" s="167"/>
      <c r="G615" s="167"/>
      <c r="H615" s="167"/>
      <c r="I615" s="167"/>
      <c r="J615" s="167"/>
      <c r="K615" s="167"/>
      <c r="L615" s="167"/>
      <c r="M615" s="213"/>
      <c r="N615" s="213"/>
      <c r="O615" s="213"/>
      <c r="P615" s="213"/>
      <c r="Q615" s="213"/>
      <c r="R615" s="213"/>
      <c r="S615" s="213"/>
      <c r="T615" s="213"/>
      <c r="U615" s="213"/>
      <c r="V615" s="213"/>
      <c r="W615" s="213"/>
      <c r="Y615" s="182"/>
      <c r="Z615" s="145"/>
      <c r="AA615" s="145"/>
      <c r="AB615" s="145"/>
      <c r="AC615" s="145"/>
      <c r="AD615" s="145"/>
      <c r="AE615" s="145"/>
      <c r="AF615" s="145"/>
      <c r="AG615" s="145"/>
      <c r="AH615" s="170"/>
      <c r="AI615" s="170"/>
    </row>
    <row r="616" spans="1:64" s="213" customFormat="1">
      <c r="A616" s="143"/>
      <c r="B616" s="167"/>
      <c r="C616" s="167"/>
      <c r="D616" s="167"/>
      <c r="E616" s="167"/>
      <c r="F616" s="167"/>
      <c r="G616" s="167"/>
      <c r="H616" s="167"/>
      <c r="I616" s="167"/>
      <c r="J616" s="167"/>
      <c r="K616" s="167"/>
      <c r="L616" s="167"/>
      <c r="X616" s="145"/>
      <c r="Y616" s="145"/>
      <c r="Z616" s="145"/>
      <c r="AA616" s="145"/>
      <c r="AB616" s="145"/>
      <c r="AC616" s="145"/>
      <c r="AD616" s="145"/>
      <c r="AE616" s="145"/>
      <c r="AF616" s="170"/>
      <c r="AG616" s="170"/>
      <c r="AH616" s="168"/>
      <c r="AI616" s="168"/>
      <c r="AJ616" s="168"/>
      <c r="AK616" s="168"/>
      <c r="AL616" s="168"/>
      <c r="AM616" s="168"/>
      <c r="AN616" s="168"/>
      <c r="AO616" s="168"/>
      <c r="AP616" s="168"/>
      <c r="AQ616" s="168"/>
      <c r="AR616" s="168"/>
      <c r="AS616" s="168"/>
      <c r="AT616" s="168"/>
      <c r="AU616" s="168"/>
      <c r="AV616" s="168"/>
      <c r="AW616" s="168"/>
      <c r="AX616" s="168"/>
      <c r="AY616" s="168"/>
      <c r="AZ616" s="168"/>
      <c r="BA616" s="168"/>
      <c r="BB616" s="168"/>
      <c r="BC616" s="168"/>
      <c r="BD616" s="168"/>
      <c r="BE616" s="168"/>
      <c r="BF616" s="168"/>
      <c r="BG616" s="168"/>
      <c r="BH616" s="168"/>
    </row>
    <row r="617" spans="1:64" s="213" customFormat="1">
      <c r="A617" s="167"/>
      <c r="B617" s="167"/>
      <c r="C617" s="167"/>
      <c r="D617" s="167"/>
      <c r="E617" s="167"/>
      <c r="F617" s="167"/>
      <c r="G617" s="167"/>
      <c r="H617" s="167"/>
      <c r="I617" s="167"/>
      <c r="J617" s="167"/>
      <c r="K617" s="167"/>
      <c r="L617" s="167"/>
      <c r="X617" s="126"/>
      <c r="Y617" s="126"/>
      <c r="Z617" s="126"/>
      <c r="AA617" s="126"/>
      <c r="AB617" s="126"/>
      <c r="AC617" s="126"/>
      <c r="AD617" s="170"/>
      <c r="AE617" s="170"/>
      <c r="AF617" s="168"/>
      <c r="AG617" s="168"/>
      <c r="AH617" s="168"/>
      <c r="AI617" s="168"/>
      <c r="AJ617" s="168"/>
      <c r="AK617" s="168"/>
      <c r="AL617" s="168"/>
      <c r="AM617" s="168"/>
      <c r="AN617" s="168"/>
      <c r="AO617" s="168"/>
      <c r="AP617" s="168"/>
      <c r="AQ617" s="168"/>
      <c r="AR617" s="168"/>
      <c r="AS617" s="168"/>
      <c r="AT617" s="168"/>
      <c r="AU617" s="168"/>
      <c r="AV617" s="168"/>
      <c r="AW617" s="168"/>
      <c r="AX617" s="168"/>
      <c r="AY617" s="168"/>
      <c r="AZ617" s="168"/>
      <c r="BA617" s="168"/>
      <c r="BB617" s="168"/>
      <c r="BC617" s="168"/>
      <c r="BD617" s="168"/>
      <c r="BE617" s="168"/>
      <c r="BF617" s="168"/>
      <c r="BG617" s="168"/>
    </row>
    <row r="618" spans="1:64" s="214" customFormat="1" ht="14.25" customHeight="1">
      <c r="A618" s="167"/>
      <c r="B618" s="167"/>
      <c r="C618" s="167"/>
      <c r="D618" s="167"/>
      <c r="E618" s="167"/>
      <c r="F618" s="167"/>
      <c r="G618" s="143"/>
      <c r="H618" s="167"/>
      <c r="I618" s="167"/>
      <c r="J618" s="167"/>
      <c r="K618" s="167"/>
      <c r="L618" s="167"/>
      <c r="M618" s="213"/>
      <c r="N618" s="213"/>
      <c r="O618" s="213"/>
      <c r="P618" s="213"/>
      <c r="Q618" s="213"/>
      <c r="R618" s="213"/>
      <c r="S618" s="213"/>
      <c r="T618" s="213"/>
      <c r="U618" s="213"/>
      <c r="V618" s="213"/>
      <c r="W618" s="213"/>
      <c r="X618" s="127"/>
      <c r="Y618" s="127"/>
      <c r="Z618" s="127"/>
      <c r="AA618" s="127"/>
      <c r="AB618" s="218"/>
      <c r="AC618" s="218"/>
      <c r="AD618" s="219"/>
      <c r="AE618" s="219"/>
      <c r="AF618" s="219"/>
      <c r="AG618" s="219"/>
      <c r="AH618" s="219"/>
      <c r="AI618" s="168"/>
      <c r="AJ618" s="168"/>
      <c r="AK618" s="168"/>
      <c r="AL618" s="168"/>
      <c r="AM618" s="168"/>
      <c r="AN618" s="168"/>
      <c r="AO618" s="168"/>
      <c r="AP618" s="168"/>
      <c r="AQ618" s="168"/>
      <c r="AR618" s="168"/>
      <c r="AS618" s="168"/>
      <c r="AT618" s="168"/>
      <c r="AU618" s="168"/>
      <c r="AV618" s="168"/>
      <c r="AW618" s="168"/>
      <c r="AX618" s="168"/>
      <c r="AY618" s="168"/>
      <c r="AZ618" s="168"/>
      <c r="BA618" s="168"/>
      <c r="BB618" s="168"/>
      <c r="BC618" s="168"/>
      <c r="BD618" s="168"/>
      <c r="BE618" s="168"/>
    </row>
    <row r="619" spans="1:64" s="213" customFormat="1" ht="14.25" customHeight="1">
      <c r="A619" s="185" t="s">
        <v>183</v>
      </c>
      <c r="B619" s="185"/>
      <c r="C619" s="185"/>
      <c r="D619" s="185"/>
      <c r="E619" s="188"/>
      <c r="F619" s="185"/>
      <c r="G619" s="185"/>
      <c r="H619" s="185"/>
      <c r="I619" s="185"/>
      <c r="J619" s="185"/>
      <c r="K619" s="185"/>
      <c r="L619" s="185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126"/>
      <c r="Y619" s="126"/>
      <c r="Z619" s="170"/>
      <c r="AA619" s="170"/>
      <c r="AB619" s="168"/>
      <c r="AC619" s="168"/>
      <c r="AD619" s="168"/>
      <c r="AE619" s="168"/>
      <c r="AF619" s="168"/>
      <c r="AG619" s="168"/>
      <c r="AH619" s="168"/>
      <c r="AI619" s="168"/>
      <c r="AJ619" s="168"/>
      <c r="AK619" s="168"/>
      <c r="AL619" s="168"/>
      <c r="AM619" s="168"/>
      <c r="AN619" s="168"/>
      <c r="AO619" s="168"/>
      <c r="AP619" s="168"/>
      <c r="AQ619" s="168"/>
      <c r="AR619" s="168"/>
      <c r="AS619" s="168"/>
      <c r="AT619" s="168"/>
      <c r="AU619" s="168"/>
      <c r="AV619" s="168"/>
      <c r="AW619" s="168"/>
      <c r="AX619" s="168"/>
      <c r="AY619" s="168"/>
      <c r="AZ619" s="168"/>
      <c r="BA619" s="168"/>
      <c r="BB619" s="168"/>
      <c r="BC619" s="168"/>
    </row>
    <row r="620" spans="1:64" s="213" customFormat="1" ht="14.25" customHeight="1">
      <c r="A620" s="167">
        <v>1</v>
      </c>
      <c r="B620" s="167"/>
      <c r="C620" s="143"/>
      <c r="D620" s="167"/>
      <c r="E620" s="167"/>
      <c r="F620" s="167"/>
      <c r="G620" s="167"/>
      <c r="H620" s="167"/>
      <c r="I620" s="167"/>
      <c r="J620" s="167"/>
      <c r="K620" s="167"/>
      <c r="L620" s="167"/>
      <c r="X620" s="170"/>
      <c r="Y620" s="170"/>
      <c r="Z620" s="168"/>
      <c r="AA620" s="168"/>
      <c r="AB620" s="168"/>
      <c r="AC620" s="168"/>
      <c r="AD620" s="168"/>
      <c r="AE620" s="168"/>
      <c r="AF620" s="168"/>
      <c r="AG620" s="168"/>
      <c r="AH620" s="168"/>
      <c r="AI620" s="168"/>
      <c r="AJ620" s="168"/>
      <c r="AK620" s="168"/>
      <c r="AL620" s="168"/>
      <c r="AM620" s="168"/>
      <c r="AN620" s="168"/>
      <c r="AO620" s="168"/>
      <c r="AP620" s="168"/>
      <c r="AQ620" s="168"/>
      <c r="AR620" s="168"/>
      <c r="AS620" s="168"/>
      <c r="AT620" s="168"/>
      <c r="AU620" s="168"/>
      <c r="AV620" s="168"/>
      <c r="AW620" s="168"/>
      <c r="AX620" s="168"/>
      <c r="AY620" s="168"/>
      <c r="AZ620" s="168"/>
      <c r="BA620" s="168"/>
    </row>
    <row r="621" spans="1:64" s="213" customFormat="1" ht="14.25" customHeight="1">
      <c r="A621" s="143"/>
      <c r="B621" s="167"/>
      <c r="C621" s="167"/>
      <c r="D621" s="167"/>
      <c r="E621" s="167"/>
      <c r="F621" s="167"/>
      <c r="G621" s="167"/>
      <c r="H621" s="167"/>
      <c r="I621" s="167"/>
      <c r="J621" s="167"/>
      <c r="K621" s="167"/>
      <c r="L621" s="167"/>
      <c r="X621" s="168"/>
      <c r="Y621" s="168"/>
      <c r="Z621" s="168"/>
      <c r="AA621" s="168"/>
      <c r="AB621" s="168"/>
      <c r="AC621" s="168"/>
      <c r="AD621" s="168"/>
      <c r="AE621" s="168"/>
      <c r="AF621" s="168"/>
      <c r="AG621" s="168"/>
      <c r="AH621" s="168"/>
      <c r="AI621" s="168"/>
      <c r="AJ621" s="168"/>
      <c r="AK621" s="168"/>
      <c r="AL621" s="168"/>
      <c r="AM621" s="168"/>
      <c r="AN621" s="168"/>
      <c r="AO621" s="168"/>
      <c r="AP621" s="168"/>
      <c r="AQ621" s="168"/>
      <c r="AR621" s="168"/>
      <c r="AS621" s="168"/>
      <c r="AT621" s="168"/>
      <c r="AU621" s="168"/>
      <c r="AV621" s="168"/>
      <c r="AW621" s="168"/>
      <c r="AX621" s="168"/>
      <c r="AY621" s="168"/>
      <c r="AZ621" s="169"/>
      <c r="BA621" s="169"/>
      <c r="BB621" s="169"/>
      <c r="BC621" s="169"/>
      <c r="BD621" s="169"/>
      <c r="BE621" s="169"/>
      <c r="BF621" s="169"/>
      <c r="BG621" s="169"/>
    </row>
    <row r="622" spans="1:64" s="213" customFormat="1" ht="14.25" customHeight="1">
      <c r="A622" s="167"/>
      <c r="B622" s="167"/>
      <c r="C622" s="167"/>
      <c r="D622" s="167"/>
      <c r="E622" s="167"/>
      <c r="F622" s="167"/>
      <c r="G622" s="167"/>
      <c r="H622" s="167"/>
      <c r="I622" s="167"/>
      <c r="J622" s="167"/>
      <c r="K622" s="167"/>
      <c r="L622" s="167"/>
      <c r="X622" s="168"/>
      <c r="Y622" s="168"/>
      <c r="Z622" s="168"/>
      <c r="AA622" s="168"/>
      <c r="AB622" s="168"/>
      <c r="AC622" s="168"/>
      <c r="AD622" s="168"/>
      <c r="AE622" s="168"/>
      <c r="AF622" s="168"/>
      <c r="AG622" s="168"/>
      <c r="AH622" s="168"/>
      <c r="AI622" s="168"/>
      <c r="AJ622" s="168"/>
      <c r="AK622" s="168"/>
      <c r="AL622" s="168"/>
      <c r="AM622" s="168"/>
      <c r="AN622" s="168"/>
      <c r="AO622" s="168"/>
      <c r="AP622" s="168"/>
      <c r="AQ622" s="168"/>
      <c r="AR622" s="168"/>
      <c r="AS622" s="168"/>
      <c r="AT622" s="168"/>
      <c r="AU622" s="168"/>
      <c r="AV622" s="168"/>
      <c r="AW622" s="168"/>
    </row>
    <row r="623" spans="1:64" s="213" customFormat="1" ht="14.25" customHeight="1">
      <c r="A623" s="167"/>
      <c r="B623" s="167"/>
      <c r="C623" s="167"/>
      <c r="D623" s="167"/>
      <c r="E623" s="167"/>
      <c r="F623" s="167"/>
      <c r="G623" s="167"/>
      <c r="H623" s="143"/>
      <c r="I623" s="143"/>
      <c r="J623" s="143"/>
      <c r="K623" s="143"/>
      <c r="L623" s="143"/>
      <c r="M623" s="168"/>
      <c r="N623" s="168"/>
      <c r="O623" s="168"/>
      <c r="P623" s="168"/>
      <c r="Q623" s="168"/>
      <c r="R623" s="168"/>
      <c r="S623" s="168"/>
      <c r="T623" s="168"/>
      <c r="U623" s="168"/>
      <c r="V623" s="168"/>
      <c r="W623" s="168"/>
      <c r="X623" s="168"/>
      <c r="Y623" s="168"/>
      <c r="Z623" s="168"/>
      <c r="AA623" s="168"/>
      <c r="AB623" s="168"/>
      <c r="AC623" s="168"/>
      <c r="AD623" s="168"/>
      <c r="AE623" s="168"/>
      <c r="AF623" s="168"/>
      <c r="AG623" s="168"/>
      <c r="AH623" s="168"/>
      <c r="AI623" s="168"/>
      <c r="AJ623" s="168"/>
      <c r="AK623" s="168"/>
      <c r="AL623" s="168"/>
      <c r="AM623" s="168"/>
      <c r="AN623" s="168"/>
      <c r="AO623" s="168"/>
      <c r="AP623" s="168"/>
      <c r="AQ623" s="168"/>
      <c r="AR623" s="168"/>
      <c r="AS623" s="168"/>
      <c r="AT623" s="168"/>
      <c r="AU623" s="168"/>
    </row>
    <row r="624" spans="1:64" s="213" customFormat="1" ht="14.25" customHeight="1">
      <c r="A624" s="167"/>
      <c r="B624" s="167"/>
      <c r="C624" s="167"/>
      <c r="D624" s="167"/>
      <c r="E624" s="167"/>
      <c r="F624" s="143"/>
      <c r="G624" s="172"/>
      <c r="H624" s="165"/>
      <c r="I624" s="165"/>
      <c r="J624" s="165"/>
      <c r="K624" s="165"/>
      <c r="L624" s="165"/>
      <c r="M624" s="169"/>
      <c r="N624" s="169"/>
      <c r="O624" s="169"/>
      <c r="P624" s="169"/>
      <c r="Q624" s="169"/>
      <c r="R624" s="169"/>
      <c r="S624" s="169"/>
      <c r="T624" s="169"/>
      <c r="U624" s="169"/>
      <c r="V624" s="169"/>
      <c r="W624" s="169"/>
      <c r="X624" s="168"/>
      <c r="Y624" s="168"/>
      <c r="Z624" s="168"/>
      <c r="AA624" s="168"/>
      <c r="AB624" s="168"/>
      <c r="AC624" s="168"/>
      <c r="AD624" s="168"/>
      <c r="AE624" s="168"/>
      <c r="AF624" s="168"/>
      <c r="AG624" s="168"/>
      <c r="AH624" s="168"/>
      <c r="AI624" s="168"/>
      <c r="AJ624" s="168"/>
      <c r="AK624" s="168"/>
      <c r="AL624" s="168"/>
      <c r="AM624" s="168"/>
      <c r="AN624" s="168"/>
      <c r="AO624" s="168"/>
      <c r="AP624" s="168"/>
      <c r="AQ624" s="168"/>
      <c r="AR624" s="168"/>
      <c r="AS624" s="168"/>
    </row>
    <row r="625" spans="1:64" s="213" customFormat="1" ht="14.25" customHeight="1">
      <c r="A625" s="167"/>
      <c r="B625" s="167"/>
      <c r="C625" s="167"/>
      <c r="D625" s="143"/>
      <c r="E625" s="172"/>
      <c r="F625" s="165"/>
      <c r="G625" s="165"/>
      <c r="H625" s="165"/>
      <c r="I625" s="165"/>
      <c r="J625" s="165"/>
      <c r="K625" s="165"/>
      <c r="L625" s="165"/>
      <c r="M625" s="169"/>
      <c r="N625" s="169"/>
      <c r="O625" s="169"/>
      <c r="P625" s="169"/>
      <c r="Q625" s="169"/>
      <c r="R625" s="169"/>
      <c r="S625" s="169"/>
      <c r="T625" s="169"/>
      <c r="U625" s="169"/>
      <c r="V625" s="169"/>
      <c r="W625" s="169"/>
      <c r="X625" s="168"/>
      <c r="Y625" s="168"/>
      <c r="Z625" s="168"/>
      <c r="AA625" s="168"/>
      <c r="AB625" s="168"/>
      <c r="AC625" s="168"/>
      <c r="AD625" s="168"/>
      <c r="AE625" s="168"/>
      <c r="AF625" s="168"/>
      <c r="AG625" s="168"/>
      <c r="AH625" s="168"/>
      <c r="AI625" s="168"/>
      <c r="AJ625" s="168"/>
      <c r="AK625" s="168"/>
      <c r="AL625" s="168"/>
      <c r="AM625" s="168"/>
      <c r="AN625" s="168"/>
      <c r="AO625" s="168"/>
      <c r="AP625" s="168"/>
      <c r="AQ625" s="168"/>
    </row>
    <row r="626" spans="1:64" s="168" customFormat="1" ht="14.25" customHeight="1">
      <c r="A626" s="167"/>
      <c r="B626" s="143"/>
      <c r="C626" s="172"/>
      <c r="D626" s="165"/>
      <c r="E626" s="165"/>
      <c r="F626" s="165"/>
      <c r="G626" s="165"/>
      <c r="H626" s="165"/>
      <c r="I626" s="165"/>
      <c r="J626" s="165"/>
      <c r="K626" s="165"/>
      <c r="L626" s="165"/>
      <c r="M626" s="169"/>
      <c r="N626" s="169"/>
      <c r="O626" s="169"/>
      <c r="P626" s="169"/>
      <c r="Q626" s="169"/>
      <c r="R626" s="169"/>
      <c r="S626" s="169"/>
      <c r="T626" s="169"/>
      <c r="U626" s="169"/>
      <c r="V626" s="169"/>
      <c r="W626" s="169"/>
      <c r="AP626" s="213"/>
      <c r="AQ626" s="213"/>
      <c r="AR626" s="213"/>
      <c r="AS626" s="213"/>
      <c r="AT626" s="213"/>
      <c r="AU626" s="213"/>
      <c r="AV626" s="213"/>
      <c r="AW626" s="213"/>
      <c r="AX626" s="213"/>
      <c r="AY626" s="213"/>
      <c r="AZ626" s="213"/>
      <c r="BA626" s="213"/>
      <c r="BB626" s="213"/>
      <c r="BC626" s="213"/>
      <c r="BD626" s="213"/>
      <c r="BE626" s="213"/>
      <c r="BF626" s="213"/>
      <c r="BG626" s="213"/>
      <c r="BH626" s="213"/>
      <c r="BI626" s="213"/>
    </row>
    <row r="627" spans="1:64" s="168" customFormat="1" ht="14.25" customHeight="1">
      <c r="A627" s="164"/>
      <c r="B627" s="172"/>
      <c r="C627" s="165"/>
      <c r="D627" s="165"/>
      <c r="E627" s="165"/>
      <c r="F627" s="165"/>
      <c r="G627" s="165"/>
      <c r="H627" s="166"/>
      <c r="I627" s="166"/>
      <c r="J627" s="166"/>
      <c r="K627" s="166"/>
      <c r="L627" s="166"/>
      <c r="M627" s="170"/>
      <c r="N627" s="170"/>
      <c r="O627" s="170"/>
      <c r="P627" s="170"/>
      <c r="Q627" s="170"/>
      <c r="R627" s="170"/>
      <c r="S627" s="170"/>
      <c r="T627" s="170"/>
      <c r="U627" s="170"/>
      <c r="V627" s="170"/>
      <c r="W627" s="170"/>
      <c r="AO627" s="213"/>
      <c r="AP627" s="213"/>
      <c r="AQ627" s="213"/>
      <c r="AR627" s="213"/>
      <c r="AS627" s="213"/>
      <c r="AT627" s="213"/>
      <c r="AU627" s="213"/>
      <c r="AV627" s="213"/>
      <c r="AW627" s="213"/>
      <c r="AX627" s="213"/>
      <c r="AY627" s="213"/>
      <c r="AZ627" s="213"/>
      <c r="BA627" s="213"/>
      <c r="BB627" s="213"/>
      <c r="BC627" s="213"/>
      <c r="BD627" s="213"/>
      <c r="BE627" s="213"/>
      <c r="BF627" s="213"/>
      <c r="BG627" s="213"/>
      <c r="BH627" s="213"/>
      <c r="BI627" s="213"/>
    </row>
    <row r="628" spans="1:64" s="168" customFormat="1" ht="14.25" customHeight="1">
      <c r="A628" s="164"/>
      <c r="B628" s="172"/>
      <c r="C628" s="165"/>
      <c r="D628" s="165"/>
      <c r="E628" s="165"/>
      <c r="F628" s="165"/>
      <c r="G628" s="165"/>
      <c r="H628" s="166"/>
      <c r="I628" s="166"/>
      <c r="J628" s="166"/>
      <c r="K628" s="166"/>
      <c r="L628" s="166"/>
      <c r="M628" s="170"/>
      <c r="N628" s="170"/>
      <c r="O628" s="170"/>
      <c r="P628" s="170"/>
      <c r="Q628" s="170"/>
      <c r="R628" s="170"/>
      <c r="S628" s="170"/>
      <c r="T628" s="170"/>
      <c r="U628" s="170"/>
      <c r="V628" s="170"/>
      <c r="W628" s="170"/>
      <c r="AO628" s="213"/>
      <c r="AP628" s="213"/>
      <c r="AQ628" s="213"/>
      <c r="AR628" s="213"/>
      <c r="AS628" s="213"/>
      <c r="AT628" s="213"/>
      <c r="AU628" s="213"/>
      <c r="AV628" s="213"/>
      <c r="AW628" s="213"/>
      <c r="AX628" s="213"/>
      <c r="AY628" s="213"/>
      <c r="AZ628" s="213"/>
      <c r="BA628" s="213"/>
      <c r="BB628" s="213"/>
      <c r="BC628" s="213"/>
      <c r="BD628" s="213"/>
      <c r="BE628" s="213"/>
      <c r="BF628" s="213"/>
      <c r="BG628" s="213"/>
      <c r="BH628" s="213"/>
      <c r="BI628" s="213"/>
    </row>
    <row r="629" spans="1:64" s="168" customFormat="1" ht="14.25" customHeight="1">
      <c r="A629" s="164">
        <f>A599+1</f>
        <v>21</v>
      </c>
      <c r="B629" s="172"/>
      <c r="C629" s="187" t="str">
        <f>IF($A$1 = 1, (IF("("&amp;C639&amp;")" ="()","","("&amp;C639&amp;")")), (IF("("&amp;C644&amp;")     ("&amp;C639&amp;")"="()     ()","","("&amp;C644&amp;")     ("&amp;C639&amp;")")))</f>
        <v>(5)     (4)</v>
      </c>
      <c r="D629" s="187" t="str">
        <f t="shared" ref="D629:J629" si="61">IF($A$1 = 1, (IF("("&amp;D639&amp;")" ="()","","("&amp;D639&amp;")")), (IF("("&amp;D644&amp;")     ("&amp;D639&amp;")"="()     ()","","("&amp;D644&amp;")     ("&amp;D639&amp;")")))</f>
        <v/>
      </c>
      <c r="E629" s="187" t="str">
        <f t="shared" si="61"/>
        <v/>
      </c>
      <c r="F629" s="187" t="str">
        <f t="shared" si="61"/>
        <v/>
      </c>
      <c r="G629" s="187" t="str">
        <f t="shared" si="61"/>
        <v/>
      </c>
      <c r="H629" s="187" t="str">
        <f t="shared" si="61"/>
        <v/>
      </c>
      <c r="I629" s="187" t="str">
        <f t="shared" si="61"/>
        <v/>
      </c>
      <c r="J629" s="187" t="str">
        <f t="shared" si="61"/>
        <v/>
      </c>
      <c r="K629" s="166"/>
      <c r="L629" s="166"/>
      <c r="M629" s="170"/>
      <c r="N629" s="170"/>
      <c r="O629" s="170"/>
      <c r="P629" s="170"/>
      <c r="Q629" s="170"/>
      <c r="R629" s="170"/>
      <c r="S629" s="170"/>
      <c r="T629" s="170"/>
      <c r="U629" s="170"/>
      <c r="V629" s="170"/>
      <c r="W629" s="170"/>
      <c r="AO629" s="213"/>
      <c r="AP629" s="213"/>
      <c r="AQ629" s="213"/>
      <c r="AR629" s="213"/>
      <c r="AS629" s="213"/>
      <c r="AT629" s="213"/>
      <c r="AU629" s="213"/>
      <c r="AV629" s="213"/>
      <c r="AW629" s="213"/>
      <c r="AX629" s="213"/>
      <c r="AY629" s="213"/>
      <c r="AZ629" s="213"/>
      <c r="BA629" s="213"/>
      <c r="BB629" s="213"/>
      <c r="BC629" s="213"/>
      <c r="BD629" s="213"/>
      <c r="BE629" s="213"/>
      <c r="BF629" s="213"/>
      <c r="BG629" s="213"/>
      <c r="BH629" s="213"/>
      <c r="BI629" s="213"/>
    </row>
    <row r="630" spans="1:64" s="168" customFormat="1" ht="59.1" customHeight="1">
      <c r="A630" s="164"/>
      <c r="B630" s="177"/>
      <c r="C630" s="178" t="s">
        <v>865</v>
      </c>
      <c r="D630" s="178"/>
      <c r="E630" s="178"/>
      <c r="F630" s="178"/>
      <c r="G630" s="178"/>
      <c r="H630" s="178"/>
      <c r="I630" s="178"/>
      <c r="J630" s="178"/>
      <c r="K630" s="178"/>
      <c r="L630" s="178"/>
      <c r="M630" s="208"/>
      <c r="N630" s="208"/>
      <c r="O630" s="208"/>
      <c r="P630" s="208"/>
      <c r="Q630" s="208"/>
      <c r="R630" s="208"/>
      <c r="S630" s="208"/>
      <c r="T630" s="208"/>
      <c r="U630" s="208"/>
      <c r="V630" s="208"/>
      <c r="W630" s="208"/>
      <c r="X630" s="210"/>
      <c r="Y630" s="210"/>
      <c r="Z630" s="210"/>
      <c r="AA630" s="210"/>
      <c r="AB630" s="210"/>
      <c r="AC630" s="210"/>
      <c r="AD630" s="210"/>
      <c r="AE630" s="210"/>
      <c r="AF630" s="210"/>
      <c r="AG630" s="210"/>
      <c r="AH630" s="210"/>
      <c r="AI630" s="210"/>
      <c r="AJ630" s="210"/>
      <c r="AK630" s="210"/>
      <c r="AL630" s="210"/>
      <c r="AM630" s="210"/>
      <c r="AN630" s="210"/>
      <c r="AO630" s="216"/>
      <c r="AP630" s="216"/>
      <c r="AQ630" s="216"/>
      <c r="AR630" s="216"/>
      <c r="AS630" s="216"/>
      <c r="AT630" s="216"/>
      <c r="AU630" s="216"/>
      <c r="AV630" s="216"/>
      <c r="AW630" s="216"/>
      <c r="AX630" s="210"/>
      <c r="AY630" s="216"/>
      <c r="AZ630" s="216"/>
      <c r="BA630" s="216"/>
      <c r="BB630" s="216"/>
      <c r="BC630" s="216"/>
      <c r="BD630" s="216"/>
      <c r="BE630" s="216"/>
      <c r="BF630" s="216"/>
      <c r="BG630" s="216"/>
      <c r="BH630" s="216"/>
      <c r="BI630" s="216"/>
      <c r="BJ630" s="210"/>
      <c r="BK630" s="210"/>
      <c r="BL630" s="210"/>
    </row>
    <row r="631" spans="1:64" s="168" customFormat="1" ht="18" customHeight="1" thickBot="1">
      <c r="A631" s="164"/>
      <c r="B631" s="181" t="s">
        <v>3</v>
      </c>
      <c r="C631" s="148" t="s">
        <v>443</v>
      </c>
      <c r="D631" s="148"/>
      <c r="E631" s="148"/>
      <c r="F631" s="148"/>
      <c r="G631" s="148"/>
      <c r="H631" s="148"/>
      <c r="I631" s="148"/>
      <c r="J631" s="148"/>
      <c r="K631" s="148"/>
      <c r="L631" s="148"/>
      <c r="M631" s="211"/>
      <c r="N631" s="211"/>
      <c r="O631" s="211"/>
      <c r="P631" s="211"/>
      <c r="Q631" s="211"/>
      <c r="R631" s="211"/>
      <c r="S631" s="211"/>
      <c r="T631" s="211"/>
      <c r="U631" s="211"/>
      <c r="V631" s="211"/>
      <c r="W631" s="211"/>
      <c r="AO631" s="213"/>
      <c r="AP631" s="213"/>
      <c r="AQ631" s="213"/>
      <c r="AR631" s="213"/>
      <c r="AS631" s="213"/>
      <c r="AT631" s="213"/>
      <c r="AU631" s="213"/>
      <c r="AV631" s="213"/>
      <c r="AW631" s="213"/>
      <c r="AY631" s="213"/>
      <c r="AZ631" s="213"/>
      <c r="BA631" s="213"/>
      <c r="BB631" s="213"/>
      <c r="BC631" s="213"/>
      <c r="BD631" s="213"/>
      <c r="BE631" s="213"/>
      <c r="BF631" s="213"/>
      <c r="BG631" s="213"/>
      <c r="BH631" s="213"/>
      <c r="BI631" s="213"/>
    </row>
    <row r="632" spans="1:64" s="168" customFormat="1" ht="18" customHeight="1" thickBot="1">
      <c r="A632" s="164"/>
      <c r="B632" s="182" t="s">
        <v>18</v>
      </c>
      <c r="C632" s="148" t="s">
        <v>443</v>
      </c>
      <c r="D632" s="148"/>
      <c r="E632" s="148"/>
      <c r="F632" s="148"/>
      <c r="G632" s="148"/>
      <c r="H632" s="148"/>
      <c r="I632" s="148"/>
      <c r="J632" s="148"/>
      <c r="K632" s="148"/>
      <c r="L632" s="148"/>
      <c r="M632" s="145"/>
      <c r="N632" s="145"/>
      <c r="O632" s="145"/>
      <c r="P632" s="145"/>
      <c r="Q632" s="145"/>
      <c r="R632" s="145"/>
      <c r="S632" s="145"/>
      <c r="T632" s="145"/>
      <c r="U632" s="145"/>
      <c r="V632" s="145"/>
      <c r="W632" s="145"/>
      <c r="AO632" s="213"/>
      <c r="AP632" s="213"/>
      <c r="AQ632" s="213"/>
      <c r="AR632" s="213"/>
      <c r="AS632" s="213"/>
      <c r="AT632" s="213"/>
      <c r="AU632" s="213"/>
      <c r="AV632" s="213"/>
      <c r="AW632" s="213"/>
      <c r="AY632" s="213"/>
      <c r="AZ632" s="213"/>
      <c r="BA632" s="213"/>
      <c r="BB632" s="213"/>
      <c r="BC632" s="213"/>
      <c r="BD632" s="213"/>
      <c r="BE632" s="213"/>
      <c r="BF632" s="213"/>
      <c r="BG632" s="213"/>
      <c r="BH632" s="213"/>
      <c r="BI632" s="213"/>
    </row>
    <row r="633" spans="1:64" s="168" customFormat="1" ht="18" customHeight="1" thickBot="1">
      <c r="A633" s="164"/>
      <c r="B633" s="183" t="s">
        <v>32</v>
      </c>
      <c r="C633" s="147" t="s">
        <v>443</v>
      </c>
      <c r="D633" s="147"/>
      <c r="E633" s="147"/>
      <c r="F633" s="147"/>
      <c r="G633" s="147"/>
      <c r="H633" s="147"/>
      <c r="I633" s="147"/>
      <c r="J633" s="147"/>
      <c r="K633" s="147"/>
      <c r="L633" s="147"/>
      <c r="M633" s="145"/>
      <c r="N633" s="145"/>
      <c r="O633" s="145"/>
      <c r="P633" s="145"/>
      <c r="Q633" s="145"/>
      <c r="R633" s="145"/>
      <c r="S633" s="145"/>
      <c r="T633" s="145"/>
      <c r="U633" s="145"/>
      <c r="V633" s="145"/>
      <c r="W633" s="145"/>
      <c r="AO633" s="213"/>
      <c r="AP633" s="213"/>
      <c r="AQ633" s="213"/>
      <c r="AR633" s="213"/>
      <c r="AS633" s="213"/>
      <c r="AT633" s="213"/>
      <c r="AU633" s="213"/>
      <c r="AV633" s="213"/>
      <c r="AW633" s="213"/>
      <c r="AY633" s="213"/>
      <c r="AZ633" s="213"/>
      <c r="BA633" s="213"/>
      <c r="BB633" s="213"/>
      <c r="BC633" s="213"/>
      <c r="BD633" s="213"/>
      <c r="BE633" s="213"/>
      <c r="BF633" s="213"/>
      <c r="BG633" s="213"/>
      <c r="BH633" s="213"/>
    </row>
    <row r="634" spans="1:64" s="168" customFormat="1" ht="18" customHeight="1" thickBot="1">
      <c r="A634" s="164"/>
      <c r="B634" s="182" t="s">
        <v>45</v>
      </c>
      <c r="C634" s="145" t="s">
        <v>443</v>
      </c>
      <c r="D634" s="145"/>
      <c r="E634" s="145"/>
      <c r="F634" s="145"/>
      <c r="G634" s="145"/>
      <c r="H634" s="145"/>
      <c r="I634" s="145"/>
      <c r="J634" s="145"/>
      <c r="K634" s="145"/>
      <c r="L634" s="145"/>
      <c r="M634" s="145"/>
      <c r="N634" s="145"/>
      <c r="O634" s="145"/>
      <c r="P634" s="145"/>
      <c r="Q634" s="145"/>
      <c r="R634" s="145"/>
      <c r="S634" s="145"/>
      <c r="T634" s="145"/>
      <c r="U634" s="145"/>
      <c r="V634" s="145"/>
      <c r="W634" s="145"/>
      <c r="AO634" s="213"/>
      <c r="AP634" s="213"/>
      <c r="AQ634" s="213"/>
      <c r="AR634" s="213"/>
      <c r="AS634" s="213"/>
      <c r="AT634" s="213"/>
      <c r="AU634" s="213"/>
      <c r="AV634" s="213"/>
      <c r="AW634" s="213"/>
      <c r="AY634" s="213"/>
      <c r="AZ634" s="213"/>
      <c r="BA634" s="213"/>
      <c r="BB634" s="213"/>
      <c r="BC634" s="213"/>
      <c r="BD634" s="213"/>
      <c r="BE634" s="213"/>
      <c r="BF634" s="213"/>
      <c r="BG634" s="213"/>
      <c r="BH634" s="213"/>
    </row>
    <row r="635" spans="1:64" s="168" customFormat="1" ht="18" customHeight="1" thickBot="1">
      <c r="A635" s="164"/>
      <c r="B635" s="184" t="s">
        <v>54</v>
      </c>
      <c r="C635" s="146" t="s">
        <v>443</v>
      </c>
      <c r="D635" s="146"/>
      <c r="E635" s="146"/>
      <c r="F635" s="146"/>
      <c r="G635" s="146"/>
      <c r="H635" s="146"/>
      <c r="I635" s="146"/>
      <c r="J635" s="146"/>
      <c r="K635" s="146"/>
      <c r="L635" s="146"/>
      <c r="M635" s="145"/>
      <c r="N635" s="145"/>
      <c r="O635" s="145"/>
      <c r="P635" s="145"/>
      <c r="Q635" s="145"/>
      <c r="R635" s="145"/>
      <c r="S635" s="145"/>
      <c r="T635" s="145"/>
      <c r="U635" s="145"/>
      <c r="V635" s="145"/>
      <c r="W635" s="145"/>
      <c r="AO635" s="213"/>
      <c r="AP635" s="213"/>
      <c r="AQ635" s="213"/>
      <c r="AR635" s="213"/>
      <c r="AS635" s="213"/>
      <c r="AT635" s="213"/>
      <c r="AU635" s="213"/>
      <c r="AV635" s="213"/>
      <c r="AW635" s="213"/>
      <c r="AY635" s="213"/>
      <c r="AZ635" s="213"/>
      <c r="BA635" s="213"/>
      <c r="BB635" s="213"/>
      <c r="BC635" s="213"/>
      <c r="BD635" s="213"/>
      <c r="BE635" s="213"/>
      <c r="BF635" s="213"/>
      <c r="BG635" s="213"/>
      <c r="BH635" s="213"/>
    </row>
    <row r="636" spans="1:64" s="168" customFormat="1">
      <c r="A636" s="164"/>
      <c r="B636" s="182" t="s">
        <v>66</v>
      </c>
      <c r="C636" s="145"/>
      <c r="D636" s="145"/>
      <c r="E636" s="145"/>
      <c r="F636" s="145"/>
      <c r="G636" s="145"/>
      <c r="H636" s="125"/>
      <c r="I636" s="125"/>
      <c r="J636" s="125"/>
      <c r="K636" s="125"/>
      <c r="L636" s="125"/>
      <c r="M636" s="145"/>
      <c r="N636" s="145"/>
      <c r="O636" s="145"/>
      <c r="P636" s="145"/>
      <c r="Q636" s="145"/>
      <c r="R636" s="145"/>
      <c r="S636" s="145"/>
      <c r="T636" s="145"/>
      <c r="U636" s="145"/>
      <c r="V636" s="145"/>
      <c r="W636" s="145"/>
      <c r="AO636" s="213"/>
      <c r="AP636" s="213"/>
      <c r="AQ636" s="213"/>
      <c r="AR636" s="213"/>
      <c r="AS636" s="213"/>
      <c r="AT636" s="213"/>
      <c r="AU636" s="213"/>
      <c r="AV636" s="213"/>
      <c r="AW636" s="213"/>
      <c r="AY636" s="213"/>
      <c r="AZ636" s="213"/>
      <c r="BA636" s="213"/>
      <c r="BB636" s="213"/>
      <c r="BC636" s="213"/>
      <c r="BD636" s="213"/>
      <c r="BE636" s="213"/>
      <c r="BF636" s="213"/>
      <c r="BG636" s="213"/>
      <c r="BH636" s="213"/>
    </row>
    <row r="637" spans="1:64" s="168" customFormat="1">
      <c r="A637" s="164"/>
      <c r="B637" s="182" t="s">
        <v>158</v>
      </c>
      <c r="C637" s="126" t="s">
        <v>443</v>
      </c>
      <c r="D637" s="126"/>
      <c r="E637" s="126"/>
      <c r="F637" s="126"/>
      <c r="G637" s="126"/>
      <c r="H637" s="126"/>
      <c r="I637" s="126"/>
      <c r="J637" s="126"/>
      <c r="K637" s="126"/>
      <c r="L637" s="126"/>
      <c r="M637" s="126"/>
      <c r="N637" s="126"/>
      <c r="O637" s="126"/>
      <c r="P637" s="126"/>
      <c r="Q637" s="126"/>
      <c r="R637" s="126"/>
      <c r="S637" s="126"/>
      <c r="T637" s="126"/>
      <c r="U637" s="126"/>
      <c r="V637" s="126"/>
      <c r="W637" s="126"/>
      <c r="AO637" s="213"/>
      <c r="AP637" s="213"/>
      <c r="AQ637" s="213"/>
      <c r="AR637" s="213"/>
      <c r="AS637" s="213"/>
      <c r="AT637" s="213"/>
      <c r="AU637" s="213"/>
      <c r="AV637" s="213"/>
      <c r="AW637" s="213"/>
      <c r="AY637" s="213"/>
      <c r="AZ637" s="213"/>
      <c r="BA637" s="213"/>
      <c r="BB637" s="213"/>
      <c r="BC637" s="213"/>
      <c r="BD637" s="213"/>
      <c r="BE637" s="213"/>
      <c r="BF637" s="213"/>
      <c r="BG637" s="213"/>
      <c r="BH637" s="213"/>
    </row>
    <row r="638" spans="1:64" s="168" customFormat="1">
      <c r="A638" s="164"/>
      <c r="B638" s="182" t="s">
        <v>191</v>
      </c>
      <c r="C638" s="127">
        <v>69</v>
      </c>
      <c r="D638" s="127"/>
      <c r="E638" s="127"/>
      <c r="F638" s="127"/>
      <c r="G638" s="127"/>
      <c r="H638" s="126"/>
      <c r="I638" s="126"/>
      <c r="J638" s="126"/>
      <c r="K638" s="126"/>
      <c r="L638" s="126"/>
      <c r="M638" s="126"/>
      <c r="N638" s="126"/>
      <c r="O638" s="126"/>
      <c r="P638" s="126"/>
      <c r="Q638" s="126"/>
      <c r="R638" s="126"/>
      <c r="S638" s="126"/>
      <c r="T638" s="126"/>
      <c r="U638" s="126"/>
      <c r="V638" s="126"/>
      <c r="W638" s="126"/>
      <c r="AO638" s="214"/>
      <c r="AP638" s="214"/>
      <c r="AQ638" s="214"/>
      <c r="AR638" s="214"/>
      <c r="AS638" s="214"/>
      <c r="AT638" s="213"/>
      <c r="AU638" s="213"/>
      <c r="AV638" s="213"/>
      <c r="AW638" s="213"/>
      <c r="AY638" s="213"/>
      <c r="AZ638" s="213"/>
      <c r="BA638" s="213"/>
      <c r="BB638" s="213"/>
      <c r="BC638" s="213"/>
      <c r="BD638" s="213"/>
      <c r="BE638" s="213"/>
      <c r="BF638" s="213"/>
      <c r="BG638" s="213"/>
      <c r="BH638" s="213"/>
    </row>
    <row r="639" spans="1:64" s="212" customFormat="1" ht="15" thickBot="1">
      <c r="A639" s="171"/>
      <c r="B639" s="182" t="s">
        <v>442</v>
      </c>
      <c r="C639" s="126">
        <v>4</v>
      </c>
      <c r="D639" s="315"/>
      <c r="E639" s="315"/>
      <c r="F639" s="315"/>
      <c r="G639" s="315"/>
      <c r="H639" s="315"/>
      <c r="I639" s="315"/>
      <c r="J639" s="315"/>
      <c r="K639" s="315"/>
      <c r="L639" s="315"/>
      <c r="M639" s="126"/>
      <c r="N639" s="126"/>
      <c r="O639" s="126"/>
      <c r="P639" s="126"/>
      <c r="Q639" s="126"/>
      <c r="R639" s="126"/>
      <c r="S639" s="126"/>
      <c r="T639" s="126"/>
      <c r="U639" s="126"/>
      <c r="V639" s="126"/>
      <c r="W639" s="126"/>
      <c r="X639" s="168"/>
      <c r="Y639" s="168"/>
      <c r="Z639" s="168"/>
      <c r="AA639" s="168"/>
      <c r="AB639" s="168"/>
      <c r="AC639" s="168"/>
      <c r="AD639" s="168"/>
      <c r="AE639" s="168"/>
      <c r="AF639" s="168"/>
      <c r="AG639" s="168"/>
      <c r="AH639" s="168"/>
      <c r="AI639" s="168"/>
      <c r="AJ639" s="168"/>
      <c r="AK639" s="168"/>
      <c r="AL639" s="168"/>
      <c r="AM639" s="168"/>
      <c r="AN639" s="168"/>
      <c r="AO639" s="213"/>
      <c r="AP639" s="213"/>
      <c r="AQ639" s="213"/>
      <c r="AR639" s="213"/>
      <c r="AS639" s="213"/>
      <c r="AT639" s="213"/>
      <c r="AU639" s="213"/>
      <c r="AV639" s="213"/>
      <c r="AW639" s="213"/>
      <c r="AX639" s="168"/>
      <c r="AY639" s="213"/>
      <c r="AZ639" s="213"/>
      <c r="BA639" s="213"/>
      <c r="BB639" s="213"/>
      <c r="BC639" s="213"/>
      <c r="BD639" s="213"/>
      <c r="BE639" s="213"/>
      <c r="BF639" s="213"/>
      <c r="BG639" s="213"/>
      <c r="BH639" s="213"/>
      <c r="BI639" s="168"/>
      <c r="BJ639" s="168"/>
      <c r="BK639" s="168"/>
      <c r="BL639" s="168"/>
    </row>
    <row r="640" spans="1:64" s="210" customFormat="1">
      <c r="A640" s="176"/>
      <c r="B640" s="338" t="s">
        <v>166</v>
      </c>
      <c r="C640" s="316" t="str">
        <f>IF(OR(C643="**",C643=""),"",VALUE(C643))</f>
        <v/>
      </c>
      <c r="D640" s="316" t="str">
        <f t="shared" ref="D640:J640" si="62">IF(OR(D643="**",D643=""),"",VALUE(D643))</f>
        <v/>
      </c>
      <c r="E640" s="316" t="str">
        <f t="shared" si="62"/>
        <v/>
      </c>
      <c r="F640" s="316" t="str">
        <f t="shared" si="62"/>
        <v/>
      </c>
      <c r="G640" s="316" t="str">
        <f t="shared" si="62"/>
        <v/>
      </c>
      <c r="H640" s="316" t="str">
        <f t="shared" si="62"/>
        <v/>
      </c>
      <c r="I640" s="316" t="str">
        <f t="shared" si="62"/>
        <v/>
      </c>
      <c r="J640" s="316" t="str">
        <f t="shared" si="62"/>
        <v/>
      </c>
      <c r="K640" s="316"/>
      <c r="L640" s="316"/>
      <c r="M640" s="126"/>
      <c r="N640" s="126"/>
      <c r="O640" s="126"/>
      <c r="P640" s="126"/>
      <c r="Q640" s="126"/>
      <c r="R640" s="126"/>
      <c r="S640" s="126"/>
      <c r="T640" s="126"/>
      <c r="U640" s="126"/>
      <c r="V640" s="126"/>
      <c r="W640" s="126"/>
      <c r="X640" s="168"/>
      <c r="Y640" s="168"/>
      <c r="Z640" s="168"/>
      <c r="AA640" s="168"/>
      <c r="AB640" s="168"/>
      <c r="AC640" s="168"/>
      <c r="AD640" s="168"/>
      <c r="AE640" s="168"/>
      <c r="AF640" s="168"/>
      <c r="AG640" s="168"/>
      <c r="AH640" s="168"/>
      <c r="AI640" s="168"/>
      <c r="AJ640" s="168"/>
      <c r="AK640" s="168"/>
      <c r="AL640" s="168"/>
      <c r="AM640" s="168"/>
      <c r="AN640" s="168"/>
      <c r="AO640" s="213"/>
      <c r="AP640" s="213"/>
      <c r="AQ640" s="213"/>
      <c r="AR640" s="213"/>
      <c r="AS640" s="213"/>
      <c r="AT640" s="213"/>
      <c r="AU640" s="213"/>
      <c r="AV640" s="213"/>
      <c r="AW640" s="213"/>
      <c r="AX640" s="168"/>
      <c r="AY640" s="213"/>
      <c r="AZ640" s="213"/>
      <c r="BA640" s="213"/>
      <c r="BB640" s="213"/>
      <c r="BC640" s="213"/>
      <c r="BD640" s="213"/>
      <c r="BE640" s="213"/>
      <c r="BF640" s="213"/>
      <c r="BG640" s="213"/>
      <c r="BH640" s="213"/>
      <c r="BI640" s="168"/>
      <c r="BJ640" s="168"/>
      <c r="BK640" s="168"/>
      <c r="BL640" s="168"/>
    </row>
    <row r="641" spans="1:60" s="168" customFormat="1" ht="15" thickBot="1">
      <c r="A641" s="164"/>
      <c r="B641" s="339" t="s">
        <v>165</v>
      </c>
      <c r="C641" s="317" t="str">
        <f t="shared" ref="C641:J641" si="63">IF(OR(C637="**",C637=""),"",VALUE(C637))</f>
        <v/>
      </c>
      <c r="D641" s="317" t="str">
        <f t="shared" si="63"/>
        <v/>
      </c>
      <c r="E641" s="317" t="str">
        <f t="shared" si="63"/>
        <v/>
      </c>
      <c r="F641" s="317" t="str">
        <f t="shared" si="63"/>
        <v/>
      </c>
      <c r="G641" s="317" t="str">
        <f t="shared" si="63"/>
        <v/>
      </c>
      <c r="H641" s="317" t="str">
        <f t="shared" si="63"/>
        <v/>
      </c>
      <c r="I641" s="317" t="str">
        <f t="shared" si="63"/>
        <v/>
      </c>
      <c r="J641" s="317" t="str">
        <f t="shared" si="63"/>
        <v/>
      </c>
      <c r="K641" s="317"/>
      <c r="L641" s="317"/>
      <c r="M641" s="169"/>
      <c r="N641" s="169"/>
      <c r="O641" s="169"/>
      <c r="P641" s="169"/>
      <c r="Q641" s="169"/>
      <c r="R641" s="169"/>
      <c r="S641" s="169"/>
      <c r="T641" s="169"/>
      <c r="U641" s="169"/>
      <c r="V641" s="169"/>
      <c r="W641" s="169"/>
      <c r="AO641" s="169"/>
      <c r="AP641" s="169"/>
      <c r="AQ641" s="169"/>
      <c r="AR641" s="169"/>
      <c r="AS641" s="169"/>
      <c r="AT641" s="169"/>
      <c r="AU641" s="169"/>
      <c r="AV641" s="169"/>
      <c r="AW641" s="213"/>
      <c r="AX641" s="213"/>
      <c r="AY641" s="213"/>
      <c r="AZ641" s="213"/>
      <c r="BA641" s="213"/>
      <c r="BB641" s="213"/>
      <c r="BC641" s="213"/>
      <c r="BD641" s="213"/>
      <c r="BE641" s="213"/>
      <c r="BF641" s="213"/>
      <c r="BG641" s="213"/>
      <c r="BH641" s="213"/>
    </row>
    <row r="642" spans="1:60" s="168" customFormat="1">
      <c r="A642" s="164"/>
      <c r="B642" s="340" t="s">
        <v>483</v>
      </c>
      <c r="C642" s="167" t="s">
        <v>865</v>
      </c>
      <c r="D642" s="167"/>
      <c r="E642" s="167"/>
      <c r="F642" s="167"/>
      <c r="G642" s="167"/>
      <c r="H642" s="166"/>
      <c r="I642" s="166"/>
      <c r="J642" s="166"/>
      <c r="K642" s="166"/>
      <c r="L642" s="166"/>
      <c r="M642" s="145"/>
      <c r="N642" s="145"/>
      <c r="O642" s="145"/>
      <c r="P642" s="145"/>
      <c r="Q642" s="145"/>
      <c r="R642" s="145"/>
      <c r="S642" s="145"/>
      <c r="T642" s="145"/>
      <c r="U642" s="145"/>
      <c r="V642" s="145"/>
      <c r="W642" s="145"/>
      <c r="AO642" s="213"/>
      <c r="AP642" s="213"/>
      <c r="AQ642" s="213"/>
      <c r="AR642" s="213"/>
      <c r="AS642" s="213"/>
      <c r="AT642" s="213"/>
      <c r="AU642" s="213"/>
      <c r="AV642" s="213"/>
      <c r="AW642" s="213"/>
      <c r="AY642" s="213"/>
      <c r="AZ642" s="213"/>
      <c r="BA642" s="213"/>
      <c r="BB642" s="213"/>
      <c r="BC642" s="213"/>
      <c r="BD642" s="213"/>
      <c r="BE642" s="213"/>
      <c r="BF642" s="213"/>
      <c r="BG642" s="213"/>
      <c r="BH642" s="213"/>
    </row>
    <row r="643" spans="1:60" s="145" customFormat="1">
      <c r="A643" s="182"/>
      <c r="B643" s="182" t="s">
        <v>158</v>
      </c>
      <c r="C643" s="165" t="s">
        <v>443</v>
      </c>
      <c r="D643" s="165"/>
      <c r="E643" s="165"/>
      <c r="F643" s="165"/>
      <c r="G643" s="165"/>
      <c r="H643" s="166"/>
      <c r="I643" s="166"/>
      <c r="J643" s="166"/>
      <c r="K643" s="166"/>
      <c r="L643" s="166"/>
      <c r="X643" s="168"/>
      <c r="Y643" s="168"/>
      <c r="Z643" s="168"/>
      <c r="AA643" s="168"/>
      <c r="AB643" s="168"/>
      <c r="AC643" s="168"/>
      <c r="AD643" s="168"/>
      <c r="AE643" s="168"/>
      <c r="AF643" s="168"/>
      <c r="AG643" s="168"/>
      <c r="AH643" s="168"/>
      <c r="AI643" s="168"/>
      <c r="AJ643" s="168"/>
      <c r="AK643" s="168"/>
      <c r="AL643" s="168"/>
      <c r="AM643" s="168"/>
      <c r="AN643" s="213"/>
      <c r="AO643" s="213"/>
      <c r="AP643" s="213"/>
      <c r="AQ643" s="213"/>
      <c r="AR643" s="213"/>
      <c r="AS643" s="213"/>
      <c r="AT643" s="213"/>
      <c r="AU643" s="213"/>
      <c r="AV643" s="213"/>
      <c r="AW643" s="168"/>
      <c r="AX643" s="213"/>
      <c r="AY643" s="213"/>
      <c r="AZ643" s="213"/>
      <c r="BA643" s="213"/>
      <c r="BB643" s="213"/>
      <c r="BC643" s="213"/>
      <c r="BD643" s="213"/>
      <c r="BE643" s="213"/>
      <c r="BF643" s="213"/>
      <c r="BG643" s="213"/>
      <c r="BH643" s="168"/>
    </row>
    <row r="644" spans="1:60" s="145" customFormat="1">
      <c r="B644" s="340" t="s">
        <v>442</v>
      </c>
      <c r="C644" s="165">
        <v>5</v>
      </c>
      <c r="D644" s="165"/>
      <c r="E644" s="165"/>
      <c r="F644" s="165"/>
      <c r="G644" s="165"/>
      <c r="H644" s="165"/>
      <c r="I644" s="165"/>
      <c r="J644" s="165"/>
      <c r="K644" s="165"/>
      <c r="L644" s="165"/>
      <c r="M644" s="170"/>
      <c r="N644" s="170"/>
      <c r="O644" s="170"/>
      <c r="P644" s="170"/>
      <c r="Q644" s="170"/>
      <c r="R644" s="170"/>
      <c r="S644" s="170"/>
      <c r="T644" s="170"/>
      <c r="U644" s="170"/>
      <c r="V644" s="170"/>
      <c r="W644" s="170"/>
      <c r="X644" s="168"/>
      <c r="Y644" s="168"/>
      <c r="Z644" s="168"/>
      <c r="AA644" s="168"/>
      <c r="AB644" s="168"/>
      <c r="AC644" s="168"/>
      <c r="AD644" s="168"/>
      <c r="AE644" s="168"/>
      <c r="AF644" s="168"/>
      <c r="AG644" s="168"/>
      <c r="AH644" s="168"/>
      <c r="AI644" s="168"/>
      <c r="AJ644" s="168"/>
      <c r="AK644" s="168"/>
      <c r="AL644" s="213"/>
      <c r="AM644" s="213"/>
      <c r="AN644" s="213"/>
      <c r="AO644" s="213"/>
      <c r="AP644" s="213"/>
      <c r="AQ644" s="213"/>
      <c r="AR644" s="213"/>
      <c r="AS644" s="213"/>
      <c r="AT644" s="213"/>
      <c r="AU644" s="168"/>
      <c r="AV644" s="213"/>
      <c r="AW644" s="213"/>
      <c r="AX644" s="213"/>
      <c r="AY644" s="213"/>
      <c r="AZ644" s="213"/>
      <c r="BA644" s="213"/>
      <c r="BB644" s="213"/>
      <c r="BC644" s="213"/>
      <c r="BD644" s="213"/>
      <c r="BE644" s="213"/>
      <c r="BF644" s="168"/>
      <c r="BG644" s="182"/>
    </row>
    <row r="645" spans="1:60" s="145" customFormat="1">
      <c r="F645" s="170"/>
      <c r="G645" s="170"/>
      <c r="H645" s="168"/>
      <c r="I645" s="168"/>
      <c r="J645" s="168"/>
      <c r="K645" s="168"/>
      <c r="L645" s="168"/>
      <c r="M645" s="168"/>
      <c r="N645" s="168"/>
      <c r="O645" s="168"/>
      <c r="P645" s="168"/>
      <c r="Q645" s="168"/>
      <c r="R645" s="168"/>
      <c r="S645" s="168"/>
      <c r="T645" s="168"/>
      <c r="U645" s="168"/>
      <c r="V645" s="168"/>
      <c r="W645" s="168"/>
      <c r="X645" s="168"/>
      <c r="Y645" s="168"/>
      <c r="Z645" s="168"/>
      <c r="AA645" s="168"/>
      <c r="AB645" s="168"/>
      <c r="AC645" s="168"/>
      <c r="AD645" s="168"/>
      <c r="AE645" s="168"/>
      <c r="AF645" s="168"/>
      <c r="AG645" s="168"/>
      <c r="AH645" s="168"/>
      <c r="AI645" s="168"/>
      <c r="AJ645" s="213"/>
      <c r="AK645" s="213"/>
      <c r="AL645" s="213"/>
      <c r="AM645" s="213"/>
      <c r="AN645" s="213"/>
      <c r="AO645" s="213"/>
      <c r="AP645" s="213"/>
      <c r="AQ645" s="213"/>
      <c r="AR645" s="213"/>
      <c r="AS645" s="168"/>
      <c r="AT645" s="213"/>
      <c r="AU645" s="213"/>
      <c r="AV645" s="213"/>
      <c r="AW645" s="213"/>
      <c r="AX645" s="213"/>
      <c r="AY645" s="213"/>
      <c r="AZ645" s="213"/>
      <c r="BA645" s="213"/>
      <c r="BB645" s="213"/>
      <c r="BC645" s="213"/>
      <c r="BD645" s="168"/>
      <c r="BE645" s="182"/>
    </row>
    <row r="646" spans="1:60" s="126" customFormat="1">
      <c r="A646" s="145"/>
      <c r="B646" s="145"/>
      <c r="C646" s="145"/>
      <c r="D646" s="166"/>
      <c r="E646" s="166"/>
      <c r="F646" s="143"/>
      <c r="G646" s="143"/>
      <c r="H646" s="143"/>
      <c r="I646" s="143"/>
      <c r="J646" s="143"/>
      <c r="K646" s="143"/>
      <c r="L646" s="143"/>
      <c r="M646" s="168"/>
      <c r="N646" s="168"/>
      <c r="O646" s="168"/>
      <c r="P646" s="168"/>
      <c r="Q646" s="168"/>
      <c r="R646" s="168"/>
      <c r="S646" s="168"/>
      <c r="T646" s="168"/>
      <c r="U646" s="168"/>
      <c r="V646" s="168"/>
      <c r="W646" s="168"/>
      <c r="X646" s="168"/>
      <c r="Y646" s="168"/>
      <c r="Z646" s="168"/>
      <c r="AA646" s="168"/>
      <c r="AB646" s="168"/>
      <c r="AC646" s="168"/>
      <c r="AD646" s="168"/>
      <c r="AE646" s="168"/>
      <c r="AF646" s="168"/>
      <c r="AG646" s="168"/>
      <c r="AH646" s="213"/>
      <c r="AI646" s="213"/>
      <c r="AJ646" s="213"/>
      <c r="AK646" s="213"/>
      <c r="AL646" s="213"/>
      <c r="AM646" s="213"/>
      <c r="AN646" s="213"/>
      <c r="AO646" s="213"/>
      <c r="AP646" s="213"/>
      <c r="AQ646" s="168"/>
      <c r="AR646" s="213"/>
      <c r="AS646" s="213"/>
      <c r="AT646" s="213"/>
      <c r="AU646" s="213"/>
      <c r="AV646" s="213"/>
      <c r="AW646" s="213"/>
      <c r="AX646" s="213"/>
      <c r="AY646" s="213"/>
      <c r="AZ646" s="213"/>
      <c r="BA646" s="213"/>
      <c r="BB646" s="168"/>
      <c r="BC646" s="182"/>
    </row>
    <row r="647" spans="1:60" s="170" customFormat="1">
      <c r="A647" s="126"/>
      <c r="B647" s="166"/>
      <c r="C647" s="166"/>
      <c r="D647" s="143"/>
      <c r="E647" s="143"/>
      <c r="F647" s="143"/>
      <c r="G647" s="143"/>
      <c r="H647" s="143"/>
      <c r="I647" s="143"/>
      <c r="J647" s="143"/>
      <c r="K647" s="143"/>
      <c r="L647" s="143"/>
      <c r="M647" s="168"/>
      <c r="N647" s="168"/>
      <c r="O647" s="168"/>
      <c r="P647" s="168"/>
      <c r="Q647" s="168"/>
      <c r="R647" s="168"/>
      <c r="S647" s="168"/>
      <c r="T647" s="168"/>
      <c r="U647" s="168"/>
      <c r="V647" s="168"/>
      <c r="W647" s="168"/>
      <c r="X647" s="168"/>
      <c r="Y647" s="168"/>
      <c r="Z647" s="168"/>
      <c r="AA647" s="168"/>
      <c r="AB647" s="168"/>
      <c r="AC647" s="168"/>
      <c r="AD647" s="168"/>
      <c r="AE647" s="168"/>
      <c r="AF647" s="213"/>
      <c r="AG647" s="213"/>
      <c r="AH647" s="213"/>
      <c r="AI647" s="213"/>
      <c r="AJ647" s="213"/>
      <c r="AK647" s="213"/>
      <c r="AL647" s="213"/>
      <c r="AM647" s="213"/>
      <c r="AN647" s="213"/>
      <c r="AO647" s="168"/>
      <c r="AP647" s="213"/>
      <c r="AQ647" s="213"/>
      <c r="AR647" s="213"/>
      <c r="AS647" s="213"/>
      <c r="AT647" s="213"/>
      <c r="AU647" s="213"/>
      <c r="AV647" s="213"/>
      <c r="AW647" s="213"/>
      <c r="AX647" s="213"/>
      <c r="AY647" s="213"/>
      <c r="AZ647" s="168"/>
      <c r="BA647" s="182"/>
      <c r="BB647" s="127"/>
      <c r="BC647" s="127"/>
      <c r="BD647" s="127"/>
      <c r="BE647" s="127"/>
      <c r="BF647" s="127"/>
      <c r="BG647" s="127"/>
      <c r="BH647" s="127"/>
    </row>
    <row r="648" spans="1:60" s="168" customFormat="1" ht="14.25" customHeight="1">
      <c r="A648" s="166"/>
      <c r="B648" s="143"/>
      <c r="C648" s="143"/>
      <c r="D648" s="143"/>
      <c r="E648" s="143"/>
      <c r="F648" s="143"/>
      <c r="G648" s="143"/>
      <c r="H648" s="143"/>
      <c r="I648" s="143"/>
      <c r="J648" s="143"/>
      <c r="K648" s="143"/>
      <c r="L648" s="143"/>
      <c r="AD648" s="214"/>
      <c r="AE648" s="214"/>
      <c r="AF648" s="214"/>
      <c r="AG648" s="214"/>
      <c r="AH648" s="214"/>
      <c r="AI648" s="214"/>
      <c r="AJ648" s="214"/>
      <c r="AK648" s="213"/>
      <c r="AL648" s="213"/>
      <c r="AN648" s="213"/>
      <c r="AO648" s="213"/>
      <c r="AP648" s="213"/>
      <c r="AQ648" s="213"/>
      <c r="AR648" s="213"/>
      <c r="AS648" s="213"/>
      <c r="AT648" s="213"/>
      <c r="AU648" s="213"/>
      <c r="AV648" s="213"/>
      <c r="AW648" s="213"/>
      <c r="AY648" s="182"/>
      <c r="AZ648" s="126"/>
      <c r="BA648" s="126"/>
      <c r="BB648" s="126"/>
      <c r="BC648" s="126"/>
      <c r="BD648" s="126"/>
      <c r="BE648" s="126"/>
      <c r="BF648" s="126"/>
      <c r="BG648" s="126"/>
      <c r="BH648" s="170"/>
    </row>
    <row r="649" spans="1:60" s="168" customFormat="1" ht="14.25" customHeight="1">
      <c r="A649" s="143" t="s">
        <v>183</v>
      </c>
      <c r="B649" s="143"/>
      <c r="C649" s="143"/>
      <c r="D649" s="143"/>
      <c r="E649" s="143"/>
      <c r="F649" s="143"/>
      <c r="G649" s="143"/>
      <c r="H649" s="143"/>
      <c r="I649" s="143"/>
      <c r="J649" s="143"/>
      <c r="K649" s="143"/>
      <c r="L649" s="143"/>
      <c r="AB649" s="213"/>
      <c r="AC649" s="213"/>
      <c r="AD649" s="213"/>
      <c r="AE649" s="213"/>
      <c r="AF649" s="213"/>
      <c r="AG649" s="213"/>
      <c r="AH649" s="213"/>
      <c r="AI649" s="213"/>
      <c r="AJ649" s="213"/>
      <c r="AL649" s="213"/>
      <c r="AM649" s="213"/>
      <c r="AN649" s="213"/>
      <c r="AO649" s="213"/>
      <c r="AP649" s="213"/>
      <c r="AQ649" s="213"/>
      <c r="AR649" s="213"/>
      <c r="AS649" s="213"/>
      <c r="AT649" s="213"/>
      <c r="AU649" s="213"/>
      <c r="AW649" s="182"/>
      <c r="AX649" s="126"/>
      <c r="AY649" s="126"/>
      <c r="AZ649" s="126"/>
      <c r="BA649" s="126"/>
      <c r="BB649" s="126"/>
      <c r="BC649" s="126"/>
      <c r="BD649" s="126"/>
      <c r="BE649" s="126"/>
      <c r="BF649" s="170"/>
      <c r="BG649" s="170"/>
    </row>
    <row r="650" spans="1:60" s="168" customFormat="1" ht="14.25" customHeight="1">
      <c r="A650" s="143">
        <v>1</v>
      </c>
      <c r="B650" s="143"/>
      <c r="C650" s="143"/>
      <c r="D650" s="143"/>
      <c r="E650" s="143"/>
      <c r="F650" s="143"/>
      <c r="G650" s="143"/>
      <c r="H650" s="143"/>
      <c r="I650" s="143"/>
      <c r="J650" s="143"/>
      <c r="K650" s="143"/>
      <c r="L650" s="143"/>
      <c r="Z650" s="213"/>
      <c r="AA650" s="213"/>
      <c r="AB650" s="213"/>
      <c r="AC650" s="213"/>
      <c r="AD650" s="213"/>
      <c r="AE650" s="213"/>
      <c r="AF650" s="213"/>
      <c r="AG650" s="213"/>
      <c r="AH650" s="213"/>
      <c r="AJ650" s="213"/>
      <c r="AK650" s="213"/>
      <c r="AL650" s="213"/>
      <c r="AM650" s="213"/>
      <c r="AN650" s="213"/>
      <c r="AO650" s="213"/>
      <c r="AP650" s="213"/>
      <c r="AQ650" s="213"/>
      <c r="AR650" s="213"/>
      <c r="AS650" s="213"/>
      <c r="AU650" s="217"/>
      <c r="AV650" s="169"/>
      <c r="AW650" s="169"/>
      <c r="AX650" s="169"/>
      <c r="AY650" s="169"/>
      <c r="AZ650" s="169"/>
      <c r="BA650" s="169"/>
      <c r="BB650" s="169"/>
      <c r="BC650" s="169"/>
      <c r="BD650" s="170"/>
      <c r="BE650" s="170"/>
    </row>
    <row r="651" spans="1:60" s="168" customFormat="1" ht="14.25" customHeight="1">
      <c r="A651" s="143"/>
      <c r="B651" s="143"/>
      <c r="C651" s="143"/>
      <c r="D651" s="143"/>
      <c r="E651" s="143"/>
      <c r="F651" s="143"/>
      <c r="G651" s="143"/>
      <c r="H651" s="143"/>
      <c r="I651" s="143"/>
      <c r="J651" s="143"/>
      <c r="K651" s="143"/>
      <c r="L651" s="143"/>
      <c r="X651" s="169"/>
      <c r="Y651" s="169"/>
      <c r="Z651" s="169"/>
      <c r="AA651" s="169"/>
      <c r="AB651" s="169"/>
      <c r="AC651" s="169"/>
      <c r="AD651" s="169"/>
      <c r="AE651" s="169"/>
      <c r="AF651" s="213"/>
      <c r="AG651" s="213"/>
      <c r="AH651" s="213"/>
      <c r="AI651" s="213"/>
      <c r="AJ651" s="213"/>
      <c r="AK651" s="213"/>
      <c r="AL651" s="213"/>
      <c r="AM651" s="213"/>
      <c r="AN651" s="213"/>
      <c r="AO651" s="213"/>
      <c r="AP651" s="213"/>
      <c r="AQ651" s="213"/>
      <c r="AS651" s="204"/>
      <c r="AT651" s="213"/>
      <c r="AU651" s="213"/>
      <c r="AV651" s="213"/>
      <c r="AW651" s="213"/>
      <c r="AX651" s="213"/>
      <c r="AY651" s="170"/>
      <c r="AZ651" s="170"/>
      <c r="BA651" s="170"/>
      <c r="BB651" s="170"/>
      <c r="BC651" s="170"/>
    </row>
    <row r="652" spans="1:60" s="168" customFormat="1" ht="14.25" customHeight="1">
      <c r="A652" s="143"/>
      <c r="B652" s="143"/>
      <c r="C652" s="143"/>
      <c r="D652" s="143"/>
      <c r="E652" s="143"/>
      <c r="F652" s="143"/>
      <c r="G652" s="143"/>
      <c r="H652" s="143"/>
      <c r="I652" s="143"/>
      <c r="J652" s="143"/>
      <c r="K652" s="143"/>
      <c r="L652" s="143"/>
      <c r="X652" s="213"/>
      <c r="Y652" s="213"/>
      <c r="Z652" s="213"/>
      <c r="AA652" s="213"/>
      <c r="AB652" s="213"/>
      <c r="AC652" s="213"/>
      <c r="AD652" s="213"/>
      <c r="AE652" s="213"/>
      <c r="AF652" s="213"/>
      <c r="AG652" s="213"/>
      <c r="AH652" s="213"/>
      <c r="AI652" s="213"/>
      <c r="AJ652" s="213"/>
      <c r="AK652" s="213"/>
      <c r="AL652" s="213"/>
      <c r="AM652" s="213"/>
      <c r="AN652" s="213"/>
      <c r="AO652" s="213"/>
      <c r="AQ652" s="204"/>
      <c r="AR652" s="169"/>
      <c r="AS652" s="169"/>
      <c r="AT652" s="169"/>
      <c r="AU652" s="169"/>
      <c r="AV652" s="169"/>
      <c r="AW652" s="170"/>
      <c r="AX652" s="170"/>
      <c r="AY652" s="170"/>
      <c r="AZ652" s="170"/>
      <c r="BA652" s="170"/>
    </row>
    <row r="653" spans="1:60" s="168" customFormat="1" ht="14.25" customHeight="1">
      <c r="A653" s="143"/>
      <c r="B653" s="143"/>
      <c r="C653" s="143"/>
      <c r="D653" s="143"/>
      <c r="E653" s="143"/>
      <c r="F653" s="143"/>
      <c r="G653" s="143"/>
      <c r="H653" s="143"/>
      <c r="I653" s="143"/>
      <c r="J653" s="143"/>
      <c r="K653" s="143"/>
      <c r="L653" s="143"/>
      <c r="X653" s="213"/>
      <c r="Y653" s="213"/>
      <c r="Z653" s="213"/>
      <c r="AA653" s="213"/>
      <c r="AB653" s="213"/>
      <c r="AC653" s="213"/>
      <c r="AD653" s="213"/>
      <c r="AE653" s="213"/>
      <c r="AF653" s="213"/>
      <c r="AG653" s="213"/>
      <c r="AH653" s="213"/>
      <c r="AI653" s="213"/>
      <c r="AJ653" s="213"/>
      <c r="AK653" s="213"/>
      <c r="AL653" s="213"/>
      <c r="AM653" s="213"/>
      <c r="AO653" s="204"/>
      <c r="AP653" s="169"/>
      <c r="AQ653" s="169"/>
      <c r="AR653" s="169"/>
      <c r="AS653" s="169"/>
      <c r="AT653" s="169"/>
      <c r="AU653" s="170"/>
      <c r="AV653" s="170"/>
      <c r="AW653" s="170"/>
      <c r="AX653" s="170"/>
      <c r="AY653" s="170"/>
    </row>
    <row r="654" spans="1:60" s="168" customFormat="1" ht="14.25" customHeight="1">
      <c r="A654" s="143"/>
      <c r="B654" s="143"/>
      <c r="C654" s="143"/>
      <c r="D654" s="143"/>
      <c r="E654" s="143"/>
      <c r="F654" s="143"/>
      <c r="G654" s="143"/>
      <c r="H654" s="143"/>
      <c r="I654" s="143"/>
      <c r="J654" s="143"/>
      <c r="K654" s="143"/>
      <c r="L654" s="143"/>
      <c r="X654" s="213"/>
      <c r="Y654" s="213"/>
      <c r="Z654" s="213"/>
      <c r="AA654" s="213"/>
      <c r="AB654" s="213"/>
      <c r="AC654" s="213"/>
      <c r="AD654" s="213"/>
      <c r="AE654" s="213"/>
      <c r="AF654" s="213"/>
      <c r="AG654" s="213"/>
      <c r="AH654" s="213"/>
      <c r="AI654" s="213"/>
      <c r="AJ654" s="213"/>
      <c r="AK654" s="213"/>
      <c r="AM654" s="204"/>
      <c r="AN654" s="169"/>
      <c r="AO654" s="169"/>
      <c r="AP654" s="169"/>
      <c r="AQ654" s="169"/>
      <c r="AR654" s="169"/>
      <c r="AS654" s="170"/>
      <c r="AT654" s="170"/>
      <c r="AU654" s="170"/>
      <c r="AV654" s="170"/>
      <c r="AW654" s="170"/>
    </row>
    <row r="655" spans="1:60" s="168" customFormat="1" ht="14.25" customHeight="1">
      <c r="A655" s="143"/>
      <c r="B655" s="143"/>
      <c r="C655" s="143"/>
      <c r="D655" s="143"/>
      <c r="E655" s="143"/>
      <c r="F655" s="143"/>
      <c r="G655" s="143"/>
      <c r="H655" s="143"/>
      <c r="I655" s="143"/>
      <c r="J655" s="143"/>
      <c r="K655" s="143"/>
      <c r="L655" s="143"/>
      <c r="X655" s="213"/>
      <c r="Y655" s="213"/>
      <c r="Z655" s="213"/>
      <c r="AA655" s="213"/>
      <c r="AB655" s="213"/>
      <c r="AC655" s="213"/>
      <c r="AD655" s="213"/>
      <c r="AE655" s="213"/>
      <c r="AF655" s="213"/>
      <c r="AG655" s="213"/>
      <c r="AH655" s="213"/>
      <c r="AI655" s="213"/>
      <c r="AK655" s="204"/>
      <c r="AL655" s="169"/>
      <c r="AM655" s="169"/>
      <c r="AN655" s="169"/>
      <c r="AO655" s="169"/>
      <c r="AP655" s="169"/>
      <c r="AQ655" s="170"/>
      <c r="AR655" s="170"/>
      <c r="AS655" s="170"/>
      <c r="AT655" s="170"/>
      <c r="AU655" s="170"/>
    </row>
    <row r="656" spans="1:60" s="168" customFormat="1" ht="14.25" customHeight="1">
      <c r="A656" s="143"/>
      <c r="B656" s="143"/>
      <c r="C656" s="143"/>
      <c r="D656" s="143"/>
      <c r="E656" s="143"/>
      <c r="F656" s="143"/>
      <c r="G656" s="143"/>
      <c r="H656" s="143"/>
      <c r="I656" s="143"/>
      <c r="J656" s="143"/>
      <c r="K656" s="143"/>
      <c r="L656" s="143"/>
      <c r="X656" s="213"/>
      <c r="Y656" s="213"/>
      <c r="Z656" s="213"/>
      <c r="AA656" s="213"/>
      <c r="AB656" s="213"/>
      <c r="AC656" s="213"/>
      <c r="AD656" s="213"/>
      <c r="AE656" s="213"/>
      <c r="AF656" s="213"/>
      <c r="AG656" s="213"/>
      <c r="AI656" s="204"/>
      <c r="AJ656" s="169"/>
      <c r="AK656" s="169"/>
      <c r="AL656" s="169"/>
      <c r="AM656" s="169"/>
      <c r="AN656" s="169"/>
      <c r="AO656" s="170"/>
      <c r="AP656" s="170"/>
      <c r="AQ656" s="170"/>
      <c r="AR656" s="170"/>
      <c r="AS656" s="170"/>
    </row>
    <row r="657" spans="1:64" s="168" customFormat="1" ht="14.25" customHeight="1">
      <c r="A657" s="143"/>
      <c r="B657" s="143"/>
      <c r="C657" s="143"/>
      <c r="D657" s="143"/>
      <c r="E657" s="143"/>
      <c r="F657" s="143"/>
      <c r="G657" s="143"/>
      <c r="H657" s="143"/>
      <c r="I657" s="143"/>
      <c r="J657" s="143"/>
      <c r="K657" s="143"/>
      <c r="L657" s="143"/>
      <c r="X657" s="213"/>
      <c r="Y657" s="213"/>
      <c r="Z657" s="213"/>
      <c r="AA657" s="213"/>
      <c r="AB657" s="213"/>
      <c r="AC657" s="213"/>
      <c r="AD657" s="213"/>
      <c r="AE657" s="213"/>
      <c r="AG657" s="204"/>
      <c r="AH657" s="169"/>
      <c r="AI657" s="169"/>
      <c r="AJ657" s="169"/>
      <c r="AK657" s="169"/>
      <c r="AL657" s="169"/>
      <c r="AM657" s="170"/>
      <c r="AN657" s="170"/>
      <c r="AO657" s="170"/>
      <c r="AP657" s="170"/>
      <c r="AQ657" s="170"/>
    </row>
    <row r="658" spans="1:64" s="168" customFormat="1" ht="14.25" customHeight="1">
      <c r="A658" s="143"/>
      <c r="B658" s="143"/>
      <c r="C658" s="143"/>
      <c r="D658" s="143"/>
      <c r="E658" s="143"/>
      <c r="F658" s="143"/>
      <c r="G658" s="143"/>
      <c r="H658" s="143"/>
      <c r="I658" s="143"/>
      <c r="J658" s="143"/>
      <c r="K658" s="143"/>
      <c r="L658" s="143"/>
      <c r="X658" s="213"/>
      <c r="Y658" s="213"/>
      <c r="Z658" s="213"/>
      <c r="AA658" s="213"/>
      <c r="AB658" s="213"/>
      <c r="AC658" s="213"/>
      <c r="AE658" s="203"/>
      <c r="AF658" s="204"/>
      <c r="AG658" s="169"/>
      <c r="AH658" s="169"/>
      <c r="AI658" s="169"/>
      <c r="AJ658" s="169"/>
      <c r="AK658" s="169"/>
      <c r="AL658" s="170"/>
      <c r="AM658" s="170"/>
      <c r="AN658" s="170"/>
      <c r="AO658" s="170"/>
      <c r="AP658" s="170"/>
    </row>
    <row r="659" spans="1:64" s="168" customFormat="1" ht="14.25" customHeight="1">
      <c r="A659" s="143">
        <f>A629+1</f>
        <v>22</v>
      </c>
      <c r="B659" s="143"/>
      <c r="C659" s="187" t="str">
        <f>IF($A$1 = 1, (IF("("&amp;C669&amp;")" ="()","","("&amp;C669&amp;")")), (IF("("&amp;C674&amp;")     ("&amp;C669&amp;")"="()     ()","","("&amp;C674&amp;")     ("&amp;C669&amp;")")))</f>
        <v>(9)     (7)</v>
      </c>
      <c r="D659" s="187" t="str">
        <f t="shared" ref="D659:J659" si="64">IF($A$1 = 1, (IF("("&amp;D669&amp;")" ="()","","("&amp;D669&amp;")")), (IF("("&amp;D674&amp;")     ("&amp;D669&amp;")"="()     ()","","("&amp;D674&amp;")     ("&amp;D669&amp;")")))</f>
        <v/>
      </c>
      <c r="E659" s="187" t="str">
        <f t="shared" si="64"/>
        <v/>
      </c>
      <c r="F659" s="187" t="str">
        <f t="shared" si="64"/>
        <v/>
      </c>
      <c r="G659" s="187" t="str">
        <f t="shared" si="64"/>
        <v/>
      </c>
      <c r="H659" s="187" t="str">
        <f t="shared" si="64"/>
        <v/>
      </c>
      <c r="I659" s="187" t="str">
        <f t="shared" si="64"/>
        <v/>
      </c>
      <c r="J659" s="187" t="str">
        <f t="shared" si="64"/>
        <v/>
      </c>
      <c r="K659" s="166"/>
      <c r="L659" s="166"/>
      <c r="M659" s="170"/>
      <c r="N659" s="170"/>
      <c r="O659" s="170"/>
      <c r="P659" s="170"/>
      <c r="Q659" s="170"/>
      <c r="R659" s="170"/>
      <c r="S659" s="170"/>
      <c r="T659" s="170"/>
      <c r="U659" s="170"/>
      <c r="V659" s="170"/>
      <c r="W659" s="170"/>
      <c r="X659" s="213"/>
      <c r="Y659" s="213"/>
      <c r="Z659" s="213"/>
      <c r="AA659" s="213"/>
      <c r="AB659" s="213"/>
      <c r="AC659" s="213"/>
      <c r="AE659" s="203"/>
      <c r="AF659" s="204"/>
      <c r="AG659" s="169"/>
      <c r="AH659" s="169"/>
      <c r="AI659" s="169"/>
      <c r="AJ659" s="169"/>
      <c r="AK659" s="169"/>
      <c r="AL659" s="170"/>
      <c r="AM659" s="170"/>
      <c r="AN659" s="170"/>
      <c r="AO659" s="170"/>
      <c r="AP659" s="170"/>
    </row>
    <row r="660" spans="1:64" s="168" customFormat="1" ht="59.1" customHeight="1">
      <c r="A660" s="143"/>
      <c r="B660" s="177"/>
      <c r="C660" s="178" t="s">
        <v>866</v>
      </c>
      <c r="D660" s="178"/>
      <c r="E660" s="178"/>
      <c r="F660" s="178"/>
      <c r="G660" s="178"/>
      <c r="H660" s="178"/>
      <c r="I660" s="178"/>
      <c r="J660" s="178"/>
      <c r="K660" s="178"/>
      <c r="L660" s="178"/>
      <c r="M660" s="208"/>
      <c r="N660" s="208"/>
      <c r="O660" s="208"/>
      <c r="P660" s="208"/>
      <c r="Q660" s="208"/>
      <c r="R660" s="208"/>
      <c r="S660" s="208"/>
      <c r="T660" s="208"/>
      <c r="U660" s="208"/>
      <c r="V660" s="208"/>
      <c r="W660" s="208"/>
      <c r="X660" s="210"/>
      <c r="Y660" s="210"/>
      <c r="Z660" s="210"/>
      <c r="AA660" s="210"/>
      <c r="AB660" s="210"/>
      <c r="AC660" s="210"/>
      <c r="AD660" s="210"/>
      <c r="AE660" s="210"/>
      <c r="AF660" s="210"/>
      <c r="AG660" s="210"/>
      <c r="AH660" s="210"/>
      <c r="AI660" s="210"/>
      <c r="AJ660" s="210"/>
      <c r="AK660" s="210"/>
      <c r="AL660" s="210"/>
      <c r="AM660" s="210"/>
      <c r="AN660" s="210"/>
      <c r="AO660" s="216"/>
      <c r="AP660" s="216"/>
      <c r="AQ660" s="216"/>
      <c r="AR660" s="216"/>
      <c r="AS660" s="216"/>
      <c r="AT660" s="216"/>
      <c r="AU660" s="216"/>
      <c r="AV660" s="216"/>
      <c r="AW660" s="216"/>
      <c r="AX660" s="210"/>
      <c r="AY660" s="216"/>
      <c r="AZ660" s="216"/>
      <c r="BA660" s="216"/>
      <c r="BB660" s="216"/>
      <c r="BC660" s="216"/>
      <c r="BD660" s="216"/>
      <c r="BE660" s="216"/>
      <c r="BF660" s="216"/>
      <c r="BG660" s="216"/>
      <c r="BH660" s="216"/>
      <c r="BI660" s="216"/>
      <c r="BJ660" s="210"/>
      <c r="BK660" s="210"/>
      <c r="BL660" s="210"/>
    </row>
    <row r="661" spans="1:64" s="168" customFormat="1" ht="18" customHeight="1" thickBot="1">
      <c r="A661" s="143"/>
      <c r="B661" s="181" t="s">
        <v>3</v>
      </c>
      <c r="C661" s="148">
        <v>90</v>
      </c>
      <c r="D661" s="148"/>
      <c r="E661" s="148"/>
      <c r="F661" s="148"/>
      <c r="G661" s="148"/>
      <c r="H661" s="148"/>
      <c r="I661" s="148"/>
      <c r="J661" s="148"/>
      <c r="K661" s="148"/>
      <c r="L661" s="148"/>
      <c r="M661" s="211"/>
      <c r="N661" s="211"/>
      <c r="O661" s="211"/>
      <c r="P661" s="211"/>
      <c r="Q661" s="211"/>
      <c r="R661" s="211"/>
      <c r="S661" s="211"/>
      <c r="T661" s="211"/>
      <c r="U661" s="211"/>
      <c r="V661" s="211"/>
      <c r="W661" s="211"/>
      <c r="AO661" s="213"/>
      <c r="AP661" s="213"/>
      <c r="AQ661" s="213"/>
      <c r="AR661" s="213"/>
      <c r="AS661" s="213"/>
      <c r="AT661" s="213"/>
      <c r="AU661" s="213"/>
      <c r="AV661" s="213"/>
      <c r="AW661" s="213"/>
      <c r="AY661" s="213"/>
      <c r="AZ661" s="213"/>
      <c r="BA661" s="213"/>
      <c r="BB661" s="213"/>
      <c r="BC661" s="213"/>
      <c r="BD661" s="213"/>
      <c r="BE661" s="213"/>
      <c r="BF661" s="213"/>
      <c r="BG661" s="213"/>
      <c r="BH661" s="213"/>
      <c r="BI661" s="213"/>
    </row>
    <row r="662" spans="1:64" s="168" customFormat="1" ht="18" customHeight="1" thickBot="1">
      <c r="A662" s="143"/>
      <c r="B662" s="182" t="s">
        <v>18</v>
      </c>
      <c r="C662" s="148">
        <v>82</v>
      </c>
      <c r="D662" s="148"/>
      <c r="E662" s="148"/>
      <c r="F662" s="148"/>
      <c r="G662" s="148"/>
      <c r="H662" s="148"/>
      <c r="I662" s="148"/>
      <c r="J662" s="148"/>
      <c r="K662" s="148"/>
      <c r="L662" s="148"/>
      <c r="M662" s="145"/>
      <c r="N662" s="145"/>
      <c r="O662" s="145"/>
      <c r="P662" s="145"/>
      <c r="Q662" s="145"/>
      <c r="R662" s="145"/>
      <c r="S662" s="145"/>
      <c r="T662" s="145"/>
      <c r="U662" s="145"/>
      <c r="V662" s="145"/>
      <c r="W662" s="145"/>
      <c r="AO662" s="213"/>
      <c r="AP662" s="213"/>
      <c r="AQ662" s="213"/>
      <c r="AR662" s="213"/>
      <c r="AS662" s="213"/>
      <c r="AT662" s="213"/>
      <c r="AU662" s="213"/>
      <c r="AV662" s="213"/>
      <c r="AW662" s="213"/>
      <c r="AY662" s="213"/>
      <c r="AZ662" s="213"/>
      <c r="BA662" s="213"/>
      <c r="BB662" s="213"/>
      <c r="BC662" s="213"/>
      <c r="BD662" s="213"/>
      <c r="BE662" s="213"/>
      <c r="BF662" s="213"/>
      <c r="BG662" s="213"/>
      <c r="BH662" s="213"/>
      <c r="BI662" s="213"/>
    </row>
    <row r="663" spans="1:64" s="168" customFormat="1" ht="18" customHeight="1" thickBot="1">
      <c r="A663" s="143"/>
      <c r="B663" s="183" t="s">
        <v>32</v>
      </c>
      <c r="C663" s="147">
        <v>73</v>
      </c>
      <c r="D663" s="147"/>
      <c r="E663" s="147"/>
      <c r="F663" s="147"/>
      <c r="G663" s="147"/>
      <c r="H663" s="147"/>
      <c r="I663" s="147"/>
      <c r="J663" s="147"/>
      <c r="K663" s="147"/>
      <c r="L663" s="147"/>
      <c r="M663" s="145"/>
      <c r="N663" s="145"/>
      <c r="O663" s="145"/>
      <c r="P663" s="145"/>
      <c r="Q663" s="145"/>
      <c r="R663" s="145"/>
      <c r="S663" s="145"/>
      <c r="T663" s="145"/>
      <c r="U663" s="145"/>
      <c r="V663" s="145"/>
      <c r="W663" s="145"/>
      <c r="AO663" s="213"/>
      <c r="AP663" s="213"/>
      <c r="AQ663" s="213"/>
      <c r="AR663" s="213"/>
      <c r="AS663" s="213"/>
      <c r="AT663" s="213"/>
      <c r="AU663" s="213"/>
      <c r="AV663" s="213"/>
      <c r="AW663" s="213"/>
      <c r="AY663" s="213"/>
      <c r="AZ663" s="213"/>
      <c r="BA663" s="213"/>
      <c r="BB663" s="213"/>
      <c r="BC663" s="213"/>
      <c r="BD663" s="213"/>
      <c r="BE663" s="213"/>
      <c r="BF663" s="213"/>
      <c r="BG663" s="213"/>
      <c r="BH663" s="213"/>
    </row>
    <row r="664" spans="1:64" s="168" customFormat="1" ht="18" customHeight="1" thickBot="1">
      <c r="A664" s="143"/>
      <c r="B664" s="182" t="s">
        <v>45</v>
      </c>
      <c r="C664" s="145">
        <v>71</v>
      </c>
      <c r="D664" s="145"/>
      <c r="E664" s="145"/>
      <c r="F664" s="145"/>
      <c r="G664" s="145"/>
      <c r="H664" s="145"/>
      <c r="I664" s="145"/>
      <c r="J664" s="145"/>
      <c r="K664" s="145"/>
      <c r="L664" s="145"/>
      <c r="M664" s="145"/>
      <c r="N664" s="145"/>
      <c r="O664" s="145"/>
      <c r="P664" s="145"/>
      <c r="Q664" s="145"/>
      <c r="R664" s="145"/>
      <c r="S664" s="145"/>
      <c r="T664" s="145"/>
      <c r="U664" s="145"/>
      <c r="V664" s="145"/>
      <c r="W664" s="145"/>
      <c r="AO664" s="213"/>
      <c r="AP664" s="213"/>
      <c r="AQ664" s="213"/>
      <c r="AR664" s="213"/>
      <c r="AS664" s="213"/>
      <c r="AT664" s="213"/>
      <c r="AU664" s="213"/>
      <c r="AV664" s="213"/>
      <c r="AW664" s="213"/>
      <c r="AY664" s="213"/>
      <c r="AZ664" s="213"/>
      <c r="BA664" s="213"/>
      <c r="BB664" s="213"/>
      <c r="BC664" s="213"/>
      <c r="BD664" s="213"/>
      <c r="BE664" s="213"/>
      <c r="BF664" s="213"/>
      <c r="BG664" s="213"/>
      <c r="BH664" s="213"/>
    </row>
    <row r="665" spans="1:64" s="168" customFormat="1" ht="18" customHeight="1" thickBot="1">
      <c r="A665" s="143"/>
      <c r="B665" s="184" t="s">
        <v>54</v>
      </c>
      <c r="C665" s="146">
        <v>83</v>
      </c>
      <c r="D665" s="146"/>
      <c r="E665" s="146"/>
      <c r="F665" s="146"/>
      <c r="G665" s="146"/>
      <c r="H665" s="146"/>
      <c r="I665" s="146"/>
      <c r="J665" s="146"/>
      <c r="K665" s="146"/>
      <c r="L665" s="146"/>
      <c r="M665" s="145"/>
      <c r="N665" s="145"/>
      <c r="O665" s="145"/>
      <c r="P665" s="145"/>
      <c r="Q665" s="145"/>
      <c r="R665" s="145"/>
      <c r="S665" s="145"/>
      <c r="T665" s="145"/>
      <c r="U665" s="145"/>
      <c r="V665" s="145"/>
      <c r="W665" s="145"/>
      <c r="AO665" s="213"/>
      <c r="AP665" s="213"/>
      <c r="AQ665" s="213"/>
      <c r="AR665" s="213"/>
      <c r="AS665" s="213"/>
      <c r="AT665" s="213"/>
      <c r="AU665" s="213"/>
      <c r="AV665" s="213"/>
      <c r="AW665" s="213"/>
      <c r="AY665" s="213"/>
      <c r="AZ665" s="213"/>
      <c r="BA665" s="213"/>
      <c r="BB665" s="213"/>
      <c r="BC665" s="213"/>
      <c r="BD665" s="213"/>
      <c r="BE665" s="213"/>
      <c r="BF665" s="213"/>
      <c r="BG665" s="213"/>
      <c r="BH665" s="213"/>
    </row>
    <row r="666" spans="1:64" s="168" customFormat="1">
      <c r="A666" s="143"/>
      <c r="B666" s="182" t="s">
        <v>66</v>
      </c>
      <c r="C666" s="145">
        <v>71</v>
      </c>
      <c r="D666" s="145"/>
      <c r="E666" s="145"/>
      <c r="F666" s="145"/>
      <c r="G666" s="145"/>
      <c r="H666" s="125"/>
      <c r="I666" s="125"/>
      <c r="J666" s="125"/>
      <c r="K666" s="125"/>
      <c r="L666" s="125"/>
      <c r="M666" s="145"/>
      <c r="N666" s="145"/>
      <c r="O666" s="145"/>
      <c r="P666" s="145"/>
      <c r="Q666" s="145"/>
      <c r="R666" s="145"/>
      <c r="S666" s="145"/>
      <c r="T666" s="145"/>
      <c r="U666" s="145"/>
      <c r="V666" s="145"/>
      <c r="W666" s="145"/>
      <c r="AO666" s="213"/>
      <c r="AP666" s="213"/>
      <c r="AQ666" s="213"/>
      <c r="AR666" s="213"/>
      <c r="AS666" s="213"/>
      <c r="AT666" s="213"/>
      <c r="AU666" s="213"/>
      <c r="AV666" s="213"/>
      <c r="AW666" s="213"/>
      <c r="AY666" s="213"/>
      <c r="AZ666" s="213"/>
      <c r="BA666" s="213"/>
      <c r="BB666" s="213"/>
      <c r="BC666" s="213"/>
      <c r="BD666" s="213"/>
      <c r="BE666" s="213"/>
      <c r="BF666" s="213"/>
      <c r="BG666" s="213"/>
      <c r="BH666" s="213"/>
    </row>
    <row r="667" spans="1:64" s="168" customFormat="1">
      <c r="A667" s="143"/>
      <c r="B667" s="182" t="s">
        <v>158</v>
      </c>
      <c r="C667" s="126">
        <v>81</v>
      </c>
      <c r="D667" s="126"/>
      <c r="E667" s="126"/>
      <c r="F667" s="126"/>
      <c r="G667" s="126"/>
      <c r="H667" s="126"/>
      <c r="I667" s="126"/>
      <c r="J667" s="126"/>
      <c r="K667" s="126"/>
      <c r="L667" s="126"/>
      <c r="M667" s="126"/>
      <c r="N667" s="126"/>
      <c r="O667" s="126"/>
      <c r="P667" s="126"/>
      <c r="Q667" s="126"/>
      <c r="R667" s="126"/>
      <c r="S667" s="126"/>
      <c r="T667" s="126"/>
      <c r="U667" s="126"/>
      <c r="V667" s="126"/>
      <c r="W667" s="126"/>
      <c r="AO667" s="213"/>
      <c r="AP667" s="213"/>
      <c r="AQ667" s="213"/>
      <c r="AR667" s="213"/>
      <c r="AS667" s="213"/>
      <c r="AT667" s="213"/>
      <c r="AU667" s="213"/>
      <c r="AV667" s="213"/>
      <c r="AW667" s="213"/>
      <c r="AY667" s="213"/>
      <c r="AZ667" s="213"/>
      <c r="BA667" s="213"/>
      <c r="BB667" s="213"/>
      <c r="BC667" s="213"/>
      <c r="BD667" s="213"/>
      <c r="BE667" s="213"/>
      <c r="BF667" s="213"/>
      <c r="BG667" s="213"/>
      <c r="BH667" s="213"/>
    </row>
    <row r="668" spans="1:64" s="212" customFormat="1">
      <c r="A668" s="143"/>
      <c r="B668" s="182" t="s">
        <v>191</v>
      </c>
      <c r="C668" s="127">
        <v>69</v>
      </c>
      <c r="D668" s="127"/>
      <c r="E668" s="127"/>
      <c r="F668" s="127"/>
      <c r="G668" s="127"/>
      <c r="H668" s="126"/>
      <c r="I668" s="126"/>
      <c r="J668" s="126"/>
      <c r="K668" s="126"/>
      <c r="L668" s="126"/>
      <c r="M668" s="126"/>
      <c r="N668" s="126"/>
      <c r="O668" s="126"/>
      <c r="P668" s="126"/>
      <c r="Q668" s="126"/>
      <c r="R668" s="126"/>
      <c r="S668" s="126"/>
      <c r="T668" s="126"/>
      <c r="U668" s="126"/>
      <c r="V668" s="126"/>
      <c r="W668" s="126"/>
      <c r="X668" s="168"/>
      <c r="Y668" s="168"/>
      <c r="Z668" s="168"/>
      <c r="AA668" s="168"/>
      <c r="AB668" s="168"/>
      <c r="AC668" s="168"/>
      <c r="AD668" s="168"/>
      <c r="AE668" s="168"/>
      <c r="AF668" s="168"/>
      <c r="AG668" s="168"/>
      <c r="AH668" s="168"/>
      <c r="AI668" s="168"/>
      <c r="AJ668" s="168"/>
      <c r="AK668" s="168"/>
      <c r="AL668" s="168"/>
      <c r="AM668" s="168"/>
      <c r="AN668" s="168"/>
      <c r="AO668" s="214"/>
      <c r="AP668" s="214"/>
      <c r="AQ668" s="214"/>
      <c r="AR668" s="214"/>
      <c r="AS668" s="214"/>
      <c r="AT668" s="213"/>
      <c r="AU668" s="213"/>
      <c r="AV668" s="213"/>
      <c r="AW668" s="213"/>
      <c r="AX668" s="168"/>
      <c r="AY668" s="213"/>
      <c r="AZ668" s="213"/>
      <c r="BA668" s="213"/>
      <c r="BB668" s="213"/>
      <c r="BC668" s="213"/>
      <c r="BD668" s="213"/>
      <c r="BE668" s="213"/>
      <c r="BF668" s="213"/>
      <c r="BG668" s="213"/>
      <c r="BH668" s="213"/>
      <c r="BI668" s="168"/>
      <c r="BJ668" s="168"/>
      <c r="BK668" s="168"/>
      <c r="BL668" s="168"/>
    </row>
    <row r="669" spans="1:64" s="210" customFormat="1" ht="15" thickBot="1">
      <c r="A669" s="174"/>
      <c r="B669" s="182" t="s">
        <v>442</v>
      </c>
      <c r="C669" s="126">
        <v>7</v>
      </c>
      <c r="D669" s="315"/>
      <c r="E669" s="315"/>
      <c r="F669" s="315"/>
      <c r="G669" s="315"/>
      <c r="H669" s="315"/>
      <c r="I669" s="315"/>
      <c r="J669" s="315"/>
      <c r="K669" s="315"/>
      <c r="L669" s="315"/>
      <c r="M669" s="126"/>
      <c r="N669" s="126"/>
      <c r="O669" s="126"/>
      <c r="P669" s="126"/>
      <c r="Q669" s="126"/>
      <c r="R669" s="126"/>
      <c r="S669" s="126"/>
      <c r="T669" s="126"/>
      <c r="U669" s="126"/>
      <c r="V669" s="126"/>
      <c r="W669" s="126"/>
      <c r="X669" s="168"/>
      <c r="Y669" s="168"/>
      <c r="Z669" s="168"/>
      <c r="AA669" s="168"/>
      <c r="AB669" s="168"/>
      <c r="AC669" s="168"/>
      <c r="AD669" s="168"/>
      <c r="AE669" s="168"/>
      <c r="AF669" s="168"/>
      <c r="AG669" s="168"/>
      <c r="AH669" s="168"/>
      <c r="AI669" s="168"/>
      <c r="AJ669" s="168"/>
      <c r="AK669" s="168"/>
      <c r="AL669" s="168"/>
      <c r="AM669" s="168"/>
      <c r="AN669" s="168"/>
      <c r="AO669" s="213"/>
      <c r="AP669" s="213"/>
      <c r="AQ669" s="213"/>
      <c r="AR669" s="213"/>
      <c r="AS669" s="213"/>
      <c r="AT669" s="213"/>
      <c r="AU669" s="213"/>
      <c r="AV669" s="213"/>
      <c r="AW669" s="213"/>
      <c r="AX669" s="168"/>
      <c r="AY669" s="213"/>
      <c r="AZ669" s="213"/>
      <c r="BA669" s="213"/>
      <c r="BB669" s="213"/>
      <c r="BC669" s="213"/>
      <c r="BD669" s="213"/>
      <c r="BE669" s="213"/>
      <c r="BF669" s="213"/>
      <c r="BG669" s="213"/>
      <c r="BH669" s="213"/>
      <c r="BI669" s="168"/>
      <c r="BJ669" s="168"/>
      <c r="BK669" s="168"/>
      <c r="BL669" s="168"/>
    </row>
    <row r="670" spans="1:64" s="168" customFormat="1">
      <c r="A670" s="179"/>
      <c r="B670" s="338" t="s">
        <v>166</v>
      </c>
      <c r="C670" s="316">
        <f>IF(OR(C673="**",C673=""),"",VALUE(C673))</f>
        <v>89</v>
      </c>
      <c r="D670" s="316" t="str">
        <f t="shared" ref="D670:J670" si="65">IF(OR(D673="**",D673=""),"",VALUE(D673))</f>
        <v/>
      </c>
      <c r="E670" s="316" t="str">
        <f t="shared" si="65"/>
        <v/>
      </c>
      <c r="F670" s="316" t="str">
        <f t="shared" si="65"/>
        <v/>
      </c>
      <c r="G670" s="316" t="str">
        <f t="shared" si="65"/>
        <v/>
      </c>
      <c r="H670" s="316" t="str">
        <f t="shared" si="65"/>
        <v/>
      </c>
      <c r="I670" s="316" t="str">
        <f t="shared" si="65"/>
        <v/>
      </c>
      <c r="J670" s="316" t="str">
        <f t="shared" si="65"/>
        <v/>
      </c>
      <c r="K670" s="316"/>
      <c r="L670" s="316"/>
      <c r="M670" s="126"/>
      <c r="N670" s="126"/>
      <c r="O670" s="126"/>
      <c r="P670" s="126"/>
      <c r="Q670" s="126"/>
      <c r="R670" s="126"/>
      <c r="S670" s="126"/>
      <c r="T670" s="126"/>
      <c r="U670" s="126"/>
      <c r="V670" s="126"/>
      <c r="W670" s="126"/>
      <c r="AO670" s="213"/>
      <c r="AP670" s="213"/>
      <c r="AQ670" s="213"/>
      <c r="AR670" s="213"/>
      <c r="AS670" s="213"/>
      <c r="AT670" s="213"/>
      <c r="AU670" s="213"/>
      <c r="AV670" s="213"/>
      <c r="AW670" s="213"/>
      <c r="AY670" s="213"/>
      <c r="AZ670" s="213"/>
      <c r="BA670" s="213"/>
      <c r="BB670" s="213"/>
      <c r="BC670" s="213"/>
      <c r="BD670" s="213"/>
      <c r="BE670" s="213"/>
      <c r="BF670" s="213"/>
      <c r="BG670" s="213"/>
      <c r="BH670" s="213"/>
    </row>
    <row r="671" spans="1:64" s="168" customFormat="1" ht="15" thickBot="1">
      <c r="A671" s="143"/>
      <c r="B671" s="339" t="s">
        <v>165</v>
      </c>
      <c r="C671" s="317">
        <f t="shared" ref="C671:J671" si="66">IF(OR(C667="**",C667=""),"",VALUE(C667))</f>
        <v>81</v>
      </c>
      <c r="D671" s="317" t="str">
        <f t="shared" si="66"/>
        <v/>
      </c>
      <c r="E671" s="317" t="str">
        <f t="shared" si="66"/>
        <v/>
      </c>
      <c r="F671" s="317" t="str">
        <f t="shared" si="66"/>
        <v/>
      </c>
      <c r="G671" s="317" t="str">
        <f t="shared" si="66"/>
        <v/>
      </c>
      <c r="H671" s="317" t="str">
        <f t="shared" si="66"/>
        <v/>
      </c>
      <c r="I671" s="317" t="str">
        <f t="shared" si="66"/>
        <v/>
      </c>
      <c r="J671" s="317" t="str">
        <f t="shared" si="66"/>
        <v/>
      </c>
      <c r="K671" s="317"/>
      <c r="L671" s="317"/>
      <c r="M671" s="169"/>
      <c r="N671" s="169"/>
      <c r="O671" s="169"/>
      <c r="P671" s="169"/>
      <c r="Q671" s="169"/>
      <c r="R671" s="169"/>
      <c r="S671" s="169"/>
      <c r="T671" s="169"/>
      <c r="U671" s="169"/>
      <c r="V671" s="169"/>
      <c r="W671" s="169"/>
      <c r="AO671" s="169"/>
      <c r="AP671" s="169"/>
      <c r="AQ671" s="169"/>
      <c r="AR671" s="169"/>
      <c r="AS671" s="169"/>
      <c r="AT671" s="169"/>
      <c r="AU671" s="169"/>
      <c r="AV671" s="169"/>
      <c r="AW671" s="213"/>
      <c r="AX671" s="213"/>
      <c r="AY671" s="213"/>
      <c r="AZ671" s="213"/>
      <c r="BA671" s="213"/>
      <c r="BB671" s="213"/>
      <c r="BC671" s="213"/>
      <c r="BD671" s="213"/>
      <c r="BE671" s="213"/>
      <c r="BF671" s="213"/>
      <c r="BG671" s="213"/>
      <c r="BH671" s="213"/>
    </row>
    <row r="672" spans="1:64" s="168" customFormat="1">
      <c r="A672" s="143"/>
      <c r="B672" s="340" t="s">
        <v>483</v>
      </c>
      <c r="C672" s="167" t="s">
        <v>866</v>
      </c>
      <c r="D672" s="167"/>
      <c r="E672" s="167"/>
      <c r="F672" s="167"/>
      <c r="G672" s="167"/>
      <c r="H672" s="166"/>
      <c r="I672" s="166"/>
      <c r="J672" s="166"/>
      <c r="K672" s="166"/>
      <c r="L672" s="166"/>
      <c r="X672" s="213"/>
      <c r="Y672" s="213"/>
      <c r="Z672" s="213"/>
      <c r="AA672" s="213"/>
      <c r="AB672" s="213"/>
      <c r="AC672" s="213"/>
      <c r="AE672" s="203"/>
      <c r="AF672" s="182"/>
      <c r="AG672" s="145"/>
      <c r="AH672" s="145"/>
      <c r="AI672" s="145"/>
      <c r="AJ672" s="145"/>
      <c r="AK672" s="145"/>
      <c r="AL672" s="145"/>
      <c r="AM672" s="145"/>
      <c r="AN672" s="145"/>
      <c r="AO672" s="170"/>
      <c r="AP672" s="170"/>
    </row>
    <row r="673" spans="1:23" s="168" customFormat="1">
      <c r="A673" s="143"/>
      <c r="B673" s="182" t="s">
        <v>158</v>
      </c>
      <c r="C673" s="165">
        <v>89</v>
      </c>
      <c r="D673" s="165"/>
      <c r="E673" s="165"/>
      <c r="F673" s="165"/>
      <c r="G673" s="165"/>
      <c r="H673" s="166"/>
      <c r="I673" s="166"/>
      <c r="J673" s="166"/>
      <c r="K673" s="166"/>
      <c r="L673" s="166"/>
    </row>
    <row r="674" spans="1:23" s="168" customFormat="1">
      <c r="A674" s="143"/>
      <c r="B674" s="340" t="s">
        <v>442</v>
      </c>
      <c r="C674" s="165">
        <v>9</v>
      </c>
      <c r="D674" s="165"/>
      <c r="E674" s="165"/>
      <c r="F674" s="165"/>
      <c r="G674" s="165"/>
      <c r="H674" s="165"/>
      <c r="I674" s="165"/>
      <c r="J674" s="165"/>
      <c r="K674" s="165"/>
      <c r="L674" s="165"/>
    </row>
    <row r="675" spans="1:23" s="168" customFormat="1">
      <c r="A675" s="143"/>
      <c r="B675" s="143"/>
      <c r="C675" s="143"/>
      <c r="D675" s="143"/>
      <c r="E675" s="143"/>
      <c r="F675" s="143"/>
      <c r="G675" s="143"/>
      <c r="H675" s="143"/>
      <c r="I675" s="143"/>
      <c r="J675" s="143"/>
      <c r="K675" s="143"/>
      <c r="L675" s="143"/>
    </row>
    <row r="676" spans="1:23" s="168" customFormat="1">
      <c r="A676" s="143"/>
      <c r="B676" s="143"/>
      <c r="C676" s="143"/>
      <c r="D676" s="143"/>
      <c r="E676" s="143"/>
      <c r="F676" s="143"/>
      <c r="G676" s="143"/>
      <c r="H676" s="167"/>
      <c r="I676" s="167"/>
      <c r="J676" s="167"/>
      <c r="K676" s="167"/>
      <c r="L676" s="167"/>
      <c r="M676" s="213"/>
      <c r="N676" s="213"/>
      <c r="O676" s="213"/>
      <c r="P676" s="213"/>
      <c r="Q676" s="213"/>
      <c r="R676" s="213"/>
      <c r="S676" s="213"/>
      <c r="T676" s="213"/>
      <c r="U676" s="213"/>
      <c r="V676" s="213"/>
      <c r="W676" s="213"/>
    </row>
    <row r="677" spans="1:23" s="168" customFormat="1">
      <c r="A677" s="143"/>
      <c r="B677" s="143"/>
      <c r="C677" s="143"/>
      <c r="D677" s="143"/>
      <c r="E677" s="143"/>
      <c r="F677" s="143"/>
      <c r="G677" s="167"/>
      <c r="H677" s="167"/>
      <c r="I677" s="167"/>
      <c r="J677" s="167"/>
      <c r="K677" s="167"/>
      <c r="L677" s="167"/>
      <c r="M677" s="213"/>
      <c r="N677" s="213"/>
      <c r="O677" s="213"/>
      <c r="P677" s="213"/>
      <c r="Q677" s="213"/>
      <c r="R677" s="213"/>
      <c r="S677" s="213"/>
      <c r="T677" s="213"/>
      <c r="U677" s="213"/>
      <c r="V677" s="213"/>
      <c r="W677" s="213"/>
    </row>
    <row r="678" spans="1:23" s="168" customFormat="1" ht="14.25" customHeight="1">
      <c r="A678" s="143"/>
      <c r="B678" s="143"/>
      <c r="C678" s="143"/>
      <c r="D678" s="143"/>
      <c r="E678" s="143"/>
      <c r="F678" s="185"/>
      <c r="G678" s="185"/>
      <c r="H678" s="167"/>
      <c r="I678" s="167"/>
      <c r="J678" s="167"/>
      <c r="K678" s="167"/>
      <c r="L678" s="167"/>
      <c r="M678" s="213"/>
      <c r="N678" s="213"/>
      <c r="O678" s="213"/>
      <c r="P678" s="213"/>
      <c r="Q678" s="213"/>
      <c r="R678" s="213"/>
      <c r="S678" s="213"/>
      <c r="T678" s="213"/>
      <c r="U678" s="213"/>
      <c r="V678" s="213"/>
      <c r="W678" s="213"/>
    </row>
    <row r="679" spans="1:23" s="168" customFormat="1" ht="14.25" customHeight="1">
      <c r="A679" s="143" t="s">
        <v>183</v>
      </c>
      <c r="B679" s="143"/>
      <c r="C679" s="143"/>
      <c r="D679" s="143"/>
      <c r="E679" s="167"/>
      <c r="F679" s="167"/>
      <c r="G679" s="167"/>
      <c r="H679" s="167"/>
      <c r="I679" s="167"/>
      <c r="J679" s="167"/>
      <c r="K679" s="167"/>
      <c r="L679" s="167"/>
      <c r="M679" s="213"/>
      <c r="N679" s="213"/>
      <c r="O679" s="213"/>
      <c r="P679" s="213"/>
      <c r="Q679" s="213"/>
      <c r="R679" s="213"/>
      <c r="S679" s="213"/>
      <c r="T679" s="213"/>
      <c r="U679" s="213"/>
      <c r="V679" s="213"/>
      <c r="W679" s="213"/>
    </row>
    <row r="680" spans="1:23" s="168" customFormat="1" ht="14.25" customHeight="1">
      <c r="A680" s="143">
        <v>1</v>
      </c>
      <c r="B680" s="143"/>
      <c r="C680" s="143"/>
      <c r="D680" s="167"/>
      <c r="E680" s="167"/>
      <c r="F680" s="167"/>
      <c r="G680" s="167"/>
      <c r="H680" s="167"/>
      <c r="I680" s="167"/>
      <c r="J680" s="167"/>
      <c r="K680" s="167"/>
      <c r="L680" s="167"/>
      <c r="M680" s="213"/>
      <c r="N680" s="213"/>
      <c r="O680" s="213"/>
      <c r="P680" s="213"/>
      <c r="Q680" s="213"/>
      <c r="R680" s="213"/>
      <c r="S680" s="213"/>
      <c r="T680" s="213"/>
      <c r="U680" s="213"/>
      <c r="V680" s="213"/>
      <c r="W680" s="213"/>
    </row>
    <row r="681" spans="1:23" s="168" customFormat="1" ht="14.25" customHeight="1">
      <c r="A681" s="143"/>
      <c r="B681" s="143"/>
      <c r="C681" s="165"/>
      <c r="D681" s="165"/>
      <c r="E681" s="165"/>
      <c r="F681" s="165"/>
      <c r="G681" s="165"/>
      <c r="H681" s="165"/>
      <c r="I681" s="165"/>
      <c r="J681" s="165"/>
      <c r="K681" s="165"/>
      <c r="L681" s="165"/>
      <c r="M681" s="169"/>
      <c r="N681" s="169"/>
      <c r="O681" s="169"/>
      <c r="P681" s="169"/>
      <c r="Q681" s="169"/>
      <c r="R681" s="169"/>
      <c r="S681" s="169"/>
      <c r="T681" s="169"/>
      <c r="U681" s="169"/>
      <c r="V681" s="169"/>
      <c r="W681" s="169"/>
    </row>
    <row r="682" spans="1:23" s="168" customFormat="1" ht="14.25" customHeight="1">
      <c r="A682" s="143"/>
      <c r="B682" s="167"/>
      <c r="C682" s="167"/>
      <c r="D682" s="167"/>
      <c r="E682" s="167"/>
      <c r="F682" s="167"/>
      <c r="G682" s="167"/>
      <c r="H682" s="167"/>
      <c r="I682" s="167"/>
      <c r="J682" s="167"/>
      <c r="K682" s="167"/>
      <c r="L682" s="167"/>
      <c r="M682" s="213"/>
      <c r="N682" s="213"/>
      <c r="O682" s="213"/>
      <c r="P682" s="213"/>
      <c r="Q682" s="213"/>
      <c r="R682" s="213"/>
      <c r="S682" s="213"/>
      <c r="T682" s="213"/>
      <c r="U682" s="213"/>
      <c r="V682" s="213"/>
      <c r="W682" s="213"/>
    </row>
    <row r="683" spans="1:23" s="213" customFormat="1" ht="14.25" customHeight="1">
      <c r="A683" s="167"/>
      <c r="B683" s="167"/>
      <c r="C683" s="167"/>
      <c r="D683" s="167"/>
      <c r="E683" s="167"/>
      <c r="F683" s="167"/>
      <c r="G683" s="167"/>
      <c r="H683" s="167"/>
      <c r="I683" s="167"/>
      <c r="J683" s="167"/>
      <c r="K683" s="167"/>
      <c r="L683" s="167"/>
    </row>
    <row r="684" spans="1:23" s="213" customFormat="1" ht="14.25" customHeight="1">
      <c r="A684" s="167"/>
      <c r="B684" s="167"/>
      <c r="C684" s="167"/>
      <c r="D684" s="167"/>
      <c r="E684" s="167"/>
      <c r="F684" s="167"/>
      <c r="G684" s="167"/>
      <c r="H684" s="167"/>
      <c r="I684" s="167"/>
      <c r="J684" s="167"/>
      <c r="K684" s="167"/>
      <c r="L684" s="167"/>
    </row>
    <row r="685" spans="1:23" s="213" customFormat="1" ht="14.25" customHeight="1">
      <c r="A685" s="167"/>
      <c r="B685" s="167"/>
      <c r="C685" s="167"/>
      <c r="D685" s="167"/>
      <c r="E685" s="167"/>
      <c r="F685" s="167"/>
      <c r="G685" s="167"/>
      <c r="H685" s="167"/>
      <c r="I685" s="167"/>
      <c r="J685" s="167"/>
      <c r="K685" s="167"/>
      <c r="L685" s="167"/>
    </row>
    <row r="686" spans="1:23" s="213" customFormat="1" ht="14.25" customHeight="1">
      <c r="A686" s="167"/>
      <c r="B686" s="167"/>
      <c r="C686" s="167"/>
      <c r="D686" s="167"/>
      <c r="E686" s="167"/>
      <c r="F686" s="167"/>
      <c r="G686" s="167"/>
      <c r="H686" s="167"/>
      <c r="I686" s="167"/>
      <c r="J686" s="167"/>
      <c r="K686" s="167"/>
      <c r="L686" s="167"/>
    </row>
    <row r="687" spans="1:23" s="213" customFormat="1" ht="14.25" customHeight="1">
      <c r="A687" s="167"/>
      <c r="B687" s="167"/>
      <c r="C687" s="167"/>
      <c r="D687" s="167"/>
      <c r="E687" s="167"/>
      <c r="F687" s="167"/>
      <c r="G687" s="167"/>
      <c r="H687" s="167"/>
      <c r="I687" s="167"/>
      <c r="J687" s="167"/>
      <c r="K687" s="167"/>
      <c r="L687" s="167"/>
    </row>
    <row r="688" spans="1:23" s="213" customFormat="1" ht="14.25" customHeight="1">
      <c r="A688" s="167"/>
      <c r="B688" s="167"/>
      <c r="C688" s="167"/>
      <c r="D688" s="167"/>
      <c r="E688" s="167"/>
      <c r="F688" s="167"/>
      <c r="G688" s="167"/>
      <c r="H688" s="167"/>
      <c r="I688" s="167"/>
      <c r="J688" s="167"/>
      <c r="K688" s="167"/>
      <c r="L688" s="167"/>
    </row>
    <row r="689" spans="1:64" s="213" customFormat="1" ht="14.25" customHeight="1">
      <c r="A689" s="167">
        <f>A659+1</f>
        <v>23</v>
      </c>
      <c r="B689" s="167"/>
      <c r="C689" s="187" t="str">
        <f>IF($A$1 = 1, (IF("("&amp;C699&amp;")" ="()","","("&amp;C699&amp;")")), (IF("("&amp;C704&amp;")     ("&amp;C699&amp;")"="()     ()","","("&amp;C704&amp;")     ("&amp;C699&amp;")")))</f>
        <v>(12)     (17)</v>
      </c>
      <c r="D689" s="187" t="str">
        <f t="shared" ref="D689:J689" si="67">IF($A$1 = 1, (IF("("&amp;D699&amp;")" ="()","","("&amp;D699&amp;")")), (IF("("&amp;D704&amp;")     ("&amp;D699&amp;")"="()     ()","","("&amp;D704&amp;")     ("&amp;D699&amp;")")))</f>
        <v/>
      </c>
      <c r="E689" s="187" t="str">
        <f t="shared" si="67"/>
        <v/>
      </c>
      <c r="F689" s="187" t="str">
        <f t="shared" si="67"/>
        <v/>
      </c>
      <c r="G689" s="187" t="str">
        <f t="shared" si="67"/>
        <v/>
      </c>
      <c r="H689" s="187" t="str">
        <f t="shared" si="67"/>
        <v/>
      </c>
      <c r="I689" s="187" t="str">
        <f t="shared" si="67"/>
        <v/>
      </c>
      <c r="J689" s="187" t="str">
        <f t="shared" si="67"/>
        <v/>
      </c>
      <c r="K689" s="166"/>
      <c r="L689" s="166"/>
      <c r="M689" s="170"/>
      <c r="N689" s="170"/>
      <c r="O689" s="170"/>
      <c r="P689" s="170"/>
      <c r="Q689" s="170"/>
      <c r="R689" s="170"/>
      <c r="S689" s="170"/>
      <c r="T689" s="170"/>
      <c r="U689" s="170"/>
      <c r="V689" s="170"/>
      <c r="W689" s="170"/>
      <c r="X689" s="170"/>
      <c r="Y689" s="170"/>
      <c r="Z689" s="170"/>
      <c r="AA689" s="170"/>
      <c r="AB689" s="168"/>
      <c r="AC689" s="168"/>
      <c r="AD689" s="168"/>
      <c r="AE689" s="168"/>
      <c r="AF689" s="168"/>
      <c r="AG689" s="168"/>
      <c r="AH689" s="168"/>
      <c r="AI689" s="168"/>
      <c r="AJ689" s="168"/>
      <c r="AK689" s="168"/>
      <c r="AL689" s="168"/>
      <c r="AM689" s="168"/>
      <c r="AN689" s="168"/>
      <c r="AO689" s="168"/>
      <c r="AP689" s="168"/>
      <c r="AQ689" s="168"/>
      <c r="AR689" s="168"/>
      <c r="AS689" s="168"/>
      <c r="AT689" s="168"/>
      <c r="AU689" s="168"/>
      <c r="AV689" s="168"/>
      <c r="AW689" s="168"/>
      <c r="AX689" s="168"/>
      <c r="AY689" s="168"/>
      <c r="AZ689" s="168"/>
      <c r="BA689" s="168"/>
      <c r="BB689" s="168"/>
      <c r="BC689" s="168"/>
    </row>
    <row r="690" spans="1:64" s="213" customFormat="1" ht="59.1" customHeight="1">
      <c r="A690" s="167"/>
      <c r="B690" s="177"/>
      <c r="C690" s="178" t="s">
        <v>867</v>
      </c>
      <c r="D690" s="178"/>
      <c r="E690" s="178"/>
      <c r="F690" s="178"/>
      <c r="G690" s="178"/>
      <c r="H690" s="178"/>
      <c r="I690" s="178"/>
      <c r="J690" s="178"/>
      <c r="K690" s="178"/>
      <c r="L690" s="178"/>
      <c r="M690" s="208"/>
      <c r="N690" s="208"/>
      <c r="O690" s="208"/>
      <c r="P690" s="208"/>
      <c r="Q690" s="208"/>
      <c r="R690" s="208"/>
      <c r="S690" s="208"/>
      <c r="T690" s="208"/>
      <c r="U690" s="208"/>
      <c r="V690" s="208"/>
      <c r="W690" s="208"/>
      <c r="X690" s="210"/>
      <c r="Y690" s="210"/>
      <c r="Z690" s="210"/>
      <c r="AA690" s="210"/>
      <c r="AB690" s="210"/>
      <c r="AC690" s="210"/>
      <c r="AD690" s="210"/>
      <c r="AE690" s="210"/>
      <c r="AF690" s="210"/>
      <c r="AG690" s="210"/>
      <c r="AH690" s="210"/>
      <c r="AI690" s="210"/>
      <c r="AJ690" s="210"/>
      <c r="AK690" s="210"/>
      <c r="AL690" s="210"/>
      <c r="AM690" s="210"/>
      <c r="AN690" s="210"/>
      <c r="AO690" s="216"/>
      <c r="AP690" s="216"/>
      <c r="AQ690" s="216"/>
      <c r="AR690" s="216"/>
      <c r="AS690" s="216"/>
      <c r="AT690" s="216"/>
      <c r="AU690" s="216"/>
      <c r="AV690" s="216"/>
      <c r="AW690" s="216"/>
      <c r="AX690" s="210"/>
      <c r="AY690" s="216"/>
      <c r="AZ690" s="216"/>
      <c r="BA690" s="216"/>
      <c r="BB690" s="216"/>
      <c r="BC690" s="216"/>
      <c r="BD690" s="216"/>
      <c r="BE690" s="216"/>
      <c r="BF690" s="216"/>
      <c r="BG690" s="216"/>
      <c r="BH690" s="216"/>
      <c r="BI690" s="216"/>
      <c r="BJ690" s="210"/>
      <c r="BK690" s="210"/>
      <c r="BL690" s="210"/>
    </row>
    <row r="691" spans="1:64" s="213" customFormat="1" ht="18" customHeight="1" thickBot="1">
      <c r="A691" s="167"/>
      <c r="B691" s="181" t="s">
        <v>3</v>
      </c>
      <c r="C691" s="148">
        <v>61</v>
      </c>
      <c r="D691" s="148"/>
      <c r="E691" s="148"/>
      <c r="F691" s="148"/>
      <c r="G691" s="148"/>
      <c r="H691" s="148"/>
      <c r="I691" s="148"/>
      <c r="J691" s="148"/>
      <c r="K691" s="148"/>
      <c r="L691" s="148"/>
      <c r="M691" s="211"/>
      <c r="N691" s="211"/>
      <c r="O691" s="211"/>
      <c r="P691" s="211"/>
      <c r="Q691" s="211"/>
      <c r="R691" s="211"/>
      <c r="S691" s="211"/>
      <c r="T691" s="211"/>
      <c r="U691" s="211"/>
      <c r="V691" s="211"/>
      <c r="W691" s="211"/>
      <c r="X691" s="168"/>
      <c r="Y691" s="168"/>
      <c r="Z691" s="168"/>
      <c r="AA691" s="168"/>
      <c r="AB691" s="168"/>
      <c r="AC691" s="168"/>
      <c r="AD691" s="168"/>
      <c r="AE691" s="168"/>
      <c r="AF691" s="168"/>
      <c r="AG691" s="168"/>
      <c r="AH691" s="168"/>
      <c r="AI691" s="168"/>
      <c r="AJ691" s="168"/>
      <c r="AK691" s="168"/>
      <c r="AL691" s="168"/>
      <c r="AM691" s="168"/>
      <c r="AN691" s="168"/>
      <c r="AX691" s="168"/>
      <c r="BJ691" s="168"/>
      <c r="BK691" s="168"/>
      <c r="BL691" s="168"/>
    </row>
    <row r="692" spans="1:64" s="213" customFormat="1" ht="18" customHeight="1" thickBot="1">
      <c r="A692" s="167"/>
      <c r="B692" s="182" t="s">
        <v>18</v>
      </c>
      <c r="C692" s="148">
        <v>62</v>
      </c>
      <c r="D692" s="148"/>
      <c r="E692" s="148"/>
      <c r="F692" s="148"/>
      <c r="G692" s="148"/>
      <c r="H692" s="148"/>
      <c r="I692" s="148"/>
      <c r="J692" s="148"/>
      <c r="K692" s="148"/>
      <c r="L692" s="148"/>
      <c r="M692" s="145"/>
      <c r="N692" s="145"/>
      <c r="O692" s="145"/>
      <c r="P692" s="145"/>
      <c r="Q692" s="145"/>
      <c r="R692" s="145"/>
      <c r="S692" s="145"/>
      <c r="T692" s="145"/>
      <c r="U692" s="145"/>
      <c r="V692" s="145"/>
      <c r="W692" s="145"/>
      <c r="X692" s="168"/>
      <c r="Y692" s="168"/>
      <c r="Z692" s="168"/>
      <c r="AA692" s="168"/>
      <c r="AB692" s="168"/>
      <c r="AC692" s="168"/>
      <c r="AD692" s="168"/>
      <c r="AE692" s="168"/>
      <c r="AF692" s="168"/>
      <c r="AG692" s="168"/>
      <c r="AH692" s="168"/>
      <c r="AI692" s="168"/>
      <c r="AJ692" s="168"/>
      <c r="AK692" s="168"/>
      <c r="AL692" s="168"/>
      <c r="AM692" s="168"/>
      <c r="AN692" s="168"/>
      <c r="AX692" s="168"/>
      <c r="BJ692" s="168"/>
      <c r="BK692" s="168"/>
      <c r="BL692" s="168"/>
    </row>
    <row r="693" spans="1:64" s="213" customFormat="1" ht="18" customHeight="1" thickBot="1">
      <c r="A693" s="167"/>
      <c r="B693" s="183" t="s">
        <v>32</v>
      </c>
      <c r="C693" s="147">
        <v>59</v>
      </c>
      <c r="D693" s="147"/>
      <c r="E693" s="147"/>
      <c r="F693" s="147"/>
      <c r="G693" s="147"/>
      <c r="H693" s="147"/>
      <c r="I693" s="147"/>
      <c r="J693" s="147"/>
      <c r="K693" s="147"/>
      <c r="L693" s="147"/>
      <c r="M693" s="145"/>
      <c r="N693" s="145"/>
      <c r="O693" s="145"/>
      <c r="P693" s="145"/>
      <c r="Q693" s="145"/>
      <c r="R693" s="145"/>
      <c r="S693" s="145"/>
      <c r="T693" s="145"/>
      <c r="U693" s="145"/>
      <c r="V693" s="145"/>
      <c r="W693" s="145"/>
      <c r="X693" s="168"/>
      <c r="Y693" s="168"/>
      <c r="Z693" s="168"/>
      <c r="AA693" s="168"/>
      <c r="AB693" s="168"/>
      <c r="AC693" s="168"/>
      <c r="AD693" s="168"/>
      <c r="AE693" s="168"/>
      <c r="AF693" s="168"/>
      <c r="AG693" s="168"/>
      <c r="AH693" s="168"/>
      <c r="AI693" s="168"/>
      <c r="AJ693" s="168"/>
      <c r="AK693" s="168"/>
      <c r="AL693" s="168"/>
      <c r="AM693" s="168"/>
      <c r="AN693" s="168"/>
      <c r="AX693" s="168"/>
      <c r="BI693" s="168"/>
      <c r="BJ693" s="168"/>
      <c r="BK693" s="168"/>
      <c r="BL693" s="168"/>
    </row>
    <row r="694" spans="1:64" s="213" customFormat="1" ht="18" customHeight="1" thickBot="1">
      <c r="A694" s="167"/>
      <c r="B694" s="182" t="s">
        <v>45</v>
      </c>
      <c r="C694" s="145">
        <v>57</v>
      </c>
      <c r="D694" s="145"/>
      <c r="E694" s="145"/>
      <c r="F694" s="145"/>
      <c r="G694" s="145"/>
      <c r="H694" s="145"/>
      <c r="I694" s="145"/>
      <c r="J694" s="145"/>
      <c r="K694" s="145"/>
      <c r="L694" s="145"/>
      <c r="M694" s="145"/>
      <c r="N694" s="145"/>
      <c r="O694" s="145"/>
      <c r="P694" s="145"/>
      <c r="Q694" s="145"/>
      <c r="R694" s="145"/>
      <c r="S694" s="145"/>
      <c r="T694" s="145"/>
      <c r="U694" s="145"/>
      <c r="V694" s="145"/>
      <c r="W694" s="145"/>
      <c r="X694" s="168"/>
      <c r="Y694" s="168"/>
      <c r="Z694" s="168"/>
      <c r="AA694" s="168"/>
      <c r="AB694" s="168"/>
      <c r="AC694" s="168"/>
      <c r="AD694" s="168"/>
      <c r="AE694" s="168"/>
      <c r="AF694" s="168"/>
      <c r="AG694" s="168"/>
      <c r="AH694" s="168"/>
      <c r="AI694" s="168"/>
      <c r="AJ694" s="168"/>
      <c r="AK694" s="168"/>
      <c r="AL694" s="168"/>
      <c r="AM694" s="168"/>
      <c r="AN694" s="168"/>
      <c r="AX694" s="168"/>
      <c r="BI694" s="168"/>
      <c r="BJ694" s="168"/>
      <c r="BK694" s="168"/>
      <c r="BL694" s="168"/>
    </row>
    <row r="695" spans="1:64" s="213" customFormat="1" ht="18" customHeight="1" thickBot="1">
      <c r="A695" s="167"/>
      <c r="B695" s="184" t="s">
        <v>54</v>
      </c>
      <c r="C695" s="146">
        <v>56</v>
      </c>
      <c r="D695" s="146"/>
      <c r="E695" s="146"/>
      <c r="F695" s="146"/>
      <c r="G695" s="146"/>
      <c r="H695" s="146"/>
      <c r="I695" s="146"/>
      <c r="J695" s="146"/>
      <c r="K695" s="146"/>
      <c r="L695" s="146"/>
      <c r="M695" s="145"/>
      <c r="N695" s="145"/>
      <c r="O695" s="145"/>
      <c r="P695" s="145"/>
      <c r="Q695" s="145"/>
      <c r="R695" s="145"/>
      <c r="S695" s="145"/>
      <c r="T695" s="145"/>
      <c r="U695" s="145"/>
      <c r="V695" s="145"/>
      <c r="W695" s="145"/>
      <c r="X695" s="168"/>
      <c r="Y695" s="168"/>
      <c r="Z695" s="168"/>
      <c r="AA695" s="168"/>
      <c r="AB695" s="168"/>
      <c r="AC695" s="168"/>
      <c r="AD695" s="168"/>
      <c r="AE695" s="168"/>
      <c r="AF695" s="168"/>
      <c r="AG695" s="168"/>
      <c r="AH695" s="168"/>
      <c r="AI695" s="168"/>
      <c r="AJ695" s="168"/>
      <c r="AK695" s="168"/>
      <c r="AL695" s="168"/>
      <c r="AM695" s="168"/>
      <c r="AN695" s="168"/>
      <c r="AX695" s="168"/>
      <c r="BI695" s="168"/>
      <c r="BJ695" s="168"/>
      <c r="BK695" s="168"/>
      <c r="BL695" s="168"/>
    </row>
    <row r="696" spans="1:64" s="213" customFormat="1">
      <c r="A696" s="167"/>
      <c r="B696" s="182" t="s">
        <v>66</v>
      </c>
      <c r="C696" s="145">
        <v>59</v>
      </c>
      <c r="D696" s="145"/>
      <c r="E696" s="145"/>
      <c r="F696" s="145"/>
      <c r="G696" s="145"/>
      <c r="H696" s="125"/>
      <c r="I696" s="125"/>
      <c r="J696" s="125"/>
      <c r="K696" s="125"/>
      <c r="L696" s="125"/>
      <c r="M696" s="145"/>
      <c r="N696" s="145"/>
      <c r="O696" s="145"/>
      <c r="P696" s="145"/>
      <c r="Q696" s="145"/>
      <c r="R696" s="145"/>
      <c r="S696" s="145"/>
      <c r="T696" s="145"/>
      <c r="U696" s="145"/>
      <c r="V696" s="145"/>
      <c r="W696" s="145"/>
      <c r="X696" s="168"/>
      <c r="Y696" s="168"/>
      <c r="Z696" s="168"/>
      <c r="AA696" s="168"/>
      <c r="AB696" s="168"/>
      <c r="AC696" s="168"/>
      <c r="AD696" s="168"/>
      <c r="AE696" s="168"/>
      <c r="AF696" s="168"/>
      <c r="AG696" s="168"/>
      <c r="AH696" s="168"/>
      <c r="AI696" s="168"/>
      <c r="AJ696" s="168"/>
      <c r="AK696" s="168"/>
      <c r="AL696" s="168"/>
      <c r="AM696" s="168"/>
      <c r="AN696" s="168"/>
      <c r="AX696" s="168"/>
      <c r="BI696" s="168"/>
      <c r="BJ696" s="168"/>
      <c r="BK696" s="168"/>
      <c r="BL696" s="168"/>
    </row>
    <row r="697" spans="1:64" s="213" customFormat="1">
      <c r="A697" s="167"/>
      <c r="B697" s="182" t="s">
        <v>158</v>
      </c>
      <c r="C697" s="126">
        <v>60</v>
      </c>
      <c r="D697" s="126"/>
      <c r="E697" s="126"/>
      <c r="F697" s="126"/>
      <c r="G697" s="126"/>
      <c r="H697" s="126"/>
      <c r="I697" s="126"/>
      <c r="J697" s="126"/>
      <c r="K697" s="126"/>
      <c r="L697" s="126"/>
      <c r="M697" s="126"/>
      <c r="N697" s="126"/>
      <c r="O697" s="126"/>
      <c r="P697" s="126"/>
      <c r="Q697" s="126"/>
      <c r="R697" s="126"/>
      <c r="S697" s="126"/>
      <c r="T697" s="126"/>
      <c r="U697" s="126"/>
      <c r="V697" s="126"/>
      <c r="W697" s="126"/>
      <c r="X697" s="168"/>
      <c r="Y697" s="168"/>
      <c r="Z697" s="168"/>
      <c r="AA697" s="168"/>
      <c r="AB697" s="168"/>
      <c r="AC697" s="168"/>
      <c r="AD697" s="168"/>
      <c r="AE697" s="168"/>
      <c r="AF697" s="168"/>
      <c r="AG697" s="168"/>
      <c r="AH697" s="168"/>
      <c r="AI697" s="168"/>
      <c r="AJ697" s="168"/>
      <c r="AK697" s="168"/>
      <c r="AL697" s="168"/>
      <c r="AM697" s="168"/>
      <c r="AN697" s="168"/>
      <c r="AX697" s="168"/>
      <c r="BI697" s="168"/>
      <c r="BJ697" s="168"/>
      <c r="BK697" s="168"/>
      <c r="BL697" s="168"/>
    </row>
    <row r="698" spans="1:64" s="215" customFormat="1">
      <c r="A698" s="167"/>
      <c r="B698" s="182" t="s">
        <v>191</v>
      </c>
      <c r="C698" s="127">
        <v>69</v>
      </c>
      <c r="D698" s="127"/>
      <c r="E698" s="127"/>
      <c r="F698" s="127"/>
      <c r="G698" s="127"/>
      <c r="H698" s="126"/>
      <c r="I698" s="126"/>
      <c r="J698" s="126"/>
      <c r="K698" s="126"/>
      <c r="L698" s="126"/>
      <c r="M698" s="126"/>
      <c r="N698" s="126"/>
      <c r="O698" s="126"/>
      <c r="P698" s="126"/>
      <c r="Q698" s="126"/>
      <c r="R698" s="126"/>
      <c r="S698" s="126"/>
      <c r="T698" s="126"/>
      <c r="U698" s="126"/>
      <c r="V698" s="126"/>
      <c r="W698" s="126"/>
      <c r="X698" s="168"/>
      <c r="Y698" s="168"/>
      <c r="Z698" s="168"/>
      <c r="AA698" s="168"/>
      <c r="AB698" s="168"/>
      <c r="AC698" s="168"/>
      <c r="AD698" s="168"/>
      <c r="AE698" s="168"/>
      <c r="AF698" s="168"/>
      <c r="AG698" s="168"/>
      <c r="AH698" s="168"/>
      <c r="AI698" s="168"/>
      <c r="AJ698" s="168"/>
      <c r="AK698" s="168"/>
      <c r="AL698" s="168"/>
      <c r="AM698" s="168"/>
      <c r="AN698" s="168"/>
      <c r="AO698" s="214"/>
      <c r="AP698" s="214"/>
      <c r="AQ698" s="214"/>
      <c r="AR698" s="214"/>
      <c r="AS698" s="214"/>
      <c r="AT698" s="213"/>
      <c r="AU698" s="213"/>
      <c r="AV698" s="213"/>
      <c r="AW698" s="213"/>
      <c r="AX698" s="168"/>
      <c r="AY698" s="213"/>
      <c r="AZ698" s="213"/>
      <c r="BA698" s="213"/>
      <c r="BB698" s="213"/>
      <c r="BC698" s="213"/>
      <c r="BD698" s="213"/>
      <c r="BE698" s="213"/>
      <c r="BF698" s="213"/>
      <c r="BG698" s="213"/>
      <c r="BH698" s="213"/>
      <c r="BI698" s="168"/>
      <c r="BJ698" s="168"/>
      <c r="BK698" s="168"/>
      <c r="BL698" s="168"/>
    </row>
    <row r="699" spans="1:64" s="216" customFormat="1" ht="15" thickBot="1">
      <c r="A699" s="175"/>
      <c r="B699" s="182" t="s">
        <v>442</v>
      </c>
      <c r="C699" s="126">
        <v>17</v>
      </c>
      <c r="D699" s="315"/>
      <c r="E699" s="315"/>
      <c r="F699" s="315"/>
      <c r="G699" s="315"/>
      <c r="H699" s="315"/>
      <c r="I699" s="315"/>
      <c r="J699" s="315"/>
      <c r="K699" s="315"/>
      <c r="L699" s="315"/>
      <c r="M699" s="126"/>
      <c r="N699" s="126"/>
      <c r="O699" s="126"/>
      <c r="P699" s="126"/>
      <c r="Q699" s="126"/>
      <c r="R699" s="126"/>
      <c r="S699" s="126"/>
      <c r="T699" s="126"/>
      <c r="U699" s="126"/>
      <c r="V699" s="126"/>
      <c r="W699" s="126"/>
      <c r="X699" s="168"/>
      <c r="Y699" s="168"/>
      <c r="Z699" s="168"/>
      <c r="AA699" s="168"/>
      <c r="AB699" s="168"/>
      <c r="AC699" s="168"/>
      <c r="AD699" s="168"/>
      <c r="AE699" s="168"/>
      <c r="AF699" s="168"/>
      <c r="AG699" s="168"/>
      <c r="AH699" s="168"/>
      <c r="AI699" s="168"/>
      <c r="AJ699" s="168"/>
      <c r="AK699" s="168"/>
      <c r="AL699" s="168"/>
      <c r="AM699" s="168"/>
      <c r="AN699" s="168"/>
      <c r="AO699" s="213"/>
      <c r="AP699" s="213"/>
      <c r="AQ699" s="213"/>
      <c r="AR699" s="213"/>
      <c r="AS699" s="213"/>
      <c r="AT699" s="213"/>
      <c r="AU699" s="213"/>
      <c r="AV699" s="213"/>
      <c r="AW699" s="213"/>
      <c r="AX699" s="168"/>
      <c r="AY699" s="213"/>
      <c r="AZ699" s="213"/>
      <c r="BA699" s="213"/>
      <c r="BB699" s="213"/>
      <c r="BC699" s="213"/>
      <c r="BD699" s="213"/>
      <c r="BE699" s="213"/>
      <c r="BF699" s="213"/>
      <c r="BG699" s="213"/>
      <c r="BH699" s="213"/>
      <c r="BI699" s="168"/>
      <c r="BJ699" s="168"/>
      <c r="BK699" s="168"/>
      <c r="BL699" s="168"/>
    </row>
    <row r="700" spans="1:64" s="213" customFormat="1">
      <c r="A700" s="180"/>
      <c r="B700" s="338" t="s">
        <v>166</v>
      </c>
      <c r="C700" s="316">
        <f>IF(OR(C703="**",C703=""),"",VALUE(C703))</f>
        <v>77</v>
      </c>
      <c r="D700" s="316" t="str">
        <f t="shared" ref="D700:J700" si="68">IF(OR(D703="**",D703=""),"",VALUE(D703))</f>
        <v/>
      </c>
      <c r="E700" s="316" t="str">
        <f t="shared" si="68"/>
        <v/>
      </c>
      <c r="F700" s="316" t="str">
        <f t="shared" si="68"/>
        <v/>
      </c>
      <c r="G700" s="316" t="str">
        <f t="shared" si="68"/>
        <v/>
      </c>
      <c r="H700" s="316" t="str">
        <f t="shared" si="68"/>
        <v/>
      </c>
      <c r="I700" s="316" t="str">
        <f t="shared" si="68"/>
        <v/>
      </c>
      <c r="J700" s="316" t="str">
        <f t="shared" si="68"/>
        <v/>
      </c>
      <c r="K700" s="316"/>
      <c r="L700" s="316"/>
      <c r="M700" s="126"/>
      <c r="N700" s="126"/>
      <c r="O700" s="126"/>
      <c r="P700" s="126"/>
      <c r="Q700" s="126"/>
      <c r="R700" s="126"/>
      <c r="S700" s="126"/>
      <c r="T700" s="126"/>
      <c r="U700" s="126"/>
      <c r="V700" s="126"/>
      <c r="W700" s="126"/>
      <c r="X700" s="168"/>
      <c r="Y700" s="168"/>
      <c r="Z700" s="168"/>
      <c r="AA700" s="168"/>
      <c r="AB700" s="168"/>
      <c r="AC700" s="168"/>
      <c r="AD700" s="168"/>
      <c r="AE700" s="168"/>
      <c r="AF700" s="168"/>
      <c r="AG700" s="168"/>
      <c r="AH700" s="168"/>
      <c r="AI700" s="168"/>
      <c r="AJ700" s="168"/>
      <c r="AK700" s="168"/>
      <c r="AL700" s="168"/>
      <c r="AM700" s="168"/>
      <c r="AN700" s="168"/>
      <c r="AX700" s="168"/>
      <c r="BI700" s="168"/>
      <c r="BJ700" s="168"/>
      <c r="BK700" s="168"/>
      <c r="BL700" s="168"/>
    </row>
    <row r="701" spans="1:64" s="213" customFormat="1" ht="15" thickBot="1">
      <c r="A701" s="167"/>
      <c r="B701" s="339" t="s">
        <v>165</v>
      </c>
      <c r="C701" s="317">
        <f t="shared" ref="C701:J701" si="69">IF(OR(C697="**",C697=""),"",VALUE(C697))</f>
        <v>60</v>
      </c>
      <c r="D701" s="317" t="str">
        <f t="shared" si="69"/>
        <v/>
      </c>
      <c r="E701" s="317" t="str">
        <f t="shared" si="69"/>
        <v/>
      </c>
      <c r="F701" s="317" t="str">
        <f t="shared" si="69"/>
        <v/>
      </c>
      <c r="G701" s="317" t="str">
        <f t="shared" si="69"/>
        <v/>
      </c>
      <c r="H701" s="317" t="str">
        <f t="shared" si="69"/>
        <v/>
      </c>
      <c r="I701" s="317" t="str">
        <f t="shared" si="69"/>
        <v/>
      </c>
      <c r="J701" s="317" t="str">
        <f t="shared" si="69"/>
        <v/>
      </c>
      <c r="K701" s="317"/>
      <c r="L701" s="317"/>
      <c r="M701" s="169"/>
      <c r="N701" s="169"/>
      <c r="O701" s="169"/>
      <c r="P701" s="169"/>
      <c r="Q701" s="169"/>
      <c r="R701" s="169"/>
      <c r="S701" s="169"/>
      <c r="T701" s="169"/>
      <c r="U701" s="169"/>
      <c r="V701" s="169"/>
      <c r="W701" s="169"/>
      <c r="X701" s="168"/>
      <c r="Y701" s="168"/>
      <c r="Z701" s="168"/>
      <c r="AA701" s="168"/>
      <c r="AB701" s="168"/>
      <c r="AC701" s="168"/>
      <c r="AD701" s="168"/>
      <c r="AE701" s="168"/>
      <c r="AF701" s="168"/>
      <c r="AG701" s="168"/>
      <c r="AH701" s="168"/>
      <c r="AI701" s="168"/>
      <c r="AJ701" s="168"/>
      <c r="AK701" s="168"/>
      <c r="AL701" s="168"/>
      <c r="AM701" s="168"/>
      <c r="AN701" s="168"/>
      <c r="AO701" s="169"/>
      <c r="AP701" s="169"/>
      <c r="AQ701" s="169"/>
      <c r="AR701" s="169"/>
      <c r="AS701" s="169"/>
      <c r="AT701" s="169"/>
      <c r="AU701" s="169"/>
      <c r="AV701" s="169"/>
      <c r="BI701" s="168"/>
      <c r="BJ701" s="168"/>
      <c r="BK701" s="168"/>
      <c r="BL701" s="168"/>
    </row>
    <row r="702" spans="1:64" s="213" customFormat="1">
      <c r="A702" s="167"/>
      <c r="B702" s="340" t="s">
        <v>483</v>
      </c>
      <c r="C702" s="167" t="s">
        <v>867</v>
      </c>
      <c r="D702" s="167"/>
      <c r="E702" s="167"/>
      <c r="F702" s="167"/>
      <c r="G702" s="167"/>
      <c r="H702" s="166"/>
      <c r="I702" s="166"/>
      <c r="J702" s="166"/>
      <c r="K702" s="166"/>
      <c r="L702" s="166"/>
      <c r="X702" s="145"/>
      <c r="Y702" s="170"/>
      <c r="Z702" s="170"/>
      <c r="AA702" s="168"/>
      <c r="AB702" s="168"/>
      <c r="AC702" s="168"/>
      <c r="AD702" s="168"/>
      <c r="AE702" s="168"/>
      <c r="AF702" s="168"/>
      <c r="AG702" s="168"/>
      <c r="AH702" s="168"/>
      <c r="AI702" s="168"/>
      <c r="AJ702" s="168"/>
      <c r="AK702" s="168"/>
      <c r="AL702" s="168"/>
      <c r="AM702" s="168"/>
      <c r="AN702" s="168"/>
      <c r="AO702" s="168"/>
      <c r="AP702" s="168"/>
      <c r="AQ702" s="168"/>
      <c r="AR702" s="168"/>
      <c r="AS702" s="168"/>
      <c r="AT702" s="168"/>
      <c r="AU702" s="168"/>
      <c r="AV702" s="168"/>
      <c r="AW702" s="168"/>
      <c r="AX702" s="168"/>
      <c r="AY702" s="168"/>
      <c r="AZ702" s="168"/>
      <c r="BA702" s="168"/>
      <c r="BB702" s="168"/>
    </row>
    <row r="703" spans="1:64" s="213" customFormat="1">
      <c r="A703" s="167"/>
      <c r="B703" s="182" t="s">
        <v>158</v>
      </c>
      <c r="C703" s="165">
        <v>77</v>
      </c>
      <c r="D703" s="165"/>
      <c r="E703" s="165"/>
      <c r="F703" s="165"/>
      <c r="G703" s="165"/>
      <c r="H703" s="166"/>
      <c r="I703" s="166"/>
      <c r="J703" s="166"/>
      <c r="K703" s="166"/>
      <c r="L703" s="166"/>
      <c r="X703" s="145"/>
      <c r="Y703" s="170"/>
      <c r="Z703" s="170"/>
      <c r="AA703" s="168"/>
      <c r="AB703" s="168"/>
      <c r="AC703" s="168"/>
      <c r="AD703" s="168"/>
      <c r="AE703" s="168"/>
      <c r="AF703" s="168"/>
      <c r="AG703" s="168"/>
      <c r="AH703" s="168"/>
      <c r="AI703" s="168"/>
      <c r="AJ703" s="168"/>
      <c r="AK703" s="168"/>
      <c r="AL703" s="168"/>
      <c r="AM703" s="168"/>
      <c r="AN703" s="168"/>
      <c r="AO703" s="168"/>
      <c r="AP703" s="168"/>
      <c r="AQ703" s="168"/>
      <c r="AR703" s="168"/>
      <c r="AS703" s="168"/>
      <c r="AT703" s="168"/>
      <c r="AU703" s="168"/>
      <c r="AV703" s="168"/>
      <c r="AW703" s="168"/>
      <c r="AX703" s="168"/>
      <c r="AY703" s="168"/>
      <c r="AZ703" s="168"/>
      <c r="BA703" s="168"/>
      <c r="BB703" s="168"/>
    </row>
    <row r="704" spans="1:64" s="213" customFormat="1">
      <c r="A704" s="167"/>
      <c r="B704" s="340" t="s">
        <v>442</v>
      </c>
      <c r="C704" s="165">
        <v>12</v>
      </c>
      <c r="D704" s="165"/>
      <c r="E704" s="165"/>
      <c r="F704" s="165"/>
      <c r="G704" s="165"/>
      <c r="H704" s="165"/>
      <c r="I704" s="165"/>
      <c r="J704" s="165"/>
      <c r="K704" s="165"/>
      <c r="L704" s="165"/>
      <c r="X704" s="145"/>
      <c r="Y704" s="170"/>
      <c r="Z704" s="170"/>
      <c r="AA704" s="168"/>
      <c r="AB704" s="168"/>
      <c r="AC704" s="168"/>
      <c r="AD704" s="168"/>
      <c r="AE704" s="168"/>
      <c r="AF704" s="168"/>
      <c r="AG704" s="168"/>
      <c r="AH704" s="168"/>
      <c r="AI704" s="168"/>
      <c r="AJ704" s="168"/>
      <c r="AK704" s="168"/>
      <c r="AL704" s="168"/>
      <c r="AM704" s="168"/>
      <c r="AN704" s="168"/>
      <c r="AO704" s="168"/>
      <c r="AP704" s="168"/>
      <c r="AQ704" s="168"/>
      <c r="AR704" s="168"/>
      <c r="AS704" s="168"/>
      <c r="AT704" s="168"/>
      <c r="AU704" s="168"/>
      <c r="AV704" s="168"/>
      <c r="AW704" s="168"/>
      <c r="AX704" s="168"/>
      <c r="AY704" s="168"/>
      <c r="AZ704" s="168"/>
      <c r="BA704" s="168"/>
      <c r="BB704" s="168"/>
    </row>
    <row r="705" spans="1:64" s="213" customFormat="1">
      <c r="A705" s="167"/>
      <c r="B705" s="143"/>
      <c r="C705" s="167"/>
      <c r="D705" s="167"/>
      <c r="E705" s="167"/>
      <c r="F705" s="167"/>
      <c r="G705" s="167"/>
      <c r="H705" s="167"/>
      <c r="I705" s="167"/>
      <c r="J705" s="167"/>
      <c r="K705" s="167"/>
      <c r="L705" s="167"/>
      <c r="X705" s="145"/>
      <c r="Y705" s="170"/>
      <c r="Z705" s="170"/>
      <c r="AA705" s="168"/>
      <c r="AB705" s="168"/>
      <c r="AC705" s="168"/>
      <c r="AD705" s="168"/>
      <c r="AE705" s="168"/>
      <c r="AF705" s="168"/>
      <c r="AG705" s="168"/>
      <c r="AH705" s="168"/>
      <c r="AI705" s="168"/>
      <c r="AJ705" s="168"/>
      <c r="AK705" s="168"/>
      <c r="AL705" s="168"/>
      <c r="AM705" s="168"/>
      <c r="AN705" s="168"/>
      <c r="AO705" s="168"/>
      <c r="AP705" s="168"/>
      <c r="AQ705" s="168"/>
      <c r="AR705" s="168"/>
      <c r="AS705" s="168"/>
      <c r="AT705" s="168"/>
      <c r="AU705" s="168"/>
      <c r="AV705" s="168"/>
      <c r="AW705" s="168"/>
      <c r="AX705" s="168"/>
      <c r="AY705" s="168"/>
      <c r="AZ705" s="168"/>
      <c r="BA705" s="168"/>
      <c r="BB705" s="168"/>
    </row>
    <row r="706" spans="1:64" s="213" customFormat="1">
      <c r="A706" s="167"/>
      <c r="B706" s="143"/>
      <c r="C706" s="167"/>
      <c r="D706" s="167"/>
      <c r="E706" s="167"/>
      <c r="F706" s="167"/>
      <c r="G706" s="167"/>
      <c r="H706" s="167"/>
      <c r="I706" s="167"/>
      <c r="J706" s="167"/>
      <c r="K706" s="167"/>
      <c r="L706" s="167"/>
      <c r="X706" s="126"/>
      <c r="Y706" s="170"/>
      <c r="Z706" s="170"/>
      <c r="AA706" s="168"/>
      <c r="AB706" s="168"/>
      <c r="AC706" s="168"/>
      <c r="AD706" s="168"/>
      <c r="AE706" s="168"/>
      <c r="AF706" s="168"/>
      <c r="AG706" s="168"/>
      <c r="AH706" s="168"/>
      <c r="AI706" s="168"/>
      <c r="AJ706" s="168"/>
      <c r="AK706" s="168"/>
      <c r="AL706" s="168"/>
      <c r="AM706" s="168"/>
      <c r="AN706" s="168"/>
      <c r="AO706" s="168"/>
      <c r="AP706" s="168"/>
      <c r="AQ706" s="168"/>
      <c r="AR706" s="168"/>
      <c r="AS706" s="168"/>
      <c r="AT706" s="168"/>
      <c r="AU706" s="168"/>
      <c r="AV706" s="168"/>
      <c r="AW706" s="168"/>
      <c r="AX706" s="168"/>
      <c r="AY706" s="168"/>
      <c r="AZ706" s="168"/>
      <c r="BA706" s="168"/>
      <c r="BB706" s="168"/>
    </row>
    <row r="707" spans="1:64" s="213" customFormat="1">
      <c r="A707" s="167"/>
      <c r="B707" s="143"/>
      <c r="C707" s="167"/>
      <c r="D707" s="167"/>
      <c r="E707" s="167"/>
      <c r="F707" s="167"/>
      <c r="G707" s="167"/>
      <c r="H707" s="167"/>
      <c r="I707" s="167"/>
      <c r="J707" s="167"/>
      <c r="K707" s="167"/>
      <c r="L707" s="167"/>
      <c r="X707" s="170"/>
      <c r="Y707" s="170"/>
      <c r="Z707" s="168"/>
      <c r="AA707" s="168"/>
      <c r="AB707" s="168"/>
      <c r="AC707" s="168"/>
      <c r="AD707" s="168"/>
      <c r="AE707" s="168"/>
      <c r="AF707" s="168"/>
      <c r="AG707" s="168"/>
      <c r="AH707" s="168"/>
      <c r="AI707" s="168"/>
      <c r="AJ707" s="168"/>
      <c r="AK707" s="168"/>
      <c r="AL707" s="168"/>
      <c r="AM707" s="168"/>
      <c r="AN707" s="168"/>
      <c r="AO707" s="168"/>
      <c r="AP707" s="168"/>
      <c r="AQ707" s="168"/>
      <c r="AR707" s="168"/>
      <c r="AS707" s="168"/>
      <c r="AT707" s="168"/>
      <c r="AU707" s="168"/>
      <c r="AV707" s="168"/>
      <c r="AW707" s="168"/>
      <c r="AX707" s="168"/>
      <c r="AY707" s="168"/>
      <c r="AZ707" s="168"/>
      <c r="BA707" s="168"/>
      <c r="BB707" s="214"/>
      <c r="BC707" s="214"/>
      <c r="BD707" s="214"/>
      <c r="BE707" s="214"/>
      <c r="BF707" s="214"/>
    </row>
    <row r="708" spans="1:64" s="168" customFormat="1" ht="14.25" customHeight="1">
      <c r="A708" s="143"/>
      <c r="B708" s="167"/>
      <c r="C708" s="167"/>
      <c r="D708" s="167"/>
      <c r="E708" s="167"/>
      <c r="F708" s="167"/>
      <c r="G708" s="167"/>
      <c r="H708" s="167"/>
      <c r="I708" s="167"/>
      <c r="J708" s="167"/>
      <c r="K708" s="167"/>
      <c r="L708" s="167"/>
      <c r="M708" s="213"/>
      <c r="N708" s="213"/>
      <c r="O708" s="213"/>
      <c r="P708" s="213"/>
      <c r="Q708" s="213"/>
      <c r="R708" s="213"/>
      <c r="S708" s="213"/>
      <c r="T708" s="213"/>
      <c r="U708" s="213"/>
      <c r="V708" s="213"/>
      <c r="W708" s="213"/>
      <c r="X708" s="170"/>
      <c r="BA708" s="213"/>
      <c r="BB708" s="213"/>
      <c r="BC708" s="213"/>
      <c r="BD708" s="213"/>
      <c r="BE708" s="213"/>
      <c r="BF708" s="213"/>
      <c r="BG708" s="213"/>
      <c r="BH708" s="213"/>
      <c r="BI708" s="213"/>
    </row>
    <row r="709" spans="1:64" s="213" customFormat="1" ht="14.25" customHeight="1">
      <c r="A709" s="167" t="s">
        <v>183</v>
      </c>
      <c r="B709" s="167"/>
      <c r="C709" s="167"/>
      <c r="D709" s="167"/>
      <c r="E709" s="167"/>
      <c r="F709" s="167"/>
      <c r="G709" s="167"/>
      <c r="H709" s="167"/>
      <c r="I709" s="167"/>
      <c r="J709" s="167"/>
      <c r="K709" s="167"/>
      <c r="L709" s="167"/>
      <c r="X709" s="168"/>
      <c r="Y709" s="168"/>
      <c r="Z709" s="168"/>
      <c r="AA709" s="168"/>
      <c r="AB709" s="168"/>
      <c r="AC709" s="168"/>
      <c r="AD709" s="168"/>
      <c r="AE709" s="168"/>
      <c r="AF709" s="168"/>
      <c r="AG709" s="168"/>
      <c r="AH709" s="168"/>
      <c r="AI709" s="168"/>
      <c r="AJ709" s="168"/>
      <c r="AK709" s="168"/>
      <c r="AL709" s="168"/>
      <c r="AM709" s="168"/>
      <c r="AN709" s="168"/>
      <c r="AO709" s="168"/>
      <c r="AP709" s="168"/>
      <c r="AQ709" s="168"/>
      <c r="AR709" s="168"/>
      <c r="AS709" s="168"/>
      <c r="AT709" s="168"/>
      <c r="AU709" s="168"/>
      <c r="AV709" s="168"/>
      <c r="AW709" s="168"/>
      <c r="AX709" s="168"/>
      <c r="AY709" s="168"/>
      <c r="BI709" s="168"/>
    </row>
    <row r="710" spans="1:64" s="213" customFormat="1" ht="14.25" customHeight="1">
      <c r="A710" s="167">
        <v>1</v>
      </c>
      <c r="B710" s="167"/>
      <c r="C710" s="167"/>
      <c r="D710" s="167"/>
      <c r="E710" s="167"/>
      <c r="F710" s="167"/>
      <c r="G710" s="167"/>
      <c r="H710" s="167"/>
      <c r="I710" s="167"/>
      <c r="J710" s="167"/>
      <c r="K710" s="167"/>
      <c r="L710" s="167"/>
      <c r="X710" s="168"/>
      <c r="Y710" s="168"/>
      <c r="Z710" s="168"/>
      <c r="AA710" s="168"/>
      <c r="AB710" s="168"/>
      <c r="AC710" s="168"/>
      <c r="AD710" s="168"/>
      <c r="AE710" s="168"/>
      <c r="AF710" s="168"/>
      <c r="AG710" s="168"/>
      <c r="AH710" s="168"/>
      <c r="AI710" s="168"/>
      <c r="AJ710" s="168"/>
      <c r="AK710" s="168"/>
      <c r="AL710" s="168"/>
      <c r="AM710" s="168"/>
      <c r="AN710" s="168"/>
      <c r="AO710" s="168"/>
      <c r="AP710" s="168"/>
      <c r="AQ710" s="168"/>
      <c r="AR710" s="168"/>
      <c r="AS710" s="168"/>
      <c r="AT710" s="168"/>
      <c r="AU710" s="168"/>
      <c r="AV710" s="168"/>
      <c r="AW710" s="168"/>
      <c r="AX710" s="168"/>
      <c r="AY710" s="169"/>
      <c r="AZ710" s="169"/>
      <c r="BA710" s="169"/>
      <c r="BB710" s="169"/>
      <c r="BC710" s="169"/>
      <c r="BD710" s="169"/>
      <c r="BE710" s="169"/>
      <c r="BF710" s="169"/>
    </row>
    <row r="711" spans="1:64" s="213" customFormat="1" ht="14.25" customHeight="1">
      <c r="A711" s="167"/>
      <c r="B711" s="167"/>
      <c r="C711" s="167"/>
      <c r="D711" s="167"/>
      <c r="E711" s="167"/>
      <c r="F711" s="167"/>
      <c r="G711" s="167"/>
      <c r="H711" s="167"/>
      <c r="I711" s="167"/>
      <c r="J711" s="167"/>
      <c r="K711" s="167"/>
      <c r="L711" s="167"/>
      <c r="X711" s="168"/>
      <c r="Y711" s="168"/>
      <c r="Z711" s="168"/>
      <c r="AA711" s="168"/>
      <c r="AB711" s="168"/>
      <c r="AC711" s="168"/>
      <c r="AD711" s="168"/>
      <c r="AE711" s="168"/>
      <c r="AF711" s="168"/>
      <c r="AG711" s="168"/>
      <c r="AH711" s="168"/>
      <c r="AI711" s="168"/>
      <c r="AJ711" s="168"/>
      <c r="AK711" s="168"/>
      <c r="AL711" s="168"/>
      <c r="AM711" s="168"/>
      <c r="AN711" s="168"/>
      <c r="AO711" s="168"/>
      <c r="AP711" s="168"/>
      <c r="AQ711" s="168"/>
      <c r="AR711" s="168"/>
      <c r="AS711" s="168"/>
      <c r="AT711" s="168"/>
      <c r="AU711" s="168"/>
      <c r="AV711" s="168"/>
      <c r="AW711" s="168"/>
    </row>
    <row r="712" spans="1:64" s="213" customFormat="1" ht="14.25" customHeight="1">
      <c r="A712" s="167"/>
      <c r="B712" s="167"/>
      <c r="C712" s="167"/>
      <c r="D712" s="167"/>
      <c r="E712" s="167"/>
      <c r="F712" s="167"/>
      <c r="G712" s="167"/>
      <c r="H712" s="143"/>
      <c r="I712" s="143"/>
      <c r="J712" s="143"/>
      <c r="K712" s="143"/>
      <c r="L712" s="143"/>
      <c r="M712" s="168"/>
      <c r="N712" s="168"/>
      <c r="O712" s="168"/>
      <c r="P712" s="168"/>
      <c r="Q712" s="168"/>
      <c r="R712" s="168"/>
      <c r="S712" s="168"/>
      <c r="T712" s="168"/>
      <c r="U712" s="168"/>
      <c r="V712" s="168"/>
      <c r="W712" s="168"/>
      <c r="X712" s="168"/>
      <c r="Y712" s="168"/>
      <c r="Z712" s="168"/>
      <c r="AA712" s="168"/>
      <c r="AB712" s="168"/>
      <c r="AC712" s="168"/>
      <c r="AD712" s="168"/>
      <c r="AE712" s="168"/>
      <c r="AF712" s="168"/>
      <c r="AG712" s="168"/>
      <c r="AH712" s="168"/>
      <c r="AI712" s="168"/>
      <c r="AJ712" s="168"/>
      <c r="AK712" s="168"/>
      <c r="AL712" s="168"/>
      <c r="AM712" s="168"/>
      <c r="AN712" s="168"/>
      <c r="AO712" s="168"/>
      <c r="AP712" s="168"/>
      <c r="AQ712" s="168"/>
      <c r="AR712" s="168"/>
      <c r="AS712" s="168"/>
      <c r="AT712" s="168"/>
      <c r="AU712" s="168"/>
      <c r="AV712" s="168"/>
    </row>
    <row r="713" spans="1:64" s="213" customFormat="1" ht="14.25" customHeight="1">
      <c r="A713" s="167"/>
      <c r="B713" s="167"/>
      <c r="C713" s="167"/>
      <c r="D713" s="167"/>
      <c r="E713" s="167"/>
      <c r="F713" s="167"/>
      <c r="G713" s="143"/>
      <c r="H713" s="164"/>
      <c r="I713" s="164"/>
      <c r="J713" s="164"/>
      <c r="K713" s="164"/>
      <c r="L713" s="164"/>
      <c r="M713" s="203"/>
      <c r="N713" s="203"/>
      <c r="O713" s="203"/>
      <c r="P713" s="203"/>
      <c r="Q713" s="203"/>
      <c r="R713" s="203"/>
      <c r="S713" s="203"/>
      <c r="T713" s="203"/>
      <c r="U713" s="203"/>
      <c r="V713" s="203"/>
      <c r="W713" s="203"/>
      <c r="X713" s="168"/>
      <c r="Y713" s="168"/>
      <c r="Z713" s="168"/>
      <c r="AA713" s="168"/>
      <c r="AB713" s="168"/>
      <c r="AC713" s="168"/>
      <c r="AD713" s="168"/>
      <c r="AE713" s="168"/>
      <c r="AF713" s="168"/>
      <c r="AG713" s="168"/>
      <c r="AH713" s="168"/>
      <c r="AI713" s="168"/>
      <c r="AJ713" s="168"/>
      <c r="AK713" s="168"/>
      <c r="AL713" s="168"/>
      <c r="AM713" s="168"/>
      <c r="AN713" s="168"/>
      <c r="AO713" s="168"/>
      <c r="AP713" s="168"/>
      <c r="AQ713" s="168"/>
      <c r="AR713" s="168"/>
      <c r="AS713" s="168"/>
      <c r="AT713" s="168"/>
      <c r="AU713" s="168"/>
    </row>
    <row r="714" spans="1:64" s="213" customFormat="1" ht="14.25" customHeight="1">
      <c r="A714" s="167"/>
      <c r="B714" s="167"/>
      <c r="C714" s="167"/>
      <c r="D714" s="167"/>
      <c r="E714" s="167"/>
      <c r="F714" s="143"/>
      <c r="G714" s="164"/>
      <c r="H714" s="172"/>
      <c r="I714" s="172"/>
      <c r="J714" s="172"/>
      <c r="K714" s="172"/>
      <c r="L714" s="172"/>
      <c r="M714" s="204"/>
      <c r="N714" s="204"/>
      <c r="O714" s="204"/>
      <c r="P714" s="204"/>
      <c r="Q714" s="204"/>
      <c r="R714" s="204"/>
      <c r="S714" s="204"/>
      <c r="T714" s="204"/>
      <c r="U714" s="204"/>
      <c r="V714" s="204"/>
      <c r="W714" s="204"/>
      <c r="X714" s="168"/>
      <c r="Y714" s="168"/>
      <c r="Z714" s="168"/>
      <c r="AA714" s="168"/>
      <c r="AB714" s="168"/>
      <c r="AC714" s="168"/>
      <c r="AD714" s="168"/>
      <c r="AE714" s="168"/>
      <c r="AF714" s="168"/>
      <c r="AG714" s="168"/>
      <c r="AH714" s="168"/>
      <c r="AI714" s="168"/>
      <c r="AJ714" s="168"/>
      <c r="AK714" s="168"/>
      <c r="AL714" s="168"/>
      <c r="AM714" s="168"/>
      <c r="AN714" s="168"/>
      <c r="AO714" s="168"/>
      <c r="AP714" s="168"/>
      <c r="AQ714" s="168"/>
      <c r="AR714" s="168"/>
      <c r="AS714" s="168"/>
      <c r="AT714" s="168"/>
    </row>
    <row r="715" spans="1:64" s="213" customFormat="1" ht="14.25" customHeight="1">
      <c r="A715" s="167"/>
      <c r="B715" s="167"/>
      <c r="C715" s="167"/>
      <c r="D715" s="167"/>
      <c r="E715" s="143"/>
      <c r="F715" s="164"/>
      <c r="G715" s="172"/>
      <c r="H715" s="165"/>
      <c r="I715" s="165"/>
      <c r="J715" s="165"/>
      <c r="K715" s="165"/>
      <c r="L715" s="165"/>
      <c r="M715" s="169"/>
      <c r="N715" s="169"/>
      <c r="O715" s="169"/>
      <c r="P715" s="169"/>
      <c r="Q715" s="169"/>
      <c r="R715" s="169"/>
      <c r="S715" s="169"/>
      <c r="T715" s="169"/>
      <c r="U715" s="169"/>
      <c r="V715" s="169"/>
      <c r="W715" s="169"/>
      <c r="X715" s="168"/>
      <c r="Y715" s="168"/>
      <c r="Z715" s="168"/>
      <c r="AA715" s="168"/>
      <c r="AB715" s="168"/>
      <c r="AC715" s="168"/>
      <c r="AD715" s="168"/>
      <c r="AE715" s="168"/>
      <c r="AF715" s="168"/>
      <c r="AG715" s="168"/>
      <c r="AH715" s="168"/>
      <c r="AI715" s="168"/>
      <c r="AJ715" s="168"/>
      <c r="AK715" s="168"/>
      <c r="AL715" s="168"/>
      <c r="AM715" s="168"/>
      <c r="AN715" s="168"/>
      <c r="AO715" s="168"/>
      <c r="AP715" s="168"/>
      <c r="AQ715" s="168"/>
      <c r="AR715" s="168"/>
      <c r="AS715" s="168"/>
    </row>
    <row r="716" spans="1:64" s="213" customFormat="1" ht="14.25" customHeight="1">
      <c r="A716" s="167"/>
      <c r="B716" s="167"/>
      <c r="C716" s="167"/>
      <c r="D716" s="143"/>
      <c r="E716" s="164"/>
      <c r="F716" s="172"/>
      <c r="G716" s="165"/>
      <c r="H716" s="165"/>
      <c r="I716" s="165"/>
      <c r="J716" s="165"/>
      <c r="K716" s="165"/>
      <c r="L716" s="165"/>
      <c r="M716" s="169"/>
      <c r="N716" s="169"/>
      <c r="O716" s="169"/>
      <c r="P716" s="169"/>
      <c r="Q716" s="169"/>
      <c r="R716" s="169"/>
      <c r="S716" s="169"/>
      <c r="T716" s="169"/>
      <c r="U716" s="169"/>
      <c r="V716" s="169"/>
      <c r="W716" s="169"/>
      <c r="X716" s="168"/>
      <c r="Y716" s="168"/>
      <c r="Z716" s="168"/>
      <c r="AA716" s="168"/>
      <c r="AB716" s="168"/>
      <c r="AC716" s="168"/>
      <c r="AD716" s="168"/>
      <c r="AE716" s="168"/>
      <c r="AF716" s="168"/>
      <c r="AG716" s="168"/>
      <c r="AH716" s="168"/>
      <c r="AI716" s="168"/>
      <c r="AJ716" s="168"/>
      <c r="AK716" s="168"/>
      <c r="AL716" s="168"/>
      <c r="AM716" s="168"/>
      <c r="AN716" s="168"/>
      <c r="AO716" s="168"/>
      <c r="AP716" s="168"/>
      <c r="AQ716" s="168"/>
      <c r="AR716" s="168"/>
    </row>
    <row r="717" spans="1:64" s="213" customFormat="1" ht="14.25" customHeight="1">
      <c r="A717" s="167"/>
      <c r="B717" s="167"/>
      <c r="C717" s="143"/>
      <c r="D717" s="164"/>
      <c r="E717" s="172"/>
      <c r="F717" s="165"/>
      <c r="G717" s="165"/>
      <c r="H717" s="165"/>
      <c r="I717" s="165"/>
      <c r="J717" s="165"/>
      <c r="K717" s="165"/>
      <c r="L717" s="165"/>
      <c r="M717" s="169"/>
      <c r="N717" s="169"/>
      <c r="O717" s="169"/>
      <c r="P717" s="169"/>
      <c r="Q717" s="169"/>
      <c r="R717" s="169"/>
      <c r="S717" s="169"/>
      <c r="T717" s="169"/>
      <c r="U717" s="169"/>
      <c r="V717" s="169"/>
      <c r="W717" s="169"/>
      <c r="X717" s="168"/>
      <c r="Y717" s="168"/>
      <c r="Z717" s="168"/>
      <c r="AA717" s="168"/>
      <c r="AB717" s="168"/>
      <c r="AC717" s="168"/>
      <c r="AD717" s="168"/>
      <c r="AE717" s="168"/>
      <c r="AF717" s="168"/>
      <c r="AG717" s="168"/>
      <c r="AH717" s="168"/>
      <c r="AI717" s="168"/>
      <c r="AJ717" s="168"/>
      <c r="AK717" s="168"/>
      <c r="AL717" s="168"/>
      <c r="AM717" s="168"/>
      <c r="AN717" s="168"/>
      <c r="AO717" s="168"/>
      <c r="AP717" s="168"/>
      <c r="AQ717" s="168"/>
    </row>
    <row r="718" spans="1:64" s="213" customFormat="1" ht="14.25" customHeight="1">
      <c r="A718" s="167"/>
      <c r="B718" s="143"/>
      <c r="C718" s="164"/>
      <c r="D718" s="172"/>
      <c r="E718" s="165"/>
      <c r="F718" s="165"/>
      <c r="G718" s="165"/>
      <c r="H718" s="165"/>
      <c r="I718" s="165"/>
      <c r="J718" s="165"/>
      <c r="K718" s="165"/>
      <c r="L718" s="165"/>
      <c r="M718" s="169"/>
      <c r="N718" s="169"/>
      <c r="O718" s="169"/>
      <c r="P718" s="169"/>
      <c r="Q718" s="169"/>
      <c r="R718" s="169"/>
      <c r="S718" s="169"/>
      <c r="T718" s="169"/>
      <c r="U718" s="169"/>
      <c r="V718" s="169"/>
      <c r="W718" s="169"/>
      <c r="X718" s="168"/>
      <c r="Y718" s="168"/>
      <c r="Z718" s="168"/>
      <c r="AA718" s="168"/>
      <c r="AB718" s="168"/>
      <c r="AC718" s="168"/>
      <c r="AD718" s="168"/>
      <c r="AE718" s="168"/>
      <c r="AF718" s="168"/>
      <c r="AG718" s="168"/>
      <c r="AH718" s="168"/>
      <c r="AI718" s="168"/>
      <c r="AJ718" s="168"/>
      <c r="AK718" s="168"/>
      <c r="AL718" s="168"/>
      <c r="AM718" s="168"/>
      <c r="AN718" s="168"/>
      <c r="AO718" s="168"/>
      <c r="AP718" s="168"/>
    </row>
    <row r="719" spans="1:64" s="168" customFormat="1" ht="14.25" customHeight="1">
      <c r="A719" s="143">
        <f>A689+1</f>
        <v>24</v>
      </c>
      <c r="B719" s="164"/>
      <c r="C719" s="187" t="str">
        <f>IF($A$1 = 1, (IF("("&amp;C729&amp;")" ="()","","("&amp;C729&amp;")")), (IF("("&amp;C734&amp;")     ("&amp;C729&amp;")"="()     ()","","("&amp;C734&amp;")     ("&amp;C729&amp;")")))</f>
        <v>(5)     (5)</v>
      </c>
      <c r="D719" s="187" t="str">
        <f t="shared" ref="D719:J719" si="70">IF($A$1 = 1, (IF("("&amp;D729&amp;")" ="()","","("&amp;D729&amp;")")), (IF("("&amp;D734&amp;")     ("&amp;D729&amp;")"="()     ()","","("&amp;D734&amp;")     ("&amp;D729&amp;")")))</f>
        <v/>
      </c>
      <c r="E719" s="187" t="str">
        <f t="shared" si="70"/>
        <v/>
      </c>
      <c r="F719" s="187" t="str">
        <f t="shared" si="70"/>
        <v/>
      </c>
      <c r="G719" s="187" t="str">
        <f t="shared" si="70"/>
        <v/>
      </c>
      <c r="H719" s="187" t="str">
        <f t="shared" si="70"/>
        <v/>
      </c>
      <c r="I719" s="187" t="str">
        <f t="shared" si="70"/>
        <v/>
      </c>
      <c r="J719" s="187" t="str">
        <f t="shared" si="70"/>
        <v/>
      </c>
      <c r="K719" s="166"/>
      <c r="L719" s="166"/>
      <c r="M719" s="170"/>
      <c r="N719" s="170"/>
      <c r="O719" s="170"/>
      <c r="P719" s="170"/>
      <c r="Q719" s="170"/>
      <c r="R719" s="170"/>
      <c r="S719" s="170"/>
      <c r="T719" s="170"/>
      <c r="U719" s="170"/>
      <c r="V719" s="170"/>
      <c r="W719" s="170"/>
      <c r="AP719" s="213"/>
      <c r="AQ719" s="213"/>
      <c r="AR719" s="213"/>
      <c r="AS719" s="213"/>
      <c r="AT719" s="213"/>
      <c r="AU719" s="213"/>
      <c r="AV719" s="213"/>
      <c r="AW719" s="213"/>
      <c r="AX719" s="213"/>
      <c r="AY719" s="213"/>
      <c r="AZ719" s="213"/>
      <c r="BA719" s="213"/>
      <c r="BB719" s="213"/>
      <c r="BC719" s="213"/>
      <c r="BD719" s="213"/>
      <c r="BE719" s="213"/>
      <c r="BF719" s="213"/>
      <c r="BG719" s="213"/>
      <c r="BH719" s="213"/>
      <c r="BI719" s="213"/>
    </row>
    <row r="720" spans="1:64" s="203" customFormat="1" ht="59.1" customHeight="1">
      <c r="A720" s="164"/>
      <c r="B720" s="177"/>
      <c r="C720" s="178" t="s">
        <v>868</v>
      </c>
      <c r="D720" s="178"/>
      <c r="E720" s="178"/>
      <c r="F720" s="178"/>
      <c r="G720" s="178"/>
      <c r="H720" s="178"/>
      <c r="I720" s="178"/>
      <c r="J720" s="178"/>
      <c r="K720" s="178"/>
      <c r="L720" s="178"/>
      <c r="M720" s="208"/>
      <c r="N720" s="208"/>
      <c r="O720" s="208"/>
      <c r="P720" s="208"/>
      <c r="Q720" s="208"/>
      <c r="R720" s="208"/>
      <c r="S720" s="208"/>
      <c r="T720" s="208"/>
      <c r="U720" s="208"/>
      <c r="V720" s="208"/>
      <c r="W720" s="208"/>
      <c r="X720" s="210"/>
      <c r="Y720" s="210"/>
      <c r="Z720" s="210"/>
      <c r="AA720" s="210"/>
      <c r="AB720" s="210"/>
      <c r="AC720" s="210"/>
      <c r="AD720" s="210"/>
      <c r="AE720" s="210"/>
      <c r="AF720" s="210"/>
      <c r="AG720" s="210"/>
      <c r="AH720" s="210"/>
      <c r="AI720" s="210"/>
      <c r="AJ720" s="210"/>
      <c r="AK720" s="210"/>
      <c r="AL720" s="210"/>
      <c r="AM720" s="210"/>
      <c r="AN720" s="210"/>
      <c r="AO720" s="216"/>
      <c r="AP720" s="216"/>
      <c r="AQ720" s="216"/>
      <c r="AR720" s="216"/>
      <c r="AS720" s="216"/>
      <c r="AT720" s="216"/>
      <c r="AU720" s="216"/>
      <c r="AV720" s="216"/>
      <c r="AW720" s="216"/>
      <c r="AX720" s="210"/>
      <c r="AY720" s="216"/>
      <c r="AZ720" s="216"/>
      <c r="BA720" s="216"/>
      <c r="BB720" s="216"/>
      <c r="BC720" s="216"/>
      <c r="BD720" s="216"/>
      <c r="BE720" s="216"/>
      <c r="BF720" s="216"/>
      <c r="BG720" s="216"/>
      <c r="BH720" s="216"/>
      <c r="BI720" s="216"/>
      <c r="BJ720" s="210"/>
      <c r="BK720" s="210"/>
      <c r="BL720" s="210"/>
    </row>
    <row r="721" spans="1:64" s="204" customFormat="1" ht="18" customHeight="1" thickBot="1">
      <c r="A721" s="172"/>
      <c r="B721" s="181" t="s">
        <v>3</v>
      </c>
      <c r="C721" s="148" t="s">
        <v>443</v>
      </c>
      <c r="D721" s="148"/>
      <c r="E721" s="148"/>
      <c r="F721" s="148"/>
      <c r="G721" s="148"/>
      <c r="H721" s="148"/>
      <c r="I721" s="148"/>
      <c r="J721" s="148"/>
      <c r="K721" s="148"/>
      <c r="L721" s="148"/>
      <c r="M721" s="211"/>
      <c r="N721" s="211"/>
      <c r="O721" s="211"/>
      <c r="P721" s="211"/>
      <c r="Q721" s="211"/>
      <c r="R721" s="211"/>
      <c r="S721" s="211"/>
      <c r="T721" s="211"/>
      <c r="U721" s="211"/>
      <c r="V721" s="211"/>
      <c r="W721" s="211"/>
      <c r="X721" s="168"/>
      <c r="Y721" s="168"/>
      <c r="Z721" s="168"/>
      <c r="AA721" s="168"/>
      <c r="AB721" s="168"/>
      <c r="AC721" s="168"/>
      <c r="AD721" s="168"/>
      <c r="AE721" s="168"/>
      <c r="AF721" s="168"/>
      <c r="AG721" s="168"/>
      <c r="AH721" s="168"/>
      <c r="AI721" s="168"/>
      <c r="AJ721" s="168"/>
      <c r="AK721" s="168"/>
      <c r="AL721" s="168"/>
      <c r="AM721" s="168"/>
      <c r="AN721" s="168"/>
      <c r="AO721" s="213"/>
      <c r="AP721" s="213"/>
      <c r="AQ721" s="213"/>
      <c r="AR721" s="213"/>
      <c r="AS721" s="213"/>
      <c r="AT721" s="213"/>
      <c r="AU721" s="213"/>
      <c r="AV721" s="213"/>
      <c r="AW721" s="213"/>
      <c r="AX721" s="168"/>
      <c r="AY721" s="213"/>
      <c r="AZ721" s="213"/>
      <c r="BA721" s="213"/>
      <c r="BB721" s="213"/>
      <c r="BC721" s="213"/>
      <c r="BD721" s="213"/>
      <c r="BE721" s="213"/>
      <c r="BF721" s="213"/>
      <c r="BG721" s="213"/>
      <c r="BH721" s="213"/>
      <c r="BI721" s="213"/>
      <c r="BJ721" s="168"/>
      <c r="BK721" s="168"/>
      <c r="BL721" s="168"/>
    </row>
    <row r="722" spans="1:64" s="204" customFormat="1" ht="18" customHeight="1" thickBot="1">
      <c r="A722" s="172"/>
      <c r="B722" s="182" t="s">
        <v>18</v>
      </c>
      <c r="C722" s="148" t="s">
        <v>443</v>
      </c>
      <c r="D722" s="148"/>
      <c r="E722" s="148"/>
      <c r="F722" s="148"/>
      <c r="G722" s="148"/>
      <c r="H722" s="148"/>
      <c r="I722" s="148"/>
      <c r="J722" s="148"/>
      <c r="K722" s="148"/>
      <c r="L722" s="148"/>
      <c r="M722" s="145"/>
      <c r="N722" s="145"/>
      <c r="O722" s="145"/>
      <c r="P722" s="145"/>
      <c r="Q722" s="145"/>
      <c r="R722" s="145"/>
      <c r="S722" s="145"/>
      <c r="T722" s="145"/>
      <c r="U722" s="145"/>
      <c r="V722" s="145"/>
      <c r="W722" s="145"/>
      <c r="X722" s="168"/>
      <c r="Y722" s="168"/>
      <c r="Z722" s="168"/>
      <c r="AA722" s="168"/>
      <c r="AB722" s="168"/>
      <c r="AC722" s="168"/>
      <c r="AD722" s="168"/>
      <c r="AE722" s="168"/>
      <c r="AF722" s="168"/>
      <c r="AG722" s="168"/>
      <c r="AH722" s="168"/>
      <c r="AI722" s="168"/>
      <c r="AJ722" s="168"/>
      <c r="AK722" s="168"/>
      <c r="AL722" s="168"/>
      <c r="AM722" s="168"/>
      <c r="AN722" s="168"/>
      <c r="AO722" s="213"/>
      <c r="AP722" s="213"/>
      <c r="AQ722" s="213"/>
      <c r="AR722" s="213"/>
      <c r="AS722" s="213"/>
      <c r="AT722" s="213"/>
      <c r="AU722" s="213"/>
      <c r="AV722" s="213"/>
      <c r="AW722" s="213"/>
      <c r="AX722" s="168"/>
      <c r="AY722" s="213"/>
      <c r="AZ722" s="213"/>
      <c r="BA722" s="213"/>
      <c r="BB722" s="213"/>
      <c r="BC722" s="213"/>
      <c r="BD722" s="213"/>
      <c r="BE722" s="213"/>
      <c r="BF722" s="213"/>
      <c r="BG722" s="213"/>
      <c r="BH722" s="213"/>
      <c r="BI722" s="213"/>
      <c r="BJ722" s="168"/>
      <c r="BK722" s="168"/>
      <c r="BL722" s="168"/>
    </row>
    <row r="723" spans="1:64" s="204" customFormat="1" ht="18" customHeight="1" thickBot="1">
      <c r="A723" s="172"/>
      <c r="B723" s="183" t="s">
        <v>32</v>
      </c>
      <c r="C723" s="147" t="s">
        <v>443</v>
      </c>
      <c r="D723" s="147"/>
      <c r="E723" s="147"/>
      <c r="F723" s="147"/>
      <c r="G723" s="147"/>
      <c r="H723" s="147"/>
      <c r="I723" s="147"/>
      <c r="J723" s="147"/>
      <c r="K723" s="147"/>
      <c r="L723" s="147"/>
      <c r="M723" s="145"/>
      <c r="N723" s="145"/>
      <c r="O723" s="145"/>
      <c r="P723" s="145"/>
      <c r="Q723" s="145"/>
      <c r="R723" s="145"/>
      <c r="S723" s="145"/>
      <c r="T723" s="145"/>
      <c r="U723" s="145"/>
      <c r="V723" s="145"/>
      <c r="W723" s="145"/>
      <c r="X723" s="168"/>
      <c r="Y723" s="168"/>
      <c r="Z723" s="168"/>
      <c r="AA723" s="168"/>
      <c r="AB723" s="168"/>
      <c r="AC723" s="168"/>
      <c r="AD723" s="168"/>
      <c r="AE723" s="168"/>
      <c r="AF723" s="168"/>
      <c r="AG723" s="168"/>
      <c r="AH723" s="168"/>
      <c r="AI723" s="168"/>
      <c r="AJ723" s="168"/>
      <c r="AK723" s="168"/>
      <c r="AL723" s="168"/>
      <c r="AM723" s="168"/>
      <c r="AN723" s="168"/>
      <c r="AO723" s="213"/>
      <c r="AP723" s="213"/>
      <c r="AQ723" s="213"/>
      <c r="AR723" s="213"/>
      <c r="AS723" s="213"/>
      <c r="AT723" s="213"/>
      <c r="AU723" s="213"/>
      <c r="AV723" s="213"/>
      <c r="AW723" s="213"/>
      <c r="AX723" s="168"/>
      <c r="AY723" s="213"/>
      <c r="AZ723" s="213"/>
      <c r="BA723" s="213"/>
      <c r="BB723" s="213"/>
      <c r="BC723" s="213"/>
      <c r="BD723" s="213"/>
      <c r="BE723" s="213"/>
      <c r="BF723" s="213"/>
      <c r="BG723" s="213"/>
      <c r="BH723" s="213"/>
      <c r="BI723" s="168"/>
      <c r="BJ723" s="168"/>
      <c r="BK723" s="168"/>
      <c r="BL723" s="168"/>
    </row>
    <row r="724" spans="1:64" s="204" customFormat="1" ht="18" customHeight="1" thickBot="1">
      <c r="A724" s="172"/>
      <c r="B724" s="182" t="s">
        <v>45</v>
      </c>
      <c r="C724" s="145" t="s">
        <v>443</v>
      </c>
      <c r="D724" s="145"/>
      <c r="E724" s="145"/>
      <c r="F724" s="145"/>
      <c r="G724" s="145"/>
      <c r="H724" s="145"/>
      <c r="I724" s="145"/>
      <c r="J724" s="145"/>
      <c r="K724" s="145"/>
      <c r="L724" s="145"/>
      <c r="M724" s="145"/>
      <c r="N724" s="145"/>
      <c r="O724" s="145"/>
      <c r="P724" s="145"/>
      <c r="Q724" s="145"/>
      <c r="R724" s="145"/>
      <c r="S724" s="145"/>
      <c r="T724" s="145"/>
      <c r="U724" s="145"/>
      <c r="V724" s="145"/>
      <c r="W724" s="145"/>
      <c r="X724" s="168"/>
      <c r="Y724" s="168"/>
      <c r="Z724" s="168"/>
      <c r="AA724" s="168"/>
      <c r="AB724" s="168"/>
      <c r="AC724" s="168"/>
      <c r="AD724" s="168"/>
      <c r="AE724" s="168"/>
      <c r="AF724" s="168"/>
      <c r="AG724" s="168"/>
      <c r="AH724" s="168"/>
      <c r="AI724" s="168"/>
      <c r="AJ724" s="168"/>
      <c r="AK724" s="168"/>
      <c r="AL724" s="168"/>
      <c r="AM724" s="168"/>
      <c r="AN724" s="168"/>
      <c r="AO724" s="213"/>
      <c r="AP724" s="213"/>
      <c r="AQ724" s="213"/>
      <c r="AR724" s="213"/>
      <c r="AS724" s="213"/>
      <c r="AT724" s="213"/>
      <c r="AU724" s="213"/>
      <c r="AV724" s="213"/>
      <c r="AW724" s="213"/>
      <c r="AX724" s="168"/>
      <c r="AY724" s="213"/>
      <c r="AZ724" s="213"/>
      <c r="BA724" s="213"/>
      <c r="BB724" s="213"/>
      <c r="BC724" s="213"/>
      <c r="BD724" s="213"/>
      <c r="BE724" s="213"/>
      <c r="BF724" s="213"/>
      <c r="BG724" s="213"/>
      <c r="BH724" s="213"/>
      <c r="BI724" s="168"/>
      <c r="BJ724" s="168"/>
      <c r="BK724" s="168"/>
      <c r="BL724" s="168"/>
    </row>
    <row r="725" spans="1:64" s="204" customFormat="1" ht="18" customHeight="1" thickBot="1">
      <c r="A725" s="172"/>
      <c r="B725" s="184" t="s">
        <v>54</v>
      </c>
      <c r="C725" s="146" t="s">
        <v>443</v>
      </c>
      <c r="D725" s="146"/>
      <c r="E725" s="146"/>
      <c r="F725" s="146"/>
      <c r="G725" s="146"/>
      <c r="H725" s="146"/>
      <c r="I725" s="146"/>
      <c r="J725" s="146"/>
      <c r="K725" s="146"/>
      <c r="L725" s="146"/>
      <c r="M725" s="145"/>
      <c r="N725" s="145"/>
      <c r="O725" s="145"/>
      <c r="P725" s="145"/>
      <c r="Q725" s="145"/>
      <c r="R725" s="145"/>
      <c r="S725" s="145"/>
      <c r="T725" s="145"/>
      <c r="U725" s="145"/>
      <c r="V725" s="145"/>
      <c r="W725" s="145"/>
      <c r="X725" s="168"/>
      <c r="Y725" s="168"/>
      <c r="Z725" s="168"/>
      <c r="AA725" s="168"/>
      <c r="AB725" s="168"/>
      <c r="AC725" s="168"/>
      <c r="AD725" s="168"/>
      <c r="AE725" s="168"/>
      <c r="AF725" s="168"/>
      <c r="AG725" s="168"/>
      <c r="AH725" s="168"/>
      <c r="AI725" s="168"/>
      <c r="AJ725" s="168"/>
      <c r="AK725" s="168"/>
      <c r="AL725" s="168"/>
      <c r="AM725" s="168"/>
      <c r="AN725" s="168"/>
      <c r="AO725" s="213"/>
      <c r="AP725" s="213"/>
      <c r="AQ725" s="213"/>
      <c r="AR725" s="213"/>
      <c r="AS725" s="213"/>
      <c r="AT725" s="213"/>
      <c r="AU725" s="213"/>
      <c r="AV725" s="213"/>
      <c r="AW725" s="213"/>
      <c r="AX725" s="168"/>
      <c r="AY725" s="213"/>
      <c r="AZ725" s="213"/>
      <c r="BA725" s="213"/>
      <c r="BB725" s="213"/>
      <c r="BC725" s="213"/>
      <c r="BD725" s="213"/>
      <c r="BE725" s="213"/>
      <c r="BF725" s="213"/>
      <c r="BG725" s="213"/>
      <c r="BH725" s="213"/>
      <c r="BI725" s="168"/>
      <c r="BJ725" s="168"/>
      <c r="BK725" s="168"/>
      <c r="BL725" s="168"/>
    </row>
    <row r="726" spans="1:64" s="204" customFormat="1">
      <c r="A726" s="172"/>
      <c r="B726" s="182" t="s">
        <v>66</v>
      </c>
      <c r="C726" s="145"/>
      <c r="D726" s="145"/>
      <c r="E726" s="145"/>
      <c r="F726" s="145"/>
      <c r="G726" s="145"/>
      <c r="H726" s="125"/>
      <c r="I726" s="125"/>
      <c r="J726" s="125"/>
      <c r="K726" s="125"/>
      <c r="L726" s="125"/>
      <c r="M726" s="145"/>
      <c r="N726" s="145"/>
      <c r="O726" s="145"/>
      <c r="P726" s="145"/>
      <c r="Q726" s="145"/>
      <c r="R726" s="145"/>
      <c r="S726" s="145"/>
      <c r="T726" s="145"/>
      <c r="U726" s="145"/>
      <c r="V726" s="145"/>
      <c r="W726" s="145"/>
      <c r="X726" s="168"/>
      <c r="Y726" s="168"/>
      <c r="Z726" s="168"/>
      <c r="AA726" s="168"/>
      <c r="AB726" s="168"/>
      <c r="AC726" s="168"/>
      <c r="AD726" s="168"/>
      <c r="AE726" s="168"/>
      <c r="AF726" s="168"/>
      <c r="AG726" s="168"/>
      <c r="AH726" s="168"/>
      <c r="AI726" s="168"/>
      <c r="AJ726" s="168"/>
      <c r="AK726" s="168"/>
      <c r="AL726" s="168"/>
      <c r="AM726" s="168"/>
      <c r="AN726" s="168"/>
      <c r="AO726" s="213"/>
      <c r="AP726" s="213"/>
      <c r="AQ726" s="213"/>
      <c r="AR726" s="213"/>
      <c r="AS726" s="213"/>
      <c r="AT726" s="213"/>
      <c r="AU726" s="213"/>
      <c r="AV726" s="213"/>
      <c r="AW726" s="213"/>
      <c r="AX726" s="168"/>
      <c r="AY726" s="213"/>
      <c r="AZ726" s="213"/>
      <c r="BA726" s="213"/>
      <c r="BB726" s="213"/>
      <c r="BC726" s="213"/>
      <c r="BD726" s="213"/>
      <c r="BE726" s="213"/>
      <c r="BF726" s="213"/>
      <c r="BG726" s="213"/>
      <c r="BH726" s="213"/>
      <c r="BI726" s="168"/>
      <c r="BJ726" s="168"/>
      <c r="BK726" s="168"/>
      <c r="BL726" s="168"/>
    </row>
    <row r="727" spans="1:64" s="204" customFormat="1">
      <c r="A727" s="172"/>
      <c r="B727" s="182" t="s">
        <v>158</v>
      </c>
      <c r="C727" s="126" t="s">
        <v>443</v>
      </c>
      <c r="D727" s="126"/>
      <c r="E727" s="126"/>
      <c r="F727" s="126"/>
      <c r="G727" s="126"/>
      <c r="H727" s="126"/>
      <c r="I727" s="126"/>
      <c r="J727" s="126"/>
      <c r="K727" s="126"/>
      <c r="L727" s="126"/>
      <c r="M727" s="126"/>
      <c r="N727" s="126"/>
      <c r="O727" s="126"/>
      <c r="P727" s="126"/>
      <c r="Q727" s="126"/>
      <c r="R727" s="126"/>
      <c r="S727" s="126"/>
      <c r="T727" s="126"/>
      <c r="U727" s="126"/>
      <c r="V727" s="126"/>
      <c r="W727" s="126"/>
      <c r="X727" s="168"/>
      <c r="Y727" s="168"/>
      <c r="Z727" s="168"/>
      <c r="AA727" s="168"/>
      <c r="AB727" s="168"/>
      <c r="AC727" s="168"/>
      <c r="AD727" s="168"/>
      <c r="AE727" s="168"/>
      <c r="AF727" s="168"/>
      <c r="AG727" s="168"/>
      <c r="AH727" s="168"/>
      <c r="AI727" s="168"/>
      <c r="AJ727" s="168"/>
      <c r="AK727" s="168"/>
      <c r="AL727" s="168"/>
      <c r="AM727" s="168"/>
      <c r="AN727" s="168"/>
      <c r="AO727" s="213"/>
      <c r="AP727" s="213"/>
      <c r="AQ727" s="213"/>
      <c r="AR727" s="213"/>
      <c r="AS727" s="213"/>
      <c r="AT727" s="213"/>
      <c r="AU727" s="213"/>
      <c r="AV727" s="213"/>
      <c r="AW727" s="213"/>
      <c r="AX727" s="168"/>
      <c r="AY727" s="213"/>
      <c r="AZ727" s="213"/>
      <c r="BA727" s="213"/>
      <c r="BB727" s="213"/>
      <c r="BC727" s="213"/>
      <c r="BD727" s="213"/>
      <c r="BE727" s="213"/>
      <c r="BF727" s="213"/>
      <c r="BG727" s="213"/>
      <c r="BH727" s="213"/>
      <c r="BI727" s="168"/>
      <c r="BJ727" s="168"/>
      <c r="BK727" s="168"/>
      <c r="BL727" s="168"/>
    </row>
    <row r="728" spans="1:64" s="207" customFormat="1">
      <c r="A728" s="177"/>
      <c r="B728" s="182" t="s">
        <v>191</v>
      </c>
      <c r="C728" s="127">
        <v>69</v>
      </c>
      <c r="D728" s="127"/>
      <c r="E728" s="127"/>
      <c r="F728" s="127"/>
      <c r="G728" s="127"/>
      <c r="H728" s="126"/>
      <c r="I728" s="126"/>
      <c r="J728" s="126"/>
      <c r="K728" s="126"/>
      <c r="L728" s="126"/>
      <c r="M728" s="126"/>
      <c r="N728" s="126"/>
      <c r="O728" s="126"/>
      <c r="P728" s="126"/>
      <c r="Q728" s="126"/>
      <c r="R728" s="126"/>
      <c r="S728" s="126"/>
      <c r="T728" s="126"/>
      <c r="U728" s="126"/>
      <c r="V728" s="126"/>
      <c r="W728" s="126"/>
      <c r="X728" s="168"/>
      <c r="Y728" s="168"/>
      <c r="Z728" s="168"/>
      <c r="AA728" s="168"/>
      <c r="AB728" s="168"/>
      <c r="AC728" s="168"/>
      <c r="AD728" s="168"/>
      <c r="AE728" s="168"/>
      <c r="AF728" s="168"/>
      <c r="AG728" s="168"/>
      <c r="AH728" s="168"/>
      <c r="AI728" s="168"/>
      <c r="AJ728" s="168"/>
      <c r="AK728" s="168"/>
      <c r="AL728" s="168"/>
      <c r="AM728" s="168"/>
      <c r="AN728" s="168"/>
      <c r="AO728" s="214"/>
      <c r="AP728" s="214"/>
      <c r="AQ728" s="214"/>
      <c r="AR728" s="214"/>
      <c r="AS728" s="214"/>
      <c r="AT728" s="213"/>
      <c r="AU728" s="213"/>
      <c r="AV728" s="213"/>
      <c r="AW728" s="213"/>
      <c r="AX728" s="168"/>
      <c r="AY728" s="213"/>
      <c r="AZ728" s="213"/>
      <c r="BA728" s="213"/>
      <c r="BB728" s="213"/>
      <c r="BC728" s="213"/>
      <c r="BD728" s="213"/>
      <c r="BE728" s="213"/>
      <c r="BF728" s="213"/>
      <c r="BG728" s="213"/>
      <c r="BH728" s="213"/>
      <c r="BI728" s="168"/>
      <c r="BJ728" s="168"/>
      <c r="BK728" s="168"/>
      <c r="BL728" s="168"/>
    </row>
    <row r="729" spans="1:64" s="182" customFormat="1" ht="15" thickBot="1">
      <c r="B729" s="182" t="s">
        <v>442</v>
      </c>
      <c r="C729" s="126">
        <v>5</v>
      </c>
      <c r="D729" s="315"/>
      <c r="E729" s="315"/>
      <c r="F729" s="315"/>
      <c r="G729" s="315"/>
      <c r="H729" s="315"/>
      <c r="I729" s="315"/>
      <c r="J729" s="315"/>
      <c r="K729" s="315"/>
      <c r="L729" s="315"/>
      <c r="M729" s="126"/>
      <c r="N729" s="126"/>
      <c r="O729" s="126"/>
      <c r="P729" s="126"/>
      <c r="Q729" s="126"/>
      <c r="R729" s="126"/>
      <c r="S729" s="126"/>
      <c r="T729" s="126"/>
      <c r="U729" s="126"/>
      <c r="V729" s="126"/>
      <c r="W729" s="126"/>
      <c r="X729" s="168"/>
      <c r="Y729" s="168"/>
      <c r="Z729" s="168"/>
      <c r="AA729" s="168"/>
      <c r="AB729" s="168"/>
      <c r="AC729" s="168"/>
      <c r="AD729" s="168"/>
      <c r="AE729" s="168"/>
      <c r="AF729" s="168"/>
      <c r="AG729" s="168"/>
      <c r="AH729" s="168"/>
      <c r="AI729" s="168"/>
      <c r="AJ729" s="168"/>
      <c r="AK729" s="168"/>
      <c r="AL729" s="168"/>
      <c r="AM729" s="168"/>
      <c r="AN729" s="168"/>
      <c r="AO729" s="213"/>
      <c r="AP729" s="213"/>
      <c r="AQ729" s="213"/>
      <c r="AR729" s="213"/>
      <c r="AS729" s="213"/>
      <c r="AT729" s="213"/>
      <c r="AU729" s="213"/>
      <c r="AV729" s="213"/>
      <c r="AW729" s="213"/>
      <c r="AX729" s="168"/>
      <c r="AY729" s="213"/>
      <c r="AZ729" s="213"/>
      <c r="BA729" s="213"/>
      <c r="BB729" s="213"/>
      <c r="BC729" s="213"/>
      <c r="BD729" s="213"/>
      <c r="BE729" s="213"/>
      <c r="BF729" s="213"/>
      <c r="BG729" s="213"/>
      <c r="BH729" s="213"/>
      <c r="BI729" s="168"/>
      <c r="BJ729" s="168"/>
      <c r="BK729" s="168"/>
      <c r="BL729" s="168"/>
    </row>
    <row r="730" spans="1:64" s="182" customFormat="1">
      <c r="B730" s="338" t="s">
        <v>166</v>
      </c>
      <c r="C730" s="316" t="str">
        <f>IF(OR(C733="**",C733=""),"",VALUE(C733))</f>
        <v/>
      </c>
      <c r="D730" s="316" t="str">
        <f t="shared" ref="D730:J730" si="71">IF(OR(D733="**",D733=""),"",VALUE(D733))</f>
        <v/>
      </c>
      <c r="E730" s="316" t="str">
        <f t="shared" si="71"/>
        <v/>
      </c>
      <c r="F730" s="316" t="str">
        <f t="shared" si="71"/>
        <v/>
      </c>
      <c r="G730" s="316" t="str">
        <f t="shared" si="71"/>
        <v/>
      </c>
      <c r="H730" s="316" t="str">
        <f t="shared" si="71"/>
        <v/>
      </c>
      <c r="I730" s="316" t="str">
        <f t="shared" si="71"/>
        <v/>
      </c>
      <c r="J730" s="316" t="str">
        <f t="shared" si="71"/>
        <v/>
      </c>
      <c r="K730" s="316"/>
      <c r="L730" s="316"/>
      <c r="M730" s="126"/>
      <c r="N730" s="126"/>
      <c r="O730" s="126"/>
      <c r="P730" s="126"/>
      <c r="Q730" s="126"/>
      <c r="R730" s="126"/>
      <c r="S730" s="126"/>
      <c r="T730" s="126"/>
      <c r="U730" s="126"/>
      <c r="V730" s="126"/>
      <c r="W730" s="126"/>
      <c r="X730" s="168"/>
      <c r="Y730" s="168"/>
      <c r="Z730" s="168"/>
      <c r="AA730" s="168"/>
      <c r="AB730" s="168"/>
      <c r="AC730" s="168"/>
      <c r="AD730" s="168"/>
      <c r="AE730" s="168"/>
      <c r="AF730" s="168"/>
      <c r="AG730" s="168"/>
      <c r="AH730" s="168"/>
      <c r="AI730" s="168"/>
      <c r="AJ730" s="168"/>
      <c r="AK730" s="168"/>
      <c r="AL730" s="168"/>
      <c r="AM730" s="168"/>
      <c r="AN730" s="168"/>
      <c r="AO730" s="213"/>
      <c r="AP730" s="213"/>
      <c r="AQ730" s="213"/>
      <c r="AR730" s="213"/>
      <c r="AS730" s="213"/>
      <c r="AT730" s="213"/>
      <c r="AU730" s="213"/>
      <c r="AV730" s="213"/>
      <c r="AW730" s="213"/>
      <c r="AX730" s="168"/>
      <c r="AY730" s="213"/>
      <c r="AZ730" s="213"/>
      <c r="BA730" s="213"/>
      <c r="BB730" s="213"/>
      <c r="BC730" s="213"/>
      <c r="BD730" s="213"/>
      <c r="BE730" s="213"/>
      <c r="BF730" s="213"/>
      <c r="BG730" s="213"/>
      <c r="BH730" s="213"/>
      <c r="BI730" s="168"/>
      <c r="BJ730" s="168"/>
      <c r="BK730" s="168"/>
      <c r="BL730" s="168"/>
    </row>
    <row r="731" spans="1:64" s="182" customFormat="1" ht="15" thickBot="1">
      <c r="B731" s="339" t="s">
        <v>165</v>
      </c>
      <c r="C731" s="317" t="str">
        <f t="shared" ref="C731:J731" si="72">IF(OR(C727="**",C727=""),"",VALUE(C727))</f>
        <v/>
      </c>
      <c r="D731" s="317" t="str">
        <f t="shared" si="72"/>
        <v/>
      </c>
      <c r="E731" s="317" t="str">
        <f t="shared" si="72"/>
        <v/>
      </c>
      <c r="F731" s="317" t="str">
        <f t="shared" si="72"/>
        <v/>
      </c>
      <c r="G731" s="317" t="str">
        <f t="shared" si="72"/>
        <v/>
      </c>
      <c r="H731" s="317" t="str">
        <f t="shared" si="72"/>
        <v/>
      </c>
      <c r="I731" s="317" t="str">
        <f t="shared" si="72"/>
        <v/>
      </c>
      <c r="J731" s="317" t="str">
        <f t="shared" si="72"/>
        <v/>
      </c>
      <c r="K731" s="317"/>
      <c r="L731" s="317"/>
      <c r="M731" s="169"/>
      <c r="N731" s="169"/>
      <c r="O731" s="169"/>
      <c r="P731" s="169"/>
      <c r="Q731" s="169"/>
      <c r="R731" s="169"/>
      <c r="S731" s="169"/>
      <c r="T731" s="169"/>
      <c r="U731" s="169"/>
      <c r="V731" s="169"/>
      <c r="W731" s="169"/>
      <c r="X731" s="168"/>
      <c r="Y731" s="168"/>
      <c r="Z731" s="168"/>
      <c r="AA731" s="168"/>
      <c r="AB731" s="168"/>
      <c r="AC731" s="168"/>
      <c r="AD731" s="168"/>
      <c r="AE731" s="168"/>
      <c r="AF731" s="168"/>
      <c r="AG731" s="168"/>
      <c r="AH731" s="168"/>
      <c r="AI731" s="168"/>
      <c r="AJ731" s="168"/>
      <c r="AK731" s="168"/>
      <c r="AL731" s="168"/>
      <c r="AM731" s="168"/>
      <c r="AN731" s="168"/>
      <c r="AO731" s="169"/>
      <c r="AP731" s="169"/>
      <c r="AQ731" s="169"/>
      <c r="AR731" s="169"/>
      <c r="AS731" s="169"/>
      <c r="AT731" s="169"/>
      <c r="AU731" s="169"/>
      <c r="AV731" s="169"/>
      <c r="AW731" s="213"/>
      <c r="AX731" s="213"/>
      <c r="AY731" s="213"/>
      <c r="AZ731" s="213"/>
      <c r="BA731" s="213"/>
      <c r="BB731" s="213"/>
      <c r="BC731" s="213"/>
      <c r="BD731" s="213"/>
      <c r="BE731" s="213"/>
      <c r="BF731" s="213"/>
      <c r="BG731" s="213"/>
      <c r="BH731" s="213"/>
      <c r="BI731" s="168"/>
      <c r="BJ731" s="168"/>
      <c r="BK731" s="168"/>
      <c r="BL731" s="168"/>
    </row>
    <row r="732" spans="1:64" s="182" customFormat="1">
      <c r="B732" s="340" t="s">
        <v>483</v>
      </c>
      <c r="C732" s="167" t="s">
        <v>931</v>
      </c>
      <c r="D732" s="167"/>
      <c r="E732" s="167"/>
      <c r="F732" s="167"/>
      <c r="G732" s="167"/>
      <c r="H732" s="166"/>
      <c r="I732" s="166"/>
      <c r="J732" s="166"/>
      <c r="K732" s="166"/>
      <c r="L732" s="166"/>
      <c r="M732" s="145"/>
      <c r="N732" s="145"/>
      <c r="O732" s="145"/>
      <c r="P732" s="145"/>
      <c r="Q732" s="145"/>
      <c r="R732" s="145"/>
      <c r="S732" s="145"/>
      <c r="T732" s="145"/>
      <c r="U732" s="145"/>
      <c r="V732" s="145"/>
      <c r="W732" s="145"/>
      <c r="X732" s="168"/>
      <c r="Y732" s="168"/>
      <c r="Z732" s="168"/>
      <c r="AA732" s="168"/>
      <c r="AB732" s="168"/>
      <c r="AC732" s="168"/>
      <c r="AD732" s="168"/>
      <c r="AE732" s="168"/>
      <c r="AF732" s="168"/>
      <c r="AG732" s="168"/>
      <c r="AH732" s="168"/>
      <c r="AI732" s="168"/>
      <c r="AJ732" s="168"/>
      <c r="AK732" s="168"/>
      <c r="AL732" s="168"/>
      <c r="AM732" s="213"/>
      <c r="AN732" s="213"/>
      <c r="AO732" s="213"/>
      <c r="AP732" s="213"/>
      <c r="AQ732" s="213"/>
      <c r="AR732" s="213"/>
      <c r="AS732" s="213"/>
      <c r="AT732" s="213"/>
      <c r="AU732" s="213"/>
      <c r="AV732" s="168"/>
      <c r="AW732" s="213"/>
      <c r="AX732" s="213"/>
      <c r="AY732" s="213"/>
      <c r="AZ732" s="213"/>
      <c r="BA732" s="213"/>
      <c r="BB732" s="213"/>
      <c r="BC732" s="213"/>
      <c r="BD732" s="213"/>
      <c r="BE732" s="213"/>
      <c r="BF732" s="213"/>
      <c r="BG732" s="213"/>
      <c r="BH732" s="168"/>
    </row>
    <row r="733" spans="1:64" s="182" customFormat="1">
      <c r="B733" s="182" t="s">
        <v>158</v>
      </c>
      <c r="C733" s="165" t="s">
        <v>443</v>
      </c>
      <c r="D733" s="165"/>
      <c r="E733" s="165"/>
      <c r="F733" s="165"/>
      <c r="G733" s="165"/>
      <c r="H733" s="166"/>
      <c r="I733" s="166"/>
      <c r="J733" s="166"/>
      <c r="K733" s="166"/>
      <c r="L733" s="166"/>
      <c r="M733" s="145"/>
      <c r="N733" s="145"/>
      <c r="O733" s="145"/>
      <c r="P733" s="145"/>
      <c r="Q733" s="145"/>
      <c r="R733" s="145"/>
      <c r="S733" s="145"/>
      <c r="T733" s="145"/>
      <c r="U733" s="145"/>
      <c r="V733" s="145"/>
      <c r="W733" s="145"/>
      <c r="X733" s="168"/>
      <c r="Y733" s="168"/>
      <c r="Z733" s="168"/>
      <c r="AA733" s="168"/>
      <c r="AB733" s="168"/>
      <c r="AC733" s="168"/>
      <c r="AD733" s="168"/>
      <c r="AE733" s="168"/>
      <c r="AF733" s="168"/>
      <c r="AG733" s="168"/>
      <c r="AH733" s="168"/>
      <c r="AI733" s="168"/>
      <c r="AJ733" s="168"/>
      <c r="AK733" s="168"/>
      <c r="AL733" s="168"/>
      <c r="AM733" s="213"/>
      <c r="AN733" s="213"/>
      <c r="AO733" s="213"/>
      <c r="AP733" s="213"/>
      <c r="AQ733" s="213"/>
      <c r="AR733" s="213"/>
      <c r="AS733" s="213"/>
      <c r="AT733" s="213"/>
      <c r="AU733" s="213"/>
      <c r="AV733" s="168"/>
      <c r="AW733" s="213"/>
      <c r="AX733" s="213"/>
      <c r="AY733" s="213"/>
      <c r="AZ733" s="213"/>
      <c r="BA733" s="213"/>
      <c r="BB733" s="213"/>
      <c r="BC733" s="213"/>
      <c r="BD733" s="213"/>
      <c r="BE733" s="213"/>
      <c r="BF733" s="213"/>
      <c r="BG733" s="213"/>
      <c r="BH733" s="168"/>
    </row>
    <row r="734" spans="1:64" s="182" customFormat="1">
      <c r="B734" s="340" t="s">
        <v>442</v>
      </c>
      <c r="C734" s="165">
        <v>5</v>
      </c>
      <c r="D734" s="165"/>
      <c r="E734" s="165"/>
      <c r="F734" s="165"/>
      <c r="G734" s="165"/>
      <c r="H734" s="165"/>
      <c r="I734" s="165"/>
      <c r="J734" s="165"/>
      <c r="K734" s="165"/>
      <c r="L734" s="165"/>
      <c r="M734" s="145"/>
      <c r="N734" s="145"/>
      <c r="O734" s="145"/>
      <c r="P734" s="145"/>
      <c r="Q734" s="145"/>
      <c r="R734" s="145"/>
      <c r="S734" s="145"/>
      <c r="T734" s="145"/>
      <c r="U734" s="145"/>
      <c r="V734" s="145"/>
      <c r="W734" s="145"/>
      <c r="X734" s="168"/>
      <c r="Y734" s="168"/>
      <c r="Z734" s="168"/>
      <c r="AA734" s="168"/>
      <c r="AB734" s="168"/>
      <c r="AC734" s="168"/>
      <c r="AD734" s="168"/>
      <c r="AE734" s="168"/>
      <c r="AF734" s="168"/>
      <c r="AG734" s="168"/>
      <c r="AH734" s="168"/>
      <c r="AI734" s="168"/>
      <c r="AJ734" s="168"/>
      <c r="AK734" s="168"/>
      <c r="AL734" s="168"/>
      <c r="AM734" s="213"/>
      <c r="AN734" s="213"/>
      <c r="AO734" s="213"/>
      <c r="AP734" s="213"/>
      <c r="AQ734" s="213"/>
      <c r="AR734" s="213"/>
      <c r="AS734" s="213"/>
      <c r="AT734" s="213"/>
      <c r="AU734" s="213"/>
      <c r="AV734" s="168"/>
      <c r="AW734" s="213"/>
      <c r="AX734" s="213"/>
      <c r="AY734" s="213"/>
      <c r="AZ734" s="213"/>
      <c r="BA734" s="213"/>
      <c r="BB734" s="213"/>
      <c r="BC734" s="213"/>
      <c r="BD734" s="213"/>
      <c r="BE734" s="213"/>
      <c r="BF734" s="213"/>
      <c r="BG734" s="213"/>
      <c r="BH734" s="168"/>
    </row>
    <row r="735" spans="1:64" s="182" customFormat="1">
      <c r="B735" s="145"/>
      <c r="C735" s="145"/>
      <c r="D735" s="145"/>
      <c r="E735" s="145"/>
      <c r="F735" s="145"/>
      <c r="G735" s="145"/>
      <c r="H735" s="145"/>
      <c r="I735" s="145"/>
      <c r="J735" s="145"/>
      <c r="K735" s="145"/>
      <c r="L735" s="145"/>
      <c r="M735" s="145"/>
      <c r="N735" s="145"/>
      <c r="O735" s="145"/>
      <c r="P735" s="145"/>
      <c r="Q735" s="145"/>
      <c r="R735" s="145"/>
      <c r="S735" s="145"/>
      <c r="T735" s="145"/>
      <c r="U735" s="145"/>
      <c r="V735" s="145"/>
      <c r="W735" s="145"/>
      <c r="X735" s="168"/>
      <c r="Y735" s="168"/>
      <c r="Z735" s="168"/>
      <c r="AA735" s="168"/>
      <c r="AB735" s="168"/>
      <c r="AC735" s="168"/>
      <c r="AD735" s="168"/>
      <c r="AE735" s="168"/>
      <c r="AF735" s="168"/>
      <c r="AG735" s="168"/>
      <c r="AH735" s="168"/>
      <c r="AI735" s="168"/>
      <c r="AJ735" s="168"/>
      <c r="AK735" s="168"/>
      <c r="AL735" s="168"/>
      <c r="AM735" s="213"/>
      <c r="AN735" s="213"/>
      <c r="AO735" s="213"/>
      <c r="AP735" s="213"/>
      <c r="AQ735" s="213"/>
      <c r="AR735" s="213"/>
      <c r="AS735" s="213"/>
      <c r="AT735" s="213"/>
      <c r="AU735" s="213"/>
      <c r="AV735" s="168"/>
      <c r="AW735" s="213"/>
      <c r="AX735" s="213"/>
      <c r="AY735" s="213"/>
      <c r="AZ735" s="213"/>
      <c r="BA735" s="213"/>
      <c r="BB735" s="213"/>
      <c r="BC735" s="213"/>
      <c r="BD735" s="213"/>
      <c r="BE735" s="213"/>
      <c r="BF735" s="213"/>
      <c r="BG735" s="213"/>
      <c r="BH735" s="168"/>
    </row>
    <row r="736" spans="1:64" s="182" customFormat="1">
      <c r="B736" s="126"/>
      <c r="C736" s="126"/>
      <c r="D736" s="126"/>
      <c r="E736" s="126"/>
      <c r="F736" s="126"/>
      <c r="G736" s="126"/>
      <c r="H736" s="126"/>
      <c r="I736" s="126"/>
      <c r="J736" s="126"/>
      <c r="K736" s="126"/>
      <c r="L736" s="126"/>
      <c r="M736" s="126"/>
      <c r="N736" s="126"/>
      <c r="O736" s="126"/>
      <c r="P736" s="126"/>
      <c r="Q736" s="126"/>
      <c r="R736" s="126"/>
      <c r="S736" s="126"/>
      <c r="T736" s="126"/>
      <c r="U736" s="126"/>
      <c r="V736" s="126"/>
      <c r="W736" s="126"/>
      <c r="X736" s="168"/>
      <c r="Y736" s="168"/>
      <c r="Z736" s="168"/>
      <c r="AA736" s="168"/>
      <c r="AB736" s="168"/>
      <c r="AC736" s="168"/>
      <c r="AD736" s="168"/>
      <c r="AE736" s="168"/>
      <c r="AF736" s="168"/>
      <c r="AG736" s="168"/>
      <c r="AH736" s="168"/>
      <c r="AI736" s="168"/>
      <c r="AJ736" s="168"/>
      <c r="AK736" s="168"/>
      <c r="AL736" s="168"/>
      <c r="AM736" s="213"/>
      <c r="AN736" s="213"/>
      <c r="AO736" s="213"/>
      <c r="AP736" s="213"/>
      <c r="AQ736" s="213"/>
      <c r="AR736" s="213"/>
      <c r="AS736" s="213"/>
      <c r="AT736" s="213"/>
      <c r="AU736" s="213"/>
      <c r="AV736" s="168"/>
      <c r="AW736" s="213"/>
      <c r="AX736" s="213"/>
      <c r="AY736" s="213"/>
      <c r="AZ736" s="213"/>
      <c r="BA736" s="213"/>
      <c r="BB736" s="213"/>
      <c r="BC736" s="213"/>
      <c r="BD736" s="213"/>
      <c r="BE736" s="213"/>
      <c r="BF736" s="213"/>
      <c r="BG736" s="213"/>
      <c r="BH736" s="168"/>
    </row>
    <row r="737" spans="1:64" s="182" customFormat="1">
      <c r="A737" s="127"/>
      <c r="B737" s="127"/>
      <c r="C737" s="127"/>
      <c r="D737" s="127"/>
      <c r="E737" s="127"/>
      <c r="F737" s="126"/>
      <c r="G737" s="126"/>
      <c r="H737" s="126"/>
      <c r="I737" s="126"/>
      <c r="J737" s="126"/>
      <c r="K737" s="126"/>
      <c r="L737" s="126"/>
      <c r="M737" s="126"/>
      <c r="N737" s="126"/>
      <c r="O737" s="126"/>
      <c r="P737" s="126"/>
      <c r="Q737" s="126"/>
      <c r="R737" s="126"/>
      <c r="S737" s="126"/>
      <c r="T737" s="126"/>
      <c r="U737" s="126"/>
      <c r="V737" s="126"/>
      <c r="W737" s="126"/>
      <c r="X737" s="168"/>
      <c r="Y737" s="168"/>
      <c r="Z737" s="168"/>
      <c r="AA737" s="168"/>
      <c r="AB737" s="168"/>
      <c r="AC737" s="168"/>
      <c r="AD737" s="168"/>
      <c r="AE737" s="168"/>
      <c r="AF737" s="168"/>
      <c r="AG737" s="168"/>
      <c r="AH737" s="168"/>
      <c r="AI737" s="168"/>
      <c r="AJ737" s="168"/>
      <c r="AK737" s="168"/>
      <c r="AL737" s="168"/>
      <c r="AM737" s="214"/>
      <c r="AN737" s="214"/>
      <c r="AO737" s="214"/>
      <c r="AP737" s="214"/>
      <c r="AQ737" s="214"/>
      <c r="AR737" s="213"/>
      <c r="AS737" s="213"/>
      <c r="AT737" s="213"/>
      <c r="AU737" s="213"/>
      <c r="AV737" s="168"/>
      <c r="AW737" s="213"/>
      <c r="AX737" s="213"/>
      <c r="AY737" s="213"/>
      <c r="AZ737" s="213"/>
      <c r="BA737" s="213"/>
      <c r="BB737" s="213"/>
      <c r="BC737" s="213"/>
      <c r="BD737" s="213"/>
      <c r="BE737" s="213"/>
      <c r="BF737" s="213"/>
      <c r="BG737" s="213"/>
      <c r="BH737" s="168"/>
      <c r="BI737" s="203"/>
    </row>
    <row r="738" spans="1:64" s="126" customFormat="1" ht="14.25" customHeight="1">
      <c r="X738" s="168"/>
      <c r="Y738" s="168"/>
      <c r="Z738" s="168"/>
      <c r="AA738" s="168"/>
      <c r="AB738" s="168"/>
      <c r="AC738" s="168"/>
      <c r="AD738" s="168"/>
      <c r="AE738" s="168"/>
      <c r="AF738" s="168"/>
      <c r="AG738" s="168"/>
      <c r="AH738" s="168"/>
      <c r="AI738" s="168"/>
      <c r="AJ738" s="168"/>
      <c r="AK738" s="168"/>
      <c r="AL738" s="168"/>
      <c r="AM738" s="213"/>
      <c r="AN738" s="213"/>
      <c r="AO738" s="213"/>
      <c r="AP738" s="213"/>
      <c r="AQ738" s="213"/>
      <c r="AR738" s="213"/>
      <c r="AS738" s="213"/>
      <c r="AT738" s="213"/>
      <c r="AU738" s="213"/>
      <c r="AV738" s="168"/>
      <c r="AW738" s="213"/>
      <c r="AX738" s="213"/>
      <c r="AY738" s="213"/>
      <c r="AZ738" s="213"/>
      <c r="BA738" s="213"/>
      <c r="BB738" s="213"/>
      <c r="BC738" s="213"/>
      <c r="BD738" s="213"/>
      <c r="BE738" s="213"/>
      <c r="BF738" s="213"/>
      <c r="BG738" s="168"/>
      <c r="BH738" s="203"/>
      <c r="BI738" s="182"/>
    </row>
    <row r="739" spans="1:64" s="169" customFormat="1" ht="14.25" customHeight="1">
      <c r="A739" s="126" t="s">
        <v>183</v>
      </c>
      <c r="B739" s="126"/>
      <c r="C739" s="126"/>
      <c r="D739" s="126"/>
      <c r="E739" s="126"/>
      <c r="F739" s="126"/>
      <c r="G739" s="126"/>
      <c r="H739" s="170"/>
      <c r="I739" s="170"/>
      <c r="J739" s="170"/>
      <c r="K739" s="170"/>
      <c r="L739" s="170"/>
      <c r="M739" s="170"/>
      <c r="N739" s="170"/>
      <c r="O739" s="170"/>
      <c r="P739" s="170"/>
      <c r="Q739" s="170"/>
      <c r="R739" s="170"/>
      <c r="S739" s="170"/>
      <c r="T739" s="170"/>
      <c r="U739" s="170"/>
      <c r="V739" s="170"/>
      <c r="W739" s="170"/>
      <c r="X739" s="168"/>
      <c r="Y739" s="168"/>
      <c r="Z739" s="168"/>
      <c r="AA739" s="168"/>
      <c r="AB739" s="168"/>
      <c r="AC739" s="168"/>
      <c r="AD739" s="168"/>
      <c r="AE739" s="168"/>
      <c r="AF739" s="168"/>
      <c r="AG739" s="168"/>
      <c r="AH739" s="168"/>
      <c r="AI739" s="168"/>
      <c r="AJ739" s="168"/>
      <c r="AK739" s="168"/>
      <c r="AL739" s="213"/>
      <c r="AM739" s="213"/>
      <c r="AN739" s="213"/>
      <c r="AO739" s="213"/>
      <c r="AP739" s="213"/>
      <c r="AQ739" s="213"/>
      <c r="AR739" s="213"/>
      <c r="AS739" s="213"/>
      <c r="AT739" s="213"/>
      <c r="AU739" s="168"/>
      <c r="AV739" s="213"/>
      <c r="AW739" s="213"/>
      <c r="AX739" s="213"/>
      <c r="AY739" s="213"/>
      <c r="AZ739" s="213"/>
      <c r="BA739" s="213"/>
      <c r="BB739" s="213"/>
      <c r="BC739" s="213"/>
      <c r="BD739" s="213"/>
      <c r="BE739" s="213"/>
      <c r="BF739" s="168"/>
      <c r="BG739" s="203"/>
      <c r="BH739" s="217"/>
    </row>
    <row r="740" spans="1:64" s="213" customFormat="1" ht="14.25" customHeight="1">
      <c r="A740" s="165">
        <v>1</v>
      </c>
      <c r="B740" s="169"/>
      <c r="C740" s="169"/>
      <c r="D740" s="169"/>
      <c r="E740" s="169"/>
      <c r="F740" s="169"/>
      <c r="G740" s="170"/>
      <c r="H740" s="170"/>
      <c r="I740" s="170"/>
      <c r="J740" s="170"/>
      <c r="K740" s="170"/>
      <c r="L740" s="170"/>
      <c r="M740" s="170"/>
      <c r="N740" s="170"/>
      <c r="O740" s="170"/>
      <c r="P740" s="170"/>
      <c r="Q740" s="170"/>
      <c r="R740" s="170"/>
      <c r="S740" s="170"/>
      <c r="T740" s="170"/>
      <c r="U740" s="170"/>
      <c r="V740" s="170"/>
      <c r="W740" s="170"/>
      <c r="X740" s="168"/>
      <c r="Y740" s="168"/>
      <c r="Z740" s="168"/>
      <c r="AA740" s="168"/>
      <c r="AB740" s="168"/>
      <c r="AC740" s="168"/>
      <c r="AD740" s="168"/>
      <c r="AE740" s="168"/>
      <c r="AF740" s="168"/>
      <c r="AG740" s="168"/>
      <c r="AH740" s="168"/>
      <c r="AI740" s="168"/>
      <c r="AJ740" s="168"/>
      <c r="AK740" s="169"/>
      <c r="AL740" s="169"/>
      <c r="AM740" s="169"/>
      <c r="AN740" s="169"/>
      <c r="AO740" s="169"/>
      <c r="AP740" s="169"/>
      <c r="AQ740" s="169"/>
      <c r="AR740" s="169"/>
      <c r="BE740" s="168"/>
      <c r="BF740" s="203"/>
      <c r="BG740" s="204"/>
    </row>
    <row r="741" spans="1:64" s="169" customFormat="1" ht="14.25" customHeight="1">
      <c r="A741" s="167"/>
      <c r="B741" s="167"/>
      <c r="C741" s="166"/>
      <c r="D741" s="166"/>
      <c r="E741" s="166"/>
      <c r="F741" s="166"/>
      <c r="G741" s="166"/>
      <c r="H741" s="143"/>
      <c r="I741" s="143"/>
      <c r="J741" s="143"/>
      <c r="K741" s="143"/>
      <c r="L741" s="143"/>
      <c r="M741" s="168"/>
      <c r="N741" s="168"/>
      <c r="O741" s="168"/>
      <c r="P741" s="168"/>
      <c r="Q741" s="168"/>
      <c r="R741" s="168"/>
      <c r="S741" s="168"/>
      <c r="T741" s="168"/>
      <c r="U741" s="168"/>
      <c r="V741" s="168"/>
      <c r="W741" s="168"/>
      <c r="X741" s="168"/>
      <c r="Y741" s="168"/>
      <c r="Z741" s="168"/>
      <c r="AA741" s="168"/>
      <c r="AB741" s="168"/>
      <c r="AC741" s="168"/>
      <c r="AD741" s="168"/>
      <c r="AE741" s="168"/>
      <c r="AF741" s="168"/>
      <c r="AG741" s="168"/>
      <c r="AH741" s="168"/>
      <c r="AI741" s="168"/>
      <c r="AJ741" s="213"/>
      <c r="AK741" s="213"/>
      <c r="AL741" s="213"/>
      <c r="AM741" s="213"/>
      <c r="AN741" s="213"/>
      <c r="AO741" s="213"/>
      <c r="AP741" s="213"/>
      <c r="AQ741" s="213"/>
      <c r="AR741" s="213"/>
      <c r="AS741" s="213"/>
      <c r="AT741" s="213"/>
      <c r="AU741" s="213"/>
      <c r="AV741" s="213"/>
      <c r="AW741" s="213"/>
      <c r="AX741" s="213"/>
      <c r="AY741" s="213"/>
      <c r="AZ741" s="213"/>
      <c r="BA741" s="213"/>
      <c r="BB741" s="213"/>
      <c r="BC741" s="213"/>
      <c r="BD741" s="168"/>
      <c r="BE741" s="203"/>
      <c r="BF741" s="204"/>
    </row>
    <row r="742" spans="1:64" s="169" customFormat="1" ht="14.25" customHeight="1">
      <c r="A742" s="165"/>
      <c r="B742" s="166"/>
      <c r="C742" s="166"/>
      <c r="D742" s="166"/>
      <c r="E742" s="166"/>
      <c r="F742" s="166"/>
      <c r="G742" s="143"/>
      <c r="H742" s="143"/>
      <c r="I742" s="143"/>
      <c r="J742" s="143"/>
      <c r="K742" s="143"/>
      <c r="L742" s="143"/>
      <c r="M742" s="168"/>
      <c r="N742" s="168"/>
      <c r="O742" s="168"/>
      <c r="P742" s="168"/>
      <c r="Q742" s="168"/>
      <c r="R742" s="168"/>
      <c r="S742" s="168"/>
      <c r="T742" s="168"/>
      <c r="U742" s="168"/>
      <c r="V742" s="168"/>
      <c r="W742" s="168"/>
      <c r="X742" s="168"/>
      <c r="Y742" s="168"/>
      <c r="Z742" s="168"/>
      <c r="AA742" s="168"/>
      <c r="AB742" s="168"/>
      <c r="AC742" s="168"/>
      <c r="AD742" s="168"/>
      <c r="AE742" s="168"/>
      <c r="AF742" s="168"/>
      <c r="AG742" s="168"/>
      <c r="AH742" s="168"/>
      <c r="AI742" s="213"/>
      <c r="AJ742" s="213"/>
      <c r="AK742" s="213"/>
      <c r="AL742" s="213"/>
      <c r="AM742" s="213"/>
      <c r="AN742" s="213"/>
      <c r="AO742" s="213"/>
      <c r="AP742" s="213"/>
      <c r="AQ742" s="213"/>
      <c r="AR742" s="213"/>
      <c r="AS742" s="213"/>
      <c r="AT742" s="213"/>
      <c r="AU742" s="213"/>
      <c r="AV742" s="213"/>
      <c r="AW742" s="213"/>
      <c r="AX742" s="213"/>
      <c r="AY742" s="213"/>
      <c r="AZ742" s="213"/>
      <c r="BA742" s="213"/>
      <c r="BB742" s="213"/>
      <c r="BC742" s="168"/>
      <c r="BD742" s="203"/>
      <c r="BE742" s="204"/>
    </row>
    <row r="743" spans="1:64" s="170" customFormat="1" ht="14.25" customHeight="1">
      <c r="A743" s="166"/>
      <c r="B743" s="166"/>
      <c r="C743" s="166"/>
      <c r="D743" s="166"/>
      <c r="E743" s="166"/>
      <c r="F743" s="143"/>
      <c r="G743" s="143"/>
      <c r="H743" s="143"/>
      <c r="I743" s="143"/>
      <c r="J743" s="143"/>
      <c r="K743" s="143"/>
      <c r="L743" s="143"/>
      <c r="M743" s="168"/>
      <c r="N743" s="168"/>
      <c r="O743" s="168"/>
      <c r="P743" s="168"/>
      <c r="Q743" s="168"/>
      <c r="R743" s="168"/>
      <c r="S743" s="168"/>
      <c r="T743" s="168"/>
      <c r="U743" s="168"/>
      <c r="V743" s="168"/>
      <c r="W743" s="168"/>
      <c r="X743" s="168"/>
      <c r="Y743" s="168"/>
      <c r="Z743" s="168"/>
      <c r="AA743" s="168"/>
      <c r="AB743" s="168"/>
      <c r="AC743" s="168"/>
      <c r="AD743" s="168"/>
      <c r="AE743" s="168"/>
      <c r="AF743" s="168"/>
      <c r="AG743" s="168"/>
      <c r="AH743" s="213"/>
      <c r="AI743" s="213"/>
      <c r="AJ743" s="213"/>
      <c r="AK743" s="213"/>
      <c r="AL743" s="213"/>
      <c r="AM743" s="213"/>
      <c r="AN743" s="213"/>
      <c r="AO743" s="213"/>
      <c r="AP743" s="213"/>
      <c r="AQ743" s="213"/>
      <c r="AR743" s="213"/>
      <c r="AS743" s="213"/>
      <c r="AT743" s="213"/>
      <c r="AU743" s="213"/>
      <c r="AV743" s="213"/>
      <c r="AW743" s="213"/>
      <c r="AX743" s="213"/>
      <c r="AY743" s="213"/>
      <c r="AZ743" s="213"/>
      <c r="BA743" s="213"/>
      <c r="BB743" s="168"/>
      <c r="BC743" s="203"/>
      <c r="BD743" s="204"/>
      <c r="BE743" s="169"/>
      <c r="BF743" s="169"/>
      <c r="BG743" s="169"/>
      <c r="BH743" s="169"/>
      <c r="BI743" s="169"/>
    </row>
    <row r="744" spans="1:64" s="170" customFormat="1" ht="14.25" customHeight="1">
      <c r="A744" s="166"/>
      <c r="B744" s="166"/>
      <c r="C744" s="166"/>
      <c r="D744" s="166"/>
      <c r="E744" s="143"/>
      <c r="F744" s="143"/>
      <c r="G744" s="143"/>
      <c r="H744" s="143"/>
      <c r="I744" s="143"/>
      <c r="J744" s="143"/>
      <c r="K744" s="143"/>
      <c r="L744" s="143"/>
      <c r="M744" s="168"/>
      <c r="N744" s="168"/>
      <c r="O744" s="168"/>
      <c r="P744" s="168"/>
      <c r="Q744" s="168"/>
      <c r="R744" s="168"/>
      <c r="S744" s="168"/>
      <c r="T744" s="168"/>
      <c r="U744" s="168"/>
      <c r="V744" s="168"/>
      <c r="W744" s="168"/>
      <c r="X744" s="168"/>
      <c r="Y744" s="168"/>
      <c r="Z744" s="168"/>
      <c r="AA744" s="168"/>
      <c r="AB744" s="168"/>
      <c r="AC744" s="168"/>
      <c r="AD744" s="168"/>
      <c r="AE744" s="168"/>
      <c r="AF744" s="168"/>
      <c r="AG744" s="213"/>
      <c r="AH744" s="213"/>
      <c r="AI744" s="213"/>
      <c r="AJ744" s="213"/>
      <c r="AK744" s="213"/>
      <c r="AL744" s="213"/>
      <c r="AM744" s="213"/>
      <c r="AN744" s="213"/>
      <c r="AO744" s="213"/>
      <c r="AP744" s="213"/>
      <c r="AQ744" s="213"/>
      <c r="AR744" s="213"/>
      <c r="AS744" s="213"/>
      <c r="AT744" s="213"/>
      <c r="AU744" s="213"/>
      <c r="AV744" s="213"/>
      <c r="AW744" s="213"/>
      <c r="AX744" s="213"/>
      <c r="AY744" s="213"/>
      <c r="AZ744" s="213"/>
      <c r="BA744" s="168"/>
      <c r="BB744" s="203"/>
      <c r="BC744" s="204"/>
      <c r="BD744" s="169"/>
      <c r="BE744" s="169"/>
      <c r="BF744" s="169"/>
      <c r="BG744" s="169"/>
      <c r="BH744" s="169"/>
    </row>
    <row r="745" spans="1:64" s="170" customFormat="1" ht="14.25" customHeight="1">
      <c r="A745" s="166"/>
      <c r="B745" s="166"/>
      <c r="C745" s="166"/>
      <c r="D745" s="143"/>
      <c r="E745" s="143"/>
      <c r="F745" s="143"/>
      <c r="G745" s="143"/>
      <c r="H745" s="143"/>
      <c r="I745" s="143"/>
      <c r="J745" s="143"/>
      <c r="K745" s="143"/>
      <c r="L745" s="143"/>
      <c r="M745" s="168"/>
      <c r="N745" s="168"/>
      <c r="O745" s="168"/>
      <c r="P745" s="168"/>
      <c r="Q745" s="168"/>
      <c r="R745" s="168"/>
      <c r="S745" s="168"/>
      <c r="T745" s="168"/>
      <c r="U745" s="168"/>
      <c r="V745" s="168"/>
      <c r="W745" s="168"/>
      <c r="X745" s="168"/>
      <c r="Y745" s="168"/>
      <c r="Z745" s="168"/>
      <c r="AA745" s="168"/>
      <c r="AB745" s="168"/>
      <c r="AC745" s="168"/>
      <c r="AD745" s="168"/>
      <c r="AE745" s="168"/>
      <c r="AF745" s="213"/>
      <c r="AG745" s="213"/>
      <c r="AH745" s="213"/>
      <c r="AI745" s="213"/>
      <c r="AJ745" s="213"/>
      <c r="AK745" s="213"/>
      <c r="AL745" s="213"/>
      <c r="AM745" s="213"/>
      <c r="AN745" s="213"/>
      <c r="AO745" s="213"/>
      <c r="AP745" s="213"/>
      <c r="AQ745" s="213"/>
      <c r="AR745" s="213"/>
      <c r="AS745" s="213"/>
      <c r="AT745" s="213"/>
      <c r="AU745" s="213"/>
      <c r="AV745" s="213"/>
      <c r="AW745" s="213"/>
      <c r="AX745" s="213"/>
      <c r="AY745" s="213"/>
      <c r="AZ745" s="168"/>
      <c r="BA745" s="203"/>
      <c r="BB745" s="204"/>
      <c r="BC745" s="169"/>
      <c r="BD745" s="169"/>
      <c r="BE745" s="169"/>
      <c r="BF745" s="169"/>
      <c r="BG745" s="169"/>
    </row>
    <row r="746" spans="1:64" s="170" customFormat="1" ht="14.25" customHeight="1">
      <c r="A746" s="166"/>
      <c r="B746" s="166"/>
      <c r="C746" s="143"/>
      <c r="D746" s="143"/>
      <c r="E746" s="143"/>
      <c r="F746" s="143"/>
      <c r="G746" s="143"/>
      <c r="H746" s="143"/>
      <c r="I746" s="143"/>
      <c r="J746" s="143"/>
      <c r="K746" s="143"/>
      <c r="L746" s="143"/>
      <c r="M746" s="168"/>
      <c r="N746" s="168"/>
      <c r="O746" s="168"/>
      <c r="P746" s="168"/>
      <c r="Q746" s="168"/>
      <c r="R746" s="168"/>
      <c r="S746" s="168"/>
      <c r="T746" s="168"/>
      <c r="U746" s="168"/>
      <c r="V746" s="168"/>
      <c r="W746" s="168"/>
      <c r="X746" s="168"/>
      <c r="Y746" s="168"/>
      <c r="Z746" s="168"/>
      <c r="AA746" s="168"/>
      <c r="AB746" s="168"/>
      <c r="AC746" s="168"/>
      <c r="AD746" s="168"/>
      <c r="AE746" s="213"/>
      <c r="AF746" s="213"/>
      <c r="AG746" s="213"/>
      <c r="AH746" s="213"/>
      <c r="AI746" s="213"/>
      <c r="AJ746" s="213"/>
      <c r="AK746" s="213"/>
      <c r="AL746" s="213"/>
      <c r="AM746" s="213"/>
      <c r="AN746" s="213"/>
      <c r="AO746" s="213"/>
      <c r="AP746" s="213"/>
      <c r="AQ746" s="213"/>
      <c r="AR746" s="213"/>
      <c r="AS746" s="213"/>
      <c r="AT746" s="213"/>
      <c r="AU746" s="213"/>
      <c r="AV746" s="213"/>
      <c r="AW746" s="213"/>
      <c r="AX746" s="213"/>
      <c r="AY746" s="168"/>
      <c r="AZ746" s="203"/>
      <c r="BA746" s="204"/>
      <c r="BB746" s="169"/>
      <c r="BC746" s="169"/>
      <c r="BD746" s="169"/>
      <c r="BE746" s="169"/>
      <c r="BF746" s="169"/>
    </row>
    <row r="747" spans="1:64" s="170" customFormat="1" ht="14.25" customHeight="1">
      <c r="A747" s="166"/>
      <c r="B747" s="143"/>
      <c r="C747" s="143"/>
      <c r="D747" s="143"/>
      <c r="E747" s="143"/>
      <c r="F747" s="143"/>
      <c r="G747" s="143"/>
      <c r="H747" s="143"/>
      <c r="I747" s="143"/>
      <c r="J747" s="143"/>
      <c r="K747" s="143"/>
      <c r="L747" s="143"/>
      <c r="M747" s="168"/>
      <c r="N747" s="168"/>
      <c r="O747" s="168"/>
      <c r="P747" s="168"/>
      <c r="Q747" s="168"/>
      <c r="R747" s="168"/>
      <c r="S747" s="168"/>
      <c r="T747" s="168"/>
      <c r="U747" s="168"/>
      <c r="V747" s="168"/>
      <c r="W747" s="168"/>
      <c r="X747" s="168"/>
      <c r="Y747" s="168"/>
      <c r="Z747" s="168"/>
      <c r="AA747" s="168"/>
      <c r="AB747" s="168"/>
      <c r="AC747" s="168"/>
      <c r="AD747" s="213"/>
      <c r="AE747" s="213"/>
      <c r="AF747" s="213"/>
      <c r="AG747" s="213"/>
      <c r="AH747" s="213"/>
      <c r="AI747" s="213"/>
      <c r="AJ747" s="213"/>
      <c r="AK747" s="213"/>
      <c r="AL747" s="213"/>
      <c r="AM747" s="213"/>
      <c r="AN747" s="213"/>
      <c r="AO747" s="213"/>
      <c r="AP747" s="213"/>
      <c r="AQ747" s="213"/>
      <c r="AR747" s="213"/>
      <c r="AS747" s="213"/>
      <c r="AT747" s="213"/>
      <c r="AU747" s="213"/>
      <c r="AV747" s="213"/>
      <c r="AW747" s="213"/>
      <c r="AX747" s="168"/>
      <c r="AY747" s="203"/>
      <c r="AZ747" s="204"/>
      <c r="BA747" s="169"/>
      <c r="BB747" s="169"/>
      <c r="BC747" s="169"/>
      <c r="BD747" s="169"/>
      <c r="BE747" s="169"/>
    </row>
    <row r="748" spans="1:64" s="168" customFormat="1" ht="14.25" customHeight="1">
      <c r="A748" s="143"/>
      <c r="B748" s="143"/>
      <c r="C748" s="143"/>
      <c r="D748" s="143"/>
      <c r="E748" s="143"/>
      <c r="F748" s="143"/>
      <c r="G748" s="143"/>
      <c r="H748" s="143"/>
      <c r="I748" s="143"/>
      <c r="J748" s="143"/>
      <c r="K748" s="143"/>
      <c r="L748" s="143"/>
      <c r="AC748" s="213"/>
      <c r="AD748" s="213"/>
      <c r="AE748" s="213"/>
      <c r="AF748" s="213"/>
      <c r="AG748" s="213"/>
      <c r="AH748" s="213"/>
      <c r="AI748" s="213"/>
      <c r="AJ748" s="213"/>
      <c r="AK748" s="213"/>
      <c r="AL748" s="213"/>
      <c r="AM748" s="213"/>
      <c r="AN748" s="213"/>
      <c r="AO748" s="213"/>
      <c r="AP748" s="213"/>
      <c r="AQ748" s="213"/>
      <c r="AR748" s="213"/>
      <c r="AS748" s="213"/>
      <c r="AT748" s="213"/>
      <c r="AU748" s="213"/>
      <c r="AV748" s="213"/>
      <c r="AX748" s="203"/>
      <c r="AY748" s="204"/>
      <c r="AZ748" s="169"/>
      <c r="BA748" s="169"/>
      <c r="BB748" s="169"/>
      <c r="BC748" s="169"/>
      <c r="BD748" s="169"/>
      <c r="BE748" s="170"/>
      <c r="BF748" s="170"/>
      <c r="BG748" s="170"/>
      <c r="BH748" s="170"/>
      <c r="BI748" s="170"/>
    </row>
    <row r="749" spans="1:64" s="168" customFormat="1" ht="14.25" customHeight="1">
      <c r="A749" s="143">
        <f>A719+1</f>
        <v>25</v>
      </c>
      <c r="B749" s="143"/>
      <c r="C749" s="187" t="str">
        <f>IF($A$1 = 1, (IF("("&amp;C759&amp;")" ="()","","("&amp;C759&amp;")")), (IF("("&amp;C764&amp;")     ("&amp;C759&amp;")"="()     ()","","("&amp;C764&amp;")     ("&amp;C759&amp;")")))</f>
        <v>(1)     (2)</v>
      </c>
      <c r="D749" s="187" t="str">
        <f t="shared" ref="D749:J749" si="73">IF($A$1 = 1, (IF("("&amp;D759&amp;")" ="()","","("&amp;D759&amp;")")), (IF("("&amp;D764&amp;")     ("&amp;D759&amp;")"="()     ()","","("&amp;D764&amp;")     ("&amp;D759&amp;")")))</f>
        <v/>
      </c>
      <c r="E749" s="187" t="str">
        <f t="shared" si="73"/>
        <v/>
      </c>
      <c r="F749" s="187" t="str">
        <f t="shared" si="73"/>
        <v/>
      </c>
      <c r="G749" s="187" t="str">
        <f t="shared" si="73"/>
        <v/>
      </c>
      <c r="H749" s="187" t="str">
        <f t="shared" si="73"/>
        <v/>
      </c>
      <c r="I749" s="187" t="str">
        <f t="shared" si="73"/>
        <v/>
      </c>
      <c r="J749" s="187" t="str">
        <f t="shared" si="73"/>
        <v/>
      </c>
      <c r="K749" s="166"/>
      <c r="L749" s="166"/>
      <c r="M749" s="170"/>
      <c r="N749" s="170"/>
      <c r="O749" s="170"/>
      <c r="P749" s="170"/>
      <c r="Q749" s="170"/>
      <c r="R749" s="170"/>
      <c r="S749" s="170"/>
      <c r="T749" s="170"/>
      <c r="U749" s="170"/>
      <c r="V749" s="170"/>
      <c r="W749" s="170"/>
      <c r="AB749" s="213"/>
      <c r="AC749" s="213"/>
      <c r="AD749" s="213"/>
      <c r="AE749" s="213"/>
      <c r="AF749" s="213"/>
      <c r="AG749" s="213"/>
      <c r="AH749" s="213"/>
      <c r="AI749" s="213"/>
      <c r="AJ749" s="213"/>
      <c r="AK749" s="213"/>
      <c r="AL749" s="213"/>
      <c r="AM749" s="213"/>
      <c r="AN749" s="213"/>
      <c r="AO749" s="213"/>
      <c r="AP749" s="213"/>
      <c r="AQ749" s="213"/>
      <c r="AR749" s="213"/>
      <c r="AS749" s="213"/>
      <c r="AT749" s="213"/>
      <c r="AU749" s="213"/>
      <c r="AW749" s="203"/>
      <c r="AX749" s="204"/>
      <c r="AY749" s="169"/>
      <c r="AZ749" s="169"/>
      <c r="BA749" s="169"/>
      <c r="BB749" s="169"/>
      <c r="BC749" s="169"/>
      <c r="BD749" s="170"/>
      <c r="BE749" s="170"/>
      <c r="BF749" s="170"/>
      <c r="BG749" s="170"/>
      <c r="BH749" s="170"/>
    </row>
    <row r="750" spans="1:64" s="168" customFormat="1" ht="59.1" customHeight="1">
      <c r="A750" s="143"/>
      <c r="B750" s="177"/>
      <c r="C750" s="178" t="s">
        <v>869</v>
      </c>
      <c r="D750" s="178"/>
      <c r="E750" s="178"/>
      <c r="F750" s="178"/>
      <c r="G750" s="178"/>
      <c r="H750" s="178"/>
      <c r="I750" s="178"/>
      <c r="J750" s="178"/>
      <c r="K750" s="178"/>
      <c r="L750" s="178"/>
      <c r="M750" s="208"/>
      <c r="N750" s="208"/>
      <c r="O750" s="208"/>
      <c r="P750" s="208"/>
      <c r="Q750" s="208"/>
      <c r="R750" s="208"/>
      <c r="S750" s="208"/>
      <c r="T750" s="208"/>
      <c r="U750" s="208"/>
      <c r="V750" s="208"/>
      <c r="W750" s="208"/>
      <c r="X750" s="210"/>
      <c r="Y750" s="210"/>
      <c r="Z750" s="210"/>
      <c r="AA750" s="210"/>
      <c r="AB750" s="210"/>
      <c r="AC750" s="210"/>
      <c r="AD750" s="210"/>
      <c r="AE750" s="210"/>
      <c r="AF750" s="210"/>
      <c r="AG750" s="210"/>
      <c r="AH750" s="210"/>
      <c r="AI750" s="210"/>
      <c r="AJ750" s="210"/>
      <c r="AK750" s="210"/>
      <c r="AL750" s="210"/>
      <c r="AM750" s="210"/>
      <c r="AN750" s="210"/>
      <c r="AO750" s="216"/>
      <c r="AP750" s="216"/>
      <c r="AQ750" s="216"/>
      <c r="AR750" s="216"/>
      <c r="AS750" s="216"/>
      <c r="AT750" s="216"/>
      <c r="AU750" s="216"/>
      <c r="AV750" s="216"/>
      <c r="AW750" s="216"/>
      <c r="AX750" s="210"/>
      <c r="AY750" s="216"/>
      <c r="AZ750" s="216"/>
      <c r="BA750" s="216"/>
      <c r="BB750" s="216"/>
      <c r="BC750" s="216"/>
      <c r="BD750" s="216"/>
      <c r="BE750" s="216"/>
      <c r="BF750" s="216"/>
      <c r="BG750" s="216"/>
      <c r="BH750" s="216"/>
      <c r="BI750" s="216"/>
      <c r="BJ750" s="210"/>
      <c r="BK750" s="210"/>
      <c r="BL750" s="210"/>
    </row>
    <row r="751" spans="1:64" s="168" customFormat="1" ht="18" customHeight="1" thickBot="1">
      <c r="A751" s="143"/>
      <c r="B751" s="181" t="s">
        <v>3</v>
      </c>
      <c r="C751" s="148" t="s">
        <v>443</v>
      </c>
      <c r="D751" s="148"/>
      <c r="E751" s="148"/>
      <c r="F751" s="148"/>
      <c r="G751" s="148"/>
      <c r="H751" s="148"/>
      <c r="I751" s="148"/>
      <c r="J751" s="148"/>
      <c r="K751" s="148"/>
      <c r="L751" s="148"/>
      <c r="M751" s="211"/>
      <c r="N751" s="211"/>
      <c r="O751" s="211"/>
      <c r="P751" s="211"/>
      <c r="Q751" s="211"/>
      <c r="R751" s="211"/>
      <c r="S751" s="211"/>
      <c r="T751" s="211"/>
      <c r="U751" s="211"/>
      <c r="V751" s="211"/>
      <c r="W751" s="211"/>
      <c r="AO751" s="213"/>
      <c r="AP751" s="213"/>
      <c r="AQ751" s="213"/>
      <c r="AR751" s="213"/>
      <c r="AS751" s="213"/>
      <c r="AT751" s="213"/>
      <c r="AU751" s="213"/>
      <c r="AV751" s="213"/>
      <c r="AW751" s="213"/>
      <c r="AY751" s="213"/>
      <c r="AZ751" s="213"/>
      <c r="BA751" s="213"/>
      <c r="BB751" s="213"/>
      <c r="BC751" s="213"/>
      <c r="BD751" s="213"/>
      <c r="BE751" s="213"/>
      <c r="BF751" s="213"/>
      <c r="BG751" s="213"/>
      <c r="BH751" s="213"/>
      <c r="BI751" s="213"/>
    </row>
    <row r="752" spans="1:64" s="168" customFormat="1" ht="18" customHeight="1" thickBot="1">
      <c r="A752" s="143"/>
      <c r="B752" s="182" t="s">
        <v>18</v>
      </c>
      <c r="C752" s="148" t="s">
        <v>443</v>
      </c>
      <c r="D752" s="148"/>
      <c r="E752" s="148"/>
      <c r="F752" s="148"/>
      <c r="G752" s="148"/>
      <c r="H752" s="148"/>
      <c r="I752" s="148"/>
      <c r="J752" s="148"/>
      <c r="K752" s="148"/>
      <c r="L752" s="148"/>
      <c r="M752" s="145"/>
      <c r="N752" s="145"/>
      <c r="O752" s="145"/>
      <c r="P752" s="145"/>
      <c r="Q752" s="145"/>
      <c r="R752" s="145"/>
      <c r="S752" s="145"/>
      <c r="T752" s="145"/>
      <c r="U752" s="145"/>
      <c r="V752" s="145"/>
      <c r="W752" s="145"/>
      <c r="AO752" s="213"/>
      <c r="AP752" s="213"/>
      <c r="AQ752" s="213"/>
      <c r="AR752" s="213"/>
      <c r="AS752" s="213"/>
      <c r="AT752" s="213"/>
      <c r="AU752" s="213"/>
      <c r="AV752" s="213"/>
      <c r="AW752" s="213"/>
      <c r="AY752" s="213"/>
      <c r="AZ752" s="213"/>
      <c r="BA752" s="213"/>
      <c r="BB752" s="213"/>
      <c r="BC752" s="213"/>
      <c r="BD752" s="213"/>
      <c r="BE752" s="213"/>
      <c r="BF752" s="213"/>
      <c r="BG752" s="213"/>
      <c r="BH752" s="213"/>
      <c r="BI752" s="213"/>
    </row>
    <row r="753" spans="1:64" s="168" customFormat="1" ht="18" customHeight="1" thickBot="1">
      <c r="A753" s="143"/>
      <c r="B753" s="183" t="s">
        <v>32</v>
      </c>
      <c r="C753" s="147" t="s">
        <v>443</v>
      </c>
      <c r="D753" s="147"/>
      <c r="E753" s="147"/>
      <c r="F753" s="147"/>
      <c r="G753" s="147"/>
      <c r="H753" s="147"/>
      <c r="I753" s="147"/>
      <c r="J753" s="147"/>
      <c r="K753" s="147"/>
      <c r="L753" s="147"/>
      <c r="M753" s="145"/>
      <c r="N753" s="145"/>
      <c r="O753" s="145"/>
      <c r="P753" s="145"/>
      <c r="Q753" s="145"/>
      <c r="R753" s="145"/>
      <c r="S753" s="145"/>
      <c r="T753" s="145"/>
      <c r="U753" s="145"/>
      <c r="V753" s="145"/>
      <c r="W753" s="145"/>
      <c r="AO753" s="213"/>
      <c r="AP753" s="213"/>
      <c r="AQ753" s="213"/>
      <c r="AR753" s="213"/>
      <c r="AS753" s="213"/>
      <c r="AT753" s="213"/>
      <c r="AU753" s="213"/>
      <c r="AV753" s="213"/>
      <c r="AW753" s="213"/>
      <c r="AY753" s="213"/>
      <c r="AZ753" s="213"/>
      <c r="BA753" s="213"/>
      <c r="BB753" s="213"/>
      <c r="BC753" s="213"/>
      <c r="BD753" s="213"/>
      <c r="BE753" s="213"/>
      <c r="BF753" s="213"/>
      <c r="BG753" s="213"/>
      <c r="BH753" s="213"/>
    </row>
    <row r="754" spans="1:64" s="168" customFormat="1" ht="18" customHeight="1" thickBot="1">
      <c r="A754" s="143"/>
      <c r="B754" s="182" t="s">
        <v>45</v>
      </c>
      <c r="C754" s="145" t="s">
        <v>443</v>
      </c>
      <c r="D754" s="145"/>
      <c r="E754" s="145"/>
      <c r="F754" s="145"/>
      <c r="G754" s="145"/>
      <c r="H754" s="145"/>
      <c r="I754" s="145"/>
      <c r="J754" s="145"/>
      <c r="K754" s="145"/>
      <c r="L754" s="145"/>
      <c r="M754" s="145"/>
      <c r="N754" s="145"/>
      <c r="O754" s="145"/>
      <c r="P754" s="145"/>
      <c r="Q754" s="145"/>
      <c r="R754" s="145"/>
      <c r="S754" s="145"/>
      <c r="T754" s="145"/>
      <c r="U754" s="145"/>
      <c r="V754" s="145"/>
      <c r="W754" s="145"/>
      <c r="AO754" s="213"/>
      <c r="AP754" s="213"/>
      <c r="AQ754" s="213"/>
      <c r="AR754" s="213"/>
      <c r="AS754" s="213"/>
      <c r="AT754" s="213"/>
      <c r="AU754" s="213"/>
      <c r="AV754" s="213"/>
      <c r="AW754" s="213"/>
      <c r="AY754" s="213"/>
      <c r="AZ754" s="213"/>
      <c r="BA754" s="213"/>
      <c r="BB754" s="213"/>
      <c r="BC754" s="213"/>
      <c r="BD754" s="213"/>
      <c r="BE754" s="213"/>
      <c r="BF754" s="213"/>
      <c r="BG754" s="213"/>
      <c r="BH754" s="213"/>
    </row>
    <row r="755" spans="1:64" s="168" customFormat="1" ht="18" customHeight="1" thickBot="1">
      <c r="A755" s="143"/>
      <c r="B755" s="184" t="s">
        <v>54</v>
      </c>
      <c r="C755" s="146" t="s">
        <v>443</v>
      </c>
      <c r="D755" s="146"/>
      <c r="E755" s="146"/>
      <c r="F755" s="146"/>
      <c r="G755" s="146"/>
      <c r="H755" s="146"/>
      <c r="I755" s="146"/>
      <c r="J755" s="146"/>
      <c r="K755" s="146"/>
      <c r="L755" s="146"/>
      <c r="M755" s="145"/>
      <c r="N755" s="145"/>
      <c r="O755" s="145"/>
      <c r="P755" s="145"/>
      <c r="Q755" s="145"/>
      <c r="R755" s="145"/>
      <c r="S755" s="145"/>
      <c r="T755" s="145"/>
      <c r="U755" s="145"/>
      <c r="V755" s="145"/>
      <c r="W755" s="145"/>
      <c r="AO755" s="213"/>
      <c r="AP755" s="213"/>
      <c r="AQ755" s="213"/>
      <c r="AR755" s="213"/>
      <c r="AS755" s="213"/>
      <c r="AT755" s="213"/>
      <c r="AU755" s="213"/>
      <c r="AV755" s="213"/>
      <c r="AW755" s="213"/>
      <c r="AY755" s="213"/>
      <c r="AZ755" s="213"/>
      <c r="BA755" s="213"/>
      <c r="BB755" s="213"/>
      <c r="BC755" s="213"/>
      <c r="BD755" s="213"/>
      <c r="BE755" s="213"/>
      <c r="BF755" s="213"/>
      <c r="BG755" s="213"/>
      <c r="BH755" s="213"/>
    </row>
    <row r="756" spans="1:64" s="168" customFormat="1">
      <c r="A756" s="143"/>
      <c r="B756" s="182" t="s">
        <v>66</v>
      </c>
      <c r="C756" s="145"/>
      <c r="D756" s="145"/>
      <c r="E756" s="145"/>
      <c r="F756" s="145"/>
      <c r="G756" s="145"/>
      <c r="H756" s="125"/>
      <c r="I756" s="125"/>
      <c r="J756" s="125"/>
      <c r="K756" s="125"/>
      <c r="L756" s="125"/>
      <c r="M756" s="145"/>
      <c r="N756" s="145"/>
      <c r="O756" s="145"/>
      <c r="P756" s="145"/>
      <c r="Q756" s="145"/>
      <c r="R756" s="145"/>
      <c r="S756" s="145"/>
      <c r="T756" s="145"/>
      <c r="U756" s="145"/>
      <c r="V756" s="145"/>
      <c r="W756" s="145"/>
      <c r="AO756" s="213"/>
      <c r="AP756" s="213"/>
      <c r="AQ756" s="213"/>
      <c r="AR756" s="213"/>
      <c r="AS756" s="213"/>
      <c r="AT756" s="213"/>
      <c r="AU756" s="213"/>
      <c r="AV756" s="213"/>
      <c r="AW756" s="213"/>
      <c r="AY756" s="213"/>
      <c r="AZ756" s="213"/>
      <c r="BA756" s="213"/>
      <c r="BB756" s="213"/>
      <c r="BC756" s="213"/>
      <c r="BD756" s="213"/>
      <c r="BE756" s="213"/>
      <c r="BF756" s="213"/>
      <c r="BG756" s="213"/>
      <c r="BH756" s="213"/>
    </row>
    <row r="757" spans="1:64" s="173" customFormat="1">
      <c r="B757" s="182" t="s">
        <v>158</v>
      </c>
      <c r="C757" s="126" t="s">
        <v>443</v>
      </c>
      <c r="D757" s="126"/>
      <c r="E757" s="126"/>
      <c r="F757" s="126"/>
      <c r="G757" s="126"/>
      <c r="H757" s="126"/>
      <c r="I757" s="126"/>
      <c r="J757" s="126"/>
      <c r="K757" s="126"/>
      <c r="L757" s="126"/>
      <c r="M757" s="126"/>
      <c r="N757" s="126"/>
      <c r="O757" s="126"/>
      <c r="P757" s="126"/>
      <c r="Q757" s="126"/>
      <c r="R757" s="126"/>
      <c r="S757" s="126"/>
      <c r="T757" s="126"/>
      <c r="U757" s="126"/>
      <c r="V757" s="126"/>
      <c r="W757" s="126"/>
      <c r="X757" s="168"/>
      <c r="Y757" s="168"/>
      <c r="Z757" s="168"/>
      <c r="AA757" s="168"/>
      <c r="AB757" s="168"/>
      <c r="AC757" s="168"/>
      <c r="AD757" s="168"/>
      <c r="AE757" s="168"/>
      <c r="AF757" s="168"/>
      <c r="AG757" s="168"/>
      <c r="AH757" s="168"/>
      <c r="AI757" s="168"/>
      <c r="AJ757" s="168"/>
      <c r="AK757" s="168"/>
      <c r="AL757" s="168"/>
      <c r="AM757" s="168"/>
      <c r="AN757" s="168"/>
      <c r="AO757" s="213"/>
      <c r="AP757" s="213"/>
      <c r="AQ757" s="213"/>
      <c r="AR757" s="213"/>
      <c r="AS757" s="213"/>
      <c r="AT757" s="213"/>
      <c r="AU757" s="213"/>
      <c r="AV757" s="213"/>
      <c r="AW757" s="213"/>
      <c r="AX757" s="168"/>
      <c r="AY757" s="213"/>
      <c r="AZ757" s="213"/>
      <c r="BA757" s="213"/>
      <c r="BB757" s="213"/>
      <c r="BC757" s="213"/>
      <c r="BD757" s="213"/>
      <c r="BE757" s="213"/>
      <c r="BF757" s="213"/>
      <c r="BG757" s="213"/>
      <c r="BH757" s="213"/>
      <c r="BI757" s="168"/>
      <c r="BJ757" s="168"/>
      <c r="BK757" s="168"/>
      <c r="BL757" s="168"/>
    </row>
    <row r="758" spans="1:64" s="210" customFormat="1">
      <c r="A758" s="179"/>
      <c r="B758" s="182" t="s">
        <v>191</v>
      </c>
      <c r="C758" s="127">
        <v>69</v>
      </c>
      <c r="D758" s="127"/>
      <c r="E758" s="127"/>
      <c r="F758" s="127"/>
      <c r="G758" s="127"/>
      <c r="H758" s="126"/>
      <c r="I758" s="126"/>
      <c r="J758" s="126"/>
      <c r="K758" s="126"/>
      <c r="L758" s="126"/>
      <c r="M758" s="126"/>
      <c r="N758" s="126"/>
      <c r="O758" s="126"/>
      <c r="P758" s="126"/>
      <c r="Q758" s="126"/>
      <c r="R758" s="126"/>
      <c r="S758" s="126"/>
      <c r="T758" s="126"/>
      <c r="U758" s="126"/>
      <c r="V758" s="126"/>
      <c r="W758" s="126"/>
      <c r="X758" s="168"/>
      <c r="Y758" s="168"/>
      <c r="Z758" s="168"/>
      <c r="AA758" s="168"/>
      <c r="AB758" s="168"/>
      <c r="AC758" s="168"/>
      <c r="AD758" s="168"/>
      <c r="AE758" s="168"/>
      <c r="AF758" s="168"/>
      <c r="AG758" s="168"/>
      <c r="AH758" s="168"/>
      <c r="AI758" s="168"/>
      <c r="AJ758" s="168"/>
      <c r="AK758" s="168"/>
      <c r="AL758" s="168"/>
      <c r="AM758" s="168"/>
      <c r="AN758" s="168"/>
      <c r="AO758" s="214"/>
      <c r="AP758" s="214"/>
      <c r="AQ758" s="214"/>
      <c r="AR758" s="214"/>
      <c r="AS758" s="214"/>
      <c r="AT758" s="213"/>
      <c r="AU758" s="213"/>
      <c r="AV758" s="213"/>
      <c r="AW758" s="213"/>
      <c r="AX758" s="168"/>
      <c r="AY758" s="213"/>
      <c r="AZ758" s="213"/>
      <c r="BA758" s="213"/>
      <c r="BB758" s="213"/>
      <c r="BC758" s="213"/>
      <c r="BD758" s="213"/>
      <c r="BE758" s="213"/>
      <c r="BF758" s="213"/>
      <c r="BG758" s="213"/>
      <c r="BH758" s="213"/>
      <c r="BI758" s="168"/>
      <c r="BJ758" s="168"/>
      <c r="BK758" s="168"/>
      <c r="BL758" s="168"/>
    </row>
    <row r="759" spans="1:64" s="168" customFormat="1" ht="15" thickBot="1">
      <c r="A759" s="143"/>
      <c r="B759" s="182" t="s">
        <v>442</v>
      </c>
      <c r="C759" s="126">
        <v>2</v>
      </c>
      <c r="D759" s="315"/>
      <c r="E759" s="315"/>
      <c r="F759" s="315"/>
      <c r="G759" s="315"/>
      <c r="H759" s="315"/>
      <c r="I759" s="315"/>
      <c r="J759" s="315"/>
      <c r="K759" s="315"/>
      <c r="L759" s="315"/>
      <c r="M759" s="126"/>
      <c r="N759" s="126"/>
      <c r="O759" s="126"/>
      <c r="P759" s="126"/>
      <c r="Q759" s="126"/>
      <c r="R759" s="126"/>
      <c r="S759" s="126"/>
      <c r="T759" s="126"/>
      <c r="U759" s="126"/>
      <c r="V759" s="126"/>
      <c r="W759" s="126"/>
      <c r="AO759" s="213"/>
      <c r="AP759" s="213"/>
      <c r="AQ759" s="213"/>
      <c r="AR759" s="213"/>
      <c r="AS759" s="213"/>
      <c r="AT759" s="213"/>
      <c r="AU759" s="213"/>
      <c r="AV759" s="213"/>
      <c r="AW759" s="213"/>
      <c r="AY759" s="213"/>
      <c r="AZ759" s="213"/>
      <c r="BA759" s="213"/>
      <c r="BB759" s="213"/>
      <c r="BC759" s="213"/>
      <c r="BD759" s="213"/>
      <c r="BE759" s="213"/>
      <c r="BF759" s="213"/>
      <c r="BG759" s="213"/>
      <c r="BH759" s="213"/>
    </row>
    <row r="760" spans="1:64" s="168" customFormat="1">
      <c r="A760" s="143"/>
      <c r="B760" s="338" t="s">
        <v>166</v>
      </c>
      <c r="C760" s="316" t="str">
        <f>IF(OR(C763="**",C763=""),"",VALUE(C763))</f>
        <v/>
      </c>
      <c r="D760" s="316" t="str">
        <f t="shared" ref="D760:J760" si="74">IF(OR(D763="**",D763=""),"",VALUE(D763))</f>
        <v/>
      </c>
      <c r="E760" s="316" t="str">
        <f t="shared" si="74"/>
        <v/>
      </c>
      <c r="F760" s="316" t="str">
        <f t="shared" si="74"/>
        <v/>
      </c>
      <c r="G760" s="316" t="str">
        <f t="shared" si="74"/>
        <v/>
      </c>
      <c r="H760" s="316" t="str">
        <f t="shared" si="74"/>
        <v/>
      </c>
      <c r="I760" s="316" t="str">
        <f t="shared" si="74"/>
        <v/>
      </c>
      <c r="J760" s="316" t="str">
        <f t="shared" si="74"/>
        <v/>
      </c>
      <c r="K760" s="316"/>
      <c r="L760" s="316"/>
      <c r="M760" s="126"/>
      <c r="N760" s="126"/>
      <c r="O760" s="126"/>
      <c r="P760" s="126"/>
      <c r="Q760" s="126"/>
      <c r="R760" s="126"/>
      <c r="S760" s="126"/>
      <c r="T760" s="126"/>
      <c r="U760" s="126"/>
      <c r="V760" s="126"/>
      <c r="W760" s="126"/>
      <c r="AO760" s="213"/>
      <c r="AP760" s="213"/>
      <c r="AQ760" s="213"/>
      <c r="AR760" s="213"/>
      <c r="AS760" s="213"/>
      <c r="AT760" s="213"/>
      <c r="AU760" s="213"/>
      <c r="AV760" s="213"/>
      <c r="AW760" s="213"/>
      <c r="AY760" s="213"/>
      <c r="AZ760" s="213"/>
      <c r="BA760" s="213"/>
      <c r="BB760" s="213"/>
      <c r="BC760" s="213"/>
      <c r="BD760" s="213"/>
      <c r="BE760" s="213"/>
      <c r="BF760" s="213"/>
      <c r="BG760" s="213"/>
      <c r="BH760" s="213"/>
    </row>
    <row r="761" spans="1:64" s="168" customFormat="1" ht="15" thickBot="1">
      <c r="A761" s="143"/>
      <c r="B761" s="339" t="s">
        <v>165</v>
      </c>
      <c r="C761" s="317" t="str">
        <f t="shared" ref="C761:J761" si="75">IF(OR(C757="**",C757=""),"",VALUE(C757))</f>
        <v/>
      </c>
      <c r="D761" s="317" t="str">
        <f t="shared" si="75"/>
        <v/>
      </c>
      <c r="E761" s="317" t="str">
        <f t="shared" si="75"/>
        <v/>
      </c>
      <c r="F761" s="317" t="str">
        <f t="shared" si="75"/>
        <v/>
      </c>
      <c r="G761" s="317" t="str">
        <f t="shared" si="75"/>
        <v/>
      </c>
      <c r="H761" s="317" t="str">
        <f t="shared" si="75"/>
        <v/>
      </c>
      <c r="I761" s="317" t="str">
        <f t="shared" si="75"/>
        <v/>
      </c>
      <c r="J761" s="317" t="str">
        <f t="shared" si="75"/>
        <v/>
      </c>
      <c r="K761" s="317"/>
      <c r="L761" s="317"/>
      <c r="M761" s="169"/>
      <c r="N761" s="169"/>
      <c r="O761" s="169"/>
      <c r="P761" s="169"/>
      <c r="Q761" s="169"/>
      <c r="R761" s="169"/>
      <c r="S761" s="169"/>
      <c r="T761" s="169"/>
      <c r="U761" s="169"/>
      <c r="V761" s="169"/>
      <c r="W761" s="169"/>
      <c r="AO761" s="169"/>
      <c r="AP761" s="169"/>
      <c r="AQ761" s="169"/>
      <c r="AR761" s="169"/>
      <c r="AS761" s="169"/>
      <c r="AT761" s="169"/>
      <c r="AU761" s="169"/>
      <c r="AV761" s="169"/>
      <c r="AW761" s="213"/>
      <c r="AX761" s="213"/>
      <c r="AY761" s="213"/>
      <c r="AZ761" s="213"/>
      <c r="BA761" s="213"/>
      <c r="BB761" s="213"/>
      <c r="BC761" s="213"/>
      <c r="BD761" s="213"/>
      <c r="BE761" s="213"/>
      <c r="BF761" s="213"/>
      <c r="BG761" s="213"/>
      <c r="BH761" s="213"/>
    </row>
    <row r="762" spans="1:64" s="168" customFormat="1">
      <c r="A762" s="143"/>
      <c r="B762" s="340" t="s">
        <v>483</v>
      </c>
      <c r="C762" s="167" t="s">
        <v>869</v>
      </c>
      <c r="D762" s="167"/>
      <c r="E762" s="167"/>
      <c r="F762" s="167"/>
      <c r="G762" s="167"/>
      <c r="H762" s="166"/>
      <c r="I762" s="166"/>
      <c r="J762" s="166"/>
      <c r="K762" s="166"/>
      <c r="L762" s="166"/>
      <c r="X762" s="213"/>
      <c r="Y762" s="213"/>
      <c r="Z762" s="213"/>
      <c r="AA762" s="213"/>
      <c r="AB762" s="213"/>
      <c r="AC762" s="213"/>
      <c r="AD762" s="213"/>
      <c r="AE762" s="213"/>
      <c r="AG762" s="213"/>
      <c r="AH762" s="213"/>
      <c r="AI762" s="213"/>
      <c r="AJ762" s="213"/>
      <c r="AK762" s="213"/>
      <c r="AL762" s="213"/>
      <c r="AM762" s="213"/>
      <c r="AN762" s="213"/>
      <c r="AO762" s="213"/>
      <c r="AP762" s="213"/>
      <c r="AQ762" s="213"/>
      <c r="AS762" s="203"/>
      <c r="AT762" s="182"/>
      <c r="AU762" s="145"/>
      <c r="AV762" s="145"/>
      <c r="AW762" s="145"/>
      <c r="AX762" s="145"/>
      <c r="AY762" s="145"/>
      <c r="AZ762" s="145"/>
      <c r="BA762" s="145"/>
      <c r="BB762" s="145"/>
      <c r="BC762" s="170"/>
      <c r="BD762" s="170"/>
    </row>
    <row r="763" spans="1:64" s="168" customFormat="1">
      <c r="A763" s="143"/>
      <c r="B763" s="182" t="s">
        <v>158</v>
      </c>
      <c r="C763" s="165" t="s">
        <v>443</v>
      </c>
      <c r="D763" s="165"/>
      <c r="E763" s="165"/>
      <c r="F763" s="165"/>
      <c r="G763" s="165"/>
      <c r="H763" s="166"/>
      <c r="I763" s="166"/>
      <c r="J763" s="166"/>
      <c r="K763" s="166"/>
      <c r="L763" s="166"/>
      <c r="X763" s="213"/>
      <c r="Y763" s="213"/>
      <c r="Z763" s="213"/>
      <c r="AA763" s="213"/>
      <c r="AB763" s="213"/>
      <c r="AC763" s="213"/>
      <c r="AD763" s="213"/>
      <c r="AE763" s="213"/>
      <c r="AG763" s="213"/>
      <c r="AH763" s="213"/>
      <c r="AI763" s="213"/>
      <c r="AJ763" s="213"/>
      <c r="AK763" s="213"/>
      <c r="AL763" s="213"/>
      <c r="AM763" s="213"/>
      <c r="AN763" s="213"/>
      <c r="AO763" s="213"/>
      <c r="AP763" s="213"/>
      <c r="AQ763" s="213"/>
      <c r="AS763" s="203"/>
      <c r="AT763" s="182"/>
      <c r="AU763" s="145"/>
      <c r="AV763" s="145"/>
      <c r="AW763" s="145"/>
      <c r="AX763" s="145"/>
      <c r="AY763" s="145"/>
      <c r="AZ763" s="145"/>
      <c r="BA763" s="145"/>
      <c r="BB763" s="145"/>
      <c r="BC763" s="170"/>
      <c r="BD763" s="170"/>
    </row>
    <row r="764" spans="1:64" s="168" customFormat="1">
      <c r="A764" s="143"/>
      <c r="B764" s="340" t="s">
        <v>442</v>
      </c>
      <c r="C764" s="165">
        <v>1</v>
      </c>
      <c r="D764" s="165"/>
      <c r="E764" s="165"/>
      <c r="F764" s="165"/>
      <c r="G764" s="165"/>
      <c r="H764" s="165"/>
      <c r="I764" s="165"/>
      <c r="J764" s="165"/>
      <c r="K764" s="165"/>
      <c r="L764" s="165"/>
      <c r="X764" s="213"/>
      <c r="Y764" s="213"/>
      <c r="Z764" s="213"/>
      <c r="AA764" s="213"/>
      <c r="AB764" s="213"/>
      <c r="AC764" s="213"/>
      <c r="AD764" s="213"/>
      <c r="AE764" s="213"/>
      <c r="AG764" s="213"/>
      <c r="AH764" s="213"/>
      <c r="AI764" s="213"/>
      <c r="AJ764" s="213"/>
      <c r="AK764" s="213"/>
      <c r="AL764" s="213"/>
      <c r="AM764" s="213"/>
      <c r="AN764" s="213"/>
      <c r="AO764" s="213"/>
      <c r="AP764" s="213"/>
      <c r="AQ764" s="213"/>
      <c r="AS764" s="203"/>
      <c r="AT764" s="182"/>
      <c r="AU764" s="145"/>
      <c r="AV764" s="145"/>
      <c r="AW764" s="145"/>
      <c r="AX764" s="145"/>
      <c r="AY764" s="145"/>
      <c r="AZ764" s="145"/>
      <c r="BA764" s="145"/>
      <c r="BB764" s="145"/>
      <c r="BC764" s="170"/>
      <c r="BD764" s="170"/>
    </row>
    <row r="765" spans="1:64" s="168" customFormat="1">
      <c r="A765" s="143"/>
      <c r="B765" s="143"/>
      <c r="C765" s="143"/>
      <c r="D765" s="143"/>
      <c r="E765" s="143"/>
      <c r="F765" s="143"/>
      <c r="G765" s="143"/>
      <c r="H765" s="143"/>
      <c r="I765" s="143"/>
      <c r="J765" s="143"/>
      <c r="K765" s="143"/>
      <c r="L765" s="143"/>
      <c r="X765" s="213"/>
      <c r="Y765" s="213"/>
      <c r="Z765" s="213"/>
      <c r="AA765" s="213"/>
      <c r="AB765" s="213"/>
      <c r="AC765" s="213"/>
      <c r="AD765" s="213"/>
      <c r="AE765" s="213"/>
      <c r="AG765" s="213"/>
      <c r="AH765" s="213"/>
      <c r="AI765" s="213"/>
      <c r="AJ765" s="213"/>
      <c r="AK765" s="213"/>
      <c r="AL765" s="213"/>
      <c r="AM765" s="213"/>
      <c r="AN765" s="213"/>
      <c r="AO765" s="213"/>
      <c r="AP765" s="213"/>
      <c r="AQ765" s="213"/>
      <c r="AS765" s="203"/>
      <c r="AT765" s="182"/>
      <c r="AU765" s="126"/>
      <c r="AV765" s="126"/>
      <c r="AW765" s="126"/>
      <c r="AX765" s="126"/>
      <c r="AY765" s="126"/>
      <c r="AZ765" s="126"/>
      <c r="BA765" s="126"/>
      <c r="BB765" s="126"/>
      <c r="BC765" s="170"/>
      <c r="BD765" s="170"/>
    </row>
    <row r="766" spans="1:64" s="168" customFormat="1">
      <c r="A766" s="143"/>
      <c r="B766" s="143"/>
      <c r="C766" s="143"/>
      <c r="D766" s="143"/>
      <c r="E766" s="143"/>
      <c r="F766" s="143"/>
      <c r="G766" s="143"/>
      <c r="H766" s="143"/>
      <c r="I766" s="143"/>
      <c r="J766" s="143"/>
      <c r="K766" s="143"/>
      <c r="L766" s="143"/>
      <c r="X766" s="213"/>
      <c r="Y766" s="213"/>
      <c r="Z766" s="213"/>
      <c r="AA766" s="213"/>
      <c r="AB766" s="213"/>
      <c r="AC766" s="213"/>
      <c r="AD766" s="213"/>
      <c r="AE766" s="213"/>
      <c r="AG766" s="213"/>
      <c r="AH766" s="213"/>
      <c r="AI766" s="213"/>
      <c r="AJ766" s="213"/>
      <c r="AK766" s="213"/>
      <c r="AL766" s="213"/>
      <c r="AM766" s="213"/>
      <c r="AN766" s="213"/>
      <c r="AO766" s="213"/>
      <c r="AP766" s="213"/>
      <c r="AQ766" s="213"/>
      <c r="AS766" s="203"/>
      <c r="AT766" s="182"/>
      <c r="AU766" s="127"/>
      <c r="AV766" s="127"/>
      <c r="AW766" s="127"/>
      <c r="AX766" s="127"/>
      <c r="AY766" s="127"/>
      <c r="AZ766" s="126"/>
      <c r="BA766" s="126"/>
      <c r="BB766" s="126"/>
      <c r="BC766" s="170"/>
      <c r="BD766" s="170"/>
    </row>
    <row r="767" spans="1:64" s="168" customFormat="1">
      <c r="A767" s="143"/>
      <c r="B767" s="143"/>
      <c r="C767" s="143"/>
      <c r="D767" s="143"/>
      <c r="E767" s="143"/>
      <c r="F767" s="143"/>
      <c r="G767" s="143"/>
      <c r="H767" s="143"/>
      <c r="I767" s="143"/>
      <c r="J767" s="143"/>
      <c r="K767" s="143"/>
      <c r="L767" s="143"/>
      <c r="X767" s="214"/>
      <c r="Y767" s="214"/>
      <c r="Z767" s="214"/>
      <c r="AA767" s="214"/>
      <c r="AB767" s="213"/>
      <c r="AC767" s="213"/>
      <c r="AD767" s="213"/>
      <c r="AE767" s="213"/>
      <c r="AG767" s="213"/>
      <c r="AH767" s="213"/>
      <c r="AI767" s="213"/>
      <c r="AJ767" s="213"/>
      <c r="AK767" s="213"/>
      <c r="AL767" s="213"/>
      <c r="AM767" s="213"/>
      <c r="AN767" s="213"/>
      <c r="AO767" s="213"/>
      <c r="AP767" s="213"/>
      <c r="AQ767" s="213"/>
      <c r="AS767" s="203"/>
      <c r="AT767" s="182"/>
      <c r="AU767" s="127"/>
      <c r="AV767" s="127"/>
      <c r="AW767" s="127"/>
      <c r="AX767" s="127"/>
      <c r="AY767" s="127"/>
      <c r="AZ767" s="126"/>
      <c r="BA767" s="126"/>
      <c r="BB767" s="126"/>
      <c r="BC767" s="170"/>
      <c r="BD767" s="170"/>
    </row>
    <row r="768" spans="1:64" s="168" customFormat="1" ht="14.25" customHeight="1">
      <c r="A768" s="143"/>
      <c r="B768" s="143"/>
      <c r="C768" s="143"/>
      <c r="D768" s="143"/>
      <c r="E768" s="143"/>
      <c r="F768" s="143"/>
      <c r="G768" s="143"/>
      <c r="H768" s="143"/>
      <c r="I768" s="143"/>
      <c r="J768" s="143"/>
      <c r="K768" s="143"/>
      <c r="L768" s="143"/>
      <c r="X768" s="213"/>
      <c r="Y768" s="213"/>
      <c r="Z768" s="213"/>
      <c r="AA768" s="213"/>
      <c r="AB768" s="213"/>
      <c r="AC768" s="213"/>
      <c r="AD768" s="213"/>
      <c r="AE768" s="213"/>
      <c r="AG768" s="213"/>
      <c r="AH768" s="213"/>
      <c r="AI768" s="213"/>
      <c r="AJ768" s="213"/>
      <c r="AK768" s="213"/>
      <c r="AL768" s="213"/>
      <c r="AM768" s="213"/>
      <c r="AN768" s="213"/>
      <c r="AO768" s="213"/>
      <c r="AP768" s="213"/>
      <c r="AQ768" s="213"/>
      <c r="AS768" s="203"/>
      <c r="AT768" s="182"/>
      <c r="AU768" s="126"/>
      <c r="AV768" s="126"/>
      <c r="AW768" s="126"/>
      <c r="AX768" s="126"/>
      <c r="AY768" s="126"/>
      <c r="AZ768" s="126"/>
      <c r="BA768" s="126"/>
      <c r="BB768" s="126"/>
      <c r="BC768" s="170"/>
      <c r="BD768" s="170"/>
    </row>
    <row r="769" spans="1:64" s="168" customFormat="1" ht="14.25" customHeight="1">
      <c r="A769" s="143" t="s">
        <v>183</v>
      </c>
      <c r="B769" s="143"/>
      <c r="C769" s="143"/>
      <c r="D769" s="143"/>
      <c r="E769" s="143"/>
      <c r="F769" s="143"/>
      <c r="G769" s="143"/>
      <c r="H769" s="143"/>
      <c r="I769" s="143"/>
      <c r="J769" s="143"/>
      <c r="K769" s="143"/>
      <c r="L769" s="143"/>
      <c r="X769" s="213"/>
      <c r="Y769" s="213"/>
      <c r="Z769" s="213"/>
      <c r="AA769" s="213"/>
      <c r="AB769" s="213"/>
      <c r="AC769" s="213"/>
      <c r="AD769" s="213"/>
      <c r="AE769" s="213"/>
      <c r="AG769" s="213"/>
      <c r="AH769" s="213"/>
      <c r="AI769" s="213"/>
      <c r="AJ769" s="213"/>
      <c r="AK769" s="213"/>
      <c r="AL769" s="213"/>
      <c r="AM769" s="213"/>
      <c r="AN769" s="213"/>
      <c r="AO769" s="213"/>
      <c r="AP769" s="213"/>
      <c r="AQ769" s="213"/>
      <c r="AS769" s="203"/>
      <c r="AT769" s="217"/>
      <c r="AU769" s="169"/>
      <c r="AV769" s="169"/>
      <c r="AW769" s="169"/>
      <c r="AX769" s="169"/>
      <c r="AY769" s="169"/>
      <c r="AZ769" s="169"/>
      <c r="BA769" s="169"/>
      <c r="BB769" s="169"/>
      <c r="BC769" s="170"/>
      <c r="BD769" s="170"/>
    </row>
    <row r="770" spans="1:64" s="168" customFormat="1" ht="14.25" customHeight="1">
      <c r="A770" s="143">
        <v>11</v>
      </c>
      <c r="B770" s="143"/>
      <c r="C770" s="143"/>
      <c r="D770" s="143"/>
      <c r="E770" s="143"/>
      <c r="F770" s="143"/>
      <c r="G770" s="143"/>
      <c r="H770" s="143"/>
      <c r="I770" s="143"/>
      <c r="J770" s="143"/>
      <c r="K770" s="143"/>
      <c r="L770" s="143"/>
      <c r="X770" s="169"/>
      <c r="Y770" s="169"/>
      <c r="Z770" s="169"/>
      <c r="AA770" s="169"/>
      <c r="AB770" s="169"/>
      <c r="AC770" s="169"/>
      <c r="AD770" s="169"/>
      <c r="AE770" s="213"/>
      <c r="AF770" s="213"/>
      <c r="AG770" s="213"/>
      <c r="AH770" s="213"/>
      <c r="AI770" s="213"/>
      <c r="AJ770" s="213"/>
      <c r="AK770" s="213"/>
      <c r="AL770" s="213"/>
      <c r="AM770" s="213"/>
      <c r="AN770" s="213"/>
      <c r="AO770" s="213"/>
      <c r="AP770" s="213"/>
      <c r="AR770" s="203"/>
      <c r="AS770" s="204"/>
      <c r="AT770" s="213"/>
      <c r="AU770" s="213"/>
      <c r="AV770" s="213"/>
      <c r="AW770" s="213"/>
      <c r="AX770" s="213"/>
      <c r="AY770" s="170"/>
      <c r="AZ770" s="170"/>
      <c r="BA770" s="170"/>
      <c r="BB770" s="170"/>
      <c r="BC770" s="170"/>
    </row>
    <row r="771" spans="1:64" s="168" customFormat="1" ht="14.25" customHeight="1">
      <c r="A771" s="143"/>
      <c r="B771" s="143"/>
      <c r="C771" s="143"/>
      <c r="D771" s="143"/>
      <c r="E771" s="143"/>
      <c r="F771" s="143"/>
      <c r="G771" s="143"/>
      <c r="H771" s="143"/>
      <c r="I771" s="143"/>
      <c r="J771" s="143"/>
      <c r="K771" s="143"/>
      <c r="L771" s="143"/>
      <c r="X771" s="213"/>
      <c r="Y771" s="213"/>
      <c r="Z771" s="213"/>
      <c r="AA771" s="213"/>
      <c r="AB771" s="213"/>
      <c r="AC771" s="213"/>
      <c r="AD771" s="213"/>
      <c r="AE771" s="213"/>
      <c r="AF771" s="213"/>
      <c r="AG771" s="213"/>
      <c r="AH771" s="213"/>
      <c r="AI771" s="213"/>
      <c r="AJ771" s="213"/>
      <c r="AK771" s="213"/>
      <c r="AL771" s="213"/>
      <c r="AM771" s="213"/>
      <c r="AN771" s="213"/>
      <c r="AO771" s="213"/>
      <c r="AQ771" s="203"/>
      <c r="AR771" s="204"/>
      <c r="AS771" s="169"/>
      <c r="AT771" s="169"/>
      <c r="AU771" s="169"/>
      <c r="AV771" s="169"/>
      <c r="AW771" s="169"/>
      <c r="AX771" s="170"/>
      <c r="AY771" s="170"/>
      <c r="AZ771" s="170"/>
      <c r="BA771" s="170"/>
      <c r="BB771" s="170"/>
    </row>
    <row r="772" spans="1:64" s="168" customFormat="1" ht="14.25" customHeight="1">
      <c r="A772" s="143"/>
      <c r="B772" s="143"/>
      <c r="C772" s="143"/>
      <c r="D772" s="143"/>
      <c r="E772" s="143"/>
      <c r="F772" s="143"/>
      <c r="G772" s="143"/>
      <c r="H772" s="143"/>
      <c r="I772" s="143"/>
      <c r="J772" s="143"/>
      <c r="K772" s="143"/>
      <c r="L772" s="143"/>
      <c r="X772" s="213"/>
      <c r="Y772" s="213"/>
      <c r="Z772" s="213"/>
      <c r="AA772" s="213"/>
      <c r="AB772" s="213"/>
      <c r="AC772" s="213"/>
      <c r="AD772" s="213"/>
      <c r="AE772" s="213"/>
      <c r="AF772" s="213"/>
      <c r="AG772" s="213"/>
      <c r="AH772" s="213"/>
      <c r="AI772" s="213"/>
      <c r="AJ772" s="213"/>
      <c r="AK772" s="213"/>
      <c r="AL772" s="213"/>
      <c r="AM772" s="213"/>
      <c r="AN772" s="213"/>
      <c r="AP772" s="203"/>
      <c r="AQ772" s="204"/>
      <c r="AR772" s="169"/>
      <c r="AS772" s="169"/>
      <c r="AT772" s="169"/>
      <c r="AU772" s="169"/>
      <c r="AV772" s="169"/>
      <c r="AW772" s="170"/>
      <c r="AX772" s="170"/>
      <c r="AY772" s="170"/>
      <c r="AZ772" s="170"/>
      <c r="BA772" s="170"/>
    </row>
    <row r="773" spans="1:64" s="168" customFormat="1" ht="14.25" customHeight="1">
      <c r="A773" s="143"/>
      <c r="B773" s="143"/>
      <c r="C773" s="143"/>
      <c r="D773" s="143"/>
      <c r="E773" s="143"/>
      <c r="F773" s="143"/>
      <c r="G773" s="143"/>
      <c r="H773" s="143"/>
      <c r="I773" s="143"/>
      <c r="J773" s="143"/>
      <c r="K773" s="143"/>
      <c r="L773" s="143"/>
      <c r="X773" s="213"/>
      <c r="Y773" s="213"/>
      <c r="Z773" s="213"/>
      <c r="AA773" s="213"/>
      <c r="AB773" s="213"/>
      <c r="AC773" s="213"/>
      <c r="AD773" s="213"/>
      <c r="AE773" s="213"/>
      <c r="AF773" s="213"/>
      <c r="AG773" s="213"/>
      <c r="AH773" s="213"/>
      <c r="AI773" s="213"/>
      <c r="AJ773" s="213"/>
      <c r="AK773" s="213"/>
      <c r="AL773" s="213"/>
      <c r="AM773" s="213"/>
      <c r="AO773" s="203"/>
      <c r="AP773" s="204"/>
      <c r="AQ773" s="169"/>
      <c r="AR773" s="169"/>
      <c r="AS773" s="169"/>
      <c r="AT773" s="169"/>
      <c r="AU773" s="169"/>
      <c r="AV773" s="170"/>
      <c r="AW773" s="170"/>
      <c r="AX773" s="170"/>
      <c r="AY773" s="170"/>
      <c r="AZ773" s="170"/>
    </row>
    <row r="774" spans="1:64" s="168" customFormat="1" ht="14.25" customHeight="1">
      <c r="A774" s="143"/>
      <c r="B774" s="143"/>
      <c r="C774" s="143"/>
      <c r="D774" s="143"/>
      <c r="E774" s="143"/>
      <c r="F774" s="143"/>
      <c r="G774" s="143"/>
      <c r="H774" s="143"/>
      <c r="I774" s="143"/>
      <c r="J774" s="143"/>
      <c r="K774" s="143"/>
      <c r="L774" s="143"/>
      <c r="X774" s="213"/>
      <c r="Y774" s="213"/>
      <c r="Z774" s="213"/>
      <c r="AA774" s="213"/>
      <c r="AB774" s="213"/>
      <c r="AC774" s="213"/>
      <c r="AD774" s="213"/>
      <c r="AE774" s="213"/>
      <c r="AF774" s="213"/>
      <c r="AG774" s="213"/>
      <c r="AH774" s="213"/>
      <c r="AI774" s="213"/>
      <c r="AJ774" s="213"/>
      <c r="AK774" s="213"/>
      <c r="AL774" s="213"/>
      <c r="AN774" s="203"/>
      <c r="AO774" s="204"/>
      <c r="AP774" s="169"/>
      <c r="AQ774" s="169"/>
      <c r="AR774" s="169"/>
      <c r="AS774" s="169"/>
      <c r="AT774" s="169"/>
      <c r="AU774" s="170"/>
      <c r="AV774" s="170"/>
      <c r="AW774" s="170"/>
      <c r="AX774" s="170"/>
      <c r="AY774" s="170"/>
    </row>
    <row r="775" spans="1:64" s="168" customFormat="1" ht="14.25" customHeight="1">
      <c r="A775" s="143"/>
      <c r="B775" s="143"/>
      <c r="C775" s="143"/>
      <c r="D775" s="143"/>
      <c r="E775" s="143"/>
      <c r="F775" s="143"/>
      <c r="G775" s="143"/>
      <c r="H775" s="143"/>
      <c r="I775" s="143"/>
      <c r="J775" s="143"/>
      <c r="K775" s="143"/>
      <c r="L775" s="143"/>
      <c r="X775" s="213"/>
      <c r="Y775" s="213"/>
      <c r="Z775" s="213"/>
      <c r="AA775" s="213"/>
      <c r="AB775" s="213"/>
      <c r="AC775" s="213"/>
      <c r="AD775" s="213"/>
      <c r="AE775" s="213"/>
      <c r="AF775" s="213"/>
      <c r="AG775" s="213"/>
      <c r="AH775" s="213"/>
      <c r="AI775" s="213"/>
      <c r="AJ775" s="213"/>
      <c r="AK775" s="213"/>
      <c r="AM775" s="203"/>
      <c r="AN775" s="204"/>
      <c r="AO775" s="169"/>
      <c r="AP775" s="169"/>
      <c r="AQ775" s="169"/>
      <c r="AR775" s="169"/>
      <c r="AS775" s="169"/>
      <c r="AT775" s="170"/>
      <c r="AU775" s="170"/>
      <c r="AV775" s="170"/>
      <c r="AW775" s="170"/>
      <c r="AX775" s="170"/>
    </row>
    <row r="776" spans="1:64" s="168" customFormat="1" ht="14.25" customHeight="1">
      <c r="A776" s="143"/>
      <c r="B776" s="143"/>
      <c r="C776" s="143"/>
      <c r="D776" s="143"/>
      <c r="E776" s="143"/>
      <c r="F776" s="143"/>
      <c r="G776" s="143"/>
      <c r="H776" s="143"/>
      <c r="I776" s="143"/>
      <c r="J776" s="143"/>
      <c r="K776" s="143"/>
      <c r="L776" s="143"/>
      <c r="X776" s="213"/>
      <c r="Y776" s="213"/>
      <c r="Z776" s="213"/>
      <c r="AA776" s="213"/>
      <c r="AB776" s="213"/>
      <c r="AC776" s="213"/>
      <c r="AD776" s="213"/>
      <c r="AE776" s="213"/>
      <c r="AF776" s="213"/>
      <c r="AG776" s="213"/>
      <c r="AH776" s="213"/>
      <c r="AI776" s="213"/>
      <c r="AJ776" s="213"/>
      <c r="AL776" s="203"/>
      <c r="AM776" s="204"/>
      <c r="AN776" s="169"/>
      <c r="AO776" s="169"/>
      <c r="AP776" s="169"/>
      <c r="AQ776" s="169"/>
      <c r="AR776" s="169"/>
      <c r="AS776" s="170"/>
      <c r="AT776" s="170"/>
      <c r="AU776" s="170"/>
      <c r="AV776" s="170"/>
      <c r="AW776" s="170"/>
    </row>
    <row r="777" spans="1:64" s="168" customFormat="1" ht="14.25" customHeight="1">
      <c r="A777" s="143"/>
      <c r="B777" s="143"/>
      <c r="C777" s="143"/>
      <c r="D777" s="143"/>
      <c r="E777" s="143"/>
      <c r="F777" s="143"/>
      <c r="G777" s="143"/>
      <c r="H777" s="143"/>
      <c r="I777" s="143"/>
      <c r="J777" s="143"/>
      <c r="K777" s="143"/>
      <c r="L777" s="143"/>
      <c r="X777" s="213"/>
      <c r="Y777" s="213"/>
      <c r="Z777" s="213"/>
      <c r="AA777" s="213"/>
      <c r="AB777" s="213"/>
      <c r="AC777" s="213"/>
      <c r="AD777" s="213"/>
      <c r="AE777" s="213"/>
      <c r="AF777" s="213"/>
      <c r="AG777" s="213"/>
      <c r="AH777" s="213"/>
      <c r="AI777" s="213"/>
      <c r="AK777" s="203"/>
      <c r="AL777" s="204"/>
      <c r="AM777" s="169"/>
      <c r="AN777" s="169"/>
      <c r="AO777" s="169"/>
      <c r="AP777" s="169"/>
      <c r="AQ777" s="169"/>
      <c r="AR777" s="170"/>
      <c r="AS777" s="170"/>
      <c r="AT777" s="170"/>
      <c r="AU777" s="170"/>
      <c r="AV777" s="170"/>
    </row>
    <row r="778" spans="1:64" s="168" customFormat="1" ht="14.25" customHeight="1">
      <c r="A778" s="143"/>
      <c r="B778" s="143"/>
      <c r="C778" s="143"/>
      <c r="D778" s="143"/>
      <c r="E778" s="143"/>
      <c r="F778" s="143"/>
      <c r="G778" s="143"/>
      <c r="H778" s="143"/>
      <c r="I778" s="143"/>
      <c r="J778" s="143"/>
      <c r="K778" s="143"/>
      <c r="L778" s="143"/>
      <c r="X778" s="213"/>
      <c r="Y778" s="213"/>
      <c r="Z778" s="213"/>
      <c r="AA778" s="213"/>
      <c r="AB778" s="213"/>
      <c r="AC778" s="213"/>
      <c r="AD778" s="213"/>
      <c r="AE778" s="213"/>
      <c r="AF778" s="213"/>
      <c r="AG778" s="213"/>
      <c r="AH778" s="213"/>
      <c r="AJ778" s="203"/>
      <c r="AK778" s="204"/>
      <c r="AL778" s="169"/>
      <c r="AM778" s="169"/>
      <c r="AN778" s="169"/>
      <c r="AO778" s="169"/>
      <c r="AP778" s="169"/>
      <c r="AQ778" s="170"/>
      <c r="AR778" s="170"/>
      <c r="AS778" s="170"/>
      <c r="AT778" s="170"/>
      <c r="AU778" s="170"/>
    </row>
    <row r="779" spans="1:64" s="168" customFormat="1" ht="14.25" customHeight="1">
      <c r="A779" s="143">
        <f>A749+1</f>
        <v>26</v>
      </c>
      <c r="B779" s="143"/>
      <c r="C779" s="187" t="str">
        <f>IF($A$1 = 1, (IF("("&amp;C789&amp;")" ="()","","("&amp;C789&amp;")")), (IF("("&amp;C794&amp;")     ("&amp;C789&amp;")"="()     ()","","("&amp;C794&amp;")     ("&amp;C789&amp;")")))</f>
        <v>(5)     (4)</v>
      </c>
      <c r="D779" s="187" t="str">
        <f t="shared" ref="D779:J779" si="76">IF($A$1 = 1, (IF("("&amp;D789&amp;")" ="()","","("&amp;D789&amp;")")), (IF("("&amp;D794&amp;")     ("&amp;D789&amp;")"="()     ()","","("&amp;D794&amp;")     ("&amp;D789&amp;")")))</f>
        <v>(11)     (8)</v>
      </c>
      <c r="E779" s="187" t="str">
        <f t="shared" si="76"/>
        <v>(0)     (11)</v>
      </c>
      <c r="F779" s="187" t="str">
        <f t="shared" si="76"/>
        <v>(15)     (17)</v>
      </c>
      <c r="G779" s="187" t="str">
        <f t="shared" si="76"/>
        <v>(0)     (1)</v>
      </c>
      <c r="H779" s="187" t="str">
        <f t="shared" si="76"/>
        <v>(9)     (9)</v>
      </c>
      <c r="I779" s="187" t="str">
        <f t="shared" si="76"/>
        <v>(13)     (30)</v>
      </c>
      <c r="J779" s="187" t="str">
        <f t="shared" si="76"/>
        <v>(15)     (13)</v>
      </c>
      <c r="K779" s="166"/>
      <c r="L779" s="166"/>
      <c r="M779" s="170"/>
      <c r="N779" s="170"/>
      <c r="O779" s="170"/>
      <c r="P779" s="170"/>
      <c r="Q779" s="170"/>
      <c r="R779" s="170"/>
      <c r="S779" s="170"/>
      <c r="T779" s="170"/>
      <c r="U779" s="170"/>
      <c r="V779" s="170"/>
      <c r="W779" s="170"/>
      <c r="X779" s="213"/>
      <c r="Y779" s="213"/>
      <c r="Z779" s="213"/>
      <c r="AA779" s="213"/>
      <c r="AB779" s="213"/>
      <c r="AC779" s="213"/>
      <c r="AD779" s="213"/>
      <c r="AE779" s="213"/>
      <c r="AF779" s="213"/>
      <c r="AG779" s="213"/>
      <c r="AI779" s="203"/>
      <c r="AJ779" s="204"/>
      <c r="AK779" s="169"/>
      <c r="AL779" s="169"/>
      <c r="AM779" s="169"/>
      <c r="AN779" s="169"/>
      <c r="AO779" s="169"/>
      <c r="AP779" s="170"/>
      <c r="AQ779" s="170"/>
      <c r="AR779" s="170"/>
      <c r="AS779" s="170"/>
      <c r="AT779" s="170"/>
    </row>
    <row r="780" spans="1:64" s="168" customFormat="1" ht="59.1" customHeight="1">
      <c r="A780" s="143"/>
      <c r="B780" s="177"/>
      <c r="C780" s="178" t="s">
        <v>870</v>
      </c>
      <c r="D780" s="178" t="s">
        <v>871</v>
      </c>
      <c r="E780" s="178" t="s">
        <v>872</v>
      </c>
      <c r="F780" s="178" t="s">
        <v>873</v>
      </c>
      <c r="G780" s="178" t="s">
        <v>874</v>
      </c>
      <c r="H780" s="178" t="s">
        <v>875</v>
      </c>
      <c r="I780" s="178" t="s">
        <v>876</v>
      </c>
      <c r="J780" s="178" t="s">
        <v>877</v>
      </c>
      <c r="K780" s="178" t="s">
        <v>878</v>
      </c>
      <c r="L780" s="178" t="s">
        <v>879</v>
      </c>
      <c r="M780" s="208" t="s">
        <v>880</v>
      </c>
      <c r="N780" s="208"/>
      <c r="O780" s="208"/>
      <c r="P780" s="208"/>
      <c r="Q780" s="208"/>
      <c r="R780" s="208"/>
      <c r="S780" s="208"/>
      <c r="T780" s="208"/>
      <c r="U780" s="208"/>
      <c r="V780" s="208"/>
      <c r="W780" s="208"/>
      <c r="X780" s="210"/>
      <c r="Y780" s="210"/>
      <c r="Z780" s="210"/>
      <c r="AA780" s="210"/>
      <c r="AB780" s="210"/>
      <c r="AC780" s="210"/>
      <c r="AD780" s="210"/>
      <c r="AE780" s="210"/>
      <c r="AF780" s="210"/>
      <c r="AG780" s="210"/>
      <c r="AH780" s="210"/>
      <c r="AI780" s="210"/>
      <c r="AJ780" s="210"/>
      <c r="AK780" s="210"/>
      <c r="AL780" s="210"/>
      <c r="AM780" s="210"/>
      <c r="AN780" s="210"/>
      <c r="AO780" s="216"/>
      <c r="AP780" s="216"/>
      <c r="AQ780" s="216"/>
      <c r="AR780" s="216"/>
      <c r="AS780" s="216"/>
      <c r="AT780" s="216"/>
      <c r="AU780" s="216"/>
      <c r="AV780" s="216"/>
      <c r="AW780" s="216"/>
      <c r="AX780" s="210"/>
      <c r="AY780" s="216"/>
      <c r="AZ780" s="216"/>
      <c r="BA780" s="216"/>
      <c r="BB780" s="216"/>
      <c r="BC780" s="216"/>
      <c r="BD780" s="216"/>
      <c r="BE780" s="216"/>
      <c r="BF780" s="216"/>
      <c r="BG780" s="216"/>
      <c r="BH780" s="216"/>
      <c r="BI780" s="216"/>
      <c r="BJ780" s="210"/>
      <c r="BK780" s="210"/>
      <c r="BL780" s="210"/>
    </row>
    <row r="781" spans="1:64" s="168" customFormat="1" ht="18" customHeight="1" thickBot="1">
      <c r="A781" s="143"/>
      <c r="B781" s="181" t="s">
        <v>3</v>
      </c>
      <c r="C781" s="148" t="s">
        <v>443</v>
      </c>
      <c r="D781" s="148">
        <v>67</v>
      </c>
      <c r="E781" s="148">
        <v>79</v>
      </c>
      <c r="F781" s="148">
        <v>81</v>
      </c>
      <c r="G781" s="148" t="s">
        <v>443</v>
      </c>
      <c r="H781" s="148">
        <v>83</v>
      </c>
      <c r="I781" s="148">
        <v>62</v>
      </c>
      <c r="J781" s="148">
        <v>81</v>
      </c>
      <c r="K781" s="148">
        <v>90</v>
      </c>
      <c r="L781" s="148" t="s">
        <v>443</v>
      </c>
      <c r="M781" s="211">
        <v>92</v>
      </c>
      <c r="N781" s="211"/>
      <c r="O781" s="211"/>
      <c r="P781" s="211"/>
      <c r="Q781" s="211"/>
      <c r="R781" s="211"/>
      <c r="S781" s="211"/>
      <c r="T781" s="211"/>
      <c r="U781" s="211"/>
      <c r="V781" s="211"/>
      <c r="W781" s="211"/>
      <c r="AO781" s="213"/>
      <c r="AP781" s="213"/>
      <c r="AQ781" s="213"/>
      <c r="AR781" s="213"/>
      <c r="AS781" s="213"/>
      <c r="AT781" s="213"/>
      <c r="AU781" s="213"/>
      <c r="AV781" s="213"/>
      <c r="AW781" s="213"/>
      <c r="AY781" s="213"/>
      <c r="AZ781" s="213"/>
      <c r="BA781" s="213"/>
      <c r="BB781" s="213"/>
      <c r="BC781" s="213"/>
      <c r="BD781" s="213"/>
      <c r="BE781" s="213"/>
      <c r="BF781" s="213"/>
      <c r="BG781" s="213"/>
      <c r="BH781" s="213"/>
      <c r="BI781" s="213"/>
    </row>
    <row r="782" spans="1:64" s="168" customFormat="1" ht="18" customHeight="1" thickBot="1">
      <c r="A782" s="143"/>
      <c r="B782" s="182" t="s">
        <v>18</v>
      </c>
      <c r="C782" s="148" t="s">
        <v>443</v>
      </c>
      <c r="D782" s="148">
        <v>69</v>
      </c>
      <c r="E782" s="148">
        <v>73</v>
      </c>
      <c r="F782" s="148">
        <v>74</v>
      </c>
      <c r="G782" s="148" t="s">
        <v>443</v>
      </c>
      <c r="H782" s="148">
        <v>84</v>
      </c>
      <c r="I782" s="148">
        <v>62</v>
      </c>
      <c r="J782" s="148">
        <v>78</v>
      </c>
      <c r="K782" s="148">
        <v>85</v>
      </c>
      <c r="L782" s="148" t="s">
        <v>443</v>
      </c>
      <c r="M782" s="145">
        <v>93</v>
      </c>
      <c r="N782" s="145"/>
      <c r="O782" s="145"/>
      <c r="P782" s="145"/>
      <c r="Q782" s="145"/>
      <c r="R782" s="145"/>
      <c r="S782" s="145"/>
      <c r="T782" s="145"/>
      <c r="U782" s="145"/>
      <c r="V782" s="145"/>
      <c r="W782" s="145"/>
      <c r="AO782" s="213"/>
      <c r="AP782" s="213"/>
      <c r="AQ782" s="213"/>
      <c r="AR782" s="213"/>
      <c r="AS782" s="213"/>
      <c r="AT782" s="213"/>
      <c r="AU782" s="213"/>
      <c r="AV782" s="213"/>
      <c r="AW782" s="213"/>
      <c r="AY782" s="213"/>
      <c r="AZ782" s="213"/>
      <c r="BA782" s="213"/>
      <c r="BB782" s="213"/>
      <c r="BC782" s="213"/>
      <c r="BD782" s="213"/>
      <c r="BE782" s="213"/>
      <c r="BF782" s="213"/>
      <c r="BG782" s="213"/>
      <c r="BH782" s="213"/>
      <c r="BI782" s="213"/>
    </row>
    <row r="783" spans="1:64" s="168" customFormat="1" ht="18" customHeight="1" thickBot="1">
      <c r="A783" s="143"/>
      <c r="B783" s="183" t="s">
        <v>32</v>
      </c>
      <c r="C783" s="147" t="s">
        <v>443</v>
      </c>
      <c r="D783" s="147">
        <v>70</v>
      </c>
      <c r="E783" s="147">
        <v>80</v>
      </c>
      <c r="F783" s="147">
        <v>74</v>
      </c>
      <c r="G783" s="147" t="s">
        <v>443</v>
      </c>
      <c r="H783" s="147">
        <v>79</v>
      </c>
      <c r="I783" s="147">
        <v>59</v>
      </c>
      <c r="J783" s="147">
        <v>67</v>
      </c>
      <c r="K783" s="147">
        <v>83</v>
      </c>
      <c r="L783" s="147" t="s">
        <v>443</v>
      </c>
      <c r="M783" s="145">
        <v>92</v>
      </c>
      <c r="N783" s="145"/>
      <c r="O783" s="145"/>
      <c r="P783" s="145"/>
      <c r="Q783" s="145"/>
      <c r="R783" s="145"/>
      <c r="S783" s="145"/>
      <c r="T783" s="145"/>
      <c r="U783" s="145"/>
      <c r="V783" s="145"/>
      <c r="W783" s="145"/>
      <c r="AO783" s="213"/>
      <c r="AP783" s="213"/>
      <c r="AQ783" s="213"/>
      <c r="AR783" s="213"/>
      <c r="AS783" s="213"/>
      <c r="AT783" s="213"/>
      <c r="AU783" s="213"/>
      <c r="AV783" s="213"/>
      <c r="AW783" s="213"/>
      <c r="AY783" s="213"/>
      <c r="AZ783" s="213"/>
      <c r="BA783" s="213"/>
      <c r="BB783" s="213"/>
      <c r="BC783" s="213"/>
      <c r="BD783" s="213"/>
      <c r="BE783" s="213"/>
      <c r="BF783" s="213"/>
      <c r="BG783" s="213"/>
      <c r="BH783" s="213"/>
    </row>
    <row r="784" spans="1:64" s="168" customFormat="1" ht="18" customHeight="1" thickBot="1">
      <c r="A784" s="143"/>
      <c r="B784" s="182" t="s">
        <v>45</v>
      </c>
      <c r="C784" s="145" t="s">
        <v>443</v>
      </c>
      <c r="D784" s="145">
        <v>60</v>
      </c>
      <c r="E784" s="145">
        <v>75</v>
      </c>
      <c r="F784" s="145">
        <v>69</v>
      </c>
      <c r="G784" s="145" t="s">
        <v>443</v>
      </c>
      <c r="H784" s="145">
        <v>78</v>
      </c>
      <c r="I784" s="145">
        <v>62</v>
      </c>
      <c r="J784" s="145">
        <v>72</v>
      </c>
      <c r="K784" s="145">
        <v>95</v>
      </c>
      <c r="L784" s="145" t="s">
        <v>443</v>
      </c>
      <c r="M784" s="145">
        <v>100</v>
      </c>
      <c r="N784" s="145"/>
      <c r="O784" s="145"/>
      <c r="P784" s="145"/>
      <c r="Q784" s="145"/>
      <c r="R784" s="145"/>
      <c r="S784" s="145"/>
      <c r="T784" s="145"/>
      <c r="U784" s="145"/>
      <c r="V784" s="145"/>
      <c r="W784" s="145"/>
      <c r="AO784" s="213"/>
      <c r="AP784" s="213"/>
      <c r="AQ784" s="213"/>
      <c r="AR784" s="213"/>
      <c r="AS784" s="213"/>
      <c r="AT784" s="213"/>
      <c r="AU784" s="213"/>
      <c r="AV784" s="213"/>
      <c r="AW784" s="213"/>
      <c r="AY784" s="213"/>
      <c r="AZ784" s="213"/>
      <c r="BA784" s="213"/>
      <c r="BB784" s="213"/>
      <c r="BC784" s="213"/>
      <c r="BD784" s="213"/>
      <c r="BE784" s="213"/>
      <c r="BF784" s="213"/>
      <c r="BG784" s="213"/>
      <c r="BH784" s="213"/>
    </row>
    <row r="785" spans="1:64" s="168" customFormat="1" ht="18" customHeight="1" thickBot="1">
      <c r="A785" s="143"/>
      <c r="B785" s="184" t="s">
        <v>54</v>
      </c>
      <c r="C785" s="146" t="s">
        <v>443</v>
      </c>
      <c r="D785" s="146">
        <v>56</v>
      </c>
      <c r="E785" s="146">
        <v>75</v>
      </c>
      <c r="F785" s="146">
        <v>64</v>
      </c>
      <c r="G785" s="146" t="s">
        <v>443</v>
      </c>
      <c r="H785" s="146">
        <v>80</v>
      </c>
      <c r="I785" s="146">
        <v>68</v>
      </c>
      <c r="J785" s="146">
        <v>73</v>
      </c>
      <c r="K785" s="146">
        <v>76</v>
      </c>
      <c r="L785" s="146" t="s">
        <v>443</v>
      </c>
      <c r="M785" s="145">
        <v>93</v>
      </c>
      <c r="N785" s="145"/>
      <c r="O785" s="145"/>
      <c r="P785" s="145"/>
      <c r="Q785" s="145"/>
      <c r="R785" s="145"/>
      <c r="S785" s="145"/>
      <c r="T785" s="145"/>
      <c r="U785" s="145"/>
      <c r="V785" s="145"/>
      <c r="W785" s="145"/>
      <c r="AO785" s="213"/>
      <c r="AP785" s="213"/>
      <c r="AQ785" s="213"/>
      <c r="AR785" s="213"/>
      <c r="AS785" s="213"/>
      <c r="AT785" s="213"/>
      <c r="AU785" s="213"/>
      <c r="AV785" s="213"/>
      <c r="AW785" s="213"/>
      <c r="AY785" s="213"/>
      <c r="AZ785" s="213"/>
      <c r="BA785" s="213"/>
      <c r="BB785" s="213"/>
      <c r="BC785" s="213"/>
      <c r="BD785" s="213"/>
      <c r="BE785" s="213"/>
      <c r="BF785" s="213"/>
      <c r="BG785" s="213"/>
      <c r="BH785" s="213"/>
    </row>
    <row r="786" spans="1:64" s="168" customFormat="1">
      <c r="A786" s="143"/>
      <c r="B786" s="182" t="s">
        <v>66</v>
      </c>
      <c r="C786" s="145"/>
      <c r="D786" s="145">
        <v>33</v>
      </c>
      <c r="E786" s="145">
        <v>82</v>
      </c>
      <c r="F786" s="145">
        <v>63</v>
      </c>
      <c r="G786" s="145"/>
      <c r="H786" s="125">
        <v>89</v>
      </c>
      <c r="I786" s="125">
        <v>59</v>
      </c>
      <c r="J786" s="125">
        <v>77</v>
      </c>
      <c r="K786" s="125">
        <v>100</v>
      </c>
      <c r="L786" s="125"/>
      <c r="M786" s="145">
        <v>100</v>
      </c>
      <c r="N786" s="145"/>
      <c r="O786" s="145"/>
      <c r="P786" s="145"/>
      <c r="Q786" s="145"/>
      <c r="R786" s="145"/>
      <c r="S786" s="145"/>
      <c r="T786" s="145"/>
      <c r="U786" s="145"/>
      <c r="V786" s="145"/>
      <c r="W786" s="145"/>
      <c r="AO786" s="213"/>
      <c r="AP786" s="213"/>
      <c r="AQ786" s="213"/>
      <c r="AR786" s="213"/>
      <c r="AS786" s="213"/>
      <c r="AT786" s="213"/>
      <c r="AU786" s="213"/>
      <c r="AV786" s="213"/>
      <c r="AW786" s="213"/>
      <c r="AY786" s="213"/>
      <c r="AZ786" s="213"/>
      <c r="BA786" s="213"/>
      <c r="BB786" s="213"/>
      <c r="BC786" s="213"/>
      <c r="BD786" s="213"/>
      <c r="BE786" s="213"/>
      <c r="BF786" s="213"/>
      <c r="BG786" s="213"/>
      <c r="BH786" s="213"/>
    </row>
    <row r="787" spans="1:64" s="212" customFormat="1">
      <c r="A787" s="143"/>
      <c r="B787" s="182" t="s">
        <v>158</v>
      </c>
      <c r="C787" s="126" t="s">
        <v>443</v>
      </c>
      <c r="D787" s="126">
        <v>65</v>
      </c>
      <c r="E787" s="126">
        <v>77</v>
      </c>
      <c r="F787" s="126">
        <v>73</v>
      </c>
      <c r="G787" s="126" t="s">
        <v>443</v>
      </c>
      <c r="H787" s="126">
        <v>81</v>
      </c>
      <c r="I787" s="126">
        <v>62</v>
      </c>
      <c r="J787" s="126">
        <v>75</v>
      </c>
      <c r="K787" s="126">
        <v>86</v>
      </c>
      <c r="L787" s="126" t="s">
        <v>443</v>
      </c>
      <c r="M787" s="126">
        <v>94</v>
      </c>
      <c r="N787" s="126"/>
      <c r="O787" s="126"/>
      <c r="P787" s="126"/>
      <c r="Q787" s="126"/>
      <c r="R787" s="126"/>
      <c r="S787" s="126"/>
      <c r="T787" s="126"/>
      <c r="U787" s="126"/>
      <c r="V787" s="126"/>
      <c r="W787" s="126"/>
      <c r="X787" s="168"/>
      <c r="Y787" s="168"/>
      <c r="Z787" s="168"/>
      <c r="AA787" s="168"/>
      <c r="AB787" s="168"/>
      <c r="AC787" s="168"/>
      <c r="AD787" s="168"/>
      <c r="AE787" s="168"/>
      <c r="AF787" s="168"/>
      <c r="AG787" s="168"/>
      <c r="AH787" s="168"/>
      <c r="AI787" s="168"/>
      <c r="AJ787" s="168"/>
      <c r="AK787" s="168"/>
      <c r="AL787" s="168"/>
      <c r="AM787" s="168"/>
      <c r="AN787" s="168"/>
      <c r="AO787" s="213"/>
      <c r="AP787" s="213"/>
      <c r="AQ787" s="213"/>
      <c r="AR787" s="213"/>
      <c r="AS787" s="213"/>
      <c r="AT787" s="213"/>
      <c r="AU787" s="213"/>
      <c r="AV787" s="213"/>
      <c r="AW787" s="213"/>
      <c r="AX787" s="168"/>
      <c r="AY787" s="213"/>
      <c r="AZ787" s="213"/>
      <c r="BA787" s="213"/>
      <c r="BB787" s="213"/>
      <c r="BC787" s="213"/>
      <c r="BD787" s="213"/>
      <c r="BE787" s="213"/>
      <c r="BF787" s="213"/>
      <c r="BG787" s="213"/>
      <c r="BH787" s="213"/>
      <c r="BI787" s="168"/>
      <c r="BJ787" s="168"/>
      <c r="BK787" s="168"/>
      <c r="BL787" s="168"/>
    </row>
    <row r="788" spans="1:64" s="210" customFormat="1">
      <c r="A788" s="174"/>
      <c r="B788" s="182" t="s">
        <v>191</v>
      </c>
      <c r="C788" s="127">
        <v>69</v>
      </c>
      <c r="D788" s="127">
        <v>69</v>
      </c>
      <c r="E788" s="127">
        <v>69</v>
      </c>
      <c r="F788" s="127">
        <v>69</v>
      </c>
      <c r="G788" s="127">
        <v>69</v>
      </c>
      <c r="H788" s="126">
        <v>69</v>
      </c>
      <c r="I788" s="126">
        <v>69</v>
      </c>
      <c r="J788" s="126">
        <v>69</v>
      </c>
      <c r="K788" s="126">
        <v>69</v>
      </c>
      <c r="L788" s="126">
        <v>69</v>
      </c>
      <c r="M788" s="126">
        <v>69</v>
      </c>
      <c r="N788" s="126"/>
      <c r="O788" s="126"/>
      <c r="P788" s="126"/>
      <c r="Q788" s="126"/>
      <c r="R788" s="126"/>
      <c r="S788" s="126"/>
      <c r="T788" s="126"/>
      <c r="U788" s="126"/>
      <c r="V788" s="126"/>
      <c r="W788" s="126"/>
      <c r="X788" s="168"/>
      <c r="Y788" s="168"/>
      <c r="Z788" s="168"/>
      <c r="AA788" s="168"/>
      <c r="AB788" s="168"/>
      <c r="AC788" s="168"/>
      <c r="AD788" s="168"/>
      <c r="AE788" s="168"/>
      <c r="AF788" s="168"/>
      <c r="AG788" s="168"/>
      <c r="AH788" s="168"/>
      <c r="AI788" s="168"/>
      <c r="AJ788" s="168"/>
      <c r="AK788" s="168"/>
      <c r="AL788" s="168"/>
      <c r="AM788" s="168"/>
      <c r="AN788" s="168"/>
      <c r="AO788" s="214"/>
      <c r="AP788" s="214"/>
      <c r="AQ788" s="214"/>
      <c r="AR788" s="214"/>
      <c r="AS788" s="214"/>
      <c r="AT788" s="213"/>
      <c r="AU788" s="213"/>
      <c r="AV788" s="213"/>
      <c r="AW788" s="213"/>
      <c r="AX788" s="168"/>
      <c r="AY788" s="213"/>
      <c r="AZ788" s="213"/>
      <c r="BA788" s="213"/>
      <c r="BB788" s="213"/>
      <c r="BC788" s="213"/>
      <c r="BD788" s="213"/>
      <c r="BE788" s="213"/>
      <c r="BF788" s="213"/>
      <c r="BG788" s="213"/>
      <c r="BH788" s="213"/>
      <c r="BI788" s="168"/>
      <c r="BJ788" s="168"/>
      <c r="BK788" s="168"/>
      <c r="BL788" s="168"/>
    </row>
    <row r="789" spans="1:64" s="168" customFormat="1" ht="15" thickBot="1">
      <c r="A789" s="179"/>
      <c r="B789" s="182" t="s">
        <v>442</v>
      </c>
      <c r="C789" s="126">
        <v>4</v>
      </c>
      <c r="D789" s="315">
        <v>8</v>
      </c>
      <c r="E789" s="315">
        <v>11</v>
      </c>
      <c r="F789" s="315">
        <v>17</v>
      </c>
      <c r="G789" s="315">
        <v>1</v>
      </c>
      <c r="H789" s="315">
        <v>9</v>
      </c>
      <c r="I789" s="315">
        <v>30</v>
      </c>
      <c r="J789" s="315">
        <v>13</v>
      </c>
      <c r="K789" s="315">
        <v>8</v>
      </c>
      <c r="L789" s="315">
        <v>2</v>
      </c>
      <c r="M789" s="126">
        <v>7</v>
      </c>
      <c r="N789" s="126"/>
      <c r="O789" s="126"/>
      <c r="P789" s="126"/>
      <c r="Q789" s="126"/>
      <c r="R789" s="126"/>
      <c r="S789" s="126"/>
      <c r="T789" s="126"/>
      <c r="U789" s="126"/>
      <c r="V789" s="126"/>
      <c r="W789" s="126"/>
      <c r="AO789" s="213"/>
      <c r="AP789" s="213"/>
      <c r="AQ789" s="213"/>
      <c r="AR789" s="213"/>
      <c r="AS789" s="213"/>
      <c r="AT789" s="213"/>
      <c r="AU789" s="213"/>
      <c r="AV789" s="213"/>
      <c r="AW789" s="213"/>
      <c r="AY789" s="213"/>
      <c r="AZ789" s="213"/>
      <c r="BA789" s="213"/>
      <c r="BB789" s="213"/>
      <c r="BC789" s="213"/>
      <c r="BD789" s="213"/>
      <c r="BE789" s="213"/>
      <c r="BF789" s="213"/>
      <c r="BG789" s="213"/>
      <c r="BH789" s="213"/>
    </row>
    <row r="790" spans="1:64" s="168" customFormat="1">
      <c r="A790" s="143"/>
      <c r="B790" s="338" t="s">
        <v>166</v>
      </c>
      <c r="C790" s="316" t="str">
        <f>IF(OR(C793="**",C793=""),"",VALUE(C793))</f>
        <v/>
      </c>
      <c r="D790" s="316">
        <f t="shared" ref="D790:J790" si="77">IF(OR(D793="**",D793=""),"",VALUE(D793))</f>
        <v>70</v>
      </c>
      <c r="E790" s="316" t="str">
        <f t="shared" si="77"/>
        <v/>
      </c>
      <c r="F790" s="316">
        <f t="shared" si="77"/>
        <v>73</v>
      </c>
      <c r="G790" s="316" t="str">
        <f t="shared" si="77"/>
        <v/>
      </c>
      <c r="H790" s="316">
        <f t="shared" si="77"/>
        <v>83</v>
      </c>
      <c r="I790" s="316">
        <f t="shared" si="77"/>
        <v>75</v>
      </c>
      <c r="J790" s="316">
        <f t="shared" si="77"/>
        <v>76</v>
      </c>
      <c r="K790" s="316"/>
      <c r="L790" s="316"/>
      <c r="M790" s="126"/>
      <c r="N790" s="126"/>
      <c r="O790" s="126"/>
      <c r="P790" s="126"/>
      <c r="Q790" s="126"/>
      <c r="R790" s="126"/>
      <c r="S790" s="126"/>
      <c r="T790" s="126"/>
      <c r="U790" s="126"/>
      <c r="V790" s="126"/>
      <c r="W790" s="126"/>
      <c r="AO790" s="213"/>
      <c r="AP790" s="213"/>
      <c r="AQ790" s="213"/>
      <c r="AR790" s="213"/>
      <c r="AS790" s="213"/>
      <c r="AT790" s="213"/>
      <c r="AU790" s="213"/>
      <c r="AV790" s="213"/>
      <c r="AW790" s="213"/>
      <c r="AY790" s="213"/>
      <c r="AZ790" s="213"/>
      <c r="BA790" s="213"/>
      <c r="BB790" s="213"/>
      <c r="BC790" s="213"/>
      <c r="BD790" s="213"/>
      <c r="BE790" s="213"/>
      <c r="BF790" s="213"/>
      <c r="BG790" s="213"/>
      <c r="BH790" s="213"/>
    </row>
    <row r="791" spans="1:64" s="168" customFormat="1" ht="15" thickBot="1">
      <c r="A791" s="143"/>
      <c r="B791" s="339" t="s">
        <v>165</v>
      </c>
      <c r="C791" s="317" t="str">
        <f t="shared" ref="C791:J791" si="78">IF(OR(C787="**",C787=""),"",VALUE(C787))</f>
        <v/>
      </c>
      <c r="D791" s="317">
        <f t="shared" si="78"/>
        <v>65</v>
      </c>
      <c r="E791" s="317">
        <f t="shared" si="78"/>
        <v>77</v>
      </c>
      <c r="F791" s="317">
        <f t="shared" si="78"/>
        <v>73</v>
      </c>
      <c r="G791" s="317" t="str">
        <f t="shared" si="78"/>
        <v/>
      </c>
      <c r="H791" s="317">
        <f t="shared" si="78"/>
        <v>81</v>
      </c>
      <c r="I791" s="317">
        <f t="shared" si="78"/>
        <v>62</v>
      </c>
      <c r="J791" s="317">
        <f t="shared" si="78"/>
        <v>75</v>
      </c>
      <c r="K791" s="317"/>
      <c r="L791" s="317"/>
      <c r="M791" s="169"/>
      <c r="N791" s="169"/>
      <c r="O791" s="169"/>
      <c r="P791" s="169"/>
      <c r="Q791" s="169"/>
      <c r="R791" s="169"/>
      <c r="S791" s="169"/>
      <c r="T791" s="169"/>
      <c r="U791" s="169"/>
      <c r="V791" s="169"/>
      <c r="W791" s="169"/>
      <c r="AO791" s="169"/>
      <c r="AP791" s="169"/>
      <c r="AQ791" s="169"/>
      <c r="AR791" s="169"/>
      <c r="AS791" s="169"/>
      <c r="AT791" s="169"/>
      <c r="AU791" s="169"/>
      <c r="AV791" s="169"/>
      <c r="AW791" s="213"/>
      <c r="AX791" s="213"/>
      <c r="AY791" s="213"/>
      <c r="AZ791" s="213"/>
      <c r="BA791" s="213"/>
      <c r="BB791" s="213"/>
      <c r="BC791" s="213"/>
      <c r="BD791" s="213"/>
      <c r="BE791" s="213"/>
      <c r="BF791" s="213"/>
      <c r="BG791" s="213"/>
      <c r="BH791" s="213"/>
    </row>
    <row r="792" spans="1:64" s="168" customFormat="1">
      <c r="A792" s="143"/>
      <c r="B792" s="340" t="s">
        <v>483</v>
      </c>
      <c r="C792" s="167" t="s">
        <v>932</v>
      </c>
      <c r="D792" s="167" t="s">
        <v>933</v>
      </c>
      <c r="E792" s="167" t="s">
        <v>872</v>
      </c>
      <c r="F792" s="167" t="s">
        <v>873</v>
      </c>
      <c r="G792" s="167" t="s">
        <v>874</v>
      </c>
      <c r="H792" s="166" t="s">
        <v>875</v>
      </c>
      <c r="I792" s="166" t="s">
        <v>876</v>
      </c>
      <c r="J792" s="166" t="s">
        <v>877</v>
      </c>
      <c r="K792" s="166" t="s">
        <v>878</v>
      </c>
      <c r="L792" s="166" t="s">
        <v>934</v>
      </c>
      <c r="M792" s="213" t="s">
        <v>935</v>
      </c>
      <c r="N792" s="213"/>
      <c r="O792" s="213"/>
      <c r="P792" s="213"/>
      <c r="Q792" s="213"/>
      <c r="R792" s="213"/>
      <c r="S792" s="213"/>
      <c r="T792" s="213"/>
      <c r="U792" s="213"/>
      <c r="V792" s="213"/>
      <c r="W792" s="213"/>
      <c r="X792" s="213"/>
      <c r="Y792" s="213"/>
      <c r="Z792" s="213"/>
      <c r="AA792" s="213"/>
      <c r="AC792" s="203"/>
      <c r="AD792" s="182"/>
      <c r="AE792" s="145"/>
      <c r="AF792" s="145"/>
      <c r="AG792" s="145"/>
      <c r="AH792" s="145"/>
      <c r="AI792" s="145"/>
      <c r="AJ792" s="145"/>
      <c r="AK792" s="145"/>
      <c r="AL792" s="145"/>
      <c r="AM792" s="170"/>
      <c r="AN792" s="170"/>
    </row>
    <row r="793" spans="1:64" s="168" customFormat="1">
      <c r="A793" s="143"/>
      <c r="B793" s="182" t="s">
        <v>158</v>
      </c>
      <c r="C793" s="165" t="s">
        <v>443</v>
      </c>
      <c r="D793" s="165">
        <v>70</v>
      </c>
      <c r="E793" s="165" t="s">
        <v>443</v>
      </c>
      <c r="F793" s="165">
        <v>73</v>
      </c>
      <c r="G793" s="165" t="s">
        <v>443</v>
      </c>
      <c r="H793" s="166">
        <v>83</v>
      </c>
      <c r="I793" s="166">
        <v>75</v>
      </c>
      <c r="J793" s="166">
        <v>76</v>
      </c>
      <c r="K793" s="166">
        <v>61</v>
      </c>
      <c r="L793" s="166">
        <v>75</v>
      </c>
      <c r="M793" s="213">
        <v>81</v>
      </c>
      <c r="N793" s="213"/>
      <c r="O793" s="213"/>
      <c r="P793" s="213"/>
      <c r="Q793" s="213"/>
      <c r="R793" s="213"/>
      <c r="S793" s="213"/>
      <c r="T793" s="213"/>
      <c r="U793" s="213"/>
      <c r="V793" s="213"/>
      <c r="W793" s="213"/>
      <c r="X793" s="213"/>
      <c r="Y793" s="213"/>
      <c r="Z793" s="213"/>
      <c r="AA793" s="213"/>
      <c r="AC793" s="203"/>
      <c r="AD793" s="182"/>
      <c r="AE793" s="145"/>
      <c r="AF793" s="145"/>
      <c r="AG793" s="145"/>
      <c r="AH793" s="145"/>
      <c r="AI793" s="145"/>
      <c r="AJ793" s="145"/>
      <c r="AK793" s="145"/>
      <c r="AL793" s="145"/>
      <c r="AM793" s="170"/>
      <c r="AN793" s="170"/>
    </row>
    <row r="794" spans="1:64" s="168" customFormat="1">
      <c r="A794" s="143"/>
      <c r="B794" s="340" t="s">
        <v>442</v>
      </c>
      <c r="C794" s="165">
        <v>5</v>
      </c>
      <c r="D794" s="165">
        <v>11</v>
      </c>
      <c r="E794" s="165">
        <v>0</v>
      </c>
      <c r="F794" s="165">
        <v>15</v>
      </c>
      <c r="G794" s="165">
        <v>0</v>
      </c>
      <c r="H794" s="165">
        <v>9</v>
      </c>
      <c r="I794" s="165">
        <v>13</v>
      </c>
      <c r="J794" s="165">
        <v>15</v>
      </c>
      <c r="K794" s="165">
        <v>7</v>
      </c>
      <c r="L794" s="165">
        <v>11</v>
      </c>
      <c r="M794" s="213">
        <v>8</v>
      </c>
      <c r="N794" s="213"/>
      <c r="O794" s="213"/>
      <c r="P794" s="213"/>
      <c r="Q794" s="213"/>
      <c r="R794" s="213"/>
      <c r="S794" s="213"/>
      <c r="T794" s="213"/>
      <c r="U794" s="213"/>
      <c r="V794" s="213"/>
      <c r="W794" s="213"/>
      <c r="X794" s="213"/>
      <c r="Y794" s="213"/>
      <c r="Z794" s="213"/>
      <c r="AA794" s="213"/>
      <c r="AC794" s="203"/>
      <c r="AD794" s="182"/>
      <c r="AE794" s="145"/>
      <c r="AF794" s="145"/>
      <c r="AG794" s="145"/>
      <c r="AH794" s="145"/>
      <c r="AI794" s="145"/>
      <c r="AJ794" s="145"/>
      <c r="AK794" s="145"/>
      <c r="AL794" s="145"/>
      <c r="AM794" s="170"/>
      <c r="AN794" s="170"/>
    </row>
    <row r="795" spans="1:64" s="168" customFormat="1">
      <c r="A795" s="143"/>
      <c r="B795" s="143"/>
      <c r="C795" s="143"/>
      <c r="D795" s="143"/>
      <c r="E795" s="143"/>
      <c r="F795" s="143"/>
      <c r="G795" s="167"/>
      <c r="H795" s="167"/>
      <c r="I795" s="167"/>
      <c r="J795" s="167"/>
      <c r="K795" s="167"/>
      <c r="L795" s="167"/>
      <c r="M795" s="213"/>
      <c r="N795" s="213"/>
      <c r="O795" s="213"/>
      <c r="P795" s="213"/>
      <c r="Q795" s="213"/>
      <c r="R795" s="213"/>
      <c r="S795" s="213"/>
      <c r="T795" s="213"/>
      <c r="U795" s="213"/>
      <c r="V795" s="213"/>
      <c r="W795" s="213"/>
      <c r="X795" s="213"/>
      <c r="Y795" s="213"/>
      <c r="Z795" s="213"/>
      <c r="AA795" s="213"/>
      <c r="AC795" s="203"/>
      <c r="AD795" s="182"/>
      <c r="AE795" s="126"/>
      <c r="AF795" s="126"/>
      <c r="AG795" s="126"/>
      <c r="AH795" s="126"/>
      <c r="AI795" s="126"/>
      <c r="AJ795" s="126"/>
      <c r="AK795" s="126"/>
      <c r="AL795" s="126"/>
      <c r="AM795" s="170"/>
      <c r="AN795" s="170"/>
    </row>
    <row r="796" spans="1:64" s="168" customFormat="1">
      <c r="A796" s="143"/>
      <c r="B796" s="143"/>
      <c r="C796" s="143"/>
      <c r="D796" s="143"/>
      <c r="E796" s="143"/>
      <c r="F796" s="143"/>
      <c r="G796" s="167"/>
      <c r="H796" s="167"/>
      <c r="I796" s="167"/>
      <c r="J796" s="167"/>
      <c r="K796" s="167"/>
      <c r="L796" s="167"/>
      <c r="M796" s="213"/>
      <c r="N796" s="213"/>
      <c r="O796" s="213"/>
      <c r="P796" s="213"/>
      <c r="Q796" s="213"/>
      <c r="R796" s="213"/>
      <c r="S796" s="213"/>
      <c r="T796" s="213"/>
      <c r="U796" s="213"/>
      <c r="V796" s="213"/>
      <c r="W796" s="213"/>
      <c r="X796" s="213"/>
      <c r="Y796" s="213"/>
      <c r="Z796" s="213"/>
      <c r="AA796" s="213"/>
      <c r="AC796" s="203"/>
      <c r="AD796" s="182"/>
      <c r="AE796" s="126"/>
      <c r="AF796" s="126"/>
      <c r="AG796" s="126"/>
      <c r="AH796" s="126"/>
      <c r="AI796" s="126"/>
      <c r="AJ796" s="126"/>
      <c r="AK796" s="126"/>
      <c r="AL796" s="126"/>
      <c r="AM796" s="170"/>
      <c r="AN796" s="170"/>
    </row>
    <row r="797" spans="1:64" s="168" customFormat="1">
      <c r="A797" s="143"/>
      <c r="B797" s="143"/>
      <c r="C797" s="143"/>
      <c r="D797" s="143"/>
      <c r="E797" s="143"/>
      <c r="F797" s="143"/>
      <c r="G797" s="185"/>
      <c r="H797" s="185"/>
      <c r="I797" s="185"/>
      <c r="J797" s="185"/>
      <c r="K797" s="185"/>
      <c r="L797" s="185"/>
      <c r="M797" s="214"/>
      <c r="N797" s="214"/>
      <c r="O797" s="214"/>
      <c r="P797" s="214"/>
      <c r="Q797" s="214"/>
      <c r="R797" s="214"/>
      <c r="S797" s="214"/>
      <c r="T797" s="214"/>
      <c r="U797" s="214"/>
      <c r="V797" s="214"/>
      <c r="W797" s="214"/>
      <c r="X797" s="213"/>
      <c r="Y797" s="213"/>
      <c r="Z797" s="213"/>
      <c r="AA797" s="213"/>
      <c r="AC797" s="203"/>
      <c r="AD797" s="182"/>
      <c r="AE797" s="126"/>
      <c r="AF797" s="126"/>
      <c r="AG797" s="126"/>
      <c r="AH797" s="126"/>
      <c r="AI797" s="126"/>
      <c r="AJ797" s="126"/>
      <c r="AK797" s="126"/>
      <c r="AL797" s="126"/>
      <c r="AM797" s="170"/>
      <c r="AN797" s="170"/>
    </row>
    <row r="798" spans="1:64" s="168" customFormat="1" ht="14.25" customHeight="1">
      <c r="A798" s="143"/>
      <c r="B798" s="143"/>
      <c r="C798" s="143"/>
      <c r="D798" s="143"/>
      <c r="E798" s="143"/>
      <c r="F798" s="143"/>
      <c r="G798" s="167"/>
      <c r="H798" s="167"/>
      <c r="I798" s="167"/>
      <c r="J798" s="167"/>
      <c r="K798" s="167"/>
      <c r="L798" s="167"/>
      <c r="M798" s="213"/>
      <c r="N798" s="213"/>
      <c r="O798" s="213"/>
      <c r="P798" s="213"/>
      <c r="Q798" s="213"/>
      <c r="R798" s="213"/>
      <c r="S798" s="213"/>
      <c r="T798" s="213"/>
      <c r="U798" s="213"/>
      <c r="V798" s="213"/>
      <c r="W798" s="213"/>
      <c r="X798" s="213"/>
      <c r="Y798" s="213"/>
      <c r="Z798" s="213"/>
      <c r="AA798" s="213"/>
      <c r="AC798" s="203"/>
      <c r="AD798" s="182"/>
      <c r="AE798" s="126"/>
      <c r="AF798" s="126"/>
      <c r="AG798" s="126"/>
      <c r="AH798" s="126"/>
      <c r="AI798" s="126"/>
      <c r="AJ798" s="126"/>
      <c r="AK798" s="126"/>
      <c r="AL798" s="126"/>
      <c r="AM798" s="170"/>
      <c r="AN798" s="170"/>
    </row>
    <row r="799" spans="1:64" s="168" customFormat="1" ht="14.25" customHeight="1">
      <c r="A799" s="143" t="s">
        <v>183</v>
      </c>
      <c r="B799" s="143"/>
      <c r="C799" s="143"/>
      <c r="D799" s="143"/>
      <c r="E799" s="143"/>
      <c r="F799" s="143"/>
      <c r="G799" s="167"/>
      <c r="H799" s="167"/>
      <c r="I799" s="167"/>
      <c r="J799" s="167"/>
      <c r="K799" s="167"/>
      <c r="L799" s="167"/>
      <c r="M799" s="213"/>
      <c r="N799" s="213"/>
      <c r="O799" s="213"/>
      <c r="P799" s="213"/>
      <c r="Q799" s="213"/>
      <c r="R799" s="213"/>
      <c r="S799" s="213"/>
      <c r="T799" s="213"/>
      <c r="U799" s="213"/>
      <c r="V799" s="213"/>
      <c r="W799" s="213"/>
      <c r="X799" s="213"/>
      <c r="Y799" s="213"/>
      <c r="Z799" s="213"/>
      <c r="AA799" s="213"/>
      <c r="AC799" s="203"/>
      <c r="AD799" s="217"/>
      <c r="AE799" s="169"/>
      <c r="AF799" s="169"/>
      <c r="AG799" s="169"/>
      <c r="AH799" s="169"/>
      <c r="AI799" s="169"/>
      <c r="AJ799" s="169"/>
      <c r="AK799" s="169"/>
      <c r="AL799" s="169"/>
      <c r="AM799" s="170"/>
      <c r="AN799" s="170"/>
    </row>
    <row r="800" spans="1:64" s="168" customFormat="1" ht="14.25" customHeight="1">
      <c r="A800" s="143">
        <v>1</v>
      </c>
      <c r="B800" s="143"/>
      <c r="C800" s="143"/>
      <c r="D800" s="143"/>
      <c r="E800" s="143"/>
      <c r="F800" s="143"/>
      <c r="G800" s="165"/>
      <c r="H800" s="165"/>
      <c r="I800" s="165"/>
      <c r="J800" s="165"/>
      <c r="K800" s="165"/>
      <c r="L800" s="165"/>
      <c r="M800" s="169"/>
      <c r="N800" s="169"/>
      <c r="O800" s="169"/>
      <c r="P800" s="169"/>
      <c r="Q800" s="169"/>
      <c r="R800" s="169"/>
      <c r="S800" s="169"/>
      <c r="T800" s="169"/>
      <c r="U800" s="169"/>
      <c r="V800" s="169"/>
      <c r="W800" s="169"/>
      <c r="X800" s="213"/>
      <c r="Y800" s="213"/>
      <c r="Z800" s="213"/>
      <c r="AA800" s="213"/>
      <c r="AC800" s="203"/>
      <c r="AD800" s="204"/>
      <c r="AE800" s="213"/>
      <c r="AF800" s="213"/>
      <c r="AG800" s="213"/>
      <c r="AH800" s="213"/>
      <c r="AI800" s="213"/>
      <c r="AJ800" s="170"/>
      <c r="AK800" s="170"/>
      <c r="AL800" s="170"/>
      <c r="AM800" s="170"/>
      <c r="AN800" s="170"/>
    </row>
    <row r="801" spans="1:64" s="203" customFormat="1" ht="14.25" customHeight="1">
      <c r="A801" s="143"/>
      <c r="B801" s="143"/>
      <c r="C801" s="143"/>
      <c r="D801" s="143"/>
      <c r="E801" s="143"/>
      <c r="F801" s="143"/>
      <c r="G801" s="167"/>
      <c r="H801" s="167"/>
      <c r="I801" s="167"/>
      <c r="J801" s="167"/>
      <c r="K801" s="167"/>
      <c r="L801" s="167"/>
      <c r="M801" s="213"/>
      <c r="N801" s="213"/>
      <c r="O801" s="213"/>
      <c r="P801" s="213"/>
      <c r="Q801" s="213"/>
      <c r="R801" s="213"/>
      <c r="S801" s="213"/>
      <c r="T801" s="213"/>
      <c r="U801" s="213"/>
      <c r="V801" s="213"/>
      <c r="W801" s="213"/>
      <c r="X801" s="213"/>
      <c r="Y801" s="213"/>
      <c r="Z801" s="213"/>
      <c r="AA801" s="213"/>
      <c r="AB801" s="168"/>
      <c r="AD801" s="204"/>
      <c r="AE801" s="169"/>
      <c r="AF801" s="169"/>
      <c r="AG801" s="169"/>
      <c r="AH801" s="169"/>
      <c r="AI801" s="169"/>
      <c r="AJ801" s="170"/>
      <c r="AK801" s="170"/>
      <c r="AL801" s="170"/>
      <c r="AM801" s="168"/>
      <c r="AO801" s="204"/>
      <c r="AP801" s="169"/>
      <c r="AQ801" s="169"/>
      <c r="AR801" s="169"/>
      <c r="AS801" s="169"/>
      <c r="AT801" s="169"/>
      <c r="AU801" s="170"/>
      <c r="AV801" s="170"/>
      <c r="AW801" s="170"/>
      <c r="AX801" s="168"/>
      <c r="AZ801" s="204"/>
      <c r="BA801" s="169"/>
      <c r="BB801" s="169"/>
      <c r="BC801" s="169"/>
      <c r="BD801" s="169"/>
      <c r="BE801" s="169"/>
      <c r="BF801" s="170"/>
      <c r="BG801" s="170"/>
      <c r="BH801" s="170"/>
      <c r="BI801" s="168"/>
    </row>
    <row r="802" spans="1:64" s="170" customFormat="1" ht="14.25" customHeight="1">
      <c r="A802" s="172"/>
      <c r="B802" s="165"/>
      <c r="C802" s="165"/>
      <c r="D802" s="165"/>
      <c r="E802" s="165"/>
      <c r="F802" s="165"/>
      <c r="G802" s="166"/>
      <c r="H802" s="166"/>
      <c r="I802" s="166"/>
      <c r="J802" s="166"/>
      <c r="K802" s="166"/>
      <c r="L802" s="166"/>
      <c r="X802" s="169"/>
      <c r="Y802" s="169"/>
      <c r="Z802" s="169"/>
      <c r="AA802" s="169"/>
      <c r="AB802" s="169"/>
      <c r="AF802" s="168"/>
      <c r="AG802" s="203"/>
      <c r="AH802" s="204"/>
      <c r="AI802" s="169"/>
      <c r="AJ802" s="169"/>
      <c r="AK802" s="169"/>
      <c r="AL802" s="169"/>
      <c r="AM802" s="169"/>
      <c r="AQ802" s="168"/>
      <c r="AR802" s="203"/>
      <c r="AS802" s="204"/>
      <c r="AT802" s="169"/>
      <c r="AU802" s="169"/>
      <c r="AV802" s="169"/>
      <c r="AW802" s="169"/>
      <c r="AX802" s="169"/>
      <c r="BB802" s="168"/>
      <c r="BC802" s="203"/>
      <c r="BD802" s="204"/>
      <c r="BE802" s="169"/>
      <c r="BF802" s="169"/>
      <c r="BG802" s="169"/>
      <c r="BH802" s="169"/>
      <c r="BI802" s="169"/>
    </row>
    <row r="803" spans="1:64" s="169" customFormat="1" ht="14.25" customHeight="1">
      <c r="A803" s="166"/>
      <c r="B803" s="166"/>
      <c r="C803" s="143"/>
      <c r="D803" s="164"/>
      <c r="E803" s="172"/>
      <c r="F803" s="165"/>
      <c r="G803" s="165"/>
      <c r="H803" s="165"/>
      <c r="I803" s="165"/>
      <c r="J803" s="165"/>
      <c r="K803" s="165"/>
      <c r="L803" s="165"/>
      <c r="X803" s="170"/>
      <c r="Y803" s="168"/>
      <c r="Z803" s="203"/>
      <c r="AA803" s="204"/>
      <c r="AG803" s="170"/>
      <c r="AH803" s="170"/>
      <c r="AI803" s="170"/>
      <c r="AJ803" s="168"/>
      <c r="AK803" s="203"/>
      <c r="AL803" s="204"/>
      <c r="AR803" s="170"/>
      <c r="AS803" s="170"/>
      <c r="AT803" s="170"/>
      <c r="AU803" s="168"/>
      <c r="AV803" s="203"/>
      <c r="AW803" s="204"/>
      <c r="BC803" s="170"/>
      <c r="BD803" s="170"/>
      <c r="BE803" s="170"/>
      <c r="BF803" s="168"/>
      <c r="BG803" s="203"/>
      <c r="BH803" s="204"/>
    </row>
    <row r="804" spans="1:64" s="215" customFormat="1" ht="14.25" customHeight="1">
      <c r="A804" s="165"/>
      <c r="B804" s="165"/>
      <c r="C804" s="165"/>
      <c r="D804" s="166"/>
      <c r="E804" s="166"/>
      <c r="F804" s="166"/>
      <c r="G804" s="143"/>
      <c r="H804" s="164"/>
      <c r="I804" s="164"/>
      <c r="J804" s="164"/>
      <c r="K804" s="164"/>
      <c r="L804" s="164"/>
      <c r="M804" s="203"/>
      <c r="N804" s="203"/>
      <c r="O804" s="203"/>
      <c r="P804" s="203"/>
      <c r="Q804" s="203"/>
      <c r="R804" s="203"/>
      <c r="S804" s="203"/>
      <c r="T804" s="203"/>
      <c r="U804" s="203"/>
      <c r="V804" s="203"/>
      <c r="W804" s="203"/>
      <c r="X804" s="173"/>
      <c r="Y804" s="173"/>
      <c r="Z804" s="173"/>
      <c r="AA804" s="173"/>
      <c r="AB804" s="173"/>
      <c r="AC804" s="173"/>
      <c r="AD804" s="173"/>
      <c r="AE804" s="173"/>
      <c r="AF804" s="173"/>
      <c r="AG804" s="173"/>
      <c r="AH804" s="173"/>
      <c r="AI804" s="173"/>
      <c r="AJ804" s="173"/>
      <c r="AK804" s="173"/>
      <c r="AL804" s="173"/>
      <c r="AM804" s="173"/>
      <c r="AN804" s="173"/>
      <c r="AO804" s="173"/>
      <c r="AP804" s="173"/>
      <c r="AQ804" s="173"/>
      <c r="AR804" s="212"/>
      <c r="AS804" s="212"/>
      <c r="AT804" s="212"/>
      <c r="AU804" s="212"/>
      <c r="AV804" s="212"/>
      <c r="AW804" s="212"/>
      <c r="AX804" s="212"/>
      <c r="AY804" s="212"/>
      <c r="AZ804" s="212"/>
      <c r="BA804" s="212"/>
      <c r="BB804" s="212"/>
      <c r="BC804" s="212"/>
      <c r="BD804" s="212"/>
      <c r="BE804" s="212"/>
      <c r="BF804" s="212"/>
    </row>
    <row r="805" spans="1:64" s="216" customFormat="1" ht="14.25" customHeight="1">
      <c r="A805" s="175"/>
      <c r="B805" s="17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215"/>
      <c r="N805" s="215"/>
      <c r="O805" s="215"/>
      <c r="P805" s="215"/>
      <c r="Q805" s="215"/>
      <c r="R805" s="215"/>
      <c r="S805" s="215"/>
      <c r="T805" s="215"/>
      <c r="U805" s="215"/>
      <c r="V805" s="215"/>
      <c r="W805" s="215"/>
      <c r="X805" s="208"/>
      <c r="Y805" s="208"/>
      <c r="Z805" s="208"/>
      <c r="AA805" s="208"/>
      <c r="AB805" s="208"/>
      <c r="AC805" s="209"/>
      <c r="AD805" s="209"/>
      <c r="AE805" s="210"/>
      <c r="AF805" s="210"/>
      <c r="AG805" s="210"/>
      <c r="AH805" s="210"/>
      <c r="AI805" s="210"/>
      <c r="AJ805" s="210"/>
      <c r="AK805" s="210"/>
      <c r="AL805" s="210"/>
      <c r="AM805" s="210"/>
      <c r="AN805" s="210"/>
      <c r="AO805" s="210"/>
      <c r="AP805" s="210"/>
      <c r="AQ805" s="210"/>
      <c r="AR805" s="210"/>
      <c r="AS805" s="210"/>
      <c r="AT805" s="210"/>
      <c r="AU805" s="210"/>
      <c r="AV805" s="210"/>
      <c r="AW805" s="210"/>
      <c r="AX805" s="210"/>
      <c r="AY805" s="210"/>
      <c r="AZ805" s="210"/>
      <c r="BA805" s="210"/>
      <c r="BB805" s="210"/>
      <c r="BC805" s="210"/>
      <c r="BD805" s="210"/>
      <c r="BE805" s="210"/>
      <c r="BF805" s="210"/>
    </row>
    <row r="806" spans="1:64" s="213" customFormat="1" ht="14.25" customHeight="1">
      <c r="A806" s="180"/>
      <c r="B806" s="180"/>
      <c r="C806" s="180"/>
      <c r="D806" s="180"/>
      <c r="E806" s="180"/>
      <c r="F806" s="179"/>
      <c r="G806" s="180"/>
      <c r="H806" s="180"/>
      <c r="I806" s="180"/>
      <c r="J806" s="180"/>
      <c r="K806" s="180"/>
      <c r="L806" s="180"/>
      <c r="M806" s="216"/>
      <c r="N806" s="216"/>
      <c r="O806" s="216"/>
      <c r="P806" s="216"/>
      <c r="Q806" s="216"/>
      <c r="R806" s="216"/>
      <c r="S806" s="216"/>
      <c r="T806" s="216"/>
      <c r="U806" s="216"/>
      <c r="V806" s="216"/>
      <c r="W806" s="216"/>
      <c r="X806" s="211"/>
      <c r="Y806" s="211"/>
      <c r="Z806" s="211"/>
      <c r="AA806" s="211"/>
      <c r="AB806" s="211"/>
      <c r="AC806" s="170"/>
      <c r="AD806" s="170"/>
      <c r="AE806" s="168"/>
      <c r="AF806" s="168"/>
      <c r="AG806" s="168"/>
      <c r="AH806" s="168"/>
      <c r="AI806" s="168"/>
      <c r="AJ806" s="168"/>
      <c r="AK806" s="168"/>
      <c r="AL806" s="168"/>
      <c r="AM806" s="168"/>
      <c r="AN806" s="168"/>
      <c r="AO806" s="168"/>
      <c r="AP806" s="168"/>
      <c r="AQ806" s="168"/>
      <c r="AR806" s="168"/>
      <c r="AS806" s="168"/>
      <c r="AT806" s="168"/>
      <c r="AU806" s="168"/>
      <c r="AV806" s="168"/>
      <c r="AW806" s="168"/>
      <c r="AX806" s="168"/>
      <c r="AY806" s="168"/>
      <c r="AZ806" s="168"/>
      <c r="BA806" s="168"/>
      <c r="BB806" s="168"/>
      <c r="BC806" s="168"/>
      <c r="BD806" s="168"/>
      <c r="BE806" s="168"/>
      <c r="BF806" s="168"/>
    </row>
    <row r="807" spans="1:64" s="213" customFormat="1" ht="14.25" customHeight="1">
      <c r="A807" s="167"/>
      <c r="B807" s="167"/>
      <c r="C807" s="167"/>
      <c r="D807" s="167"/>
      <c r="E807" s="167"/>
      <c r="F807" s="143"/>
      <c r="G807" s="167"/>
      <c r="H807" s="167"/>
      <c r="I807" s="167"/>
      <c r="J807" s="167"/>
      <c r="K807" s="167"/>
      <c r="L807" s="167"/>
      <c r="X807" s="145"/>
      <c r="Y807" s="145"/>
      <c r="Z807" s="145"/>
      <c r="AA807" s="145"/>
      <c r="AB807" s="145"/>
      <c r="AC807" s="170"/>
      <c r="AD807" s="170"/>
      <c r="AE807" s="168"/>
      <c r="AF807" s="168"/>
      <c r="AG807" s="168"/>
      <c r="AH807" s="168"/>
      <c r="AI807" s="168"/>
      <c r="AJ807" s="168"/>
      <c r="AK807" s="168"/>
      <c r="AL807" s="168"/>
      <c r="AM807" s="168"/>
      <c r="AN807" s="168"/>
      <c r="AO807" s="168"/>
      <c r="AP807" s="168"/>
      <c r="AQ807" s="168"/>
      <c r="AR807" s="168"/>
      <c r="AS807" s="168"/>
      <c r="AT807" s="168"/>
      <c r="AU807" s="168"/>
      <c r="AV807" s="168"/>
      <c r="AW807" s="168"/>
      <c r="AX807" s="168"/>
      <c r="AY807" s="168"/>
      <c r="AZ807" s="168"/>
      <c r="BA807" s="168"/>
      <c r="BB807" s="168"/>
      <c r="BC807" s="168"/>
      <c r="BD807" s="168"/>
      <c r="BE807" s="168"/>
      <c r="BF807" s="168"/>
    </row>
    <row r="808" spans="1:64" s="213" customFormat="1" ht="14.25" customHeight="1">
      <c r="A808" s="167"/>
      <c r="B808" s="167"/>
      <c r="C808" s="167"/>
      <c r="D808" s="167"/>
      <c r="E808" s="167"/>
      <c r="F808" s="143"/>
      <c r="G808" s="167"/>
      <c r="H808" s="167"/>
      <c r="I808" s="167"/>
      <c r="J808" s="167"/>
      <c r="K808" s="167"/>
      <c r="L808" s="167"/>
      <c r="X808" s="145"/>
      <c r="Y808" s="145"/>
      <c r="Z808" s="145"/>
      <c r="AA808" s="145"/>
      <c r="AB808" s="145"/>
      <c r="AC808" s="170"/>
      <c r="AD808" s="170"/>
      <c r="AE808" s="168"/>
      <c r="AF808" s="168"/>
      <c r="AG808" s="168"/>
      <c r="AH808" s="168"/>
      <c r="AI808" s="168"/>
      <c r="AJ808" s="168"/>
      <c r="AK808" s="168"/>
      <c r="AL808" s="168"/>
      <c r="AM808" s="168"/>
      <c r="AN808" s="168"/>
      <c r="AO808" s="168"/>
      <c r="AP808" s="168"/>
      <c r="AQ808" s="168"/>
      <c r="AR808" s="168"/>
      <c r="AS808" s="168"/>
      <c r="AT808" s="168"/>
      <c r="AU808" s="168"/>
      <c r="AV808" s="168"/>
      <c r="AW808" s="168"/>
      <c r="AX808" s="168"/>
      <c r="AY808" s="168"/>
      <c r="AZ808" s="168"/>
      <c r="BA808" s="168"/>
      <c r="BB808" s="168"/>
      <c r="BC808" s="168"/>
      <c r="BD808" s="168"/>
      <c r="BE808" s="168"/>
      <c r="BF808" s="168"/>
    </row>
    <row r="809" spans="1:64" s="213" customFormat="1" ht="14.25" customHeight="1">
      <c r="A809" s="167">
        <f>A779+1</f>
        <v>27</v>
      </c>
      <c r="B809" s="167"/>
      <c r="C809" s="187" t="str">
        <f>IF($A$1 = 1, (IF("("&amp;C819&amp;")" ="()","","("&amp;C819&amp;")")), (IF("("&amp;C824&amp;")     ("&amp;C819&amp;")"="()     ()","","("&amp;C824&amp;")     ("&amp;C819&amp;")")))</f>
        <v>(1)     (2)</v>
      </c>
      <c r="D809" s="187" t="str">
        <f t="shared" ref="D809:J809" si="79">IF($A$1 = 1, (IF("("&amp;D819&amp;")" ="()","","("&amp;D819&amp;")")), (IF("("&amp;D824&amp;")     ("&amp;D819&amp;")"="()     ()","","("&amp;D824&amp;")     ("&amp;D819&amp;")")))</f>
        <v/>
      </c>
      <c r="E809" s="187" t="str">
        <f t="shared" si="79"/>
        <v/>
      </c>
      <c r="F809" s="187" t="str">
        <f t="shared" si="79"/>
        <v/>
      </c>
      <c r="G809" s="187" t="str">
        <f t="shared" si="79"/>
        <v/>
      </c>
      <c r="H809" s="187" t="str">
        <f t="shared" si="79"/>
        <v/>
      </c>
      <c r="I809" s="187" t="str">
        <f t="shared" si="79"/>
        <v/>
      </c>
      <c r="J809" s="187" t="str">
        <f t="shared" si="79"/>
        <v/>
      </c>
      <c r="K809" s="166"/>
      <c r="L809" s="166"/>
      <c r="M809" s="170"/>
      <c r="N809" s="170"/>
      <c r="O809" s="170"/>
      <c r="P809" s="170"/>
      <c r="Q809" s="170"/>
      <c r="R809" s="170"/>
      <c r="S809" s="170"/>
      <c r="T809" s="170"/>
      <c r="U809" s="170"/>
      <c r="V809" s="170"/>
      <c r="W809" s="170"/>
      <c r="X809" s="145"/>
      <c r="Y809" s="145"/>
      <c r="Z809" s="145"/>
      <c r="AA809" s="145"/>
      <c r="AB809" s="145"/>
      <c r="AC809" s="170"/>
      <c r="AD809" s="170"/>
      <c r="AE809" s="168"/>
      <c r="AF809" s="168"/>
      <c r="AG809" s="168"/>
      <c r="AH809" s="168"/>
      <c r="AI809" s="168"/>
      <c r="AJ809" s="168"/>
      <c r="AK809" s="168"/>
      <c r="AL809" s="168"/>
      <c r="AM809" s="168"/>
      <c r="AN809" s="168"/>
      <c r="AO809" s="168"/>
      <c r="AP809" s="168"/>
      <c r="AQ809" s="168"/>
      <c r="AR809" s="168"/>
      <c r="AS809" s="168"/>
      <c r="AT809" s="168"/>
      <c r="AU809" s="168"/>
      <c r="AV809" s="168"/>
      <c r="AW809" s="168"/>
      <c r="AX809" s="168"/>
      <c r="AY809" s="168"/>
      <c r="AZ809" s="168"/>
      <c r="BA809" s="168"/>
      <c r="BB809" s="168"/>
      <c r="BC809" s="168"/>
      <c r="BD809" s="168"/>
      <c r="BE809" s="168"/>
      <c r="BF809" s="168"/>
    </row>
    <row r="810" spans="1:64" s="213" customFormat="1" ht="59.1" customHeight="1">
      <c r="A810" s="167"/>
      <c r="B810" s="177"/>
      <c r="C810" s="178" t="s">
        <v>881</v>
      </c>
      <c r="D810" s="178"/>
      <c r="E810" s="178"/>
      <c r="F810" s="178"/>
      <c r="G810" s="178"/>
      <c r="H810" s="178"/>
      <c r="I810" s="178"/>
      <c r="J810" s="178"/>
      <c r="K810" s="178"/>
      <c r="L810" s="178"/>
      <c r="M810" s="208"/>
      <c r="N810" s="208"/>
      <c r="O810" s="208"/>
      <c r="P810" s="208"/>
      <c r="Q810" s="208"/>
      <c r="R810" s="208"/>
      <c r="S810" s="208"/>
      <c r="T810" s="208"/>
      <c r="U810" s="208"/>
      <c r="V810" s="208"/>
      <c r="W810" s="208"/>
      <c r="X810" s="210"/>
      <c r="Y810" s="210"/>
      <c r="Z810" s="210"/>
      <c r="AA810" s="210"/>
      <c r="AB810" s="210"/>
      <c r="AC810" s="210"/>
      <c r="AD810" s="210"/>
      <c r="AE810" s="210"/>
      <c r="AF810" s="210"/>
      <c r="AG810" s="210"/>
      <c r="AH810" s="210"/>
      <c r="AI810" s="210"/>
      <c r="AJ810" s="210"/>
      <c r="AK810" s="210"/>
      <c r="AL810" s="210"/>
      <c r="AM810" s="210"/>
      <c r="AN810" s="210"/>
      <c r="AO810" s="216"/>
      <c r="AP810" s="216"/>
      <c r="AQ810" s="216"/>
      <c r="AR810" s="216"/>
      <c r="AS810" s="216"/>
      <c r="AT810" s="216"/>
      <c r="AU810" s="216"/>
      <c r="AV810" s="216"/>
      <c r="AW810" s="216"/>
      <c r="AX810" s="210"/>
      <c r="AY810" s="216"/>
      <c r="AZ810" s="216"/>
      <c r="BA810" s="216"/>
      <c r="BB810" s="216"/>
      <c r="BC810" s="216"/>
      <c r="BD810" s="216"/>
      <c r="BE810" s="216"/>
      <c r="BF810" s="216"/>
      <c r="BG810" s="216"/>
      <c r="BH810" s="216"/>
      <c r="BI810" s="216"/>
      <c r="BJ810" s="210"/>
      <c r="BK810" s="210"/>
      <c r="BL810" s="210"/>
    </row>
    <row r="811" spans="1:64" s="213" customFormat="1" ht="18" customHeight="1" thickBot="1">
      <c r="A811" s="167"/>
      <c r="B811" s="181" t="s">
        <v>3</v>
      </c>
      <c r="C811" s="148" t="s">
        <v>443</v>
      </c>
      <c r="D811" s="148"/>
      <c r="E811" s="148"/>
      <c r="F811" s="148"/>
      <c r="G811" s="148"/>
      <c r="H811" s="148"/>
      <c r="I811" s="148"/>
      <c r="J811" s="148"/>
      <c r="K811" s="148"/>
      <c r="L811" s="148"/>
      <c r="M811" s="211"/>
      <c r="N811" s="211"/>
      <c r="O811" s="211"/>
      <c r="P811" s="211"/>
      <c r="Q811" s="211"/>
      <c r="R811" s="211"/>
      <c r="S811" s="211"/>
      <c r="T811" s="211"/>
      <c r="U811" s="211"/>
      <c r="V811" s="211"/>
      <c r="W811" s="211"/>
      <c r="X811" s="168"/>
      <c r="Y811" s="168"/>
      <c r="Z811" s="168"/>
      <c r="AA811" s="168"/>
      <c r="AB811" s="168"/>
      <c r="AC811" s="168"/>
      <c r="AD811" s="168"/>
      <c r="AE811" s="168"/>
      <c r="AF811" s="168"/>
      <c r="AG811" s="168"/>
      <c r="AH811" s="168"/>
      <c r="AI811" s="168"/>
      <c r="AJ811" s="168"/>
      <c r="AK811" s="168"/>
      <c r="AL811" s="168"/>
      <c r="AM811" s="168"/>
      <c r="AN811" s="168"/>
      <c r="AX811" s="168"/>
      <c r="BJ811" s="168"/>
      <c r="BK811" s="168"/>
      <c r="BL811" s="168"/>
    </row>
    <row r="812" spans="1:64" s="213" customFormat="1" ht="18" customHeight="1" thickBot="1">
      <c r="A812" s="167"/>
      <c r="B812" s="182" t="s">
        <v>18</v>
      </c>
      <c r="C812" s="148" t="s">
        <v>443</v>
      </c>
      <c r="D812" s="148"/>
      <c r="E812" s="148"/>
      <c r="F812" s="148"/>
      <c r="G812" s="148"/>
      <c r="H812" s="148"/>
      <c r="I812" s="148"/>
      <c r="J812" s="148"/>
      <c r="K812" s="148"/>
      <c r="L812" s="148"/>
      <c r="M812" s="145"/>
      <c r="N812" s="145"/>
      <c r="O812" s="145"/>
      <c r="P812" s="145"/>
      <c r="Q812" s="145"/>
      <c r="R812" s="145"/>
      <c r="S812" s="145"/>
      <c r="T812" s="145"/>
      <c r="U812" s="145"/>
      <c r="V812" s="145"/>
      <c r="W812" s="145"/>
      <c r="X812" s="168"/>
      <c r="Y812" s="168"/>
      <c r="Z812" s="168"/>
      <c r="AA812" s="168"/>
      <c r="AB812" s="168"/>
      <c r="AC812" s="168"/>
      <c r="AD812" s="168"/>
      <c r="AE812" s="168"/>
      <c r="AF812" s="168"/>
      <c r="AG812" s="168"/>
      <c r="AH812" s="168"/>
      <c r="AI812" s="168"/>
      <c r="AJ812" s="168"/>
      <c r="AK812" s="168"/>
      <c r="AL812" s="168"/>
      <c r="AM812" s="168"/>
      <c r="AN812" s="168"/>
      <c r="AX812" s="168"/>
      <c r="BJ812" s="168"/>
      <c r="BK812" s="168"/>
      <c r="BL812" s="168"/>
    </row>
    <row r="813" spans="1:64" s="214" customFormat="1" ht="18" customHeight="1" thickBot="1">
      <c r="A813" s="167"/>
      <c r="B813" s="183" t="s">
        <v>32</v>
      </c>
      <c r="C813" s="147" t="s">
        <v>443</v>
      </c>
      <c r="D813" s="147"/>
      <c r="E813" s="147"/>
      <c r="F813" s="147"/>
      <c r="G813" s="147"/>
      <c r="H813" s="147"/>
      <c r="I813" s="147"/>
      <c r="J813" s="147"/>
      <c r="K813" s="147"/>
      <c r="L813" s="147"/>
      <c r="M813" s="145"/>
      <c r="N813" s="145"/>
      <c r="O813" s="145"/>
      <c r="P813" s="145"/>
      <c r="Q813" s="145"/>
      <c r="R813" s="145"/>
      <c r="S813" s="145"/>
      <c r="T813" s="145"/>
      <c r="U813" s="145"/>
      <c r="V813" s="145"/>
      <c r="W813" s="145"/>
      <c r="X813" s="168"/>
      <c r="Y813" s="168"/>
      <c r="Z813" s="168"/>
      <c r="AA813" s="168"/>
      <c r="AB813" s="168"/>
      <c r="AC813" s="168"/>
      <c r="AD813" s="168"/>
      <c r="AE813" s="168"/>
      <c r="AF813" s="168"/>
      <c r="AG813" s="168"/>
      <c r="AH813" s="168"/>
      <c r="AI813" s="168"/>
      <c r="AJ813" s="168"/>
      <c r="AK813" s="168"/>
      <c r="AL813" s="168"/>
      <c r="AM813" s="168"/>
      <c r="AN813" s="168"/>
      <c r="AO813" s="213"/>
      <c r="AP813" s="213"/>
      <c r="AQ813" s="213"/>
      <c r="AR813" s="213"/>
      <c r="AS813" s="213"/>
      <c r="AT813" s="213"/>
      <c r="AU813" s="213"/>
      <c r="AV813" s="213"/>
      <c r="AW813" s="213"/>
      <c r="AX813" s="168"/>
      <c r="AY813" s="213"/>
      <c r="AZ813" s="213"/>
      <c r="BA813" s="213"/>
      <c r="BB813" s="213"/>
      <c r="BC813" s="213"/>
      <c r="BD813" s="213"/>
      <c r="BE813" s="213"/>
      <c r="BF813" s="213"/>
      <c r="BG813" s="213"/>
      <c r="BH813" s="213"/>
      <c r="BI813" s="168"/>
      <c r="BJ813" s="168"/>
      <c r="BK813" s="168"/>
      <c r="BL813" s="168"/>
    </row>
    <row r="814" spans="1:64" s="213" customFormat="1" ht="18" customHeight="1" thickBot="1">
      <c r="A814" s="185"/>
      <c r="B814" s="182" t="s">
        <v>45</v>
      </c>
      <c r="C814" s="145" t="s">
        <v>443</v>
      </c>
      <c r="D814" s="145"/>
      <c r="E814" s="145"/>
      <c r="F814" s="145"/>
      <c r="G814" s="145"/>
      <c r="H814" s="145"/>
      <c r="I814" s="145"/>
      <c r="J814" s="145"/>
      <c r="K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  <c r="V814" s="145"/>
      <c r="W814" s="145"/>
      <c r="X814" s="168"/>
      <c r="Y814" s="168"/>
      <c r="Z814" s="168"/>
      <c r="AA814" s="168"/>
      <c r="AB814" s="168"/>
      <c r="AC814" s="168"/>
      <c r="AD814" s="168"/>
      <c r="AE814" s="168"/>
      <c r="AF814" s="168"/>
      <c r="AG814" s="168"/>
      <c r="AH814" s="168"/>
      <c r="AI814" s="168"/>
      <c r="AJ814" s="168"/>
      <c r="AK814" s="168"/>
      <c r="AL814" s="168"/>
      <c r="AM814" s="168"/>
      <c r="AN814" s="168"/>
      <c r="AX814" s="168"/>
      <c r="BI814" s="168"/>
      <c r="BJ814" s="168"/>
      <c r="BK814" s="168"/>
      <c r="BL814" s="168"/>
    </row>
    <row r="815" spans="1:64" s="213" customFormat="1" ht="18" customHeight="1" thickBot="1">
      <c r="A815" s="167"/>
      <c r="B815" s="184" t="s">
        <v>54</v>
      </c>
      <c r="C815" s="146" t="s">
        <v>443</v>
      </c>
      <c r="D815" s="146"/>
      <c r="E815" s="146"/>
      <c r="F815" s="146"/>
      <c r="G815" s="146"/>
      <c r="H815" s="146"/>
      <c r="I815" s="146"/>
      <c r="J815" s="146"/>
      <c r="K815" s="146"/>
      <c r="L815" s="146"/>
      <c r="M815" s="145"/>
      <c r="N815" s="145"/>
      <c r="O815" s="145"/>
      <c r="P815" s="145"/>
      <c r="Q815" s="145"/>
      <c r="R815" s="145"/>
      <c r="S815" s="145"/>
      <c r="T815" s="145"/>
      <c r="U815" s="145"/>
      <c r="V815" s="145"/>
      <c r="W815" s="145"/>
      <c r="X815" s="168"/>
      <c r="Y815" s="168"/>
      <c r="Z815" s="168"/>
      <c r="AA815" s="168"/>
      <c r="AB815" s="168"/>
      <c r="AC815" s="168"/>
      <c r="AD815" s="168"/>
      <c r="AE815" s="168"/>
      <c r="AF815" s="168"/>
      <c r="AG815" s="168"/>
      <c r="AH815" s="168"/>
      <c r="AI815" s="168"/>
      <c r="AJ815" s="168"/>
      <c r="AK815" s="168"/>
      <c r="AL815" s="168"/>
      <c r="AM815" s="168"/>
      <c r="AN815" s="168"/>
      <c r="AX815" s="168"/>
      <c r="BI815" s="168"/>
      <c r="BJ815" s="168"/>
      <c r="BK815" s="168"/>
      <c r="BL815" s="168"/>
    </row>
    <row r="816" spans="1:64" s="169" customFormat="1">
      <c r="A816" s="167"/>
      <c r="B816" s="182" t="s">
        <v>66</v>
      </c>
      <c r="C816" s="145"/>
      <c r="D816" s="145"/>
      <c r="E816" s="145"/>
      <c r="F816" s="145"/>
      <c r="G816" s="145"/>
      <c r="H816" s="125"/>
      <c r="I816" s="125"/>
      <c r="J816" s="125"/>
      <c r="K816" s="125"/>
      <c r="L816" s="125"/>
      <c r="M816" s="145"/>
      <c r="N816" s="145"/>
      <c r="O816" s="145"/>
      <c r="P816" s="145"/>
      <c r="Q816" s="145"/>
      <c r="R816" s="145"/>
      <c r="S816" s="145"/>
      <c r="T816" s="145"/>
      <c r="U816" s="145"/>
      <c r="V816" s="145"/>
      <c r="W816" s="145"/>
      <c r="X816" s="168"/>
      <c r="Y816" s="168"/>
      <c r="Z816" s="168"/>
      <c r="AA816" s="168"/>
      <c r="AB816" s="168"/>
      <c r="AC816" s="168"/>
      <c r="AD816" s="168"/>
      <c r="AE816" s="168"/>
      <c r="AF816" s="168"/>
      <c r="AG816" s="168"/>
      <c r="AH816" s="168"/>
      <c r="AI816" s="168"/>
      <c r="AJ816" s="168"/>
      <c r="AK816" s="168"/>
      <c r="AL816" s="168"/>
      <c r="AM816" s="168"/>
      <c r="AN816" s="168"/>
      <c r="AO816" s="213"/>
      <c r="AP816" s="213"/>
      <c r="AQ816" s="213"/>
      <c r="AR816" s="213"/>
      <c r="AS816" s="213"/>
      <c r="AT816" s="213"/>
      <c r="AU816" s="213"/>
      <c r="AV816" s="213"/>
      <c r="AW816" s="213"/>
      <c r="AX816" s="168"/>
      <c r="AY816" s="213"/>
      <c r="AZ816" s="213"/>
      <c r="BA816" s="213"/>
      <c r="BB816" s="213"/>
      <c r="BC816" s="213"/>
      <c r="BD816" s="213"/>
      <c r="BE816" s="213"/>
      <c r="BF816" s="213"/>
      <c r="BG816" s="213"/>
      <c r="BH816" s="213"/>
      <c r="BI816" s="168"/>
      <c r="BJ816" s="168"/>
      <c r="BK816" s="168"/>
      <c r="BL816" s="168"/>
    </row>
    <row r="817" spans="1:64" s="213" customFormat="1">
      <c r="A817" s="165"/>
      <c r="B817" s="182" t="s">
        <v>158</v>
      </c>
      <c r="C817" s="126" t="s">
        <v>443</v>
      </c>
      <c r="D817" s="126"/>
      <c r="E817" s="126"/>
      <c r="F817" s="126"/>
      <c r="G817" s="126"/>
      <c r="H817" s="126"/>
      <c r="I817" s="126"/>
      <c r="J817" s="126"/>
      <c r="K817" s="126"/>
      <c r="L817" s="126"/>
      <c r="M817" s="126"/>
      <c r="N817" s="126"/>
      <c r="O817" s="126"/>
      <c r="P817" s="126"/>
      <c r="Q817" s="126"/>
      <c r="R817" s="126"/>
      <c r="S817" s="126"/>
      <c r="T817" s="126"/>
      <c r="U817" s="126"/>
      <c r="V817" s="126"/>
      <c r="W817" s="126"/>
      <c r="X817" s="168"/>
      <c r="Y817" s="168"/>
      <c r="Z817" s="168"/>
      <c r="AA817" s="168"/>
      <c r="AB817" s="168"/>
      <c r="AC817" s="168"/>
      <c r="AD817" s="168"/>
      <c r="AE817" s="168"/>
      <c r="AF817" s="168"/>
      <c r="AG817" s="168"/>
      <c r="AH817" s="168"/>
      <c r="AI817" s="168"/>
      <c r="AJ817" s="168"/>
      <c r="AK817" s="168"/>
      <c r="AL817" s="168"/>
      <c r="AM817" s="168"/>
      <c r="AN817" s="168"/>
      <c r="AX817" s="168"/>
      <c r="BI817" s="168"/>
      <c r="BJ817" s="168"/>
      <c r="BK817" s="168"/>
      <c r="BL817" s="168"/>
    </row>
    <row r="818" spans="1:64" s="213" customFormat="1">
      <c r="A818" s="167"/>
      <c r="B818" s="182" t="s">
        <v>191</v>
      </c>
      <c r="C818" s="127">
        <v>69</v>
      </c>
      <c r="D818" s="127"/>
      <c r="E818" s="127"/>
      <c r="F818" s="127"/>
      <c r="G818" s="127"/>
      <c r="H818" s="126"/>
      <c r="I818" s="126"/>
      <c r="J818" s="126"/>
      <c r="K818" s="126"/>
      <c r="L818" s="126"/>
      <c r="M818" s="126"/>
      <c r="N818" s="126"/>
      <c r="O818" s="126"/>
      <c r="P818" s="126"/>
      <c r="Q818" s="126"/>
      <c r="R818" s="126"/>
      <c r="S818" s="126"/>
      <c r="T818" s="126"/>
      <c r="U818" s="126"/>
      <c r="V818" s="126"/>
      <c r="W818" s="126"/>
      <c r="X818" s="168"/>
      <c r="Y818" s="168"/>
      <c r="Z818" s="168"/>
      <c r="AA818" s="168"/>
      <c r="AB818" s="168"/>
      <c r="AC818" s="168"/>
      <c r="AD818" s="168"/>
      <c r="AE818" s="168"/>
      <c r="AF818" s="168"/>
      <c r="AG818" s="168"/>
      <c r="AH818" s="168"/>
      <c r="AI818" s="168"/>
      <c r="AJ818" s="168"/>
      <c r="AK818" s="168"/>
      <c r="AL818" s="168"/>
      <c r="AM818" s="168"/>
      <c r="AN818" s="168"/>
      <c r="AO818" s="214"/>
      <c r="AP818" s="214"/>
      <c r="AQ818" s="214"/>
      <c r="AR818" s="214"/>
      <c r="AS818" s="214"/>
      <c r="AX818" s="168"/>
      <c r="BI818" s="168"/>
      <c r="BJ818" s="168"/>
      <c r="BK818" s="168"/>
      <c r="BL818" s="168"/>
    </row>
    <row r="819" spans="1:64" s="213" customFormat="1" ht="15" thickBot="1">
      <c r="A819" s="167"/>
      <c r="B819" s="182" t="s">
        <v>442</v>
      </c>
      <c r="C819" s="126">
        <v>2</v>
      </c>
      <c r="D819" s="315"/>
      <c r="E819" s="315"/>
      <c r="F819" s="315"/>
      <c r="G819" s="315"/>
      <c r="H819" s="315"/>
      <c r="I819" s="315"/>
      <c r="J819" s="315"/>
      <c r="K819" s="315"/>
      <c r="L819" s="315"/>
      <c r="M819" s="126"/>
      <c r="N819" s="126"/>
      <c r="O819" s="126"/>
      <c r="P819" s="126"/>
      <c r="Q819" s="126"/>
      <c r="R819" s="126"/>
      <c r="S819" s="126"/>
      <c r="T819" s="126"/>
      <c r="U819" s="126"/>
      <c r="V819" s="126"/>
      <c r="W819" s="126"/>
      <c r="X819" s="168"/>
      <c r="Y819" s="168"/>
      <c r="Z819" s="168"/>
      <c r="AA819" s="168"/>
      <c r="AB819" s="168"/>
      <c r="AC819" s="168"/>
      <c r="AD819" s="168"/>
      <c r="AE819" s="168"/>
      <c r="AF819" s="168"/>
      <c r="AG819" s="168"/>
      <c r="AH819" s="168"/>
      <c r="AI819" s="168"/>
      <c r="AJ819" s="168"/>
      <c r="AK819" s="168"/>
      <c r="AL819" s="168"/>
      <c r="AM819" s="168"/>
      <c r="AN819" s="168"/>
      <c r="AX819" s="168"/>
      <c r="BI819" s="168"/>
      <c r="BJ819" s="168"/>
      <c r="BK819" s="168"/>
      <c r="BL819" s="168"/>
    </row>
    <row r="820" spans="1:64" s="213" customFormat="1">
      <c r="A820" s="167"/>
      <c r="B820" s="338" t="s">
        <v>166</v>
      </c>
      <c r="C820" s="316" t="str">
        <f>IF(OR(C823="**",C823=""),"",VALUE(C823))</f>
        <v/>
      </c>
      <c r="D820" s="316" t="str">
        <f t="shared" ref="D820:J820" si="80">IF(OR(D823="**",D823=""),"",VALUE(D823))</f>
        <v/>
      </c>
      <c r="E820" s="316" t="str">
        <f t="shared" si="80"/>
        <v/>
      </c>
      <c r="F820" s="316" t="str">
        <f t="shared" si="80"/>
        <v/>
      </c>
      <c r="G820" s="316" t="str">
        <f t="shared" si="80"/>
        <v/>
      </c>
      <c r="H820" s="316" t="str">
        <f t="shared" si="80"/>
        <v/>
      </c>
      <c r="I820" s="316" t="str">
        <f t="shared" si="80"/>
        <v/>
      </c>
      <c r="J820" s="316" t="str">
        <f t="shared" si="80"/>
        <v/>
      </c>
      <c r="K820" s="316"/>
      <c r="L820" s="316"/>
      <c r="M820" s="126"/>
      <c r="N820" s="126"/>
      <c r="O820" s="126"/>
      <c r="P820" s="126"/>
      <c r="Q820" s="126"/>
      <c r="R820" s="126"/>
      <c r="S820" s="126"/>
      <c r="T820" s="126"/>
      <c r="U820" s="126"/>
      <c r="V820" s="126"/>
      <c r="W820" s="126"/>
      <c r="X820" s="168"/>
      <c r="Y820" s="168"/>
      <c r="Z820" s="168"/>
      <c r="AA820" s="168"/>
      <c r="AB820" s="168"/>
      <c r="AC820" s="168"/>
      <c r="AD820" s="168"/>
      <c r="AE820" s="168"/>
      <c r="AF820" s="168"/>
      <c r="AG820" s="168"/>
      <c r="AH820" s="168"/>
      <c r="AI820" s="168"/>
      <c r="AJ820" s="168"/>
      <c r="AK820" s="168"/>
      <c r="AL820" s="168"/>
      <c r="AM820" s="168"/>
      <c r="AN820" s="168"/>
      <c r="AX820" s="168"/>
      <c r="BI820" s="168"/>
      <c r="BJ820" s="168"/>
      <c r="BK820" s="168"/>
      <c r="BL820" s="168"/>
    </row>
    <row r="821" spans="1:64" s="213" customFormat="1" ht="15" thickBot="1">
      <c r="A821" s="167"/>
      <c r="B821" s="339" t="s">
        <v>165</v>
      </c>
      <c r="C821" s="317" t="str">
        <f t="shared" ref="C821:J821" si="81">IF(OR(C817="**",C817=""),"",VALUE(C817))</f>
        <v/>
      </c>
      <c r="D821" s="317" t="str">
        <f t="shared" si="81"/>
        <v/>
      </c>
      <c r="E821" s="317" t="str">
        <f t="shared" si="81"/>
        <v/>
      </c>
      <c r="F821" s="317" t="str">
        <f t="shared" si="81"/>
        <v/>
      </c>
      <c r="G821" s="317" t="str">
        <f t="shared" si="81"/>
        <v/>
      </c>
      <c r="H821" s="317" t="str">
        <f t="shared" si="81"/>
        <v/>
      </c>
      <c r="I821" s="317" t="str">
        <f t="shared" si="81"/>
        <v/>
      </c>
      <c r="J821" s="317" t="str">
        <f t="shared" si="81"/>
        <v/>
      </c>
      <c r="K821" s="317"/>
      <c r="L821" s="317"/>
      <c r="M821" s="169"/>
      <c r="N821" s="169"/>
      <c r="O821" s="169"/>
      <c r="P821" s="169"/>
      <c r="Q821" s="169"/>
      <c r="R821" s="169"/>
      <c r="S821" s="169"/>
      <c r="T821" s="169"/>
      <c r="U821" s="169"/>
      <c r="V821" s="169"/>
      <c r="W821" s="169"/>
      <c r="X821" s="168"/>
      <c r="Y821" s="168"/>
      <c r="Z821" s="168"/>
      <c r="AA821" s="168"/>
      <c r="AB821" s="168"/>
      <c r="AC821" s="168"/>
      <c r="AD821" s="168"/>
      <c r="AE821" s="168"/>
      <c r="AF821" s="168"/>
      <c r="AG821" s="168"/>
      <c r="AH821" s="168"/>
      <c r="AI821" s="168"/>
      <c r="AJ821" s="168"/>
      <c r="AK821" s="168"/>
      <c r="AL821" s="168"/>
      <c r="AM821" s="168"/>
      <c r="AN821" s="168"/>
      <c r="AO821" s="169"/>
      <c r="AP821" s="169"/>
      <c r="AQ821" s="169"/>
      <c r="AR821" s="169"/>
      <c r="AS821" s="169"/>
      <c r="AT821" s="169"/>
      <c r="AU821" s="169"/>
      <c r="AV821" s="169"/>
      <c r="BI821" s="168"/>
      <c r="BJ821" s="168"/>
      <c r="BK821" s="168"/>
      <c r="BL821" s="168"/>
    </row>
    <row r="822" spans="1:64" s="213" customFormat="1">
      <c r="A822" s="167"/>
      <c r="B822" s="340" t="s">
        <v>483</v>
      </c>
      <c r="C822" s="167" t="s">
        <v>881</v>
      </c>
      <c r="D822" s="167"/>
      <c r="E822" s="167"/>
      <c r="F822" s="167"/>
      <c r="G822" s="167"/>
      <c r="H822" s="166"/>
      <c r="I822" s="166"/>
      <c r="J822" s="166"/>
      <c r="K822" s="166"/>
      <c r="L822" s="166"/>
      <c r="X822" s="169"/>
      <c r="Y822" s="169"/>
      <c r="Z822" s="170"/>
      <c r="AA822" s="170"/>
      <c r="AB822" s="170"/>
      <c r="AC822" s="170"/>
      <c r="AD822" s="170"/>
      <c r="AE822" s="168"/>
      <c r="AF822" s="168"/>
      <c r="AG822" s="168"/>
      <c r="AH822" s="168"/>
      <c r="AI822" s="168"/>
      <c r="AJ822" s="168"/>
      <c r="AK822" s="168"/>
      <c r="AL822" s="168"/>
      <c r="AM822" s="168"/>
      <c r="AN822" s="168"/>
      <c r="AO822" s="168"/>
      <c r="AP822" s="168"/>
      <c r="AQ822" s="168"/>
      <c r="AR822" s="168"/>
      <c r="AS822" s="168"/>
      <c r="AT822" s="168"/>
      <c r="AU822" s="168"/>
      <c r="AV822" s="168"/>
      <c r="AW822" s="168"/>
      <c r="AX822" s="168"/>
      <c r="AY822" s="168"/>
      <c r="AZ822" s="168"/>
      <c r="BA822" s="168"/>
      <c r="BB822" s="168"/>
      <c r="BC822" s="168"/>
      <c r="BD822" s="168"/>
      <c r="BE822" s="168"/>
      <c r="BF822" s="168"/>
    </row>
    <row r="823" spans="1:64" s="213" customFormat="1">
      <c r="A823" s="167"/>
      <c r="B823" s="182" t="s">
        <v>158</v>
      </c>
      <c r="C823" s="165" t="s">
        <v>443</v>
      </c>
      <c r="D823" s="165"/>
      <c r="E823" s="165"/>
      <c r="F823" s="165"/>
      <c r="G823" s="165"/>
      <c r="H823" s="166"/>
      <c r="I823" s="166"/>
      <c r="J823" s="166"/>
      <c r="K823" s="166"/>
      <c r="L823" s="166"/>
      <c r="X823" s="169"/>
      <c r="Y823" s="169"/>
      <c r="Z823" s="170"/>
      <c r="AA823" s="170"/>
      <c r="AB823" s="170"/>
      <c r="AC823" s="170"/>
      <c r="AD823" s="170"/>
      <c r="AE823" s="168"/>
      <c r="AF823" s="168"/>
      <c r="AG823" s="168"/>
      <c r="AH823" s="168"/>
      <c r="AI823" s="168"/>
      <c r="AJ823" s="168"/>
      <c r="AK823" s="168"/>
      <c r="AL823" s="168"/>
      <c r="AM823" s="168"/>
      <c r="AN823" s="168"/>
      <c r="AO823" s="168"/>
      <c r="AP823" s="168"/>
      <c r="AQ823" s="168"/>
      <c r="AR823" s="168"/>
      <c r="AS823" s="168"/>
      <c r="AT823" s="168"/>
      <c r="AU823" s="168"/>
      <c r="AV823" s="168"/>
      <c r="AW823" s="168"/>
      <c r="AX823" s="168"/>
      <c r="AY823" s="168"/>
      <c r="AZ823" s="168"/>
      <c r="BA823" s="168"/>
      <c r="BB823" s="168"/>
      <c r="BC823" s="168"/>
      <c r="BD823" s="168"/>
      <c r="BE823" s="168"/>
      <c r="BF823" s="168"/>
    </row>
    <row r="824" spans="1:64" s="213" customFormat="1">
      <c r="A824" s="167"/>
      <c r="B824" s="340" t="s">
        <v>442</v>
      </c>
      <c r="C824" s="165">
        <v>1</v>
      </c>
      <c r="D824" s="165"/>
      <c r="E824" s="165"/>
      <c r="F824" s="165"/>
      <c r="G824" s="165"/>
      <c r="H824" s="165"/>
      <c r="I824" s="165"/>
      <c r="J824" s="165"/>
      <c r="K824" s="165"/>
      <c r="L824" s="165"/>
      <c r="X824" s="169"/>
      <c r="Y824" s="169"/>
      <c r="Z824" s="170"/>
      <c r="AA824" s="170"/>
      <c r="AB824" s="170"/>
      <c r="AC824" s="170"/>
      <c r="AD824" s="170"/>
      <c r="AE824" s="168"/>
      <c r="AF824" s="168"/>
      <c r="AG824" s="168"/>
      <c r="AH824" s="168"/>
      <c r="AI824" s="168"/>
      <c r="AJ824" s="168"/>
      <c r="AK824" s="168"/>
      <c r="AL824" s="168"/>
      <c r="AM824" s="168"/>
      <c r="AN824" s="168"/>
      <c r="AO824" s="168"/>
      <c r="AP824" s="168"/>
      <c r="AQ824" s="168"/>
      <c r="AR824" s="168"/>
      <c r="AS824" s="168"/>
      <c r="AT824" s="168"/>
      <c r="AU824" s="168"/>
      <c r="AV824" s="168"/>
      <c r="AW824" s="168"/>
      <c r="AX824" s="168"/>
      <c r="AY824" s="168"/>
      <c r="AZ824" s="168"/>
      <c r="BA824" s="168"/>
      <c r="BB824" s="168"/>
      <c r="BC824" s="168"/>
      <c r="BD824" s="168"/>
      <c r="BE824" s="168"/>
      <c r="BF824" s="168"/>
    </row>
    <row r="825" spans="1:64" s="213" customFormat="1">
      <c r="A825" s="167"/>
      <c r="B825" s="167"/>
      <c r="C825" s="167"/>
      <c r="D825" s="167"/>
      <c r="E825" s="167"/>
      <c r="F825" s="167"/>
      <c r="G825" s="167"/>
      <c r="H825" s="167"/>
      <c r="I825" s="167"/>
      <c r="J825" s="167"/>
      <c r="K825" s="167"/>
      <c r="L825" s="167"/>
      <c r="X825" s="169"/>
      <c r="Y825" s="169"/>
      <c r="Z825" s="170"/>
      <c r="AA825" s="170"/>
      <c r="AB825" s="170"/>
      <c r="AC825" s="170"/>
      <c r="AD825" s="170"/>
      <c r="AE825" s="168"/>
      <c r="AF825" s="168"/>
      <c r="AG825" s="168"/>
      <c r="AH825" s="168"/>
      <c r="AI825" s="168"/>
      <c r="AJ825" s="168"/>
      <c r="AK825" s="168"/>
      <c r="AL825" s="168"/>
      <c r="AM825" s="168"/>
      <c r="AN825" s="168"/>
      <c r="AO825" s="168"/>
      <c r="AP825" s="168"/>
      <c r="AQ825" s="168"/>
      <c r="AR825" s="168"/>
      <c r="AS825" s="168"/>
      <c r="AT825" s="168"/>
      <c r="AU825" s="168"/>
      <c r="AV825" s="168"/>
      <c r="AW825" s="168"/>
      <c r="AX825" s="168"/>
      <c r="AY825" s="168"/>
      <c r="AZ825" s="168"/>
      <c r="BA825" s="168"/>
      <c r="BB825" s="168"/>
      <c r="BC825" s="168"/>
      <c r="BD825" s="168"/>
      <c r="BE825" s="168"/>
      <c r="BF825" s="168"/>
    </row>
    <row r="826" spans="1:64" s="213" customFormat="1">
      <c r="A826" s="167"/>
      <c r="B826" s="167"/>
      <c r="C826" s="167"/>
      <c r="D826" s="167"/>
      <c r="E826" s="167"/>
      <c r="F826" s="167"/>
      <c r="G826" s="167"/>
      <c r="H826" s="167"/>
      <c r="I826" s="167"/>
      <c r="J826" s="167"/>
      <c r="K826" s="167"/>
      <c r="L826" s="167"/>
      <c r="X826" s="169"/>
      <c r="Y826" s="169"/>
      <c r="Z826" s="170"/>
      <c r="AA826" s="170"/>
      <c r="AB826" s="170"/>
      <c r="AC826" s="170"/>
      <c r="AD826" s="170"/>
      <c r="AE826" s="168"/>
      <c r="AF826" s="168"/>
      <c r="AG826" s="168"/>
      <c r="AH826" s="168"/>
      <c r="AI826" s="168"/>
      <c r="AJ826" s="168"/>
      <c r="AK826" s="168"/>
      <c r="AL826" s="168"/>
      <c r="AM826" s="168"/>
      <c r="AN826" s="168"/>
      <c r="AO826" s="168"/>
      <c r="AP826" s="168"/>
      <c r="AQ826" s="168"/>
      <c r="AR826" s="168"/>
      <c r="AS826" s="168"/>
      <c r="AT826" s="168"/>
      <c r="AU826" s="168"/>
      <c r="AV826" s="168"/>
      <c r="AW826" s="168"/>
      <c r="AX826" s="168"/>
      <c r="AY826" s="168"/>
      <c r="AZ826" s="168"/>
      <c r="BA826" s="168"/>
      <c r="BB826" s="168"/>
      <c r="BC826" s="168"/>
      <c r="BD826" s="168"/>
      <c r="BE826" s="168"/>
      <c r="BF826" s="168"/>
    </row>
    <row r="827" spans="1:64" s="213" customFormat="1">
      <c r="A827" s="167"/>
      <c r="B827" s="167"/>
      <c r="C827" s="167"/>
      <c r="D827" s="167"/>
      <c r="E827" s="167"/>
      <c r="F827" s="167"/>
      <c r="G827" s="167"/>
      <c r="H827" s="167"/>
      <c r="I827" s="167"/>
      <c r="J827" s="167"/>
      <c r="K827" s="167"/>
      <c r="L827" s="167"/>
      <c r="X827" s="169"/>
      <c r="Y827" s="169"/>
      <c r="Z827" s="170"/>
      <c r="AA827" s="170"/>
      <c r="AB827" s="170"/>
      <c r="AC827" s="170"/>
      <c r="AD827" s="170"/>
      <c r="AE827" s="168"/>
      <c r="AF827" s="168"/>
      <c r="AG827" s="168"/>
      <c r="AH827" s="168"/>
      <c r="AI827" s="168"/>
      <c r="AJ827" s="168"/>
      <c r="AK827" s="168"/>
      <c r="AL827" s="168"/>
      <c r="AM827" s="168"/>
      <c r="AN827" s="168"/>
      <c r="AO827" s="168"/>
      <c r="AP827" s="168"/>
      <c r="AQ827" s="168"/>
      <c r="AR827" s="168"/>
      <c r="AS827" s="168"/>
      <c r="AT827" s="168"/>
      <c r="AU827" s="168"/>
      <c r="AV827" s="168"/>
      <c r="AW827" s="168"/>
      <c r="AX827" s="168"/>
      <c r="AY827" s="168"/>
      <c r="AZ827" s="168"/>
      <c r="BA827" s="168"/>
      <c r="BB827" s="168"/>
      <c r="BC827" s="168"/>
      <c r="BD827" s="168"/>
      <c r="BE827" s="168"/>
      <c r="BF827" s="168"/>
    </row>
    <row r="828" spans="1:64" s="213" customFormat="1" ht="14.25" customHeight="1">
      <c r="A828" s="167"/>
      <c r="B828" s="167"/>
      <c r="C828" s="167"/>
      <c r="D828" s="167"/>
      <c r="E828" s="167"/>
      <c r="F828" s="167"/>
      <c r="G828" s="167"/>
      <c r="H828" s="167"/>
      <c r="I828" s="167"/>
      <c r="J828" s="167"/>
      <c r="K828" s="167"/>
      <c r="L828" s="167"/>
      <c r="X828" s="169"/>
      <c r="Y828" s="169"/>
      <c r="Z828" s="170"/>
      <c r="AA828" s="170"/>
      <c r="AB828" s="170"/>
      <c r="AC828" s="170"/>
      <c r="AD828" s="170"/>
      <c r="AE828" s="168"/>
      <c r="AF828" s="168"/>
      <c r="AG828" s="168"/>
      <c r="AH828" s="168"/>
      <c r="AI828" s="168"/>
      <c r="AJ828" s="168"/>
      <c r="AK828" s="168"/>
      <c r="AL828" s="168"/>
      <c r="AM828" s="168"/>
      <c r="AN828" s="168"/>
      <c r="AO828" s="168"/>
      <c r="AP828" s="168"/>
      <c r="AQ828" s="168"/>
      <c r="AR828" s="168"/>
      <c r="AS828" s="168"/>
      <c r="AT828" s="168"/>
      <c r="AU828" s="168"/>
      <c r="AV828" s="168"/>
      <c r="AW828" s="168"/>
      <c r="AX828" s="168"/>
      <c r="AY828" s="168"/>
      <c r="AZ828" s="168"/>
      <c r="BA828" s="168"/>
      <c r="BB828" s="168"/>
      <c r="BC828" s="168"/>
      <c r="BD828" s="168"/>
      <c r="BE828" s="168"/>
      <c r="BF828" s="168"/>
    </row>
    <row r="829" spans="1:64" s="213" customFormat="1" ht="14.25" customHeight="1">
      <c r="A829" s="167" t="s">
        <v>183</v>
      </c>
      <c r="B829" s="167"/>
      <c r="C829" s="167"/>
      <c r="D829" s="167"/>
      <c r="E829" s="167"/>
      <c r="F829" s="167"/>
      <c r="G829" s="167"/>
      <c r="H829" s="167"/>
      <c r="I829" s="167"/>
      <c r="J829" s="167"/>
      <c r="K829" s="167"/>
      <c r="L829" s="167"/>
      <c r="X829" s="169"/>
      <c r="Y829" s="169"/>
      <c r="Z829" s="170"/>
      <c r="AA829" s="170"/>
      <c r="AB829" s="170"/>
      <c r="AC829" s="170"/>
      <c r="AD829" s="170"/>
      <c r="AE829" s="168"/>
      <c r="AF829" s="168"/>
      <c r="AG829" s="168"/>
      <c r="AH829" s="168"/>
      <c r="AI829" s="168"/>
      <c r="AJ829" s="168"/>
      <c r="AK829" s="168"/>
      <c r="AL829" s="168"/>
      <c r="AM829" s="168"/>
      <c r="AN829" s="168"/>
      <c r="AO829" s="168"/>
      <c r="AP829" s="168"/>
      <c r="AQ829" s="168"/>
      <c r="AR829" s="168"/>
      <c r="AS829" s="168"/>
      <c r="AT829" s="168"/>
      <c r="AU829" s="168"/>
      <c r="AV829" s="168"/>
      <c r="AW829" s="168"/>
      <c r="AX829" s="168"/>
      <c r="AY829" s="168"/>
      <c r="AZ829" s="168"/>
      <c r="BA829" s="168"/>
      <c r="BB829" s="168"/>
      <c r="BC829" s="168"/>
      <c r="BD829" s="168"/>
      <c r="BE829" s="168"/>
      <c r="BF829" s="168"/>
    </row>
    <row r="830" spans="1:64" s="213" customFormat="1" ht="14.25" customHeight="1">
      <c r="A830" s="167">
        <v>3</v>
      </c>
      <c r="B830" s="167"/>
      <c r="C830" s="167"/>
      <c r="D830" s="167"/>
      <c r="E830" s="167"/>
      <c r="F830" s="167"/>
      <c r="G830" s="167"/>
      <c r="H830" s="167"/>
      <c r="I830" s="167"/>
      <c r="J830" s="167"/>
      <c r="K830" s="167"/>
      <c r="L830" s="167"/>
      <c r="X830" s="169"/>
      <c r="Y830" s="169"/>
      <c r="Z830" s="170"/>
      <c r="AA830" s="170"/>
      <c r="AB830" s="170"/>
      <c r="AC830" s="170"/>
      <c r="AD830" s="170"/>
      <c r="AE830" s="168"/>
      <c r="AF830" s="168"/>
      <c r="AG830" s="168"/>
      <c r="AH830" s="168"/>
      <c r="AI830" s="168"/>
      <c r="AJ830" s="168"/>
      <c r="AK830" s="168"/>
      <c r="AL830" s="168"/>
      <c r="AM830" s="168"/>
      <c r="AN830" s="168"/>
      <c r="AO830" s="168"/>
      <c r="AP830" s="168"/>
      <c r="AQ830" s="168"/>
      <c r="AR830" s="168"/>
      <c r="AS830" s="168"/>
      <c r="AT830" s="168"/>
      <c r="AU830" s="168"/>
      <c r="AV830" s="168"/>
      <c r="AW830" s="168"/>
      <c r="AX830" s="168"/>
      <c r="AY830" s="168"/>
      <c r="AZ830" s="168"/>
      <c r="BA830" s="168"/>
      <c r="BB830" s="168"/>
      <c r="BC830" s="168"/>
      <c r="BD830" s="168"/>
      <c r="BE830" s="168"/>
      <c r="BF830" s="168"/>
    </row>
    <row r="831" spans="1:64" s="213" customFormat="1" ht="14.25" customHeight="1">
      <c r="A831" s="167"/>
      <c r="B831" s="167"/>
      <c r="C831" s="167"/>
      <c r="D831" s="167"/>
      <c r="E831" s="167"/>
      <c r="F831" s="167"/>
      <c r="G831" s="167"/>
      <c r="H831" s="167"/>
      <c r="I831" s="167"/>
      <c r="J831" s="167"/>
      <c r="K831" s="167"/>
      <c r="L831" s="167"/>
      <c r="X831" s="169"/>
      <c r="Y831" s="169"/>
      <c r="Z831" s="170"/>
      <c r="AA831" s="170"/>
      <c r="AB831" s="170"/>
      <c r="AC831" s="170"/>
      <c r="AD831" s="170"/>
      <c r="AE831" s="168"/>
      <c r="AF831" s="168"/>
      <c r="AG831" s="168"/>
      <c r="AH831" s="168"/>
      <c r="AI831" s="168"/>
      <c r="AJ831" s="168"/>
      <c r="AK831" s="168"/>
      <c r="AL831" s="168"/>
      <c r="AM831" s="168"/>
      <c r="AN831" s="168"/>
      <c r="AO831" s="168"/>
      <c r="AP831" s="168"/>
      <c r="AQ831" s="168"/>
      <c r="AR831" s="168"/>
      <c r="AS831" s="168"/>
      <c r="AT831" s="168"/>
      <c r="AU831" s="168"/>
      <c r="AV831" s="168"/>
      <c r="AW831" s="168"/>
      <c r="AX831" s="168"/>
      <c r="AY831" s="168"/>
      <c r="AZ831" s="168"/>
      <c r="BA831" s="168"/>
      <c r="BB831" s="168"/>
      <c r="BC831" s="168"/>
      <c r="BD831" s="168"/>
      <c r="BE831" s="168"/>
      <c r="BF831" s="168"/>
    </row>
    <row r="832" spans="1:64" s="213" customFormat="1" ht="14.25" customHeight="1">
      <c r="A832" s="167"/>
      <c r="B832" s="167"/>
      <c r="C832" s="167"/>
      <c r="D832" s="167"/>
      <c r="E832" s="167"/>
      <c r="F832" s="167"/>
      <c r="G832" s="167"/>
      <c r="H832" s="167"/>
      <c r="I832" s="167"/>
      <c r="J832" s="167"/>
      <c r="K832" s="167"/>
      <c r="L832" s="167"/>
      <c r="X832" s="169"/>
      <c r="Y832" s="169"/>
      <c r="Z832" s="170"/>
      <c r="AA832" s="170"/>
      <c r="AB832" s="170"/>
      <c r="AC832" s="170"/>
      <c r="AD832" s="170"/>
      <c r="AE832" s="168"/>
      <c r="AF832" s="168"/>
      <c r="AG832" s="168"/>
      <c r="AH832" s="168"/>
      <c r="AI832" s="168"/>
      <c r="AJ832" s="168"/>
      <c r="AK832" s="168"/>
      <c r="AL832" s="168"/>
      <c r="AM832" s="168"/>
      <c r="AN832" s="168"/>
      <c r="AO832" s="168"/>
      <c r="AP832" s="168"/>
      <c r="AQ832" s="168"/>
      <c r="AR832" s="168"/>
      <c r="AS832" s="168"/>
      <c r="AT832" s="168"/>
      <c r="AU832" s="168"/>
      <c r="AV832" s="168"/>
      <c r="AW832" s="168"/>
      <c r="AX832" s="168"/>
      <c r="AY832" s="168"/>
      <c r="AZ832" s="168"/>
      <c r="BA832" s="168"/>
      <c r="BB832" s="168"/>
      <c r="BC832" s="168"/>
      <c r="BD832" s="168"/>
      <c r="BE832" s="168"/>
      <c r="BF832" s="168"/>
    </row>
    <row r="833" spans="1:64" s="213" customFormat="1" ht="14.25" customHeight="1">
      <c r="A833" s="167"/>
      <c r="B833" s="167"/>
      <c r="C833" s="167"/>
      <c r="D833" s="167"/>
      <c r="E833" s="167"/>
      <c r="F833" s="167"/>
      <c r="G833" s="167"/>
      <c r="H833" s="167"/>
      <c r="I833" s="167"/>
      <c r="J833" s="167"/>
      <c r="K833" s="167"/>
      <c r="L833" s="167"/>
      <c r="X833" s="169"/>
      <c r="Y833" s="169"/>
      <c r="Z833" s="170"/>
      <c r="AA833" s="170"/>
      <c r="AB833" s="170"/>
      <c r="AC833" s="170"/>
      <c r="AD833" s="170"/>
      <c r="AE833" s="168"/>
      <c r="AF833" s="168"/>
      <c r="AG833" s="168"/>
      <c r="AH833" s="168"/>
      <c r="AI833" s="168"/>
      <c r="AJ833" s="168"/>
      <c r="AK833" s="168"/>
      <c r="AL833" s="168"/>
      <c r="AM833" s="168"/>
      <c r="AN833" s="168"/>
      <c r="AO833" s="168"/>
      <c r="AP833" s="168"/>
      <c r="AQ833" s="168"/>
      <c r="AR833" s="168"/>
      <c r="AS833" s="168"/>
      <c r="AT833" s="168"/>
      <c r="AU833" s="168"/>
      <c r="AV833" s="168"/>
      <c r="AW833" s="168"/>
      <c r="AX833" s="168"/>
      <c r="AY833" s="168"/>
      <c r="AZ833" s="168"/>
      <c r="BA833" s="168"/>
      <c r="BB833" s="168"/>
      <c r="BC833" s="168"/>
      <c r="BD833" s="168"/>
      <c r="BE833" s="168"/>
      <c r="BF833" s="168"/>
    </row>
    <row r="834" spans="1:64" s="215" customFormat="1" ht="14.25" customHeight="1">
      <c r="A834" s="167"/>
      <c r="B834" s="167"/>
      <c r="C834" s="167"/>
      <c r="D834" s="167"/>
      <c r="E834" s="167"/>
      <c r="F834" s="167"/>
      <c r="G834" s="167"/>
      <c r="H834" s="167"/>
      <c r="I834" s="167"/>
      <c r="J834" s="167"/>
      <c r="K834" s="167"/>
      <c r="L834" s="167"/>
      <c r="M834" s="213"/>
      <c r="N834" s="213"/>
      <c r="O834" s="213"/>
      <c r="P834" s="213"/>
      <c r="Q834" s="213"/>
      <c r="R834" s="213"/>
      <c r="S834" s="213"/>
      <c r="T834" s="213"/>
      <c r="U834" s="213"/>
      <c r="V834" s="213"/>
      <c r="W834" s="213"/>
      <c r="X834" s="173"/>
      <c r="Y834" s="173"/>
      <c r="Z834" s="173"/>
      <c r="AA834" s="173"/>
      <c r="AB834" s="173"/>
      <c r="AC834" s="173"/>
      <c r="AD834" s="173"/>
      <c r="AE834" s="173"/>
      <c r="AF834" s="173"/>
      <c r="AG834" s="173"/>
      <c r="AH834" s="173"/>
      <c r="AI834" s="173"/>
      <c r="AJ834" s="173"/>
      <c r="AK834" s="173"/>
      <c r="AL834" s="173"/>
      <c r="AM834" s="173"/>
      <c r="AN834" s="173"/>
      <c r="AO834" s="173"/>
      <c r="AP834" s="212"/>
      <c r="AQ834" s="212"/>
      <c r="AR834" s="212"/>
      <c r="AS834" s="212"/>
      <c r="AT834" s="212"/>
      <c r="AU834" s="212"/>
      <c r="AV834" s="212"/>
      <c r="AW834" s="212"/>
      <c r="AX834" s="212"/>
      <c r="AY834" s="212"/>
      <c r="AZ834" s="212"/>
      <c r="BA834" s="212"/>
      <c r="BB834" s="212"/>
      <c r="BC834" s="212"/>
      <c r="BD834" s="212"/>
      <c r="BE834" s="212"/>
      <c r="BF834" s="212"/>
    </row>
    <row r="835" spans="1:64" s="216" customFormat="1" ht="14.25" customHeight="1">
      <c r="A835" s="175"/>
      <c r="B835" s="17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215"/>
      <c r="N835" s="215"/>
      <c r="O835" s="215"/>
      <c r="P835" s="215"/>
      <c r="Q835" s="215"/>
      <c r="R835" s="215"/>
      <c r="S835" s="215"/>
      <c r="T835" s="215"/>
      <c r="U835" s="215"/>
      <c r="V835" s="215"/>
      <c r="W835" s="215"/>
      <c r="X835" s="208"/>
      <c r="Y835" s="208"/>
      <c r="Z835" s="208"/>
      <c r="AA835" s="208"/>
      <c r="AB835" s="208"/>
      <c r="AC835" s="209"/>
      <c r="AD835" s="209"/>
      <c r="AE835" s="210"/>
      <c r="AF835" s="210"/>
      <c r="AG835" s="210"/>
      <c r="AH835" s="210"/>
      <c r="AI835" s="210"/>
      <c r="AJ835" s="210"/>
      <c r="AK835" s="210"/>
      <c r="AL835" s="210"/>
      <c r="AM835" s="210"/>
      <c r="AN835" s="210"/>
      <c r="AO835" s="210"/>
      <c r="AP835" s="210"/>
      <c r="AQ835" s="210"/>
      <c r="AR835" s="210"/>
      <c r="AS835" s="210"/>
      <c r="AT835" s="210"/>
      <c r="AU835" s="210"/>
      <c r="AV835" s="210"/>
      <c r="AW835" s="210"/>
      <c r="AX835" s="210"/>
      <c r="AY835" s="210"/>
      <c r="AZ835" s="210"/>
      <c r="BA835" s="210"/>
      <c r="BB835" s="210"/>
      <c r="BC835" s="210"/>
      <c r="BD835" s="210"/>
      <c r="BE835" s="210"/>
      <c r="BF835" s="210"/>
    </row>
    <row r="836" spans="1:64" s="213" customFormat="1" ht="14.25" customHeight="1">
      <c r="A836" s="180"/>
      <c r="B836" s="180"/>
      <c r="C836" s="180"/>
      <c r="D836" s="180"/>
      <c r="E836" s="180"/>
      <c r="F836" s="179"/>
      <c r="G836" s="180"/>
      <c r="H836" s="180"/>
      <c r="I836" s="180"/>
      <c r="J836" s="180"/>
      <c r="K836" s="180"/>
      <c r="L836" s="180"/>
      <c r="M836" s="216"/>
      <c r="N836" s="216"/>
      <c r="O836" s="216"/>
      <c r="P836" s="216"/>
      <c r="Q836" s="216"/>
      <c r="R836" s="216"/>
      <c r="S836" s="216"/>
      <c r="T836" s="216"/>
      <c r="U836" s="216"/>
      <c r="V836" s="216"/>
      <c r="W836" s="216"/>
      <c r="X836" s="211"/>
      <c r="Y836" s="211"/>
      <c r="Z836" s="211"/>
      <c r="AA836" s="211"/>
      <c r="AB836" s="170"/>
      <c r="AC836" s="170"/>
      <c r="AD836" s="168"/>
      <c r="AE836" s="168"/>
      <c r="AF836" s="168"/>
      <c r="AG836" s="168"/>
      <c r="AH836" s="168"/>
      <c r="AI836" s="168"/>
      <c r="AJ836" s="168"/>
      <c r="AK836" s="168"/>
      <c r="AL836" s="168"/>
      <c r="AM836" s="168"/>
      <c r="AN836" s="168"/>
      <c r="AO836" s="168"/>
      <c r="AP836" s="168"/>
      <c r="AQ836" s="168"/>
      <c r="AR836" s="168"/>
      <c r="AS836" s="168"/>
      <c r="AT836" s="168"/>
      <c r="AU836" s="168"/>
      <c r="AV836" s="168"/>
      <c r="AW836" s="168"/>
      <c r="AX836" s="168"/>
      <c r="AY836" s="168"/>
      <c r="AZ836" s="168"/>
      <c r="BA836" s="168"/>
      <c r="BB836" s="168"/>
      <c r="BC836" s="168"/>
      <c r="BD836" s="168"/>
      <c r="BE836" s="168"/>
    </row>
    <row r="837" spans="1:64" s="213" customFormat="1" ht="14.25" customHeight="1">
      <c r="A837" s="167"/>
      <c r="B837" s="167"/>
      <c r="C837" s="167"/>
      <c r="D837" s="167"/>
      <c r="E837" s="143"/>
      <c r="F837" s="167"/>
      <c r="G837" s="167"/>
      <c r="H837" s="167"/>
      <c r="I837" s="167"/>
      <c r="J837" s="167"/>
      <c r="K837" s="167"/>
      <c r="L837" s="167"/>
      <c r="X837" s="145"/>
      <c r="Y837" s="145"/>
      <c r="Z837" s="170"/>
      <c r="AA837" s="170"/>
      <c r="AB837" s="168"/>
      <c r="AC837" s="168"/>
      <c r="AD837" s="168"/>
      <c r="AE837" s="168"/>
      <c r="AF837" s="168"/>
      <c r="AG837" s="168"/>
      <c r="AH837" s="168"/>
      <c r="AI837" s="168"/>
      <c r="AJ837" s="168"/>
      <c r="AK837" s="168"/>
      <c r="AL837" s="168"/>
      <c r="AM837" s="168"/>
      <c r="AN837" s="168"/>
      <c r="AO837" s="168"/>
      <c r="AP837" s="168"/>
      <c r="AQ837" s="168"/>
      <c r="AR837" s="168"/>
      <c r="AS837" s="168"/>
      <c r="AT837" s="168"/>
      <c r="AU837" s="168"/>
      <c r="AV837" s="168"/>
      <c r="AW837" s="168"/>
      <c r="AX837" s="168"/>
      <c r="AY837" s="168"/>
      <c r="AZ837" s="168"/>
      <c r="BA837" s="168"/>
      <c r="BB837" s="168"/>
      <c r="BC837" s="168"/>
    </row>
    <row r="838" spans="1:64" s="213" customFormat="1" ht="14.25" customHeight="1">
      <c r="A838" s="167"/>
      <c r="B838" s="167"/>
      <c r="C838" s="143"/>
      <c r="D838" s="167"/>
      <c r="E838" s="167"/>
      <c r="F838" s="167"/>
      <c r="G838" s="167"/>
      <c r="H838" s="167"/>
      <c r="I838" s="167"/>
      <c r="J838" s="167"/>
      <c r="K838" s="167"/>
      <c r="L838" s="167"/>
      <c r="X838" s="170"/>
      <c r="Y838" s="170"/>
      <c r="Z838" s="168"/>
      <c r="AA838" s="168"/>
      <c r="AB838" s="168"/>
      <c r="AC838" s="168"/>
      <c r="AD838" s="168"/>
      <c r="AE838" s="168"/>
      <c r="AF838" s="168"/>
      <c r="AG838" s="168"/>
      <c r="AH838" s="168"/>
      <c r="AI838" s="168"/>
      <c r="AJ838" s="168"/>
      <c r="AK838" s="168"/>
      <c r="AL838" s="168"/>
      <c r="AM838" s="168"/>
      <c r="AN838" s="168"/>
      <c r="AO838" s="168"/>
      <c r="AP838" s="168"/>
      <c r="AQ838" s="168"/>
      <c r="AR838" s="168"/>
      <c r="AS838" s="168"/>
      <c r="AT838" s="168"/>
      <c r="AU838" s="168"/>
      <c r="AV838" s="168"/>
      <c r="AW838" s="168"/>
      <c r="AX838" s="168"/>
      <c r="AY838" s="168"/>
      <c r="AZ838" s="168"/>
      <c r="BA838" s="168"/>
    </row>
    <row r="839" spans="1:64" s="213" customFormat="1" ht="14.25" customHeight="1">
      <c r="A839" s="143">
        <f>A809+1</f>
        <v>28</v>
      </c>
      <c r="B839" s="167"/>
      <c r="C839" s="187" t="str">
        <f>IF($A$1 = 1, (IF("("&amp;C849&amp;")" ="()","","("&amp;C849&amp;")")), (IF("("&amp;C854&amp;")     ("&amp;C849&amp;")"="()     ()","","("&amp;C854&amp;")     ("&amp;C849&amp;")")))</f>
        <v>(5)     (5)</v>
      </c>
      <c r="D839" s="187" t="str">
        <f t="shared" ref="D839:J839" si="82">IF($A$1 = 1, (IF("("&amp;D849&amp;")" ="()","","("&amp;D849&amp;")")), (IF("("&amp;D854&amp;")     ("&amp;D849&amp;")"="()     ()","","("&amp;D854&amp;")     ("&amp;D849&amp;")")))</f>
        <v>(5)     (3)</v>
      </c>
      <c r="E839" s="187" t="str">
        <f t="shared" si="82"/>
        <v>(0)     (1)</v>
      </c>
      <c r="F839" s="187" t="str">
        <f t="shared" si="82"/>
        <v/>
      </c>
      <c r="G839" s="187" t="str">
        <f t="shared" si="82"/>
        <v/>
      </c>
      <c r="H839" s="187" t="str">
        <f t="shared" si="82"/>
        <v/>
      </c>
      <c r="I839" s="187" t="str">
        <f t="shared" si="82"/>
        <v/>
      </c>
      <c r="J839" s="187" t="str">
        <f t="shared" si="82"/>
        <v/>
      </c>
      <c r="K839" s="166"/>
      <c r="L839" s="166"/>
      <c r="M839" s="170"/>
      <c r="N839" s="170"/>
      <c r="O839" s="170"/>
      <c r="P839" s="170"/>
      <c r="Q839" s="170"/>
      <c r="R839" s="170"/>
      <c r="S839" s="170"/>
      <c r="T839" s="170"/>
      <c r="U839" s="170"/>
      <c r="V839" s="170"/>
      <c r="W839" s="170"/>
      <c r="X839" s="168"/>
      <c r="Y839" s="168"/>
      <c r="Z839" s="168"/>
      <c r="AA839" s="168"/>
      <c r="AB839" s="168"/>
      <c r="AC839" s="168"/>
      <c r="AD839" s="168"/>
      <c r="AE839" s="168"/>
      <c r="AF839" s="168"/>
      <c r="AG839" s="168"/>
      <c r="AH839" s="168"/>
      <c r="AI839" s="168"/>
      <c r="AJ839" s="168"/>
      <c r="AK839" s="168"/>
      <c r="AL839" s="168"/>
      <c r="AM839" s="168"/>
      <c r="AN839" s="168"/>
      <c r="AO839" s="168"/>
      <c r="AP839" s="168"/>
      <c r="AQ839" s="168"/>
      <c r="AR839" s="168"/>
      <c r="AS839" s="168"/>
      <c r="AT839" s="168"/>
      <c r="AU839" s="168"/>
      <c r="AV839" s="168"/>
      <c r="AW839" s="168"/>
      <c r="AX839" s="168"/>
      <c r="AY839" s="168"/>
      <c r="BI839" s="168"/>
    </row>
    <row r="840" spans="1:64" s="213" customFormat="1" ht="59.1" customHeight="1">
      <c r="A840" s="167"/>
      <c r="B840" s="177"/>
      <c r="C840" s="178" t="s">
        <v>882</v>
      </c>
      <c r="D840" s="178" t="s">
        <v>883</v>
      </c>
      <c r="E840" s="178" t="s">
        <v>884</v>
      </c>
      <c r="F840" s="178"/>
      <c r="G840" s="178"/>
      <c r="H840" s="178"/>
      <c r="I840" s="178"/>
      <c r="J840" s="178"/>
      <c r="K840" s="178"/>
      <c r="L840" s="178"/>
      <c r="M840" s="208"/>
      <c r="N840" s="208"/>
      <c r="O840" s="208"/>
      <c r="P840" s="208"/>
      <c r="Q840" s="208"/>
      <c r="R840" s="208"/>
      <c r="S840" s="208"/>
      <c r="T840" s="208"/>
      <c r="U840" s="208"/>
      <c r="V840" s="208"/>
      <c r="W840" s="208"/>
      <c r="X840" s="210"/>
      <c r="Y840" s="210"/>
      <c r="Z840" s="210"/>
      <c r="AA840" s="210"/>
      <c r="AB840" s="210"/>
      <c r="AC840" s="210"/>
      <c r="AD840" s="210"/>
      <c r="AE840" s="210"/>
      <c r="AF840" s="210"/>
      <c r="AG840" s="210"/>
      <c r="AH840" s="210"/>
      <c r="AI840" s="210"/>
      <c r="AJ840" s="210"/>
      <c r="AK840" s="210"/>
      <c r="AL840" s="210"/>
      <c r="AM840" s="210"/>
      <c r="AN840" s="210"/>
      <c r="AO840" s="216"/>
      <c r="AP840" s="216"/>
      <c r="AQ840" s="216"/>
      <c r="AR840" s="216"/>
      <c r="AS840" s="216"/>
      <c r="AT840" s="216"/>
      <c r="AU840" s="216"/>
      <c r="AV840" s="216"/>
      <c r="AW840" s="216"/>
      <c r="AX840" s="210"/>
      <c r="AY840" s="216"/>
      <c r="AZ840" s="216"/>
      <c r="BA840" s="216"/>
      <c r="BB840" s="216"/>
      <c r="BC840" s="216"/>
      <c r="BD840" s="216"/>
      <c r="BE840" s="216"/>
      <c r="BF840" s="216"/>
      <c r="BG840" s="216"/>
      <c r="BH840" s="216"/>
      <c r="BI840" s="216"/>
      <c r="BJ840" s="210"/>
      <c r="BK840" s="210"/>
      <c r="BL840" s="210"/>
    </row>
    <row r="841" spans="1:64" s="213" customFormat="1" ht="18" customHeight="1" thickBot="1">
      <c r="A841" s="167"/>
      <c r="B841" s="181" t="s">
        <v>3</v>
      </c>
      <c r="C841" s="148" t="s">
        <v>443</v>
      </c>
      <c r="D841" s="148" t="s">
        <v>443</v>
      </c>
      <c r="E841" s="148" t="s">
        <v>443</v>
      </c>
      <c r="F841" s="148"/>
      <c r="G841" s="148"/>
      <c r="H841" s="148"/>
      <c r="I841" s="148"/>
      <c r="J841" s="148"/>
      <c r="K841" s="148"/>
      <c r="L841" s="148"/>
      <c r="M841" s="211"/>
      <c r="N841" s="211"/>
      <c r="O841" s="211"/>
      <c r="P841" s="211"/>
      <c r="Q841" s="211"/>
      <c r="R841" s="211"/>
      <c r="S841" s="211"/>
      <c r="T841" s="211"/>
      <c r="U841" s="211"/>
      <c r="V841" s="211"/>
      <c r="W841" s="211"/>
      <c r="X841" s="168"/>
      <c r="Y841" s="168"/>
      <c r="Z841" s="168"/>
      <c r="AA841" s="168"/>
      <c r="AB841" s="168"/>
      <c r="AC841" s="168"/>
      <c r="AD841" s="168"/>
      <c r="AE841" s="168"/>
      <c r="AF841" s="168"/>
      <c r="AG841" s="168"/>
      <c r="AH841" s="168"/>
      <c r="AI841" s="168"/>
      <c r="AJ841" s="168"/>
      <c r="AK841" s="168"/>
      <c r="AL841" s="168"/>
      <c r="AM841" s="168"/>
      <c r="AN841" s="168"/>
      <c r="AX841" s="168"/>
      <c r="BJ841" s="168"/>
      <c r="BK841" s="168"/>
      <c r="BL841" s="168"/>
    </row>
    <row r="842" spans="1:64" s="213" customFormat="1" ht="18" customHeight="1" thickBot="1">
      <c r="A842" s="167"/>
      <c r="B842" s="182" t="s">
        <v>18</v>
      </c>
      <c r="C842" s="148" t="s">
        <v>443</v>
      </c>
      <c r="D842" s="148" t="s">
        <v>443</v>
      </c>
      <c r="E842" s="148" t="s">
        <v>443</v>
      </c>
      <c r="F842" s="148"/>
      <c r="G842" s="148"/>
      <c r="H842" s="148"/>
      <c r="I842" s="148"/>
      <c r="J842" s="148"/>
      <c r="K842" s="148"/>
      <c r="L842" s="148"/>
      <c r="M842" s="145"/>
      <c r="N842" s="145"/>
      <c r="O842" s="145"/>
      <c r="P842" s="145"/>
      <c r="Q842" s="145"/>
      <c r="R842" s="145"/>
      <c r="S842" s="145"/>
      <c r="T842" s="145"/>
      <c r="U842" s="145"/>
      <c r="V842" s="145"/>
      <c r="W842" s="145"/>
      <c r="X842" s="168"/>
      <c r="Y842" s="168"/>
      <c r="Z842" s="168"/>
      <c r="AA842" s="168"/>
      <c r="AB842" s="168"/>
      <c r="AC842" s="168"/>
      <c r="AD842" s="168"/>
      <c r="AE842" s="168"/>
      <c r="AF842" s="168"/>
      <c r="AG842" s="168"/>
      <c r="AH842" s="168"/>
      <c r="AI842" s="168"/>
      <c r="AJ842" s="168"/>
      <c r="AK842" s="168"/>
      <c r="AL842" s="168"/>
      <c r="AM842" s="168"/>
      <c r="AN842" s="168"/>
      <c r="AX842" s="168"/>
      <c r="BJ842" s="168"/>
      <c r="BK842" s="168"/>
      <c r="BL842" s="168"/>
    </row>
    <row r="843" spans="1:64" s="213" customFormat="1" ht="18" customHeight="1" thickBot="1">
      <c r="A843" s="167"/>
      <c r="B843" s="183" t="s">
        <v>32</v>
      </c>
      <c r="C843" s="147" t="s">
        <v>443</v>
      </c>
      <c r="D843" s="147" t="s">
        <v>443</v>
      </c>
      <c r="E843" s="147" t="s">
        <v>443</v>
      </c>
      <c r="F843" s="147"/>
      <c r="G843" s="147"/>
      <c r="H843" s="147"/>
      <c r="I843" s="147"/>
      <c r="J843" s="147"/>
      <c r="K843" s="147"/>
      <c r="L843" s="147"/>
      <c r="M843" s="145"/>
      <c r="N843" s="145"/>
      <c r="O843" s="145"/>
      <c r="P843" s="145"/>
      <c r="Q843" s="145"/>
      <c r="R843" s="145"/>
      <c r="S843" s="145"/>
      <c r="T843" s="145"/>
      <c r="U843" s="145"/>
      <c r="V843" s="145"/>
      <c r="W843" s="145"/>
      <c r="X843" s="168"/>
      <c r="Y843" s="168"/>
      <c r="Z843" s="168"/>
      <c r="AA843" s="168"/>
      <c r="AB843" s="168"/>
      <c r="AC843" s="168"/>
      <c r="AD843" s="168"/>
      <c r="AE843" s="168"/>
      <c r="AF843" s="168"/>
      <c r="AG843" s="168"/>
      <c r="AH843" s="168"/>
      <c r="AI843" s="168"/>
      <c r="AJ843" s="168"/>
      <c r="AK843" s="168"/>
      <c r="AL843" s="168"/>
      <c r="AM843" s="168"/>
      <c r="AN843" s="168"/>
      <c r="AX843" s="168"/>
      <c r="BI843" s="168"/>
      <c r="BJ843" s="168"/>
      <c r="BK843" s="168"/>
      <c r="BL843" s="168"/>
    </row>
    <row r="844" spans="1:64" s="168" customFormat="1" ht="18" customHeight="1" thickBot="1">
      <c r="A844" s="167"/>
      <c r="B844" s="182" t="s">
        <v>45</v>
      </c>
      <c r="C844" s="145" t="s">
        <v>443</v>
      </c>
      <c r="D844" s="145" t="s">
        <v>443</v>
      </c>
      <c r="E844" s="145" t="s">
        <v>443</v>
      </c>
      <c r="F844" s="145"/>
      <c r="G844" s="145"/>
      <c r="H844" s="145"/>
      <c r="I844" s="145"/>
      <c r="J844" s="145"/>
      <c r="K844" s="145"/>
      <c r="L844" s="145"/>
      <c r="M844" s="145"/>
      <c r="N844" s="145"/>
      <c r="O844" s="145"/>
      <c r="P844" s="145"/>
      <c r="Q844" s="145"/>
      <c r="R844" s="145"/>
      <c r="S844" s="145"/>
      <c r="T844" s="145"/>
      <c r="U844" s="145"/>
      <c r="V844" s="145"/>
      <c r="W844" s="145"/>
      <c r="AO844" s="213"/>
      <c r="AP844" s="213"/>
      <c r="AQ844" s="213"/>
      <c r="AR844" s="213"/>
      <c r="AS844" s="213"/>
      <c r="AT844" s="213"/>
      <c r="AU844" s="213"/>
      <c r="AV844" s="213"/>
      <c r="AW844" s="213"/>
      <c r="AY844" s="213"/>
      <c r="AZ844" s="213"/>
      <c r="BA844" s="213"/>
      <c r="BB844" s="213"/>
      <c r="BC844" s="213"/>
      <c r="BD844" s="213"/>
      <c r="BE844" s="213"/>
      <c r="BF844" s="213"/>
      <c r="BG844" s="213"/>
      <c r="BH844" s="213"/>
    </row>
    <row r="845" spans="1:64" s="169" customFormat="1" ht="18" customHeight="1" thickBot="1">
      <c r="A845" s="182"/>
      <c r="B845" s="184" t="s">
        <v>54</v>
      </c>
      <c r="C845" s="146" t="s">
        <v>443</v>
      </c>
      <c r="D845" s="146" t="s">
        <v>443</v>
      </c>
      <c r="E845" s="146" t="s">
        <v>443</v>
      </c>
      <c r="F845" s="146"/>
      <c r="G845" s="146"/>
      <c r="H845" s="146"/>
      <c r="I845" s="146"/>
      <c r="J845" s="146"/>
      <c r="K845" s="146"/>
      <c r="L845" s="146"/>
      <c r="M845" s="145"/>
      <c r="N845" s="145"/>
      <c r="O845" s="145"/>
      <c r="P845" s="145"/>
      <c r="Q845" s="145"/>
      <c r="R845" s="145"/>
      <c r="S845" s="145"/>
      <c r="T845" s="145"/>
      <c r="U845" s="145"/>
      <c r="V845" s="145"/>
      <c r="W845" s="145"/>
      <c r="X845" s="168"/>
      <c r="Y845" s="168"/>
      <c r="Z845" s="168"/>
      <c r="AA845" s="168"/>
      <c r="AB845" s="168"/>
      <c r="AC845" s="168"/>
      <c r="AD845" s="168"/>
      <c r="AE845" s="168"/>
      <c r="AF845" s="168"/>
      <c r="AG845" s="168"/>
      <c r="AH845" s="168"/>
      <c r="AI845" s="168"/>
      <c r="AJ845" s="168"/>
      <c r="AK845" s="168"/>
      <c r="AL845" s="168"/>
      <c r="AM845" s="168"/>
      <c r="AN845" s="168"/>
      <c r="AO845" s="213"/>
      <c r="AP845" s="213"/>
      <c r="AQ845" s="213"/>
      <c r="AR845" s="213"/>
      <c r="AS845" s="213"/>
      <c r="AT845" s="213"/>
      <c r="AU845" s="213"/>
      <c r="AV845" s="213"/>
      <c r="AW845" s="213"/>
      <c r="AX845" s="168"/>
      <c r="AY845" s="213"/>
      <c r="AZ845" s="213"/>
      <c r="BA845" s="213"/>
      <c r="BB845" s="213"/>
      <c r="BC845" s="213"/>
      <c r="BD845" s="213"/>
      <c r="BE845" s="213"/>
      <c r="BF845" s="213"/>
      <c r="BG845" s="213"/>
      <c r="BH845" s="213"/>
      <c r="BI845" s="168"/>
      <c r="BJ845" s="168"/>
      <c r="BK845" s="168"/>
      <c r="BL845" s="168"/>
    </row>
    <row r="846" spans="1:64" s="213" customFormat="1">
      <c r="A846" s="165"/>
      <c r="B846" s="182" t="s">
        <v>66</v>
      </c>
      <c r="C846" s="145"/>
      <c r="D846" s="145"/>
      <c r="E846" s="145"/>
      <c r="F846" s="145"/>
      <c r="G846" s="145"/>
      <c r="H846" s="125"/>
      <c r="I846" s="125"/>
      <c r="J846" s="125"/>
      <c r="K846" s="125"/>
      <c r="L846" s="125"/>
      <c r="M846" s="145"/>
      <c r="N846" s="145"/>
      <c r="O846" s="145"/>
      <c r="P846" s="145"/>
      <c r="Q846" s="145"/>
      <c r="R846" s="145"/>
      <c r="S846" s="145"/>
      <c r="T846" s="145"/>
      <c r="U846" s="145"/>
      <c r="V846" s="145"/>
      <c r="W846" s="145"/>
      <c r="X846" s="168"/>
      <c r="Y846" s="168"/>
      <c r="Z846" s="168"/>
      <c r="AA846" s="168"/>
      <c r="AB846" s="168"/>
      <c r="AC846" s="168"/>
      <c r="AD846" s="168"/>
      <c r="AE846" s="168"/>
      <c r="AF846" s="168"/>
      <c r="AG846" s="168"/>
      <c r="AH846" s="168"/>
      <c r="AI846" s="168"/>
      <c r="AJ846" s="168"/>
      <c r="AK846" s="168"/>
      <c r="AL846" s="168"/>
      <c r="AM846" s="168"/>
      <c r="AN846" s="168"/>
      <c r="AX846" s="168"/>
      <c r="BI846" s="168"/>
      <c r="BJ846" s="168"/>
      <c r="BK846" s="168"/>
      <c r="BL846" s="168"/>
    </row>
    <row r="847" spans="1:64" s="169" customFormat="1">
      <c r="A847" s="167"/>
      <c r="B847" s="182" t="s">
        <v>158</v>
      </c>
      <c r="C847" s="126" t="s">
        <v>443</v>
      </c>
      <c r="D847" s="126" t="s">
        <v>443</v>
      </c>
      <c r="E847" s="126" t="s">
        <v>443</v>
      </c>
      <c r="F847" s="126"/>
      <c r="G847" s="126"/>
      <c r="H847" s="126"/>
      <c r="I847" s="126"/>
      <c r="J847" s="126"/>
      <c r="K847" s="126"/>
      <c r="L847" s="126"/>
      <c r="M847" s="126"/>
      <c r="N847" s="126"/>
      <c r="O847" s="126"/>
      <c r="P847" s="126"/>
      <c r="Q847" s="126"/>
      <c r="R847" s="126"/>
      <c r="S847" s="126"/>
      <c r="T847" s="126"/>
      <c r="U847" s="126"/>
      <c r="V847" s="126"/>
      <c r="W847" s="126"/>
      <c r="X847" s="168"/>
      <c r="Y847" s="168"/>
      <c r="Z847" s="168"/>
      <c r="AA847" s="168"/>
      <c r="AB847" s="168"/>
      <c r="AC847" s="168"/>
      <c r="AD847" s="168"/>
      <c r="AE847" s="168"/>
      <c r="AF847" s="168"/>
      <c r="AG847" s="168"/>
      <c r="AH847" s="168"/>
      <c r="AI847" s="168"/>
      <c r="AJ847" s="168"/>
      <c r="AK847" s="168"/>
      <c r="AL847" s="168"/>
      <c r="AM847" s="168"/>
      <c r="AN847" s="168"/>
      <c r="AO847" s="213"/>
      <c r="AP847" s="213"/>
      <c r="AQ847" s="213"/>
      <c r="AR847" s="213"/>
      <c r="AS847" s="213"/>
      <c r="AT847" s="213"/>
      <c r="AU847" s="213"/>
      <c r="AV847" s="213"/>
      <c r="AW847" s="213"/>
      <c r="AX847" s="168"/>
      <c r="AY847" s="213"/>
      <c r="AZ847" s="213"/>
      <c r="BA847" s="213"/>
      <c r="BB847" s="213"/>
      <c r="BC847" s="213"/>
      <c r="BD847" s="213"/>
      <c r="BE847" s="213"/>
      <c r="BF847" s="213"/>
      <c r="BG847" s="213"/>
      <c r="BH847" s="213"/>
      <c r="BI847" s="168"/>
      <c r="BJ847" s="168"/>
      <c r="BK847" s="168"/>
      <c r="BL847" s="168"/>
    </row>
    <row r="848" spans="1:64" s="170" customFormat="1">
      <c r="A848" s="166"/>
      <c r="B848" s="182" t="s">
        <v>191</v>
      </c>
      <c r="C848" s="127">
        <v>69</v>
      </c>
      <c r="D848" s="127">
        <v>69</v>
      </c>
      <c r="E848" s="127">
        <v>69</v>
      </c>
      <c r="F848" s="127"/>
      <c r="G848" s="127"/>
      <c r="H848" s="126"/>
      <c r="I848" s="126"/>
      <c r="J848" s="126"/>
      <c r="K848" s="126"/>
      <c r="L848" s="126"/>
      <c r="M848" s="126"/>
      <c r="N848" s="126"/>
      <c r="O848" s="126"/>
      <c r="P848" s="126"/>
      <c r="Q848" s="126"/>
      <c r="R848" s="126"/>
      <c r="S848" s="126"/>
      <c r="T848" s="126"/>
      <c r="U848" s="126"/>
      <c r="V848" s="126"/>
      <c r="W848" s="126"/>
      <c r="X848" s="168"/>
      <c r="Y848" s="168"/>
      <c r="Z848" s="168"/>
      <c r="AA848" s="168"/>
      <c r="AB848" s="168"/>
      <c r="AC848" s="168"/>
      <c r="AD848" s="168"/>
      <c r="AE848" s="168"/>
      <c r="AF848" s="168"/>
      <c r="AG848" s="168"/>
      <c r="AH848" s="168"/>
      <c r="AI848" s="168"/>
      <c r="AJ848" s="168"/>
      <c r="AK848" s="168"/>
      <c r="AL848" s="168"/>
      <c r="AM848" s="168"/>
      <c r="AN848" s="168"/>
      <c r="AO848" s="214"/>
      <c r="AP848" s="214"/>
      <c r="AQ848" s="214"/>
      <c r="AR848" s="214"/>
      <c r="AS848" s="214"/>
      <c r="AT848" s="213"/>
      <c r="AU848" s="213"/>
      <c r="AV848" s="213"/>
      <c r="AW848" s="213"/>
      <c r="AX848" s="168"/>
      <c r="AY848" s="213"/>
      <c r="AZ848" s="213"/>
      <c r="BA848" s="213"/>
      <c r="BB848" s="213"/>
      <c r="BC848" s="213"/>
      <c r="BD848" s="213"/>
      <c r="BE848" s="213"/>
      <c r="BF848" s="213"/>
      <c r="BG848" s="213"/>
      <c r="BH848" s="213"/>
      <c r="BI848" s="168"/>
      <c r="BJ848" s="168"/>
      <c r="BK848" s="168"/>
      <c r="BL848" s="168"/>
    </row>
    <row r="849" spans="1:64" s="170" customFormat="1" ht="15" thickBot="1">
      <c r="A849" s="166"/>
      <c r="B849" s="182" t="s">
        <v>442</v>
      </c>
      <c r="C849" s="126">
        <v>5</v>
      </c>
      <c r="D849" s="315">
        <v>3</v>
      </c>
      <c r="E849" s="315">
        <v>1</v>
      </c>
      <c r="F849" s="315"/>
      <c r="G849" s="315"/>
      <c r="H849" s="315"/>
      <c r="I849" s="315"/>
      <c r="J849" s="315"/>
      <c r="K849" s="315"/>
      <c r="L849" s="315"/>
      <c r="M849" s="126"/>
      <c r="N849" s="126"/>
      <c r="O849" s="126"/>
      <c r="P849" s="126"/>
      <c r="Q849" s="126"/>
      <c r="R849" s="126"/>
      <c r="S849" s="126"/>
      <c r="T849" s="126"/>
      <c r="U849" s="126"/>
      <c r="V849" s="126"/>
      <c r="W849" s="126"/>
      <c r="X849" s="168"/>
      <c r="Y849" s="168"/>
      <c r="Z849" s="168"/>
      <c r="AA849" s="168"/>
      <c r="AB849" s="168"/>
      <c r="AC849" s="168"/>
      <c r="AD849" s="168"/>
      <c r="AE849" s="168"/>
      <c r="AF849" s="168"/>
      <c r="AG849" s="168"/>
      <c r="AH849" s="168"/>
      <c r="AI849" s="168"/>
      <c r="AJ849" s="168"/>
      <c r="AK849" s="168"/>
      <c r="AL849" s="168"/>
      <c r="AM849" s="168"/>
      <c r="AN849" s="168"/>
      <c r="AO849" s="213"/>
      <c r="AP849" s="213"/>
      <c r="AQ849" s="213"/>
      <c r="AR849" s="213"/>
      <c r="AS849" s="213"/>
      <c r="AT849" s="213"/>
      <c r="AU849" s="213"/>
      <c r="AV849" s="213"/>
      <c r="AW849" s="213"/>
      <c r="AX849" s="168"/>
      <c r="AY849" s="213"/>
      <c r="AZ849" s="213"/>
      <c r="BA849" s="213"/>
      <c r="BB849" s="213"/>
      <c r="BC849" s="213"/>
      <c r="BD849" s="213"/>
      <c r="BE849" s="213"/>
      <c r="BF849" s="213"/>
      <c r="BG849" s="213"/>
      <c r="BH849" s="213"/>
      <c r="BI849" s="168"/>
      <c r="BJ849" s="168"/>
      <c r="BK849" s="168"/>
      <c r="BL849" s="168"/>
    </row>
    <row r="850" spans="1:64" s="168" customFormat="1">
      <c r="A850" s="166"/>
      <c r="B850" s="338" t="s">
        <v>166</v>
      </c>
      <c r="C850" s="316" t="str">
        <f>IF(OR(C853="**",C853=""),"",VALUE(C853))</f>
        <v/>
      </c>
      <c r="D850" s="316" t="str">
        <f t="shared" ref="D850:J850" si="83">IF(OR(D853="**",D853=""),"",VALUE(D853))</f>
        <v/>
      </c>
      <c r="E850" s="316" t="str">
        <f t="shared" si="83"/>
        <v/>
      </c>
      <c r="F850" s="316" t="str">
        <f t="shared" si="83"/>
        <v/>
      </c>
      <c r="G850" s="316" t="str">
        <f t="shared" si="83"/>
        <v/>
      </c>
      <c r="H850" s="316" t="str">
        <f t="shared" si="83"/>
        <v/>
      </c>
      <c r="I850" s="316" t="str">
        <f t="shared" si="83"/>
        <v/>
      </c>
      <c r="J850" s="316" t="str">
        <f t="shared" si="83"/>
        <v/>
      </c>
      <c r="K850" s="316"/>
      <c r="L850" s="316"/>
      <c r="M850" s="126"/>
      <c r="N850" s="126"/>
      <c r="O850" s="126"/>
      <c r="P850" s="126"/>
      <c r="Q850" s="126"/>
      <c r="R850" s="126"/>
      <c r="S850" s="126"/>
      <c r="T850" s="126"/>
      <c r="U850" s="126"/>
      <c r="V850" s="126"/>
      <c r="W850" s="126"/>
      <c r="AO850" s="213"/>
      <c r="AP850" s="213"/>
      <c r="AQ850" s="213"/>
      <c r="AR850" s="213"/>
      <c r="AS850" s="213"/>
      <c r="AT850" s="213"/>
      <c r="AU850" s="213"/>
      <c r="AV850" s="213"/>
      <c r="AW850" s="213"/>
      <c r="AY850" s="213"/>
      <c r="AZ850" s="213"/>
      <c r="BA850" s="213"/>
      <c r="BB850" s="213"/>
      <c r="BC850" s="213"/>
      <c r="BD850" s="213"/>
      <c r="BE850" s="213"/>
      <c r="BF850" s="213"/>
      <c r="BG850" s="213"/>
      <c r="BH850" s="213"/>
    </row>
    <row r="851" spans="1:64" s="168" customFormat="1" ht="15" thickBot="1">
      <c r="A851" s="143"/>
      <c r="B851" s="339" t="s">
        <v>165</v>
      </c>
      <c r="C851" s="317" t="str">
        <f t="shared" ref="C851:J851" si="84">IF(OR(C847="**",C847=""),"",VALUE(C847))</f>
        <v/>
      </c>
      <c r="D851" s="317" t="str">
        <f t="shared" si="84"/>
        <v/>
      </c>
      <c r="E851" s="317" t="str">
        <f t="shared" si="84"/>
        <v/>
      </c>
      <c r="F851" s="317" t="str">
        <f t="shared" si="84"/>
        <v/>
      </c>
      <c r="G851" s="317" t="str">
        <f t="shared" si="84"/>
        <v/>
      </c>
      <c r="H851" s="317" t="str">
        <f t="shared" si="84"/>
        <v/>
      </c>
      <c r="I851" s="317" t="str">
        <f t="shared" si="84"/>
        <v/>
      </c>
      <c r="J851" s="317" t="str">
        <f t="shared" si="84"/>
        <v/>
      </c>
      <c r="K851" s="317"/>
      <c r="L851" s="317"/>
      <c r="M851" s="169"/>
      <c r="N851" s="169"/>
      <c r="O851" s="169"/>
      <c r="P851" s="169"/>
      <c r="Q851" s="169"/>
      <c r="R851" s="169"/>
      <c r="S851" s="169"/>
      <c r="T851" s="169"/>
      <c r="U851" s="169"/>
      <c r="V851" s="169"/>
      <c r="W851" s="169"/>
      <c r="AO851" s="169"/>
      <c r="AP851" s="169"/>
      <c r="AQ851" s="169"/>
      <c r="AR851" s="169"/>
      <c r="AS851" s="169"/>
      <c r="AT851" s="169"/>
      <c r="AU851" s="169"/>
      <c r="AV851" s="169"/>
      <c r="AW851" s="213"/>
      <c r="AX851" s="213"/>
      <c r="AY851" s="213"/>
      <c r="AZ851" s="213"/>
      <c r="BA851" s="213"/>
      <c r="BB851" s="213"/>
      <c r="BC851" s="213"/>
      <c r="BD851" s="213"/>
      <c r="BE851" s="213"/>
      <c r="BF851" s="213"/>
      <c r="BG851" s="213"/>
      <c r="BH851" s="213"/>
    </row>
    <row r="852" spans="1:64" s="168" customFormat="1">
      <c r="A852" s="143"/>
      <c r="B852" s="340" t="s">
        <v>483</v>
      </c>
      <c r="C852" s="167" t="s">
        <v>882</v>
      </c>
      <c r="D852" s="167" t="s">
        <v>936</v>
      </c>
      <c r="E852" s="167" t="s">
        <v>884</v>
      </c>
      <c r="F852" s="167"/>
      <c r="G852" s="167"/>
      <c r="H852" s="166"/>
      <c r="I852" s="166"/>
      <c r="J852" s="166"/>
      <c r="K852" s="166"/>
      <c r="L852" s="166"/>
      <c r="AA852" s="213"/>
      <c r="AB852" s="213"/>
      <c r="AC852" s="213"/>
      <c r="AD852" s="213"/>
      <c r="AE852" s="213"/>
      <c r="AF852" s="213"/>
      <c r="AG852" s="213"/>
      <c r="AH852" s="213"/>
      <c r="AI852" s="213"/>
      <c r="AJ852" s="213"/>
      <c r="AK852" s="213"/>
      <c r="AL852" s="213"/>
      <c r="AM852" s="213"/>
      <c r="AN852" s="213"/>
      <c r="AO852" s="213"/>
      <c r="AP852" s="213"/>
      <c r="AQ852" s="213"/>
      <c r="AR852" s="213"/>
      <c r="AS852" s="213"/>
      <c r="AT852" s="213"/>
      <c r="AU852" s="213"/>
      <c r="AW852" s="203"/>
      <c r="AX852" s="204"/>
      <c r="AY852" s="169"/>
      <c r="AZ852" s="169"/>
      <c r="BA852" s="169"/>
      <c r="BB852" s="169"/>
      <c r="BC852" s="169"/>
      <c r="BD852" s="170"/>
      <c r="BE852" s="170"/>
      <c r="BF852" s="170"/>
      <c r="BG852" s="170"/>
      <c r="BH852" s="170"/>
    </row>
    <row r="853" spans="1:64" s="168" customFormat="1">
      <c r="A853" s="143"/>
      <c r="B853" s="182" t="s">
        <v>158</v>
      </c>
      <c r="C853" s="165" t="s">
        <v>443</v>
      </c>
      <c r="D853" s="165" t="s">
        <v>443</v>
      </c>
      <c r="E853" s="165" t="s">
        <v>443</v>
      </c>
      <c r="F853" s="165"/>
      <c r="G853" s="165"/>
      <c r="H853" s="166"/>
      <c r="I853" s="166"/>
      <c r="J853" s="166"/>
      <c r="K853" s="166"/>
      <c r="L853" s="166"/>
      <c r="AA853" s="213"/>
      <c r="AB853" s="213"/>
      <c r="AC853" s="213"/>
      <c r="AD853" s="213"/>
      <c r="AE853" s="213"/>
      <c r="AF853" s="213"/>
      <c r="AG853" s="213"/>
      <c r="AH853" s="213"/>
      <c r="AI853" s="213"/>
      <c r="AJ853" s="213"/>
      <c r="AK853" s="213"/>
      <c r="AL853" s="213"/>
      <c r="AM853" s="213"/>
      <c r="AN853" s="213"/>
      <c r="AO853" s="213"/>
      <c r="AP853" s="213"/>
      <c r="AQ853" s="213"/>
      <c r="AR853" s="213"/>
      <c r="AS853" s="213"/>
      <c r="AT853" s="213"/>
      <c r="AU853" s="213"/>
      <c r="AW853" s="203"/>
      <c r="AX853" s="204"/>
      <c r="AY853" s="169"/>
      <c r="AZ853" s="169"/>
      <c r="BA853" s="169"/>
      <c r="BB853" s="169"/>
      <c r="BC853" s="169"/>
      <c r="BD853" s="170"/>
      <c r="BE853" s="170"/>
      <c r="BF853" s="170"/>
      <c r="BG853" s="170"/>
      <c r="BH853" s="170"/>
    </row>
    <row r="854" spans="1:64" s="168" customFormat="1">
      <c r="A854" s="143"/>
      <c r="B854" s="340" t="s">
        <v>442</v>
      </c>
      <c r="C854" s="165">
        <v>5</v>
      </c>
      <c r="D854" s="165">
        <v>5</v>
      </c>
      <c r="E854" s="165">
        <v>0</v>
      </c>
      <c r="F854" s="165"/>
      <c r="G854" s="165"/>
      <c r="H854" s="165"/>
      <c r="I854" s="165"/>
      <c r="J854" s="165"/>
      <c r="K854" s="165"/>
      <c r="L854" s="165"/>
      <c r="AA854" s="213"/>
      <c r="AB854" s="213"/>
      <c r="AC854" s="213"/>
      <c r="AD854" s="213"/>
      <c r="AE854" s="213"/>
      <c r="AF854" s="213"/>
      <c r="AG854" s="213"/>
      <c r="AH854" s="213"/>
      <c r="AI854" s="213"/>
      <c r="AJ854" s="213"/>
      <c r="AK854" s="213"/>
      <c r="AL854" s="213"/>
      <c r="AM854" s="213"/>
      <c r="AN854" s="213"/>
      <c r="AO854" s="213"/>
      <c r="AP854" s="213"/>
      <c r="AQ854" s="213"/>
      <c r="AR854" s="213"/>
      <c r="AS854" s="213"/>
      <c r="AT854" s="213"/>
      <c r="AU854" s="213"/>
      <c r="AW854" s="203"/>
      <c r="AX854" s="204"/>
      <c r="AY854" s="169"/>
      <c r="AZ854" s="169"/>
      <c r="BA854" s="169"/>
      <c r="BB854" s="169"/>
      <c r="BC854" s="169"/>
      <c r="BD854" s="170"/>
      <c r="BE854" s="170"/>
      <c r="BF854" s="170"/>
      <c r="BG854" s="170"/>
      <c r="BH854" s="170"/>
    </row>
    <row r="855" spans="1:64" s="168" customFormat="1">
      <c r="A855" s="143"/>
      <c r="B855" s="143"/>
      <c r="C855" s="143"/>
      <c r="D855" s="143"/>
      <c r="E855" s="143"/>
      <c r="F855" s="143"/>
      <c r="G855" s="143"/>
      <c r="H855" s="143"/>
      <c r="I855" s="143"/>
      <c r="J855" s="143"/>
      <c r="K855" s="143"/>
      <c r="L855" s="143"/>
      <c r="AA855" s="213"/>
      <c r="AB855" s="213"/>
      <c r="AC855" s="213"/>
      <c r="AD855" s="213"/>
      <c r="AE855" s="213"/>
      <c r="AF855" s="213"/>
      <c r="AG855" s="213"/>
      <c r="AH855" s="213"/>
      <c r="AI855" s="213"/>
      <c r="AJ855" s="213"/>
      <c r="AK855" s="213"/>
      <c r="AL855" s="213"/>
      <c r="AM855" s="213"/>
      <c r="AN855" s="213"/>
      <c r="AO855" s="213"/>
      <c r="AP855" s="213"/>
      <c r="AQ855" s="213"/>
      <c r="AR855" s="213"/>
      <c r="AS855" s="213"/>
      <c r="AT855" s="213"/>
      <c r="AU855" s="213"/>
      <c r="AW855" s="203"/>
      <c r="AX855" s="204"/>
      <c r="AY855" s="169"/>
      <c r="AZ855" s="169"/>
      <c r="BA855" s="169"/>
      <c r="BB855" s="169"/>
      <c r="BC855" s="169"/>
      <c r="BD855" s="170"/>
      <c r="BE855" s="170"/>
      <c r="BF855" s="170"/>
      <c r="BG855" s="170"/>
      <c r="BH855" s="170"/>
    </row>
    <row r="856" spans="1:64" s="168" customFormat="1">
      <c r="A856" s="143"/>
      <c r="B856" s="143"/>
      <c r="C856" s="143"/>
      <c r="D856" s="143"/>
      <c r="E856" s="143"/>
      <c r="F856" s="143"/>
      <c r="G856" s="143"/>
      <c r="H856" s="143"/>
      <c r="I856" s="143"/>
      <c r="J856" s="143"/>
      <c r="K856" s="143"/>
      <c r="L856" s="143"/>
      <c r="AA856" s="213"/>
      <c r="AB856" s="213"/>
      <c r="AC856" s="213"/>
      <c r="AD856" s="213"/>
      <c r="AE856" s="213"/>
      <c r="AF856" s="213"/>
      <c r="AG856" s="213"/>
      <c r="AH856" s="213"/>
      <c r="AI856" s="213"/>
      <c r="AJ856" s="213"/>
      <c r="AK856" s="213"/>
      <c r="AL856" s="213"/>
      <c r="AM856" s="213"/>
      <c r="AN856" s="213"/>
      <c r="AO856" s="213"/>
      <c r="AP856" s="213"/>
      <c r="AQ856" s="213"/>
      <c r="AR856" s="213"/>
      <c r="AS856" s="213"/>
      <c r="AT856" s="213"/>
      <c r="AU856" s="213"/>
      <c r="AW856" s="203"/>
      <c r="AX856" s="204"/>
      <c r="AY856" s="169"/>
      <c r="AZ856" s="169"/>
      <c r="BA856" s="169"/>
      <c r="BB856" s="169"/>
      <c r="BC856" s="169"/>
      <c r="BD856" s="170"/>
      <c r="BE856" s="170"/>
      <c r="BF856" s="170"/>
      <c r="BG856" s="170"/>
      <c r="BH856" s="170"/>
    </row>
    <row r="857" spans="1:64" s="168" customFormat="1">
      <c r="A857" s="143"/>
      <c r="B857" s="143"/>
      <c r="C857" s="143"/>
      <c r="D857" s="143"/>
      <c r="E857" s="143"/>
      <c r="F857" s="143"/>
      <c r="G857" s="143"/>
      <c r="H857" s="143"/>
      <c r="I857" s="143"/>
      <c r="J857" s="143"/>
      <c r="K857" s="143"/>
      <c r="L857" s="143"/>
      <c r="AA857" s="213"/>
      <c r="AB857" s="213"/>
      <c r="AC857" s="213"/>
      <c r="AD857" s="213"/>
      <c r="AE857" s="213"/>
      <c r="AF857" s="213"/>
      <c r="AG857" s="213"/>
      <c r="AH857" s="213"/>
      <c r="AI857" s="213"/>
      <c r="AJ857" s="213"/>
      <c r="AK857" s="213"/>
      <c r="AL857" s="213"/>
      <c r="AM857" s="213"/>
      <c r="AN857" s="213"/>
      <c r="AO857" s="213"/>
      <c r="AP857" s="213"/>
      <c r="AQ857" s="213"/>
      <c r="AR857" s="213"/>
      <c r="AS857" s="213"/>
      <c r="AT857" s="213"/>
      <c r="AU857" s="213"/>
      <c r="AW857" s="203"/>
      <c r="AX857" s="204"/>
      <c r="AY857" s="169"/>
      <c r="AZ857" s="169"/>
      <c r="BA857" s="169"/>
      <c r="BB857" s="169"/>
      <c r="BC857" s="169"/>
      <c r="BD857" s="170"/>
      <c r="BE857" s="170"/>
      <c r="BF857" s="170"/>
      <c r="BG857" s="170"/>
      <c r="BH857" s="170"/>
    </row>
    <row r="858" spans="1:64" s="168" customFormat="1" ht="14.25" customHeight="1">
      <c r="A858" s="143"/>
      <c r="B858" s="143"/>
      <c r="C858" s="143"/>
      <c r="D858" s="143"/>
      <c r="E858" s="143"/>
      <c r="F858" s="143"/>
      <c r="G858" s="143"/>
      <c r="H858" s="143"/>
      <c r="I858" s="143"/>
      <c r="J858" s="143"/>
      <c r="K858" s="143"/>
      <c r="L858" s="143"/>
      <c r="AA858" s="213"/>
      <c r="AB858" s="213"/>
      <c r="AC858" s="213"/>
      <c r="AD858" s="213"/>
      <c r="AE858" s="213"/>
      <c r="AF858" s="213"/>
      <c r="AG858" s="213"/>
      <c r="AH858" s="213"/>
      <c r="AI858" s="213"/>
      <c r="AJ858" s="213"/>
      <c r="AK858" s="213"/>
      <c r="AL858" s="213"/>
      <c r="AM858" s="213"/>
      <c r="AN858" s="213"/>
      <c r="AO858" s="213"/>
      <c r="AP858" s="213"/>
      <c r="AQ858" s="213"/>
      <c r="AR858" s="213"/>
      <c r="AS858" s="213"/>
      <c r="AT858" s="213"/>
      <c r="AU858" s="213"/>
      <c r="AW858" s="203"/>
      <c r="AX858" s="204"/>
      <c r="AY858" s="169"/>
      <c r="AZ858" s="169"/>
      <c r="BA858" s="169"/>
      <c r="BB858" s="169"/>
      <c r="BC858" s="169"/>
      <c r="BD858" s="170"/>
      <c r="BE858" s="170"/>
      <c r="BF858" s="170"/>
      <c r="BG858" s="170"/>
      <c r="BH858" s="170"/>
    </row>
    <row r="859" spans="1:64" s="168" customFormat="1" ht="14.25" customHeight="1">
      <c r="A859" s="143" t="s">
        <v>183</v>
      </c>
      <c r="B859" s="143"/>
      <c r="C859" s="143"/>
      <c r="D859" s="143"/>
      <c r="E859" s="143"/>
      <c r="F859" s="143"/>
      <c r="G859" s="143"/>
      <c r="H859" s="143"/>
      <c r="I859" s="143"/>
      <c r="J859" s="143"/>
      <c r="K859" s="143"/>
      <c r="L859" s="143"/>
      <c r="AA859" s="213"/>
      <c r="AB859" s="213"/>
      <c r="AC859" s="213"/>
      <c r="AD859" s="213"/>
      <c r="AE859" s="213"/>
      <c r="AF859" s="213"/>
      <c r="AG859" s="213"/>
      <c r="AH859" s="213"/>
      <c r="AI859" s="213"/>
      <c r="AJ859" s="213"/>
      <c r="AK859" s="213"/>
      <c r="AL859" s="213"/>
      <c r="AM859" s="213"/>
      <c r="AN859" s="213"/>
      <c r="AO859" s="213"/>
      <c r="AP859" s="213"/>
      <c r="AQ859" s="213"/>
      <c r="AR859" s="213"/>
      <c r="AS859" s="213"/>
      <c r="AT859" s="213"/>
      <c r="AU859" s="213"/>
      <c r="AW859" s="203"/>
      <c r="AX859" s="204"/>
      <c r="AY859" s="169"/>
      <c r="AZ859" s="169"/>
      <c r="BA859" s="169"/>
      <c r="BB859" s="169"/>
      <c r="BC859" s="169"/>
      <c r="BD859" s="170"/>
      <c r="BE859" s="170"/>
      <c r="BF859" s="170"/>
      <c r="BG859" s="170"/>
      <c r="BH859" s="170"/>
    </row>
    <row r="860" spans="1:64" s="168" customFormat="1" ht="14.25" customHeight="1">
      <c r="A860" s="143">
        <v>2</v>
      </c>
      <c r="B860" s="143"/>
      <c r="C860" s="143"/>
      <c r="D860" s="143"/>
      <c r="E860" s="143"/>
      <c r="F860" s="143"/>
      <c r="G860" s="143"/>
      <c r="H860" s="143"/>
      <c r="I860" s="143"/>
      <c r="J860" s="143"/>
      <c r="K860" s="143"/>
      <c r="L860" s="143"/>
      <c r="AA860" s="213"/>
      <c r="AB860" s="213"/>
      <c r="AC860" s="213"/>
      <c r="AD860" s="213"/>
      <c r="AE860" s="213"/>
      <c r="AF860" s="213"/>
      <c r="AG860" s="213"/>
      <c r="AH860" s="213"/>
      <c r="AI860" s="213"/>
      <c r="AJ860" s="213"/>
      <c r="AK860" s="213"/>
      <c r="AL860" s="213"/>
      <c r="AM860" s="213"/>
      <c r="AN860" s="213"/>
      <c r="AO860" s="213"/>
      <c r="AP860" s="213"/>
      <c r="AQ860" s="213"/>
      <c r="AR860" s="213"/>
      <c r="AS860" s="213"/>
      <c r="AT860" s="213"/>
      <c r="AU860" s="213"/>
      <c r="AW860" s="203"/>
      <c r="AX860" s="204"/>
      <c r="AY860" s="169"/>
      <c r="AZ860" s="169"/>
      <c r="BA860" s="169"/>
      <c r="BB860" s="169"/>
      <c r="BC860" s="169"/>
      <c r="BD860" s="170"/>
      <c r="BE860" s="170"/>
      <c r="BF860" s="170"/>
      <c r="BG860" s="170"/>
      <c r="BH860" s="170"/>
    </row>
    <row r="861" spans="1:64" s="168" customFormat="1" ht="14.25" customHeight="1">
      <c r="A861" s="143"/>
      <c r="B861" s="143"/>
      <c r="C861" s="143"/>
      <c r="D861" s="143"/>
      <c r="E861" s="143"/>
      <c r="F861" s="143"/>
      <c r="G861" s="143"/>
      <c r="H861" s="143"/>
      <c r="I861" s="143"/>
      <c r="J861" s="143"/>
      <c r="K861" s="143"/>
      <c r="L861" s="143"/>
      <c r="AA861" s="213"/>
      <c r="AB861" s="213"/>
      <c r="AC861" s="213"/>
      <c r="AD861" s="213"/>
      <c r="AE861" s="213"/>
      <c r="AF861" s="213"/>
      <c r="AG861" s="213"/>
      <c r="AH861" s="213"/>
      <c r="AI861" s="213"/>
      <c r="AJ861" s="213"/>
      <c r="AK861" s="213"/>
      <c r="AL861" s="213"/>
      <c r="AM861" s="213"/>
      <c r="AN861" s="213"/>
      <c r="AO861" s="213"/>
      <c r="AP861" s="213"/>
      <c r="AQ861" s="213"/>
      <c r="AR861" s="213"/>
      <c r="AS861" s="213"/>
      <c r="AT861" s="213"/>
      <c r="AU861" s="213"/>
      <c r="AW861" s="203"/>
      <c r="AX861" s="204"/>
      <c r="AY861" s="169"/>
      <c r="AZ861" s="169"/>
      <c r="BA861" s="169"/>
      <c r="BB861" s="169"/>
      <c r="BC861" s="169"/>
      <c r="BD861" s="170"/>
      <c r="BE861" s="170"/>
      <c r="BF861" s="170"/>
      <c r="BG861" s="170"/>
      <c r="BH861" s="170"/>
    </row>
    <row r="862" spans="1:64" s="168" customFormat="1" ht="14.25" customHeight="1">
      <c r="A862" s="143"/>
      <c r="B862" s="143"/>
      <c r="C862" s="143"/>
      <c r="D862" s="143"/>
      <c r="E862" s="143"/>
      <c r="F862" s="143"/>
      <c r="G862" s="143"/>
      <c r="H862" s="143"/>
      <c r="I862" s="143"/>
      <c r="J862" s="143"/>
      <c r="K862" s="143"/>
      <c r="L862" s="143"/>
      <c r="AA862" s="213"/>
      <c r="AB862" s="213"/>
      <c r="AC862" s="213"/>
      <c r="AD862" s="213"/>
      <c r="AE862" s="213"/>
      <c r="AF862" s="213"/>
      <c r="AG862" s="213"/>
      <c r="AH862" s="213"/>
      <c r="AI862" s="213"/>
      <c r="AJ862" s="213"/>
      <c r="AK862" s="213"/>
      <c r="AL862" s="213"/>
      <c r="AM862" s="213"/>
      <c r="AN862" s="213"/>
      <c r="AO862" s="213"/>
      <c r="AP862" s="213"/>
      <c r="AQ862" s="213"/>
      <c r="AR862" s="213"/>
      <c r="AS862" s="213"/>
      <c r="AT862" s="213"/>
      <c r="AU862" s="213"/>
      <c r="AW862" s="203"/>
      <c r="AX862" s="204"/>
      <c r="AY862" s="169"/>
      <c r="AZ862" s="169"/>
      <c r="BA862" s="169"/>
      <c r="BB862" s="169"/>
      <c r="BC862" s="169"/>
      <c r="BD862" s="170"/>
      <c r="BE862" s="170"/>
      <c r="BF862" s="170"/>
      <c r="BG862" s="170"/>
      <c r="BH862" s="170"/>
    </row>
    <row r="863" spans="1:64" s="173" customFormat="1" ht="14.25" customHeight="1">
      <c r="A863" s="143"/>
      <c r="B863" s="143"/>
      <c r="C863" s="143"/>
      <c r="D863" s="143"/>
      <c r="E863" s="143"/>
      <c r="F863" s="143"/>
      <c r="G863" s="143"/>
      <c r="H863" s="143"/>
      <c r="I863" s="143"/>
      <c r="J863" s="143"/>
      <c r="K863" s="143"/>
      <c r="L863" s="143"/>
      <c r="M863" s="168"/>
      <c r="N863" s="168"/>
      <c r="O863" s="168"/>
      <c r="P863" s="168"/>
      <c r="Q863" s="168"/>
      <c r="R863" s="168"/>
      <c r="S863" s="168"/>
      <c r="T863" s="168"/>
      <c r="U863" s="168"/>
      <c r="V863" s="168"/>
      <c r="W863" s="168"/>
      <c r="X863" s="168"/>
      <c r="Y863" s="168"/>
      <c r="Z863" s="168"/>
      <c r="AA863" s="213"/>
      <c r="AB863" s="213"/>
      <c r="AC863" s="213"/>
      <c r="AD863" s="213"/>
      <c r="AE863" s="213"/>
      <c r="AF863" s="213"/>
      <c r="AG863" s="213"/>
      <c r="AH863" s="213"/>
      <c r="AI863" s="213"/>
      <c r="AJ863" s="213"/>
      <c r="AK863" s="213"/>
      <c r="AL863" s="213"/>
      <c r="AM863" s="213"/>
      <c r="AN863" s="213"/>
      <c r="AO863" s="213"/>
      <c r="AP863" s="213"/>
      <c r="AQ863" s="213"/>
      <c r="AR863" s="213"/>
      <c r="AS863" s="213"/>
      <c r="AT863" s="213"/>
      <c r="AU863" s="213"/>
      <c r="AV863" s="168"/>
      <c r="AW863" s="205"/>
      <c r="AX863" s="204"/>
    </row>
    <row r="864" spans="1:64" s="210" customFormat="1" ht="14.25" customHeight="1">
      <c r="A864" s="173"/>
      <c r="B864" s="173"/>
      <c r="C864" s="173"/>
      <c r="D864" s="173"/>
      <c r="E864" s="173"/>
      <c r="F864" s="173"/>
      <c r="G864" s="173"/>
      <c r="H864" s="173"/>
      <c r="I864" s="173"/>
      <c r="J864" s="173"/>
      <c r="K864" s="173"/>
      <c r="L864" s="173"/>
      <c r="M864" s="173"/>
      <c r="N864" s="173"/>
      <c r="O864" s="173"/>
      <c r="P864" s="173"/>
      <c r="Q864" s="173"/>
      <c r="R864" s="173"/>
      <c r="S864" s="173"/>
      <c r="T864" s="173"/>
      <c r="U864" s="173"/>
      <c r="V864" s="173"/>
      <c r="W864" s="173"/>
      <c r="X864" s="212"/>
      <c r="Y864" s="212"/>
      <c r="Z864" s="212"/>
      <c r="AA864" s="215"/>
      <c r="AB864" s="215"/>
      <c r="AC864" s="215"/>
      <c r="AD864" s="215"/>
      <c r="AE864" s="215"/>
      <c r="AF864" s="215"/>
      <c r="AG864" s="215"/>
      <c r="AH864" s="215"/>
      <c r="AI864" s="215"/>
      <c r="AJ864" s="215"/>
      <c r="AK864" s="215"/>
      <c r="AL864" s="215"/>
      <c r="AM864" s="215"/>
      <c r="AN864" s="215"/>
      <c r="AO864" s="215"/>
      <c r="AP864" s="215"/>
      <c r="AQ864" s="215"/>
      <c r="AR864" s="215"/>
      <c r="AS864" s="215"/>
      <c r="AT864" s="215"/>
      <c r="AU864" s="215"/>
      <c r="AV864" s="212"/>
      <c r="AW864" s="206"/>
      <c r="AX864" s="207"/>
      <c r="AY864" s="208"/>
      <c r="AZ864" s="208"/>
      <c r="BA864" s="208"/>
      <c r="BB864" s="208"/>
      <c r="BC864" s="208"/>
      <c r="BD864" s="208"/>
      <c r="BE864" s="208"/>
      <c r="BF864" s="208"/>
      <c r="BG864" s="209"/>
      <c r="BH864" s="209"/>
    </row>
    <row r="865" spans="1:64" s="168" customFormat="1" ht="14.25" customHeight="1">
      <c r="A865" s="179"/>
      <c r="B865" s="179"/>
      <c r="C865" s="179"/>
      <c r="D865" s="179"/>
      <c r="E865" s="179"/>
      <c r="F865" s="179"/>
      <c r="G865" s="179"/>
      <c r="H865" s="179"/>
      <c r="I865" s="179"/>
      <c r="J865" s="179"/>
      <c r="K865" s="179"/>
      <c r="L865" s="179"/>
      <c r="M865" s="210"/>
      <c r="N865" s="210"/>
      <c r="O865" s="210"/>
      <c r="P865" s="210"/>
      <c r="Q865" s="210"/>
      <c r="R865" s="210"/>
      <c r="S865" s="210"/>
      <c r="T865" s="210"/>
      <c r="U865" s="210"/>
      <c r="V865" s="210"/>
      <c r="W865" s="210"/>
      <c r="X865" s="210"/>
      <c r="Y865" s="210"/>
      <c r="Z865" s="210"/>
      <c r="AA865" s="216"/>
      <c r="AB865" s="216"/>
      <c r="AC865" s="216"/>
      <c r="AD865" s="216"/>
      <c r="AE865" s="216"/>
      <c r="AF865" s="216"/>
      <c r="AG865" s="216"/>
      <c r="AH865" s="216"/>
      <c r="AI865" s="216"/>
      <c r="AJ865" s="210"/>
      <c r="AK865" s="216"/>
      <c r="AL865" s="216"/>
      <c r="AM865" s="216"/>
      <c r="AN865" s="216"/>
      <c r="AO865" s="216"/>
      <c r="AP865" s="216"/>
      <c r="AQ865" s="216"/>
      <c r="AR865" s="216"/>
      <c r="AS865" s="216"/>
      <c r="AT865" s="216"/>
      <c r="AU865" s="216"/>
      <c r="AV865" s="210"/>
      <c r="AW865" s="203"/>
      <c r="AX865" s="182"/>
      <c r="AY865" s="145"/>
      <c r="AZ865" s="211"/>
      <c r="BA865" s="211"/>
      <c r="BB865" s="211"/>
      <c r="BC865" s="211"/>
      <c r="BD865" s="211"/>
      <c r="BE865" s="211"/>
      <c r="BF865" s="211"/>
      <c r="BG865" s="170"/>
      <c r="BH865" s="170"/>
    </row>
    <row r="866" spans="1:64" s="168" customFormat="1" ht="14.25" customHeight="1">
      <c r="A866" s="143"/>
      <c r="B866" s="143"/>
      <c r="C866" s="143"/>
      <c r="D866" s="143"/>
      <c r="E866" s="143"/>
      <c r="F866" s="143"/>
      <c r="G866" s="143"/>
      <c r="H866" s="143"/>
      <c r="I866" s="143"/>
      <c r="J866" s="143"/>
      <c r="K866" s="143"/>
      <c r="L866" s="143"/>
      <c r="AA866" s="213"/>
      <c r="AB866" s="213"/>
      <c r="AC866" s="213"/>
      <c r="AD866" s="213"/>
      <c r="AE866" s="213"/>
      <c r="AF866" s="213"/>
      <c r="AG866" s="213"/>
      <c r="AH866" s="213"/>
      <c r="AI866" s="213"/>
      <c r="AK866" s="213"/>
      <c r="AL866" s="213"/>
      <c r="AM866" s="213"/>
      <c r="AN866" s="213"/>
      <c r="AO866" s="213"/>
      <c r="AP866" s="213"/>
      <c r="AQ866" s="213"/>
      <c r="AR866" s="213"/>
      <c r="AS866" s="213"/>
      <c r="AT866" s="213"/>
      <c r="AU866" s="213"/>
      <c r="AW866" s="203"/>
      <c r="AX866" s="182"/>
      <c r="AY866" s="145"/>
      <c r="AZ866" s="145"/>
      <c r="BA866" s="145"/>
      <c r="BB866" s="145"/>
      <c r="BC866" s="145"/>
      <c r="BD866" s="145"/>
      <c r="BE866" s="145"/>
      <c r="BF866" s="145"/>
      <c r="BG866" s="170"/>
      <c r="BH866" s="170"/>
    </row>
    <row r="867" spans="1:64" s="168" customFormat="1" ht="14.25" customHeight="1">
      <c r="A867" s="143"/>
      <c r="B867" s="143"/>
      <c r="C867" s="143"/>
      <c r="D867" s="143"/>
      <c r="E867" s="143"/>
      <c r="F867" s="143"/>
      <c r="G867" s="143"/>
      <c r="H867" s="143"/>
      <c r="I867" s="143"/>
      <c r="J867" s="143"/>
      <c r="K867" s="143"/>
      <c r="L867" s="143"/>
      <c r="AA867" s="213"/>
      <c r="AB867" s="213"/>
      <c r="AC867" s="213"/>
      <c r="AD867" s="213"/>
      <c r="AE867" s="213"/>
      <c r="AF867" s="213"/>
      <c r="AG867" s="213"/>
      <c r="AH867" s="213"/>
      <c r="AI867" s="213"/>
      <c r="AK867" s="213"/>
      <c r="AL867" s="213"/>
      <c r="AM867" s="213"/>
      <c r="AN867" s="213"/>
      <c r="AO867" s="213"/>
      <c r="AP867" s="213"/>
      <c r="AQ867" s="213"/>
      <c r="AR867" s="213"/>
      <c r="AS867" s="213"/>
      <c r="AT867" s="213"/>
      <c r="AU867" s="213"/>
      <c r="AW867" s="182"/>
      <c r="AX867" s="145"/>
      <c r="AY867" s="145"/>
      <c r="AZ867" s="145"/>
      <c r="BA867" s="145"/>
      <c r="BB867" s="145"/>
      <c r="BC867" s="145"/>
      <c r="BD867" s="145"/>
      <c r="BE867" s="145"/>
      <c r="BF867" s="170"/>
      <c r="BG867" s="170"/>
    </row>
    <row r="868" spans="1:64" s="168" customFormat="1" ht="14.25" customHeight="1">
      <c r="A868" s="143"/>
      <c r="B868" s="143"/>
      <c r="C868" s="143"/>
      <c r="D868" s="143"/>
      <c r="E868" s="143"/>
      <c r="F868" s="143"/>
      <c r="G868" s="143"/>
      <c r="H868" s="143"/>
      <c r="I868" s="143"/>
      <c r="J868" s="143"/>
      <c r="K868" s="143"/>
      <c r="L868" s="143"/>
      <c r="Z868" s="213"/>
      <c r="AA868" s="213"/>
      <c r="AB868" s="213"/>
      <c r="AC868" s="213"/>
      <c r="AD868" s="213"/>
      <c r="AE868" s="213"/>
      <c r="AF868" s="213"/>
      <c r="AG868" s="213"/>
      <c r="AH868" s="213"/>
      <c r="AJ868" s="213"/>
      <c r="AK868" s="213"/>
      <c r="AL868" s="213"/>
      <c r="AM868" s="213"/>
      <c r="AN868" s="213"/>
      <c r="AO868" s="213"/>
      <c r="AP868" s="213"/>
      <c r="AQ868" s="213"/>
      <c r="AR868" s="213"/>
      <c r="AS868" s="213"/>
      <c r="AU868" s="182"/>
      <c r="AV868" s="145"/>
      <c r="AW868" s="145"/>
      <c r="AX868" s="145"/>
      <c r="AY868" s="145"/>
      <c r="AZ868" s="145"/>
      <c r="BA868" s="145"/>
      <c r="BB868" s="145"/>
      <c r="BC868" s="145"/>
      <c r="BD868" s="170"/>
      <c r="BE868" s="170"/>
    </row>
    <row r="869" spans="1:64" s="168" customFormat="1" ht="14.25" customHeight="1">
      <c r="A869" s="143">
        <f>A839+1</f>
        <v>29</v>
      </c>
      <c r="B869" s="143"/>
      <c r="C869" s="187" t="str">
        <f>IF($A$1 = 1, (IF("("&amp;C879&amp;")" ="()","","("&amp;C879&amp;")")), (IF("("&amp;C884&amp;")     ("&amp;C879&amp;")"="()     ()","","("&amp;C884&amp;")     ("&amp;C879&amp;")")))</f>
        <v>(2)     (2)</v>
      </c>
      <c r="D869" s="187" t="str">
        <f t="shared" ref="D869:J869" si="85">IF($A$1 = 1, (IF("("&amp;D879&amp;")" ="()","","("&amp;D879&amp;")")), (IF("("&amp;D884&amp;")     ("&amp;D879&amp;")"="()     ()","","("&amp;D884&amp;")     ("&amp;D879&amp;")")))</f>
        <v>(4)     (4)</v>
      </c>
      <c r="E869" s="187" t="str">
        <f t="shared" si="85"/>
        <v/>
      </c>
      <c r="F869" s="187" t="str">
        <f t="shared" si="85"/>
        <v/>
      </c>
      <c r="G869" s="187" t="str">
        <f t="shared" si="85"/>
        <v/>
      </c>
      <c r="H869" s="187" t="str">
        <f t="shared" si="85"/>
        <v/>
      </c>
      <c r="I869" s="187" t="str">
        <f t="shared" si="85"/>
        <v/>
      </c>
      <c r="J869" s="187" t="str">
        <f t="shared" si="85"/>
        <v/>
      </c>
      <c r="K869" s="166"/>
      <c r="L869" s="166"/>
      <c r="M869" s="170"/>
      <c r="N869" s="170"/>
      <c r="O869" s="170"/>
      <c r="P869" s="170"/>
      <c r="Q869" s="170"/>
      <c r="R869" s="170"/>
      <c r="S869" s="170"/>
      <c r="T869" s="170"/>
      <c r="U869" s="170"/>
      <c r="V869" s="170"/>
      <c r="W869" s="170"/>
      <c r="X869" s="213"/>
      <c r="Y869" s="213"/>
      <c r="Z869" s="213"/>
      <c r="AA869" s="213"/>
      <c r="AB869" s="213"/>
      <c r="AC869" s="213"/>
      <c r="AD869" s="213"/>
      <c r="AE869" s="213"/>
      <c r="AF869" s="213"/>
      <c r="AH869" s="213"/>
      <c r="AI869" s="213"/>
      <c r="AJ869" s="213"/>
      <c r="AK869" s="213"/>
      <c r="AL869" s="213"/>
      <c r="AM869" s="213"/>
      <c r="AN869" s="213"/>
      <c r="AO869" s="213"/>
      <c r="AP869" s="213"/>
      <c r="AQ869" s="213"/>
      <c r="AS869" s="182"/>
      <c r="AT869" s="145"/>
      <c r="AU869" s="145"/>
      <c r="AV869" s="145"/>
      <c r="AW869" s="145"/>
      <c r="AX869" s="145"/>
      <c r="AY869" s="145"/>
      <c r="AZ869" s="145"/>
      <c r="BA869" s="145"/>
      <c r="BB869" s="170"/>
      <c r="BC869" s="170"/>
    </row>
    <row r="870" spans="1:64" s="168" customFormat="1" ht="59.1" customHeight="1">
      <c r="A870" s="143"/>
      <c r="B870" s="177"/>
      <c r="C870" s="178" t="s">
        <v>885</v>
      </c>
      <c r="D870" s="178" t="s">
        <v>886</v>
      </c>
      <c r="E870" s="178"/>
      <c r="F870" s="178"/>
      <c r="G870" s="178"/>
      <c r="H870" s="178"/>
      <c r="I870" s="178"/>
      <c r="J870" s="178"/>
      <c r="K870" s="178"/>
      <c r="L870" s="178"/>
      <c r="M870" s="208"/>
      <c r="N870" s="208"/>
      <c r="O870" s="208"/>
      <c r="P870" s="208"/>
      <c r="Q870" s="208"/>
      <c r="R870" s="208"/>
      <c r="S870" s="208"/>
      <c r="T870" s="208"/>
      <c r="U870" s="208"/>
      <c r="V870" s="208"/>
      <c r="W870" s="208"/>
      <c r="X870" s="210"/>
      <c r="Y870" s="210"/>
      <c r="Z870" s="210"/>
      <c r="AA870" s="210"/>
      <c r="AB870" s="210"/>
      <c r="AC870" s="210"/>
      <c r="AD870" s="210"/>
      <c r="AE870" s="210"/>
      <c r="AF870" s="210"/>
      <c r="AG870" s="210"/>
      <c r="AH870" s="210"/>
      <c r="AI870" s="210"/>
      <c r="AJ870" s="210"/>
      <c r="AK870" s="210"/>
      <c r="AL870" s="210"/>
      <c r="AM870" s="210"/>
      <c r="AN870" s="210"/>
      <c r="AO870" s="216"/>
      <c r="AP870" s="216"/>
      <c r="AQ870" s="216"/>
      <c r="AR870" s="216"/>
      <c r="AS870" s="216"/>
      <c r="AT870" s="216"/>
      <c r="AU870" s="216"/>
      <c r="AV870" s="216"/>
      <c r="AW870" s="216"/>
      <c r="AX870" s="210"/>
      <c r="AY870" s="216"/>
      <c r="AZ870" s="216"/>
      <c r="BA870" s="216"/>
      <c r="BB870" s="216"/>
      <c r="BC870" s="216"/>
      <c r="BD870" s="216"/>
      <c r="BE870" s="216"/>
      <c r="BF870" s="216"/>
      <c r="BG870" s="216"/>
      <c r="BH870" s="216"/>
      <c r="BI870" s="216"/>
      <c r="BJ870" s="210"/>
      <c r="BK870" s="210"/>
      <c r="BL870" s="210"/>
    </row>
    <row r="871" spans="1:64" s="168" customFormat="1" ht="18" customHeight="1" thickBot="1">
      <c r="A871" s="143"/>
      <c r="B871" s="181" t="s">
        <v>3</v>
      </c>
      <c r="C871" s="148" t="s">
        <v>443</v>
      </c>
      <c r="D871" s="148" t="s">
        <v>443</v>
      </c>
      <c r="E871" s="148"/>
      <c r="F871" s="148"/>
      <c r="G871" s="148"/>
      <c r="H871" s="148"/>
      <c r="I871" s="148"/>
      <c r="J871" s="148"/>
      <c r="K871" s="148"/>
      <c r="L871" s="148"/>
      <c r="M871" s="211"/>
      <c r="N871" s="211"/>
      <c r="O871" s="211"/>
      <c r="P871" s="211"/>
      <c r="Q871" s="211"/>
      <c r="R871" s="211"/>
      <c r="S871" s="211"/>
      <c r="T871" s="211"/>
      <c r="U871" s="211"/>
      <c r="V871" s="211"/>
      <c r="W871" s="211"/>
      <c r="AO871" s="213"/>
      <c r="AP871" s="213"/>
      <c r="AQ871" s="213"/>
      <c r="AR871" s="213"/>
      <c r="AS871" s="213"/>
      <c r="AT871" s="213"/>
      <c r="AU871" s="213"/>
      <c r="AV871" s="213"/>
      <c r="AW871" s="213"/>
      <c r="AY871" s="213"/>
      <c r="AZ871" s="213"/>
      <c r="BA871" s="213"/>
      <c r="BB871" s="213"/>
      <c r="BC871" s="213"/>
      <c r="BD871" s="213"/>
      <c r="BE871" s="213"/>
      <c r="BF871" s="213"/>
      <c r="BG871" s="213"/>
      <c r="BH871" s="213"/>
      <c r="BI871" s="213"/>
    </row>
    <row r="872" spans="1:64" s="168" customFormat="1" ht="18" customHeight="1" thickBot="1">
      <c r="A872" s="143"/>
      <c r="B872" s="182" t="s">
        <v>18</v>
      </c>
      <c r="C872" s="148" t="s">
        <v>443</v>
      </c>
      <c r="D872" s="148" t="s">
        <v>443</v>
      </c>
      <c r="E872" s="148"/>
      <c r="F872" s="148"/>
      <c r="G872" s="148"/>
      <c r="H872" s="148"/>
      <c r="I872" s="148"/>
      <c r="J872" s="148"/>
      <c r="K872" s="148"/>
      <c r="L872" s="148"/>
      <c r="M872" s="145"/>
      <c r="N872" s="145"/>
      <c r="O872" s="145"/>
      <c r="P872" s="145"/>
      <c r="Q872" s="145"/>
      <c r="R872" s="145"/>
      <c r="S872" s="145"/>
      <c r="T872" s="145"/>
      <c r="U872" s="145"/>
      <c r="V872" s="145"/>
      <c r="W872" s="145"/>
      <c r="AO872" s="213"/>
      <c r="AP872" s="213"/>
      <c r="AQ872" s="213"/>
      <c r="AR872" s="213"/>
      <c r="AS872" s="213"/>
      <c r="AT872" s="213"/>
      <c r="AU872" s="213"/>
      <c r="AV872" s="213"/>
      <c r="AW872" s="213"/>
      <c r="AY872" s="213"/>
      <c r="AZ872" s="213"/>
      <c r="BA872" s="213"/>
      <c r="BB872" s="213"/>
      <c r="BC872" s="213"/>
      <c r="BD872" s="213"/>
      <c r="BE872" s="213"/>
      <c r="BF872" s="213"/>
      <c r="BG872" s="213"/>
      <c r="BH872" s="213"/>
      <c r="BI872" s="213"/>
    </row>
    <row r="873" spans="1:64" s="168" customFormat="1" ht="18" customHeight="1" thickBot="1">
      <c r="A873" s="143"/>
      <c r="B873" s="183" t="s">
        <v>32</v>
      </c>
      <c r="C873" s="147" t="s">
        <v>443</v>
      </c>
      <c r="D873" s="147" t="s">
        <v>443</v>
      </c>
      <c r="E873" s="147"/>
      <c r="F873" s="147"/>
      <c r="G873" s="147"/>
      <c r="H873" s="147"/>
      <c r="I873" s="147"/>
      <c r="J873" s="147"/>
      <c r="K873" s="147"/>
      <c r="L873" s="147"/>
      <c r="M873" s="145"/>
      <c r="N873" s="145"/>
      <c r="O873" s="145"/>
      <c r="P873" s="145"/>
      <c r="Q873" s="145"/>
      <c r="R873" s="145"/>
      <c r="S873" s="145"/>
      <c r="T873" s="145"/>
      <c r="U873" s="145"/>
      <c r="V873" s="145"/>
      <c r="W873" s="145"/>
      <c r="AO873" s="213"/>
      <c r="AP873" s="213"/>
      <c r="AQ873" s="213"/>
      <c r="AR873" s="213"/>
      <c r="AS873" s="213"/>
      <c r="AT873" s="213"/>
      <c r="AU873" s="213"/>
      <c r="AV873" s="213"/>
      <c r="AW873" s="213"/>
      <c r="AY873" s="213"/>
      <c r="AZ873" s="213"/>
      <c r="BA873" s="213"/>
      <c r="BB873" s="213"/>
      <c r="BC873" s="213"/>
      <c r="BD873" s="213"/>
      <c r="BE873" s="213"/>
      <c r="BF873" s="213"/>
      <c r="BG873" s="213"/>
      <c r="BH873" s="213"/>
    </row>
    <row r="874" spans="1:64" s="168" customFormat="1" ht="18" customHeight="1" thickBot="1">
      <c r="A874" s="143"/>
      <c r="B874" s="182" t="s">
        <v>45</v>
      </c>
      <c r="C874" s="145" t="s">
        <v>443</v>
      </c>
      <c r="D874" s="145" t="s">
        <v>443</v>
      </c>
      <c r="E874" s="145"/>
      <c r="F874" s="145"/>
      <c r="G874" s="145"/>
      <c r="H874" s="145"/>
      <c r="I874" s="145"/>
      <c r="J874" s="145"/>
      <c r="K874" s="145"/>
      <c r="L874" s="145"/>
      <c r="M874" s="145"/>
      <c r="N874" s="145"/>
      <c r="O874" s="145"/>
      <c r="P874" s="145"/>
      <c r="Q874" s="145"/>
      <c r="R874" s="145"/>
      <c r="S874" s="145"/>
      <c r="T874" s="145"/>
      <c r="U874" s="145"/>
      <c r="V874" s="145"/>
      <c r="W874" s="145"/>
      <c r="AO874" s="213"/>
      <c r="AP874" s="213"/>
      <c r="AQ874" s="213"/>
      <c r="AR874" s="213"/>
      <c r="AS874" s="213"/>
      <c r="AT874" s="213"/>
      <c r="AU874" s="213"/>
      <c r="AV874" s="213"/>
      <c r="AW874" s="213"/>
      <c r="AY874" s="213"/>
      <c r="AZ874" s="213"/>
      <c r="BA874" s="213"/>
      <c r="BB874" s="213"/>
      <c r="BC874" s="213"/>
      <c r="BD874" s="213"/>
      <c r="BE874" s="213"/>
      <c r="BF874" s="213"/>
      <c r="BG874" s="213"/>
      <c r="BH874" s="213"/>
    </row>
    <row r="875" spans="1:64" s="168" customFormat="1" ht="18" customHeight="1" thickBot="1">
      <c r="A875" s="143"/>
      <c r="B875" s="184" t="s">
        <v>54</v>
      </c>
      <c r="C875" s="146" t="s">
        <v>443</v>
      </c>
      <c r="D875" s="146" t="s">
        <v>443</v>
      </c>
      <c r="E875" s="146"/>
      <c r="F875" s="146"/>
      <c r="G875" s="146"/>
      <c r="H875" s="146"/>
      <c r="I875" s="146"/>
      <c r="J875" s="146"/>
      <c r="K875" s="146"/>
      <c r="L875" s="146"/>
      <c r="M875" s="145"/>
      <c r="N875" s="145"/>
      <c r="O875" s="145"/>
      <c r="P875" s="145"/>
      <c r="Q875" s="145"/>
      <c r="R875" s="145"/>
      <c r="S875" s="145"/>
      <c r="T875" s="145"/>
      <c r="U875" s="145"/>
      <c r="V875" s="145"/>
      <c r="W875" s="145"/>
      <c r="AO875" s="213"/>
      <c r="AP875" s="213"/>
      <c r="AQ875" s="213"/>
      <c r="AR875" s="213"/>
      <c r="AS875" s="213"/>
      <c r="AT875" s="213"/>
      <c r="AU875" s="213"/>
      <c r="AV875" s="213"/>
      <c r="AW875" s="213"/>
      <c r="AY875" s="213"/>
      <c r="AZ875" s="213"/>
      <c r="BA875" s="213"/>
      <c r="BB875" s="213"/>
      <c r="BC875" s="213"/>
      <c r="BD875" s="213"/>
      <c r="BE875" s="213"/>
      <c r="BF875" s="213"/>
      <c r="BG875" s="213"/>
      <c r="BH875" s="213"/>
    </row>
    <row r="876" spans="1:64" s="168" customFormat="1">
      <c r="A876" s="143"/>
      <c r="B876" s="182" t="s">
        <v>66</v>
      </c>
      <c r="C876" s="145"/>
      <c r="D876" s="145"/>
      <c r="E876" s="145"/>
      <c r="F876" s="145"/>
      <c r="G876" s="145"/>
      <c r="H876" s="125"/>
      <c r="I876" s="125"/>
      <c r="J876" s="125"/>
      <c r="K876" s="125"/>
      <c r="L876" s="125"/>
      <c r="M876" s="145"/>
      <c r="N876" s="145"/>
      <c r="O876" s="145"/>
      <c r="P876" s="145"/>
      <c r="Q876" s="145"/>
      <c r="R876" s="145"/>
      <c r="S876" s="145"/>
      <c r="T876" s="145"/>
      <c r="U876" s="145"/>
      <c r="V876" s="145"/>
      <c r="W876" s="145"/>
      <c r="AO876" s="213"/>
      <c r="AP876" s="213"/>
      <c r="AQ876" s="213"/>
      <c r="AR876" s="213"/>
      <c r="AS876" s="213"/>
      <c r="AT876" s="213"/>
      <c r="AU876" s="213"/>
      <c r="AV876" s="213"/>
      <c r="AW876" s="213"/>
      <c r="AY876" s="213"/>
      <c r="AZ876" s="213"/>
      <c r="BA876" s="213"/>
      <c r="BB876" s="213"/>
      <c r="BC876" s="213"/>
      <c r="BD876" s="213"/>
      <c r="BE876" s="213"/>
      <c r="BF876" s="213"/>
      <c r="BG876" s="213"/>
      <c r="BH876" s="213"/>
    </row>
    <row r="877" spans="1:64" s="168" customFormat="1">
      <c r="A877" s="143"/>
      <c r="B877" s="182" t="s">
        <v>158</v>
      </c>
      <c r="C877" s="126" t="s">
        <v>443</v>
      </c>
      <c r="D877" s="126" t="s">
        <v>443</v>
      </c>
      <c r="E877" s="126"/>
      <c r="F877" s="126"/>
      <c r="G877" s="126"/>
      <c r="H877" s="126"/>
      <c r="I877" s="126"/>
      <c r="J877" s="126"/>
      <c r="K877" s="126"/>
      <c r="L877" s="126"/>
      <c r="M877" s="126"/>
      <c r="N877" s="126"/>
      <c r="O877" s="126"/>
      <c r="P877" s="126"/>
      <c r="Q877" s="126"/>
      <c r="R877" s="126"/>
      <c r="S877" s="126"/>
      <c r="T877" s="126"/>
      <c r="U877" s="126"/>
      <c r="V877" s="126"/>
      <c r="W877" s="126"/>
      <c r="AO877" s="213"/>
      <c r="AP877" s="213"/>
      <c r="AQ877" s="213"/>
      <c r="AR877" s="213"/>
      <c r="AS877" s="213"/>
      <c r="AT877" s="213"/>
      <c r="AU877" s="213"/>
      <c r="AV877" s="213"/>
      <c r="AW877" s="213"/>
      <c r="AY877" s="213"/>
      <c r="AZ877" s="213"/>
      <c r="BA877" s="213"/>
      <c r="BB877" s="213"/>
      <c r="BC877" s="213"/>
      <c r="BD877" s="213"/>
      <c r="BE877" s="213"/>
      <c r="BF877" s="213"/>
      <c r="BG877" s="213"/>
      <c r="BH877" s="213"/>
    </row>
    <row r="878" spans="1:64" s="168" customFormat="1">
      <c r="A878" s="143"/>
      <c r="B878" s="182" t="s">
        <v>191</v>
      </c>
      <c r="C878" s="127">
        <v>69</v>
      </c>
      <c r="D878" s="127">
        <v>69</v>
      </c>
      <c r="E878" s="127"/>
      <c r="F878" s="127"/>
      <c r="G878" s="127"/>
      <c r="H878" s="126"/>
      <c r="I878" s="126"/>
      <c r="J878" s="126"/>
      <c r="K878" s="126"/>
      <c r="L878" s="126"/>
      <c r="M878" s="126"/>
      <c r="N878" s="126"/>
      <c r="O878" s="126"/>
      <c r="P878" s="126"/>
      <c r="Q878" s="126"/>
      <c r="R878" s="126"/>
      <c r="S878" s="126"/>
      <c r="T878" s="126"/>
      <c r="U878" s="126"/>
      <c r="V878" s="126"/>
      <c r="W878" s="126"/>
      <c r="AO878" s="214"/>
      <c r="AP878" s="214"/>
      <c r="AQ878" s="214"/>
      <c r="AR878" s="214"/>
      <c r="AS878" s="214"/>
      <c r="AT878" s="213"/>
      <c r="AU878" s="213"/>
      <c r="AV878" s="213"/>
      <c r="AW878" s="213"/>
      <c r="AY878" s="213"/>
      <c r="AZ878" s="213"/>
      <c r="BA878" s="213"/>
      <c r="BB878" s="213"/>
      <c r="BC878" s="213"/>
      <c r="BD878" s="213"/>
      <c r="BE878" s="213"/>
      <c r="BF878" s="213"/>
      <c r="BG878" s="213"/>
      <c r="BH878" s="213"/>
    </row>
    <row r="879" spans="1:64" s="168" customFormat="1" ht="15" thickBot="1">
      <c r="A879" s="143"/>
      <c r="B879" s="182" t="s">
        <v>442</v>
      </c>
      <c r="C879" s="126">
        <v>2</v>
      </c>
      <c r="D879" s="315">
        <v>4</v>
      </c>
      <c r="E879" s="315"/>
      <c r="F879" s="315"/>
      <c r="G879" s="315"/>
      <c r="H879" s="315"/>
      <c r="I879" s="315"/>
      <c r="J879" s="315"/>
      <c r="K879" s="315"/>
      <c r="L879" s="315"/>
      <c r="M879" s="126"/>
      <c r="N879" s="126"/>
      <c r="O879" s="126"/>
      <c r="P879" s="126"/>
      <c r="Q879" s="126"/>
      <c r="R879" s="126"/>
      <c r="S879" s="126"/>
      <c r="T879" s="126"/>
      <c r="U879" s="126"/>
      <c r="V879" s="126"/>
      <c r="W879" s="126"/>
      <c r="AO879" s="213"/>
      <c r="AP879" s="213"/>
      <c r="AQ879" s="213"/>
      <c r="AR879" s="213"/>
      <c r="AS879" s="213"/>
      <c r="AT879" s="213"/>
      <c r="AU879" s="213"/>
      <c r="AV879" s="213"/>
      <c r="AW879" s="213"/>
      <c r="AY879" s="213"/>
      <c r="AZ879" s="213"/>
      <c r="BA879" s="213"/>
      <c r="BB879" s="213"/>
      <c r="BC879" s="213"/>
      <c r="BD879" s="213"/>
      <c r="BE879" s="213"/>
      <c r="BF879" s="213"/>
      <c r="BG879" s="213"/>
      <c r="BH879" s="213"/>
    </row>
    <row r="880" spans="1:64" s="213" customFormat="1">
      <c r="A880" s="143"/>
      <c r="B880" s="338" t="s">
        <v>166</v>
      </c>
      <c r="C880" s="316" t="str">
        <f>IF(OR(C883="**",C883=""),"",VALUE(C883))</f>
        <v/>
      </c>
      <c r="D880" s="316" t="str">
        <f t="shared" ref="D880:J880" si="86">IF(OR(D883="**",D883=""),"",VALUE(D883))</f>
        <v/>
      </c>
      <c r="E880" s="316" t="str">
        <f t="shared" si="86"/>
        <v/>
      </c>
      <c r="F880" s="316" t="str">
        <f t="shared" si="86"/>
        <v/>
      </c>
      <c r="G880" s="316" t="str">
        <f t="shared" si="86"/>
        <v/>
      </c>
      <c r="H880" s="316" t="str">
        <f t="shared" si="86"/>
        <v/>
      </c>
      <c r="I880" s="316" t="str">
        <f t="shared" si="86"/>
        <v/>
      </c>
      <c r="J880" s="316" t="str">
        <f t="shared" si="86"/>
        <v/>
      </c>
      <c r="K880" s="316"/>
      <c r="L880" s="316"/>
      <c r="M880" s="126"/>
      <c r="N880" s="126"/>
      <c r="O880" s="126"/>
      <c r="P880" s="126"/>
      <c r="Q880" s="126"/>
      <c r="R880" s="126"/>
      <c r="S880" s="126"/>
      <c r="T880" s="126"/>
      <c r="U880" s="126"/>
      <c r="V880" s="126"/>
      <c r="W880" s="126"/>
      <c r="X880" s="168"/>
      <c r="Y880" s="168"/>
      <c r="Z880" s="168"/>
      <c r="AA880" s="168"/>
      <c r="AB880" s="168"/>
      <c r="AC880" s="168"/>
      <c r="AD880" s="168"/>
      <c r="AE880" s="168"/>
      <c r="AF880" s="168"/>
      <c r="AG880" s="168"/>
      <c r="AH880" s="168"/>
      <c r="AI880" s="168"/>
      <c r="AJ880" s="168"/>
      <c r="AK880" s="168"/>
      <c r="AL880" s="168"/>
      <c r="AM880" s="168"/>
      <c r="AN880" s="168"/>
      <c r="AX880" s="168"/>
      <c r="BI880" s="168"/>
      <c r="BJ880" s="168"/>
      <c r="BK880" s="168"/>
      <c r="BL880" s="168"/>
    </row>
    <row r="881" spans="1:64" s="213" customFormat="1" ht="15" thickBot="1">
      <c r="A881" s="167"/>
      <c r="B881" s="339" t="s">
        <v>165</v>
      </c>
      <c r="C881" s="317" t="str">
        <f t="shared" ref="C881:J881" si="87">IF(OR(C877="**",C877=""),"",VALUE(C877))</f>
        <v/>
      </c>
      <c r="D881" s="317" t="str">
        <f t="shared" si="87"/>
        <v/>
      </c>
      <c r="E881" s="317" t="str">
        <f t="shared" si="87"/>
        <v/>
      </c>
      <c r="F881" s="317" t="str">
        <f t="shared" si="87"/>
        <v/>
      </c>
      <c r="G881" s="317" t="str">
        <f t="shared" si="87"/>
        <v/>
      </c>
      <c r="H881" s="317" t="str">
        <f t="shared" si="87"/>
        <v/>
      </c>
      <c r="I881" s="317" t="str">
        <f t="shared" si="87"/>
        <v/>
      </c>
      <c r="J881" s="317" t="str">
        <f t="shared" si="87"/>
        <v/>
      </c>
      <c r="K881" s="317"/>
      <c r="L881" s="317"/>
      <c r="M881" s="169"/>
      <c r="N881" s="169"/>
      <c r="O881" s="169"/>
      <c r="P881" s="169"/>
      <c r="Q881" s="169"/>
      <c r="R881" s="169"/>
      <c r="S881" s="169"/>
      <c r="T881" s="169"/>
      <c r="U881" s="169"/>
      <c r="V881" s="169"/>
      <c r="W881" s="169"/>
      <c r="X881" s="168"/>
      <c r="Y881" s="168"/>
      <c r="Z881" s="168"/>
      <c r="AA881" s="168"/>
      <c r="AB881" s="168"/>
      <c r="AC881" s="168"/>
      <c r="AD881" s="168"/>
      <c r="AE881" s="168"/>
      <c r="AF881" s="168"/>
      <c r="AG881" s="168"/>
      <c r="AH881" s="168"/>
      <c r="AI881" s="168"/>
      <c r="AJ881" s="168"/>
      <c r="AK881" s="168"/>
      <c r="AL881" s="168"/>
      <c r="AM881" s="168"/>
      <c r="AN881" s="168"/>
      <c r="AO881" s="169"/>
      <c r="AP881" s="169"/>
      <c r="AQ881" s="169"/>
      <c r="AR881" s="169"/>
      <c r="AS881" s="169"/>
      <c r="AT881" s="169"/>
      <c r="AU881" s="169"/>
      <c r="AV881" s="169"/>
      <c r="BI881" s="168"/>
      <c r="BJ881" s="168"/>
      <c r="BK881" s="168"/>
      <c r="BL881" s="168"/>
    </row>
    <row r="882" spans="1:64" s="213" customFormat="1">
      <c r="A882" s="167"/>
      <c r="B882" s="340" t="s">
        <v>483</v>
      </c>
      <c r="C882" s="167" t="s">
        <v>885</v>
      </c>
      <c r="D882" s="167" t="s">
        <v>886</v>
      </c>
      <c r="E882" s="167"/>
      <c r="F882" s="167"/>
      <c r="G882" s="167"/>
      <c r="H882" s="166"/>
      <c r="I882" s="166"/>
      <c r="J882" s="166"/>
      <c r="K882" s="166"/>
      <c r="L882" s="166"/>
      <c r="X882" s="169"/>
      <c r="Y882" s="170"/>
      <c r="Z882" s="170"/>
      <c r="AA882" s="170"/>
      <c r="AB882" s="170"/>
      <c r="AC882" s="170"/>
      <c r="AD882" s="168"/>
      <c r="AE882" s="168"/>
      <c r="AF882" s="168"/>
      <c r="AG882" s="168"/>
      <c r="AH882" s="168"/>
      <c r="AI882" s="168"/>
      <c r="AJ882" s="168"/>
      <c r="AK882" s="168"/>
      <c r="AL882" s="168"/>
      <c r="AM882" s="168"/>
      <c r="AN882" s="168"/>
      <c r="AO882" s="168"/>
      <c r="AP882" s="168"/>
      <c r="AQ882" s="168"/>
      <c r="AR882" s="168"/>
      <c r="AS882" s="168"/>
      <c r="AT882" s="168"/>
      <c r="AU882" s="168"/>
      <c r="AV882" s="168"/>
      <c r="AW882" s="168"/>
      <c r="AX882" s="168"/>
      <c r="AY882" s="168"/>
      <c r="AZ882" s="168"/>
      <c r="BA882" s="168"/>
      <c r="BB882" s="168"/>
      <c r="BC882" s="168"/>
      <c r="BD882" s="168"/>
      <c r="BE882" s="168"/>
    </row>
    <row r="883" spans="1:64" s="213" customFormat="1">
      <c r="A883" s="167"/>
      <c r="B883" s="182" t="s">
        <v>158</v>
      </c>
      <c r="C883" s="165" t="s">
        <v>443</v>
      </c>
      <c r="D883" s="165" t="s">
        <v>443</v>
      </c>
      <c r="E883" s="165"/>
      <c r="F883" s="165"/>
      <c r="G883" s="165"/>
      <c r="H883" s="166"/>
      <c r="I883" s="166"/>
      <c r="J883" s="166"/>
      <c r="K883" s="166"/>
      <c r="L883" s="166"/>
      <c r="X883" s="170"/>
      <c r="Y883" s="170"/>
      <c r="Z883" s="170"/>
      <c r="AA883" s="170"/>
      <c r="AB883" s="170"/>
      <c r="AC883" s="168"/>
      <c r="AD883" s="168"/>
      <c r="AE883" s="168"/>
      <c r="AF883" s="168"/>
      <c r="AG883" s="168"/>
      <c r="AH883" s="168"/>
      <c r="AI883" s="168"/>
      <c r="AJ883" s="168"/>
      <c r="AK883" s="168"/>
      <c r="AL883" s="168"/>
      <c r="AM883" s="168"/>
      <c r="AN883" s="168"/>
      <c r="AO883" s="168"/>
      <c r="AP883" s="168"/>
      <c r="AQ883" s="168"/>
      <c r="AR883" s="168"/>
      <c r="AS883" s="168"/>
      <c r="AT883" s="168"/>
      <c r="AU883" s="168"/>
      <c r="AV883" s="168"/>
      <c r="AW883" s="168"/>
      <c r="AX883" s="168"/>
      <c r="AY883" s="168"/>
      <c r="AZ883" s="168"/>
      <c r="BA883" s="168"/>
      <c r="BB883" s="168"/>
      <c r="BC883" s="168"/>
      <c r="BD883" s="168"/>
    </row>
    <row r="884" spans="1:64" s="213" customFormat="1">
      <c r="A884" s="167"/>
      <c r="B884" s="340" t="s">
        <v>442</v>
      </c>
      <c r="C884" s="165">
        <v>2</v>
      </c>
      <c r="D884" s="165">
        <v>4</v>
      </c>
      <c r="E884" s="165"/>
      <c r="F884" s="165"/>
      <c r="G884" s="165"/>
      <c r="H884" s="165"/>
      <c r="I884" s="165"/>
      <c r="J884" s="165"/>
      <c r="K884" s="165"/>
      <c r="L884" s="165"/>
      <c r="X884" s="170"/>
      <c r="Y884" s="170"/>
      <c r="Z884" s="170"/>
      <c r="AA884" s="170"/>
      <c r="AB884" s="170"/>
      <c r="AC884" s="168"/>
      <c r="AD884" s="168"/>
      <c r="AE884" s="168"/>
      <c r="AF884" s="168"/>
      <c r="AG884" s="168"/>
      <c r="AH884" s="168"/>
      <c r="AI884" s="168"/>
      <c r="AJ884" s="168"/>
      <c r="AK884" s="168"/>
      <c r="AL884" s="168"/>
      <c r="AM884" s="168"/>
      <c r="AN884" s="168"/>
      <c r="AO884" s="168"/>
      <c r="AP884" s="168"/>
      <c r="AQ884" s="168"/>
      <c r="AR884" s="168"/>
      <c r="AS884" s="168"/>
      <c r="AT884" s="168"/>
      <c r="AU884" s="168"/>
      <c r="AV884" s="168"/>
      <c r="AW884" s="168"/>
      <c r="AX884" s="168"/>
      <c r="AY884" s="168"/>
      <c r="AZ884" s="168"/>
      <c r="BA884" s="168"/>
      <c r="BB884" s="168"/>
      <c r="BC884" s="168"/>
      <c r="BD884" s="168"/>
    </row>
    <row r="885" spans="1:64" s="213" customFormat="1">
      <c r="A885" s="167"/>
      <c r="B885" s="167"/>
      <c r="C885" s="167"/>
      <c r="D885" s="167"/>
      <c r="E885" s="167"/>
      <c r="F885" s="167"/>
      <c r="G885" s="167"/>
      <c r="H885" s="167"/>
      <c r="I885" s="167"/>
      <c r="J885" s="167"/>
      <c r="K885" s="167"/>
      <c r="L885" s="167"/>
      <c r="X885" s="170"/>
      <c r="Y885" s="170"/>
      <c r="Z885" s="170"/>
      <c r="AA885" s="170"/>
      <c r="AB885" s="170"/>
      <c r="AC885" s="168"/>
      <c r="AD885" s="168"/>
      <c r="AE885" s="168"/>
      <c r="AF885" s="168"/>
      <c r="AG885" s="168"/>
      <c r="AH885" s="168"/>
      <c r="AI885" s="168"/>
      <c r="AJ885" s="168"/>
      <c r="AK885" s="168"/>
      <c r="AL885" s="168"/>
      <c r="AM885" s="168"/>
      <c r="AN885" s="168"/>
      <c r="AO885" s="168"/>
      <c r="AP885" s="168"/>
      <c r="AQ885" s="168"/>
      <c r="AR885" s="168"/>
      <c r="AS885" s="168"/>
      <c r="AT885" s="168"/>
      <c r="AU885" s="168"/>
      <c r="AV885" s="168"/>
      <c r="AW885" s="168"/>
      <c r="AX885" s="168"/>
      <c r="AY885" s="168"/>
      <c r="AZ885" s="168"/>
      <c r="BA885" s="168"/>
      <c r="BB885" s="168"/>
      <c r="BC885" s="168"/>
      <c r="BD885" s="168"/>
    </row>
    <row r="886" spans="1:64" s="213" customFormat="1">
      <c r="A886" s="167"/>
      <c r="B886" s="167"/>
      <c r="C886" s="167"/>
      <c r="D886" s="167"/>
      <c r="E886" s="167"/>
      <c r="F886" s="167"/>
      <c r="G886" s="167"/>
      <c r="H886" s="167"/>
      <c r="I886" s="167"/>
      <c r="J886" s="167"/>
      <c r="K886" s="167"/>
      <c r="L886" s="167"/>
      <c r="X886" s="170"/>
      <c r="Y886" s="170"/>
      <c r="Z886" s="170"/>
      <c r="AA886" s="170"/>
      <c r="AB886" s="170"/>
      <c r="AC886" s="168"/>
      <c r="AD886" s="168"/>
      <c r="AE886" s="168"/>
      <c r="AF886" s="168"/>
      <c r="AG886" s="168"/>
      <c r="AH886" s="168"/>
      <c r="AI886" s="168"/>
      <c r="AJ886" s="168"/>
      <c r="AK886" s="168"/>
      <c r="AL886" s="168"/>
      <c r="AM886" s="168"/>
      <c r="AN886" s="168"/>
      <c r="AO886" s="168"/>
      <c r="AP886" s="168"/>
      <c r="AQ886" s="168"/>
      <c r="AR886" s="168"/>
      <c r="AS886" s="168"/>
      <c r="AT886" s="168"/>
      <c r="AU886" s="168"/>
      <c r="AV886" s="168"/>
      <c r="AW886" s="168"/>
      <c r="AX886" s="168"/>
      <c r="AY886" s="168"/>
      <c r="AZ886" s="168"/>
      <c r="BA886" s="168"/>
      <c r="BB886" s="168"/>
      <c r="BC886" s="168"/>
      <c r="BD886" s="168"/>
    </row>
    <row r="887" spans="1:64" s="213" customFormat="1">
      <c r="A887" s="167"/>
      <c r="B887" s="167"/>
      <c r="C887" s="167"/>
      <c r="D887" s="167"/>
      <c r="E887" s="167"/>
      <c r="F887" s="167"/>
      <c r="G887" s="167"/>
      <c r="H887" s="167"/>
      <c r="I887" s="167"/>
      <c r="J887" s="167"/>
      <c r="K887" s="167"/>
      <c r="L887" s="167"/>
      <c r="X887" s="170"/>
      <c r="Y887" s="170"/>
      <c r="Z887" s="170"/>
      <c r="AA887" s="170"/>
      <c r="AB887" s="170"/>
      <c r="AC887" s="168"/>
      <c r="AD887" s="168"/>
      <c r="AE887" s="168"/>
      <c r="AF887" s="168"/>
      <c r="AG887" s="168"/>
      <c r="AH887" s="168"/>
      <c r="AI887" s="168"/>
      <c r="AJ887" s="168"/>
      <c r="AK887" s="168"/>
      <c r="AL887" s="168"/>
      <c r="AM887" s="168"/>
      <c r="AN887" s="168"/>
      <c r="AO887" s="168"/>
      <c r="AP887" s="168"/>
      <c r="AQ887" s="168"/>
      <c r="AR887" s="168"/>
      <c r="AS887" s="168"/>
      <c r="AT887" s="168"/>
      <c r="AU887" s="168"/>
      <c r="AV887" s="168"/>
      <c r="AW887" s="168"/>
      <c r="AX887" s="168"/>
      <c r="AY887" s="168"/>
      <c r="AZ887" s="168"/>
      <c r="BA887" s="168"/>
      <c r="BB887" s="168"/>
      <c r="BC887" s="168"/>
      <c r="BD887" s="168"/>
    </row>
    <row r="888" spans="1:64" s="213" customFormat="1" ht="14.25" customHeight="1">
      <c r="A888" s="167"/>
      <c r="B888" s="167"/>
      <c r="C888" s="167"/>
      <c r="D888" s="167"/>
      <c r="E888" s="167"/>
      <c r="F888" s="167"/>
      <c r="G888" s="167"/>
      <c r="H888" s="167"/>
      <c r="I888" s="167"/>
      <c r="J888" s="167"/>
      <c r="K888" s="167"/>
      <c r="L888" s="167"/>
      <c r="X888" s="170"/>
      <c r="Y888" s="170"/>
      <c r="Z888" s="170"/>
      <c r="AA888" s="170"/>
      <c r="AB888" s="170"/>
      <c r="AC888" s="168"/>
      <c r="AD888" s="168"/>
      <c r="AE888" s="168"/>
      <c r="AF888" s="168"/>
      <c r="AG888" s="168"/>
      <c r="AH888" s="168"/>
      <c r="AI888" s="168"/>
      <c r="AJ888" s="168"/>
      <c r="AK888" s="168"/>
      <c r="AL888" s="168"/>
      <c r="AM888" s="168"/>
      <c r="AN888" s="168"/>
      <c r="AO888" s="168"/>
      <c r="AP888" s="168"/>
      <c r="AQ888" s="168"/>
      <c r="AR888" s="168"/>
      <c r="AS888" s="168"/>
      <c r="AT888" s="168"/>
      <c r="AU888" s="168"/>
      <c r="AV888" s="168"/>
      <c r="AW888" s="168"/>
      <c r="AX888" s="168"/>
      <c r="AY888" s="168"/>
      <c r="AZ888" s="168"/>
      <c r="BA888" s="168"/>
      <c r="BB888" s="168"/>
      <c r="BC888" s="168"/>
      <c r="BD888" s="168"/>
    </row>
    <row r="889" spans="1:64" s="213" customFormat="1" ht="14.25" customHeight="1">
      <c r="A889" s="167" t="s">
        <v>183</v>
      </c>
      <c r="B889" s="167"/>
      <c r="C889" s="167"/>
      <c r="D889" s="167"/>
      <c r="E889" s="167"/>
      <c r="F889" s="167"/>
      <c r="G889" s="167"/>
      <c r="H889" s="167"/>
      <c r="I889" s="167"/>
      <c r="J889" s="167"/>
      <c r="K889" s="167"/>
      <c r="L889" s="167"/>
      <c r="X889" s="170"/>
      <c r="Y889" s="170"/>
      <c r="Z889" s="170"/>
      <c r="AA889" s="170"/>
      <c r="AB889" s="170"/>
      <c r="AC889" s="168"/>
      <c r="AD889" s="168"/>
      <c r="AE889" s="168"/>
      <c r="AF889" s="168"/>
      <c r="AG889" s="168"/>
      <c r="AH889" s="168"/>
      <c r="AI889" s="168"/>
      <c r="AJ889" s="168"/>
      <c r="AK889" s="168"/>
      <c r="AL889" s="168"/>
      <c r="AM889" s="168"/>
      <c r="AN889" s="168"/>
      <c r="AO889" s="168"/>
      <c r="AP889" s="168"/>
      <c r="AQ889" s="168"/>
      <c r="AR889" s="168"/>
      <c r="AS889" s="168"/>
      <c r="AT889" s="168"/>
      <c r="AU889" s="168"/>
      <c r="AV889" s="168"/>
      <c r="AW889" s="168"/>
      <c r="AX889" s="168"/>
      <c r="AY889" s="168"/>
      <c r="AZ889" s="168"/>
      <c r="BA889" s="168"/>
      <c r="BB889" s="168"/>
      <c r="BC889" s="168"/>
      <c r="BD889" s="168"/>
    </row>
    <row r="890" spans="1:64" s="213" customFormat="1" ht="14.25" customHeight="1">
      <c r="A890" s="167">
        <v>-1</v>
      </c>
      <c r="B890" s="167"/>
      <c r="C890" s="167"/>
      <c r="D890" s="167"/>
      <c r="E890" s="167"/>
      <c r="F890" s="167"/>
      <c r="G890" s="167"/>
      <c r="H890" s="167"/>
      <c r="I890" s="167"/>
      <c r="J890" s="167"/>
      <c r="K890" s="167"/>
      <c r="L890" s="167"/>
      <c r="X890" s="170"/>
      <c r="Y890" s="170"/>
      <c r="Z890" s="170"/>
      <c r="AA890" s="170"/>
      <c r="AB890" s="170"/>
      <c r="AC890" s="168"/>
      <c r="AD890" s="168"/>
      <c r="AE890" s="168"/>
      <c r="AF890" s="168"/>
      <c r="AG890" s="168"/>
      <c r="AH890" s="168"/>
      <c r="AI890" s="168"/>
      <c r="AJ890" s="168"/>
      <c r="AK890" s="168"/>
      <c r="AL890" s="168"/>
      <c r="AM890" s="168"/>
      <c r="AN890" s="168"/>
      <c r="AO890" s="168"/>
      <c r="AP890" s="168"/>
      <c r="AQ890" s="168"/>
      <c r="AR890" s="168"/>
      <c r="AS890" s="168"/>
      <c r="AT890" s="168"/>
      <c r="AU890" s="168"/>
      <c r="AV890" s="168"/>
      <c r="AW890" s="168"/>
      <c r="AX890" s="168"/>
      <c r="AY890" s="168"/>
      <c r="AZ890" s="168"/>
      <c r="BA890" s="168"/>
      <c r="BB890" s="168"/>
      <c r="BC890" s="168"/>
      <c r="BD890" s="168"/>
    </row>
    <row r="891" spans="1:64" s="213" customFormat="1" ht="14.25" customHeight="1">
      <c r="A891" s="167"/>
      <c r="B891" s="167"/>
      <c r="C891" s="167"/>
      <c r="D891" s="167"/>
      <c r="E891" s="167"/>
      <c r="F891" s="167"/>
      <c r="G891" s="167"/>
      <c r="H891" s="167"/>
      <c r="I891" s="167"/>
      <c r="J891" s="167"/>
      <c r="K891" s="167"/>
      <c r="L891" s="167"/>
      <c r="X891" s="170"/>
      <c r="Y891" s="170"/>
      <c r="Z891" s="170"/>
      <c r="AA891" s="170"/>
      <c r="AB891" s="170"/>
      <c r="AC891" s="168"/>
      <c r="AD891" s="168"/>
      <c r="AE891" s="168"/>
      <c r="AF891" s="168"/>
      <c r="AG891" s="168"/>
      <c r="AH891" s="168"/>
      <c r="AI891" s="168"/>
      <c r="AJ891" s="168"/>
      <c r="AK891" s="168"/>
      <c r="AL891" s="168"/>
      <c r="AM891" s="168"/>
      <c r="AN891" s="168"/>
      <c r="AO891" s="168"/>
      <c r="AP891" s="168"/>
      <c r="AQ891" s="168"/>
      <c r="AR891" s="168"/>
      <c r="AS891" s="168"/>
      <c r="AT891" s="168"/>
      <c r="AU891" s="168"/>
      <c r="AV891" s="168"/>
      <c r="AW891" s="168"/>
      <c r="AX891" s="168"/>
      <c r="AY891" s="168"/>
      <c r="AZ891" s="168"/>
      <c r="BA891" s="168"/>
      <c r="BB891" s="168"/>
      <c r="BC891" s="168"/>
      <c r="BD891" s="168"/>
    </row>
    <row r="892" spans="1:64" s="213" customFormat="1" ht="14.25" customHeight="1">
      <c r="A892" s="167"/>
      <c r="B892" s="167"/>
      <c r="C892" s="167"/>
      <c r="D892" s="167"/>
      <c r="E892" s="167"/>
      <c r="F892" s="167"/>
      <c r="G892" s="167"/>
      <c r="H892" s="167"/>
      <c r="I892" s="167"/>
      <c r="J892" s="167"/>
      <c r="K892" s="167"/>
      <c r="L892" s="167"/>
      <c r="X892" s="170"/>
      <c r="Y892" s="170"/>
      <c r="Z892" s="170"/>
      <c r="AA892" s="170"/>
      <c r="AB892" s="170"/>
      <c r="AC892" s="168"/>
      <c r="AD892" s="168"/>
      <c r="AE892" s="168"/>
      <c r="AF892" s="168"/>
      <c r="AG892" s="168"/>
      <c r="AH892" s="168"/>
      <c r="AI892" s="168"/>
      <c r="AJ892" s="168"/>
      <c r="AK892" s="168"/>
      <c r="AL892" s="168"/>
      <c r="AM892" s="168"/>
      <c r="AN892" s="168"/>
      <c r="AO892" s="168"/>
      <c r="AP892" s="168"/>
      <c r="AQ892" s="168"/>
      <c r="AR892" s="168"/>
      <c r="AS892" s="168"/>
      <c r="AT892" s="168"/>
      <c r="AU892" s="168"/>
      <c r="AV892" s="168"/>
      <c r="AW892" s="168"/>
      <c r="AX892" s="168"/>
      <c r="AY892" s="168"/>
      <c r="AZ892" s="168"/>
      <c r="BA892" s="168"/>
      <c r="BB892" s="168"/>
      <c r="BC892" s="168"/>
      <c r="BD892" s="168"/>
    </row>
    <row r="893" spans="1:64" s="215" customFormat="1" ht="14.25" customHeight="1">
      <c r="A893" s="167"/>
      <c r="B893" s="167"/>
      <c r="C893" s="167"/>
      <c r="D893" s="167"/>
      <c r="E893" s="167"/>
      <c r="F893" s="167"/>
      <c r="G893" s="167"/>
      <c r="H893" s="167"/>
      <c r="I893" s="167"/>
      <c r="J893" s="167"/>
      <c r="K893" s="167"/>
      <c r="L893" s="167"/>
      <c r="M893" s="213"/>
      <c r="N893" s="213"/>
      <c r="O893" s="213"/>
      <c r="P893" s="213"/>
      <c r="Q893" s="213"/>
      <c r="R893" s="213"/>
      <c r="S893" s="213"/>
      <c r="T893" s="213"/>
      <c r="U893" s="213"/>
      <c r="V893" s="213"/>
      <c r="W893" s="213"/>
      <c r="X893" s="173"/>
      <c r="Y893" s="173"/>
      <c r="Z893" s="173"/>
      <c r="AA893" s="173"/>
      <c r="AB893" s="173"/>
      <c r="AC893" s="173"/>
      <c r="AD893" s="173"/>
      <c r="AE893" s="173"/>
      <c r="AF893" s="173"/>
      <c r="AG893" s="173"/>
      <c r="AH893" s="173"/>
      <c r="AI893" s="173"/>
      <c r="AJ893" s="173"/>
      <c r="AK893" s="173"/>
      <c r="AL893" s="173"/>
      <c r="AM893" s="173"/>
      <c r="AN893" s="212"/>
      <c r="AO893" s="212"/>
      <c r="AP893" s="212"/>
      <c r="AQ893" s="212"/>
      <c r="AR893" s="212"/>
      <c r="AS893" s="212"/>
      <c r="AT893" s="212"/>
      <c r="AU893" s="212"/>
      <c r="AV893" s="212"/>
      <c r="AW893" s="212"/>
      <c r="AX893" s="212"/>
      <c r="AY893" s="212"/>
      <c r="AZ893" s="212"/>
      <c r="BA893" s="212"/>
      <c r="BB893" s="212"/>
      <c r="BC893" s="212"/>
      <c r="BD893" s="212"/>
    </row>
    <row r="894" spans="1:64" s="216" customFormat="1" ht="14.25" customHeight="1">
      <c r="A894" s="175"/>
      <c r="B894" s="17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215"/>
      <c r="N894" s="215"/>
      <c r="O894" s="215"/>
      <c r="P894" s="215"/>
      <c r="Q894" s="215"/>
      <c r="R894" s="215"/>
      <c r="S894" s="215"/>
      <c r="T894" s="215"/>
      <c r="U894" s="215"/>
      <c r="V894" s="215"/>
      <c r="W894" s="215"/>
      <c r="X894" s="208"/>
      <c r="Y894" s="208"/>
      <c r="Z894" s="208"/>
      <c r="AA894" s="209"/>
      <c r="AB894" s="209"/>
      <c r="AC894" s="210"/>
      <c r="AD894" s="210"/>
      <c r="AE894" s="210"/>
      <c r="AF894" s="210"/>
      <c r="AG894" s="210"/>
      <c r="AH894" s="210"/>
      <c r="AI894" s="210"/>
      <c r="AJ894" s="210"/>
      <c r="AK894" s="210"/>
      <c r="AL894" s="210"/>
      <c r="AM894" s="210"/>
      <c r="AN894" s="210"/>
      <c r="AO894" s="210"/>
      <c r="AP894" s="210"/>
      <c r="AQ894" s="210"/>
      <c r="AR894" s="210"/>
      <c r="AS894" s="210"/>
      <c r="AT894" s="210"/>
      <c r="AU894" s="210"/>
      <c r="AV894" s="210"/>
      <c r="AW894" s="210"/>
      <c r="AX894" s="210"/>
      <c r="AY894" s="210"/>
      <c r="AZ894" s="210"/>
      <c r="BA894" s="210"/>
      <c r="BB894" s="210"/>
      <c r="BC894" s="210"/>
      <c r="BD894" s="210"/>
    </row>
    <row r="895" spans="1:64" s="213" customFormat="1" ht="14.25" customHeight="1">
      <c r="A895" s="180"/>
      <c r="B895" s="180"/>
      <c r="C895" s="180"/>
      <c r="D895" s="179"/>
      <c r="E895" s="180"/>
      <c r="F895" s="180"/>
      <c r="G895" s="180"/>
      <c r="H895" s="180"/>
      <c r="I895" s="180"/>
      <c r="J895" s="180"/>
      <c r="K895" s="180"/>
      <c r="L895" s="180"/>
      <c r="M895" s="216"/>
      <c r="N895" s="216"/>
      <c r="O895" s="216"/>
      <c r="P895" s="216"/>
      <c r="Q895" s="216"/>
      <c r="R895" s="216"/>
      <c r="S895" s="216"/>
      <c r="T895" s="216"/>
      <c r="U895" s="216"/>
      <c r="V895" s="216"/>
      <c r="W895" s="216"/>
      <c r="X895" s="211"/>
      <c r="Y895" s="211"/>
      <c r="Z895" s="211"/>
      <c r="AA895" s="170"/>
      <c r="AB895" s="170"/>
      <c r="AC895" s="168"/>
      <c r="AD895" s="168"/>
      <c r="AE895" s="168"/>
      <c r="AF895" s="168"/>
      <c r="AG895" s="168"/>
      <c r="AH895" s="168"/>
      <c r="AI895" s="168"/>
      <c r="AJ895" s="168"/>
      <c r="AK895" s="168"/>
      <c r="AL895" s="168"/>
      <c r="AM895" s="168"/>
      <c r="AN895" s="168"/>
      <c r="AO895" s="168"/>
      <c r="AP895" s="168"/>
      <c r="AQ895" s="168"/>
      <c r="AR895" s="168"/>
      <c r="AS895" s="168"/>
      <c r="AT895" s="168"/>
      <c r="AU895" s="168"/>
      <c r="AV895" s="168"/>
      <c r="AW895" s="168"/>
      <c r="AX895" s="168"/>
      <c r="AY895" s="168"/>
      <c r="AZ895" s="168"/>
      <c r="BA895" s="168"/>
      <c r="BB895" s="168"/>
      <c r="BC895" s="168"/>
      <c r="BD895" s="168"/>
    </row>
    <row r="896" spans="1:64" s="213" customFormat="1" ht="14.25" customHeight="1">
      <c r="A896" s="167"/>
      <c r="B896" s="167"/>
      <c r="C896" s="167"/>
      <c r="D896" s="143"/>
      <c r="E896" s="167"/>
      <c r="F896" s="167"/>
      <c r="G896" s="167"/>
      <c r="H896" s="167"/>
      <c r="I896" s="167"/>
      <c r="J896" s="167"/>
      <c r="K896" s="167"/>
      <c r="L896" s="167"/>
      <c r="X896" s="145"/>
      <c r="Y896" s="145"/>
      <c r="Z896" s="145"/>
      <c r="AA896" s="170"/>
      <c r="AB896" s="170"/>
      <c r="AC896" s="168"/>
      <c r="AD896" s="168"/>
      <c r="AE896" s="168"/>
      <c r="AF896" s="168"/>
      <c r="AG896" s="168"/>
      <c r="AH896" s="168"/>
      <c r="AI896" s="168"/>
      <c r="AJ896" s="168"/>
      <c r="AK896" s="168"/>
      <c r="AL896" s="168"/>
      <c r="AM896" s="168"/>
      <c r="AN896" s="168"/>
      <c r="AO896" s="168"/>
      <c r="AP896" s="168"/>
      <c r="AQ896" s="168"/>
      <c r="AR896" s="168"/>
      <c r="AS896" s="168"/>
      <c r="AT896" s="168"/>
      <c r="AU896" s="168"/>
      <c r="AV896" s="168"/>
      <c r="AW896" s="168"/>
      <c r="AX896" s="168"/>
      <c r="AY896" s="168"/>
      <c r="AZ896" s="168"/>
      <c r="BA896" s="168"/>
      <c r="BB896" s="168"/>
      <c r="BC896" s="168"/>
      <c r="BD896" s="168"/>
    </row>
    <row r="897" spans="1:64" s="213" customFormat="1" ht="14.25" customHeight="1">
      <c r="A897" s="167"/>
      <c r="B897" s="167"/>
      <c r="C897" s="167"/>
      <c r="D897" s="143"/>
      <c r="E897" s="167"/>
      <c r="F897" s="167"/>
      <c r="G897" s="167"/>
      <c r="H897" s="167"/>
      <c r="I897" s="167"/>
      <c r="J897" s="167"/>
      <c r="K897" s="167"/>
      <c r="L897" s="167"/>
      <c r="X897" s="145"/>
      <c r="Y897" s="145"/>
      <c r="Z897" s="145"/>
      <c r="AA897" s="170"/>
      <c r="AB897" s="170"/>
      <c r="AC897" s="168"/>
      <c r="AD897" s="168"/>
      <c r="AE897" s="168"/>
      <c r="AF897" s="168"/>
      <c r="AG897" s="168"/>
      <c r="AH897" s="168"/>
      <c r="AI897" s="168"/>
      <c r="AJ897" s="168"/>
      <c r="AK897" s="168"/>
      <c r="AL897" s="168"/>
      <c r="AM897" s="168"/>
      <c r="AN897" s="168"/>
      <c r="AO897" s="168"/>
      <c r="AP897" s="168"/>
      <c r="AQ897" s="168"/>
      <c r="AR897" s="168"/>
      <c r="AS897" s="168"/>
      <c r="AT897" s="168"/>
      <c r="AU897" s="168"/>
      <c r="AV897" s="168"/>
      <c r="AW897" s="168"/>
      <c r="AX897" s="168"/>
      <c r="AY897" s="168"/>
      <c r="AZ897" s="168"/>
      <c r="BA897" s="168"/>
      <c r="BB897" s="168"/>
      <c r="BC897" s="168"/>
      <c r="BD897" s="168"/>
    </row>
    <row r="898" spans="1:64" s="213" customFormat="1" ht="14.25" customHeight="1">
      <c r="A898" s="167"/>
      <c r="B898" s="167"/>
      <c r="C898" s="167"/>
      <c r="D898" s="143"/>
      <c r="E898" s="167"/>
      <c r="F898" s="167"/>
      <c r="G898" s="167"/>
      <c r="H898" s="167"/>
      <c r="I898" s="167"/>
      <c r="J898" s="167"/>
      <c r="K898" s="167"/>
      <c r="L898" s="167"/>
      <c r="X898" s="145"/>
      <c r="Y898" s="145"/>
      <c r="Z898" s="145"/>
      <c r="AA898" s="170"/>
      <c r="AB898" s="170"/>
      <c r="AC898" s="168"/>
      <c r="AD898" s="168"/>
      <c r="AE898" s="168"/>
      <c r="AF898" s="168"/>
      <c r="AG898" s="168"/>
      <c r="AH898" s="168"/>
      <c r="AI898" s="168"/>
      <c r="AJ898" s="168"/>
      <c r="AK898" s="168"/>
      <c r="AL898" s="168"/>
      <c r="AM898" s="168"/>
      <c r="AN898" s="168"/>
      <c r="AO898" s="168"/>
      <c r="AP898" s="168"/>
      <c r="AQ898" s="168"/>
      <c r="AR898" s="168"/>
      <c r="AS898" s="168"/>
      <c r="AT898" s="168"/>
      <c r="AU898" s="168"/>
      <c r="AV898" s="168"/>
      <c r="AW898" s="168"/>
      <c r="AX898" s="168"/>
      <c r="AY898" s="168"/>
      <c r="AZ898" s="168"/>
      <c r="BA898" s="168"/>
      <c r="BB898" s="168"/>
      <c r="BC898" s="168"/>
      <c r="BD898" s="168"/>
    </row>
    <row r="899" spans="1:64" s="213" customFormat="1" ht="14.25" customHeight="1">
      <c r="A899" s="167">
        <f>A869+1</f>
        <v>30</v>
      </c>
      <c r="B899" s="167"/>
      <c r="C899" s="187" t="str">
        <f>IF($A$1 = 1, (IF("("&amp;C909&amp;")" ="()","","("&amp;C909&amp;")")), (IF("("&amp;C914&amp;")     ("&amp;C909&amp;")"="()     ()","","("&amp;C914&amp;")     ("&amp;C909&amp;")")))</f>
        <v>(175)     (138)</v>
      </c>
      <c r="D899" s="187" t="str">
        <f t="shared" ref="D899:J899" si="88">IF($A$1 = 1, (IF("("&amp;D909&amp;")" ="()","","("&amp;D909&amp;")")), (IF("("&amp;D914&amp;")     ("&amp;D909&amp;")"="()     ()","","("&amp;D914&amp;")     ("&amp;D909&amp;")")))</f>
        <v>(47)     (43)</v>
      </c>
      <c r="E899" s="187" t="str">
        <f t="shared" si="88"/>
        <v>(10)     (10)</v>
      </c>
      <c r="F899" s="187" t="str">
        <f t="shared" si="88"/>
        <v>(301)     (266)</v>
      </c>
      <c r="G899" s="187" t="str">
        <f t="shared" si="88"/>
        <v>(46)     (56)</v>
      </c>
      <c r="H899" s="187" t="str">
        <f t="shared" si="88"/>
        <v/>
      </c>
      <c r="I899" s="187" t="str">
        <f t="shared" si="88"/>
        <v/>
      </c>
      <c r="J899" s="187" t="str">
        <f t="shared" si="88"/>
        <v/>
      </c>
      <c r="K899" s="166"/>
      <c r="L899" s="166"/>
      <c r="M899" s="170"/>
      <c r="N899" s="170"/>
      <c r="O899" s="170"/>
      <c r="P899" s="170"/>
      <c r="Q899" s="170"/>
      <c r="R899" s="170"/>
      <c r="S899" s="170"/>
      <c r="T899" s="170"/>
      <c r="U899" s="170"/>
      <c r="V899" s="170"/>
      <c r="W899" s="170"/>
      <c r="X899" s="145"/>
      <c r="Y899" s="145"/>
      <c r="Z899" s="145"/>
      <c r="AA899" s="170"/>
      <c r="AB899" s="170"/>
      <c r="AC899" s="168"/>
      <c r="AD899" s="168"/>
      <c r="AE899" s="168"/>
      <c r="AF899" s="168"/>
      <c r="AG899" s="168"/>
      <c r="AH899" s="168"/>
      <c r="AI899" s="168"/>
      <c r="AJ899" s="168"/>
      <c r="AK899" s="168"/>
      <c r="AL899" s="168"/>
      <c r="AM899" s="168"/>
      <c r="AN899" s="168"/>
      <c r="AO899" s="168"/>
      <c r="AP899" s="168"/>
      <c r="AQ899" s="168"/>
      <c r="AR899" s="168"/>
      <c r="AS899" s="168"/>
      <c r="AT899" s="168"/>
      <c r="AU899" s="168"/>
      <c r="AV899" s="168"/>
      <c r="AW899" s="168"/>
      <c r="AX899" s="168"/>
      <c r="AY899" s="168"/>
      <c r="AZ899" s="168"/>
      <c r="BA899" s="168"/>
      <c r="BB899" s="168"/>
      <c r="BC899" s="168"/>
      <c r="BD899" s="168"/>
    </row>
    <row r="900" spans="1:64" s="213" customFormat="1" ht="111" customHeight="1">
      <c r="A900" s="167"/>
      <c r="B900" s="177"/>
      <c r="C900" s="347" t="s">
        <v>192</v>
      </c>
      <c r="D900" s="347" t="s">
        <v>189</v>
      </c>
      <c r="E900" s="347" t="s">
        <v>190</v>
      </c>
      <c r="F900" s="347" t="s">
        <v>939</v>
      </c>
      <c r="G900" s="491" t="s">
        <v>1</v>
      </c>
      <c r="H900" s="178"/>
      <c r="I900" s="178"/>
      <c r="J900" s="178"/>
      <c r="K900" s="178"/>
      <c r="L900" s="178"/>
      <c r="M900" s="208"/>
      <c r="N900" s="208"/>
      <c r="O900" s="208"/>
      <c r="P900" s="208"/>
      <c r="Q900" s="208"/>
      <c r="R900" s="208"/>
      <c r="S900" s="208"/>
      <c r="T900" s="208"/>
      <c r="U900" s="208"/>
      <c r="V900" s="208"/>
      <c r="W900" s="208"/>
      <c r="X900" s="210"/>
      <c r="Y900" s="210"/>
      <c r="Z900" s="210"/>
      <c r="AA900" s="210"/>
      <c r="AB900" s="210"/>
      <c r="AC900" s="210"/>
      <c r="AD900" s="210"/>
      <c r="AE900" s="210"/>
      <c r="AF900" s="210"/>
      <c r="AG900" s="210"/>
      <c r="AH900" s="210"/>
      <c r="AI900" s="210"/>
      <c r="AJ900" s="210"/>
      <c r="AK900" s="210"/>
      <c r="AL900" s="210"/>
      <c r="AM900" s="210"/>
      <c r="AN900" s="210"/>
      <c r="AO900" s="216"/>
      <c r="AP900" s="216"/>
      <c r="AQ900" s="216"/>
      <c r="AR900" s="216"/>
      <c r="AS900" s="216"/>
      <c r="AT900" s="216"/>
      <c r="AU900" s="216"/>
      <c r="AV900" s="216"/>
      <c r="AW900" s="216"/>
      <c r="AX900" s="210"/>
      <c r="AY900" s="216"/>
      <c r="AZ900" s="216"/>
      <c r="BA900" s="216"/>
      <c r="BB900" s="216"/>
      <c r="BC900" s="216"/>
      <c r="BD900" s="216"/>
      <c r="BE900" s="216"/>
      <c r="BF900" s="216"/>
      <c r="BG900" s="216"/>
      <c r="BH900" s="216"/>
      <c r="BI900" s="216"/>
      <c r="BJ900" s="210"/>
      <c r="BK900" s="210"/>
      <c r="BL900" s="210"/>
    </row>
    <row r="901" spans="1:64" s="213" customFormat="1" ht="18" customHeight="1" thickBot="1">
      <c r="A901" s="167"/>
      <c r="B901" s="181" t="s">
        <v>3</v>
      </c>
      <c r="C901" s="148">
        <v>66</v>
      </c>
      <c r="D901" s="148">
        <v>68</v>
      </c>
      <c r="E901" s="148">
        <v>45</v>
      </c>
      <c r="F901" s="148">
        <v>80</v>
      </c>
      <c r="G901" s="148">
        <v>40</v>
      </c>
      <c r="H901" s="148"/>
      <c r="I901" s="148"/>
      <c r="J901" s="148"/>
      <c r="K901" s="148"/>
      <c r="L901" s="148"/>
      <c r="M901" s="211"/>
      <c r="N901" s="211"/>
      <c r="O901" s="211"/>
      <c r="P901" s="211"/>
      <c r="Q901" s="211"/>
      <c r="R901" s="211"/>
      <c r="S901" s="211"/>
      <c r="T901" s="211"/>
      <c r="U901" s="211"/>
      <c r="V901" s="211"/>
      <c r="W901" s="211"/>
      <c r="X901" s="168"/>
      <c r="Y901" s="168"/>
      <c r="Z901" s="168"/>
      <c r="AA901" s="168"/>
      <c r="AB901" s="168"/>
      <c r="AC901" s="168"/>
      <c r="AD901" s="168"/>
      <c r="AE901" s="168"/>
      <c r="AF901" s="168"/>
      <c r="AG901" s="168"/>
      <c r="AH901" s="168"/>
      <c r="AI901" s="168"/>
      <c r="AJ901" s="168"/>
      <c r="AK901" s="168"/>
      <c r="AL901" s="168"/>
      <c r="AM901" s="168"/>
      <c r="AN901" s="168"/>
      <c r="AX901" s="168"/>
      <c r="BJ901" s="168"/>
      <c r="BK901" s="168"/>
      <c r="BL901" s="168"/>
    </row>
    <row r="902" spans="1:64" s="213" customFormat="1" ht="18" customHeight="1" thickBot="1">
      <c r="A902" s="167"/>
      <c r="B902" s="182" t="s">
        <v>18</v>
      </c>
      <c r="C902" s="148">
        <v>71</v>
      </c>
      <c r="D902" s="148">
        <v>63</v>
      </c>
      <c r="E902" s="148">
        <v>39</v>
      </c>
      <c r="F902" s="148">
        <v>79</v>
      </c>
      <c r="G902" s="148">
        <v>45</v>
      </c>
      <c r="H902" s="148"/>
      <c r="I902" s="148"/>
      <c r="J902" s="148"/>
      <c r="K902" s="148"/>
      <c r="L902" s="148"/>
      <c r="M902" s="145"/>
      <c r="N902" s="145"/>
      <c r="O902" s="145"/>
      <c r="P902" s="145"/>
      <c r="Q902" s="145"/>
      <c r="R902" s="145"/>
      <c r="S902" s="145"/>
      <c r="T902" s="145"/>
      <c r="U902" s="145"/>
      <c r="V902" s="145"/>
      <c r="W902" s="145"/>
      <c r="X902" s="168"/>
      <c r="Y902" s="168"/>
      <c r="Z902" s="168"/>
      <c r="AA902" s="168"/>
      <c r="AB902" s="168"/>
      <c r="AC902" s="168"/>
      <c r="AD902" s="168"/>
      <c r="AE902" s="168"/>
      <c r="AF902" s="168"/>
      <c r="AG902" s="168"/>
      <c r="AH902" s="168"/>
      <c r="AI902" s="168"/>
      <c r="AJ902" s="168"/>
      <c r="AK902" s="168"/>
      <c r="AL902" s="168"/>
      <c r="AM902" s="168"/>
      <c r="AN902" s="168"/>
      <c r="AX902" s="168"/>
      <c r="BJ902" s="168"/>
      <c r="BK902" s="168"/>
      <c r="BL902" s="168"/>
    </row>
    <row r="903" spans="1:64" s="168" customFormat="1" ht="18" customHeight="1" thickBot="1">
      <c r="A903" s="143"/>
      <c r="B903" s="183" t="s">
        <v>32</v>
      </c>
      <c r="C903" s="147">
        <v>63</v>
      </c>
      <c r="D903" s="147">
        <v>66</v>
      </c>
      <c r="E903" s="147">
        <v>41</v>
      </c>
      <c r="F903" s="147">
        <v>75</v>
      </c>
      <c r="G903" s="147">
        <v>42</v>
      </c>
      <c r="H903" s="147"/>
      <c r="I903" s="147"/>
      <c r="J903" s="147"/>
      <c r="K903" s="147"/>
      <c r="L903" s="147"/>
      <c r="M903" s="145"/>
      <c r="N903" s="145"/>
      <c r="O903" s="145"/>
      <c r="P903" s="145"/>
      <c r="Q903" s="145"/>
      <c r="R903" s="145"/>
      <c r="S903" s="145"/>
      <c r="T903" s="145"/>
      <c r="U903" s="145"/>
      <c r="V903" s="145"/>
      <c r="W903" s="145"/>
      <c r="AO903" s="213"/>
      <c r="AP903" s="213"/>
      <c r="AQ903" s="213"/>
      <c r="AR903" s="213"/>
      <c r="AS903" s="213"/>
      <c r="AT903" s="213"/>
      <c r="AU903" s="213"/>
      <c r="AV903" s="213"/>
      <c r="AW903" s="213"/>
      <c r="AY903" s="213"/>
      <c r="AZ903" s="213"/>
      <c r="BA903" s="213"/>
      <c r="BB903" s="213"/>
      <c r="BC903" s="213"/>
      <c r="BD903" s="213"/>
      <c r="BE903" s="213"/>
      <c r="BF903" s="213"/>
      <c r="BG903" s="213"/>
      <c r="BH903" s="213"/>
    </row>
    <row r="904" spans="1:64" s="213" customFormat="1" ht="18" customHeight="1" thickBot="1">
      <c r="A904" s="167"/>
      <c r="B904" s="182" t="s">
        <v>45</v>
      </c>
      <c r="C904" s="145">
        <v>60</v>
      </c>
      <c r="D904" s="145">
        <v>62</v>
      </c>
      <c r="E904" s="145">
        <v>29</v>
      </c>
      <c r="F904" s="145">
        <v>80</v>
      </c>
      <c r="G904" s="145">
        <v>38</v>
      </c>
      <c r="H904" s="145"/>
      <c r="I904" s="145"/>
      <c r="J904" s="145"/>
      <c r="K904" s="145"/>
      <c r="L904" s="145"/>
      <c r="M904" s="145"/>
      <c r="N904" s="145"/>
      <c r="O904" s="145"/>
      <c r="P904" s="145"/>
      <c r="Q904" s="145"/>
      <c r="R904" s="145"/>
      <c r="S904" s="145"/>
      <c r="T904" s="145"/>
      <c r="U904" s="145"/>
      <c r="V904" s="145"/>
      <c r="W904" s="145"/>
      <c r="X904" s="168"/>
      <c r="Y904" s="168"/>
      <c r="Z904" s="168"/>
      <c r="AA904" s="168"/>
      <c r="AB904" s="168"/>
      <c r="AC904" s="168"/>
      <c r="AD904" s="168"/>
      <c r="AE904" s="168"/>
      <c r="AF904" s="168"/>
      <c r="AG904" s="168"/>
      <c r="AH904" s="168"/>
      <c r="AI904" s="168"/>
      <c r="AJ904" s="168"/>
      <c r="AK904" s="168"/>
      <c r="AL904" s="168"/>
      <c r="AM904" s="168"/>
      <c r="AN904" s="168"/>
      <c r="AX904" s="168"/>
      <c r="BI904" s="168"/>
      <c r="BJ904" s="168"/>
      <c r="BK904" s="168"/>
      <c r="BL904" s="168"/>
    </row>
    <row r="905" spans="1:64" s="213" customFormat="1" ht="18" customHeight="1" thickBot="1">
      <c r="A905" s="167"/>
      <c r="B905" s="184" t="s">
        <v>54</v>
      </c>
      <c r="C905" s="146">
        <v>69</v>
      </c>
      <c r="D905" s="146">
        <v>63</v>
      </c>
      <c r="E905" s="146">
        <v>28</v>
      </c>
      <c r="F905" s="146">
        <v>79</v>
      </c>
      <c r="G905" s="146">
        <v>41</v>
      </c>
      <c r="H905" s="146"/>
      <c r="I905" s="146"/>
      <c r="J905" s="146"/>
      <c r="K905" s="146"/>
      <c r="L905" s="146"/>
      <c r="M905" s="145"/>
      <c r="N905" s="145"/>
      <c r="O905" s="145"/>
      <c r="P905" s="145"/>
      <c r="Q905" s="145"/>
      <c r="R905" s="145"/>
      <c r="S905" s="145"/>
      <c r="T905" s="145"/>
      <c r="U905" s="145"/>
      <c r="V905" s="145"/>
      <c r="W905" s="145"/>
      <c r="X905" s="168"/>
      <c r="Y905" s="168"/>
      <c r="Z905" s="168"/>
      <c r="AA905" s="168"/>
      <c r="AB905" s="168"/>
      <c r="AC905" s="168"/>
      <c r="AD905" s="168"/>
      <c r="AE905" s="168"/>
      <c r="AF905" s="168"/>
      <c r="AG905" s="168"/>
      <c r="AH905" s="168"/>
      <c r="AI905" s="168"/>
      <c r="AJ905" s="168"/>
      <c r="AK905" s="168"/>
      <c r="AL905" s="168"/>
      <c r="AM905" s="168"/>
      <c r="AN905" s="168"/>
      <c r="AX905" s="168"/>
      <c r="BI905" s="168"/>
      <c r="BJ905" s="168"/>
      <c r="BK905" s="168"/>
      <c r="BL905" s="168"/>
    </row>
    <row r="906" spans="1:64" s="213" customFormat="1">
      <c r="A906" s="167"/>
      <c r="B906" s="182" t="s">
        <v>66</v>
      </c>
      <c r="C906" s="125">
        <v>62</v>
      </c>
      <c r="D906" s="125">
        <v>63</v>
      </c>
      <c r="E906" s="125">
        <v>30</v>
      </c>
      <c r="F906" s="125">
        <v>79</v>
      </c>
      <c r="G906" s="145">
        <v>29</v>
      </c>
      <c r="H906" s="125"/>
      <c r="I906" s="125"/>
      <c r="J906" s="125"/>
      <c r="K906" s="125"/>
      <c r="L906" s="125"/>
      <c r="M906" s="145"/>
      <c r="N906" s="145"/>
      <c r="O906" s="145"/>
      <c r="P906" s="145"/>
      <c r="Q906" s="145"/>
      <c r="R906" s="145"/>
      <c r="S906" s="145"/>
      <c r="T906" s="145"/>
      <c r="U906" s="145"/>
      <c r="V906" s="145"/>
      <c r="W906" s="145"/>
      <c r="X906" s="168"/>
      <c r="Y906" s="168"/>
      <c r="Z906" s="168"/>
      <c r="AA906" s="168"/>
      <c r="AB906" s="168"/>
      <c r="AC906" s="168"/>
      <c r="AD906" s="168"/>
      <c r="AE906" s="168"/>
      <c r="AF906" s="168"/>
      <c r="AG906" s="168"/>
      <c r="AH906" s="168"/>
      <c r="AI906" s="168"/>
      <c r="AJ906" s="168"/>
      <c r="AK906" s="168"/>
      <c r="AL906" s="168"/>
      <c r="AM906" s="168"/>
      <c r="AN906" s="168"/>
      <c r="AX906" s="168"/>
      <c r="BI906" s="168"/>
      <c r="BJ906" s="168"/>
      <c r="BK906" s="168"/>
      <c r="BL906" s="168"/>
    </row>
    <row r="907" spans="1:64" s="213" customFormat="1">
      <c r="A907" s="167"/>
      <c r="B907" s="182" t="s">
        <v>158</v>
      </c>
      <c r="C907" s="126">
        <v>66</v>
      </c>
      <c r="D907" s="126">
        <v>65</v>
      </c>
      <c r="E907" s="126">
        <v>38</v>
      </c>
      <c r="F907" s="126">
        <v>78</v>
      </c>
      <c r="G907" s="126">
        <v>41</v>
      </c>
      <c r="H907" s="126"/>
      <c r="I907" s="126"/>
      <c r="J907" s="126"/>
      <c r="K907" s="126"/>
      <c r="L907" s="126"/>
      <c r="M907" s="126"/>
      <c r="N907" s="126"/>
      <c r="O907" s="126"/>
      <c r="P907" s="126"/>
      <c r="Q907" s="126"/>
      <c r="R907" s="126"/>
      <c r="S907" s="126"/>
      <c r="T907" s="126"/>
      <c r="U907" s="126"/>
      <c r="V907" s="126"/>
      <c r="W907" s="126"/>
      <c r="X907" s="168"/>
      <c r="Y907" s="168"/>
      <c r="Z907" s="168"/>
      <c r="AA907" s="168"/>
      <c r="AB907" s="168"/>
      <c r="AC907" s="168"/>
      <c r="AD907" s="168"/>
      <c r="AE907" s="168"/>
      <c r="AF907" s="168"/>
      <c r="AG907" s="168"/>
      <c r="AH907" s="168"/>
      <c r="AI907" s="168"/>
      <c r="AJ907" s="168"/>
      <c r="AK907" s="168"/>
      <c r="AL907" s="168"/>
      <c r="AM907" s="168"/>
      <c r="AN907" s="168"/>
      <c r="AX907" s="168"/>
      <c r="BI907" s="168"/>
      <c r="BJ907" s="168"/>
      <c r="BK907" s="168"/>
      <c r="BL907" s="168"/>
    </row>
    <row r="908" spans="1:64" s="213" customFormat="1">
      <c r="A908" s="167"/>
      <c r="B908" s="182" t="s">
        <v>191</v>
      </c>
      <c r="C908" s="126">
        <v>69</v>
      </c>
      <c r="D908" s="126">
        <v>69</v>
      </c>
      <c r="E908" s="126">
        <v>69</v>
      </c>
      <c r="F908" s="126">
        <v>69</v>
      </c>
      <c r="G908" s="126">
        <v>69</v>
      </c>
      <c r="H908" s="126"/>
      <c r="I908" s="126"/>
      <c r="J908" s="126"/>
      <c r="K908" s="126"/>
      <c r="L908" s="126"/>
      <c r="M908" s="126"/>
      <c r="N908" s="126"/>
      <c r="O908" s="126"/>
      <c r="P908" s="126"/>
      <c r="Q908" s="126"/>
      <c r="R908" s="126"/>
      <c r="S908" s="126"/>
      <c r="T908" s="126"/>
      <c r="U908" s="126"/>
      <c r="V908" s="126"/>
      <c r="W908" s="126"/>
      <c r="X908" s="168"/>
      <c r="Y908" s="168"/>
      <c r="Z908" s="168"/>
      <c r="AA908" s="168"/>
      <c r="AB908" s="168"/>
      <c r="AC908" s="168"/>
      <c r="AD908" s="168"/>
      <c r="AE908" s="168"/>
      <c r="AF908" s="168"/>
      <c r="AG908" s="168"/>
      <c r="AH908" s="168"/>
      <c r="AI908" s="168"/>
      <c r="AJ908" s="168"/>
      <c r="AK908" s="168"/>
      <c r="AL908" s="168"/>
      <c r="AM908" s="168"/>
      <c r="AN908" s="168"/>
      <c r="AO908" s="214"/>
      <c r="AP908" s="214"/>
      <c r="AQ908" s="214"/>
      <c r="AR908" s="214"/>
      <c r="AS908" s="214"/>
      <c r="AX908" s="168"/>
      <c r="BI908" s="168"/>
      <c r="BJ908" s="168"/>
      <c r="BK908" s="168"/>
      <c r="BL908" s="168"/>
    </row>
    <row r="909" spans="1:64" s="213" customFormat="1" ht="15" thickBot="1">
      <c r="A909" s="167"/>
      <c r="B909" s="182" t="s">
        <v>442</v>
      </c>
      <c r="C909" s="315">
        <v>138</v>
      </c>
      <c r="D909" s="315">
        <v>43</v>
      </c>
      <c r="E909" s="315">
        <v>10</v>
      </c>
      <c r="F909" s="315">
        <v>266</v>
      </c>
      <c r="G909" s="126">
        <v>56</v>
      </c>
      <c r="H909" s="315"/>
      <c r="I909" s="315"/>
      <c r="J909" s="315"/>
      <c r="K909" s="315"/>
      <c r="L909" s="315"/>
      <c r="M909" s="126"/>
      <c r="N909" s="126"/>
      <c r="O909" s="126"/>
      <c r="P909" s="126"/>
      <c r="Q909" s="126"/>
      <c r="R909" s="126"/>
      <c r="S909" s="126"/>
      <c r="T909" s="126"/>
      <c r="U909" s="126"/>
      <c r="V909" s="126"/>
      <c r="W909" s="126"/>
      <c r="X909" s="168"/>
      <c r="Y909" s="168"/>
      <c r="Z909" s="168"/>
      <c r="AA909" s="168"/>
      <c r="AB909" s="168"/>
      <c r="AC909" s="168"/>
      <c r="AD909" s="168"/>
      <c r="AE909" s="168"/>
      <c r="AF909" s="168"/>
      <c r="AG909" s="168"/>
      <c r="AH909" s="168"/>
      <c r="AI909" s="168"/>
      <c r="AJ909" s="168"/>
      <c r="AK909" s="168"/>
      <c r="AL909" s="168"/>
      <c r="AM909" s="168"/>
      <c r="AN909" s="168"/>
      <c r="AX909" s="168"/>
      <c r="BI909" s="168"/>
      <c r="BJ909" s="168"/>
      <c r="BK909" s="168"/>
      <c r="BL909" s="168"/>
    </row>
    <row r="910" spans="1:64" s="213" customFormat="1">
      <c r="A910" s="167"/>
      <c r="B910" s="338" t="s">
        <v>166</v>
      </c>
      <c r="C910" s="316">
        <f>IF(OR(C913="**",C913=""),"",VALUE(C913))</f>
        <v>67.489999999999995</v>
      </c>
      <c r="D910" s="316">
        <f t="shared" ref="D910:G910" si="89">IF(OR(D913="**",D913=""),"",VALUE(D913))</f>
        <v>60.86</v>
      </c>
      <c r="E910" s="316">
        <f t="shared" si="89"/>
        <v>43.1</v>
      </c>
      <c r="F910" s="316">
        <f t="shared" si="89"/>
        <v>81.81</v>
      </c>
      <c r="G910" s="316">
        <f t="shared" si="89"/>
        <v>54.92</v>
      </c>
      <c r="H910" s="316"/>
      <c r="I910" s="316"/>
      <c r="J910" s="316"/>
      <c r="K910" s="316"/>
      <c r="L910" s="316"/>
      <c r="M910" s="126"/>
      <c r="N910" s="126"/>
      <c r="O910" s="126"/>
      <c r="P910" s="126"/>
      <c r="Q910" s="126"/>
      <c r="R910" s="126"/>
      <c r="S910" s="126"/>
      <c r="T910" s="126"/>
      <c r="U910" s="126"/>
      <c r="V910" s="126"/>
      <c r="W910" s="126"/>
      <c r="X910" s="168"/>
      <c r="Y910" s="168"/>
      <c r="Z910" s="168"/>
      <c r="AA910" s="168"/>
      <c r="AB910" s="168"/>
      <c r="AC910" s="168"/>
      <c r="AD910" s="168"/>
      <c r="AE910" s="168"/>
      <c r="AF910" s="168"/>
      <c r="AG910" s="168"/>
      <c r="AH910" s="168"/>
      <c r="AI910" s="168"/>
      <c r="AJ910" s="168"/>
      <c r="AK910" s="168"/>
      <c r="AL910" s="168"/>
      <c r="AM910" s="168"/>
      <c r="AN910" s="168"/>
      <c r="AX910" s="168"/>
      <c r="BI910" s="168"/>
      <c r="BJ910" s="168"/>
      <c r="BK910" s="168"/>
      <c r="BL910" s="168"/>
    </row>
    <row r="911" spans="1:64" s="213" customFormat="1" ht="15" thickBot="1">
      <c r="A911" s="167"/>
      <c r="B911" s="339" t="s">
        <v>165</v>
      </c>
      <c r="C911" s="317">
        <f t="shared" ref="C911:G911" si="90">IF(OR(C907="**",C907=""),"",VALUE(C907))</f>
        <v>66</v>
      </c>
      <c r="D911" s="317">
        <f t="shared" si="90"/>
        <v>65</v>
      </c>
      <c r="E911" s="317">
        <f t="shared" si="90"/>
        <v>38</v>
      </c>
      <c r="F911" s="317">
        <f t="shared" si="90"/>
        <v>78</v>
      </c>
      <c r="G911" s="317">
        <f t="shared" si="90"/>
        <v>41</v>
      </c>
      <c r="H911" s="317"/>
      <c r="I911" s="317"/>
      <c r="J911" s="317"/>
      <c r="K911" s="317"/>
      <c r="L911" s="317"/>
      <c r="M911" s="169"/>
      <c r="N911" s="169"/>
      <c r="O911" s="169"/>
      <c r="P911" s="169"/>
      <c r="Q911" s="169"/>
      <c r="R911" s="169"/>
      <c r="S911" s="169"/>
      <c r="T911" s="169"/>
      <c r="U911" s="169"/>
      <c r="V911" s="169"/>
      <c r="W911" s="169"/>
      <c r="X911" s="168"/>
      <c r="Y911" s="168"/>
      <c r="Z911" s="168"/>
      <c r="AA911" s="168"/>
      <c r="AB911" s="168"/>
      <c r="AC911" s="168"/>
      <c r="AD911" s="168"/>
      <c r="AE911" s="168"/>
      <c r="AF911" s="168"/>
      <c r="AG911" s="168"/>
      <c r="AH911" s="168"/>
      <c r="AI911" s="168"/>
      <c r="AJ911" s="168"/>
      <c r="AK911" s="168"/>
      <c r="AL911" s="168"/>
      <c r="AM911" s="168"/>
      <c r="AN911" s="168"/>
      <c r="AO911" s="169"/>
      <c r="AP911" s="169"/>
      <c r="AQ911" s="169"/>
      <c r="AR911" s="169"/>
      <c r="AS911" s="169"/>
      <c r="AT911" s="169"/>
      <c r="AU911" s="169"/>
      <c r="AV911" s="169"/>
      <c r="BI911" s="168"/>
      <c r="BJ911" s="168"/>
      <c r="BK911" s="168"/>
      <c r="BL911" s="168"/>
    </row>
    <row r="912" spans="1:64" s="213" customFormat="1">
      <c r="A912" s="167"/>
      <c r="B912" s="340" t="s">
        <v>483</v>
      </c>
      <c r="C912" s="167" t="s">
        <v>887</v>
      </c>
      <c r="D912" s="167" t="s">
        <v>888</v>
      </c>
      <c r="E912" s="167"/>
      <c r="F912" s="167" t="s">
        <v>937</v>
      </c>
      <c r="G912" s="167" t="s">
        <v>938</v>
      </c>
      <c r="H912" s="166"/>
      <c r="I912" s="166"/>
      <c r="J912" s="166"/>
      <c r="K912" s="166"/>
      <c r="L912" s="166"/>
      <c r="M912" s="169"/>
      <c r="N912" s="169"/>
      <c r="O912" s="169"/>
      <c r="P912" s="169"/>
      <c r="Q912" s="169"/>
      <c r="R912" s="169"/>
      <c r="S912" s="169"/>
      <c r="T912" s="169"/>
      <c r="U912" s="169"/>
      <c r="V912" s="169"/>
      <c r="W912" s="169"/>
      <c r="X912" s="168"/>
      <c r="Y912" s="168"/>
      <c r="Z912" s="168"/>
      <c r="AA912" s="168"/>
      <c r="AB912" s="168"/>
      <c r="AC912" s="168"/>
      <c r="AD912" s="168"/>
      <c r="AE912" s="168"/>
      <c r="AF912" s="168"/>
      <c r="AG912" s="168"/>
      <c r="AH912" s="168"/>
      <c r="AI912" s="168"/>
      <c r="AJ912" s="168"/>
      <c r="AK912" s="168"/>
      <c r="AL912" s="168"/>
      <c r="AM912" s="168"/>
      <c r="AN912" s="168"/>
      <c r="AO912" s="168"/>
      <c r="AP912" s="168"/>
      <c r="AQ912" s="168"/>
    </row>
    <row r="913" spans="1:12" s="213" customFormat="1">
      <c r="A913" s="167"/>
      <c r="B913" s="182" t="s">
        <v>158</v>
      </c>
      <c r="C913" s="330">
        <v>67.489999999999995</v>
      </c>
      <c r="D913" s="330">
        <v>60.86</v>
      </c>
      <c r="E913" s="330">
        <v>43.1</v>
      </c>
      <c r="F913" s="330">
        <v>81.81</v>
      </c>
      <c r="G913" s="330">
        <v>54.92</v>
      </c>
      <c r="H913" s="166"/>
      <c r="I913" s="166"/>
      <c r="J913" s="166"/>
      <c r="K913" s="166"/>
      <c r="L913" s="166"/>
    </row>
    <row r="914" spans="1:12" s="168" customFormat="1">
      <c r="A914" s="143"/>
      <c r="B914" s="340" t="s">
        <v>442</v>
      </c>
      <c r="C914" s="323">
        <v>175</v>
      </c>
      <c r="D914" s="323">
        <v>47</v>
      </c>
      <c r="E914" s="323">
        <v>10</v>
      </c>
      <c r="F914" s="323">
        <v>301</v>
      </c>
      <c r="G914" s="323">
        <v>46</v>
      </c>
      <c r="H914" s="165"/>
      <c r="I914" s="165"/>
      <c r="J914" s="165"/>
      <c r="K914" s="165"/>
      <c r="L914" s="165"/>
    </row>
    <row r="915" spans="1:12" s="168" customFormat="1">
      <c r="A915" s="143"/>
      <c r="B915" s="172"/>
      <c r="C915" s="143"/>
      <c r="D915" s="143"/>
      <c r="E915" s="143"/>
      <c r="F915" s="143"/>
      <c r="G915" s="143"/>
      <c r="H915" s="143"/>
      <c r="I915" s="143"/>
      <c r="J915" s="143"/>
      <c r="K915" s="143"/>
      <c r="L915" s="143"/>
    </row>
    <row r="916" spans="1:12" s="168" customFormat="1">
      <c r="A916" s="143"/>
      <c r="B916" s="172"/>
      <c r="C916" s="143"/>
      <c r="D916" s="143"/>
      <c r="E916" s="143"/>
      <c r="F916" s="143"/>
      <c r="G916" s="143"/>
      <c r="H916" s="143"/>
      <c r="I916" s="143"/>
      <c r="J916" s="143"/>
      <c r="K916" s="143"/>
      <c r="L916" s="143"/>
    </row>
    <row r="917" spans="1:12" s="168" customFormat="1">
      <c r="A917" s="143"/>
      <c r="B917" s="172"/>
      <c r="C917" s="143"/>
      <c r="D917" s="143"/>
      <c r="E917" s="143"/>
      <c r="F917" s="143"/>
      <c r="G917" s="143"/>
      <c r="H917" s="143"/>
      <c r="I917" s="143"/>
      <c r="J917" s="143"/>
      <c r="K917" s="143"/>
      <c r="L917" s="143"/>
    </row>
    <row r="918" spans="1:12" s="168" customFormat="1">
      <c r="A918" s="143"/>
      <c r="B918" s="172"/>
      <c r="C918" s="143"/>
      <c r="D918" s="143"/>
      <c r="E918" s="143"/>
      <c r="F918" s="143"/>
      <c r="G918" s="143"/>
      <c r="H918" s="143"/>
      <c r="I918" s="143"/>
      <c r="J918" s="143"/>
      <c r="K918" s="143"/>
      <c r="L918" s="143"/>
    </row>
    <row r="919" spans="1:12" s="168" customFormat="1">
      <c r="A919" s="143"/>
      <c r="B919" s="172"/>
      <c r="C919" s="143"/>
      <c r="D919" s="143"/>
      <c r="E919" s="143"/>
      <c r="F919" s="143"/>
      <c r="G919" s="143"/>
      <c r="H919" s="143"/>
      <c r="I919" s="143"/>
      <c r="J919" s="143"/>
      <c r="K919" s="143"/>
      <c r="L919" s="143"/>
    </row>
    <row r="920" spans="1:12" s="168" customFormat="1">
      <c r="A920" s="143"/>
      <c r="B920" s="172"/>
      <c r="C920" s="143"/>
      <c r="D920" s="143"/>
      <c r="E920" s="143"/>
      <c r="F920" s="143"/>
      <c r="G920" s="143"/>
      <c r="H920" s="143"/>
      <c r="I920" s="143"/>
      <c r="J920" s="143"/>
      <c r="K920" s="143"/>
      <c r="L920" s="143"/>
    </row>
    <row r="921" spans="1:12" s="168" customFormat="1">
      <c r="A921" s="143"/>
      <c r="B921" s="172"/>
      <c r="C921" s="143"/>
      <c r="D921" s="143"/>
      <c r="E921" s="143"/>
      <c r="F921" s="143"/>
      <c r="G921" s="143"/>
      <c r="H921" s="143"/>
      <c r="I921" s="143"/>
      <c r="J921" s="143"/>
      <c r="K921" s="143"/>
      <c r="L921" s="143"/>
    </row>
    <row r="922" spans="1:12" s="168" customFormat="1">
      <c r="A922" s="143"/>
      <c r="B922" s="172"/>
      <c r="C922" s="143"/>
      <c r="D922" s="143"/>
      <c r="E922" s="143"/>
      <c r="F922" s="143"/>
      <c r="G922" s="143"/>
      <c r="H922" s="143"/>
      <c r="I922" s="143"/>
      <c r="J922" s="143"/>
      <c r="K922" s="143"/>
      <c r="L922" s="143"/>
    </row>
    <row r="923" spans="1:12" s="212" customFormat="1" ht="13.5">
      <c r="B923" s="204"/>
    </row>
    <row r="924" spans="1:12" s="210" customFormat="1" ht="13.5">
      <c r="B924" s="207"/>
    </row>
    <row r="925" spans="1:12" s="168" customFormat="1">
      <c r="B925" s="182"/>
    </row>
    <row r="926" spans="1:12" s="168" customFormat="1">
      <c r="B926" s="182"/>
    </row>
    <row r="927" spans="1:12" s="168" customFormat="1">
      <c r="B927" s="182"/>
    </row>
    <row r="928" spans="1:12" s="168" customFormat="1">
      <c r="B928" s="182"/>
    </row>
    <row r="929" spans="1:12" s="168" customFormat="1">
      <c r="B929" s="182"/>
    </row>
    <row r="930" spans="1:12" s="168" customFormat="1">
      <c r="B930" s="182"/>
    </row>
    <row r="931" spans="1:12" s="203" customFormat="1">
      <c r="B931" s="182"/>
    </row>
    <row r="932" spans="1:12" s="182" customFormat="1" ht="13.5">
      <c r="B932" s="127"/>
    </row>
    <row r="933" spans="1:12" s="126" customFormat="1" ht="12.75"/>
    <row r="934" spans="1:12" s="169" customFormat="1">
      <c r="B934" s="126"/>
    </row>
    <row r="935" spans="1:12" s="213" customFormat="1">
      <c r="B935" s="169"/>
    </row>
    <row r="936" spans="1:12" s="169" customFormat="1">
      <c r="B936" s="213"/>
    </row>
    <row r="937" spans="1:12" s="169" customFormat="1">
      <c r="B937" s="170"/>
    </row>
    <row r="938" spans="1:12" s="170" customFormat="1"/>
    <row r="939" spans="1:12" s="170" customFormat="1"/>
    <row r="940" spans="1:12" s="170" customFormat="1">
      <c r="A940" s="166"/>
      <c r="B940" s="166"/>
      <c r="C940" s="166"/>
      <c r="D940" s="166"/>
      <c r="E940" s="166"/>
      <c r="F940" s="166"/>
      <c r="G940" s="166"/>
      <c r="H940" s="166"/>
      <c r="I940" s="166"/>
      <c r="J940" s="166"/>
      <c r="K940" s="166"/>
      <c r="L940" s="166"/>
    </row>
    <row r="941" spans="1:12" s="170" customFormat="1">
      <c r="A941" s="166"/>
      <c r="B941" s="166"/>
      <c r="C941" s="166"/>
      <c r="D941" s="166"/>
      <c r="E941" s="166"/>
      <c r="F941" s="166"/>
      <c r="G941" s="166"/>
      <c r="H941" s="166"/>
      <c r="I941" s="166"/>
      <c r="J941" s="166"/>
      <c r="K941" s="166"/>
      <c r="L941" s="166"/>
    </row>
    <row r="942" spans="1:12" s="170" customFormat="1">
      <c r="A942" s="166"/>
      <c r="B942" s="143"/>
      <c r="C942" s="166"/>
      <c r="D942" s="166"/>
      <c r="E942" s="166"/>
      <c r="F942" s="166"/>
      <c r="G942" s="166"/>
      <c r="H942" s="166"/>
      <c r="I942" s="166"/>
      <c r="J942" s="166"/>
      <c r="K942" s="166"/>
      <c r="L942" s="166"/>
    </row>
    <row r="943" spans="1:12" s="168" customFormat="1">
      <c r="A943" s="143"/>
      <c r="B943" s="143"/>
      <c r="C943" s="143"/>
      <c r="D943" s="143"/>
      <c r="E943" s="143"/>
      <c r="F943" s="143"/>
      <c r="G943" s="143"/>
      <c r="H943" s="143"/>
      <c r="I943" s="143"/>
      <c r="J943" s="143"/>
      <c r="K943" s="143"/>
      <c r="L943" s="143"/>
    </row>
    <row r="944" spans="1:12" s="168" customFormat="1">
      <c r="A944" s="143"/>
      <c r="B944" s="143"/>
      <c r="C944" s="143"/>
      <c r="D944" s="143"/>
      <c r="E944" s="143"/>
      <c r="F944" s="143"/>
      <c r="G944" s="143"/>
      <c r="H944" s="143"/>
      <c r="I944" s="143"/>
      <c r="J944" s="143"/>
      <c r="K944" s="143"/>
      <c r="L944" s="143"/>
    </row>
    <row r="945" spans="1:12" s="168" customFormat="1">
      <c r="A945" s="143"/>
      <c r="B945" s="143"/>
      <c r="C945" s="143"/>
      <c r="D945" s="143"/>
      <c r="E945" s="143"/>
      <c r="F945" s="143"/>
      <c r="G945" s="143"/>
      <c r="H945" s="143"/>
      <c r="I945" s="143"/>
      <c r="J945" s="143"/>
      <c r="K945" s="143"/>
      <c r="L945" s="143"/>
    </row>
    <row r="946" spans="1:12" s="168" customFormat="1">
      <c r="A946" s="143"/>
      <c r="B946" s="143"/>
      <c r="C946" s="143"/>
      <c r="D946" s="143"/>
      <c r="E946" s="143"/>
      <c r="F946" s="143"/>
      <c r="G946" s="143"/>
      <c r="H946" s="143"/>
      <c r="I946" s="143"/>
      <c r="J946" s="143"/>
      <c r="K946" s="143"/>
      <c r="L946" s="143"/>
    </row>
    <row r="947" spans="1:12" s="168" customFormat="1">
      <c r="A947" s="143"/>
      <c r="B947" s="143"/>
      <c r="C947" s="143"/>
      <c r="D947" s="143"/>
      <c r="E947" s="143"/>
      <c r="F947" s="143"/>
      <c r="G947" s="143"/>
      <c r="H947" s="143"/>
      <c r="I947" s="143"/>
      <c r="J947" s="143"/>
      <c r="K947" s="143"/>
      <c r="L947" s="143"/>
    </row>
    <row r="948" spans="1:12" s="168" customFormat="1">
      <c r="A948" s="143"/>
      <c r="B948" s="143"/>
      <c r="C948" s="143"/>
      <c r="D948" s="143"/>
      <c r="E948" s="143"/>
      <c r="F948" s="143"/>
      <c r="G948" s="143"/>
      <c r="H948" s="143"/>
      <c r="I948" s="143"/>
      <c r="J948" s="143"/>
      <c r="K948" s="143"/>
      <c r="L948" s="143"/>
    </row>
    <row r="949" spans="1:12" s="168" customFormat="1">
      <c r="A949" s="143"/>
      <c r="B949" s="143"/>
      <c r="C949" s="143"/>
      <c r="D949" s="143"/>
      <c r="E949" s="143"/>
      <c r="F949" s="143"/>
      <c r="G949" s="143"/>
      <c r="H949" s="143"/>
      <c r="I949" s="143"/>
      <c r="J949" s="143"/>
      <c r="K949" s="143"/>
      <c r="L949" s="143"/>
    </row>
    <row r="950" spans="1:12" s="168" customFormat="1">
      <c r="A950" s="143"/>
      <c r="B950" s="143"/>
      <c r="C950" s="143"/>
      <c r="D950" s="143"/>
      <c r="E950" s="143"/>
      <c r="F950" s="143"/>
      <c r="G950" s="143"/>
      <c r="H950" s="143"/>
      <c r="I950" s="143"/>
      <c r="J950" s="143"/>
      <c r="K950" s="143"/>
      <c r="L950" s="143"/>
    </row>
    <row r="951" spans="1:12" s="168" customFormat="1">
      <c r="A951" s="143"/>
      <c r="B951" s="143"/>
      <c r="C951" s="143"/>
      <c r="D951" s="143"/>
      <c r="E951" s="143"/>
      <c r="F951" s="143"/>
      <c r="G951" s="143"/>
      <c r="H951" s="143"/>
      <c r="I951" s="143"/>
      <c r="J951" s="143"/>
      <c r="K951" s="143"/>
      <c r="L951" s="143"/>
    </row>
    <row r="952" spans="1:12" s="173" customFormat="1">
      <c r="B952" s="143"/>
    </row>
    <row r="953" spans="1:12" s="210" customFormat="1" ht="13.5">
      <c r="A953" s="179"/>
      <c r="B953" s="173"/>
      <c r="C953" s="179"/>
      <c r="D953" s="179"/>
      <c r="E953" s="179"/>
      <c r="F953" s="179"/>
      <c r="G953" s="179"/>
      <c r="H953" s="179"/>
      <c r="I953" s="179"/>
      <c r="J953" s="179"/>
      <c r="K953" s="179"/>
      <c r="L953" s="179"/>
    </row>
    <row r="954" spans="1:12" s="168" customFormat="1">
      <c r="A954" s="143"/>
      <c r="B954" s="179"/>
      <c r="C954" s="143"/>
      <c r="D954" s="143"/>
      <c r="E954" s="143"/>
      <c r="F954" s="143"/>
      <c r="G954" s="143"/>
      <c r="H954" s="143"/>
      <c r="I954" s="143"/>
      <c r="J954" s="143"/>
      <c r="K954" s="143"/>
      <c r="L954" s="143"/>
    </row>
    <row r="955" spans="1:12" s="168" customFormat="1">
      <c r="A955" s="143"/>
      <c r="B955" s="143"/>
      <c r="C955" s="143"/>
      <c r="D955" s="143"/>
      <c r="E955" s="143"/>
      <c r="F955" s="143"/>
      <c r="G955" s="143"/>
      <c r="H955" s="143"/>
      <c r="I955" s="143"/>
      <c r="J955" s="143"/>
      <c r="K955" s="143"/>
      <c r="L955" s="143"/>
    </row>
    <row r="956" spans="1:12" s="168" customFormat="1">
      <c r="A956" s="143"/>
      <c r="B956" s="143"/>
      <c r="C956" s="143"/>
      <c r="D956" s="143"/>
      <c r="E956" s="143"/>
      <c r="F956" s="143"/>
      <c r="G956" s="143"/>
      <c r="H956" s="143"/>
      <c r="I956" s="143"/>
      <c r="J956" s="143"/>
      <c r="K956" s="143"/>
      <c r="L956" s="143"/>
    </row>
    <row r="957" spans="1:12" s="168" customFormat="1">
      <c r="A957" s="143"/>
      <c r="B957" s="143"/>
      <c r="C957" s="143"/>
      <c r="D957" s="143"/>
      <c r="E957" s="143"/>
      <c r="F957" s="143"/>
      <c r="G957" s="143"/>
      <c r="H957" s="143"/>
      <c r="I957" s="143"/>
      <c r="J957" s="143"/>
      <c r="K957" s="143"/>
      <c r="L957" s="143"/>
    </row>
    <row r="958" spans="1:12" s="168" customFormat="1">
      <c r="A958" s="143"/>
      <c r="B958" s="143"/>
      <c r="C958" s="143"/>
      <c r="D958" s="143"/>
      <c r="E958" s="143"/>
      <c r="F958" s="143"/>
      <c r="G958" s="143"/>
      <c r="H958" s="143"/>
      <c r="I958" s="143"/>
      <c r="J958" s="143"/>
      <c r="K958" s="143"/>
      <c r="L958" s="143"/>
    </row>
    <row r="959" spans="1:12" s="168" customFormat="1">
      <c r="A959" s="143"/>
      <c r="B959" s="143"/>
      <c r="C959" s="143"/>
      <c r="D959" s="143"/>
      <c r="E959" s="143"/>
      <c r="F959" s="143"/>
      <c r="G959" s="143"/>
      <c r="H959" s="143"/>
      <c r="I959" s="143"/>
      <c r="J959" s="143"/>
      <c r="K959" s="143"/>
      <c r="L959" s="143"/>
    </row>
    <row r="960" spans="1:12" s="168" customFormat="1">
      <c r="A960" s="143"/>
      <c r="B960" s="143"/>
      <c r="C960" s="143"/>
      <c r="D960" s="143"/>
      <c r="E960" s="143"/>
      <c r="F960" s="143"/>
      <c r="G960" s="143"/>
      <c r="H960" s="143"/>
      <c r="I960" s="143"/>
      <c r="J960" s="143"/>
      <c r="K960" s="143"/>
      <c r="L960" s="143"/>
    </row>
    <row r="961" spans="1:12" s="168" customFormat="1">
      <c r="A961" s="143"/>
      <c r="B961" s="143"/>
      <c r="C961" s="143"/>
      <c r="D961" s="143"/>
      <c r="E961" s="143"/>
      <c r="F961" s="143"/>
      <c r="G961" s="143"/>
      <c r="H961" s="143"/>
      <c r="I961" s="143"/>
      <c r="J961" s="143"/>
      <c r="K961" s="143"/>
      <c r="L961" s="143"/>
    </row>
    <row r="962" spans="1:12" s="168" customFormat="1">
      <c r="A962" s="143"/>
      <c r="B962" s="143"/>
      <c r="C962" s="143"/>
      <c r="D962" s="143"/>
      <c r="E962" s="143"/>
      <c r="F962" s="143"/>
      <c r="G962" s="143"/>
      <c r="H962" s="143"/>
      <c r="I962" s="143"/>
      <c r="J962" s="143"/>
      <c r="K962" s="143"/>
      <c r="L962" s="143"/>
    </row>
    <row r="963" spans="1:12" s="168" customFormat="1">
      <c r="A963" s="143"/>
      <c r="B963" s="143"/>
      <c r="C963" s="143"/>
      <c r="D963" s="143"/>
      <c r="E963" s="143"/>
      <c r="F963" s="143"/>
      <c r="G963" s="143"/>
      <c r="H963" s="143"/>
      <c r="I963" s="143"/>
      <c r="J963" s="143"/>
      <c r="K963" s="143"/>
      <c r="L963" s="143"/>
    </row>
    <row r="964" spans="1:12" s="168" customFormat="1">
      <c r="A964" s="143"/>
      <c r="B964" s="143"/>
      <c r="C964" s="143"/>
      <c r="D964" s="143"/>
      <c r="E964" s="143"/>
      <c r="F964" s="143"/>
      <c r="G964" s="143"/>
      <c r="H964" s="143"/>
      <c r="I964" s="143"/>
      <c r="J964" s="143"/>
      <c r="K964" s="143"/>
      <c r="L964" s="143"/>
    </row>
    <row r="965" spans="1:12" s="168" customFormat="1">
      <c r="A965" s="143"/>
      <c r="B965" s="143"/>
      <c r="C965" s="143"/>
      <c r="D965" s="143"/>
      <c r="E965" s="143"/>
      <c r="F965" s="143"/>
      <c r="G965" s="143"/>
      <c r="H965" s="143"/>
      <c r="I965" s="143"/>
      <c r="J965" s="143"/>
      <c r="K965" s="143"/>
      <c r="L965" s="143"/>
    </row>
    <row r="966" spans="1:12" s="168" customFormat="1">
      <c r="A966" s="143"/>
      <c r="B966" s="143"/>
      <c r="C966" s="143"/>
      <c r="D966" s="143"/>
      <c r="E966" s="143"/>
      <c r="F966" s="143"/>
      <c r="G966" s="143"/>
      <c r="H966" s="143"/>
      <c r="I966" s="143"/>
      <c r="J966" s="143"/>
      <c r="K966" s="143"/>
      <c r="L966" s="143"/>
    </row>
    <row r="967" spans="1:12" s="168" customFormat="1">
      <c r="A967" s="143"/>
      <c r="B967" s="143"/>
      <c r="C967" s="143"/>
      <c r="D967" s="143"/>
      <c r="E967" s="143"/>
      <c r="F967" s="143"/>
      <c r="G967" s="143"/>
      <c r="H967" s="143"/>
      <c r="I967" s="143"/>
      <c r="J967" s="143"/>
      <c r="K967" s="143"/>
      <c r="L967" s="143"/>
    </row>
    <row r="968" spans="1:12" s="168" customFormat="1">
      <c r="A968" s="143"/>
      <c r="B968" s="143"/>
      <c r="C968" s="143"/>
      <c r="D968" s="143"/>
      <c r="E968" s="143"/>
      <c r="F968" s="143"/>
      <c r="G968" s="143"/>
      <c r="H968" s="143"/>
      <c r="I968" s="143"/>
      <c r="J968" s="143"/>
      <c r="K968" s="143"/>
      <c r="L968" s="143"/>
    </row>
    <row r="969" spans="1:12" s="168" customFormat="1">
      <c r="A969" s="143"/>
      <c r="B969" s="143"/>
      <c r="C969" s="143"/>
      <c r="D969" s="143"/>
      <c r="E969" s="143"/>
      <c r="F969" s="143"/>
      <c r="G969" s="143"/>
      <c r="H969" s="143"/>
      <c r="I969" s="143"/>
      <c r="J969" s="143"/>
      <c r="K969" s="143"/>
      <c r="L969" s="143"/>
    </row>
    <row r="970" spans="1:12" s="168" customFormat="1">
      <c r="A970" s="143"/>
      <c r="B970" s="143"/>
      <c r="C970" s="143"/>
      <c r="D970" s="143"/>
      <c r="E970" s="143"/>
      <c r="F970" s="143"/>
      <c r="G970" s="143"/>
      <c r="H970" s="143"/>
      <c r="I970" s="143"/>
      <c r="J970" s="143"/>
      <c r="K970" s="143"/>
      <c r="L970" s="143"/>
    </row>
    <row r="971" spans="1:12" s="168" customFormat="1">
      <c r="A971" s="143"/>
      <c r="B971" s="143"/>
      <c r="C971" s="143"/>
      <c r="D971" s="143"/>
      <c r="E971" s="143"/>
      <c r="F971" s="143"/>
      <c r="G971" s="143"/>
      <c r="H971" s="143"/>
      <c r="I971" s="143"/>
      <c r="J971" s="143"/>
      <c r="K971" s="143"/>
      <c r="L971" s="143"/>
    </row>
    <row r="972" spans="1:12" s="168" customFormat="1">
      <c r="A972" s="143"/>
      <c r="B972" s="143"/>
      <c r="C972" s="143"/>
      <c r="D972" s="143"/>
      <c r="E972" s="143"/>
      <c r="F972" s="143"/>
      <c r="G972" s="143"/>
      <c r="H972" s="143"/>
      <c r="I972" s="143"/>
      <c r="J972" s="143"/>
      <c r="K972" s="143"/>
      <c r="L972" s="143"/>
    </row>
    <row r="973" spans="1:12" s="168" customFormat="1">
      <c r="A973" s="143"/>
      <c r="B973" s="143"/>
      <c r="C973" s="143"/>
      <c r="D973" s="143"/>
      <c r="E973" s="143"/>
      <c r="F973" s="143"/>
      <c r="G973" s="143"/>
      <c r="H973" s="143"/>
      <c r="I973" s="143"/>
      <c r="J973" s="143"/>
      <c r="K973" s="143"/>
      <c r="L973" s="143"/>
    </row>
    <row r="974" spans="1:12" s="168" customFormat="1">
      <c r="A974" s="143"/>
      <c r="B974" s="143"/>
      <c r="C974" s="143"/>
      <c r="D974" s="143"/>
      <c r="E974" s="143"/>
      <c r="F974" s="143"/>
      <c r="G974" s="143"/>
      <c r="H974" s="143"/>
      <c r="I974" s="143"/>
      <c r="J974" s="143"/>
      <c r="K974" s="143"/>
      <c r="L974" s="143"/>
    </row>
    <row r="975" spans="1:12" s="168" customFormat="1">
      <c r="A975" s="143"/>
      <c r="B975" s="143"/>
      <c r="C975" s="143"/>
      <c r="D975" s="143"/>
      <c r="E975" s="143"/>
      <c r="F975" s="143"/>
      <c r="G975" s="143"/>
      <c r="H975" s="143"/>
      <c r="I975" s="143"/>
      <c r="J975" s="143"/>
      <c r="K975" s="143"/>
      <c r="L975" s="143"/>
    </row>
    <row r="976" spans="1:12" s="168" customFormat="1">
      <c r="A976" s="143"/>
      <c r="B976" s="143"/>
      <c r="C976" s="143"/>
      <c r="D976" s="143"/>
      <c r="E976" s="143"/>
      <c r="F976" s="143"/>
      <c r="G976" s="143"/>
      <c r="H976" s="143"/>
      <c r="I976" s="143"/>
      <c r="J976" s="143"/>
      <c r="K976" s="143"/>
      <c r="L976" s="143"/>
    </row>
    <row r="977" spans="1:12" s="168" customFormat="1">
      <c r="A977" s="143"/>
      <c r="B977" s="143"/>
      <c r="C977" s="143"/>
      <c r="D977" s="143"/>
      <c r="E977" s="143"/>
      <c r="F977" s="143"/>
      <c r="G977" s="143"/>
      <c r="H977" s="143"/>
      <c r="I977" s="143"/>
      <c r="J977" s="143"/>
      <c r="K977" s="143"/>
      <c r="L977" s="143"/>
    </row>
    <row r="978" spans="1:12" s="168" customFormat="1">
      <c r="A978" s="143"/>
      <c r="B978" s="143"/>
      <c r="C978" s="143"/>
      <c r="D978" s="143"/>
      <c r="E978" s="143"/>
      <c r="F978" s="143"/>
      <c r="G978" s="143"/>
      <c r="H978" s="143"/>
      <c r="I978" s="143"/>
      <c r="J978" s="143"/>
      <c r="K978" s="143"/>
      <c r="L978" s="143"/>
    </row>
    <row r="979" spans="1:12" s="168" customFormat="1">
      <c r="A979" s="143"/>
      <c r="B979" s="143"/>
      <c r="C979" s="143"/>
      <c r="D979" s="143"/>
      <c r="E979" s="143"/>
      <c r="F979" s="143"/>
      <c r="G979" s="143"/>
      <c r="H979" s="143"/>
      <c r="I979" s="143"/>
      <c r="J979" s="143"/>
      <c r="K979" s="143"/>
      <c r="L979" s="143"/>
    </row>
    <row r="980" spans="1:12" s="168" customFormat="1">
      <c r="A980" s="143"/>
      <c r="B980" s="143"/>
      <c r="C980" s="143"/>
      <c r="D980" s="143"/>
      <c r="E980" s="143"/>
      <c r="F980" s="143"/>
      <c r="G980" s="143"/>
      <c r="H980" s="143"/>
      <c r="I980" s="143"/>
      <c r="J980" s="143"/>
      <c r="K980" s="143"/>
      <c r="L980" s="143"/>
    </row>
    <row r="981" spans="1:12" s="168" customFormat="1">
      <c r="A981" s="143"/>
      <c r="B981" s="143"/>
      <c r="C981" s="143"/>
      <c r="D981" s="143"/>
      <c r="E981" s="143"/>
      <c r="F981" s="143"/>
      <c r="G981" s="143"/>
      <c r="H981" s="143"/>
      <c r="I981" s="143"/>
      <c r="J981" s="143"/>
      <c r="K981" s="143"/>
      <c r="L981" s="143"/>
    </row>
    <row r="982" spans="1:12" s="212" customFormat="1">
      <c r="A982" s="174"/>
      <c r="B982" s="143"/>
      <c r="C982" s="174"/>
      <c r="D982" s="174"/>
      <c r="E982" s="174"/>
      <c r="F982" s="174"/>
      <c r="G982" s="174"/>
      <c r="H982" s="174"/>
      <c r="I982" s="174"/>
      <c r="J982" s="174"/>
      <c r="K982" s="174"/>
      <c r="L982" s="174"/>
    </row>
    <row r="983" spans="1:12" s="210" customFormat="1" ht="13.5">
      <c r="A983" s="179"/>
      <c r="B983" s="174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</row>
    <row r="984" spans="1:12" s="168" customFormat="1">
      <c r="A984" s="143"/>
      <c r="B984" s="179"/>
      <c r="C984" s="143"/>
      <c r="D984" s="143"/>
      <c r="E984" s="143"/>
      <c r="F984" s="143"/>
      <c r="G984" s="143"/>
      <c r="H984" s="143"/>
      <c r="I984" s="143"/>
      <c r="J984" s="143"/>
      <c r="K984" s="143"/>
      <c r="L984" s="143"/>
    </row>
    <row r="985" spans="1:12" s="168" customFormat="1">
      <c r="A985" s="143"/>
      <c r="B985" s="143"/>
      <c r="C985" s="143"/>
      <c r="D985" s="143"/>
      <c r="E985" s="143"/>
      <c r="F985" s="143"/>
      <c r="G985" s="143"/>
      <c r="H985" s="143"/>
      <c r="I985" s="143"/>
      <c r="J985" s="143"/>
      <c r="K985" s="143"/>
      <c r="L985" s="143"/>
    </row>
    <row r="986" spans="1:12" s="168" customFormat="1">
      <c r="A986" s="143"/>
      <c r="B986" s="143"/>
      <c r="C986" s="143"/>
      <c r="D986" s="143"/>
      <c r="E986" s="143"/>
      <c r="F986" s="143"/>
      <c r="G986" s="143"/>
      <c r="H986" s="143"/>
      <c r="I986" s="143"/>
      <c r="J986" s="143"/>
      <c r="K986" s="143"/>
      <c r="L986" s="143"/>
    </row>
    <row r="987" spans="1:12" s="168" customFormat="1">
      <c r="A987" s="143"/>
      <c r="B987" s="143"/>
      <c r="C987" s="143"/>
      <c r="D987" s="143"/>
      <c r="E987" s="143"/>
      <c r="F987" s="143"/>
      <c r="G987" s="143"/>
      <c r="H987" s="143"/>
      <c r="I987" s="143"/>
      <c r="J987" s="143"/>
      <c r="K987" s="143"/>
      <c r="L987" s="143"/>
    </row>
    <row r="988" spans="1:12" s="168" customFormat="1">
      <c r="A988" s="143"/>
      <c r="B988" s="143"/>
      <c r="C988" s="143"/>
      <c r="D988" s="143"/>
      <c r="E988" s="143"/>
      <c r="F988" s="143"/>
      <c r="G988" s="143"/>
      <c r="H988" s="143"/>
      <c r="I988" s="143"/>
      <c r="J988" s="143"/>
      <c r="K988" s="143"/>
      <c r="L988" s="143"/>
    </row>
    <row r="989" spans="1:12" s="168" customFormat="1">
      <c r="A989" s="143"/>
      <c r="B989" s="143"/>
      <c r="C989" s="143"/>
      <c r="D989" s="143"/>
      <c r="E989" s="143"/>
      <c r="F989" s="143"/>
      <c r="G989" s="143"/>
      <c r="H989" s="143"/>
      <c r="I989" s="143"/>
      <c r="J989" s="143"/>
      <c r="K989" s="143"/>
      <c r="L989" s="143"/>
    </row>
    <row r="990" spans="1:12" s="168" customFormat="1">
      <c r="A990" s="143"/>
      <c r="B990" s="143"/>
      <c r="C990" s="143"/>
      <c r="D990" s="143"/>
      <c r="E990" s="143"/>
      <c r="F990" s="143"/>
      <c r="G990" s="143"/>
      <c r="H990" s="143"/>
      <c r="I990" s="143"/>
      <c r="J990" s="143"/>
      <c r="K990" s="143"/>
      <c r="L990" s="143"/>
    </row>
    <row r="991" spans="1:12" s="168" customFormat="1">
      <c r="A991" s="143"/>
      <c r="B991" s="143"/>
      <c r="C991" s="143"/>
      <c r="D991" s="143"/>
      <c r="E991" s="143"/>
      <c r="F991" s="143"/>
      <c r="G991" s="143"/>
      <c r="H991" s="143"/>
      <c r="I991" s="143"/>
      <c r="J991" s="143"/>
      <c r="K991" s="143"/>
      <c r="L991" s="143"/>
    </row>
    <row r="992" spans="1:12" s="168" customFormat="1">
      <c r="A992" s="143"/>
      <c r="B992" s="143"/>
      <c r="C992" s="143"/>
      <c r="D992" s="143"/>
      <c r="E992" s="143"/>
      <c r="F992" s="143"/>
      <c r="G992" s="143"/>
      <c r="H992" s="143"/>
      <c r="I992" s="143"/>
      <c r="J992" s="143"/>
      <c r="K992" s="143"/>
      <c r="L992" s="143"/>
    </row>
    <row r="993" spans="1:12" s="168" customFormat="1">
      <c r="A993" s="143"/>
      <c r="B993" s="143"/>
      <c r="C993" s="143"/>
      <c r="D993" s="143"/>
      <c r="E993" s="143"/>
      <c r="F993" s="143"/>
      <c r="G993" s="143"/>
      <c r="H993" s="143"/>
      <c r="I993" s="143"/>
      <c r="J993" s="143"/>
      <c r="K993" s="143"/>
      <c r="L993" s="143"/>
    </row>
    <row r="994" spans="1:12" s="168" customFormat="1">
      <c r="A994" s="143"/>
      <c r="B994" s="143"/>
      <c r="C994" s="143"/>
      <c r="D994" s="143"/>
      <c r="E994" s="143"/>
      <c r="F994" s="143"/>
      <c r="G994" s="143"/>
      <c r="H994" s="143"/>
      <c r="I994" s="143"/>
      <c r="J994" s="143"/>
      <c r="K994" s="143"/>
      <c r="L994" s="143"/>
    </row>
    <row r="995" spans="1:12" s="168" customFormat="1">
      <c r="A995" s="143"/>
      <c r="B995" s="143"/>
      <c r="C995" s="143"/>
      <c r="D995" s="143"/>
      <c r="E995" s="143"/>
      <c r="F995" s="143"/>
      <c r="G995" s="143"/>
      <c r="H995" s="143"/>
      <c r="I995" s="143"/>
      <c r="J995" s="143"/>
      <c r="K995" s="143"/>
      <c r="L995" s="143"/>
    </row>
    <row r="996" spans="1:12" s="168" customFormat="1">
      <c r="A996" s="143"/>
      <c r="B996" s="143"/>
      <c r="C996" s="143"/>
      <c r="D996" s="143"/>
      <c r="E996" s="143"/>
      <c r="F996" s="143"/>
      <c r="G996" s="143"/>
      <c r="H996" s="143"/>
      <c r="I996" s="143"/>
      <c r="J996" s="143"/>
      <c r="K996" s="143"/>
      <c r="L996" s="143"/>
    </row>
    <row r="997" spans="1:12" s="168" customFormat="1">
      <c r="A997" s="143"/>
      <c r="B997" s="143"/>
      <c r="C997" s="143"/>
      <c r="D997" s="143"/>
      <c r="E997" s="143"/>
      <c r="F997" s="143"/>
      <c r="G997" s="143"/>
      <c r="H997" s="143"/>
      <c r="I997" s="143"/>
      <c r="J997" s="143"/>
      <c r="K997" s="143"/>
      <c r="L997" s="143"/>
    </row>
    <row r="998" spans="1:12" s="168" customFormat="1">
      <c r="A998" s="143"/>
      <c r="B998" s="143"/>
      <c r="C998" s="143"/>
      <c r="D998" s="143"/>
      <c r="E998" s="143"/>
      <c r="F998" s="143"/>
      <c r="G998" s="143"/>
      <c r="H998" s="143"/>
      <c r="I998" s="143"/>
      <c r="J998" s="143"/>
      <c r="K998" s="143"/>
      <c r="L998" s="143"/>
    </row>
    <row r="999" spans="1:12" s="168" customFormat="1">
      <c r="A999" s="143"/>
      <c r="B999" s="143"/>
      <c r="C999" s="143"/>
      <c r="D999" s="143"/>
      <c r="E999" s="143"/>
      <c r="F999" s="143"/>
      <c r="G999" s="143"/>
      <c r="H999" s="143"/>
      <c r="I999" s="143"/>
      <c r="J999" s="143"/>
      <c r="K999" s="143"/>
      <c r="L999" s="143"/>
    </row>
    <row r="1000" spans="1:12" s="168" customFormat="1">
      <c r="A1000" s="143"/>
      <c r="B1000" s="143"/>
      <c r="C1000" s="143"/>
      <c r="D1000" s="143"/>
      <c r="E1000" s="143"/>
      <c r="F1000" s="143"/>
      <c r="G1000" s="143"/>
      <c r="H1000" s="143"/>
      <c r="I1000" s="143"/>
      <c r="J1000" s="143"/>
      <c r="K1000" s="143"/>
      <c r="L1000" s="143"/>
    </row>
    <row r="1001" spans="1:12" s="168" customFormat="1">
      <c r="A1001" s="143"/>
      <c r="B1001" s="143"/>
      <c r="C1001" s="143"/>
      <c r="D1001" s="143"/>
      <c r="E1001" s="143"/>
      <c r="F1001" s="143"/>
      <c r="G1001" s="143"/>
      <c r="H1001" s="143"/>
      <c r="I1001" s="143"/>
      <c r="J1001" s="143"/>
      <c r="K1001" s="143"/>
      <c r="L1001" s="143"/>
    </row>
    <row r="1002" spans="1:12" s="168" customFormat="1">
      <c r="A1002" s="143"/>
      <c r="B1002" s="167"/>
      <c r="C1002" s="143"/>
      <c r="D1002" s="143"/>
      <c r="E1002" s="143"/>
      <c r="F1002" s="143"/>
      <c r="G1002" s="143"/>
      <c r="H1002" s="143"/>
      <c r="I1002" s="143"/>
      <c r="J1002" s="143"/>
      <c r="K1002" s="143"/>
      <c r="L1002" s="143"/>
    </row>
    <row r="1003" spans="1:12" s="213" customFormat="1">
      <c r="A1003" s="167"/>
      <c r="B1003" s="167"/>
      <c r="C1003" s="167"/>
      <c r="D1003" s="167"/>
      <c r="E1003" s="167"/>
      <c r="F1003" s="167"/>
      <c r="G1003" s="167"/>
      <c r="H1003" s="167"/>
      <c r="I1003" s="167"/>
      <c r="J1003" s="167"/>
      <c r="K1003" s="167"/>
      <c r="L1003" s="167"/>
    </row>
    <row r="1004" spans="1:12" s="213" customFormat="1">
      <c r="A1004" s="167"/>
      <c r="B1004" s="167"/>
      <c r="C1004" s="167"/>
      <c r="D1004" s="167"/>
      <c r="E1004" s="167"/>
      <c r="F1004" s="167"/>
      <c r="G1004" s="167"/>
      <c r="H1004" s="167"/>
      <c r="I1004" s="167"/>
      <c r="J1004" s="167"/>
      <c r="K1004" s="167"/>
      <c r="L1004" s="167"/>
    </row>
    <row r="1005" spans="1:12" s="213" customFormat="1">
      <c r="A1005" s="167"/>
      <c r="B1005" s="167"/>
      <c r="C1005" s="167"/>
      <c r="D1005" s="167"/>
      <c r="E1005" s="167"/>
      <c r="F1005" s="167"/>
      <c r="G1005" s="167"/>
      <c r="H1005" s="167"/>
      <c r="I1005" s="167"/>
      <c r="J1005" s="167"/>
      <c r="K1005" s="167"/>
      <c r="L1005" s="167"/>
    </row>
    <row r="1006" spans="1:12" s="213" customFormat="1">
      <c r="A1006" s="167"/>
      <c r="B1006" s="167"/>
      <c r="C1006" s="167"/>
      <c r="D1006" s="167"/>
      <c r="E1006" s="167"/>
      <c r="F1006" s="167"/>
      <c r="G1006" s="167"/>
      <c r="H1006" s="167"/>
      <c r="I1006" s="167"/>
      <c r="J1006" s="167"/>
      <c r="K1006" s="167"/>
      <c r="L1006" s="167"/>
    </row>
    <row r="1007" spans="1:12" s="213" customFormat="1">
      <c r="A1007" s="167"/>
      <c r="B1007" s="167"/>
      <c r="C1007" s="167"/>
      <c r="D1007" s="167"/>
      <c r="E1007" s="167"/>
      <c r="F1007" s="167"/>
      <c r="G1007" s="167"/>
      <c r="H1007" s="167"/>
      <c r="I1007" s="167"/>
      <c r="J1007" s="167"/>
      <c r="K1007" s="167"/>
      <c r="L1007" s="167"/>
    </row>
    <row r="1008" spans="1:12" s="213" customFormat="1">
      <c r="A1008" s="167"/>
      <c r="B1008" s="167"/>
      <c r="C1008" s="167"/>
      <c r="D1008" s="167"/>
      <c r="E1008" s="167"/>
      <c r="F1008" s="167"/>
      <c r="G1008" s="167"/>
      <c r="H1008" s="167"/>
      <c r="I1008" s="167"/>
      <c r="J1008" s="167"/>
      <c r="K1008" s="167"/>
      <c r="L1008" s="167"/>
    </row>
    <row r="1009" spans="1:12" s="213" customFormat="1">
      <c r="A1009" s="167"/>
      <c r="B1009" s="167"/>
      <c r="C1009" s="167"/>
      <c r="D1009" s="167"/>
      <c r="E1009" s="167"/>
      <c r="F1009" s="167"/>
      <c r="G1009" s="167"/>
      <c r="H1009" s="167"/>
      <c r="I1009" s="167"/>
      <c r="J1009" s="167"/>
      <c r="K1009" s="167"/>
      <c r="L1009" s="167"/>
    </row>
    <row r="1010" spans="1:12" s="213" customFormat="1">
      <c r="A1010" s="167"/>
      <c r="B1010" s="167"/>
      <c r="C1010" s="167"/>
      <c r="D1010" s="167"/>
      <c r="E1010" s="167"/>
      <c r="F1010" s="167"/>
      <c r="G1010" s="167"/>
      <c r="H1010" s="167"/>
      <c r="I1010" s="167"/>
      <c r="J1010" s="167"/>
      <c r="K1010" s="167"/>
      <c r="L1010" s="167"/>
    </row>
    <row r="1011" spans="1:12" s="213" customFormat="1">
      <c r="A1011" s="167"/>
      <c r="B1011" s="167"/>
      <c r="C1011" s="167"/>
      <c r="D1011" s="167"/>
      <c r="E1011" s="167"/>
      <c r="F1011" s="167"/>
      <c r="G1011" s="167"/>
      <c r="H1011" s="167"/>
      <c r="I1011" s="167"/>
      <c r="J1011" s="167"/>
      <c r="K1011" s="167"/>
      <c r="L1011" s="167"/>
    </row>
    <row r="1012" spans="1:12" s="215" customFormat="1">
      <c r="A1012" s="175"/>
      <c r="B1012" s="167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</row>
    <row r="1013" spans="1:12" s="216" customFormat="1" ht="13.5">
      <c r="A1013" s="180"/>
      <c r="B1013" s="175"/>
      <c r="C1013" s="180"/>
      <c r="D1013" s="180"/>
      <c r="E1013" s="180"/>
      <c r="F1013" s="180"/>
      <c r="G1013" s="180"/>
      <c r="H1013" s="180"/>
      <c r="I1013" s="180"/>
      <c r="J1013" s="180"/>
      <c r="K1013" s="180"/>
      <c r="L1013" s="180"/>
    </row>
    <row r="1014" spans="1:12" s="213" customFormat="1">
      <c r="A1014" s="167"/>
      <c r="B1014" s="179"/>
      <c r="C1014" s="167"/>
      <c r="D1014" s="167"/>
      <c r="E1014" s="167"/>
      <c r="F1014" s="167"/>
      <c r="G1014" s="167"/>
      <c r="H1014" s="167"/>
      <c r="I1014" s="167"/>
      <c r="J1014" s="167"/>
      <c r="K1014" s="167"/>
      <c r="L1014" s="167"/>
    </row>
    <row r="1015" spans="1:12" s="213" customFormat="1">
      <c r="A1015" s="167"/>
      <c r="B1015" s="143"/>
      <c r="C1015" s="167"/>
      <c r="D1015" s="167"/>
      <c r="E1015" s="167"/>
      <c r="F1015" s="167"/>
      <c r="G1015" s="167"/>
      <c r="H1015" s="167"/>
      <c r="I1015" s="167"/>
      <c r="J1015" s="167"/>
      <c r="K1015" s="167"/>
      <c r="L1015" s="167"/>
    </row>
    <row r="1016" spans="1:12" s="213" customFormat="1">
      <c r="A1016" s="167"/>
      <c r="B1016" s="143"/>
      <c r="C1016" s="167"/>
      <c r="D1016" s="167"/>
      <c r="E1016" s="167"/>
      <c r="F1016" s="167"/>
      <c r="G1016" s="167"/>
      <c r="H1016" s="167"/>
      <c r="I1016" s="167"/>
      <c r="J1016" s="167"/>
      <c r="K1016" s="167"/>
      <c r="L1016" s="167"/>
    </row>
    <row r="1017" spans="1:12" s="213" customFormat="1">
      <c r="A1017" s="167"/>
      <c r="B1017" s="143"/>
      <c r="C1017" s="167"/>
      <c r="D1017" s="167"/>
      <c r="E1017" s="167"/>
      <c r="F1017" s="167"/>
      <c r="G1017" s="167"/>
      <c r="H1017" s="167"/>
      <c r="I1017" s="167"/>
      <c r="J1017" s="167"/>
      <c r="K1017" s="167"/>
      <c r="L1017" s="167"/>
    </row>
    <row r="1018" spans="1:12" s="213" customFormat="1">
      <c r="A1018" s="167"/>
      <c r="B1018" s="143"/>
      <c r="C1018" s="167"/>
      <c r="D1018" s="167"/>
      <c r="E1018" s="167"/>
      <c r="F1018" s="167"/>
      <c r="G1018" s="167"/>
      <c r="H1018" s="167"/>
      <c r="I1018" s="167"/>
      <c r="J1018" s="167"/>
      <c r="K1018" s="167"/>
      <c r="L1018" s="167"/>
    </row>
    <row r="1019" spans="1:12" s="213" customFormat="1">
      <c r="A1019" s="167"/>
      <c r="B1019" s="143"/>
      <c r="C1019" s="167"/>
      <c r="D1019" s="167"/>
      <c r="E1019" s="167"/>
      <c r="F1019" s="167"/>
      <c r="G1019" s="167"/>
      <c r="H1019" s="167"/>
      <c r="I1019" s="167"/>
      <c r="J1019" s="167"/>
      <c r="K1019" s="167"/>
      <c r="L1019" s="167"/>
    </row>
    <row r="1020" spans="1:12" s="213" customFormat="1">
      <c r="A1020" s="167"/>
      <c r="B1020" s="143"/>
      <c r="C1020" s="167"/>
      <c r="D1020" s="167"/>
      <c r="E1020" s="167"/>
      <c r="F1020" s="167"/>
      <c r="G1020" s="167"/>
      <c r="H1020" s="167"/>
      <c r="I1020" s="167"/>
      <c r="J1020" s="167"/>
      <c r="K1020" s="167"/>
      <c r="L1020" s="167"/>
    </row>
    <row r="1021" spans="1:12" s="213" customFormat="1">
      <c r="A1021" s="167"/>
      <c r="B1021" s="143"/>
      <c r="C1021" s="167"/>
      <c r="D1021" s="167"/>
      <c r="E1021" s="167"/>
      <c r="F1021" s="167"/>
      <c r="G1021" s="167"/>
      <c r="H1021" s="167"/>
      <c r="I1021" s="167"/>
      <c r="J1021" s="167"/>
      <c r="K1021" s="167"/>
      <c r="L1021" s="167"/>
    </row>
    <row r="1022" spans="1:12" s="213" customFormat="1">
      <c r="A1022" s="167"/>
      <c r="B1022" s="143"/>
      <c r="C1022" s="167"/>
      <c r="D1022" s="167"/>
      <c r="E1022" s="167"/>
      <c r="F1022" s="167"/>
      <c r="G1022" s="167"/>
      <c r="H1022" s="167"/>
      <c r="I1022" s="167"/>
      <c r="J1022" s="167"/>
      <c r="K1022" s="167"/>
      <c r="L1022" s="167"/>
    </row>
    <row r="1023" spans="1:12" s="213" customFormat="1">
      <c r="A1023" s="167"/>
      <c r="B1023" s="143"/>
      <c r="C1023" s="167"/>
      <c r="D1023" s="167"/>
      <c r="E1023" s="167"/>
      <c r="F1023" s="167"/>
      <c r="G1023" s="167"/>
      <c r="H1023" s="167"/>
      <c r="I1023" s="167"/>
      <c r="J1023" s="167"/>
      <c r="K1023" s="167"/>
      <c r="L1023" s="167"/>
    </row>
    <row r="1024" spans="1:12" s="169" customFormat="1">
      <c r="A1024" s="165"/>
      <c r="B1024" s="143"/>
      <c r="C1024" s="165"/>
      <c r="D1024" s="165"/>
      <c r="E1024" s="165"/>
      <c r="F1024" s="165"/>
      <c r="G1024" s="165"/>
      <c r="H1024" s="165"/>
      <c r="I1024" s="165"/>
      <c r="J1024" s="165"/>
      <c r="K1024" s="165"/>
      <c r="L1024" s="165"/>
    </row>
    <row r="1025" spans="1:12" s="213" customFormat="1">
      <c r="A1025" s="167"/>
      <c r="B1025" s="167"/>
      <c r="C1025" s="167"/>
      <c r="D1025" s="167"/>
      <c r="E1025" s="167"/>
      <c r="F1025" s="167"/>
      <c r="G1025" s="167"/>
      <c r="H1025" s="167"/>
      <c r="I1025" s="167"/>
      <c r="J1025" s="167"/>
      <c r="K1025" s="167"/>
      <c r="L1025" s="167"/>
    </row>
    <row r="1026" spans="1:12" s="168" customFormat="1">
      <c r="A1026" s="143"/>
      <c r="B1026" s="167"/>
      <c r="C1026" s="143"/>
      <c r="D1026" s="143"/>
      <c r="E1026" s="143"/>
      <c r="F1026" s="143"/>
      <c r="G1026" s="143"/>
      <c r="H1026" s="143"/>
      <c r="I1026" s="143"/>
      <c r="J1026" s="143"/>
      <c r="K1026" s="143"/>
      <c r="L1026" s="143"/>
    </row>
    <row r="1027" spans="1:12" s="168" customFormat="1">
      <c r="A1027" s="143"/>
      <c r="B1027" s="143"/>
      <c r="C1027" s="143"/>
      <c r="D1027" s="143"/>
      <c r="E1027" s="143"/>
      <c r="F1027" s="143"/>
      <c r="G1027" s="143"/>
      <c r="H1027" s="143"/>
      <c r="I1027" s="143"/>
      <c r="J1027" s="143"/>
      <c r="K1027" s="143"/>
      <c r="L1027" s="143"/>
    </row>
    <row r="1028" spans="1:12" s="168" customFormat="1">
      <c r="A1028" s="143"/>
      <c r="B1028" s="143"/>
      <c r="C1028" s="143"/>
      <c r="D1028" s="143"/>
      <c r="E1028" s="143"/>
      <c r="F1028" s="143"/>
      <c r="G1028" s="143"/>
      <c r="H1028" s="143"/>
      <c r="I1028" s="143"/>
      <c r="J1028" s="143"/>
      <c r="K1028" s="143"/>
      <c r="L1028" s="143"/>
    </row>
    <row r="1029" spans="1:12" s="168" customFormat="1">
      <c r="A1029" s="143"/>
      <c r="B1029" s="143"/>
      <c r="C1029" s="143"/>
      <c r="D1029" s="143"/>
      <c r="E1029" s="143"/>
      <c r="F1029" s="143"/>
      <c r="G1029" s="143"/>
      <c r="H1029" s="143"/>
      <c r="I1029" s="143"/>
      <c r="J1029" s="143"/>
      <c r="K1029" s="143"/>
      <c r="L1029" s="143"/>
    </row>
  </sheetData>
  <conditionalFormatting sqref="M61:W65">
    <cfRule type="expression" dxfId="9616" priority="28756">
      <formula>M$60=""</formula>
    </cfRule>
  </conditionalFormatting>
  <conditionalFormatting sqref="M91:W95">
    <cfRule type="expression" dxfId="9615" priority="28755">
      <formula>M$90=""</formula>
    </cfRule>
  </conditionalFormatting>
  <conditionalFormatting sqref="M121:W125">
    <cfRule type="expression" dxfId="9614" priority="28754">
      <formula>M$120=""</formula>
    </cfRule>
  </conditionalFormatting>
  <conditionalFormatting sqref="M151:W155">
    <cfRule type="expression" dxfId="9613" priority="28753">
      <formula>M$150=""</formula>
    </cfRule>
  </conditionalFormatting>
  <conditionalFormatting sqref="M181:W185">
    <cfRule type="expression" dxfId="9612" priority="28752">
      <formula>M$180=""</formula>
    </cfRule>
  </conditionalFormatting>
  <conditionalFormatting sqref="M211:W215">
    <cfRule type="expression" dxfId="9611" priority="28751">
      <formula>M$210=""</formula>
    </cfRule>
  </conditionalFormatting>
  <conditionalFormatting sqref="M241:W245">
    <cfRule type="expression" dxfId="9610" priority="28750">
      <formula>M$240=""</formula>
    </cfRule>
  </conditionalFormatting>
  <conditionalFormatting sqref="M271:W275">
    <cfRule type="expression" dxfId="9609" priority="28749">
      <formula>M$270=""</formula>
    </cfRule>
  </conditionalFormatting>
  <conditionalFormatting sqref="M301:W305">
    <cfRule type="expression" dxfId="9608" priority="28748">
      <formula>M$300=""</formula>
    </cfRule>
  </conditionalFormatting>
  <conditionalFormatting sqref="M331:W335">
    <cfRule type="expression" dxfId="9607" priority="28747">
      <formula>M$330=""</formula>
    </cfRule>
  </conditionalFormatting>
  <conditionalFormatting sqref="M361:W365">
    <cfRule type="expression" dxfId="9606" priority="28746">
      <formula>M$360=""</formula>
    </cfRule>
  </conditionalFormatting>
  <conditionalFormatting sqref="M391:W395">
    <cfRule type="expression" dxfId="9605" priority="28745">
      <formula>M$390=""</formula>
    </cfRule>
  </conditionalFormatting>
  <conditionalFormatting sqref="M421:W425">
    <cfRule type="expression" dxfId="9604" priority="28744">
      <formula>M$420=""</formula>
    </cfRule>
  </conditionalFormatting>
  <conditionalFormatting sqref="M451:W455">
    <cfRule type="expression" dxfId="9603" priority="28743">
      <formula>M$450=""</formula>
    </cfRule>
  </conditionalFormatting>
  <conditionalFormatting sqref="M481:W485">
    <cfRule type="expression" dxfId="9602" priority="28742">
      <formula>M$480=""</formula>
    </cfRule>
  </conditionalFormatting>
  <conditionalFormatting sqref="M511:W515">
    <cfRule type="expression" dxfId="9601" priority="28741">
      <formula>M$510=""</formula>
    </cfRule>
  </conditionalFormatting>
  <conditionalFormatting sqref="M541:W545">
    <cfRule type="expression" dxfId="9600" priority="28740">
      <formula>M$540=""</formula>
    </cfRule>
  </conditionalFormatting>
  <conditionalFormatting sqref="M571:W575">
    <cfRule type="expression" dxfId="9599" priority="28739">
      <formula>M$570=""</formula>
    </cfRule>
  </conditionalFormatting>
  <conditionalFormatting sqref="M601:W605">
    <cfRule type="expression" dxfId="9598" priority="28738">
      <formula>M$600=""</formula>
    </cfRule>
  </conditionalFormatting>
  <conditionalFormatting sqref="M631:W635">
    <cfRule type="expression" dxfId="9597" priority="28737">
      <formula>M$630=""</formula>
    </cfRule>
  </conditionalFormatting>
  <conditionalFormatting sqref="M661:W665">
    <cfRule type="expression" dxfId="9596" priority="28736">
      <formula>M$660=""</formula>
    </cfRule>
  </conditionalFormatting>
  <conditionalFormatting sqref="M691:W695">
    <cfRule type="expression" dxfId="9595" priority="28735">
      <formula>M$690=""</formula>
    </cfRule>
  </conditionalFormatting>
  <conditionalFormatting sqref="M721:W725">
    <cfRule type="expression" dxfId="9594" priority="28734">
      <formula>M$720=""</formula>
    </cfRule>
  </conditionalFormatting>
  <conditionalFormatting sqref="M751:W755">
    <cfRule type="expression" dxfId="9593" priority="28733">
      <formula>M$750=""</formula>
    </cfRule>
  </conditionalFormatting>
  <conditionalFormatting sqref="M781:W785">
    <cfRule type="expression" dxfId="9592" priority="28732">
      <formula>M$780=""</formula>
    </cfRule>
  </conditionalFormatting>
  <conditionalFormatting sqref="M811:W815">
    <cfRule type="expression" dxfId="9591" priority="28731">
      <formula>M$810=""</formula>
    </cfRule>
  </conditionalFormatting>
  <conditionalFormatting sqref="M841:W845">
    <cfRule type="expression" dxfId="9590" priority="28730">
      <formula>M$840=""</formula>
    </cfRule>
  </conditionalFormatting>
  <conditionalFormatting sqref="M871:W875">
    <cfRule type="expression" dxfId="9589" priority="28729">
      <formula>M$870=""</formula>
    </cfRule>
  </conditionalFormatting>
  <conditionalFormatting sqref="M901:W903 M905:W905 N904:W904">
    <cfRule type="expression" dxfId="9588" priority="28728">
      <formula>M$900=""</formula>
    </cfRule>
  </conditionalFormatting>
  <conditionalFormatting sqref="M31:W35">
    <cfRule type="expression" dxfId="9587" priority="28727">
      <formula>M$60=""</formula>
    </cfRule>
  </conditionalFormatting>
  <conditionalFormatting sqref="C31">
    <cfRule type="expression" dxfId="9586" priority="23413">
      <formula>C31="**"</formula>
    </cfRule>
    <cfRule type="expression" dxfId="9585" priority="23414">
      <formula>C31=""</formula>
    </cfRule>
    <cfRule type="expression" dxfId="9584" priority="23415">
      <formula>C31&lt;44.5</formula>
    </cfRule>
    <cfRule type="expression" dxfId="9583" priority="23416">
      <formula>C31&lt;60.5</formula>
    </cfRule>
    <cfRule type="expression" dxfId="9582" priority="23417">
      <formula>C31&lt;85.5</formula>
    </cfRule>
    <cfRule type="expression" dxfId="9581" priority="23418">
      <formula>C31&gt;85.5</formula>
    </cfRule>
  </conditionalFormatting>
  <conditionalFormatting sqref="C31:C35">
    <cfRule type="expression" dxfId="9580" priority="23388">
      <formula>C$30=""</formula>
    </cfRule>
  </conditionalFormatting>
  <conditionalFormatting sqref="C32">
    <cfRule type="expression" dxfId="9579" priority="23406">
      <formula>C32="**"</formula>
    </cfRule>
    <cfRule type="expression" dxfId="9578" priority="23407">
      <formula>C32=""</formula>
    </cfRule>
    <cfRule type="expression" dxfId="9577" priority="23408">
      <formula>C32&lt;44.5</formula>
    </cfRule>
    <cfRule type="expression" dxfId="9576" priority="23409">
      <formula>C32&lt;60.5</formula>
    </cfRule>
    <cfRule type="expression" dxfId="9575" priority="23410">
      <formula>C32&lt;85.5</formula>
    </cfRule>
    <cfRule type="expression" dxfId="9574" priority="23412">
      <formula>C32&gt;85.5</formula>
    </cfRule>
  </conditionalFormatting>
  <conditionalFormatting sqref="C33">
    <cfRule type="expression" dxfId="9573" priority="23400">
      <formula>C33="**"</formula>
    </cfRule>
    <cfRule type="expression" dxfId="9572" priority="23401">
      <formula>C33=""</formula>
    </cfRule>
    <cfRule type="expression" dxfId="9571" priority="23402">
      <formula>C33&lt;44.5</formula>
    </cfRule>
    <cfRule type="expression" dxfId="9570" priority="23403">
      <formula>C33&lt;60.5</formula>
    </cfRule>
    <cfRule type="expression" dxfId="9569" priority="23404">
      <formula>C33&lt;85.5</formula>
    </cfRule>
    <cfRule type="expression" dxfId="9568" priority="23405">
      <formula>C33&gt;85.5</formula>
    </cfRule>
  </conditionalFormatting>
  <conditionalFormatting sqref="C34">
    <cfRule type="expression" dxfId="9567" priority="23395">
      <formula>C34="**"</formula>
    </cfRule>
    <cfRule type="expression" dxfId="9566" priority="23396">
      <formula>C34=""</formula>
    </cfRule>
    <cfRule type="expression" dxfId="9565" priority="23397">
      <formula>C34&lt;44.5</formula>
    </cfRule>
    <cfRule type="expression" dxfId="9564" priority="23398">
      <formula>C34&lt;60.5</formula>
    </cfRule>
    <cfRule type="expression" dxfId="9563" priority="23399">
      <formula>C34&lt;85.5</formula>
    </cfRule>
    <cfRule type="expression" dxfId="9562" priority="23411">
      <formula>C34&gt;85.5</formula>
    </cfRule>
  </conditionalFormatting>
  <conditionalFormatting sqref="C35">
    <cfRule type="expression" dxfId="9561" priority="23389">
      <formula>C35="**"</formula>
    </cfRule>
    <cfRule type="expression" dxfId="9560" priority="23390">
      <formula>C35=""</formula>
    </cfRule>
    <cfRule type="expression" dxfId="9559" priority="23391">
      <formula>C35&lt;44.5</formula>
    </cfRule>
    <cfRule type="expression" dxfId="9558" priority="23392">
      <formula>C35&lt;60.5</formula>
    </cfRule>
    <cfRule type="expression" dxfId="9557" priority="23393">
      <formula>C35&lt;85.5</formula>
    </cfRule>
    <cfRule type="expression" dxfId="9556" priority="23394">
      <formula>C35&gt;85.5</formula>
    </cfRule>
  </conditionalFormatting>
  <conditionalFormatting sqref="D31">
    <cfRule type="expression" dxfId="9555" priority="11674">
      <formula>D31="**"</formula>
    </cfRule>
    <cfRule type="expression" dxfId="9554" priority="11675">
      <formula>D31=""</formula>
    </cfRule>
    <cfRule type="expression" dxfId="9553" priority="11676">
      <formula>D31&lt;44.5</formula>
    </cfRule>
    <cfRule type="expression" dxfId="9552" priority="11677">
      <formula>D31&lt;60.5</formula>
    </cfRule>
    <cfRule type="expression" dxfId="9551" priority="11678">
      <formula>D31&lt;85.5</formula>
    </cfRule>
    <cfRule type="expression" dxfId="9550" priority="11679">
      <formula>D31&gt;85.5</formula>
    </cfRule>
  </conditionalFormatting>
  <conditionalFormatting sqref="D31:D33 D35">
    <cfRule type="expression" dxfId="9549" priority="11649">
      <formula>D$30=""</formula>
    </cfRule>
  </conditionalFormatting>
  <conditionalFormatting sqref="D32">
    <cfRule type="expression" dxfId="9548" priority="11667">
      <formula>D32="**"</formula>
    </cfRule>
    <cfRule type="expression" dxfId="9547" priority="11668">
      <formula>D32=""</formula>
    </cfRule>
    <cfRule type="expression" dxfId="9546" priority="11669">
      <formula>D32&lt;44.5</formula>
    </cfRule>
    <cfRule type="expression" dxfId="9545" priority="11670">
      <formula>D32&lt;60.5</formula>
    </cfRule>
    <cfRule type="expression" dxfId="9544" priority="11671">
      <formula>D32&lt;85.5</formula>
    </cfRule>
    <cfRule type="expression" dxfId="9543" priority="11673">
      <formula>D32&gt;85.5</formula>
    </cfRule>
  </conditionalFormatting>
  <conditionalFormatting sqref="D33">
    <cfRule type="expression" dxfId="9542" priority="11661">
      <formula>D33="**"</formula>
    </cfRule>
    <cfRule type="expression" dxfId="9541" priority="11662">
      <formula>D33=""</formula>
    </cfRule>
    <cfRule type="expression" dxfId="9540" priority="11663">
      <formula>D33&lt;44.5</formula>
    </cfRule>
    <cfRule type="expression" dxfId="9539" priority="11664">
      <formula>D33&lt;60.5</formula>
    </cfRule>
    <cfRule type="expression" dxfId="9538" priority="11665">
      <formula>D33&lt;85.5</formula>
    </cfRule>
    <cfRule type="expression" dxfId="9537" priority="11666">
      <formula>D33&gt;85.5</formula>
    </cfRule>
  </conditionalFormatting>
  <conditionalFormatting sqref="D35">
    <cfRule type="expression" dxfId="9536" priority="11650">
      <formula>D35="**"</formula>
    </cfRule>
    <cfRule type="expression" dxfId="9535" priority="11651">
      <formula>D35=""</formula>
    </cfRule>
    <cfRule type="expression" dxfId="9534" priority="11652">
      <formula>D35&lt;44.5</formula>
    </cfRule>
    <cfRule type="expression" dxfId="9533" priority="11653">
      <formula>D35&lt;60.5</formula>
    </cfRule>
    <cfRule type="expression" dxfId="9532" priority="11654">
      <formula>D35&lt;85.5</formula>
    </cfRule>
    <cfRule type="expression" dxfId="9531" priority="11655">
      <formula>D35&gt;85.5</formula>
    </cfRule>
  </conditionalFormatting>
  <conditionalFormatting sqref="E31">
    <cfRule type="expression" dxfId="9530" priority="11643">
      <formula>E31="**"</formula>
    </cfRule>
    <cfRule type="expression" dxfId="9529" priority="11644">
      <formula>E31=""</formula>
    </cfRule>
    <cfRule type="expression" dxfId="9528" priority="11645">
      <formula>E31&lt;44.5</formula>
    </cfRule>
    <cfRule type="expression" dxfId="9527" priority="11646">
      <formula>E31&lt;60.5</formula>
    </cfRule>
    <cfRule type="expression" dxfId="9526" priority="11647">
      <formula>E31&lt;85.5</formula>
    </cfRule>
    <cfRule type="expression" dxfId="9525" priority="11648">
      <formula>E31&gt;85.5</formula>
    </cfRule>
  </conditionalFormatting>
  <conditionalFormatting sqref="E31:E33 E35">
    <cfRule type="expression" dxfId="9524" priority="11618">
      <formula>E$30=""</formula>
    </cfRule>
  </conditionalFormatting>
  <conditionalFormatting sqref="E32">
    <cfRule type="expression" dxfId="9523" priority="11636">
      <formula>E32="**"</formula>
    </cfRule>
    <cfRule type="expression" dxfId="9522" priority="11637">
      <formula>E32=""</formula>
    </cfRule>
    <cfRule type="expression" dxfId="9521" priority="11638">
      <formula>E32&lt;44.5</formula>
    </cfRule>
    <cfRule type="expression" dxfId="9520" priority="11639">
      <formula>E32&lt;60.5</formula>
    </cfRule>
    <cfRule type="expression" dxfId="9519" priority="11640">
      <formula>E32&lt;85.5</formula>
    </cfRule>
    <cfRule type="expression" dxfId="9518" priority="11642">
      <formula>E32&gt;85.5</formula>
    </cfRule>
  </conditionalFormatting>
  <conditionalFormatting sqref="E33">
    <cfRule type="expression" dxfId="9517" priority="11630">
      <formula>E33="**"</formula>
    </cfRule>
    <cfRule type="expression" dxfId="9516" priority="11631">
      <formula>E33=""</formula>
    </cfRule>
    <cfRule type="expression" dxfId="9515" priority="11632">
      <formula>E33&lt;44.5</formula>
    </cfRule>
    <cfRule type="expression" dxfId="9514" priority="11633">
      <formula>E33&lt;60.5</formula>
    </cfRule>
    <cfRule type="expression" dxfId="9513" priority="11634">
      <formula>E33&lt;85.5</formula>
    </cfRule>
    <cfRule type="expression" dxfId="9512" priority="11635">
      <formula>E33&gt;85.5</formula>
    </cfRule>
  </conditionalFormatting>
  <conditionalFormatting sqref="E35">
    <cfRule type="expression" dxfId="9511" priority="11619">
      <formula>E35="**"</formula>
    </cfRule>
    <cfRule type="expression" dxfId="9510" priority="11620">
      <formula>E35=""</formula>
    </cfRule>
    <cfRule type="expression" dxfId="9509" priority="11621">
      <formula>E35&lt;44.5</formula>
    </cfRule>
    <cfRule type="expression" dxfId="9508" priority="11622">
      <formula>E35&lt;60.5</formula>
    </cfRule>
    <cfRule type="expression" dxfId="9507" priority="11623">
      <formula>E35&lt;85.5</formula>
    </cfRule>
    <cfRule type="expression" dxfId="9506" priority="11624">
      <formula>E35&gt;85.5</formula>
    </cfRule>
  </conditionalFormatting>
  <conditionalFormatting sqref="F31">
    <cfRule type="expression" dxfId="9505" priority="11612">
      <formula>F31="**"</formula>
    </cfRule>
    <cfRule type="expression" dxfId="9504" priority="11613">
      <formula>F31=""</formula>
    </cfRule>
    <cfRule type="expression" dxfId="9503" priority="11614">
      <formula>F31&lt;44.5</formula>
    </cfRule>
    <cfRule type="expression" dxfId="9502" priority="11615">
      <formula>F31&lt;60.5</formula>
    </cfRule>
    <cfRule type="expression" dxfId="9501" priority="11616">
      <formula>F31&lt;85.5</formula>
    </cfRule>
    <cfRule type="expression" dxfId="9500" priority="11617">
      <formula>F31&gt;85.5</formula>
    </cfRule>
  </conditionalFormatting>
  <conditionalFormatting sqref="F31:F33 F35">
    <cfRule type="expression" dxfId="9499" priority="11587">
      <formula>F$30=""</formula>
    </cfRule>
  </conditionalFormatting>
  <conditionalFormatting sqref="F32">
    <cfRule type="expression" dxfId="9498" priority="11605">
      <formula>F32="**"</formula>
    </cfRule>
    <cfRule type="expression" dxfId="9497" priority="11606">
      <formula>F32=""</formula>
    </cfRule>
    <cfRule type="expression" dxfId="9496" priority="11607">
      <formula>F32&lt;44.5</formula>
    </cfRule>
    <cfRule type="expression" dxfId="9495" priority="11608">
      <formula>F32&lt;60.5</formula>
    </cfRule>
    <cfRule type="expression" dxfId="9494" priority="11609">
      <formula>F32&lt;85.5</formula>
    </cfRule>
    <cfRule type="expression" dxfId="9493" priority="11611">
      <formula>F32&gt;85.5</formula>
    </cfRule>
  </conditionalFormatting>
  <conditionalFormatting sqref="F33">
    <cfRule type="expression" dxfId="9492" priority="11599">
      <formula>F33="**"</formula>
    </cfRule>
    <cfRule type="expression" dxfId="9491" priority="11600">
      <formula>F33=""</formula>
    </cfRule>
    <cfRule type="expression" dxfId="9490" priority="11601">
      <formula>F33&lt;44.5</formula>
    </cfRule>
    <cfRule type="expression" dxfId="9489" priority="11602">
      <formula>F33&lt;60.5</formula>
    </cfRule>
    <cfRule type="expression" dxfId="9488" priority="11603">
      <formula>F33&lt;85.5</formula>
    </cfRule>
    <cfRule type="expression" dxfId="9487" priority="11604">
      <formula>F33&gt;85.5</formula>
    </cfRule>
  </conditionalFormatting>
  <conditionalFormatting sqref="F35">
    <cfRule type="expression" dxfId="9486" priority="11588">
      <formula>F35="**"</formula>
    </cfRule>
    <cfRule type="expression" dxfId="9485" priority="11589">
      <formula>F35=""</formula>
    </cfRule>
    <cfRule type="expression" dxfId="9484" priority="11590">
      <formula>F35&lt;44.5</formula>
    </cfRule>
    <cfRule type="expression" dxfId="9483" priority="11591">
      <formula>F35&lt;60.5</formula>
    </cfRule>
    <cfRule type="expression" dxfId="9482" priority="11592">
      <formula>F35&lt;85.5</formula>
    </cfRule>
    <cfRule type="expression" dxfId="9481" priority="11593">
      <formula>F35&gt;85.5</formula>
    </cfRule>
  </conditionalFormatting>
  <conditionalFormatting sqref="G31">
    <cfRule type="expression" dxfId="9480" priority="11581">
      <formula>G31="**"</formula>
    </cfRule>
    <cfRule type="expression" dxfId="9479" priority="11582">
      <formula>G31=""</formula>
    </cfRule>
    <cfRule type="expression" dxfId="9478" priority="11583">
      <formula>G31&lt;44.5</formula>
    </cfRule>
    <cfRule type="expression" dxfId="9477" priority="11584">
      <formula>G31&lt;60.5</formula>
    </cfRule>
    <cfRule type="expression" dxfId="9476" priority="11585">
      <formula>G31&lt;85.5</formula>
    </cfRule>
    <cfRule type="expression" dxfId="9475" priority="11586">
      <formula>G31&gt;85.5</formula>
    </cfRule>
  </conditionalFormatting>
  <conditionalFormatting sqref="G31:G33 G35">
    <cfRule type="expression" dxfId="9474" priority="11556">
      <formula>G$30=""</formula>
    </cfRule>
  </conditionalFormatting>
  <conditionalFormatting sqref="G32">
    <cfRule type="expression" dxfId="9473" priority="11574">
      <formula>G32="**"</formula>
    </cfRule>
    <cfRule type="expression" dxfId="9472" priority="11575">
      <formula>G32=""</formula>
    </cfRule>
    <cfRule type="expression" dxfId="9471" priority="11576">
      <formula>G32&lt;44.5</formula>
    </cfRule>
    <cfRule type="expression" dxfId="9470" priority="11577">
      <formula>G32&lt;60.5</formula>
    </cfRule>
    <cfRule type="expression" dxfId="9469" priority="11578">
      <formula>G32&lt;85.5</formula>
    </cfRule>
    <cfRule type="expression" dxfId="9468" priority="11580">
      <formula>G32&gt;85.5</formula>
    </cfRule>
  </conditionalFormatting>
  <conditionalFormatting sqref="G33">
    <cfRule type="expression" dxfId="9467" priority="11568">
      <formula>G33="**"</formula>
    </cfRule>
    <cfRule type="expression" dxfId="9466" priority="11569">
      <formula>G33=""</formula>
    </cfRule>
    <cfRule type="expression" dxfId="9465" priority="11570">
      <formula>G33&lt;44.5</formula>
    </cfRule>
    <cfRule type="expression" dxfId="9464" priority="11571">
      <formula>G33&lt;60.5</formula>
    </cfRule>
    <cfRule type="expression" dxfId="9463" priority="11572">
      <formula>G33&lt;85.5</formula>
    </cfRule>
    <cfRule type="expression" dxfId="9462" priority="11573">
      <formula>G33&gt;85.5</formula>
    </cfRule>
  </conditionalFormatting>
  <conditionalFormatting sqref="G35">
    <cfRule type="expression" dxfId="9461" priority="11557">
      <formula>G35="**"</formula>
    </cfRule>
    <cfRule type="expression" dxfId="9460" priority="11558">
      <formula>G35=""</formula>
    </cfRule>
    <cfRule type="expression" dxfId="9459" priority="11559">
      <formula>G35&lt;44.5</formula>
    </cfRule>
    <cfRule type="expression" dxfId="9458" priority="11560">
      <formula>G35&lt;60.5</formula>
    </cfRule>
    <cfRule type="expression" dxfId="9457" priority="11561">
      <formula>G35&lt;85.5</formula>
    </cfRule>
    <cfRule type="expression" dxfId="9456" priority="11562">
      <formula>G35&gt;85.5</formula>
    </cfRule>
  </conditionalFormatting>
  <conditionalFormatting sqref="H31">
    <cfRule type="expression" dxfId="9455" priority="11550">
      <formula>H31="**"</formula>
    </cfRule>
    <cfRule type="expression" dxfId="9454" priority="11551">
      <formula>H31=""</formula>
    </cfRule>
    <cfRule type="expression" dxfId="9453" priority="11552">
      <formula>H31&lt;44.5</formula>
    </cfRule>
    <cfRule type="expression" dxfId="9452" priority="11553">
      <formula>H31&lt;60.5</formula>
    </cfRule>
    <cfRule type="expression" dxfId="9451" priority="11554">
      <formula>H31&lt;85.5</formula>
    </cfRule>
    <cfRule type="expression" dxfId="9450" priority="11555">
      <formula>H31&gt;85.5</formula>
    </cfRule>
  </conditionalFormatting>
  <conditionalFormatting sqref="H31:H33 H35">
    <cfRule type="expression" dxfId="9449" priority="11525">
      <formula>H$30=""</formula>
    </cfRule>
  </conditionalFormatting>
  <conditionalFormatting sqref="H32">
    <cfRule type="expression" dxfId="9448" priority="11543">
      <formula>H32="**"</formula>
    </cfRule>
    <cfRule type="expression" dxfId="9447" priority="11544">
      <formula>H32=""</formula>
    </cfRule>
    <cfRule type="expression" dxfId="9446" priority="11545">
      <formula>H32&lt;44.5</formula>
    </cfRule>
    <cfRule type="expression" dxfId="9445" priority="11546">
      <formula>H32&lt;60.5</formula>
    </cfRule>
    <cfRule type="expression" dxfId="9444" priority="11547">
      <formula>H32&lt;85.5</formula>
    </cfRule>
    <cfRule type="expression" dxfId="9443" priority="11549">
      <formula>H32&gt;85.5</formula>
    </cfRule>
  </conditionalFormatting>
  <conditionalFormatting sqref="H33">
    <cfRule type="expression" dxfId="9442" priority="11537">
      <formula>H33="**"</formula>
    </cfRule>
    <cfRule type="expression" dxfId="9441" priority="11538">
      <formula>H33=""</formula>
    </cfRule>
    <cfRule type="expression" dxfId="9440" priority="11539">
      <formula>H33&lt;44.5</formula>
    </cfRule>
    <cfRule type="expression" dxfId="9439" priority="11540">
      <formula>H33&lt;60.5</formula>
    </cfRule>
    <cfRule type="expression" dxfId="9438" priority="11541">
      <formula>H33&lt;85.5</formula>
    </cfRule>
    <cfRule type="expression" dxfId="9437" priority="11542">
      <formula>H33&gt;85.5</formula>
    </cfRule>
  </conditionalFormatting>
  <conditionalFormatting sqref="H35">
    <cfRule type="expression" dxfId="9436" priority="11526">
      <formula>H35="**"</formula>
    </cfRule>
    <cfRule type="expression" dxfId="9435" priority="11527">
      <formula>H35=""</formula>
    </cfRule>
    <cfRule type="expression" dxfId="9434" priority="11528">
      <formula>H35&lt;44.5</formula>
    </cfRule>
    <cfRule type="expression" dxfId="9433" priority="11529">
      <formula>H35&lt;60.5</formula>
    </cfRule>
    <cfRule type="expression" dxfId="9432" priority="11530">
      <formula>H35&lt;85.5</formula>
    </cfRule>
    <cfRule type="expression" dxfId="9431" priority="11531">
      <formula>H35&gt;85.5</formula>
    </cfRule>
  </conditionalFormatting>
  <conditionalFormatting sqref="I31">
    <cfRule type="expression" dxfId="9430" priority="11519">
      <formula>I31="**"</formula>
    </cfRule>
    <cfRule type="expression" dxfId="9429" priority="11520">
      <formula>I31=""</formula>
    </cfRule>
    <cfRule type="expression" dxfId="9428" priority="11521">
      <formula>I31&lt;44.5</formula>
    </cfRule>
    <cfRule type="expression" dxfId="9427" priority="11522">
      <formula>I31&lt;60.5</formula>
    </cfRule>
    <cfRule type="expression" dxfId="9426" priority="11523">
      <formula>I31&lt;85.5</formula>
    </cfRule>
    <cfRule type="expression" dxfId="9425" priority="11524">
      <formula>I31&gt;85.5</formula>
    </cfRule>
  </conditionalFormatting>
  <conditionalFormatting sqref="I31:I33 I35">
    <cfRule type="expression" dxfId="9424" priority="11494">
      <formula>I$30=""</formula>
    </cfRule>
  </conditionalFormatting>
  <conditionalFormatting sqref="I32">
    <cfRule type="expression" dxfId="9423" priority="11512">
      <formula>I32="**"</formula>
    </cfRule>
    <cfRule type="expression" dxfId="9422" priority="11513">
      <formula>I32=""</formula>
    </cfRule>
    <cfRule type="expression" dxfId="9421" priority="11514">
      <formula>I32&lt;44.5</formula>
    </cfRule>
    <cfRule type="expression" dxfId="9420" priority="11515">
      <formula>I32&lt;60.5</formula>
    </cfRule>
    <cfRule type="expression" dxfId="9419" priority="11516">
      <formula>I32&lt;85.5</formula>
    </cfRule>
    <cfRule type="expression" dxfId="9418" priority="11518">
      <formula>I32&gt;85.5</formula>
    </cfRule>
  </conditionalFormatting>
  <conditionalFormatting sqref="I33">
    <cfRule type="expression" dxfId="9417" priority="11506">
      <formula>I33="**"</formula>
    </cfRule>
    <cfRule type="expression" dxfId="9416" priority="11507">
      <formula>I33=""</formula>
    </cfRule>
    <cfRule type="expression" dxfId="9415" priority="11508">
      <formula>I33&lt;44.5</formula>
    </cfRule>
    <cfRule type="expression" dxfId="9414" priority="11509">
      <formula>I33&lt;60.5</formula>
    </cfRule>
    <cfRule type="expression" dxfId="9413" priority="11510">
      <formula>I33&lt;85.5</formula>
    </cfRule>
    <cfRule type="expression" dxfId="9412" priority="11511">
      <formula>I33&gt;85.5</formula>
    </cfRule>
  </conditionalFormatting>
  <conditionalFormatting sqref="I35">
    <cfRule type="expression" dxfId="9411" priority="11495">
      <formula>I35="**"</formula>
    </cfRule>
    <cfRule type="expression" dxfId="9410" priority="11496">
      <formula>I35=""</formula>
    </cfRule>
    <cfRule type="expression" dxfId="9409" priority="11497">
      <formula>I35&lt;44.5</formula>
    </cfRule>
    <cfRule type="expression" dxfId="9408" priority="11498">
      <formula>I35&lt;60.5</formula>
    </cfRule>
    <cfRule type="expression" dxfId="9407" priority="11499">
      <formula>I35&lt;85.5</formula>
    </cfRule>
    <cfRule type="expression" dxfId="9406" priority="11500">
      <formula>I35&gt;85.5</formula>
    </cfRule>
  </conditionalFormatting>
  <conditionalFormatting sqref="J31">
    <cfRule type="expression" dxfId="9405" priority="11488">
      <formula>J31="**"</formula>
    </cfRule>
    <cfRule type="expression" dxfId="9404" priority="11489">
      <formula>J31=""</formula>
    </cfRule>
    <cfRule type="expression" dxfId="9403" priority="11490">
      <formula>J31&lt;44.5</formula>
    </cfRule>
    <cfRule type="expression" dxfId="9402" priority="11491">
      <formula>J31&lt;60.5</formula>
    </cfRule>
    <cfRule type="expression" dxfId="9401" priority="11492">
      <formula>J31&lt;85.5</formula>
    </cfRule>
    <cfRule type="expression" dxfId="9400" priority="11493">
      <formula>J31&gt;85.5</formula>
    </cfRule>
  </conditionalFormatting>
  <conditionalFormatting sqref="J31:J33 J35">
    <cfRule type="expression" dxfId="9399" priority="11463">
      <formula>J$30=""</formula>
    </cfRule>
  </conditionalFormatting>
  <conditionalFormatting sqref="J32">
    <cfRule type="expression" dxfId="9398" priority="11481">
      <formula>J32="**"</formula>
    </cfRule>
    <cfRule type="expression" dxfId="9397" priority="11482">
      <formula>J32=""</formula>
    </cfRule>
    <cfRule type="expression" dxfId="9396" priority="11483">
      <formula>J32&lt;44.5</formula>
    </cfRule>
    <cfRule type="expression" dxfId="9395" priority="11484">
      <formula>J32&lt;60.5</formula>
    </cfRule>
    <cfRule type="expression" dxfId="9394" priority="11485">
      <formula>J32&lt;85.5</formula>
    </cfRule>
    <cfRule type="expression" dxfId="9393" priority="11487">
      <formula>J32&gt;85.5</formula>
    </cfRule>
  </conditionalFormatting>
  <conditionalFormatting sqref="J33">
    <cfRule type="expression" dxfId="9392" priority="11475">
      <formula>J33="**"</formula>
    </cfRule>
    <cfRule type="expression" dxfId="9391" priority="11476">
      <formula>J33=""</formula>
    </cfRule>
    <cfRule type="expression" dxfId="9390" priority="11477">
      <formula>J33&lt;44.5</formula>
    </cfRule>
    <cfRule type="expression" dxfId="9389" priority="11478">
      <formula>J33&lt;60.5</formula>
    </cfRule>
    <cfRule type="expression" dxfId="9388" priority="11479">
      <formula>J33&lt;85.5</formula>
    </cfRule>
    <cfRule type="expression" dxfId="9387" priority="11480">
      <formula>J33&gt;85.5</formula>
    </cfRule>
  </conditionalFormatting>
  <conditionalFormatting sqref="J35">
    <cfRule type="expression" dxfId="9386" priority="11464">
      <formula>J35="**"</formula>
    </cfRule>
    <cfRule type="expression" dxfId="9385" priority="11465">
      <formula>J35=""</formula>
    </cfRule>
    <cfRule type="expression" dxfId="9384" priority="11466">
      <formula>J35&lt;44.5</formula>
    </cfRule>
    <cfRule type="expression" dxfId="9383" priority="11467">
      <formula>J35&lt;60.5</formula>
    </cfRule>
    <cfRule type="expression" dxfId="9382" priority="11468">
      <formula>J35&lt;85.5</formula>
    </cfRule>
    <cfRule type="expression" dxfId="9381" priority="11469">
      <formula>J35&gt;85.5</formula>
    </cfRule>
  </conditionalFormatting>
  <conditionalFormatting sqref="K31">
    <cfRule type="expression" dxfId="9380" priority="11457">
      <formula>K31="**"</formula>
    </cfRule>
    <cfRule type="expression" dxfId="9379" priority="11458">
      <formula>K31=""</formula>
    </cfRule>
    <cfRule type="expression" dxfId="9378" priority="11459">
      <formula>K31&lt;44.5</formula>
    </cfRule>
    <cfRule type="expression" dxfId="9377" priority="11460">
      <formula>K31&lt;60.5</formula>
    </cfRule>
    <cfRule type="expression" dxfId="9376" priority="11461">
      <formula>K31&lt;85.5</formula>
    </cfRule>
    <cfRule type="expression" dxfId="9375" priority="11462">
      <formula>K31&gt;85.5</formula>
    </cfRule>
  </conditionalFormatting>
  <conditionalFormatting sqref="K31:K33 K35">
    <cfRule type="expression" dxfId="9374" priority="11432">
      <formula>K$30=""</formula>
    </cfRule>
  </conditionalFormatting>
  <conditionalFormatting sqref="K32">
    <cfRule type="expression" dxfId="9373" priority="11450">
      <formula>K32="**"</formula>
    </cfRule>
    <cfRule type="expression" dxfId="9372" priority="11451">
      <formula>K32=""</formula>
    </cfRule>
    <cfRule type="expression" dxfId="9371" priority="11452">
      <formula>K32&lt;44.5</formula>
    </cfRule>
    <cfRule type="expression" dxfId="9370" priority="11453">
      <formula>K32&lt;60.5</formula>
    </cfRule>
    <cfRule type="expression" dxfId="9369" priority="11454">
      <formula>K32&lt;85.5</formula>
    </cfRule>
    <cfRule type="expression" dxfId="9368" priority="11456">
      <formula>K32&gt;85.5</formula>
    </cfRule>
  </conditionalFormatting>
  <conditionalFormatting sqref="K33">
    <cfRule type="expression" dxfId="9367" priority="11444">
      <formula>K33="**"</formula>
    </cfRule>
    <cfRule type="expression" dxfId="9366" priority="11445">
      <formula>K33=""</formula>
    </cfRule>
    <cfRule type="expression" dxfId="9365" priority="11446">
      <formula>K33&lt;44.5</formula>
    </cfRule>
    <cfRule type="expression" dxfId="9364" priority="11447">
      <formula>K33&lt;60.5</formula>
    </cfRule>
    <cfRule type="expression" dxfId="9363" priority="11448">
      <formula>K33&lt;85.5</formula>
    </cfRule>
    <cfRule type="expression" dxfId="9362" priority="11449">
      <formula>K33&gt;85.5</formula>
    </cfRule>
  </conditionalFormatting>
  <conditionalFormatting sqref="K35">
    <cfRule type="expression" dxfId="9361" priority="11433">
      <formula>K35="**"</formula>
    </cfRule>
    <cfRule type="expression" dxfId="9360" priority="11434">
      <formula>K35=""</formula>
    </cfRule>
    <cfRule type="expression" dxfId="9359" priority="11435">
      <formula>K35&lt;44.5</formula>
    </cfRule>
    <cfRule type="expression" dxfId="9358" priority="11436">
      <formula>K35&lt;60.5</formula>
    </cfRule>
    <cfRule type="expression" dxfId="9357" priority="11437">
      <formula>K35&lt;85.5</formula>
    </cfRule>
    <cfRule type="expression" dxfId="9356" priority="11438">
      <formula>K35&gt;85.5</formula>
    </cfRule>
  </conditionalFormatting>
  <conditionalFormatting sqref="L31">
    <cfRule type="expression" dxfId="9355" priority="11426">
      <formula>L31="**"</formula>
    </cfRule>
    <cfRule type="expression" dxfId="9354" priority="11427">
      <formula>L31=""</formula>
    </cfRule>
    <cfRule type="expression" dxfId="9353" priority="11428">
      <formula>L31&lt;44.5</formula>
    </cfRule>
    <cfRule type="expression" dxfId="9352" priority="11429">
      <formula>L31&lt;60.5</formula>
    </cfRule>
    <cfRule type="expression" dxfId="9351" priority="11430">
      <formula>L31&lt;85.5</formula>
    </cfRule>
    <cfRule type="expression" dxfId="9350" priority="11431">
      <formula>L31&gt;85.5</formula>
    </cfRule>
  </conditionalFormatting>
  <conditionalFormatting sqref="L31:L33 L35">
    <cfRule type="expression" dxfId="9349" priority="11401">
      <formula>L$30=""</formula>
    </cfRule>
  </conditionalFormatting>
  <conditionalFormatting sqref="L32">
    <cfRule type="expression" dxfId="9348" priority="11419">
      <formula>L32="**"</formula>
    </cfRule>
    <cfRule type="expression" dxfId="9347" priority="11420">
      <formula>L32=""</formula>
    </cfRule>
    <cfRule type="expression" dxfId="9346" priority="11421">
      <formula>L32&lt;44.5</formula>
    </cfRule>
    <cfRule type="expression" dxfId="9345" priority="11422">
      <formula>L32&lt;60.5</formula>
    </cfRule>
    <cfRule type="expression" dxfId="9344" priority="11423">
      <formula>L32&lt;85.5</formula>
    </cfRule>
    <cfRule type="expression" dxfId="9343" priority="11425">
      <formula>L32&gt;85.5</formula>
    </cfRule>
  </conditionalFormatting>
  <conditionalFormatting sqref="L33">
    <cfRule type="expression" dxfId="9342" priority="11413">
      <formula>L33="**"</formula>
    </cfRule>
    <cfRule type="expression" dxfId="9341" priority="11414">
      <formula>L33=""</formula>
    </cfRule>
    <cfRule type="expression" dxfId="9340" priority="11415">
      <formula>L33&lt;44.5</formula>
    </cfRule>
    <cfRule type="expression" dxfId="9339" priority="11416">
      <formula>L33&lt;60.5</formula>
    </cfRule>
    <cfRule type="expression" dxfId="9338" priority="11417">
      <formula>L33&lt;85.5</formula>
    </cfRule>
    <cfRule type="expression" dxfId="9337" priority="11418">
      <formula>L33&gt;85.5</formula>
    </cfRule>
  </conditionalFormatting>
  <conditionalFormatting sqref="L35">
    <cfRule type="expression" dxfId="9336" priority="11402">
      <formula>L35="**"</formula>
    </cfRule>
    <cfRule type="expression" dxfId="9335" priority="11403">
      <formula>L35=""</formula>
    </cfRule>
    <cfRule type="expression" dxfId="9334" priority="11404">
      <formula>L35&lt;44.5</formula>
    </cfRule>
    <cfRule type="expression" dxfId="9333" priority="11405">
      <formula>L35&lt;60.5</formula>
    </cfRule>
    <cfRule type="expression" dxfId="9332" priority="11406">
      <formula>L35&lt;85.5</formula>
    </cfRule>
    <cfRule type="expression" dxfId="9331" priority="11407">
      <formula>L35&gt;85.5</formula>
    </cfRule>
  </conditionalFormatting>
  <conditionalFormatting sqref="C61">
    <cfRule type="expression" dxfId="9330" priority="11395">
      <formula>C61="**"</formula>
    </cfRule>
    <cfRule type="expression" dxfId="9329" priority="11396">
      <formula>C61=""</formula>
    </cfRule>
    <cfRule type="expression" dxfId="9328" priority="11397">
      <formula>C61&lt;44.5</formula>
    </cfRule>
    <cfRule type="expression" dxfId="9327" priority="11398">
      <formula>C61&lt;60.5</formula>
    </cfRule>
    <cfRule type="expression" dxfId="9326" priority="11399">
      <formula>C61&lt;85.5</formula>
    </cfRule>
    <cfRule type="expression" dxfId="9325" priority="11400">
      <formula>C61&gt;85.5</formula>
    </cfRule>
  </conditionalFormatting>
  <conditionalFormatting sqref="C61:C65">
    <cfRule type="expression" dxfId="9324" priority="11370">
      <formula>C$60=""</formula>
    </cfRule>
  </conditionalFormatting>
  <conditionalFormatting sqref="C62">
    <cfRule type="expression" dxfId="9323" priority="11388">
      <formula>C62="**"</formula>
    </cfRule>
    <cfRule type="expression" dxfId="9322" priority="11389">
      <formula>C62=""</formula>
    </cfRule>
    <cfRule type="expression" dxfId="9321" priority="11390">
      <formula>C62&lt;44.5</formula>
    </cfRule>
    <cfRule type="expression" dxfId="9320" priority="11391">
      <formula>C62&lt;60.5</formula>
    </cfRule>
    <cfRule type="expression" dxfId="9319" priority="11392">
      <formula>C62&lt;85.5</formula>
    </cfRule>
    <cfRule type="expression" dxfId="9318" priority="11394">
      <formula>C62&gt;85.5</formula>
    </cfRule>
  </conditionalFormatting>
  <conditionalFormatting sqref="C63">
    <cfRule type="expression" dxfId="9317" priority="11382">
      <formula>C63="**"</formula>
    </cfRule>
    <cfRule type="expression" dxfId="9316" priority="11383">
      <formula>C63=""</formula>
    </cfRule>
    <cfRule type="expression" dxfId="9315" priority="11384">
      <formula>C63&lt;44.5</formula>
    </cfRule>
    <cfRule type="expression" dxfId="9314" priority="11385">
      <formula>C63&lt;60.5</formula>
    </cfRule>
    <cfRule type="expression" dxfId="9313" priority="11386">
      <formula>C63&lt;85.5</formula>
    </cfRule>
    <cfRule type="expression" dxfId="9312" priority="11387">
      <formula>C63&gt;85.5</formula>
    </cfRule>
  </conditionalFormatting>
  <conditionalFormatting sqref="C64">
    <cfRule type="expression" dxfId="9311" priority="11377">
      <formula>C64="**"</formula>
    </cfRule>
    <cfRule type="expression" dxfId="9310" priority="11378">
      <formula>C64=""</formula>
    </cfRule>
    <cfRule type="expression" dxfId="9309" priority="11379">
      <formula>C64&lt;44.5</formula>
    </cfRule>
    <cfRule type="expression" dxfId="9308" priority="11380">
      <formula>C64&lt;60.5</formula>
    </cfRule>
    <cfRule type="expression" dxfId="9307" priority="11381">
      <formula>C64&lt;85.5</formula>
    </cfRule>
    <cfRule type="expression" dxfId="9306" priority="11393">
      <formula>C64&gt;85.5</formula>
    </cfRule>
  </conditionalFormatting>
  <conditionalFormatting sqref="C65">
    <cfRule type="expression" dxfId="9305" priority="11371">
      <formula>C65="**"</formula>
    </cfRule>
    <cfRule type="expression" dxfId="9304" priority="11372">
      <formula>C65=""</formula>
    </cfRule>
    <cfRule type="expression" dxfId="9303" priority="11373">
      <formula>C65&lt;44.5</formula>
    </cfRule>
    <cfRule type="expression" dxfId="9302" priority="11374">
      <formula>C65&lt;60.5</formula>
    </cfRule>
    <cfRule type="expression" dxfId="9301" priority="11375">
      <formula>C65&lt;85.5</formula>
    </cfRule>
    <cfRule type="expression" dxfId="9300" priority="11376">
      <formula>C65&gt;85.5</formula>
    </cfRule>
  </conditionalFormatting>
  <conditionalFormatting sqref="D61">
    <cfRule type="expression" dxfId="9299" priority="11364">
      <formula>D61="**"</formula>
    </cfRule>
    <cfRule type="expression" dxfId="9298" priority="11365">
      <formula>D61=""</formula>
    </cfRule>
    <cfRule type="expression" dxfId="9297" priority="11366">
      <formula>D61&lt;44.5</formula>
    </cfRule>
    <cfRule type="expression" dxfId="9296" priority="11367">
      <formula>D61&lt;60.5</formula>
    </cfRule>
    <cfRule type="expression" dxfId="9295" priority="11368">
      <formula>D61&lt;85.5</formula>
    </cfRule>
    <cfRule type="expression" dxfId="9294" priority="11369">
      <formula>D61&gt;85.5</formula>
    </cfRule>
  </conditionalFormatting>
  <conditionalFormatting sqref="D61:D63 D65">
    <cfRule type="expression" dxfId="9293" priority="11339">
      <formula>D$60=""</formula>
    </cfRule>
  </conditionalFormatting>
  <conditionalFormatting sqref="D62">
    <cfRule type="expression" dxfId="9292" priority="11357">
      <formula>D62="**"</formula>
    </cfRule>
    <cfRule type="expression" dxfId="9291" priority="11358">
      <formula>D62=""</formula>
    </cfRule>
    <cfRule type="expression" dxfId="9290" priority="11359">
      <formula>D62&lt;44.5</formula>
    </cfRule>
    <cfRule type="expression" dxfId="9289" priority="11360">
      <formula>D62&lt;60.5</formula>
    </cfRule>
    <cfRule type="expression" dxfId="9288" priority="11361">
      <formula>D62&lt;85.5</formula>
    </cfRule>
    <cfRule type="expression" dxfId="9287" priority="11363">
      <formula>D62&gt;85.5</formula>
    </cfRule>
  </conditionalFormatting>
  <conditionalFormatting sqref="D63">
    <cfRule type="expression" dxfId="9286" priority="11351">
      <formula>D63="**"</formula>
    </cfRule>
    <cfRule type="expression" dxfId="9285" priority="11352">
      <formula>D63=""</formula>
    </cfRule>
    <cfRule type="expression" dxfId="9284" priority="11353">
      <formula>D63&lt;44.5</formula>
    </cfRule>
    <cfRule type="expression" dxfId="9283" priority="11354">
      <formula>D63&lt;60.5</formula>
    </cfRule>
    <cfRule type="expression" dxfId="9282" priority="11355">
      <formula>D63&lt;85.5</formula>
    </cfRule>
    <cfRule type="expression" dxfId="9281" priority="11356">
      <formula>D63&gt;85.5</formula>
    </cfRule>
  </conditionalFormatting>
  <conditionalFormatting sqref="D65">
    <cfRule type="expression" dxfId="9280" priority="11340">
      <formula>D65="**"</formula>
    </cfRule>
    <cfRule type="expression" dxfId="9279" priority="11341">
      <formula>D65=""</formula>
    </cfRule>
    <cfRule type="expression" dxfId="9278" priority="11342">
      <formula>D65&lt;44.5</formula>
    </cfRule>
    <cfRule type="expression" dxfId="9277" priority="11343">
      <formula>D65&lt;60.5</formula>
    </cfRule>
    <cfRule type="expression" dxfId="9276" priority="11344">
      <formula>D65&lt;85.5</formula>
    </cfRule>
    <cfRule type="expression" dxfId="9275" priority="11345">
      <formula>D65&gt;85.5</formula>
    </cfRule>
  </conditionalFormatting>
  <conditionalFormatting sqref="E61">
    <cfRule type="expression" dxfId="9274" priority="11333">
      <formula>E61="**"</formula>
    </cfRule>
    <cfRule type="expression" dxfId="9273" priority="11334">
      <formula>E61=""</formula>
    </cfRule>
    <cfRule type="expression" dxfId="9272" priority="11335">
      <formula>E61&lt;44.5</formula>
    </cfRule>
    <cfRule type="expression" dxfId="9271" priority="11336">
      <formula>E61&lt;60.5</formula>
    </cfRule>
    <cfRule type="expression" dxfId="9270" priority="11337">
      <formula>E61&lt;85.5</formula>
    </cfRule>
    <cfRule type="expression" dxfId="9269" priority="11338">
      <formula>E61&gt;85.5</formula>
    </cfRule>
  </conditionalFormatting>
  <conditionalFormatting sqref="E61:E63 E65">
    <cfRule type="expression" dxfId="9268" priority="11308">
      <formula>E$60=""</formula>
    </cfRule>
  </conditionalFormatting>
  <conditionalFormatting sqref="E62">
    <cfRule type="expression" dxfId="9267" priority="11326">
      <formula>E62="**"</formula>
    </cfRule>
    <cfRule type="expression" dxfId="9266" priority="11327">
      <formula>E62=""</formula>
    </cfRule>
    <cfRule type="expression" dxfId="9265" priority="11328">
      <formula>E62&lt;44.5</formula>
    </cfRule>
    <cfRule type="expression" dxfId="9264" priority="11329">
      <formula>E62&lt;60.5</formula>
    </cfRule>
    <cfRule type="expression" dxfId="9263" priority="11330">
      <formula>E62&lt;85.5</formula>
    </cfRule>
    <cfRule type="expression" dxfId="9262" priority="11332">
      <formula>E62&gt;85.5</formula>
    </cfRule>
  </conditionalFormatting>
  <conditionalFormatting sqref="E63">
    <cfRule type="expression" dxfId="9261" priority="11320">
      <formula>E63="**"</formula>
    </cfRule>
    <cfRule type="expression" dxfId="9260" priority="11321">
      <formula>E63=""</formula>
    </cfRule>
    <cfRule type="expression" dxfId="9259" priority="11322">
      <formula>E63&lt;44.5</formula>
    </cfRule>
    <cfRule type="expression" dxfId="9258" priority="11323">
      <formula>E63&lt;60.5</formula>
    </cfRule>
    <cfRule type="expression" dxfId="9257" priority="11324">
      <formula>E63&lt;85.5</formula>
    </cfRule>
    <cfRule type="expression" dxfId="9256" priority="11325">
      <formula>E63&gt;85.5</formula>
    </cfRule>
  </conditionalFormatting>
  <conditionalFormatting sqref="E65">
    <cfRule type="expression" dxfId="9255" priority="11309">
      <formula>E65="**"</formula>
    </cfRule>
    <cfRule type="expression" dxfId="9254" priority="11310">
      <formula>E65=""</formula>
    </cfRule>
    <cfRule type="expression" dxfId="9253" priority="11311">
      <formula>E65&lt;44.5</formula>
    </cfRule>
    <cfRule type="expression" dxfId="9252" priority="11312">
      <formula>E65&lt;60.5</formula>
    </cfRule>
    <cfRule type="expression" dxfId="9251" priority="11313">
      <formula>E65&lt;85.5</formula>
    </cfRule>
    <cfRule type="expression" dxfId="9250" priority="11314">
      <formula>E65&gt;85.5</formula>
    </cfRule>
  </conditionalFormatting>
  <conditionalFormatting sqref="F61">
    <cfRule type="expression" dxfId="9249" priority="11302">
      <formula>F61="**"</formula>
    </cfRule>
    <cfRule type="expression" dxfId="9248" priority="11303">
      <formula>F61=""</formula>
    </cfRule>
    <cfRule type="expression" dxfId="9247" priority="11304">
      <formula>F61&lt;44.5</formula>
    </cfRule>
    <cfRule type="expression" dxfId="9246" priority="11305">
      <formula>F61&lt;60.5</formula>
    </cfRule>
    <cfRule type="expression" dxfId="9245" priority="11306">
      <formula>F61&lt;85.5</formula>
    </cfRule>
    <cfRule type="expression" dxfId="9244" priority="11307">
      <formula>F61&gt;85.5</formula>
    </cfRule>
  </conditionalFormatting>
  <conditionalFormatting sqref="F61:F63 F65">
    <cfRule type="expression" dxfId="9243" priority="11277">
      <formula>F$60=""</formula>
    </cfRule>
  </conditionalFormatting>
  <conditionalFormatting sqref="F62">
    <cfRule type="expression" dxfId="9242" priority="11295">
      <formula>F62="**"</formula>
    </cfRule>
    <cfRule type="expression" dxfId="9241" priority="11296">
      <formula>F62=""</formula>
    </cfRule>
    <cfRule type="expression" dxfId="9240" priority="11297">
      <formula>F62&lt;44.5</formula>
    </cfRule>
    <cfRule type="expression" dxfId="9239" priority="11298">
      <formula>F62&lt;60.5</formula>
    </cfRule>
    <cfRule type="expression" dxfId="9238" priority="11299">
      <formula>F62&lt;85.5</formula>
    </cfRule>
    <cfRule type="expression" dxfId="9237" priority="11301">
      <formula>F62&gt;85.5</formula>
    </cfRule>
  </conditionalFormatting>
  <conditionalFormatting sqref="F63">
    <cfRule type="expression" dxfId="9236" priority="11289">
      <formula>F63="**"</formula>
    </cfRule>
    <cfRule type="expression" dxfId="9235" priority="11290">
      <formula>F63=""</formula>
    </cfRule>
    <cfRule type="expression" dxfId="9234" priority="11291">
      <formula>F63&lt;44.5</formula>
    </cfRule>
    <cfRule type="expression" dxfId="9233" priority="11292">
      <formula>F63&lt;60.5</formula>
    </cfRule>
    <cfRule type="expression" dxfId="9232" priority="11293">
      <formula>F63&lt;85.5</formula>
    </cfRule>
    <cfRule type="expression" dxfId="9231" priority="11294">
      <formula>F63&gt;85.5</formula>
    </cfRule>
  </conditionalFormatting>
  <conditionalFormatting sqref="F65">
    <cfRule type="expression" dxfId="9230" priority="11278">
      <formula>F65="**"</formula>
    </cfRule>
    <cfRule type="expression" dxfId="9229" priority="11279">
      <formula>F65=""</formula>
    </cfRule>
    <cfRule type="expression" dxfId="9228" priority="11280">
      <formula>F65&lt;44.5</formula>
    </cfRule>
    <cfRule type="expression" dxfId="9227" priority="11281">
      <formula>F65&lt;60.5</formula>
    </cfRule>
    <cfRule type="expression" dxfId="9226" priority="11282">
      <formula>F65&lt;85.5</formula>
    </cfRule>
    <cfRule type="expression" dxfId="9225" priority="11283">
      <formula>F65&gt;85.5</formula>
    </cfRule>
  </conditionalFormatting>
  <conditionalFormatting sqref="G61">
    <cfRule type="expression" dxfId="9224" priority="11271">
      <formula>G61="**"</formula>
    </cfRule>
    <cfRule type="expression" dxfId="9223" priority="11272">
      <formula>G61=""</formula>
    </cfRule>
    <cfRule type="expression" dxfId="9222" priority="11273">
      <formula>G61&lt;44.5</formula>
    </cfRule>
    <cfRule type="expression" dxfId="9221" priority="11274">
      <formula>G61&lt;60.5</formula>
    </cfRule>
    <cfRule type="expression" dxfId="9220" priority="11275">
      <formula>G61&lt;85.5</formula>
    </cfRule>
    <cfRule type="expression" dxfId="9219" priority="11276">
      <formula>G61&gt;85.5</formula>
    </cfRule>
  </conditionalFormatting>
  <conditionalFormatting sqref="G61:G63 G65">
    <cfRule type="expression" dxfId="9218" priority="11246">
      <formula>G$60=""</formula>
    </cfRule>
  </conditionalFormatting>
  <conditionalFormatting sqref="G62">
    <cfRule type="expression" dxfId="9217" priority="11264">
      <formula>G62="**"</formula>
    </cfRule>
    <cfRule type="expression" dxfId="9216" priority="11265">
      <formula>G62=""</formula>
    </cfRule>
    <cfRule type="expression" dxfId="9215" priority="11266">
      <formula>G62&lt;44.5</formula>
    </cfRule>
    <cfRule type="expression" dxfId="9214" priority="11267">
      <formula>G62&lt;60.5</formula>
    </cfRule>
    <cfRule type="expression" dxfId="9213" priority="11268">
      <formula>G62&lt;85.5</formula>
    </cfRule>
    <cfRule type="expression" dxfId="9212" priority="11270">
      <formula>G62&gt;85.5</formula>
    </cfRule>
  </conditionalFormatting>
  <conditionalFormatting sqref="G63">
    <cfRule type="expression" dxfId="9211" priority="11258">
      <formula>G63="**"</formula>
    </cfRule>
    <cfRule type="expression" dxfId="9210" priority="11259">
      <formula>G63=""</formula>
    </cfRule>
    <cfRule type="expression" dxfId="9209" priority="11260">
      <formula>G63&lt;44.5</formula>
    </cfRule>
    <cfRule type="expression" dxfId="9208" priority="11261">
      <formula>G63&lt;60.5</formula>
    </cfRule>
    <cfRule type="expression" dxfId="9207" priority="11262">
      <formula>G63&lt;85.5</formula>
    </cfRule>
    <cfRule type="expression" dxfId="9206" priority="11263">
      <formula>G63&gt;85.5</formula>
    </cfRule>
  </conditionalFormatting>
  <conditionalFormatting sqref="G65">
    <cfRule type="expression" dxfId="9205" priority="11247">
      <formula>G65="**"</formula>
    </cfRule>
    <cfRule type="expression" dxfId="9204" priority="11248">
      <formula>G65=""</formula>
    </cfRule>
    <cfRule type="expression" dxfId="9203" priority="11249">
      <formula>G65&lt;44.5</formula>
    </cfRule>
    <cfRule type="expression" dxfId="9202" priority="11250">
      <formula>G65&lt;60.5</formula>
    </cfRule>
    <cfRule type="expression" dxfId="9201" priority="11251">
      <formula>G65&lt;85.5</formula>
    </cfRule>
    <cfRule type="expression" dxfId="9200" priority="11252">
      <formula>G65&gt;85.5</formula>
    </cfRule>
  </conditionalFormatting>
  <conditionalFormatting sqref="H61">
    <cfRule type="expression" dxfId="9199" priority="11240">
      <formula>H61="**"</formula>
    </cfRule>
    <cfRule type="expression" dxfId="9198" priority="11241">
      <formula>H61=""</formula>
    </cfRule>
    <cfRule type="expression" dxfId="9197" priority="11242">
      <formula>H61&lt;44.5</formula>
    </cfRule>
    <cfRule type="expression" dxfId="9196" priority="11243">
      <formula>H61&lt;60.5</formula>
    </cfRule>
    <cfRule type="expression" dxfId="9195" priority="11244">
      <formula>H61&lt;85.5</formula>
    </cfRule>
    <cfRule type="expression" dxfId="9194" priority="11245">
      <formula>H61&gt;85.5</formula>
    </cfRule>
  </conditionalFormatting>
  <conditionalFormatting sqref="H61:H63 H65">
    <cfRule type="expression" dxfId="9193" priority="11215">
      <formula>H$60=""</formula>
    </cfRule>
  </conditionalFormatting>
  <conditionalFormatting sqref="H62">
    <cfRule type="expression" dxfId="9192" priority="11233">
      <formula>H62="**"</formula>
    </cfRule>
    <cfRule type="expression" dxfId="9191" priority="11234">
      <formula>H62=""</formula>
    </cfRule>
    <cfRule type="expression" dxfId="9190" priority="11235">
      <formula>H62&lt;44.5</formula>
    </cfRule>
    <cfRule type="expression" dxfId="9189" priority="11236">
      <formula>H62&lt;60.5</formula>
    </cfRule>
    <cfRule type="expression" dxfId="9188" priority="11237">
      <formula>H62&lt;85.5</formula>
    </cfRule>
    <cfRule type="expression" dxfId="9187" priority="11239">
      <formula>H62&gt;85.5</formula>
    </cfRule>
  </conditionalFormatting>
  <conditionalFormatting sqref="H63">
    <cfRule type="expression" dxfId="9186" priority="11227">
      <formula>H63="**"</formula>
    </cfRule>
    <cfRule type="expression" dxfId="9185" priority="11228">
      <formula>H63=""</formula>
    </cfRule>
    <cfRule type="expression" dxfId="9184" priority="11229">
      <formula>H63&lt;44.5</formula>
    </cfRule>
    <cfRule type="expression" dxfId="9183" priority="11230">
      <formula>H63&lt;60.5</formula>
    </cfRule>
    <cfRule type="expression" dxfId="9182" priority="11231">
      <formula>H63&lt;85.5</formula>
    </cfRule>
    <cfRule type="expression" dxfId="9181" priority="11232">
      <formula>H63&gt;85.5</formula>
    </cfRule>
  </conditionalFormatting>
  <conditionalFormatting sqref="H65">
    <cfRule type="expression" dxfId="9180" priority="11216">
      <formula>H65="**"</formula>
    </cfRule>
    <cfRule type="expression" dxfId="9179" priority="11217">
      <formula>H65=""</formula>
    </cfRule>
    <cfRule type="expression" dxfId="9178" priority="11218">
      <formula>H65&lt;44.5</formula>
    </cfRule>
    <cfRule type="expression" dxfId="9177" priority="11219">
      <formula>H65&lt;60.5</formula>
    </cfRule>
    <cfRule type="expression" dxfId="9176" priority="11220">
      <formula>H65&lt;85.5</formula>
    </cfRule>
    <cfRule type="expression" dxfId="9175" priority="11221">
      <formula>H65&gt;85.5</formula>
    </cfRule>
  </conditionalFormatting>
  <conditionalFormatting sqref="I61">
    <cfRule type="expression" dxfId="9174" priority="11209">
      <formula>I61="**"</formula>
    </cfRule>
    <cfRule type="expression" dxfId="9173" priority="11210">
      <formula>I61=""</formula>
    </cfRule>
    <cfRule type="expression" dxfId="9172" priority="11211">
      <formula>I61&lt;44.5</formula>
    </cfRule>
    <cfRule type="expression" dxfId="9171" priority="11212">
      <formula>I61&lt;60.5</formula>
    </cfRule>
    <cfRule type="expression" dxfId="9170" priority="11213">
      <formula>I61&lt;85.5</formula>
    </cfRule>
    <cfRule type="expression" dxfId="9169" priority="11214">
      <formula>I61&gt;85.5</formula>
    </cfRule>
  </conditionalFormatting>
  <conditionalFormatting sqref="I61:I63 I65">
    <cfRule type="expression" dxfId="9168" priority="11184">
      <formula>I$60=""</formula>
    </cfRule>
  </conditionalFormatting>
  <conditionalFormatting sqref="I62">
    <cfRule type="expression" dxfId="9167" priority="11202">
      <formula>I62="**"</formula>
    </cfRule>
    <cfRule type="expression" dxfId="9166" priority="11203">
      <formula>I62=""</formula>
    </cfRule>
    <cfRule type="expression" dxfId="9165" priority="11204">
      <formula>I62&lt;44.5</formula>
    </cfRule>
    <cfRule type="expression" dxfId="9164" priority="11205">
      <formula>I62&lt;60.5</formula>
    </cfRule>
    <cfRule type="expression" dxfId="9163" priority="11206">
      <formula>I62&lt;85.5</formula>
    </cfRule>
    <cfRule type="expression" dxfId="9162" priority="11208">
      <formula>I62&gt;85.5</formula>
    </cfRule>
  </conditionalFormatting>
  <conditionalFormatting sqref="I63">
    <cfRule type="expression" dxfId="9161" priority="11196">
      <formula>I63="**"</formula>
    </cfRule>
    <cfRule type="expression" dxfId="9160" priority="11197">
      <formula>I63=""</formula>
    </cfRule>
    <cfRule type="expression" dxfId="9159" priority="11198">
      <formula>I63&lt;44.5</formula>
    </cfRule>
    <cfRule type="expression" dxfId="9158" priority="11199">
      <formula>I63&lt;60.5</formula>
    </cfRule>
    <cfRule type="expression" dxfId="9157" priority="11200">
      <formula>I63&lt;85.5</formula>
    </cfRule>
    <cfRule type="expression" dxfId="9156" priority="11201">
      <formula>I63&gt;85.5</formula>
    </cfRule>
  </conditionalFormatting>
  <conditionalFormatting sqref="I65">
    <cfRule type="expression" dxfId="9155" priority="11185">
      <formula>I65="**"</formula>
    </cfRule>
    <cfRule type="expression" dxfId="9154" priority="11186">
      <formula>I65=""</formula>
    </cfRule>
    <cfRule type="expression" dxfId="9153" priority="11187">
      <formula>I65&lt;44.5</formula>
    </cfRule>
    <cfRule type="expression" dxfId="9152" priority="11188">
      <formula>I65&lt;60.5</formula>
    </cfRule>
    <cfRule type="expression" dxfId="9151" priority="11189">
      <formula>I65&lt;85.5</formula>
    </cfRule>
    <cfRule type="expression" dxfId="9150" priority="11190">
      <formula>I65&gt;85.5</formula>
    </cfRule>
  </conditionalFormatting>
  <conditionalFormatting sqref="J61">
    <cfRule type="expression" dxfId="9149" priority="11178">
      <formula>J61="**"</formula>
    </cfRule>
    <cfRule type="expression" dxfId="9148" priority="11179">
      <formula>J61=""</formula>
    </cfRule>
    <cfRule type="expression" dxfId="9147" priority="11180">
      <formula>J61&lt;44.5</formula>
    </cfRule>
    <cfRule type="expression" dxfId="9146" priority="11181">
      <formula>J61&lt;60.5</formula>
    </cfRule>
    <cfRule type="expression" dxfId="9145" priority="11182">
      <formula>J61&lt;85.5</formula>
    </cfRule>
    <cfRule type="expression" dxfId="9144" priority="11183">
      <formula>J61&gt;85.5</formula>
    </cfRule>
  </conditionalFormatting>
  <conditionalFormatting sqref="J61:J63 J65">
    <cfRule type="expression" dxfId="9143" priority="11153">
      <formula>J$60=""</formula>
    </cfRule>
  </conditionalFormatting>
  <conditionalFormatting sqref="J62">
    <cfRule type="expression" dxfId="9142" priority="11171">
      <formula>J62="**"</formula>
    </cfRule>
    <cfRule type="expression" dxfId="9141" priority="11172">
      <formula>J62=""</formula>
    </cfRule>
    <cfRule type="expression" dxfId="9140" priority="11173">
      <formula>J62&lt;44.5</formula>
    </cfRule>
    <cfRule type="expression" dxfId="9139" priority="11174">
      <formula>J62&lt;60.5</formula>
    </cfRule>
    <cfRule type="expression" dxfId="9138" priority="11175">
      <formula>J62&lt;85.5</formula>
    </cfRule>
    <cfRule type="expression" dxfId="9137" priority="11177">
      <formula>J62&gt;85.5</formula>
    </cfRule>
  </conditionalFormatting>
  <conditionalFormatting sqref="J63">
    <cfRule type="expression" dxfId="9136" priority="11165">
      <formula>J63="**"</formula>
    </cfRule>
    <cfRule type="expression" dxfId="9135" priority="11166">
      <formula>J63=""</formula>
    </cfRule>
    <cfRule type="expression" dxfId="9134" priority="11167">
      <formula>J63&lt;44.5</formula>
    </cfRule>
    <cfRule type="expression" dxfId="9133" priority="11168">
      <formula>J63&lt;60.5</formula>
    </cfRule>
    <cfRule type="expression" dxfId="9132" priority="11169">
      <formula>J63&lt;85.5</formula>
    </cfRule>
    <cfRule type="expression" dxfId="9131" priority="11170">
      <formula>J63&gt;85.5</formula>
    </cfRule>
  </conditionalFormatting>
  <conditionalFormatting sqref="J65">
    <cfRule type="expression" dxfId="9130" priority="11154">
      <formula>J65="**"</formula>
    </cfRule>
    <cfRule type="expression" dxfId="9129" priority="11155">
      <formula>J65=""</formula>
    </cfRule>
    <cfRule type="expression" dxfId="9128" priority="11156">
      <formula>J65&lt;44.5</formula>
    </cfRule>
    <cfRule type="expression" dxfId="9127" priority="11157">
      <formula>J65&lt;60.5</formula>
    </cfRule>
    <cfRule type="expression" dxfId="9126" priority="11158">
      <formula>J65&lt;85.5</formula>
    </cfRule>
    <cfRule type="expression" dxfId="9125" priority="11159">
      <formula>J65&gt;85.5</formula>
    </cfRule>
  </conditionalFormatting>
  <conditionalFormatting sqref="K61">
    <cfRule type="expression" dxfId="9124" priority="11147">
      <formula>K61="**"</formula>
    </cfRule>
    <cfRule type="expression" dxfId="9123" priority="11148">
      <formula>K61=""</formula>
    </cfRule>
    <cfRule type="expression" dxfId="9122" priority="11149">
      <formula>K61&lt;44.5</formula>
    </cfRule>
    <cfRule type="expression" dxfId="9121" priority="11150">
      <formula>K61&lt;60.5</formula>
    </cfRule>
    <cfRule type="expression" dxfId="9120" priority="11151">
      <formula>K61&lt;85.5</formula>
    </cfRule>
    <cfRule type="expression" dxfId="9119" priority="11152">
      <formula>K61&gt;85.5</formula>
    </cfRule>
  </conditionalFormatting>
  <conditionalFormatting sqref="K61:K63 K65">
    <cfRule type="expression" dxfId="9118" priority="11122">
      <formula>K$60=""</formula>
    </cfRule>
  </conditionalFormatting>
  <conditionalFormatting sqref="K62">
    <cfRule type="expression" dxfId="9117" priority="11140">
      <formula>K62="**"</formula>
    </cfRule>
    <cfRule type="expression" dxfId="9116" priority="11141">
      <formula>K62=""</formula>
    </cfRule>
    <cfRule type="expression" dxfId="9115" priority="11142">
      <formula>K62&lt;44.5</formula>
    </cfRule>
    <cfRule type="expression" dxfId="9114" priority="11143">
      <formula>K62&lt;60.5</formula>
    </cfRule>
    <cfRule type="expression" dxfId="9113" priority="11144">
      <formula>K62&lt;85.5</formula>
    </cfRule>
    <cfRule type="expression" dxfId="9112" priority="11146">
      <formula>K62&gt;85.5</formula>
    </cfRule>
  </conditionalFormatting>
  <conditionalFormatting sqref="K63">
    <cfRule type="expression" dxfId="9111" priority="11134">
      <formula>K63="**"</formula>
    </cfRule>
    <cfRule type="expression" dxfId="9110" priority="11135">
      <formula>K63=""</formula>
    </cfRule>
    <cfRule type="expression" dxfId="9109" priority="11136">
      <formula>K63&lt;44.5</formula>
    </cfRule>
    <cfRule type="expression" dxfId="9108" priority="11137">
      <formula>K63&lt;60.5</formula>
    </cfRule>
    <cfRule type="expression" dxfId="9107" priority="11138">
      <formula>K63&lt;85.5</formula>
    </cfRule>
    <cfRule type="expression" dxfId="9106" priority="11139">
      <formula>K63&gt;85.5</formula>
    </cfRule>
  </conditionalFormatting>
  <conditionalFormatting sqref="K65">
    <cfRule type="expression" dxfId="9105" priority="11123">
      <formula>K65="**"</formula>
    </cfRule>
    <cfRule type="expression" dxfId="9104" priority="11124">
      <formula>K65=""</formula>
    </cfRule>
    <cfRule type="expression" dxfId="9103" priority="11125">
      <formula>K65&lt;44.5</formula>
    </cfRule>
    <cfRule type="expression" dxfId="9102" priority="11126">
      <formula>K65&lt;60.5</formula>
    </cfRule>
    <cfRule type="expression" dxfId="9101" priority="11127">
      <formula>K65&lt;85.5</formula>
    </cfRule>
    <cfRule type="expression" dxfId="9100" priority="11128">
      <formula>K65&gt;85.5</formula>
    </cfRule>
  </conditionalFormatting>
  <conditionalFormatting sqref="L61">
    <cfRule type="expression" dxfId="9099" priority="11116">
      <formula>L61="**"</formula>
    </cfRule>
    <cfRule type="expression" dxfId="9098" priority="11117">
      <formula>L61=""</formula>
    </cfRule>
    <cfRule type="expression" dxfId="9097" priority="11118">
      <formula>L61&lt;44.5</formula>
    </cfRule>
    <cfRule type="expression" dxfId="9096" priority="11119">
      <formula>L61&lt;60.5</formula>
    </cfRule>
    <cfRule type="expression" dxfId="9095" priority="11120">
      <formula>L61&lt;85.5</formula>
    </cfRule>
    <cfRule type="expression" dxfId="9094" priority="11121">
      <formula>L61&gt;85.5</formula>
    </cfRule>
  </conditionalFormatting>
  <conditionalFormatting sqref="L61:L65">
    <cfRule type="expression" dxfId="9093" priority="11091">
      <formula>L$60=""</formula>
    </cfRule>
  </conditionalFormatting>
  <conditionalFormatting sqref="L62">
    <cfRule type="expression" dxfId="9092" priority="11109">
      <formula>L62="**"</formula>
    </cfRule>
    <cfRule type="expression" dxfId="9091" priority="11110">
      <formula>L62=""</formula>
    </cfRule>
    <cfRule type="expression" dxfId="9090" priority="11111">
      <formula>L62&lt;44.5</formula>
    </cfRule>
    <cfRule type="expression" dxfId="9089" priority="11112">
      <formula>L62&lt;60.5</formula>
    </cfRule>
    <cfRule type="expression" dxfId="9088" priority="11113">
      <formula>L62&lt;85.5</formula>
    </cfRule>
    <cfRule type="expression" dxfId="9087" priority="11115">
      <formula>L62&gt;85.5</formula>
    </cfRule>
  </conditionalFormatting>
  <conditionalFormatting sqref="L63">
    <cfRule type="expression" dxfId="9086" priority="11103">
      <formula>L63="**"</formula>
    </cfRule>
    <cfRule type="expression" dxfId="9085" priority="11104">
      <formula>L63=""</formula>
    </cfRule>
    <cfRule type="expression" dxfId="9084" priority="11105">
      <formula>L63&lt;44.5</formula>
    </cfRule>
    <cfRule type="expression" dxfId="9083" priority="11106">
      <formula>L63&lt;60.5</formula>
    </cfRule>
    <cfRule type="expression" dxfId="9082" priority="11107">
      <formula>L63&lt;85.5</formula>
    </cfRule>
    <cfRule type="expression" dxfId="9081" priority="11108">
      <formula>L63&gt;85.5</formula>
    </cfRule>
  </conditionalFormatting>
  <conditionalFormatting sqref="L64">
    <cfRule type="expression" dxfId="9080" priority="11098">
      <formula>L64="**"</formula>
    </cfRule>
    <cfRule type="expression" dxfId="9079" priority="11099">
      <formula>L64=""</formula>
    </cfRule>
    <cfRule type="expression" dxfId="9078" priority="11100">
      <formula>L64&lt;44.5</formula>
    </cfRule>
    <cfRule type="expression" dxfId="9077" priority="11101">
      <formula>L64&lt;60.5</formula>
    </cfRule>
    <cfRule type="expression" dxfId="9076" priority="11102">
      <formula>L64&lt;85.5</formula>
    </cfRule>
    <cfRule type="expression" dxfId="9075" priority="11114">
      <formula>L64&gt;85.5</formula>
    </cfRule>
  </conditionalFormatting>
  <conditionalFormatting sqref="L65">
    <cfRule type="expression" dxfId="9074" priority="11092">
      <formula>L65="**"</formula>
    </cfRule>
    <cfRule type="expression" dxfId="9073" priority="11093">
      <formula>L65=""</formula>
    </cfRule>
    <cfRule type="expression" dxfId="9072" priority="11094">
      <formula>L65&lt;44.5</formula>
    </cfRule>
    <cfRule type="expression" dxfId="9071" priority="11095">
      <formula>L65&lt;60.5</formula>
    </cfRule>
    <cfRule type="expression" dxfId="9070" priority="11096">
      <formula>L65&lt;85.5</formula>
    </cfRule>
    <cfRule type="expression" dxfId="9069" priority="11097">
      <formula>L65&gt;85.5</formula>
    </cfRule>
  </conditionalFormatting>
  <conditionalFormatting sqref="C91">
    <cfRule type="expression" dxfId="9068" priority="11085">
      <formula>C91="**"</formula>
    </cfRule>
    <cfRule type="expression" dxfId="9067" priority="11086">
      <formula>C91=""</formula>
    </cfRule>
    <cfRule type="expression" dxfId="9066" priority="11087">
      <formula>C91&lt;44.5</formula>
    </cfRule>
    <cfRule type="expression" dxfId="9065" priority="11088">
      <formula>C91&lt;60.5</formula>
    </cfRule>
    <cfRule type="expression" dxfId="9064" priority="11089">
      <formula>C91&lt;85.5</formula>
    </cfRule>
    <cfRule type="expression" dxfId="9063" priority="11090">
      <formula>C91&gt;85.5</formula>
    </cfRule>
  </conditionalFormatting>
  <conditionalFormatting sqref="C91:C95">
    <cfRule type="expression" dxfId="9062" priority="11060">
      <formula>C$90=""</formula>
    </cfRule>
  </conditionalFormatting>
  <conditionalFormatting sqref="C92">
    <cfRule type="expression" dxfId="9061" priority="11078">
      <formula>C92="**"</formula>
    </cfRule>
    <cfRule type="expression" dxfId="9060" priority="11079">
      <formula>C92=""</formula>
    </cfRule>
    <cfRule type="expression" dxfId="9059" priority="11080">
      <formula>C92&lt;44.5</formula>
    </cfRule>
    <cfRule type="expression" dxfId="9058" priority="11081">
      <formula>C92&lt;60.5</formula>
    </cfRule>
    <cfRule type="expression" dxfId="9057" priority="11082">
      <formula>C92&lt;85.5</formula>
    </cfRule>
    <cfRule type="expression" dxfId="9056" priority="11084">
      <formula>C92&gt;85.5</formula>
    </cfRule>
  </conditionalFormatting>
  <conditionalFormatting sqref="C93">
    <cfRule type="expression" dxfId="9055" priority="11072">
      <formula>C93="**"</formula>
    </cfRule>
    <cfRule type="expression" dxfId="9054" priority="11073">
      <formula>C93=""</formula>
    </cfRule>
    <cfRule type="expression" dxfId="9053" priority="11074">
      <formula>C93&lt;44.5</formula>
    </cfRule>
    <cfRule type="expression" dxfId="9052" priority="11075">
      <formula>C93&lt;60.5</formula>
    </cfRule>
    <cfRule type="expression" dxfId="9051" priority="11076">
      <formula>C93&lt;85.5</formula>
    </cfRule>
    <cfRule type="expression" dxfId="9050" priority="11077">
      <formula>C93&gt;85.5</formula>
    </cfRule>
  </conditionalFormatting>
  <conditionalFormatting sqref="C94">
    <cfRule type="expression" dxfId="9049" priority="11067">
      <formula>C94="**"</formula>
    </cfRule>
    <cfRule type="expression" dxfId="9048" priority="11068">
      <formula>C94=""</formula>
    </cfRule>
    <cfRule type="expression" dxfId="9047" priority="11069">
      <formula>C94&lt;44.5</formula>
    </cfRule>
    <cfRule type="expression" dxfId="9046" priority="11070">
      <formula>C94&lt;60.5</formula>
    </cfRule>
    <cfRule type="expression" dxfId="9045" priority="11071">
      <formula>C94&lt;85.5</formula>
    </cfRule>
    <cfRule type="expression" dxfId="9044" priority="11083">
      <formula>C94&gt;85.5</formula>
    </cfRule>
  </conditionalFormatting>
  <conditionalFormatting sqref="C95">
    <cfRule type="expression" dxfId="9043" priority="11061">
      <formula>C95="**"</formula>
    </cfRule>
    <cfRule type="expression" dxfId="9042" priority="11062">
      <formula>C95=""</formula>
    </cfRule>
    <cfRule type="expression" dxfId="9041" priority="11063">
      <formula>C95&lt;44.5</formula>
    </cfRule>
    <cfRule type="expression" dxfId="9040" priority="11064">
      <formula>C95&lt;60.5</formula>
    </cfRule>
    <cfRule type="expression" dxfId="9039" priority="11065">
      <formula>C95&lt;85.5</formula>
    </cfRule>
    <cfRule type="expression" dxfId="9038" priority="11066">
      <formula>C95&gt;85.5</formula>
    </cfRule>
  </conditionalFormatting>
  <conditionalFormatting sqref="D91">
    <cfRule type="expression" dxfId="9037" priority="11054">
      <formula>D91="**"</formula>
    </cfRule>
    <cfRule type="expression" dxfId="9036" priority="11055">
      <formula>D91=""</formula>
    </cfRule>
    <cfRule type="expression" dxfId="9035" priority="11056">
      <formula>D91&lt;44.5</formula>
    </cfRule>
    <cfRule type="expression" dxfId="9034" priority="11057">
      <formula>D91&lt;60.5</formula>
    </cfRule>
    <cfRule type="expression" dxfId="9033" priority="11058">
      <formula>D91&lt;85.5</formula>
    </cfRule>
    <cfRule type="expression" dxfId="9032" priority="11059">
      <formula>D91&gt;85.5</formula>
    </cfRule>
  </conditionalFormatting>
  <conditionalFormatting sqref="D91:D93 D95">
    <cfRule type="expression" dxfId="9031" priority="11029">
      <formula>D$90=""</formula>
    </cfRule>
  </conditionalFormatting>
  <conditionalFormatting sqref="D92">
    <cfRule type="expression" dxfId="9030" priority="11047">
      <formula>D92="**"</formula>
    </cfRule>
    <cfRule type="expression" dxfId="9029" priority="11048">
      <formula>D92=""</formula>
    </cfRule>
    <cfRule type="expression" dxfId="9028" priority="11049">
      <formula>D92&lt;44.5</formula>
    </cfRule>
    <cfRule type="expression" dxfId="9027" priority="11050">
      <formula>D92&lt;60.5</formula>
    </cfRule>
    <cfRule type="expression" dxfId="9026" priority="11051">
      <formula>D92&lt;85.5</formula>
    </cfRule>
    <cfRule type="expression" dxfId="9025" priority="11053">
      <formula>D92&gt;85.5</formula>
    </cfRule>
  </conditionalFormatting>
  <conditionalFormatting sqref="D93">
    <cfRule type="expression" dxfId="9024" priority="11041">
      <formula>D93="**"</formula>
    </cfRule>
    <cfRule type="expression" dxfId="9023" priority="11042">
      <formula>D93=""</formula>
    </cfRule>
    <cfRule type="expression" dxfId="9022" priority="11043">
      <formula>D93&lt;44.5</formula>
    </cfRule>
    <cfRule type="expression" dxfId="9021" priority="11044">
      <formula>D93&lt;60.5</formula>
    </cfRule>
    <cfRule type="expression" dxfId="9020" priority="11045">
      <formula>D93&lt;85.5</formula>
    </cfRule>
    <cfRule type="expression" dxfId="9019" priority="11046">
      <formula>D93&gt;85.5</formula>
    </cfRule>
  </conditionalFormatting>
  <conditionalFormatting sqref="D95">
    <cfRule type="expression" dxfId="9018" priority="11030">
      <formula>D95="**"</formula>
    </cfRule>
    <cfRule type="expression" dxfId="9017" priority="11031">
      <formula>D95=""</formula>
    </cfRule>
    <cfRule type="expression" dxfId="9016" priority="11032">
      <formula>D95&lt;44.5</formula>
    </cfRule>
    <cfRule type="expression" dxfId="9015" priority="11033">
      <formula>D95&lt;60.5</formula>
    </cfRule>
    <cfRule type="expression" dxfId="9014" priority="11034">
      <formula>D95&lt;85.5</formula>
    </cfRule>
    <cfRule type="expression" dxfId="9013" priority="11035">
      <formula>D95&gt;85.5</formula>
    </cfRule>
  </conditionalFormatting>
  <conditionalFormatting sqref="E91">
    <cfRule type="expression" dxfId="9012" priority="11023">
      <formula>E91="**"</formula>
    </cfRule>
    <cfRule type="expression" dxfId="9011" priority="11024">
      <formula>E91=""</formula>
    </cfRule>
    <cfRule type="expression" dxfId="9010" priority="11025">
      <formula>E91&lt;44.5</formula>
    </cfRule>
    <cfRule type="expression" dxfId="9009" priority="11026">
      <formula>E91&lt;60.5</formula>
    </cfRule>
    <cfRule type="expression" dxfId="9008" priority="11027">
      <formula>E91&lt;85.5</formula>
    </cfRule>
    <cfRule type="expression" dxfId="9007" priority="11028">
      <formula>E91&gt;85.5</formula>
    </cfRule>
  </conditionalFormatting>
  <conditionalFormatting sqref="E91:E93 E95">
    <cfRule type="expression" dxfId="9006" priority="10998">
      <formula>E$90=""</formula>
    </cfRule>
  </conditionalFormatting>
  <conditionalFormatting sqref="E92">
    <cfRule type="expression" dxfId="9005" priority="11016">
      <formula>E92="**"</formula>
    </cfRule>
    <cfRule type="expression" dxfId="9004" priority="11017">
      <formula>E92=""</formula>
    </cfRule>
    <cfRule type="expression" dxfId="9003" priority="11018">
      <formula>E92&lt;44.5</formula>
    </cfRule>
    <cfRule type="expression" dxfId="9002" priority="11019">
      <formula>E92&lt;60.5</formula>
    </cfRule>
    <cfRule type="expression" dxfId="9001" priority="11020">
      <formula>E92&lt;85.5</formula>
    </cfRule>
    <cfRule type="expression" dxfId="9000" priority="11022">
      <formula>E92&gt;85.5</formula>
    </cfRule>
  </conditionalFormatting>
  <conditionalFormatting sqref="E93">
    <cfRule type="expression" dxfId="8999" priority="11010">
      <formula>E93="**"</formula>
    </cfRule>
    <cfRule type="expression" dxfId="8998" priority="11011">
      <formula>E93=""</formula>
    </cfRule>
    <cfRule type="expression" dxfId="8997" priority="11012">
      <formula>E93&lt;44.5</formula>
    </cfRule>
    <cfRule type="expression" dxfId="8996" priority="11013">
      <formula>E93&lt;60.5</formula>
    </cfRule>
    <cfRule type="expression" dxfId="8995" priority="11014">
      <formula>E93&lt;85.5</formula>
    </cfRule>
    <cfRule type="expression" dxfId="8994" priority="11015">
      <formula>E93&gt;85.5</formula>
    </cfRule>
  </conditionalFormatting>
  <conditionalFormatting sqref="E95">
    <cfRule type="expression" dxfId="8993" priority="10999">
      <formula>E95="**"</formula>
    </cfRule>
    <cfRule type="expression" dxfId="8992" priority="11000">
      <formula>E95=""</formula>
    </cfRule>
    <cfRule type="expression" dxfId="8991" priority="11001">
      <formula>E95&lt;44.5</formula>
    </cfRule>
    <cfRule type="expression" dxfId="8990" priority="11002">
      <formula>E95&lt;60.5</formula>
    </cfRule>
    <cfRule type="expression" dxfId="8989" priority="11003">
      <formula>E95&lt;85.5</formula>
    </cfRule>
    <cfRule type="expression" dxfId="8988" priority="11004">
      <formula>E95&gt;85.5</formula>
    </cfRule>
  </conditionalFormatting>
  <conditionalFormatting sqref="F91">
    <cfRule type="expression" dxfId="8987" priority="10992">
      <formula>F91="**"</formula>
    </cfRule>
    <cfRule type="expression" dxfId="8986" priority="10993">
      <formula>F91=""</formula>
    </cfRule>
    <cfRule type="expression" dxfId="8985" priority="10994">
      <formula>F91&lt;44.5</formula>
    </cfRule>
    <cfRule type="expression" dxfId="8984" priority="10995">
      <formula>F91&lt;60.5</formula>
    </cfRule>
    <cfRule type="expression" dxfId="8983" priority="10996">
      <formula>F91&lt;85.5</formula>
    </cfRule>
    <cfRule type="expression" dxfId="8982" priority="10997">
      <formula>F91&gt;85.5</formula>
    </cfRule>
  </conditionalFormatting>
  <conditionalFormatting sqref="F91:F93 F95">
    <cfRule type="expression" dxfId="8981" priority="10967">
      <formula>F$90=""</formula>
    </cfRule>
  </conditionalFormatting>
  <conditionalFormatting sqref="F92">
    <cfRule type="expression" dxfId="8980" priority="10985">
      <formula>F92="**"</formula>
    </cfRule>
    <cfRule type="expression" dxfId="8979" priority="10986">
      <formula>F92=""</formula>
    </cfRule>
    <cfRule type="expression" dxfId="8978" priority="10987">
      <formula>F92&lt;44.5</formula>
    </cfRule>
    <cfRule type="expression" dxfId="8977" priority="10988">
      <formula>F92&lt;60.5</formula>
    </cfRule>
    <cfRule type="expression" dxfId="8976" priority="10989">
      <formula>F92&lt;85.5</formula>
    </cfRule>
    <cfRule type="expression" dxfId="8975" priority="10991">
      <formula>F92&gt;85.5</formula>
    </cfRule>
  </conditionalFormatting>
  <conditionalFormatting sqref="F93">
    <cfRule type="expression" dxfId="8974" priority="10979">
      <formula>F93="**"</formula>
    </cfRule>
    <cfRule type="expression" dxfId="8973" priority="10980">
      <formula>F93=""</formula>
    </cfRule>
    <cfRule type="expression" dxfId="8972" priority="10981">
      <formula>F93&lt;44.5</formula>
    </cfRule>
    <cfRule type="expression" dxfId="8971" priority="10982">
      <formula>F93&lt;60.5</formula>
    </cfRule>
    <cfRule type="expression" dxfId="8970" priority="10983">
      <formula>F93&lt;85.5</formula>
    </cfRule>
    <cfRule type="expression" dxfId="8969" priority="10984">
      <formula>F93&gt;85.5</formula>
    </cfRule>
  </conditionalFormatting>
  <conditionalFormatting sqref="F95">
    <cfRule type="expression" dxfId="8968" priority="10968">
      <formula>F95="**"</formula>
    </cfRule>
    <cfRule type="expression" dxfId="8967" priority="10969">
      <formula>F95=""</formula>
    </cfRule>
    <cfRule type="expression" dxfId="8966" priority="10970">
      <formula>F95&lt;44.5</formula>
    </cfRule>
    <cfRule type="expression" dxfId="8965" priority="10971">
      <formula>F95&lt;60.5</formula>
    </cfRule>
    <cfRule type="expression" dxfId="8964" priority="10972">
      <formula>F95&lt;85.5</formula>
    </cfRule>
    <cfRule type="expression" dxfId="8963" priority="10973">
      <formula>F95&gt;85.5</formula>
    </cfRule>
  </conditionalFormatting>
  <conditionalFormatting sqref="G91">
    <cfRule type="expression" dxfId="8962" priority="10961">
      <formula>G91="**"</formula>
    </cfRule>
    <cfRule type="expression" dxfId="8961" priority="10962">
      <formula>G91=""</formula>
    </cfRule>
    <cfRule type="expression" dxfId="8960" priority="10963">
      <formula>G91&lt;44.5</formula>
    </cfRule>
    <cfRule type="expression" dxfId="8959" priority="10964">
      <formula>G91&lt;60.5</formula>
    </cfRule>
    <cfRule type="expression" dxfId="8958" priority="10965">
      <formula>G91&lt;85.5</formula>
    </cfRule>
    <cfRule type="expression" dxfId="8957" priority="10966">
      <formula>G91&gt;85.5</formula>
    </cfRule>
  </conditionalFormatting>
  <conditionalFormatting sqref="G91:G93 G95">
    <cfRule type="expression" dxfId="8956" priority="10936">
      <formula>G$90=""</formula>
    </cfRule>
  </conditionalFormatting>
  <conditionalFormatting sqref="G92">
    <cfRule type="expression" dxfId="8955" priority="10954">
      <formula>G92="**"</formula>
    </cfRule>
    <cfRule type="expression" dxfId="8954" priority="10955">
      <formula>G92=""</formula>
    </cfRule>
    <cfRule type="expression" dxfId="8953" priority="10956">
      <formula>G92&lt;44.5</formula>
    </cfRule>
    <cfRule type="expression" dxfId="8952" priority="10957">
      <formula>G92&lt;60.5</formula>
    </cfRule>
    <cfRule type="expression" dxfId="8951" priority="10958">
      <formula>G92&lt;85.5</formula>
    </cfRule>
    <cfRule type="expression" dxfId="8950" priority="10960">
      <formula>G92&gt;85.5</formula>
    </cfRule>
  </conditionalFormatting>
  <conditionalFormatting sqref="G93">
    <cfRule type="expression" dxfId="8949" priority="10948">
      <formula>G93="**"</formula>
    </cfRule>
    <cfRule type="expression" dxfId="8948" priority="10949">
      <formula>G93=""</formula>
    </cfRule>
    <cfRule type="expression" dxfId="8947" priority="10950">
      <formula>G93&lt;44.5</formula>
    </cfRule>
    <cfRule type="expression" dxfId="8946" priority="10951">
      <formula>G93&lt;60.5</formula>
    </cfRule>
    <cfRule type="expression" dxfId="8945" priority="10952">
      <formula>G93&lt;85.5</formula>
    </cfRule>
    <cfRule type="expression" dxfId="8944" priority="10953">
      <formula>G93&gt;85.5</formula>
    </cfRule>
  </conditionalFormatting>
  <conditionalFormatting sqref="G95">
    <cfRule type="expression" dxfId="8943" priority="10937">
      <formula>G95="**"</formula>
    </cfRule>
    <cfRule type="expression" dxfId="8942" priority="10938">
      <formula>G95=""</formula>
    </cfRule>
    <cfRule type="expression" dxfId="8941" priority="10939">
      <formula>G95&lt;44.5</formula>
    </cfRule>
    <cfRule type="expression" dxfId="8940" priority="10940">
      <formula>G95&lt;60.5</formula>
    </cfRule>
    <cfRule type="expression" dxfId="8939" priority="10941">
      <formula>G95&lt;85.5</formula>
    </cfRule>
    <cfRule type="expression" dxfId="8938" priority="10942">
      <formula>G95&gt;85.5</formula>
    </cfRule>
  </conditionalFormatting>
  <conditionalFormatting sqref="H91">
    <cfRule type="expression" dxfId="8937" priority="10930">
      <formula>H91="**"</formula>
    </cfRule>
    <cfRule type="expression" dxfId="8936" priority="10931">
      <formula>H91=""</formula>
    </cfRule>
    <cfRule type="expression" dxfId="8935" priority="10932">
      <formula>H91&lt;44.5</formula>
    </cfRule>
    <cfRule type="expression" dxfId="8934" priority="10933">
      <formula>H91&lt;60.5</formula>
    </cfRule>
    <cfRule type="expression" dxfId="8933" priority="10934">
      <formula>H91&lt;85.5</formula>
    </cfRule>
    <cfRule type="expression" dxfId="8932" priority="10935">
      <formula>H91&gt;85.5</formula>
    </cfRule>
  </conditionalFormatting>
  <conditionalFormatting sqref="H91:H93 H95">
    <cfRule type="expression" dxfId="8931" priority="10905">
      <formula>H$90=""</formula>
    </cfRule>
  </conditionalFormatting>
  <conditionalFormatting sqref="H92">
    <cfRule type="expression" dxfId="8930" priority="10923">
      <formula>H92="**"</formula>
    </cfRule>
    <cfRule type="expression" dxfId="8929" priority="10924">
      <formula>H92=""</formula>
    </cfRule>
    <cfRule type="expression" dxfId="8928" priority="10925">
      <formula>H92&lt;44.5</formula>
    </cfRule>
    <cfRule type="expression" dxfId="8927" priority="10926">
      <formula>H92&lt;60.5</formula>
    </cfRule>
    <cfRule type="expression" dxfId="8926" priority="10927">
      <formula>H92&lt;85.5</formula>
    </cfRule>
    <cfRule type="expression" dxfId="8925" priority="10929">
      <formula>H92&gt;85.5</formula>
    </cfRule>
  </conditionalFormatting>
  <conditionalFormatting sqref="H93">
    <cfRule type="expression" dxfId="8924" priority="10917">
      <formula>H93="**"</formula>
    </cfRule>
    <cfRule type="expression" dxfId="8923" priority="10918">
      <formula>H93=""</formula>
    </cfRule>
    <cfRule type="expression" dxfId="8922" priority="10919">
      <formula>H93&lt;44.5</formula>
    </cfRule>
    <cfRule type="expression" dxfId="8921" priority="10920">
      <formula>H93&lt;60.5</formula>
    </cfRule>
    <cfRule type="expression" dxfId="8920" priority="10921">
      <formula>H93&lt;85.5</formula>
    </cfRule>
    <cfRule type="expression" dxfId="8919" priority="10922">
      <formula>H93&gt;85.5</formula>
    </cfRule>
  </conditionalFormatting>
  <conditionalFormatting sqref="H95">
    <cfRule type="expression" dxfId="8918" priority="10906">
      <formula>H95="**"</formula>
    </cfRule>
    <cfRule type="expression" dxfId="8917" priority="10907">
      <formula>H95=""</formula>
    </cfRule>
    <cfRule type="expression" dxfId="8916" priority="10908">
      <formula>H95&lt;44.5</formula>
    </cfRule>
    <cfRule type="expression" dxfId="8915" priority="10909">
      <formula>H95&lt;60.5</formula>
    </cfRule>
    <cfRule type="expression" dxfId="8914" priority="10910">
      <formula>H95&lt;85.5</formula>
    </cfRule>
    <cfRule type="expression" dxfId="8913" priority="10911">
      <formula>H95&gt;85.5</formula>
    </cfRule>
  </conditionalFormatting>
  <conditionalFormatting sqref="I91">
    <cfRule type="expression" dxfId="8912" priority="10899">
      <formula>I91="**"</formula>
    </cfRule>
    <cfRule type="expression" dxfId="8911" priority="10900">
      <formula>I91=""</formula>
    </cfRule>
    <cfRule type="expression" dxfId="8910" priority="10901">
      <formula>I91&lt;44.5</formula>
    </cfRule>
    <cfRule type="expression" dxfId="8909" priority="10902">
      <formula>I91&lt;60.5</formula>
    </cfRule>
    <cfRule type="expression" dxfId="8908" priority="10903">
      <formula>I91&lt;85.5</formula>
    </cfRule>
    <cfRule type="expression" dxfId="8907" priority="10904">
      <formula>I91&gt;85.5</formula>
    </cfRule>
  </conditionalFormatting>
  <conditionalFormatting sqref="I91:I93 I95">
    <cfRule type="expression" dxfId="8906" priority="10874">
      <formula>I$90=""</formula>
    </cfRule>
  </conditionalFormatting>
  <conditionalFormatting sqref="I92">
    <cfRule type="expression" dxfId="8905" priority="10892">
      <formula>I92="**"</formula>
    </cfRule>
    <cfRule type="expression" dxfId="8904" priority="10893">
      <formula>I92=""</formula>
    </cfRule>
    <cfRule type="expression" dxfId="8903" priority="10894">
      <formula>I92&lt;44.5</formula>
    </cfRule>
    <cfRule type="expression" dxfId="8902" priority="10895">
      <formula>I92&lt;60.5</formula>
    </cfRule>
    <cfRule type="expression" dxfId="8901" priority="10896">
      <formula>I92&lt;85.5</formula>
    </cfRule>
    <cfRule type="expression" dxfId="8900" priority="10898">
      <formula>I92&gt;85.5</formula>
    </cfRule>
  </conditionalFormatting>
  <conditionalFormatting sqref="I93">
    <cfRule type="expression" dxfId="8899" priority="10886">
      <formula>I93="**"</formula>
    </cfRule>
    <cfRule type="expression" dxfId="8898" priority="10887">
      <formula>I93=""</formula>
    </cfRule>
    <cfRule type="expression" dxfId="8897" priority="10888">
      <formula>I93&lt;44.5</formula>
    </cfRule>
    <cfRule type="expression" dxfId="8896" priority="10889">
      <formula>I93&lt;60.5</formula>
    </cfRule>
    <cfRule type="expression" dxfId="8895" priority="10890">
      <formula>I93&lt;85.5</formula>
    </cfRule>
    <cfRule type="expression" dxfId="8894" priority="10891">
      <formula>I93&gt;85.5</formula>
    </cfRule>
  </conditionalFormatting>
  <conditionalFormatting sqref="I95">
    <cfRule type="expression" dxfId="8893" priority="10875">
      <formula>I95="**"</formula>
    </cfRule>
    <cfRule type="expression" dxfId="8892" priority="10876">
      <formula>I95=""</formula>
    </cfRule>
    <cfRule type="expression" dxfId="8891" priority="10877">
      <formula>I95&lt;44.5</formula>
    </cfRule>
    <cfRule type="expression" dxfId="8890" priority="10878">
      <formula>I95&lt;60.5</formula>
    </cfRule>
    <cfRule type="expression" dxfId="8889" priority="10879">
      <formula>I95&lt;85.5</formula>
    </cfRule>
    <cfRule type="expression" dxfId="8888" priority="10880">
      <formula>I95&gt;85.5</formula>
    </cfRule>
  </conditionalFormatting>
  <conditionalFormatting sqref="J91">
    <cfRule type="expression" dxfId="8887" priority="10868">
      <formula>J91="**"</formula>
    </cfRule>
    <cfRule type="expression" dxfId="8886" priority="10869">
      <formula>J91=""</formula>
    </cfRule>
    <cfRule type="expression" dxfId="8885" priority="10870">
      <formula>J91&lt;44.5</formula>
    </cfRule>
    <cfRule type="expression" dxfId="8884" priority="10871">
      <formula>J91&lt;60.5</formula>
    </cfRule>
    <cfRule type="expression" dxfId="8883" priority="10872">
      <formula>J91&lt;85.5</formula>
    </cfRule>
    <cfRule type="expression" dxfId="8882" priority="10873">
      <formula>J91&gt;85.5</formula>
    </cfRule>
  </conditionalFormatting>
  <conditionalFormatting sqref="J91:J93 J95">
    <cfRule type="expression" dxfId="8881" priority="10843">
      <formula>J$90=""</formula>
    </cfRule>
  </conditionalFormatting>
  <conditionalFormatting sqref="J92">
    <cfRule type="expression" dxfId="8880" priority="10861">
      <formula>J92="**"</formula>
    </cfRule>
    <cfRule type="expression" dxfId="8879" priority="10862">
      <formula>J92=""</formula>
    </cfRule>
    <cfRule type="expression" dxfId="8878" priority="10863">
      <formula>J92&lt;44.5</formula>
    </cfRule>
    <cfRule type="expression" dxfId="8877" priority="10864">
      <formula>J92&lt;60.5</formula>
    </cfRule>
    <cfRule type="expression" dxfId="8876" priority="10865">
      <formula>J92&lt;85.5</formula>
    </cfRule>
    <cfRule type="expression" dxfId="8875" priority="10867">
      <formula>J92&gt;85.5</formula>
    </cfRule>
  </conditionalFormatting>
  <conditionalFormatting sqref="J93">
    <cfRule type="expression" dxfId="8874" priority="10855">
      <formula>J93="**"</formula>
    </cfRule>
    <cfRule type="expression" dxfId="8873" priority="10856">
      <formula>J93=""</formula>
    </cfRule>
    <cfRule type="expression" dxfId="8872" priority="10857">
      <formula>J93&lt;44.5</formula>
    </cfRule>
    <cfRule type="expression" dxfId="8871" priority="10858">
      <formula>J93&lt;60.5</formula>
    </cfRule>
    <cfRule type="expression" dxfId="8870" priority="10859">
      <formula>J93&lt;85.5</formula>
    </cfRule>
    <cfRule type="expression" dxfId="8869" priority="10860">
      <formula>J93&gt;85.5</formula>
    </cfRule>
  </conditionalFormatting>
  <conditionalFormatting sqref="J95">
    <cfRule type="expression" dxfId="8868" priority="10844">
      <formula>J95="**"</formula>
    </cfRule>
    <cfRule type="expression" dxfId="8867" priority="10845">
      <formula>J95=""</formula>
    </cfRule>
    <cfRule type="expression" dxfId="8866" priority="10846">
      <formula>J95&lt;44.5</formula>
    </cfRule>
    <cfRule type="expression" dxfId="8865" priority="10847">
      <formula>J95&lt;60.5</formula>
    </cfRule>
    <cfRule type="expression" dxfId="8864" priority="10848">
      <formula>J95&lt;85.5</formula>
    </cfRule>
    <cfRule type="expression" dxfId="8863" priority="10849">
      <formula>J95&gt;85.5</formula>
    </cfRule>
  </conditionalFormatting>
  <conditionalFormatting sqref="K91">
    <cfRule type="expression" dxfId="8862" priority="10837">
      <formula>K91="**"</formula>
    </cfRule>
    <cfRule type="expression" dxfId="8861" priority="10838">
      <formula>K91=""</formula>
    </cfRule>
    <cfRule type="expression" dxfId="8860" priority="10839">
      <formula>K91&lt;44.5</formula>
    </cfRule>
    <cfRule type="expression" dxfId="8859" priority="10840">
      <formula>K91&lt;60.5</formula>
    </cfRule>
    <cfRule type="expression" dxfId="8858" priority="10841">
      <formula>K91&lt;85.5</formula>
    </cfRule>
    <cfRule type="expression" dxfId="8857" priority="10842">
      <formula>K91&gt;85.5</formula>
    </cfRule>
  </conditionalFormatting>
  <conditionalFormatting sqref="K91:K93 K95">
    <cfRule type="expression" dxfId="8856" priority="10812">
      <formula>K$90=""</formula>
    </cfRule>
  </conditionalFormatting>
  <conditionalFormatting sqref="K92">
    <cfRule type="expression" dxfId="8855" priority="10830">
      <formula>K92="**"</formula>
    </cfRule>
    <cfRule type="expression" dxfId="8854" priority="10831">
      <formula>K92=""</formula>
    </cfRule>
    <cfRule type="expression" dxfId="8853" priority="10832">
      <formula>K92&lt;44.5</formula>
    </cfRule>
    <cfRule type="expression" dxfId="8852" priority="10833">
      <formula>K92&lt;60.5</formula>
    </cfRule>
    <cfRule type="expression" dxfId="8851" priority="10834">
      <formula>K92&lt;85.5</formula>
    </cfRule>
    <cfRule type="expression" dxfId="8850" priority="10836">
      <formula>K92&gt;85.5</formula>
    </cfRule>
  </conditionalFormatting>
  <conditionalFormatting sqref="K93">
    <cfRule type="expression" dxfId="8849" priority="10824">
      <formula>K93="**"</formula>
    </cfRule>
    <cfRule type="expression" dxfId="8848" priority="10825">
      <formula>K93=""</formula>
    </cfRule>
    <cfRule type="expression" dxfId="8847" priority="10826">
      <formula>K93&lt;44.5</formula>
    </cfRule>
    <cfRule type="expression" dxfId="8846" priority="10827">
      <formula>K93&lt;60.5</formula>
    </cfRule>
    <cfRule type="expression" dxfId="8845" priority="10828">
      <formula>K93&lt;85.5</formula>
    </cfRule>
    <cfRule type="expression" dxfId="8844" priority="10829">
      <formula>K93&gt;85.5</formula>
    </cfRule>
  </conditionalFormatting>
  <conditionalFormatting sqref="K95">
    <cfRule type="expression" dxfId="8843" priority="10813">
      <formula>K95="**"</formula>
    </cfRule>
    <cfRule type="expression" dxfId="8842" priority="10814">
      <formula>K95=""</formula>
    </cfRule>
    <cfRule type="expression" dxfId="8841" priority="10815">
      <formula>K95&lt;44.5</formula>
    </cfRule>
    <cfRule type="expression" dxfId="8840" priority="10816">
      <formula>K95&lt;60.5</formula>
    </cfRule>
    <cfRule type="expression" dxfId="8839" priority="10817">
      <formula>K95&lt;85.5</formula>
    </cfRule>
    <cfRule type="expression" dxfId="8838" priority="10818">
      <formula>K95&gt;85.5</formula>
    </cfRule>
  </conditionalFormatting>
  <conditionalFormatting sqref="L91">
    <cfRule type="expression" dxfId="8837" priority="10806">
      <formula>L91="**"</formula>
    </cfRule>
    <cfRule type="expression" dxfId="8836" priority="10807">
      <formula>L91=""</formula>
    </cfRule>
    <cfRule type="expression" dxfId="8835" priority="10808">
      <formula>L91&lt;44.5</formula>
    </cfRule>
    <cfRule type="expression" dxfId="8834" priority="10809">
      <formula>L91&lt;60.5</formula>
    </cfRule>
    <cfRule type="expression" dxfId="8833" priority="10810">
      <formula>L91&lt;85.5</formula>
    </cfRule>
    <cfRule type="expression" dxfId="8832" priority="10811">
      <formula>L91&gt;85.5</formula>
    </cfRule>
  </conditionalFormatting>
  <conditionalFormatting sqref="L91:L93 L95">
    <cfRule type="expression" dxfId="8831" priority="10781">
      <formula>L$90=""</formula>
    </cfRule>
  </conditionalFormatting>
  <conditionalFormatting sqref="L92">
    <cfRule type="expression" dxfId="8830" priority="10799">
      <formula>L92="**"</formula>
    </cfRule>
    <cfRule type="expression" dxfId="8829" priority="10800">
      <formula>L92=""</formula>
    </cfRule>
    <cfRule type="expression" dxfId="8828" priority="10801">
      <formula>L92&lt;44.5</formula>
    </cfRule>
    <cfRule type="expression" dxfId="8827" priority="10802">
      <formula>L92&lt;60.5</formula>
    </cfRule>
    <cfRule type="expression" dxfId="8826" priority="10803">
      <formula>L92&lt;85.5</formula>
    </cfRule>
    <cfRule type="expression" dxfId="8825" priority="10805">
      <formula>L92&gt;85.5</formula>
    </cfRule>
  </conditionalFormatting>
  <conditionalFormatting sqref="L93">
    <cfRule type="expression" dxfId="8824" priority="10793">
      <formula>L93="**"</formula>
    </cfRule>
    <cfRule type="expression" dxfId="8823" priority="10794">
      <formula>L93=""</formula>
    </cfRule>
    <cfRule type="expression" dxfId="8822" priority="10795">
      <formula>L93&lt;44.5</formula>
    </cfRule>
    <cfRule type="expression" dxfId="8821" priority="10796">
      <formula>L93&lt;60.5</formula>
    </cfRule>
    <cfRule type="expression" dxfId="8820" priority="10797">
      <formula>L93&lt;85.5</formula>
    </cfRule>
    <cfRule type="expression" dxfId="8819" priority="10798">
      <formula>L93&gt;85.5</formula>
    </cfRule>
  </conditionalFormatting>
  <conditionalFormatting sqref="L95">
    <cfRule type="expression" dxfId="8818" priority="10782">
      <formula>L95="**"</formula>
    </cfRule>
    <cfRule type="expression" dxfId="8817" priority="10783">
      <formula>L95=""</formula>
    </cfRule>
    <cfRule type="expression" dxfId="8816" priority="10784">
      <formula>L95&lt;44.5</formula>
    </cfRule>
    <cfRule type="expression" dxfId="8815" priority="10785">
      <formula>L95&lt;60.5</formula>
    </cfRule>
    <cfRule type="expression" dxfId="8814" priority="10786">
      <formula>L95&lt;85.5</formula>
    </cfRule>
    <cfRule type="expression" dxfId="8813" priority="10787">
      <formula>L95&gt;85.5</formula>
    </cfRule>
  </conditionalFormatting>
  <conditionalFormatting sqref="C121">
    <cfRule type="expression" dxfId="8812" priority="10775">
      <formula>C121="**"</formula>
    </cfRule>
    <cfRule type="expression" dxfId="8811" priority="10776">
      <formula>C121=""</formula>
    </cfRule>
    <cfRule type="expression" dxfId="8810" priority="10777">
      <formula>C121&lt;44.5</formula>
    </cfRule>
    <cfRule type="expression" dxfId="8809" priority="10778">
      <formula>C121&lt;60.5</formula>
    </cfRule>
    <cfRule type="expression" dxfId="8808" priority="10779">
      <formula>C121&lt;85.5</formula>
    </cfRule>
    <cfRule type="expression" dxfId="8807" priority="10780">
      <formula>C121&gt;85.5</formula>
    </cfRule>
  </conditionalFormatting>
  <conditionalFormatting sqref="C121:C125">
    <cfRule type="expression" dxfId="8806" priority="10750">
      <formula>C$120=""</formula>
    </cfRule>
  </conditionalFormatting>
  <conditionalFormatting sqref="C122">
    <cfRule type="expression" dxfId="8805" priority="10768">
      <formula>C122="**"</formula>
    </cfRule>
    <cfRule type="expression" dxfId="8804" priority="10769">
      <formula>C122=""</formula>
    </cfRule>
    <cfRule type="expression" dxfId="8803" priority="10770">
      <formula>C122&lt;44.5</formula>
    </cfRule>
    <cfRule type="expression" dxfId="8802" priority="10771">
      <formula>C122&lt;60.5</formula>
    </cfRule>
    <cfRule type="expression" dxfId="8801" priority="10772">
      <formula>C122&lt;85.5</formula>
    </cfRule>
    <cfRule type="expression" dxfId="8800" priority="10774">
      <formula>C122&gt;85.5</formula>
    </cfRule>
  </conditionalFormatting>
  <conditionalFormatting sqref="C123">
    <cfRule type="expression" dxfId="8799" priority="10762">
      <formula>C123="**"</formula>
    </cfRule>
    <cfRule type="expression" dxfId="8798" priority="10763">
      <formula>C123=""</formula>
    </cfRule>
    <cfRule type="expression" dxfId="8797" priority="10764">
      <formula>C123&lt;44.5</formula>
    </cfRule>
    <cfRule type="expression" dxfId="8796" priority="10765">
      <formula>C123&lt;60.5</formula>
    </cfRule>
    <cfRule type="expression" dxfId="8795" priority="10766">
      <formula>C123&lt;85.5</formula>
    </cfRule>
    <cfRule type="expression" dxfId="8794" priority="10767">
      <formula>C123&gt;85.5</formula>
    </cfRule>
  </conditionalFormatting>
  <conditionalFormatting sqref="C124">
    <cfRule type="expression" dxfId="8793" priority="10757">
      <formula>C124="**"</formula>
    </cfRule>
    <cfRule type="expression" dxfId="8792" priority="10758">
      <formula>C124=""</formula>
    </cfRule>
    <cfRule type="expression" dxfId="8791" priority="10759">
      <formula>C124&lt;44.5</formula>
    </cfRule>
    <cfRule type="expression" dxfId="8790" priority="10760">
      <formula>C124&lt;60.5</formula>
    </cfRule>
    <cfRule type="expression" dxfId="8789" priority="10761">
      <formula>C124&lt;85.5</formula>
    </cfRule>
    <cfRule type="expression" dxfId="8788" priority="10773">
      <formula>C124&gt;85.5</formula>
    </cfRule>
  </conditionalFormatting>
  <conditionalFormatting sqref="C125">
    <cfRule type="expression" dxfId="8787" priority="10751">
      <formula>C125="**"</formula>
    </cfRule>
    <cfRule type="expression" dxfId="8786" priority="10752">
      <formula>C125=""</formula>
    </cfRule>
    <cfRule type="expression" dxfId="8785" priority="10753">
      <formula>C125&lt;44.5</formula>
    </cfRule>
    <cfRule type="expression" dxfId="8784" priority="10754">
      <formula>C125&lt;60.5</formula>
    </cfRule>
    <cfRule type="expression" dxfId="8783" priority="10755">
      <formula>C125&lt;85.5</formula>
    </cfRule>
    <cfRule type="expression" dxfId="8782" priority="10756">
      <formula>C125&gt;85.5</formula>
    </cfRule>
  </conditionalFormatting>
  <conditionalFormatting sqref="D121">
    <cfRule type="expression" dxfId="8781" priority="10744">
      <formula>D121="**"</formula>
    </cfRule>
    <cfRule type="expression" dxfId="8780" priority="10745">
      <formula>D121=""</formula>
    </cfRule>
    <cfRule type="expression" dxfId="8779" priority="10746">
      <formula>D121&lt;44.5</formula>
    </cfRule>
    <cfRule type="expression" dxfId="8778" priority="10747">
      <formula>D121&lt;60.5</formula>
    </cfRule>
    <cfRule type="expression" dxfId="8777" priority="10748">
      <formula>D121&lt;85.5</formula>
    </cfRule>
    <cfRule type="expression" dxfId="8776" priority="10749">
      <formula>D121&gt;85.5</formula>
    </cfRule>
  </conditionalFormatting>
  <conditionalFormatting sqref="D121:D123 D125">
    <cfRule type="expression" dxfId="8775" priority="10719">
      <formula>D$120=""</formula>
    </cfRule>
  </conditionalFormatting>
  <conditionalFormatting sqref="D122">
    <cfRule type="expression" dxfId="8774" priority="10737">
      <formula>D122="**"</formula>
    </cfRule>
    <cfRule type="expression" dxfId="8773" priority="10738">
      <formula>D122=""</formula>
    </cfRule>
    <cfRule type="expression" dxfId="8772" priority="10739">
      <formula>D122&lt;44.5</formula>
    </cfRule>
    <cfRule type="expression" dxfId="8771" priority="10740">
      <formula>D122&lt;60.5</formula>
    </cfRule>
    <cfRule type="expression" dxfId="8770" priority="10741">
      <formula>D122&lt;85.5</formula>
    </cfRule>
    <cfRule type="expression" dxfId="8769" priority="10743">
      <formula>D122&gt;85.5</formula>
    </cfRule>
  </conditionalFormatting>
  <conditionalFormatting sqref="D123">
    <cfRule type="expression" dxfId="8768" priority="10731">
      <formula>D123="**"</formula>
    </cfRule>
    <cfRule type="expression" dxfId="8767" priority="10732">
      <formula>D123=""</formula>
    </cfRule>
    <cfRule type="expression" dxfId="8766" priority="10733">
      <formula>D123&lt;44.5</formula>
    </cfRule>
    <cfRule type="expression" dxfId="8765" priority="10734">
      <formula>D123&lt;60.5</formula>
    </cfRule>
    <cfRule type="expression" dxfId="8764" priority="10735">
      <formula>D123&lt;85.5</formula>
    </cfRule>
    <cfRule type="expression" dxfId="8763" priority="10736">
      <formula>D123&gt;85.5</formula>
    </cfRule>
  </conditionalFormatting>
  <conditionalFormatting sqref="D125">
    <cfRule type="expression" dxfId="8762" priority="10720">
      <formula>D125="**"</formula>
    </cfRule>
    <cfRule type="expression" dxfId="8761" priority="10721">
      <formula>D125=""</formula>
    </cfRule>
    <cfRule type="expression" dxfId="8760" priority="10722">
      <formula>D125&lt;44.5</formula>
    </cfRule>
    <cfRule type="expression" dxfId="8759" priority="10723">
      <formula>D125&lt;60.5</formula>
    </cfRule>
    <cfRule type="expression" dxfId="8758" priority="10724">
      <formula>D125&lt;85.5</formula>
    </cfRule>
    <cfRule type="expression" dxfId="8757" priority="10725">
      <formula>D125&gt;85.5</formula>
    </cfRule>
  </conditionalFormatting>
  <conditionalFormatting sqref="E121">
    <cfRule type="expression" dxfId="8756" priority="10713">
      <formula>E121="**"</formula>
    </cfRule>
    <cfRule type="expression" dxfId="8755" priority="10714">
      <formula>E121=""</formula>
    </cfRule>
    <cfRule type="expression" dxfId="8754" priority="10715">
      <formula>E121&lt;44.5</formula>
    </cfRule>
    <cfRule type="expression" dxfId="8753" priority="10716">
      <formula>E121&lt;60.5</formula>
    </cfRule>
    <cfRule type="expression" dxfId="8752" priority="10717">
      <formula>E121&lt;85.5</formula>
    </cfRule>
    <cfRule type="expression" dxfId="8751" priority="10718">
      <formula>E121&gt;85.5</formula>
    </cfRule>
  </conditionalFormatting>
  <conditionalFormatting sqref="E121:E123 E125">
    <cfRule type="expression" dxfId="8750" priority="10688">
      <formula>E$120=""</formula>
    </cfRule>
  </conditionalFormatting>
  <conditionalFormatting sqref="E122">
    <cfRule type="expression" dxfId="8749" priority="10706">
      <formula>E122="**"</formula>
    </cfRule>
    <cfRule type="expression" dxfId="8748" priority="10707">
      <formula>E122=""</formula>
    </cfRule>
    <cfRule type="expression" dxfId="8747" priority="10708">
      <formula>E122&lt;44.5</formula>
    </cfRule>
    <cfRule type="expression" dxfId="8746" priority="10709">
      <formula>E122&lt;60.5</formula>
    </cfRule>
    <cfRule type="expression" dxfId="8745" priority="10710">
      <formula>E122&lt;85.5</formula>
    </cfRule>
    <cfRule type="expression" dxfId="8744" priority="10712">
      <formula>E122&gt;85.5</formula>
    </cfRule>
  </conditionalFormatting>
  <conditionalFormatting sqref="E123">
    <cfRule type="expression" dxfId="8743" priority="10700">
      <formula>E123="**"</formula>
    </cfRule>
    <cfRule type="expression" dxfId="8742" priority="10701">
      <formula>E123=""</formula>
    </cfRule>
    <cfRule type="expression" dxfId="8741" priority="10702">
      <formula>E123&lt;44.5</formula>
    </cfRule>
    <cfRule type="expression" dxfId="8740" priority="10703">
      <formula>E123&lt;60.5</formula>
    </cfRule>
    <cfRule type="expression" dxfId="8739" priority="10704">
      <formula>E123&lt;85.5</formula>
    </cfRule>
    <cfRule type="expression" dxfId="8738" priority="10705">
      <formula>E123&gt;85.5</formula>
    </cfRule>
  </conditionalFormatting>
  <conditionalFormatting sqref="E125">
    <cfRule type="expression" dxfId="8737" priority="10689">
      <formula>E125="**"</formula>
    </cfRule>
    <cfRule type="expression" dxfId="8736" priority="10690">
      <formula>E125=""</formula>
    </cfRule>
    <cfRule type="expression" dxfId="8735" priority="10691">
      <formula>E125&lt;44.5</formula>
    </cfRule>
    <cfRule type="expression" dxfId="8734" priority="10692">
      <formula>E125&lt;60.5</formula>
    </cfRule>
    <cfRule type="expression" dxfId="8733" priority="10693">
      <formula>E125&lt;85.5</formula>
    </cfRule>
    <cfRule type="expression" dxfId="8732" priority="10694">
      <formula>E125&gt;85.5</formula>
    </cfRule>
  </conditionalFormatting>
  <conditionalFormatting sqref="F121">
    <cfRule type="expression" dxfId="8731" priority="10682">
      <formula>F121="**"</formula>
    </cfRule>
    <cfRule type="expression" dxfId="8730" priority="10683">
      <formula>F121=""</formula>
    </cfRule>
    <cfRule type="expression" dxfId="8729" priority="10684">
      <formula>F121&lt;44.5</formula>
    </cfRule>
    <cfRule type="expression" dxfId="8728" priority="10685">
      <formula>F121&lt;60.5</formula>
    </cfRule>
    <cfRule type="expression" dxfId="8727" priority="10686">
      <formula>F121&lt;85.5</formula>
    </cfRule>
    <cfRule type="expression" dxfId="8726" priority="10687">
      <formula>F121&gt;85.5</formula>
    </cfRule>
  </conditionalFormatting>
  <conditionalFormatting sqref="F121:F123 F125">
    <cfRule type="expression" dxfId="8725" priority="10657">
      <formula>F$120=""</formula>
    </cfRule>
  </conditionalFormatting>
  <conditionalFormatting sqref="F122">
    <cfRule type="expression" dxfId="8724" priority="10675">
      <formula>F122="**"</formula>
    </cfRule>
    <cfRule type="expression" dxfId="8723" priority="10676">
      <formula>F122=""</formula>
    </cfRule>
    <cfRule type="expression" dxfId="8722" priority="10677">
      <formula>F122&lt;44.5</formula>
    </cfRule>
    <cfRule type="expression" dxfId="8721" priority="10678">
      <formula>F122&lt;60.5</formula>
    </cfRule>
    <cfRule type="expression" dxfId="8720" priority="10679">
      <formula>F122&lt;85.5</formula>
    </cfRule>
    <cfRule type="expression" dxfId="8719" priority="10681">
      <formula>F122&gt;85.5</formula>
    </cfRule>
  </conditionalFormatting>
  <conditionalFormatting sqref="F123">
    <cfRule type="expression" dxfId="8718" priority="10669">
      <formula>F123="**"</formula>
    </cfRule>
    <cfRule type="expression" dxfId="8717" priority="10670">
      <formula>F123=""</formula>
    </cfRule>
    <cfRule type="expression" dxfId="8716" priority="10671">
      <formula>F123&lt;44.5</formula>
    </cfRule>
    <cfRule type="expression" dxfId="8715" priority="10672">
      <formula>F123&lt;60.5</formula>
    </cfRule>
    <cfRule type="expression" dxfId="8714" priority="10673">
      <formula>F123&lt;85.5</formula>
    </cfRule>
    <cfRule type="expression" dxfId="8713" priority="10674">
      <formula>F123&gt;85.5</formula>
    </cfRule>
  </conditionalFormatting>
  <conditionalFormatting sqref="F125">
    <cfRule type="expression" dxfId="8712" priority="10658">
      <formula>F125="**"</formula>
    </cfRule>
    <cfRule type="expression" dxfId="8711" priority="10659">
      <formula>F125=""</formula>
    </cfRule>
    <cfRule type="expression" dxfId="8710" priority="10660">
      <formula>F125&lt;44.5</formula>
    </cfRule>
    <cfRule type="expression" dxfId="8709" priority="10661">
      <formula>F125&lt;60.5</formula>
    </cfRule>
    <cfRule type="expression" dxfId="8708" priority="10662">
      <formula>F125&lt;85.5</formula>
    </cfRule>
    <cfRule type="expression" dxfId="8707" priority="10663">
      <formula>F125&gt;85.5</formula>
    </cfRule>
  </conditionalFormatting>
  <conditionalFormatting sqref="G121">
    <cfRule type="expression" dxfId="8706" priority="10651">
      <formula>G121="**"</formula>
    </cfRule>
    <cfRule type="expression" dxfId="8705" priority="10652">
      <formula>G121=""</formula>
    </cfRule>
    <cfRule type="expression" dxfId="8704" priority="10653">
      <formula>G121&lt;44.5</formula>
    </cfRule>
    <cfRule type="expression" dxfId="8703" priority="10654">
      <formula>G121&lt;60.5</formula>
    </cfRule>
    <cfRule type="expression" dxfId="8702" priority="10655">
      <formula>G121&lt;85.5</formula>
    </cfRule>
    <cfRule type="expression" dxfId="8701" priority="10656">
      <formula>G121&gt;85.5</formula>
    </cfRule>
  </conditionalFormatting>
  <conditionalFormatting sqref="G121:G123 G125">
    <cfRule type="expression" dxfId="8700" priority="10626">
      <formula>G$120=""</formula>
    </cfRule>
  </conditionalFormatting>
  <conditionalFormatting sqref="G122">
    <cfRule type="expression" dxfId="8699" priority="10644">
      <formula>G122="**"</formula>
    </cfRule>
    <cfRule type="expression" dxfId="8698" priority="10645">
      <formula>G122=""</formula>
    </cfRule>
    <cfRule type="expression" dxfId="8697" priority="10646">
      <formula>G122&lt;44.5</formula>
    </cfRule>
    <cfRule type="expression" dxfId="8696" priority="10647">
      <formula>G122&lt;60.5</formula>
    </cfRule>
    <cfRule type="expression" dxfId="8695" priority="10648">
      <formula>G122&lt;85.5</formula>
    </cfRule>
    <cfRule type="expression" dxfId="8694" priority="10650">
      <formula>G122&gt;85.5</formula>
    </cfRule>
  </conditionalFormatting>
  <conditionalFormatting sqref="G123">
    <cfRule type="expression" dxfId="8693" priority="10638">
      <formula>G123="**"</formula>
    </cfRule>
    <cfRule type="expression" dxfId="8692" priority="10639">
      <formula>G123=""</formula>
    </cfRule>
    <cfRule type="expression" dxfId="8691" priority="10640">
      <formula>G123&lt;44.5</formula>
    </cfRule>
    <cfRule type="expression" dxfId="8690" priority="10641">
      <formula>G123&lt;60.5</formula>
    </cfRule>
    <cfRule type="expression" dxfId="8689" priority="10642">
      <formula>G123&lt;85.5</formula>
    </cfRule>
    <cfRule type="expression" dxfId="8688" priority="10643">
      <formula>G123&gt;85.5</formula>
    </cfRule>
  </conditionalFormatting>
  <conditionalFormatting sqref="G125">
    <cfRule type="expression" dxfId="8687" priority="10627">
      <formula>G125="**"</formula>
    </cfRule>
    <cfRule type="expression" dxfId="8686" priority="10628">
      <formula>G125=""</formula>
    </cfRule>
    <cfRule type="expression" dxfId="8685" priority="10629">
      <formula>G125&lt;44.5</formula>
    </cfRule>
    <cfRule type="expression" dxfId="8684" priority="10630">
      <formula>G125&lt;60.5</formula>
    </cfRule>
    <cfRule type="expression" dxfId="8683" priority="10631">
      <formula>G125&lt;85.5</formula>
    </cfRule>
    <cfRule type="expression" dxfId="8682" priority="10632">
      <formula>G125&gt;85.5</formula>
    </cfRule>
  </conditionalFormatting>
  <conditionalFormatting sqref="H121">
    <cfRule type="expression" dxfId="8681" priority="10620">
      <formula>H121="**"</formula>
    </cfRule>
    <cfRule type="expression" dxfId="8680" priority="10621">
      <formula>H121=""</formula>
    </cfRule>
    <cfRule type="expression" dxfId="8679" priority="10622">
      <formula>H121&lt;44.5</formula>
    </cfRule>
    <cfRule type="expression" dxfId="8678" priority="10623">
      <formula>H121&lt;60.5</formula>
    </cfRule>
    <cfRule type="expression" dxfId="8677" priority="10624">
      <formula>H121&lt;85.5</formula>
    </cfRule>
    <cfRule type="expression" dxfId="8676" priority="10625">
      <formula>H121&gt;85.5</formula>
    </cfRule>
  </conditionalFormatting>
  <conditionalFormatting sqref="H121:H123 H125">
    <cfRule type="expression" dxfId="8675" priority="10595">
      <formula>H$120=""</formula>
    </cfRule>
  </conditionalFormatting>
  <conditionalFormatting sqref="H122">
    <cfRule type="expression" dxfId="8674" priority="10613">
      <formula>H122="**"</formula>
    </cfRule>
    <cfRule type="expression" dxfId="8673" priority="10614">
      <formula>H122=""</formula>
    </cfRule>
    <cfRule type="expression" dxfId="8672" priority="10615">
      <formula>H122&lt;44.5</formula>
    </cfRule>
    <cfRule type="expression" dxfId="8671" priority="10616">
      <formula>H122&lt;60.5</formula>
    </cfRule>
    <cfRule type="expression" dxfId="8670" priority="10617">
      <formula>H122&lt;85.5</formula>
    </cfRule>
    <cfRule type="expression" dxfId="8669" priority="10619">
      <formula>H122&gt;85.5</formula>
    </cfRule>
  </conditionalFormatting>
  <conditionalFormatting sqref="H123">
    <cfRule type="expression" dxfId="8668" priority="10607">
      <formula>H123="**"</formula>
    </cfRule>
    <cfRule type="expression" dxfId="8667" priority="10608">
      <formula>H123=""</formula>
    </cfRule>
    <cfRule type="expression" dxfId="8666" priority="10609">
      <formula>H123&lt;44.5</formula>
    </cfRule>
    <cfRule type="expression" dxfId="8665" priority="10610">
      <formula>H123&lt;60.5</formula>
    </cfRule>
    <cfRule type="expression" dxfId="8664" priority="10611">
      <formula>H123&lt;85.5</formula>
    </cfRule>
    <cfRule type="expression" dxfId="8663" priority="10612">
      <formula>H123&gt;85.5</formula>
    </cfRule>
  </conditionalFormatting>
  <conditionalFormatting sqref="H125">
    <cfRule type="expression" dxfId="8662" priority="10596">
      <formula>H125="**"</formula>
    </cfRule>
    <cfRule type="expression" dxfId="8661" priority="10597">
      <formula>H125=""</formula>
    </cfRule>
    <cfRule type="expression" dxfId="8660" priority="10598">
      <formula>H125&lt;44.5</formula>
    </cfRule>
    <cfRule type="expression" dxfId="8659" priority="10599">
      <formula>H125&lt;60.5</formula>
    </cfRule>
    <cfRule type="expression" dxfId="8658" priority="10600">
      <formula>H125&lt;85.5</formula>
    </cfRule>
    <cfRule type="expression" dxfId="8657" priority="10601">
      <formula>H125&gt;85.5</formula>
    </cfRule>
  </conditionalFormatting>
  <conditionalFormatting sqref="I121">
    <cfRule type="expression" dxfId="8656" priority="10589">
      <formula>I121="**"</formula>
    </cfRule>
    <cfRule type="expression" dxfId="8655" priority="10590">
      <formula>I121=""</formula>
    </cfRule>
    <cfRule type="expression" dxfId="8654" priority="10591">
      <formula>I121&lt;44.5</formula>
    </cfRule>
    <cfRule type="expression" dxfId="8653" priority="10592">
      <formula>I121&lt;60.5</formula>
    </cfRule>
    <cfRule type="expression" dxfId="8652" priority="10593">
      <formula>I121&lt;85.5</formula>
    </cfRule>
    <cfRule type="expression" dxfId="8651" priority="10594">
      <formula>I121&gt;85.5</formula>
    </cfRule>
  </conditionalFormatting>
  <conditionalFormatting sqref="I121:I123 I125">
    <cfRule type="expression" dxfId="8650" priority="10564">
      <formula>I$120=""</formula>
    </cfRule>
  </conditionalFormatting>
  <conditionalFormatting sqref="I122">
    <cfRule type="expression" dxfId="8649" priority="10582">
      <formula>I122="**"</formula>
    </cfRule>
    <cfRule type="expression" dxfId="8648" priority="10583">
      <formula>I122=""</formula>
    </cfRule>
    <cfRule type="expression" dxfId="8647" priority="10584">
      <formula>I122&lt;44.5</formula>
    </cfRule>
    <cfRule type="expression" dxfId="8646" priority="10585">
      <formula>I122&lt;60.5</formula>
    </cfRule>
    <cfRule type="expression" dxfId="8645" priority="10586">
      <formula>I122&lt;85.5</formula>
    </cfRule>
    <cfRule type="expression" dxfId="8644" priority="10588">
      <formula>I122&gt;85.5</formula>
    </cfRule>
  </conditionalFormatting>
  <conditionalFormatting sqref="I123">
    <cfRule type="expression" dxfId="8643" priority="10576">
      <formula>I123="**"</formula>
    </cfRule>
    <cfRule type="expression" dxfId="8642" priority="10577">
      <formula>I123=""</formula>
    </cfRule>
    <cfRule type="expression" dxfId="8641" priority="10578">
      <formula>I123&lt;44.5</formula>
    </cfRule>
    <cfRule type="expression" dxfId="8640" priority="10579">
      <formula>I123&lt;60.5</formula>
    </cfRule>
    <cfRule type="expression" dxfId="8639" priority="10580">
      <formula>I123&lt;85.5</formula>
    </cfRule>
    <cfRule type="expression" dxfId="8638" priority="10581">
      <formula>I123&gt;85.5</formula>
    </cfRule>
  </conditionalFormatting>
  <conditionalFormatting sqref="I125">
    <cfRule type="expression" dxfId="8637" priority="10565">
      <formula>I125="**"</formula>
    </cfRule>
    <cfRule type="expression" dxfId="8636" priority="10566">
      <formula>I125=""</formula>
    </cfRule>
    <cfRule type="expression" dxfId="8635" priority="10567">
      <formula>I125&lt;44.5</formula>
    </cfRule>
    <cfRule type="expression" dxfId="8634" priority="10568">
      <formula>I125&lt;60.5</formula>
    </cfRule>
    <cfRule type="expression" dxfId="8633" priority="10569">
      <formula>I125&lt;85.5</formula>
    </cfRule>
    <cfRule type="expression" dxfId="8632" priority="10570">
      <formula>I125&gt;85.5</formula>
    </cfRule>
  </conditionalFormatting>
  <conditionalFormatting sqref="J121">
    <cfRule type="expression" dxfId="8631" priority="10558">
      <formula>J121="**"</formula>
    </cfRule>
    <cfRule type="expression" dxfId="8630" priority="10559">
      <formula>J121=""</formula>
    </cfRule>
    <cfRule type="expression" dxfId="8629" priority="10560">
      <formula>J121&lt;44.5</formula>
    </cfRule>
    <cfRule type="expression" dxfId="8628" priority="10561">
      <formula>J121&lt;60.5</formula>
    </cfRule>
    <cfRule type="expression" dxfId="8627" priority="10562">
      <formula>J121&lt;85.5</formula>
    </cfRule>
    <cfRule type="expression" dxfId="8626" priority="10563">
      <formula>J121&gt;85.5</formula>
    </cfRule>
  </conditionalFormatting>
  <conditionalFormatting sqref="J121:J123 J125">
    <cfRule type="expression" dxfId="8625" priority="10533">
      <formula>J$120=""</formula>
    </cfRule>
  </conditionalFormatting>
  <conditionalFormatting sqref="J122">
    <cfRule type="expression" dxfId="8624" priority="10551">
      <formula>J122="**"</formula>
    </cfRule>
    <cfRule type="expression" dxfId="8623" priority="10552">
      <formula>J122=""</formula>
    </cfRule>
    <cfRule type="expression" dxfId="8622" priority="10553">
      <formula>J122&lt;44.5</formula>
    </cfRule>
    <cfRule type="expression" dxfId="8621" priority="10554">
      <formula>J122&lt;60.5</formula>
    </cfRule>
    <cfRule type="expression" dxfId="8620" priority="10555">
      <formula>J122&lt;85.5</formula>
    </cfRule>
    <cfRule type="expression" dxfId="8619" priority="10557">
      <formula>J122&gt;85.5</formula>
    </cfRule>
  </conditionalFormatting>
  <conditionalFormatting sqref="J123">
    <cfRule type="expression" dxfId="8618" priority="10545">
      <formula>J123="**"</formula>
    </cfRule>
    <cfRule type="expression" dxfId="8617" priority="10546">
      <formula>J123=""</formula>
    </cfRule>
    <cfRule type="expression" dxfId="8616" priority="10547">
      <formula>J123&lt;44.5</formula>
    </cfRule>
    <cfRule type="expression" dxfId="8615" priority="10548">
      <formula>J123&lt;60.5</formula>
    </cfRule>
    <cfRule type="expression" dxfId="8614" priority="10549">
      <formula>J123&lt;85.5</formula>
    </cfRule>
    <cfRule type="expression" dxfId="8613" priority="10550">
      <formula>J123&gt;85.5</formula>
    </cfRule>
  </conditionalFormatting>
  <conditionalFormatting sqref="J125">
    <cfRule type="expression" dxfId="8612" priority="10534">
      <formula>J125="**"</formula>
    </cfRule>
    <cfRule type="expression" dxfId="8611" priority="10535">
      <formula>J125=""</formula>
    </cfRule>
    <cfRule type="expression" dxfId="8610" priority="10536">
      <formula>J125&lt;44.5</formula>
    </cfRule>
    <cfRule type="expression" dxfId="8609" priority="10537">
      <formula>J125&lt;60.5</formula>
    </cfRule>
    <cfRule type="expression" dxfId="8608" priority="10538">
      <formula>J125&lt;85.5</formula>
    </cfRule>
    <cfRule type="expression" dxfId="8607" priority="10539">
      <formula>J125&gt;85.5</formula>
    </cfRule>
  </conditionalFormatting>
  <conditionalFormatting sqref="K121">
    <cfRule type="expression" dxfId="8606" priority="10527">
      <formula>K121="**"</formula>
    </cfRule>
    <cfRule type="expression" dxfId="8605" priority="10528">
      <formula>K121=""</formula>
    </cfRule>
    <cfRule type="expression" dxfId="8604" priority="10529">
      <formula>K121&lt;44.5</formula>
    </cfRule>
    <cfRule type="expression" dxfId="8603" priority="10530">
      <formula>K121&lt;60.5</formula>
    </cfRule>
    <cfRule type="expression" dxfId="8602" priority="10531">
      <formula>K121&lt;85.5</formula>
    </cfRule>
    <cfRule type="expression" dxfId="8601" priority="10532">
      <formula>K121&gt;85.5</formula>
    </cfRule>
  </conditionalFormatting>
  <conditionalFormatting sqref="K121:K123 K125">
    <cfRule type="expression" dxfId="8600" priority="10502">
      <formula>K$120=""</formula>
    </cfRule>
  </conditionalFormatting>
  <conditionalFormatting sqref="K122">
    <cfRule type="expression" dxfId="8599" priority="10520">
      <formula>K122="**"</formula>
    </cfRule>
    <cfRule type="expression" dxfId="8598" priority="10521">
      <formula>K122=""</formula>
    </cfRule>
    <cfRule type="expression" dxfId="8597" priority="10522">
      <formula>K122&lt;44.5</formula>
    </cfRule>
    <cfRule type="expression" dxfId="8596" priority="10523">
      <formula>K122&lt;60.5</formula>
    </cfRule>
    <cfRule type="expression" dxfId="8595" priority="10524">
      <formula>K122&lt;85.5</formula>
    </cfRule>
    <cfRule type="expression" dxfId="8594" priority="10526">
      <formula>K122&gt;85.5</formula>
    </cfRule>
  </conditionalFormatting>
  <conditionalFormatting sqref="K123">
    <cfRule type="expression" dxfId="8593" priority="10514">
      <formula>K123="**"</formula>
    </cfRule>
    <cfRule type="expression" dxfId="8592" priority="10515">
      <formula>K123=""</formula>
    </cfRule>
    <cfRule type="expression" dxfId="8591" priority="10516">
      <formula>K123&lt;44.5</formula>
    </cfRule>
    <cfRule type="expression" dxfId="8590" priority="10517">
      <formula>K123&lt;60.5</formula>
    </cfRule>
    <cfRule type="expression" dxfId="8589" priority="10518">
      <formula>K123&lt;85.5</formula>
    </cfRule>
    <cfRule type="expression" dxfId="8588" priority="10519">
      <formula>K123&gt;85.5</formula>
    </cfRule>
  </conditionalFormatting>
  <conditionalFormatting sqref="K125">
    <cfRule type="expression" dxfId="8587" priority="10503">
      <formula>K125="**"</formula>
    </cfRule>
    <cfRule type="expression" dxfId="8586" priority="10504">
      <formula>K125=""</formula>
    </cfRule>
    <cfRule type="expression" dxfId="8585" priority="10505">
      <formula>K125&lt;44.5</formula>
    </cfRule>
    <cfRule type="expression" dxfId="8584" priority="10506">
      <formula>K125&lt;60.5</formula>
    </cfRule>
    <cfRule type="expression" dxfId="8583" priority="10507">
      <formula>K125&lt;85.5</formula>
    </cfRule>
    <cfRule type="expression" dxfId="8582" priority="10508">
      <formula>K125&gt;85.5</formula>
    </cfRule>
  </conditionalFormatting>
  <conditionalFormatting sqref="L121">
    <cfRule type="expression" dxfId="8581" priority="10496">
      <formula>L121="**"</formula>
    </cfRule>
    <cfRule type="expression" dxfId="8580" priority="10497">
      <formula>L121=""</formula>
    </cfRule>
    <cfRule type="expression" dxfId="8579" priority="10498">
      <formula>L121&lt;44.5</formula>
    </cfRule>
    <cfRule type="expression" dxfId="8578" priority="10499">
      <formula>L121&lt;60.5</formula>
    </cfRule>
    <cfRule type="expression" dxfId="8577" priority="10500">
      <formula>L121&lt;85.5</formula>
    </cfRule>
    <cfRule type="expression" dxfId="8576" priority="10501">
      <formula>L121&gt;85.5</formula>
    </cfRule>
  </conditionalFormatting>
  <conditionalFormatting sqref="L121:L123 L125">
    <cfRule type="expression" dxfId="8575" priority="10471">
      <formula>L$120=""</formula>
    </cfRule>
  </conditionalFormatting>
  <conditionalFormatting sqref="L122">
    <cfRule type="expression" dxfId="8574" priority="10489">
      <formula>L122="**"</formula>
    </cfRule>
    <cfRule type="expression" dxfId="8573" priority="10490">
      <formula>L122=""</formula>
    </cfRule>
    <cfRule type="expression" dxfId="8572" priority="10491">
      <formula>L122&lt;44.5</formula>
    </cfRule>
    <cfRule type="expression" dxfId="8571" priority="10492">
      <formula>L122&lt;60.5</formula>
    </cfRule>
    <cfRule type="expression" dxfId="8570" priority="10493">
      <formula>L122&lt;85.5</formula>
    </cfRule>
    <cfRule type="expression" dxfId="8569" priority="10495">
      <formula>L122&gt;85.5</formula>
    </cfRule>
  </conditionalFormatting>
  <conditionalFormatting sqref="L123">
    <cfRule type="expression" dxfId="8568" priority="10483">
      <formula>L123="**"</formula>
    </cfRule>
    <cfRule type="expression" dxfId="8567" priority="10484">
      <formula>L123=""</formula>
    </cfRule>
    <cfRule type="expression" dxfId="8566" priority="10485">
      <formula>L123&lt;44.5</formula>
    </cfRule>
    <cfRule type="expression" dxfId="8565" priority="10486">
      <formula>L123&lt;60.5</formula>
    </cfRule>
    <cfRule type="expression" dxfId="8564" priority="10487">
      <formula>L123&lt;85.5</formula>
    </cfRule>
    <cfRule type="expression" dxfId="8563" priority="10488">
      <formula>L123&gt;85.5</formula>
    </cfRule>
  </conditionalFormatting>
  <conditionalFormatting sqref="L125">
    <cfRule type="expression" dxfId="8562" priority="10472">
      <formula>L125="**"</formula>
    </cfRule>
    <cfRule type="expression" dxfId="8561" priority="10473">
      <formula>L125=""</formula>
    </cfRule>
    <cfRule type="expression" dxfId="8560" priority="10474">
      <formula>L125&lt;44.5</formula>
    </cfRule>
    <cfRule type="expression" dxfId="8559" priority="10475">
      <formula>L125&lt;60.5</formula>
    </cfRule>
    <cfRule type="expression" dxfId="8558" priority="10476">
      <formula>L125&lt;85.5</formula>
    </cfRule>
    <cfRule type="expression" dxfId="8557" priority="10477">
      <formula>L125&gt;85.5</formula>
    </cfRule>
  </conditionalFormatting>
  <conditionalFormatting sqref="C151">
    <cfRule type="expression" dxfId="8556" priority="10465">
      <formula>C151="**"</formula>
    </cfRule>
    <cfRule type="expression" dxfId="8555" priority="10466">
      <formula>C151=""</formula>
    </cfRule>
    <cfRule type="expression" dxfId="8554" priority="10467">
      <formula>C151&lt;44.5</formula>
    </cfRule>
    <cfRule type="expression" dxfId="8553" priority="10468">
      <formula>C151&lt;60.5</formula>
    </cfRule>
    <cfRule type="expression" dxfId="8552" priority="10469">
      <formula>C151&lt;85.5</formula>
    </cfRule>
    <cfRule type="expression" dxfId="8551" priority="10470">
      <formula>C151&gt;85.5</formula>
    </cfRule>
  </conditionalFormatting>
  <conditionalFormatting sqref="C151:C155">
    <cfRule type="expression" dxfId="8550" priority="10440">
      <formula>C$150=""</formula>
    </cfRule>
  </conditionalFormatting>
  <conditionalFormatting sqref="C152">
    <cfRule type="expression" dxfId="8549" priority="10458">
      <formula>C152="**"</formula>
    </cfRule>
    <cfRule type="expression" dxfId="8548" priority="10459">
      <formula>C152=""</formula>
    </cfRule>
    <cfRule type="expression" dxfId="8547" priority="10460">
      <formula>C152&lt;44.5</formula>
    </cfRule>
    <cfRule type="expression" dxfId="8546" priority="10461">
      <formula>C152&lt;60.5</formula>
    </cfRule>
    <cfRule type="expression" dxfId="8545" priority="10462">
      <formula>C152&lt;85.5</formula>
    </cfRule>
    <cfRule type="expression" dxfId="8544" priority="10464">
      <formula>C152&gt;85.5</formula>
    </cfRule>
  </conditionalFormatting>
  <conditionalFormatting sqref="C153">
    <cfRule type="expression" dxfId="8543" priority="10452">
      <formula>C153="**"</formula>
    </cfRule>
    <cfRule type="expression" dxfId="8542" priority="10453">
      <formula>C153=""</formula>
    </cfRule>
    <cfRule type="expression" dxfId="8541" priority="10454">
      <formula>C153&lt;44.5</formula>
    </cfRule>
    <cfRule type="expression" dxfId="8540" priority="10455">
      <formula>C153&lt;60.5</formula>
    </cfRule>
    <cfRule type="expression" dxfId="8539" priority="10456">
      <formula>C153&lt;85.5</formula>
    </cfRule>
    <cfRule type="expression" dxfId="8538" priority="10457">
      <formula>C153&gt;85.5</formula>
    </cfRule>
  </conditionalFormatting>
  <conditionalFormatting sqref="C154">
    <cfRule type="expression" dxfId="8537" priority="10447">
      <formula>C154="**"</formula>
    </cfRule>
    <cfRule type="expression" dxfId="8536" priority="10448">
      <formula>C154=""</formula>
    </cfRule>
    <cfRule type="expression" dxfId="8535" priority="10449">
      <formula>C154&lt;44.5</formula>
    </cfRule>
    <cfRule type="expression" dxfId="8534" priority="10450">
      <formula>C154&lt;60.5</formula>
    </cfRule>
    <cfRule type="expression" dxfId="8533" priority="10451">
      <formula>C154&lt;85.5</formula>
    </cfRule>
    <cfRule type="expression" dxfId="8532" priority="10463">
      <formula>C154&gt;85.5</formula>
    </cfRule>
  </conditionalFormatting>
  <conditionalFormatting sqref="C155">
    <cfRule type="expression" dxfId="8531" priority="10441">
      <formula>C155="**"</formula>
    </cfRule>
    <cfRule type="expression" dxfId="8530" priority="10442">
      <formula>C155=""</formula>
    </cfRule>
    <cfRule type="expression" dxfId="8529" priority="10443">
      <formula>C155&lt;44.5</formula>
    </cfRule>
    <cfRule type="expression" dxfId="8528" priority="10444">
      <formula>C155&lt;60.5</formula>
    </cfRule>
    <cfRule type="expression" dxfId="8527" priority="10445">
      <formula>C155&lt;85.5</formula>
    </cfRule>
    <cfRule type="expression" dxfId="8526" priority="10446">
      <formula>C155&gt;85.5</formula>
    </cfRule>
  </conditionalFormatting>
  <conditionalFormatting sqref="D151">
    <cfRule type="expression" dxfId="8525" priority="10434">
      <formula>D151="**"</formula>
    </cfRule>
    <cfRule type="expression" dxfId="8524" priority="10435">
      <formula>D151=""</formula>
    </cfRule>
    <cfRule type="expression" dxfId="8523" priority="10436">
      <formula>D151&lt;44.5</formula>
    </cfRule>
    <cfRule type="expression" dxfId="8522" priority="10437">
      <formula>D151&lt;60.5</formula>
    </cfRule>
    <cfRule type="expression" dxfId="8521" priority="10438">
      <formula>D151&lt;85.5</formula>
    </cfRule>
    <cfRule type="expression" dxfId="8520" priority="10439">
      <formula>D151&gt;85.5</formula>
    </cfRule>
  </conditionalFormatting>
  <conditionalFormatting sqref="D151:D153 D155">
    <cfRule type="expression" dxfId="8519" priority="10409">
      <formula>D$150=""</formula>
    </cfRule>
  </conditionalFormatting>
  <conditionalFormatting sqref="D152">
    <cfRule type="expression" dxfId="8518" priority="10427">
      <formula>D152="**"</formula>
    </cfRule>
    <cfRule type="expression" dxfId="8517" priority="10428">
      <formula>D152=""</formula>
    </cfRule>
    <cfRule type="expression" dxfId="8516" priority="10429">
      <formula>D152&lt;44.5</formula>
    </cfRule>
    <cfRule type="expression" dxfId="8515" priority="10430">
      <formula>D152&lt;60.5</formula>
    </cfRule>
    <cfRule type="expression" dxfId="8514" priority="10431">
      <formula>D152&lt;85.5</formula>
    </cfRule>
    <cfRule type="expression" dxfId="8513" priority="10433">
      <formula>D152&gt;85.5</formula>
    </cfRule>
  </conditionalFormatting>
  <conditionalFormatting sqref="D153">
    <cfRule type="expression" dxfId="8512" priority="10421">
      <formula>D153="**"</formula>
    </cfRule>
    <cfRule type="expression" dxfId="8511" priority="10422">
      <formula>D153=""</formula>
    </cfRule>
    <cfRule type="expression" dxfId="8510" priority="10423">
      <formula>D153&lt;44.5</formula>
    </cfRule>
    <cfRule type="expression" dxfId="8509" priority="10424">
      <formula>D153&lt;60.5</formula>
    </cfRule>
    <cfRule type="expression" dxfId="8508" priority="10425">
      <formula>D153&lt;85.5</formula>
    </cfRule>
    <cfRule type="expression" dxfId="8507" priority="10426">
      <formula>D153&gt;85.5</formula>
    </cfRule>
  </conditionalFormatting>
  <conditionalFormatting sqref="D155">
    <cfRule type="expression" dxfId="8506" priority="10410">
      <formula>D155="**"</formula>
    </cfRule>
    <cfRule type="expression" dxfId="8505" priority="10411">
      <formula>D155=""</formula>
    </cfRule>
    <cfRule type="expression" dxfId="8504" priority="10412">
      <formula>D155&lt;44.5</formula>
    </cfRule>
    <cfRule type="expression" dxfId="8503" priority="10413">
      <formula>D155&lt;60.5</formula>
    </cfRule>
    <cfRule type="expression" dxfId="8502" priority="10414">
      <formula>D155&lt;85.5</formula>
    </cfRule>
    <cfRule type="expression" dxfId="8501" priority="10415">
      <formula>D155&gt;85.5</formula>
    </cfRule>
  </conditionalFormatting>
  <conditionalFormatting sqref="E151">
    <cfRule type="expression" dxfId="8500" priority="10403">
      <formula>E151="**"</formula>
    </cfRule>
    <cfRule type="expression" dxfId="8499" priority="10404">
      <formula>E151=""</formula>
    </cfRule>
    <cfRule type="expression" dxfId="8498" priority="10405">
      <formula>E151&lt;44.5</formula>
    </cfRule>
    <cfRule type="expression" dxfId="8497" priority="10406">
      <formula>E151&lt;60.5</formula>
    </cfRule>
    <cfRule type="expression" dxfId="8496" priority="10407">
      <formula>E151&lt;85.5</formula>
    </cfRule>
    <cfRule type="expression" dxfId="8495" priority="10408">
      <formula>E151&gt;85.5</formula>
    </cfRule>
  </conditionalFormatting>
  <conditionalFormatting sqref="E151:E153 E155">
    <cfRule type="expression" dxfId="8494" priority="10378">
      <formula>E$150=""</formula>
    </cfRule>
  </conditionalFormatting>
  <conditionalFormatting sqref="E152">
    <cfRule type="expression" dxfId="8493" priority="10396">
      <formula>E152="**"</formula>
    </cfRule>
    <cfRule type="expression" dxfId="8492" priority="10397">
      <formula>E152=""</formula>
    </cfRule>
    <cfRule type="expression" dxfId="8491" priority="10398">
      <formula>E152&lt;44.5</formula>
    </cfRule>
    <cfRule type="expression" dxfId="8490" priority="10399">
      <formula>E152&lt;60.5</formula>
    </cfRule>
    <cfRule type="expression" dxfId="8489" priority="10400">
      <formula>E152&lt;85.5</formula>
    </cfRule>
    <cfRule type="expression" dxfId="8488" priority="10402">
      <formula>E152&gt;85.5</formula>
    </cfRule>
  </conditionalFormatting>
  <conditionalFormatting sqref="E153">
    <cfRule type="expression" dxfId="8487" priority="10390">
      <formula>E153="**"</formula>
    </cfRule>
    <cfRule type="expression" dxfId="8486" priority="10391">
      <formula>E153=""</formula>
    </cfRule>
    <cfRule type="expression" dxfId="8485" priority="10392">
      <formula>E153&lt;44.5</formula>
    </cfRule>
    <cfRule type="expression" dxfId="8484" priority="10393">
      <formula>E153&lt;60.5</formula>
    </cfRule>
    <cfRule type="expression" dxfId="8483" priority="10394">
      <formula>E153&lt;85.5</formula>
    </cfRule>
    <cfRule type="expression" dxfId="8482" priority="10395">
      <formula>E153&gt;85.5</formula>
    </cfRule>
  </conditionalFormatting>
  <conditionalFormatting sqref="E155">
    <cfRule type="expression" dxfId="8481" priority="10379">
      <formula>E155="**"</formula>
    </cfRule>
    <cfRule type="expression" dxfId="8480" priority="10380">
      <formula>E155=""</formula>
    </cfRule>
    <cfRule type="expression" dxfId="8479" priority="10381">
      <formula>E155&lt;44.5</formula>
    </cfRule>
    <cfRule type="expression" dxfId="8478" priority="10382">
      <formula>E155&lt;60.5</formula>
    </cfRule>
    <cfRule type="expression" dxfId="8477" priority="10383">
      <formula>E155&lt;85.5</formula>
    </cfRule>
    <cfRule type="expression" dxfId="8476" priority="10384">
      <formula>E155&gt;85.5</formula>
    </cfRule>
  </conditionalFormatting>
  <conditionalFormatting sqref="F151">
    <cfRule type="expression" dxfId="8475" priority="10372">
      <formula>F151="**"</formula>
    </cfRule>
    <cfRule type="expression" dxfId="8474" priority="10373">
      <formula>F151=""</formula>
    </cfRule>
    <cfRule type="expression" dxfId="8473" priority="10374">
      <formula>F151&lt;44.5</formula>
    </cfRule>
    <cfRule type="expression" dxfId="8472" priority="10375">
      <formula>F151&lt;60.5</formula>
    </cfRule>
    <cfRule type="expression" dxfId="8471" priority="10376">
      <formula>F151&lt;85.5</formula>
    </cfRule>
    <cfRule type="expression" dxfId="8470" priority="10377">
      <formula>F151&gt;85.5</formula>
    </cfRule>
  </conditionalFormatting>
  <conditionalFormatting sqref="F151:F153 F155">
    <cfRule type="expression" dxfId="8469" priority="10347">
      <formula>F$150=""</formula>
    </cfRule>
  </conditionalFormatting>
  <conditionalFormatting sqref="F152">
    <cfRule type="expression" dxfId="8468" priority="10365">
      <formula>F152="**"</formula>
    </cfRule>
    <cfRule type="expression" dxfId="8467" priority="10366">
      <formula>F152=""</formula>
    </cfRule>
    <cfRule type="expression" dxfId="8466" priority="10367">
      <formula>F152&lt;44.5</formula>
    </cfRule>
    <cfRule type="expression" dxfId="8465" priority="10368">
      <formula>F152&lt;60.5</formula>
    </cfRule>
    <cfRule type="expression" dxfId="8464" priority="10369">
      <formula>F152&lt;85.5</formula>
    </cfRule>
    <cfRule type="expression" dxfId="8463" priority="10371">
      <formula>F152&gt;85.5</formula>
    </cfRule>
  </conditionalFormatting>
  <conditionalFormatting sqref="F153">
    <cfRule type="expression" dxfId="8462" priority="10359">
      <formula>F153="**"</formula>
    </cfRule>
    <cfRule type="expression" dxfId="8461" priority="10360">
      <formula>F153=""</formula>
    </cfRule>
    <cfRule type="expression" dxfId="8460" priority="10361">
      <formula>F153&lt;44.5</formula>
    </cfRule>
    <cfRule type="expression" dxfId="8459" priority="10362">
      <formula>F153&lt;60.5</formula>
    </cfRule>
    <cfRule type="expression" dxfId="8458" priority="10363">
      <formula>F153&lt;85.5</formula>
    </cfRule>
    <cfRule type="expression" dxfId="8457" priority="10364">
      <formula>F153&gt;85.5</formula>
    </cfRule>
  </conditionalFormatting>
  <conditionalFormatting sqref="F155">
    <cfRule type="expression" dxfId="8456" priority="10348">
      <formula>F155="**"</formula>
    </cfRule>
    <cfRule type="expression" dxfId="8455" priority="10349">
      <formula>F155=""</formula>
    </cfRule>
    <cfRule type="expression" dxfId="8454" priority="10350">
      <formula>F155&lt;44.5</formula>
    </cfRule>
    <cfRule type="expression" dxfId="8453" priority="10351">
      <formula>F155&lt;60.5</formula>
    </cfRule>
    <cfRule type="expression" dxfId="8452" priority="10352">
      <formula>F155&lt;85.5</formula>
    </cfRule>
    <cfRule type="expression" dxfId="8451" priority="10353">
      <formula>F155&gt;85.5</formula>
    </cfRule>
  </conditionalFormatting>
  <conditionalFormatting sqref="G151">
    <cfRule type="expression" dxfId="8450" priority="10341">
      <formula>G151="**"</formula>
    </cfRule>
    <cfRule type="expression" dxfId="8449" priority="10342">
      <formula>G151=""</formula>
    </cfRule>
    <cfRule type="expression" dxfId="8448" priority="10343">
      <formula>G151&lt;44.5</formula>
    </cfRule>
    <cfRule type="expression" dxfId="8447" priority="10344">
      <formula>G151&lt;60.5</formula>
    </cfRule>
    <cfRule type="expression" dxfId="8446" priority="10345">
      <formula>G151&lt;85.5</formula>
    </cfRule>
    <cfRule type="expression" dxfId="8445" priority="10346">
      <formula>G151&gt;85.5</formula>
    </cfRule>
  </conditionalFormatting>
  <conditionalFormatting sqref="G151:G153 G155">
    <cfRule type="expression" dxfId="8444" priority="10316">
      <formula>G$150=""</formula>
    </cfRule>
  </conditionalFormatting>
  <conditionalFormatting sqref="G152">
    <cfRule type="expression" dxfId="8443" priority="10334">
      <formula>G152="**"</formula>
    </cfRule>
    <cfRule type="expression" dxfId="8442" priority="10335">
      <formula>G152=""</formula>
    </cfRule>
    <cfRule type="expression" dxfId="8441" priority="10336">
      <formula>G152&lt;44.5</formula>
    </cfRule>
    <cfRule type="expression" dxfId="8440" priority="10337">
      <formula>G152&lt;60.5</formula>
    </cfRule>
    <cfRule type="expression" dxfId="8439" priority="10338">
      <formula>G152&lt;85.5</formula>
    </cfRule>
    <cfRule type="expression" dxfId="8438" priority="10340">
      <formula>G152&gt;85.5</formula>
    </cfRule>
  </conditionalFormatting>
  <conditionalFormatting sqref="G153">
    <cfRule type="expression" dxfId="8437" priority="10328">
      <formula>G153="**"</formula>
    </cfRule>
    <cfRule type="expression" dxfId="8436" priority="10329">
      <formula>G153=""</formula>
    </cfRule>
    <cfRule type="expression" dxfId="8435" priority="10330">
      <formula>G153&lt;44.5</formula>
    </cfRule>
    <cfRule type="expression" dxfId="8434" priority="10331">
      <formula>G153&lt;60.5</formula>
    </cfRule>
    <cfRule type="expression" dxfId="8433" priority="10332">
      <formula>G153&lt;85.5</formula>
    </cfRule>
    <cfRule type="expression" dxfId="8432" priority="10333">
      <formula>G153&gt;85.5</formula>
    </cfRule>
  </conditionalFormatting>
  <conditionalFormatting sqref="G155">
    <cfRule type="expression" dxfId="8431" priority="10317">
      <formula>G155="**"</formula>
    </cfRule>
    <cfRule type="expression" dxfId="8430" priority="10318">
      <formula>G155=""</formula>
    </cfRule>
    <cfRule type="expression" dxfId="8429" priority="10319">
      <formula>G155&lt;44.5</formula>
    </cfRule>
    <cfRule type="expression" dxfId="8428" priority="10320">
      <formula>G155&lt;60.5</formula>
    </cfRule>
    <cfRule type="expression" dxfId="8427" priority="10321">
      <formula>G155&lt;85.5</formula>
    </cfRule>
    <cfRule type="expression" dxfId="8426" priority="10322">
      <formula>G155&gt;85.5</formula>
    </cfRule>
  </conditionalFormatting>
  <conditionalFormatting sqref="H151">
    <cfRule type="expression" dxfId="8425" priority="10310">
      <formula>H151="**"</formula>
    </cfRule>
    <cfRule type="expression" dxfId="8424" priority="10311">
      <formula>H151=""</formula>
    </cfRule>
    <cfRule type="expression" dxfId="8423" priority="10312">
      <formula>H151&lt;44.5</formula>
    </cfRule>
    <cfRule type="expression" dxfId="8422" priority="10313">
      <formula>H151&lt;60.5</formula>
    </cfRule>
    <cfRule type="expression" dxfId="8421" priority="10314">
      <formula>H151&lt;85.5</formula>
    </cfRule>
    <cfRule type="expression" dxfId="8420" priority="10315">
      <formula>H151&gt;85.5</formula>
    </cfRule>
  </conditionalFormatting>
  <conditionalFormatting sqref="H151:H153 H155">
    <cfRule type="expression" dxfId="8419" priority="10285">
      <formula>H$150=""</formula>
    </cfRule>
  </conditionalFormatting>
  <conditionalFormatting sqref="H152">
    <cfRule type="expression" dxfId="8418" priority="10303">
      <formula>H152="**"</formula>
    </cfRule>
    <cfRule type="expression" dxfId="8417" priority="10304">
      <formula>H152=""</formula>
    </cfRule>
    <cfRule type="expression" dxfId="8416" priority="10305">
      <formula>H152&lt;44.5</formula>
    </cfRule>
    <cfRule type="expression" dxfId="8415" priority="10306">
      <formula>H152&lt;60.5</formula>
    </cfRule>
    <cfRule type="expression" dxfId="8414" priority="10307">
      <formula>H152&lt;85.5</formula>
    </cfRule>
    <cfRule type="expression" dxfId="8413" priority="10309">
      <formula>H152&gt;85.5</formula>
    </cfRule>
  </conditionalFormatting>
  <conditionalFormatting sqref="H153">
    <cfRule type="expression" dxfId="8412" priority="10297">
      <formula>H153="**"</formula>
    </cfRule>
    <cfRule type="expression" dxfId="8411" priority="10298">
      <formula>H153=""</formula>
    </cfRule>
    <cfRule type="expression" dxfId="8410" priority="10299">
      <formula>H153&lt;44.5</formula>
    </cfRule>
    <cfRule type="expression" dxfId="8409" priority="10300">
      <formula>H153&lt;60.5</formula>
    </cfRule>
    <cfRule type="expression" dxfId="8408" priority="10301">
      <formula>H153&lt;85.5</formula>
    </cfRule>
    <cfRule type="expression" dxfId="8407" priority="10302">
      <formula>H153&gt;85.5</formula>
    </cfRule>
  </conditionalFormatting>
  <conditionalFormatting sqref="H155">
    <cfRule type="expression" dxfId="8406" priority="10286">
      <formula>H155="**"</formula>
    </cfRule>
    <cfRule type="expression" dxfId="8405" priority="10287">
      <formula>H155=""</formula>
    </cfRule>
    <cfRule type="expression" dxfId="8404" priority="10288">
      <formula>H155&lt;44.5</formula>
    </cfRule>
    <cfRule type="expression" dxfId="8403" priority="10289">
      <formula>H155&lt;60.5</formula>
    </cfRule>
    <cfRule type="expression" dxfId="8402" priority="10290">
      <formula>H155&lt;85.5</formula>
    </cfRule>
    <cfRule type="expression" dxfId="8401" priority="10291">
      <formula>H155&gt;85.5</formula>
    </cfRule>
  </conditionalFormatting>
  <conditionalFormatting sqref="I151">
    <cfRule type="expression" dxfId="8400" priority="10279">
      <formula>I151="**"</formula>
    </cfRule>
    <cfRule type="expression" dxfId="8399" priority="10280">
      <formula>I151=""</formula>
    </cfRule>
    <cfRule type="expression" dxfId="8398" priority="10281">
      <formula>I151&lt;44.5</formula>
    </cfRule>
    <cfRule type="expression" dxfId="8397" priority="10282">
      <formula>I151&lt;60.5</formula>
    </cfRule>
    <cfRule type="expression" dxfId="8396" priority="10283">
      <formula>I151&lt;85.5</formula>
    </cfRule>
    <cfRule type="expression" dxfId="8395" priority="10284">
      <formula>I151&gt;85.5</formula>
    </cfRule>
  </conditionalFormatting>
  <conditionalFormatting sqref="I151:I153 I155">
    <cfRule type="expression" dxfId="8394" priority="10254">
      <formula>I$150=""</formula>
    </cfRule>
  </conditionalFormatting>
  <conditionalFormatting sqref="I152">
    <cfRule type="expression" dxfId="8393" priority="10272">
      <formula>I152="**"</formula>
    </cfRule>
    <cfRule type="expression" dxfId="8392" priority="10273">
      <formula>I152=""</formula>
    </cfRule>
    <cfRule type="expression" dxfId="8391" priority="10274">
      <formula>I152&lt;44.5</formula>
    </cfRule>
    <cfRule type="expression" dxfId="8390" priority="10275">
      <formula>I152&lt;60.5</formula>
    </cfRule>
    <cfRule type="expression" dxfId="8389" priority="10276">
      <formula>I152&lt;85.5</formula>
    </cfRule>
    <cfRule type="expression" dxfId="8388" priority="10278">
      <formula>I152&gt;85.5</formula>
    </cfRule>
  </conditionalFormatting>
  <conditionalFormatting sqref="I153">
    <cfRule type="expression" dxfId="8387" priority="10266">
      <formula>I153="**"</formula>
    </cfRule>
    <cfRule type="expression" dxfId="8386" priority="10267">
      <formula>I153=""</formula>
    </cfRule>
    <cfRule type="expression" dxfId="8385" priority="10268">
      <formula>I153&lt;44.5</formula>
    </cfRule>
    <cfRule type="expression" dxfId="8384" priority="10269">
      <formula>I153&lt;60.5</formula>
    </cfRule>
    <cfRule type="expression" dxfId="8383" priority="10270">
      <formula>I153&lt;85.5</formula>
    </cfRule>
    <cfRule type="expression" dxfId="8382" priority="10271">
      <formula>I153&gt;85.5</formula>
    </cfRule>
  </conditionalFormatting>
  <conditionalFormatting sqref="I155">
    <cfRule type="expression" dxfId="8381" priority="10255">
      <formula>I155="**"</formula>
    </cfRule>
    <cfRule type="expression" dxfId="8380" priority="10256">
      <formula>I155=""</formula>
    </cfRule>
    <cfRule type="expression" dxfId="8379" priority="10257">
      <formula>I155&lt;44.5</formula>
    </cfRule>
    <cfRule type="expression" dxfId="8378" priority="10258">
      <formula>I155&lt;60.5</formula>
    </cfRule>
    <cfRule type="expression" dxfId="8377" priority="10259">
      <formula>I155&lt;85.5</formula>
    </cfRule>
    <cfRule type="expression" dxfId="8376" priority="10260">
      <formula>I155&gt;85.5</formula>
    </cfRule>
  </conditionalFormatting>
  <conditionalFormatting sqref="J151">
    <cfRule type="expression" dxfId="8375" priority="10248">
      <formula>J151="**"</formula>
    </cfRule>
    <cfRule type="expression" dxfId="8374" priority="10249">
      <formula>J151=""</formula>
    </cfRule>
    <cfRule type="expression" dxfId="8373" priority="10250">
      <formula>J151&lt;44.5</formula>
    </cfRule>
    <cfRule type="expression" dxfId="8372" priority="10251">
      <formula>J151&lt;60.5</formula>
    </cfRule>
    <cfRule type="expression" dxfId="8371" priority="10252">
      <formula>J151&lt;85.5</formula>
    </cfRule>
    <cfRule type="expression" dxfId="8370" priority="10253">
      <formula>J151&gt;85.5</formula>
    </cfRule>
  </conditionalFormatting>
  <conditionalFormatting sqref="J151:J153 J155">
    <cfRule type="expression" dxfId="8369" priority="10223">
      <formula>J$150=""</formula>
    </cfRule>
  </conditionalFormatting>
  <conditionalFormatting sqref="J152">
    <cfRule type="expression" dxfId="8368" priority="10241">
      <formula>J152="**"</formula>
    </cfRule>
    <cfRule type="expression" dxfId="8367" priority="10242">
      <formula>J152=""</formula>
    </cfRule>
    <cfRule type="expression" dxfId="8366" priority="10243">
      <formula>J152&lt;44.5</formula>
    </cfRule>
    <cfRule type="expression" dxfId="8365" priority="10244">
      <formula>J152&lt;60.5</formula>
    </cfRule>
    <cfRule type="expression" dxfId="8364" priority="10245">
      <formula>J152&lt;85.5</formula>
    </cfRule>
    <cfRule type="expression" dxfId="8363" priority="10247">
      <formula>J152&gt;85.5</formula>
    </cfRule>
  </conditionalFormatting>
  <conditionalFormatting sqref="J153">
    <cfRule type="expression" dxfId="8362" priority="10235">
      <formula>J153="**"</formula>
    </cfRule>
    <cfRule type="expression" dxfId="8361" priority="10236">
      <formula>J153=""</formula>
    </cfRule>
    <cfRule type="expression" dxfId="8360" priority="10237">
      <formula>J153&lt;44.5</formula>
    </cfRule>
    <cfRule type="expression" dxfId="8359" priority="10238">
      <formula>J153&lt;60.5</formula>
    </cfRule>
    <cfRule type="expression" dxfId="8358" priority="10239">
      <formula>J153&lt;85.5</formula>
    </cfRule>
    <cfRule type="expression" dxfId="8357" priority="10240">
      <formula>J153&gt;85.5</formula>
    </cfRule>
  </conditionalFormatting>
  <conditionalFormatting sqref="J155">
    <cfRule type="expression" dxfId="8356" priority="10224">
      <formula>J155="**"</formula>
    </cfRule>
    <cfRule type="expression" dxfId="8355" priority="10225">
      <formula>J155=""</formula>
    </cfRule>
    <cfRule type="expression" dxfId="8354" priority="10226">
      <formula>J155&lt;44.5</formula>
    </cfRule>
    <cfRule type="expression" dxfId="8353" priority="10227">
      <formula>J155&lt;60.5</formula>
    </cfRule>
    <cfRule type="expression" dxfId="8352" priority="10228">
      <formula>J155&lt;85.5</formula>
    </cfRule>
    <cfRule type="expression" dxfId="8351" priority="10229">
      <formula>J155&gt;85.5</formula>
    </cfRule>
  </conditionalFormatting>
  <conditionalFormatting sqref="K151">
    <cfRule type="expression" dxfId="8350" priority="10217">
      <formula>K151="**"</formula>
    </cfRule>
    <cfRule type="expression" dxfId="8349" priority="10218">
      <formula>K151=""</formula>
    </cfRule>
    <cfRule type="expression" dxfId="8348" priority="10219">
      <formula>K151&lt;44.5</formula>
    </cfRule>
    <cfRule type="expression" dxfId="8347" priority="10220">
      <formula>K151&lt;60.5</formula>
    </cfRule>
    <cfRule type="expression" dxfId="8346" priority="10221">
      <formula>K151&lt;85.5</formula>
    </cfRule>
    <cfRule type="expression" dxfId="8345" priority="10222">
      <formula>K151&gt;85.5</formula>
    </cfRule>
  </conditionalFormatting>
  <conditionalFormatting sqref="K151:K153 K155">
    <cfRule type="expression" dxfId="8344" priority="10192">
      <formula>K$150=""</formula>
    </cfRule>
  </conditionalFormatting>
  <conditionalFormatting sqref="K152">
    <cfRule type="expression" dxfId="8343" priority="10210">
      <formula>K152="**"</formula>
    </cfRule>
    <cfRule type="expression" dxfId="8342" priority="10211">
      <formula>K152=""</formula>
    </cfRule>
    <cfRule type="expression" dxfId="8341" priority="10212">
      <formula>K152&lt;44.5</formula>
    </cfRule>
    <cfRule type="expression" dxfId="8340" priority="10213">
      <formula>K152&lt;60.5</formula>
    </cfRule>
    <cfRule type="expression" dxfId="8339" priority="10214">
      <formula>K152&lt;85.5</formula>
    </cfRule>
    <cfRule type="expression" dxfId="8338" priority="10216">
      <formula>K152&gt;85.5</formula>
    </cfRule>
  </conditionalFormatting>
  <conditionalFormatting sqref="K153">
    <cfRule type="expression" dxfId="8337" priority="10204">
      <formula>K153="**"</formula>
    </cfRule>
    <cfRule type="expression" dxfId="8336" priority="10205">
      <formula>K153=""</formula>
    </cfRule>
    <cfRule type="expression" dxfId="8335" priority="10206">
      <formula>K153&lt;44.5</formula>
    </cfRule>
    <cfRule type="expression" dxfId="8334" priority="10207">
      <formula>K153&lt;60.5</formula>
    </cfRule>
    <cfRule type="expression" dxfId="8333" priority="10208">
      <formula>K153&lt;85.5</formula>
    </cfRule>
    <cfRule type="expression" dxfId="8332" priority="10209">
      <formula>K153&gt;85.5</formula>
    </cfRule>
  </conditionalFormatting>
  <conditionalFormatting sqref="K155">
    <cfRule type="expression" dxfId="8331" priority="10193">
      <formula>K155="**"</formula>
    </cfRule>
    <cfRule type="expression" dxfId="8330" priority="10194">
      <formula>K155=""</formula>
    </cfRule>
    <cfRule type="expression" dxfId="8329" priority="10195">
      <formula>K155&lt;44.5</formula>
    </cfRule>
    <cfRule type="expression" dxfId="8328" priority="10196">
      <formula>K155&lt;60.5</formula>
    </cfRule>
    <cfRule type="expression" dxfId="8327" priority="10197">
      <formula>K155&lt;85.5</formula>
    </cfRule>
    <cfRule type="expression" dxfId="8326" priority="10198">
      <formula>K155&gt;85.5</formula>
    </cfRule>
  </conditionalFormatting>
  <conditionalFormatting sqref="L151">
    <cfRule type="expression" dxfId="8325" priority="10186">
      <formula>L151="**"</formula>
    </cfRule>
    <cfRule type="expression" dxfId="8324" priority="10187">
      <formula>L151=""</formula>
    </cfRule>
    <cfRule type="expression" dxfId="8323" priority="10188">
      <formula>L151&lt;44.5</formula>
    </cfRule>
    <cfRule type="expression" dxfId="8322" priority="10189">
      <formula>L151&lt;60.5</formula>
    </cfRule>
    <cfRule type="expression" dxfId="8321" priority="10190">
      <formula>L151&lt;85.5</formula>
    </cfRule>
    <cfRule type="expression" dxfId="8320" priority="10191">
      <formula>L151&gt;85.5</formula>
    </cfRule>
  </conditionalFormatting>
  <conditionalFormatting sqref="L151:L153 L155">
    <cfRule type="expression" dxfId="8319" priority="10161">
      <formula>L$150=""</formula>
    </cfRule>
  </conditionalFormatting>
  <conditionalFormatting sqref="L152">
    <cfRule type="expression" dxfId="8318" priority="10179">
      <formula>L152="**"</formula>
    </cfRule>
    <cfRule type="expression" dxfId="8317" priority="10180">
      <formula>L152=""</formula>
    </cfRule>
    <cfRule type="expression" dxfId="8316" priority="10181">
      <formula>L152&lt;44.5</formula>
    </cfRule>
    <cfRule type="expression" dxfId="8315" priority="10182">
      <formula>L152&lt;60.5</formula>
    </cfRule>
    <cfRule type="expression" dxfId="8314" priority="10183">
      <formula>L152&lt;85.5</formula>
    </cfRule>
    <cfRule type="expression" dxfId="8313" priority="10185">
      <formula>L152&gt;85.5</formula>
    </cfRule>
  </conditionalFormatting>
  <conditionalFormatting sqref="L153">
    <cfRule type="expression" dxfId="8312" priority="10173">
      <formula>L153="**"</formula>
    </cfRule>
    <cfRule type="expression" dxfId="8311" priority="10174">
      <formula>L153=""</formula>
    </cfRule>
    <cfRule type="expression" dxfId="8310" priority="10175">
      <formula>L153&lt;44.5</formula>
    </cfRule>
    <cfRule type="expression" dxfId="8309" priority="10176">
      <formula>L153&lt;60.5</formula>
    </cfRule>
    <cfRule type="expression" dxfId="8308" priority="10177">
      <formula>L153&lt;85.5</formula>
    </cfRule>
    <cfRule type="expression" dxfId="8307" priority="10178">
      <formula>L153&gt;85.5</formula>
    </cfRule>
  </conditionalFormatting>
  <conditionalFormatting sqref="L155">
    <cfRule type="expression" dxfId="8306" priority="10162">
      <formula>L155="**"</formula>
    </cfRule>
    <cfRule type="expression" dxfId="8305" priority="10163">
      <formula>L155=""</formula>
    </cfRule>
    <cfRule type="expression" dxfId="8304" priority="10164">
      <formula>L155&lt;44.5</formula>
    </cfRule>
    <cfRule type="expression" dxfId="8303" priority="10165">
      <formula>L155&lt;60.5</formula>
    </cfRule>
    <cfRule type="expression" dxfId="8302" priority="10166">
      <formula>L155&lt;85.5</formula>
    </cfRule>
    <cfRule type="expression" dxfId="8301" priority="10167">
      <formula>L155&gt;85.5</formula>
    </cfRule>
  </conditionalFormatting>
  <conditionalFormatting sqref="C181">
    <cfRule type="expression" dxfId="8300" priority="10155">
      <formula>C181="**"</formula>
    </cfRule>
    <cfRule type="expression" dxfId="8299" priority="10156">
      <formula>C181=""</formula>
    </cfRule>
    <cfRule type="expression" dxfId="8298" priority="10157">
      <formula>C181&lt;44.5</formula>
    </cfRule>
    <cfRule type="expression" dxfId="8297" priority="10158">
      <formula>C181&lt;60.5</formula>
    </cfRule>
    <cfRule type="expression" dxfId="8296" priority="10159">
      <formula>C181&lt;85.5</formula>
    </cfRule>
    <cfRule type="expression" dxfId="8295" priority="10160">
      <formula>C181&gt;85.5</formula>
    </cfRule>
  </conditionalFormatting>
  <conditionalFormatting sqref="C181:C185">
    <cfRule type="expression" dxfId="8294" priority="10130">
      <formula>C$180=""</formula>
    </cfRule>
  </conditionalFormatting>
  <conditionalFormatting sqref="C182">
    <cfRule type="expression" dxfId="8293" priority="10148">
      <formula>C182="**"</formula>
    </cfRule>
    <cfRule type="expression" dxfId="8292" priority="10149">
      <formula>C182=""</formula>
    </cfRule>
    <cfRule type="expression" dxfId="8291" priority="10150">
      <formula>C182&lt;44.5</formula>
    </cfRule>
    <cfRule type="expression" dxfId="8290" priority="10151">
      <formula>C182&lt;60.5</formula>
    </cfRule>
    <cfRule type="expression" dxfId="8289" priority="10152">
      <formula>C182&lt;85.5</formula>
    </cfRule>
    <cfRule type="expression" dxfId="8288" priority="10154">
      <formula>C182&gt;85.5</formula>
    </cfRule>
  </conditionalFormatting>
  <conditionalFormatting sqref="C183">
    <cfRule type="expression" dxfId="8287" priority="10142">
      <formula>C183="**"</formula>
    </cfRule>
    <cfRule type="expression" dxfId="8286" priority="10143">
      <formula>C183=""</formula>
    </cfRule>
    <cfRule type="expression" dxfId="8285" priority="10144">
      <formula>C183&lt;44.5</formula>
    </cfRule>
    <cfRule type="expression" dxfId="8284" priority="10145">
      <formula>C183&lt;60.5</formula>
    </cfRule>
    <cfRule type="expression" dxfId="8283" priority="10146">
      <formula>C183&lt;85.5</formula>
    </cfRule>
    <cfRule type="expression" dxfId="8282" priority="10147">
      <formula>C183&gt;85.5</formula>
    </cfRule>
  </conditionalFormatting>
  <conditionalFormatting sqref="C184">
    <cfRule type="expression" dxfId="8281" priority="10137">
      <formula>C184="**"</formula>
    </cfRule>
    <cfRule type="expression" dxfId="8280" priority="10138">
      <formula>C184=""</formula>
    </cfRule>
    <cfRule type="expression" dxfId="8279" priority="10139">
      <formula>C184&lt;44.5</formula>
    </cfRule>
    <cfRule type="expression" dxfId="8278" priority="10140">
      <formula>C184&lt;60.5</formula>
    </cfRule>
    <cfRule type="expression" dxfId="8277" priority="10141">
      <formula>C184&lt;85.5</formula>
    </cfRule>
    <cfRule type="expression" dxfId="8276" priority="10153">
      <formula>C184&gt;85.5</formula>
    </cfRule>
  </conditionalFormatting>
  <conditionalFormatting sqref="C185">
    <cfRule type="expression" dxfId="8275" priority="10131">
      <formula>C185="**"</formula>
    </cfRule>
    <cfRule type="expression" dxfId="8274" priority="10132">
      <formula>C185=""</formula>
    </cfRule>
    <cfRule type="expression" dxfId="8273" priority="10133">
      <formula>C185&lt;44.5</formula>
    </cfRule>
    <cfRule type="expression" dxfId="8272" priority="10134">
      <formula>C185&lt;60.5</formula>
    </cfRule>
    <cfRule type="expression" dxfId="8271" priority="10135">
      <formula>C185&lt;85.5</formula>
    </cfRule>
    <cfRule type="expression" dxfId="8270" priority="10136">
      <formula>C185&gt;85.5</formula>
    </cfRule>
  </conditionalFormatting>
  <conditionalFormatting sqref="D181">
    <cfRule type="expression" dxfId="8269" priority="10124">
      <formula>D181="**"</formula>
    </cfRule>
    <cfRule type="expression" dxfId="8268" priority="10125">
      <formula>D181=""</formula>
    </cfRule>
    <cfRule type="expression" dxfId="8267" priority="10126">
      <formula>D181&lt;44.5</formula>
    </cfRule>
    <cfRule type="expression" dxfId="8266" priority="10127">
      <formula>D181&lt;60.5</formula>
    </cfRule>
    <cfRule type="expression" dxfId="8265" priority="10128">
      <formula>D181&lt;85.5</formula>
    </cfRule>
    <cfRule type="expression" dxfId="8264" priority="10129">
      <formula>D181&gt;85.5</formula>
    </cfRule>
  </conditionalFormatting>
  <conditionalFormatting sqref="D181:D183 D185">
    <cfRule type="expression" dxfId="8263" priority="10099">
      <formula>D$180=""</formula>
    </cfRule>
  </conditionalFormatting>
  <conditionalFormatting sqref="D182">
    <cfRule type="expression" dxfId="8262" priority="10117">
      <formula>D182="**"</formula>
    </cfRule>
    <cfRule type="expression" dxfId="8261" priority="10118">
      <formula>D182=""</formula>
    </cfRule>
    <cfRule type="expression" dxfId="8260" priority="10119">
      <formula>D182&lt;44.5</formula>
    </cfRule>
    <cfRule type="expression" dxfId="8259" priority="10120">
      <formula>D182&lt;60.5</formula>
    </cfRule>
    <cfRule type="expression" dxfId="8258" priority="10121">
      <formula>D182&lt;85.5</formula>
    </cfRule>
    <cfRule type="expression" dxfId="8257" priority="10123">
      <formula>D182&gt;85.5</formula>
    </cfRule>
  </conditionalFormatting>
  <conditionalFormatting sqref="D183">
    <cfRule type="expression" dxfId="8256" priority="10111">
      <formula>D183="**"</formula>
    </cfRule>
    <cfRule type="expression" dxfId="8255" priority="10112">
      <formula>D183=""</formula>
    </cfRule>
    <cfRule type="expression" dxfId="8254" priority="10113">
      <formula>D183&lt;44.5</formula>
    </cfRule>
    <cfRule type="expression" dxfId="8253" priority="10114">
      <formula>D183&lt;60.5</formula>
    </cfRule>
    <cfRule type="expression" dxfId="8252" priority="10115">
      <formula>D183&lt;85.5</formula>
    </cfRule>
    <cfRule type="expression" dxfId="8251" priority="10116">
      <formula>D183&gt;85.5</formula>
    </cfRule>
  </conditionalFormatting>
  <conditionalFormatting sqref="D185">
    <cfRule type="expression" dxfId="8250" priority="10100">
      <formula>D185="**"</formula>
    </cfRule>
    <cfRule type="expression" dxfId="8249" priority="10101">
      <formula>D185=""</formula>
    </cfRule>
    <cfRule type="expression" dxfId="8248" priority="10102">
      <formula>D185&lt;44.5</formula>
    </cfRule>
    <cfRule type="expression" dxfId="8247" priority="10103">
      <formula>D185&lt;60.5</formula>
    </cfRule>
    <cfRule type="expression" dxfId="8246" priority="10104">
      <formula>D185&lt;85.5</formula>
    </cfRule>
    <cfRule type="expression" dxfId="8245" priority="10105">
      <formula>D185&gt;85.5</formula>
    </cfRule>
  </conditionalFormatting>
  <conditionalFormatting sqref="E181">
    <cfRule type="expression" dxfId="8244" priority="10093">
      <formula>E181="**"</formula>
    </cfRule>
    <cfRule type="expression" dxfId="8243" priority="10094">
      <formula>E181=""</formula>
    </cfRule>
    <cfRule type="expression" dxfId="8242" priority="10095">
      <formula>E181&lt;44.5</formula>
    </cfRule>
    <cfRule type="expression" dxfId="8241" priority="10096">
      <formula>E181&lt;60.5</formula>
    </cfRule>
    <cfRule type="expression" dxfId="8240" priority="10097">
      <formula>E181&lt;85.5</formula>
    </cfRule>
    <cfRule type="expression" dxfId="8239" priority="10098">
      <formula>E181&gt;85.5</formula>
    </cfRule>
  </conditionalFormatting>
  <conditionalFormatting sqref="E181:E183 E185">
    <cfRule type="expression" dxfId="8238" priority="10068">
      <formula>E$180=""</formula>
    </cfRule>
  </conditionalFormatting>
  <conditionalFormatting sqref="E182">
    <cfRule type="expression" dxfId="8237" priority="10086">
      <formula>E182="**"</formula>
    </cfRule>
    <cfRule type="expression" dxfId="8236" priority="10087">
      <formula>E182=""</formula>
    </cfRule>
    <cfRule type="expression" dxfId="8235" priority="10088">
      <formula>E182&lt;44.5</formula>
    </cfRule>
    <cfRule type="expression" dxfId="8234" priority="10089">
      <formula>E182&lt;60.5</formula>
    </cfRule>
    <cfRule type="expression" dxfId="8233" priority="10090">
      <formula>E182&lt;85.5</formula>
    </cfRule>
    <cfRule type="expression" dxfId="8232" priority="10092">
      <formula>E182&gt;85.5</formula>
    </cfRule>
  </conditionalFormatting>
  <conditionalFormatting sqref="E183">
    <cfRule type="expression" dxfId="8231" priority="10080">
      <formula>E183="**"</formula>
    </cfRule>
    <cfRule type="expression" dxfId="8230" priority="10081">
      <formula>E183=""</formula>
    </cfRule>
    <cfRule type="expression" dxfId="8229" priority="10082">
      <formula>E183&lt;44.5</formula>
    </cfRule>
    <cfRule type="expression" dxfId="8228" priority="10083">
      <formula>E183&lt;60.5</formula>
    </cfRule>
    <cfRule type="expression" dxfId="8227" priority="10084">
      <formula>E183&lt;85.5</formula>
    </cfRule>
    <cfRule type="expression" dxfId="8226" priority="10085">
      <formula>E183&gt;85.5</formula>
    </cfRule>
  </conditionalFormatting>
  <conditionalFormatting sqref="E185">
    <cfRule type="expression" dxfId="8225" priority="10069">
      <formula>E185="**"</formula>
    </cfRule>
    <cfRule type="expression" dxfId="8224" priority="10070">
      <formula>E185=""</formula>
    </cfRule>
    <cfRule type="expression" dxfId="8223" priority="10071">
      <formula>E185&lt;44.5</formula>
    </cfRule>
    <cfRule type="expression" dxfId="8222" priority="10072">
      <formula>E185&lt;60.5</formula>
    </cfRule>
    <cfRule type="expression" dxfId="8221" priority="10073">
      <formula>E185&lt;85.5</formula>
    </cfRule>
    <cfRule type="expression" dxfId="8220" priority="10074">
      <formula>E185&gt;85.5</formula>
    </cfRule>
  </conditionalFormatting>
  <conditionalFormatting sqref="F181">
    <cfRule type="expression" dxfId="8219" priority="10062">
      <formula>F181="**"</formula>
    </cfRule>
    <cfRule type="expression" dxfId="8218" priority="10063">
      <formula>F181=""</formula>
    </cfRule>
    <cfRule type="expression" dxfId="8217" priority="10064">
      <formula>F181&lt;44.5</formula>
    </cfRule>
    <cfRule type="expression" dxfId="8216" priority="10065">
      <formula>F181&lt;60.5</formula>
    </cfRule>
    <cfRule type="expression" dxfId="8215" priority="10066">
      <formula>F181&lt;85.5</formula>
    </cfRule>
    <cfRule type="expression" dxfId="8214" priority="10067">
      <formula>F181&gt;85.5</formula>
    </cfRule>
  </conditionalFormatting>
  <conditionalFormatting sqref="F181:F183 F185">
    <cfRule type="expression" dxfId="8213" priority="10037">
      <formula>F$180=""</formula>
    </cfRule>
  </conditionalFormatting>
  <conditionalFormatting sqref="F182">
    <cfRule type="expression" dxfId="8212" priority="10055">
      <formula>F182="**"</formula>
    </cfRule>
    <cfRule type="expression" dxfId="8211" priority="10056">
      <formula>F182=""</formula>
    </cfRule>
    <cfRule type="expression" dxfId="8210" priority="10057">
      <formula>F182&lt;44.5</formula>
    </cfRule>
    <cfRule type="expression" dxfId="8209" priority="10058">
      <formula>F182&lt;60.5</formula>
    </cfRule>
    <cfRule type="expression" dxfId="8208" priority="10059">
      <formula>F182&lt;85.5</formula>
    </cfRule>
    <cfRule type="expression" dxfId="8207" priority="10061">
      <formula>F182&gt;85.5</formula>
    </cfRule>
  </conditionalFormatting>
  <conditionalFormatting sqref="F183">
    <cfRule type="expression" dxfId="8206" priority="10049">
      <formula>F183="**"</formula>
    </cfRule>
    <cfRule type="expression" dxfId="8205" priority="10050">
      <formula>F183=""</formula>
    </cfRule>
    <cfRule type="expression" dxfId="8204" priority="10051">
      <formula>F183&lt;44.5</formula>
    </cfRule>
    <cfRule type="expression" dxfId="8203" priority="10052">
      <formula>F183&lt;60.5</formula>
    </cfRule>
    <cfRule type="expression" dxfId="8202" priority="10053">
      <formula>F183&lt;85.5</formula>
    </cfRule>
    <cfRule type="expression" dxfId="8201" priority="10054">
      <formula>F183&gt;85.5</formula>
    </cfRule>
  </conditionalFormatting>
  <conditionalFormatting sqref="F185">
    <cfRule type="expression" dxfId="8200" priority="10038">
      <formula>F185="**"</formula>
    </cfRule>
    <cfRule type="expression" dxfId="8199" priority="10039">
      <formula>F185=""</formula>
    </cfRule>
    <cfRule type="expression" dxfId="8198" priority="10040">
      <formula>F185&lt;44.5</formula>
    </cfRule>
    <cfRule type="expression" dxfId="8197" priority="10041">
      <formula>F185&lt;60.5</formula>
    </cfRule>
    <cfRule type="expression" dxfId="8196" priority="10042">
      <formula>F185&lt;85.5</formula>
    </cfRule>
    <cfRule type="expression" dxfId="8195" priority="10043">
      <formula>F185&gt;85.5</formula>
    </cfRule>
  </conditionalFormatting>
  <conditionalFormatting sqref="G181">
    <cfRule type="expression" dxfId="8194" priority="10031">
      <formula>G181="**"</formula>
    </cfRule>
    <cfRule type="expression" dxfId="8193" priority="10032">
      <formula>G181=""</formula>
    </cfRule>
    <cfRule type="expression" dxfId="8192" priority="10033">
      <formula>G181&lt;44.5</formula>
    </cfRule>
    <cfRule type="expression" dxfId="8191" priority="10034">
      <formula>G181&lt;60.5</formula>
    </cfRule>
    <cfRule type="expression" dxfId="8190" priority="10035">
      <formula>G181&lt;85.5</formula>
    </cfRule>
    <cfRule type="expression" dxfId="8189" priority="10036">
      <formula>G181&gt;85.5</formula>
    </cfRule>
  </conditionalFormatting>
  <conditionalFormatting sqref="G181:G183 G185">
    <cfRule type="expression" dxfId="8188" priority="10006">
      <formula>G$180=""</formula>
    </cfRule>
  </conditionalFormatting>
  <conditionalFormatting sqref="G182">
    <cfRule type="expression" dxfId="8187" priority="10024">
      <formula>G182="**"</formula>
    </cfRule>
    <cfRule type="expression" dxfId="8186" priority="10025">
      <formula>G182=""</formula>
    </cfRule>
    <cfRule type="expression" dxfId="8185" priority="10026">
      <formula>G182&lt;44.5</formula>
    </cfRule>
    <cfRule type="expression" dxfId="8184" priority="10027">
      <formula>G182&lt;60.5</formula>
    </cfRule>
    <cfRule type="expression" dxfId="8183" priority="10028">
      <formula>G182&lt;85.5</formula>
    </cfRule>
    <cfRule type="expression" dxfId="8182" priority="10030">
      <formula>G182&gt;85.5</formula>
    </cfRule>
  </conditionalFormatting>
  <conditionalFormatting sqref="G183">
    <cfRule type="expression" dxfId="8181" priority="10018">
      <formula>G183="**"</formula>
    </cfRule>
    <cfRule type="expression" dxfId="8180" priority="10019">
      <formula>G183=""</formula>
    </cfRule>
    <cfRule type="expression" dxfId="8179" priority="10020">
      <formula>G183&lt;44.5</formula>
    </cfRule>
    <cfRule type="expression" dxfId="8178" priority="10021">
      <formula>G183&lt;60.5</formula>
    </cfRule>
    <cfRule type="expression" dxfId="8177" priority="10022">
      <formula>G183&lt;85.5</formula>
    </cfRule>
    <cfRule type="expression" dxfId="8176" priority="10023">
      <formula>G183&gt;85.5</formula>
    </cfRule>
  </conditionalFormatting>
  <conditionalFormatting sqref="G185">
    <cfRule type="expression" dxfId="8175" priority="10007">
      <formula>G185="**"</formula>
    </cfRule>
    <cfRule type="expression" dxfId="8174" priority="10008">
      <formula>G185=""</formula>
    </cfRule>
    <cfRule type="expression" dxfId="8173" priority="10009">
      <formula>G185&lt;44.5</formula>
    </cfRule>
    <cfRule type="expression" dxfId="8172" priority="10010">
      <formula>G185&lt;60.5</formula>
    </cfRule>
    <cfRule type="expression" dxfId="8171" priority="10011">
      <formula>G185&lt;85.5</formula>
    </cfRule>
    <cfRule type="expression" dxfId="8170" priority="10012">
      <formula>G185&gt;85.5</formula>
    </cfRule>
  </conditionalFormatting>
  <conditionalFormatting sqref="H181">
    <cfRule type="expression" dxfId="8169" priority="10000">
      <formula>H181="**"</formula>
    </cfRule>
    <cfRule type="expression" dxfId="8168" priority="10001">
      <formula>H181=""</formula>
    </cfRule>
    <cfRule type="expression" dxfId="8167" priority="10002">
      <formula>H181&lt;44.5</formula>
    </cfRule>
    <cfRule type="expression" dxfId="8166" priority="10003">
      <formula>H181&lt;60.5</formula>
    </cfRule>
    <cfRule type="expression" dxfId="8165" priority="10004">
      <formula>H181&lt;85.5</formula>
    </cfRule>
    <cfRule type="expression" dxfId="8164" priority="10005">
      <formula>H181&gt;85.5</formula>
    </cfRule>
  </conditionalFormatting>
  <conditionalFormatting sqref="H181:H183 H185">
    <cfRule type="expression" dxfId="8163" priority="9975">
      <formula>H$180=""</formula>
    </cfRule>
  </conditionalFormatting>
  <conditionalFormatting sqref="H182">
    <cfRule type="expression" dxfId="8162" priority="9993">
      <formula>H182="**"</formula>
    </cfRule>
    <cfRule type="expression" dxfId="8161" priority="9994">
      <formula>H182=""</formula>
    </cfRule>
    <cfRule type="expression" dxfId="8160" priority="9995">
      <formula>H182&lt;44.5</formula>
    </cfRule>
    <cfRule type="expression" dxfId="8159" priority="9996">
      <formula>H182&lt;60.5</formula>
    </cfRule>
    <cfRule type="expression" dxfId="8158" priority="9997">
      <formula>H182&lt;85.5</formula>
    </cfRule>
    <cfRule type="expression" dxfId="8157" priority="9999">
      <formula>H182&gt;85.5</formula>
    </cfRule>
  </conditionalFormatting>
  <conditionalFormatting sqref="H183">
    <cfRule type="expression" dxfId="8156" priority="9987">
      <formula>H183="**"</formula>
    </cfRule>
    <cfRule type="expression" dxfId="8155" priority="9988">
      <formula>H183=""</formula>
    </cfRule>
    <cfRule type="expression" dxfId="8154" priority="9989">
      <formula>H183&lt;44.5</formula>
    </cfRule>
    <cfRule type="expression" dxfId="8153" priority="9990">
      <formula>H183&lt;60.5</formula>
    </cfRule>
    <cfRule type="expression" dxfId="8152" priority="9991">
      <formula>H183&lt;85.5</formula>
    </cfRule>
    <cfRule type="expression" dxfId="8151" priority="9992">
      <formula>H183&gt;85.5</formula>
    </cfRule>
  </conditionalFormatting>
  <conditionalFormatting sqref="H185">
    <cfRule type="expression" dxfId="8150" priority="9976">
      <formula>H185="**"</formula>
    </cfRule>
    <cfRule type="expression" dxfId="8149" priority="9977">
      <formula>H185=""</formula>
    </cfRule>
    <cfRule type="expression" dxfId="8148" priority="9978">
      <formula>H185&lt;44.5</formula>
    </cfRule>
    <cfRule type="expression" dxfId="8147" priority="9979">
      <formula>H185&lt;60.5</formula>
    </cfRule>
    <cfRule type="expression" dxfId="8146" priority="9980">
      <formula>H185&lt;85.5</formula>
    </cfRule>
    <cfRule type="expression" dxfId="8145" priority="9981">
      <formula>H185&gt;85.5</formula>
    </cfRule>
  </conditionalFormatting>
  <conditionalFormatting sqref="I181">
    <cfRule type="expression" dxfId="8144" priority="9969">
      <formula>I181="**"</formula>
    </cfRule>
    <cfRule type="expression" dxfId="8143" priority="9970">
      <formula>I181=""</formula>
    </cfRule>
    <cfRule type="expression" dxfId="8142" priority="9971">
      <formula>I181&lt;44.5</formula>
    </cfRule>
    <cfRule type="expression" dxfId="8141" priority="9972">
      <formula>I181&lt;60.5</formula>
    </cfRule>
    <cfRule type="expression" dxfId="8140" priority="9973">
      <formula>I181&lt;85.5</formula>
    </cfRule>
    <cfRule type="expression" dxfId="8139" priority="9974">
      <formula>I181&gt;85.5</formula>
    </cfRule>
  </conditionalFormatting>
  <conditionalFormatting sqref="I181:I183 I185">
    <cfRule type="expression" dxfId="8138" priority="9944">
      <formula>I$180=""</formula>
    </cfRule>
  </conditionalFormatting>
  <conditionalFormatting sqref="I182">
    <cfRule type="expression" dxfId="8137" priority="9962">
      <formula>I182="**"</formula>
    </cfRule>
    <cfRule type="expression" dxfId="8136" priority="9963">
      <formula>I182=""</formula>
    </cfRule>
    <cfRule type="expression" dxfId="8135" priority="9964">
      <formula>I182&lt;44.5</formula>
    </cfRule>
    <cfRule type="expression" dxfId="8134" priority="9965">
      <formula>I182&lt;60.5</formula>
    </cfRule>
    <cfRule type="expression" dxfId="8133" priority="9966">
      <formula>I182&lt;85.5</formula>
    </cfRule>
    <cfRule type="expression" dxfId="8132" priority="9968">
      <formula>I182&gt;85.5</formula>
    </cfRule>
  </conditionalFormatting>
  <conditionalFormatting sqref="I183">
    <cfRule type="expression" dxfId="8131" priority="9956">
      <formula>I183="**"</formula>
    </cfRule>
    <cfRule type="expression" dxfId="8130" priority="9957">
      <formula>I183=""</formula>
    </cfRule>
    <cfRule type="expression" dxfId="8129" priority="9958">
      <formula>I183&lt;44.5</formula>
    </cfRule>
    <cfRule type="expression" dxfId="8128" priority="9959">
      <formula>I183&lt;60.5</formula>
    </cfRule>
    <cfRule type="expression" dxfId="8127" priority="9960">
      <formula>I183&lt;85.5</formula>
    </cfRule>
    <cfRule type="expression" dxfId="8126" priority="9961">
      <formula>I183&gt;85.5</formula>
    </cfRule>
  </conditionalFormatting>
  <conditionalFormatting sqref="I185">
    <cfRule type="expression" dxfId="8125" priority="9945">
      <formula>I185="**"</formula>
    </cfRule>
    <cfRule type="expression" dxfId="8124" priority="9946">
      <formula>I185=""</formula>
    </cfRule>
    <cfRule type="expression" dxfId="8123" priority="9947">
      <formula>I185&lt;44.5</formula>
    </cfRule>
    <cfRule type="expression" dxfId="8122" priority="9948">
      <formula>I185&lt;60.5</formula>
    </cfRule>
    <cfRule type="expression" dxfId="8121" priority="9949">
      <formula>I185&lt;85.5</formula>
    </cfRule>
    <cfRule type="expression" dxfId="8120" priority="9950">
      <formula>I185&gt;85.5</formula>
    </cfRule>
  </conditionalFormatting>
  <conditionalFormatting sqref="J181">
    <cfRule type="expression" dxfId="8119" priority="9938">
      <formula>J181="**"</formula>
    </cfRule>
    <cfRule type="expression" dxfId="8118" priority="9939">
      <formula>J181=""</formula>
    </cfRule>
    <cfRule type="expression" dxfId="8117" priority="9940">
      <formula>J181&lt;44.5</formula>
    </cfRule>
    <cfRule type="expression" dxfId="8116" priority="9941">
      <formula>J181&lt;60.5</formula>
    </cfRule>
    <cfRule type="expression" dxfId="8115" priority="9942">
      <formula>J181&lt;85.5</formula>
    </cfRule>
    <cfRule type="expression" dxfId="8114" priority="9943">
      <formula>J181&gt;85.5</formula>
    </cfRule>
  </conditionalFormatting>
  <conditionalFormatting sqref="J181:J183 J185">
    <cfRule type="expression" dxfId="8113" priority="9913">
      <formula>J$180=""</formula>
    </cfRule>
  </conditionalFormatting>
  <conditionalFormatting sqref="J182">
    <cfRule type="expression" dxfId="8112" priority="9931">
      <formula>J182="**"</formula>
    </cfRule>
    <cfRule type="expression" dxfId="8111" priority="9932">
      <formula>J182=""</formula>
    </cfRule>
    <cfRule type="expression" dxfId="8110" priority="9933">
      <formula>J182&lt;44.5</formula>
    </cfRule>
    <cfRule type="expression" dxfId="8109" priority="9934">
      <formula>J182&lt;60.5</formula>
    </cfRule>
    <cfRule type="expression" dxfId="8108" priority="9935">
      <formula>J182&lt;85.5</formula>
    </cfRule>
    <cfRule type="expression" dxfId="8107" priority="9937">
      <formula>J182&gt;85.5</formula>
    </cfRule>
  </conditionalFormatting>
  <conditionalFormatting sqref="J183">
    <cfRule type="expression" dxfId="8106" priority="9925">
      <formula>J183="**"</formula>
    </cfRule>
    <cfRule type="expression" dxfId="8105" priority="9926">
      <formula>J183=""</formula>
    </cfRule>
    <cfRule type="expression" dxfId="8104" priority="9927">
      <formula>J183&lt;44.5</formula>
    </cfRule>
    <cfRule type="expression" dxfId="8103" priority="9928">
      <formula>J183&lt;60.5</formula>
    </cfRule>
    <cfRule type="expression" dxfId="8102" priority="9929">
      <formula>J183&lt;85.5</formula>
    </cfRule>
    <cfRule type="expression" dxfId="8101" priority="9930">
      <formula>J183&gt;85.5</formula>
    </cfRule>
  </conditionalFormatting>
  <conditionalFormatting sqref="J185">
    <cfRule type="expression" dxfId="8100" priority="9914">
      <formula>J185="**"</formula>
    </cfRule>
    <cfRule type="expression" dxfId="8099" priority="9915">
      <formula>J185=""</formula>
    </cfRule>
    <cfRule type="expression" dxfId="8098" priority="9916">
      <formula>J185&lt;44.5</formula>
    </cfRule>
    <cfRule type="expression" dxfId="8097" priority="9917">
      <formula>J185&lt;60.5</formula>
    </cfRule>
    <cfRule type="expression" dxfId="8096" priority="9918">
      <formula>J185&lt;85.5</formula>
    </cfRule>
    <cfRule type="expression" dxfId="8095" priority="9919">
      <formula>J185&gt;85.5</formula>
    </cfRule>
  </conditionalFormatting>
  <conditionalFormatting sqref="K181">
    <cfRule type="expression" dxfId="8094" priority="9907">
      <formula>K181="**"</formula>
    </cfRule>
    <cfRule type="expression" dxfId="8093" priority="9908">
      <formula>K181=""</formula>
    </cfRule>
    <cfRule type="expression" dxfId="8092" priority="9909">
      <formula>K181&lt;44.5</formula>
    </cfRule>
    <cfRule type="expression" dxfId="8091" priority="9910">
      <formula>K181&lt;60.5</formula>
    </cfRule>
    <cfRule type="expression" dxfId="8090" priority="9911">
      <formula>K181&lt;85.5</formula>
    </cfRule>
    <cfRule type="expression" dxfId="8089" priority="9912">
      <formula>K181&gt;85.5</formula>
    </cfRule>
  </conditionalFormatting>
  <conditionalFormatting sqref="K181:K183 K185">
    <cfRule type="expression" dxfId="8088" priority="9882">
      <formula>K$180=""</formula>
    </cfRule>
  </conditionalFormatting>
  <conditionalFormatting sqref="K182">
    <cfRule type="expression" dxfId="8087" priority="9900">
      <formula>K182="**"</formula>
    </cfRule>
    <cfRule type="expression" dxfId="8086" priority="9901">
      <formula>K182=""</formula>
    </cfRule>
    <cfRule type="expression" dxfId="8085" priority="9902">
      <formula>K182&lt;44.5</formula>
    </cfRule>
    <cfRule type="expression" dxfId="8084" priority="9903">
      <formula>K182&lt;60.5</formula>
    </cfRule>
    <cfRule type="expression" dxfId="8083" priority="9904">
      <formula>K182&lt;85.5</formula>
    </cfRule>
    <cfRule type="expression" dxfId="8082" priority="9906">
      <formula>K182&gt;85.5</formula>
    </cfRule>
  </conditionalFormatting>
  <conditionalFormatting sqref="K183">
    <cfRule type="expression" dxfId="8081" priority="9894">
      <formula>K183="**"</formula>
    </cfRule>
    <cfRule type="expression" dxfId="8080" priority="9895">
      <formula>K183=""</formula>
    </cfRule>
    <cfRule type="expression" dxfId="8079" priority="9896">
      <formula>K183&lt;44.5</formula>
    </cfRule>
    <cfRule type="expression" dxfId="8078" priority="9897">
      <formula>K183&lt;60.5</formula>
    </cfRule>
    <cfRule type="expression" dxfId="8077" priority="9898">
      <formula>K183&lt;85.5</formula>
    </cfRule>
    <cfRule type="expression" dxfId="8076" priority="9899">
      <formula>K183&gt;85.5</formula>
    </cfRule>
  </conditionalFormatting>
  <conditionalFormatting sqref="K185">
    <cfRule type="expression" dxfId="8075" priority="9883">
      <formula>K185="**"</formula>
    </cfRule>
    <cfRule type="expression" dxfId="8074" priority="9884">
      <formula>K185=""</formula>
    </cfRule>
    <cfRule type="expression" dxfId="8073" priority="9885">
      <formula>K185&lt;44.5</formula>
    </cfRule>
    <cfRule type="expression" dxfId="8072" priority="9886">
      <formula>K185&lt;60.5</formula>
    </cfRule>
    <cfRule type="expression" dxfId="8071" priority="9887">
      <formula>K185&lt;85.5</formula>
    </cfRule>
    <cfRule type="expression" dxfId="8070" priority="9888">
      <formula>K185&gt;85.5</formula>
    </cfRule>
  </conditionalFormatting>
  <conditionalFormatting sqref="L181">
    <cfRule type="expression" dxfId="8069" priority="9876">
      <formula>L181="**"</formula>
    </cfRule>
    <cfRule type="expression" dxfId="8068" priority="9877">
      <formula>L181=""</formula>
    </cfRule>
    <cfRule type="expression" dxfId="8067" priority="9878">
      <formula>L181&lt;44.5</formula>
    </cfRule>
    <cfRule type="expression" dxfId="8066" priority="9879">
      <formula>L181&lt;60.5</formula>
    </cfRule>
    <cfRule type="expression" dxfId="8065" priority="9880">
      <formula>L181&lt;85.5</formula>
    </cfRule>
    <cfRule type="expression" dxfId="8064" priority="9881">
      <formula>L181&gt;85.5</formula>
    </cfRule>
  </conditionalFormatting>
  <conditionalFormatting sqref="L181:L183 L185">
    <cfRule type="expression" dxfId="8063" priority="9851">
      <formula>L$180=""</formula>
    </cfRule>
  </conditionalFormatting>
  <conditionalFormatting sqref="L182">
    <cfRule type="expression" dxfId="8062" priority="9869">
      <formula>L182="**"</formula>
    </cfRule>
    <cfRule type="expression" dxfId="8061" priority="9870">
      <formula>L182=""</formula>
    </cfRule>
    <cfRule type="expression" dxfId="8060" priority="9871">
      <formula>L182&lt;44.5</formula>
    </cfRule>
    <cfRule type="expression" dxfId="8059" priority="9872">
      <formula>L182&lt;60.5</formula>
    </cfRule>
    <cfRule type="expression" dxfId="8058" priority="9873">
      <formula>L182&lt;85.5</formula>
    </cfRule>
    <cfRule type="expression" dxfId="8057" priority="9875">
      <formula>L182&gt;85.5</formula>
    </cfRule>
  </conditionalFormatting>
  <conditionalFormatting sqref="L183">
    <cfRule type="expression" dxfId="8056" priority="9863">
      <formula>L183="**"</formula>
    </cfRule>
    <cfRule type="expression" dxfId="8055" priority="9864">
      <formula>L183=""</formula>
    </cfRule>
    <cfRule type="expression" dxfId="8054" priority="9865">
      <formula>L183&lt;44.5</formula>
    </cfRule>
    <cfRule type="expression" dxfId="8053" priority="9866">
      <formula>L183&lt;60.5</formula>
    </cfRule>
    <cfRule type="expression" dxfId="8052" priority="9867">
      <formula>L183&lt;85.5</formula>
    </cfRule>
    <cfRule type="expression" dxfId="8051" priority="9868">
      <formula>L183&gt;85.5</formula>
    </cfRule>
  </conditionalFormatting>
  <conditionalFormatting sqref="L185">
    <cfRule type="expression" dxfId="8050" priority="9852">
      <formula>L185="**"</formula>
    </cfRule>
    <cfRule type="expression" dxfId="8049" priority="9853">
      <formula>L185=""</formula>
    </cfRule>
    <cfRule type="expression" dxfId="8048" priority="9854">
      <formula>L185&lt;44.5</formula>
    </cfRule>
    <cfRule type="expression" dxfId="8047" priority="9855">
      <formula>L185&lt;60.5</formula>
    </cfRule>
    <cfRule type="expression" dxfId="8046" priority="9856">
      <formula>L185&lt;85.5</formula>
    </cfRule>
    <cfRule type="expression" dxfId="8045" priority="9857">
      <formula>L185&gt;85.5</formula>
    </cfRule>
  </conditionalFormatting>
  <conditionalFormatting sqref="C211">
    <cfRule type="expression" dxfId="8044" priority="9845">
      <formula>C211="**"</formula>
    </cfRule>
    <cfRule type="expression" dxfId="8043" priority="9846">
      <formula>C211=""</formula>
    </cfRule>
    <cfRule type="expression" dxfId="8042" priority="9847">
      <formula>C211&lt;44.5</formula>
    </cfRule>
    <cfRule type="expression" dxfId="8041" priority="9848">
      <formula>C211&lt;60.5</formula>
    </cfRule>
    <cfRule type="expression" dxfId="8040" priority="9849">
      <formula>C211&lt;85.5</formula>
    </cfRule>
    <cfRule type="expression" dxfId="8039" priority="9850">
      <formula>C211&gt;85.5</formula>
    </cfRule>
  </conditionalFormatting>
  <conditionalFormatting sqref="C211:C215">
    <cfRule type="expression" dxfId="8038" priority="9820">
      <formula>C$210=""</formula>
    </cfRule>
  </conditionalFormatting>
  <conditionalFormatting sqref="C212">
    <cfRule type="expression" dxfId="8037" priority="9838">
      <formula>C212="**"</formula>
    </cfRule>
    <cfRule type="expression" dxfId="8036" priority="9839">
      <formula>C212=""</formula>
    </cfRule>
    <cfRule type="expression" dxfId="8035" priority="9840">
      <formula>C212&lt;44.5</formula>
    </cfRule>
    <cfRule type="expression" dxfId="8034" priority="9841">
      <formula>C212&lt;60.5</formula>
    </cfRule>
    <cfRule type="expression" dxfId="8033" priority="9842">
      <formula>C212&lt;85.5</formula>
    </cfRule>
    <cfRule type="expression" dxfId="8032" priority="9844">
      <formula>C212&gt;85.5</formula>
    </cfRule>
  </conditionalFormatting>
  <conditionalFormatting sqref="C213">
    <cfRule type="expression" dxfId="8031" priority="9832">
      <formula>C213="**"</formula>
    </cfRule>
    <cfRule type="expression" dxfId="8030" priority="9833">
      <formula>C213=""</formula>
    </cfRule>
    <cfRule type="expression" dxfId="8029" priority="9834">
      <formula>C213&lt;44.5</formula>
    </cfRule>
    <cfRule type="expression" dxfId="8028" priority="9835">
      <formula>C213&lt;60.5</formula>
    </cfRule>
    <cfRule type="expression" dxfId="8027" priority="9836">
      <formula>C213&lt;85.5</formula>
    </cfRule>
    <cfRule type="expression" dxfId="8026" priority="9837">
      <formula>C213&gt;85.5</formula>
    </cfRule>
  </conditionalFormatting>
  <conditionalFormatting sqref="C214">
    <cfRule type="expression" dxfId="8025" priority="9827">
      <formula>C214="**"</formula>
    </cfRule>
    <cfRule type="expression" dxfId="8024" priority="9828">
      <formula>C214=""</formula>
    </cfRule>
    <cfRule type="expression" dxfId="8023" priority="9829">
      <formula>C214&lt;44.5</formula>
    </cfRule>
    <cfRule type="expression" dxfId="8022" priority="9830">
      <formula>C214&lt;60.5</formula>
    </cfRule>
    <cfRule type="expression" dxfId="8021" priority="9831">
      <formula>C214&lt;85.5</formula>
    </cfRule>
    <cfRule type="expression" dxfId="8020" priority="9843">
      <formula>C214&gt;85.5</formula>
    </cfRule>
  </conditionalFormatting>
  <conditionalFormatting sqref="C215">
    <cfRule type="expression" dxfId="8019" priority="9821">
      <formula>C215="**"</formula>
    </cfRule>
    <cfRule type="expression" dxfId="8018" priority="9822">
      <formula>C215=""</formula>
    </cfRule>
    <cfRule type="expression" dxfId="8017" priority="9823">
      <formula>C215&lt;44.5</formula>
    </cfRule>
    <cfRule type="expression" dxfId="8016" priority="9824">
      <formula>C215&lt;60.5</formula>
    </cfRule>
    <cfRule type="expression" dxfId="8015" priority="9825">
      <formula>C215&lt;85.5</formula>
    </cfRule>
    <cfRule type="expression" dxfId="8014" priority="9826">
      <formula>C215&gt;85.5</formula>
    </cfRule>
  </conditionalFormatting>
  <conditionalFormatting sqref="D211">
    <cfRule type="expression" dxfId="8013" priority="9814">
      <formula>D211="**"</formula>
    </cfRule>
    <cfRule type="expression" dxfId="8012" priority="9815">
      <formula>D211=""</formula>
    </cfRule>
    <cfRule type="expression" dxfId="8011" priority="9816">
      <formula>D211&lt;44.5</formula>
    </cfRule>
    <cfRule type="expression" dxfId="8010" priority="9817">
      <formula>D211&lt;60.5</formula>
    </cfRule>
    <cfRule type="expression" dxfId="8009" priority="9818">
      <formula>D211&lt;85.5</formula>
    </cfRule>
    <cfRule type="expression" dxfId="8008" priority="9819">
      <formula>D211&gt;85.5</formula>
    </cfRule>
  </conditionalFormatting>
  <conditionalFormatting sqref="D211:D213 D215">
    <cfRule type="expression" dxfId="8007" priority="9789">
      <formula>D$210=""</formula>
    </cfRule>
  </conditionalFormatting>
  <conditionalFormatting sqref="D212">
    <cfRule type="expression" dxfId="8006" priority="9807">
      <formula>D212="**"</formula>
    </cfRule>
    <cfRule type="expression" dxfId="8005" priority="9808">
      <formula>D212=""</formula>
    </cfRule>
    <cfRule type="expression" dxfId="8004" priority="9809">
      <formula>D212&lt;44.5</formula>
    </cfRule>
    <cfRule type="expression" dxfId="8003" priority="9810">
      <formula>D212&lt;60.5</formula>
    </cfRule>
    <cfRule type="expression" dxfId="8002" priority="9811">
      <formula>D212&lt;85.5</formula>
    </cfRule>
    <cfRule type="expression" dxfId="8001" priority="9813">
      <formula>D212&gt;85.5</formula>
    </cfRule>
  </conditionalFormatting>
  <conditionalFormatting sqref="D213">
    <cfRule type="expression" dxfId="8000" priority="9801">
      <formula>D213="**"</formula>
    </cfRule>
    <cfRule type="expression" dxfId="7999" priority="9802">
      <formula>D213=""</formula>
    </cfRule>
    <cfRule type="expression" dxfId="7998" priority="9803">
      <formula>D213&lt;44.5</formula>
    </cfRule>
    <cfRule type="expression" dxfId="7997" priority="9804">
      <formula>D213&lt;60.5</formula>
    </cfRule>
    <cfRule type="expression" dxfId="7996" priority="9805">
      <formula>D213&lt;85.5</formula>
    </cfRule>
    <cfRule type="expression" dxfId="7995" priority="9806">
      <formula>D213&gt;85.5</formula>
    </cfRule>
  </conditionalFormatting>
  <conditionalFormatting sqref="D215">
    <cfRule type="expression" dxfId="7994" priority="9790">
      <formula>D215="**"</formula>
    </cfRule>
    <cfRule type="expression" dxfId="7993" priority="9791">
      <formula>D215=""</formula>
    </cfRule>
    <cfRule type="expression" dxfId="7992" priority="9792">
      <formula>D215&lt;44.5</formula>
    </cfRule>
    <cfRule type="expression" dxfId="7991" priority="9793">
      <formula>D215&lt;60.5</formula>
    </cfRule>
    <cfRule type="expression" dxfId="7990" priority="9794">
      <formula>D215&lt;85.5</formula>
    </cfRule>
    <cfRule type="expression" dxfId="7989" priority="9795">
      <formula>D215&gt;85.5</formula>
    </cfRule>
  </conditionalFormatting>
  <conditionalFormatting sqref="E211">
    <cfRule type="expression" dxfId="7988" priority="9783">
      <formula>E211="**"</formula>
    </cfRule>
    <cfRule type="expression" dxfId="7987" priority="9784">
      <formula>E211=""</formula>
    </cfRule>
    <cfRule type="expression" dxfId="7986" priority="9785">
      <formula>E211&lt;44.5</formula>
    </cfRule>
    <cfRule type="expression" dxfId="7985" priority="9786">
      <formula>E211&lt;60.5</formula>
    </cfRule>
    <cfRule type="expression" dxfId="7984" priority="9787">
      <formula>E211&lt;85.5</formula>
    </cfRule>
    <cfRule type="expression" dxfId="7983" priority="9788">
      <formula>E211&gt;85.5</formula>
    </cfRule>
  </conditionalFormatting>
  <conditionalFormatting sqref="E211:E213 E215">
    <cfRule type="expression" dxfId="7982" priority="9758">
      <formula>E$210=""</formula>
    </cfRule>
  </conditionalFormatting>
  <conditionalFormatting sqref="E212">
    <cfRule type="expression" dxfId="7981" priority="9776">
      <formula>E212="**"</formula>
    </cfRule>
    <cfRule type="expression" dxfId="7980" priority="9777">
      <formula>E212=""</formula>
    </cfRule>
    <cfRule type="expression" dxfId="7979" priority="9778">
      <formula>E212&lt;44.5</formula>
    </cfRule>
    <cfRule type="expression" dxfId="7978" priority="9779">
      <formula>E212&lt;60.5</formula>
    </cfRule>
    <cfRule type="expression" dxfId="7977" priority="9780">
      <formula>E212&lt;85.5</formula>
    </cfRule>
    <cfRule type="expression" dxfId="7976" priority="9782">
      <formula>E212&gt;85.5</formula>
    </cfRule>
  </conditionalFormatting>
  <conditionalFormatting sqref="E213">
    <cfRule type="expression" dxfId="7975" priority="9770">
      <formula>E213="**"</formula>
    </cfRule>
    <cfRule type="expression" dxfId="7974" priority="9771">
      <formula>E213=""</formula>
    </cfRule>
    <cfRule type="expression" dxfId="7973" priority="9772">
      <formula>E213&lt;44.5</formula>
    </cfRule>
    <cfRule type="expression" dxfId="7972" priority="9773">
      <formula>E213&lt;60.5</formula>
    </cfRule>
    <cfRule type="expression" dxfId="7971" priority="9774">
      <formula>E213&lt;85.5</formula>
    </cfRule>
    <cfRule type="expression" dxfId="7970" priority="9775">
      <formula>E213&gt;85.5</formula>
    </cfRule>
  </conditionalFormatting>
  <conditionalFormatting sqref="E215">
    <cfRule type="expression" dxfId="7969" priority="9759">
      <formula>E215="**"</formula>
    </cfRule>
    <cfRule type="expression" dxfId="7968" priority="9760">
      <formula>E215=""</formula>
    </cfRule>
    <cfRule type="expression" dxfId="7967" priority="9761">
      <formula>E215&lt;44.5</formula>
    </cfRule>
    <cfRule type="expression" dxfId="7966" priority="9762">
      <formula>E215&lt;60.5</formula>
    </cfRule>
    <cfRule type="expression" dxfId="7965" priority="9763">
      <formula>E215&lt;85.5</formula>
    </cfRule>
    <cfRule type="expression" dxfId="7964" priority="9764">
      <formula>E215&gt;85.5</formula>
    </cfRule>
  </conditionalFormatting>
  <conditionalFormatting sqref="F211">
    <cfRule type="expression" dxfId="7963" priority="9752">
      <formula>F211="**"</formula>
    </cfRule>
    <cfRule type="expression" dxfId="7962" priority="9753">
      <formula>F211=""</formula>
    </cfRule>
    <cfRule type="expression" dxfId="7961" priority="9754">
      <formula>F211&lt;44.5</formula>
    </cfRule>
    <cfRule type="expression" dxfId="7960" priority="9755">
      <formula>F211&lt;60.5</formula>
    </cfRule>
    <cfRule type="expression" dxfId="7959" priority="9756">
      <formula>F211&lt;85.5</formula>
    </cfRule>
    <cfRule type="expression" dxfId="7958" priority="9757">
      <formula>F211&gt;85.5</formula>
    </cfRule>
  </conditionalFormatting>
  <conditionalFormatting sqref="F211:F213 F215">
    <cfRule type="expression" dxfId="7957" priority="9727">
      <formula>F$210=""</formula>
    </cfRule>
  </conditionalFormatting>
  <conditionalFormatting sqref="F212">
    <cfRule type="expression" dxfId="7956" priority="9745">
      <formula>F212="**"</formula>
    </cfRule>
    <cfRule type="expression" dxfId="7955" priority="9746">
      <formula>F212=""</formula>
    </cfRule>
    <cfRule type="expression" dxfId="7954" priority="9747">
      <formula>F212&lt;44.5</formula>
    </cfRule>
    <cfRule type="expression" dxfId="7953" priority="9748">
      <formula>F212&lt;60.5</formula>
    </cfRule>
    <cfRule type="expression" dxfId="7952" priority="9749">
      <formula>F212&lt;85.5</formula>
    </cfRule>
    <cfRule type="expression" dxfId="7951" priority="9751">
      <formula>F212&gt;85.5</formula>
    </cfRule>
  </conditionalFormatting>
  <conditionalFormatting sqref="F213">
    <cfRule type="expression" dxfId="7950" priority="9739">
      <formula>F213="**"</formula>
    </cfRule>
    <cfRule type="expression" dxfId="7949" priority="9740">
      <formula>F213=""</formula>
    </cfRule>
    <cfRule type="expression" dxfId="7948" priority="9741">
      <formula>F213&lt;44.5</formula>
    </cfRule>
    <cfRule type="expression" dxfId="7947" priority="9742">
      <formula>F213&lt;60.5</formula>
    </cfRule>
    <cfRule type="expression" dxfId="7946" priority="9743">
      <formula>F213&lt;85.5</formula>
    </cfRule>
    <cfRule type="expression" dxfId="7945" priority="9744">
      <formula>F213&gt;85.5</formula>
    </cfRule>
  </conditionalFormatting>
  <conditionalFormatting sqref="F215">
    <cfRule type="expression" dxfId="7944" priority="9728">
      <formula>F215="**"</formula>
    </cfRule>
    <cfRule type="expression" dxfId="7943" priority="9729">
      <formula>F215=""</formula>
    </cfRule>
    <cfRule type="expression" dxfId="7942" priority="9730">
      <formula>F215&lt;44.5</formula>
    </cfRule>
    <cfRule type="expression" dxfId="7941" priority="9731">
      <formula>F215&lt;60.5</formula>
    </cfRule>
    <cfRule type="expression" dxfId="7940" priority="9732">
      <formula>F215&lt;85.5</formula>
    </cfRule>
    <cfRule type="expression" dxfId="7939" priority="9733">
      <formula>F215&gt;85.5</formula>
    </cfRule>
  </conditionalFormatting>
  <conditionalFormatting sqref="G211">
    <cfRule type="expression" dxfId="7938" priority="9721">
      <formula>G211="**"</formula>
    </cfRule>
    <cfRule type="expression" dxfId="7937" priority="9722">
      <formula>G211=""</formula>
    </cfRule>
    <cfRule type="expression" dxfId="7936" priority="9723">
      <formula>G211&lt;44.5</formula>
    </cfRule>
    <cfRule type="expression" dxfId="7935" priority="9724">
      <formula>G211&lt;60.5</formula>
    </cfRule>
    <cfRule type="expression" dxfId="7934" priority="9725">
      <formula>G211&lt;85.5</formula>
    </cfRule>
    <cfRule type="expression" dxfId="7933" priority="9726">
      <formula>G211&gt;85.5</formula>
    </cfRule>
  </conditionalFormatting>
  <conditionalFormatting sqref="G211:G213 G215">
    <cfRule type="expression" dxfId="7932" priority="9696">
      <formula>G$210=""</formula>
    </cfRule>
  </conditionalFormatting>
  <conditionalFormatting sqref="G212">
    <cfRule type="expression" dxfId="7931" priority="9714">
      <formula>G212="**"</formula>
    </cfRule>
    <cfRule type="expression" dxfId="7930" priority="9715">
      <formula>G212=""</formula>
    </cfRule>
    <cfRule type="expression" dxfId="7929" priority="9716">
      <formula>G212&lt;44.5</formula>
    </cfRule>
    <cfRule type="expression" dxfId="7928" priority="9717">
      <formula>G212&lt;60.5</formula>
    </cfRule>
    <cfRule type="expression" dxfId="7927" priority="9718">
      <formula>G212&lt;85.5</formula>
    </cfRule>
    <cfRule type="expression" dxfId="7926" priority="9720">
      <formula>G212&gt;85.5</formula>
    </cfRule>
  </conditionalFormatting>
  <conditionalFormatting sqref="G213">
    <cfRule type="expression" dxfId="7925" priority="9708">
      <formula>G213="**"</formula>
    </cfRule>
    <cfRule type="expression" dxfId="7924" priority="9709">
      <formula>G213=""</formula>
    </cfRule>
    <cfRule type="expression" dxfId="7923" priority="9710">
      <formula>G213&lt;44.5</formula>
    </cfRule>
    <cfRule type="expression" dxfId="7922" priority="9711">
      <formula>G213&lt;60.5</formula>
    </cfRule>
    <cfRule type="expression" dxfId="7921" priority="9712">
      <formula>G213&lt;85.5</formula>
    </cfRule>
    <cfRule type="expression" dxfId="7920" priority="9713">
      <formula>G213&gt;85.5</formula>
    </cfRule>
  </conditionalFormatting>
  <conditionalFormatting sqref="G215">
    <cfRule type="expression" dxfId="7919" priority="9697">
      <formula>G215="**"</formula>
    </cfRule>
    <cfRule type="expression" dxfId="7918" priority="9698">
      <formula>G215=""</formula>
    </cfRule>
    <cfRule type="expression" dxfId="7917" priority="9699">
      <formula>G215&lt;44.5</formula>
    </cfRule>
    <cfRule type="expression" dxfId="7916" priority="9700">
      <formula>G215&lt;60.5</formula>
    </cfRule>
    <cfRule type="expression" dxfId="7915" priority="9701">
      <formula>G215&lt;85.5</formula>
    </cfRule>
    <cfRule type="expression" dxfId="7914" priority="9702">
      <formula>G215&gt;85.5</formula>
    </cfRule>
  </conditionalFormatting>
  <conditionalFormatting sqref="H211">
    <cfRule type="expression" dxfId="7913" priority="9690">
      <formula>H211="**"</formula>
    </cfRule>
    <cfRule type="expression" dxfId="7912" priority="9691">
      <formula>H211=""</formula>
    </cfRule>
    <cfRule type="expression" dxfId="7911" priority="9692">
      <formula>H211&lt;44.5</formula>
    </cfRule>
    <cfRule type="expression" dxfId="7910" priority="9693">
      <formula>H211&lt;60.5</formula>
    </cfRule>
    <cfRule type="expression" dxfId="7909" priority="9694">
      <formula>H211&lt;85.5</formula>
    </cfRule>
    <cfRule type="expression" dxfId="7908" priority="9695">
      <formula>H211&gt;85.5</formula>
    </cfRule>
  </conditionalFormatting>
  <conditionalFormatting sqref="H211:H213 H215">
    <cfRule type="expression" dxfId="7907" priority="9665">
      <formula>H$210=""</formula>
    </cfRule>
  </conditionalFormatting>
  <conditionalFormatting sqref="H212">
    <cfRule type="expression" dxfId="7906" priority="9683">
      <formula>H212="**"</formula>
    </cfRule>
    <cfRule type="expression" dxfId="7905" priority="9684">
      <formula>H212=""</formula>
    </cfRule>
    <cfRule type="expression" dxfId="7904" priority="9685">
      <formula>H212&lt;44.5</formula>
    </cfRule>
    <cfRule type="expression" dxfId="7903" priority="9686">
      <formula>H212&lt;60.5</formula>
    </cfRule>
    <cfRule type="expression" dxfId="7902" priority="9687">
      <formula>H212&lt;85.5</formula>
    </cfRule>
    <cfRule type="expression" dxfId="7901" priority="9689">
      <formula>H212&gt;85.5</formula>
    </cfRule>
  </conditionalFormatting>
  <conditionalFormatting sqref="H213">
    <cfRule type="expression" dxfId="7900" priority="9677">
      <formula>H213="**"</formula>
    </cfRule>
    <cfRule type="expression" dxfId="7899" priority="9678">
      <formula>H213=""</formula>
    </cfRule>
    <cfRule type="expression" dxfId="7898" priority="9679">
      <formula>H213&lt;44.5</formula>
    </cfRule>
    <cfRule type="expression" dxfId="7897" priority="9680">
      <formula>H213&lt;60.5</formula>
    </cfRule>
    <cfRule type="expression" dxfId="7896" priority="9681">
      <formula>H213&lt;85.5</formula>
    </cfRule>
    <cfRule type="expression" dxfId="7895" priority="9682">
      <formula>H213&gt;85.5</formula>
    </cfRule>
  </conditionalFormatting>
  <conditionalFormatting sqref="H215">
    <cfRule type="expression" dxfId="7894" priority="9666">
      <formula>H215="**"</formula>
    </cfRule>
    <cfRule type="expression" dxfId="7893" priority="9667">
      <formula>H215=""</formula>
    </cfRule>
    <cfRule type="expression" dxfId="7892" priority="9668">
      <formula>H215&lt;44.5</formula>
    </cfRule>
    <cfRule type="expression" dxfId="7891" priority="9669">
      <formula>H215&lt;60.5</formula>
    </cfRule>
    <cfRule type="expression" dxfId="7890" priority="9670">
      <formula>H215&lt;85.5</formula>
    </cfRule>
    <cfRule type="expression" dxfId="7889" priority="9671">
      <formula>H215&gt;85.5</formula>
    </cfRule>
  </conditionalFormatting>
  <conditionalFormatting sqref="I211">
    <cfRule type="expression" dxfId="7888" priority="9659">
      <formula>I211="**"</formula>
    </cfRule>
    <cfRule type="expression" dxfId="7887" priority="9660">
      <formula>I211=""</formula>
    </cfRule>
    <cfRule type="expression" dxfId="7886" priority="9661">
      <formula>I211&lt;44.5</formula>
    </cfRule>
    <cfRule type="expression" dxfId="7885" priority="9662">
      <formula>I211&lt;60.5</formula>
    </cfRule>
    <cfRule type="expression" dxfId="7884" priority="9663">
      <formula>I211&lt;85.5</formula>
    </cfRule>
    <cfRule type="expression" dxfId="7883" priority="9664">
      <formula>I211&gt;85.5</formula>
    </cfRule>
  </conditionalFormatting>
  <conditionalFormatting sqref="I211:I213 I215">
    <cfRule type="expression" dxfId="7882" priority="9634">
      <formula>I$210=""</formula>
    </cfRule>
  </conditionalFormatting>
  <conditionalFormatting sqref="I212">
    <cfRule type="expression" dxfId="7881" priority="9652">
      <formula>I212="**"</formula>
    </cfRule>
    <cfRule type="expression" dxfId="7880" priority="9653">
      <formula>I212=""</formula>
    </cfRule>
    <cfRule type="expression" dxfId="7879" priority="9654">
      <formula>I212&lt;44.5</formula>
    </cfRule>
    <cfRule type="expression" dxfId="7878" priority="9655">
      <formula>I212&lt;60.5</formula>
    </cfRule>
    <cfRule type="expression" dxfId="7877" priority="9656">
      <formula>I212&lt;85.5</formula>
    </cfRule>
    <cfRule type="expression" dxfId="7876" priority="9658">
      <formula>I212&gt;85.5</formula>
    </cfRule>
  </conditionalFormatting>
  <conditionalFormatting sqref="I213">
    <cfRule type="expression" dxfId="7875" priority="9646">
      <formula>I213="**"</formula>
    </cfRule>
    <cfRule type="expression" dxfId="7874" priority="9647">
      <formula>I213=""</formula>
    </cfRule>
    <cfRule type="expression" dxfId="7873" priority="9648">
      <formula>I213&lt;44.5</formula>
    </cfRule>
    <cfRule type="expression" dxfId="7872" priority="9649">
      <formula>I213&lt;60.5</formula>
    </cfRule>
    <cfRule type="expression" dxfId="7871" priority="9650">
      <formula>I213&lt;85.5</formula>
    </cfRule>
    <cfRule type="expression" dxfId="7870" priority="9651">
      <formula>I213&gt;85.5</formula>
    </cfRule>
  </conditionalFormatting>
  <conditionalFormatting sqref="I215">
    <cfRule type="expression" dxfId="7869" priority="9635">
      <formula>I215="**"</formula>
    </cfRule>
    <cfRule type="expression" dxfId="7868" priority="9636">
      <formula>I215=""</formula>
    </cfRule>
    <cfRule type="expression" dxfId="7867" priority="9637">
      <formula>I215&lt;44.5</formula>
    </cfRule>
    <cfRule type="expression" dxfId="7866" priority="9638">
      <formula>I215&lt;60.5</formula>
    </cfRule>
    <cfRule type="expression" dxfId="7865" priority="9639">
      <formula>I215&lt;85.5</formula>
    </cfRule>
    <cfRule type="expression" dxfId="7864" priority="9640">
      <formula>I215&gt;85.5</formula>
    </cfRule>
  </conditionalFormatting>
  <conditionalFormatting sqref="J211">
    <cfRule type="expression" dxfId="7863" priority="9628">
      <formula>J211="**"</formula>
    </cfRule>
    <cfRule type="expression" dxfId="7862" priority="9629">
      <formula>J211=""</formula>
    </cfRule>
    <cfRule type="expression" dxfId="7861" priority="9630">
      <formula>J211&lt;44.5</formula>
    </cfRule>
    <cfRule type="expression" dxfId="7860" priority="9631">
      <formula>J211&lt;60.5</formula>
    </cfRule>
    <cfRule type="expression" dxfId="7859" priority="9632">
      <formula>J211&lt;85.5</formula>
    </cfRule>
    <cfRule type="expression" dxfId="7858" priority="9633">
      <formula>J211&gt;85.5</formula>
    </cfRule>
  </conditionalFormatting>
  <conditionalFormatting sqref="J211:J213 J215">
    <cfRule type="expression" dxfId="7857" priority="9603">
      <formula>J$210=""</formula>
    </cfRule>
  </conditionalFormatting>
  <conditionalFormatting sqref="J212">
    <cfRule type="expression" dxfId="7856" priority="9621">
      <formula>J212="**"</formula>
    </cfRule>
    <cfRule type="expression" dxfId="7855" priority="9622">
      <formula>J212=""</formula>
    </cfRule>
    <cfRule type="expression" dxfId="7854" priority="9623">
      <formula>J212&lt;44.5</formula>
    </cfRule>
    <cfRule type="expression" dxfId="7853" priority="9624">
      <formula>J212&lt;60.5</formula>
    </cfRule>
    <cfRule type="expression" dxfId="7852" priority="9625">
      <formula>J212&lt;85.5</formula>
    </cfRule>
    <cfRule type="expression" dxfId="7851" priority="9627">
      <formula>J212&gt;85.5</formula>
    </cfRule>
  </conditionalFormatting>
  <conditionalFormatting sqref="J213">
    <cfRule type="expression" dxfId="7850" priority="9615">
      <formula>J213="**"</formula>
    </cfRule>
    <cfRule type="expression" dxfId="7849" priority="9616">
      <formula>J213=""</formula>
    </cfRule>
    <cfRule type="expression" dxfId="7848" priority="9617">
      <formula>J213&lt;44.5</formula>
    </cfRule>
    <cfRule type="expression" dxfId="7847" priority="9618">
      <formula>J213&lt;60.5</formula>
    </cfRule>
    <cfRule type="expression" dxfId="7846" priority="9619">
      <formula>J213&lt;85.5</formula>
    </cfRule>
    <cfRule type="expression" dxfId="7845" priority="9620">
      <formula>J213&gt;85.5</formula>
    </cfRule>
  </conditionalFormatting>
  <conditionalFormatting sqref="J215">
    <cfRule type="expression" dxfId="7844" priority="9604">
      <formula>J215="**"</formula>
    </cfRule>
    <cfRule type="expression" dxfId="7843" priority="9605">
      <formula>J215=""</formula>
    </cfRule>
    <cfRule type="expression" dxfId="7842" priority="9606">
      <formula>J215&lt;44.5</formula>
    </cfRule>
    <cfRule type="expression" dxfId="7841" priority="9607">
      <formula>J215&lt;60.5</formula>
    </cfRule>
    <cfRule type="expression" dxfId="7840" priority="9608">
      <formula>J215&lt;85.5</formula>
    </cfRule>
    <cfRule type="expression" dxfId="7839" priority="9609">
      <formula>J215&gt;85.5</formula>
    </cfRule>
  </conditionalFormatting>
  <conditionalFormatting sqref="K211">
    <cfRule type="expression" dxfId="7838" priority="9597">
      <formula>K211="**"</formula>
    </cfRule>
    <cfRule type="expression" dxfId="7837" priority="9598">
      <formula>K211=""</formula>
    </cfRule>
    <cfRule type="expression" dxfId="7836" priority="9599">
      <formula>K211&lt;44.5</formula>
    </cfRule>
    <cfRule type="expression" dxfId="7835" priority="9600">
      <formula>K211&lt;60.5</formula>
    </cfRule>
    <cfRule type="expression" dxfId="7834" priority="9601">
      <formula>K211&lt;85.5</formula>
    </cfRule>
    <cfRule type="expression" dxfId="7833" priority="9602">
      <formula>K211&gt;85.5</formula>
    </cfRule>
  </conditionalFormatting>
  <conditionalFormatting sqref="K211:K213 K215">
    <cfRule type="expression" dxfId="7832" priority="9572">
      <formula>K$210=""</formula>
    </cfRule>
  </conditionalFormatting>
  <conditionalFormatting sqref="K212">
    <cfRule type="expression" dxfId="7831" priority="9590">
      <formula>K212="**"</formula>
    </cfRule>
    <cfRule type="expression" dxfId="7830" priority="9591">
      <formula>K212=""</formula>
    </cfRule>
    <cfRule type="expression" dxfId="7829" priority="9592">
      <formula>K212&lt;44.5</formula>
    </cfRule>
    <cfRule type="expression" dxfId="7828" priority="9593">
      <formula>K212&lt;60.5</formula>
    </cfRule>
    <cfRule type="expression" dxfId="7827" priority="9594">
      <formula>K212&lt;85.5</formula>
    </cfRule>
    <cfRule type="expression" dxfId="7826" priority="9596">
      <formula>K212&gt;85.5</formula>
    </cfRule>
  </conditionalFormatting>
  <conditionalFormatting sqref="K213">
    <cfRule type="expression" dxfId="7825" priority="9584">
      <formula>K213="**"</formula>
    </cfRule>
    <cfRule type="expression" dxfId="7824" priority="9585">
      <formula>K213=""</formula>
    </cfRule>
    <cfRule type="expression" dxfId="7823" priority="9586">
      <formula>K213&lt;44.5</formula>
    </cfRule>
    <cfRule type="expression" dxfId="7822" priority="9587">
      <formula>K213&lt;60.5</formula>
    </cfRule>
    <cfRule type="expression" dxfId="7821" priority="9588">
      <formula>K213&lt;85.5</formula>
    </cfRule>
    <cfRule type="expression" dxfId="7820" priority="9589">
      <formula>K213&gt;85.5</formula>
    </cfRule>
  </conditionalFormatting>
  <conditionalFormatting sqref="K215">
    <cfRule type="expression" dxfId="7819" priority="9573">
      <formula>K215="**"</formula>
    </cfRule>
    <cfRule type="expression" dxfId="7818" priority="9574">
      <formula>K215=""</formula>
    </cfRule>
    <cfRule type="expression" dxfId="7817" priority="9575">
      <formula>K215&lt;44.5</formula>
    </cfRule>
    <cfRule type="expression" dxfId="7816" priority="9576">
      <formula>K215&lt;60.5</formula>
    </cfRule>
    <cfRule type="expression" dxfId="7815" priority="9577">
      <formula>K215&lt;85.5</formula>
    </cfRule>
    <cfRule type="expression" dxfId="7814" priority="9578">
      <formula>K215&gt;85.5</formula>
    </cfRule>
  </conditionalFormatting>
  <conditionalFormatting sqref="L211">
    <cfRule type="expression" dxfId="7813" priority="9566">
      <formula>L211="**"</formula>
    </cfRule>
    <cfRule type="expression" dxfId="7812" priority="9567">
      <formula>L211=""</formula>
    </cfRule>
    <cfRule type="expression" dxfId="7811" priority="9568">
      <formula>L211&lt;44.5</formula>
    </cfRule>
    <cfRule type="expression" dxfId="7810" priority="9569">
      <formula>L211&lt;60.5</formula>
    </cfRule>
    <cfRule type="expression" dxfId="7809" priority="9570">
      <formula>L211&lt;85.5</formula>
    </cfRule>
    <cfRule type="expression" dxfId="7808" priority="9571">
      <formula>L211&gt;85.5</formula>
    </cfRule>
  </conditionalFormatting>
  <conditionalFormatting sqref="L211:L213 L215">
    <cfRule type="expression" dxfId="7807" priority="9541">
      <formula>L$210=""</formula>
    </cfRule>
  </conditionalFormatting>
  <conditionalFormatting sqref="L212">
    <cfRule type="expression" dxfId="7806" priority="9559">
      <formula>L212="**"</formula>
    </cfRule>
    <cfRule type="expression" dxfId="7805" priority="9560">
      <formula>L212=""</formula>
    </cfRule>
    <cfRule type="expression" dxfId="7804" priority="9561">
      <formula>L212&lt;44.5</formula>
    </cfRule>
    <cfRule type="expression" dxfId="7803" priority="9562">
      <formula>L212&lt;60.5</formula>
    </cfRule>
    <cfRule type="expression" dxfId="7802" priority="9563">
      <formula>L212&lt;85.5</formula>
    </cfRule>
    <cfRule type="expression" dxfId="7801" priority="9565">
      <formula>L212&gt;85.5</formula>
    </cfRule>
  </conditionalFormatting>
  <conditionalFormatting sqref="L213">
    <cfRule type="expression" dxfId="7800" priority="9553">
      <formula>L213="**"</formula>
    </cfRule>
    <cfRule type="expression" dxfId="7799" priority="9554">
      <formula>L213=""</formula>
    </cfRule>
    <cfRule type="expression" dxfId="7798" priority="9555">
      <formula>L213&lt;44.5</formula>
    </cfRule>
    <cfRule type="expression" dxfId="7797" priority="9556">
      <formula>L213&lt;60.5</formula>
    </cfRule>
    <cfRule type="expression" dxfId="7796" priority="9557">
      <formula>L213&lt;85.5</formula>
    </cfRule>
    <cfRule type="expression" dxfId="7795" priority="9558">
      <formula>L213&gt;85.5</formula>
    </cfRule>
  </conditionalFormatting>
  <conditionalFormatting sqref="L215">
    <cfRule type="expression" dxfId="7794" priority="9542">
      <formula>L215="**"</formula>
    </cfRule>
    <cfRule type="expression" dxfId="7793" priority="9543">
      <formula>L215=""</formula>
    </cfRule>
    <cfRule type="expression" dxfId="7792" priority="9544">
      <formula>L215&lt;44.5</formula>
    </cfRule>
    <cfRule type="expression" dxfId="7791" priority="9545">
      <formula>L215&lt;60.5</formula>
    </cfRule>
    <cfRule type="expression" dxfId="7790" priority="9546">
      <formula>L215&lt;85.5</formula>
    </cfRule>
    <cfRule type="expression" dxfId="7789" priority="9547">
      <formula>L215&gt;85.5</formula>
    </cfRule>
  </conditionalFormatting>
  <conditionalFormatting sqref="C241">
    <cfRule type="expression" dxfId="7788" priority="9535">
      <formula>C241="**"</formula>
    </cfRule>
    <cfRule type="expression" dxfId="7787" priority="9536">
      <formula>C241=""</formula>
    </cfRule>
    <cfRule type="expression" dxfId="7786" priority="9537">
      <formula>C241&lt;44.5</formula>
    </cfRule>
    <cfRule type="expression" dxfId="7785" priority="9538">
      <formula>C241&lt;60.5</formula>
    </cfRule>
    <cfRule type="expression" dxfId="7784" priority="9539">
      <formula>C241&lt;85.5</formula>
    </cfRule>
    <cfRule type="expression" dxfId="7783" priority="9540">
      <formula>C241&gt;85.5</formula>
    </cfRule>
  </conditionalFormatting>
  <conditionalFormatting sqref="C241:C245">
    <cfRule type="expression" dxfId="7782" priority="9510">
      <formula>C$240=""</formula>
    </cfRule>
  </conditionalFormatting>
  <conditionalFormatting sqref="C242">
    <cfRule type="expression" dxfId="7781" priority="9528">
      <formula>C242="**"</formula>
    </cfRule>
    <cfRule type="expression" dxfId="7780" priority="9529">
      <formula>C242=""</formula>
    </cfRule>
    <cfRule type="expression" dxfId="7779" priority="9530">
      <formula>C242&lt;44.5</formula>
    </cfRule>
    <cfRule type="expression" dxfId="7778" priority="9531">
      <formula>C242&lt;60.5</formula>
    </cfRule>
    <cfRule type="expression" dxfId="7777" priority="9532">
      <formula>C242&lt;85.5</formula>
    </cfRule>
    <cfRule type="expression" dxfId="7776" priority="9534">
      <formula>C242&gt;85.5</formula>
    </cfRule>
  </conditionalFormatting>
  <conditionalFormatting sqref="C243">
    <cfRule type="expression" dxfId="7775" priority="9522">
      <formula>C243="**"</formula>
    </cfRule>
    <cfRule type="expression" dxfId="7774" priority="9523">
      <formula>C243=""</formula>
    </cfRule>
    <cfRule type="expression" dxfId="7773" priority="9524">
      <formula>C243&lt;44.5</formula>
    </cfRule>
    <cfRule type="expression" dxfId="7772" priority="9525">
      <formula>C243&lt;60.5</formula>
    </cfRule>
    <cfRule type="expression" dxfId="7771" priority="9526">
      <formula>C243&lt;85.5</formula>
    </cfRule>
    <cfRule type="expression" dxfId="7770" priority="9527">
      <formula>C243&gt;85.5</formula>
    </cfRule>
  </conditionalFormatting>
  <conditionalFormatting sqref="C244">
    <cfRule type="expression" dxfId="7769" priority="9517">
      <formula>C244="**"</formula>
    </cfRule>
    <cfRule type="expression" dxfId="7768" priority="9518">
      <formula>C244=""</formula>
    </cfRule>
    <cfRule type="expression" dxfId="7767" priority="9519">
      <formula>C244&lt;44.5</formula>
    </cfRule>
    <cfRule type="expression" dxfId="7766" priority="9520">
      <formula>C244&lt;60.5</formula>
    </cfRule>
    <cfRule type="expression" dxfId="7765" priority="9521">
      <formula>C244&lt;85.5</formula>
    </cfRule>
    <cfRule type="expression" dxfId="7764" priority="9533">
      <formula>C244&gt;85.5</formula>
    </cfRule>
  </conditionalFormatting>
  <conditionalFormatting sqref="C245">
    <cfRule type="expression" dxfId="7763" priority="9511">
      <formula>C245="**"</formula>
    </cfRule>
    <cfRule type="expression" dxfId="7762" priority="9512">
      <formula>C245=""</formula>
    </cfRule>
    <cfRule type="expression" dxfId="7761" priority="9513">
      <formula>C245&lt;44.5</formula>
    </cfRule>
    <cfRule type="expression" dxfId="7760" priority="9514">
      <formula>C245&lt;60.5</formula>
    </cfRule>
    <cfRule type="expression" dxfId="7759" priority="9515">
      <formula>C245&lt;85.5</formula>
    </cfRule>
    <cfRule type="expression" dxfId="7758" priority="9516">
      <formula>C245&gt;85.5</formula>
    </cfRule>
  </conditionalFormatting>
  <conditionalFormatting sqref="D241">
    <cfRule type="expression" dxfId="7757" priority="9504">
      <formula>D241="**"</formula>
    </cfRule>
    <cfRule type="expression" dxfId="7756" priority="9505">
      <formula>D241=""</formula>
    </cfRule>
    <cfRule type="expression" dxfId="7755" priority="9506">
      <formula>D241&lt;44.5</formula>
    </cfRule>
    <cfRule type="expression" dxfId="7754" priority="9507">
      <formula>D241&lt;60.5</formula>
    </cfRule>
    <cfRule type="expression" dxfId="7753" priority="9508">
      <formula>D241&lt;85.5</formula>
    </cfRule>
    <cfRule type="expression" dxfId="7752" priority="9509">
      <formula>D241&gt;85.5</formula>
    </cfRule>
  </conditionalFormatting>
  <conditionalFormatting sqref="D241:D243 D245">
    <cfRule type="expression" dxfId="7751" priority="9479">
      <formula>D$240=""</formula>
    </cfRule>
  </conditionalFormatting>
  <conditionalFormatting sqref="D242">
    <cfRule type="expression" dxfId="7750" priority="9497">
      <formula>D242="**"</formula>
    </cfRule>
    <cfRule type="expression" dxfId="7749" priority="9498">
      <formula>D242=""</formula>
    </cfRule>
    <cfRule type="expression" dxfId="7748" priority="9499">
      <formula>D242&lt;44.5</formula>
    </cfRule>
    <cfRule type="expression" dxfId="7747" priority="9500">
      <formula>D242&lt;60.5</formula>
    </cfRule>
    <cfRule type="expression" dxfId="7746" priority="9501">
      <formula>D242&lt;85.5</formula>
    </cfRule>
    <cfRule type="expression" dxfId="7745" priority="9503">
      <formula>D242&gt;85.5</formula>
    </cfRule>
  </conditionalFormatting>
  <conditionalFormatting sqref="D243">
    <cfRule type="expression" dxfId="7744" priority="9491">
      <formula>D243="**"</formula>
    </cfRule>
    <cfRule type="expression" dxfId="7743" priority="9492">
      <formula>D243=""</formula>
    </cfRule>
    <cfRule type="expression" dxfId="7742" priority="9493">
      <formula>D243&lt;44.5</formula>
    </cfRule>
    <cfRule type="expression" dxfId="7741" priority="9494">
      <formula>D243&lt;60.5</formula>
    </cfRule>
    <cfRule type="expression" dxfId="7740" priority="9495">
      <formula>D243&lt;85.5</formula>
    </cfRule>
    <cfRule type="expression" dxfId="7739" priority="9496">
      <formula>D243&gt;85.5</formula>
    </cfRule>
  </conditionalFormatting>
  <conditionalFormatting sqref="D245">
    <cfRule type="expression" dxfId="7738" priority="9480">
      <formula>D245="**"</formula>
    </cfRule>
    <cfRule type="expression" dxfId="7737" priority="9481">
      <formula>D245=""</formula>
    </cfRule>
    <cfRule type="expression" dxfId="7736" priority="9482">
      <formula>D245&lt;44.5</formula>
    </cfRule>
    <cfRule type="expression" dxfId="7735" priority="9483">
      <formula>D245&lt;60.5</formula>
    </cfRule>
    <cfRule type="expression" dxfId="7734" priority="9484">
      <formula>D245&lt;85.5</formula>
    </cfRule>
    <cfRule type="expression" dxfId="7733" priority="9485">
      <formula>D245&gt;85.5</formula>
    </cfRule>
  </conditionalFormatting>
  <conditionalFormatting sqref="E241">
    <cfRule type="expression" dxfId="7732" priority="9473">
      <formula>E241="**"</formula>
    </cfRule>
    <cfRule type="expression" dxfId="7731" priority="9474">
      <formula>E241=""</formula>
    </cfRule>
    <cfRule type="expression" dxfId="7730" priority="9475">
      <formula>E241&lt;44.5</formula>
    </cfRule>
    <cfRule type="expression" dxfId="7729" priority="9476">
      <formula>E241&lt;60.5</formula>
    </cfRule>
    <cfRule type="expression" dxfId="7728" priority="9477">
      <formula>E241&lt;85.5</formula>
    </cfRule>
    <cfRule type="expression" dxfId="7727" priority="9478">
      <formula>E241&gt;85.5</formula>
    </cfRule>
  </conditionalFormatting>
  <conditionalFormatting sqref="E241:E243 E245">
    <cfRule type="expression" dxfId="7726" priority="9448">
      <formula>E$240=""</formula>
    </cfRule>
  </conditionalFormatting>
  <conditionalFormatting sqref="E242">
    <cfRule type="expression" dxfId="7725" priority="9466">
      <formula>E242="**"</formula>
    </cfRule>
    <cfRule type="expression" dxfId="7724" priority="9467">
      <formula>E242=""</formula>
    </cfRule>
    <cfRule type="expression" dxfId="7723" priority="9468">
      <formula>E242&lt;44.5</formula>
    </cfRule>
    <cfRule type="expression" dxfId="7722" priority="9469">
      <formula>E242&lt;60.5</formula>
    </cfRule>
    <cfRule type="expression" dxfId="7721" priority="9470">
      <formula>E242&lt;85.5</formula>
    </cfRule>
    <cfRule type="expression" dxfId="7720" priority="9472">
      <formula>E242&gt;85.5</formula>
    </cfRule>
  </conditionalFormatting>
  <conditionalFormatting sqref="E243">
    <cfRule type="expression" dxfId="7719" priority="9460">
      <formula>E243="**"</formula>
    </cfRule>
    <cfRule type="expression" dxfId="7718" priority="9461">
      <formula>E243=""</formula>
    </cfRule>
    <cfRule type="expression" dxfId="7717" priority="9462">
      <formula>E243&lt;44.5</formula>
    </cfRule>
    <cfRule type="expression" dxfId="7716" priority="9463">
      <formula>E243&lt;60.5</formula>
    </cfRule>
    <cfRule type="expression" dxfId="7715" priority="9464">
      <formula>E243&lt;85.5</formula>
    </cfRule>
    <cfRule type="expression" dxfId="7714" priority="9465">
      <formula>E243&gt;85.5</formula>
    </cfRule>
  </conditionalFormatting>
  <conditionalFormatting sqref="E245">
    <cfRule type="expression" dxfId="7713" priority="9449">
      <formula>E245="**"</formula>
    </cfRule>
    <cfRule type="expression" dxfId="7712" priority="9450">
      <formula>E245=""</formula>
    </cfRule>
    <cfRule type="expression" dxfId="7711" priority="9451">
      <formula>E245&lt;44.5</formula>
    </cfRule>
    <cfRule type="expression" dxfId="7710" priority="9452">
      <formula>E245&lt;60.5</formula>
    </cfRule>
    <cfRule type="expression" dxfId="7709" priority="9453">
      <formula>E245&lt;85.5</formula>
    </cfRule>
    <cfRule type="expression" dxfId="7708" priority="9454">
      <formula>E245&gt;85.5</formula>
    </cfRule>
  </conditionalFormatting>
  <conditionalFormatting sqref="F241">
    <cfRule type="expression" dxfId="7707" priority="9442">
      <formula>F241="**"</formula>
    </cfRule>
    <cfRule type="expression" dxfId="7706" priority="9443">
      <formula>F241=""</formula>
    </cfRule>
    <cfRule type="expression" dxfId="7705" priority="9444">
      <formula>F241&lt;44.5</formula>
    </cfRule>
    <cfRule type="expression" dxfId="7704" priority="9445">
      <formula>F241&lt;60.5</formula>
    </cfRule>
    <cfRule type="expression" dxfId="7703" priority="9446">
      <formula>F241&lt;85.5</formula>
    </cfRule>
    <cfRule type="expression" dxfId="7702" priority="9447">
      <formula>F241&gt;85.5</formula>
    </cfRule>
  </conditionalFormatting>
  <conditionalFormatting sqref="F241:F243 F245">
    <cfRule type="expression" dxfId="7701" priority="9417">
      <formula>F$240=""</formula>
    </cfRule>
  </conditionalFormatting>
  <conditionalFormatting sqref="F242">
    <cfRule type="expression" dxfId="7700" priority="9435">
      <formula>F242="**"</formula>
    </cfRule>
    <cfRule type="expression" dxfId="7699" priority="9436">
      <formula>F242=""</formula>
    </cfRule>
    <cfRule type="expression" dxfId="7698" priority="9437">
      <formula>F242&lt;44.5</formula>
    </cfRule>
    <cfRule type="expression" dxfId="7697" priority="9438">
      <formula>F242&lt;60.5</formula>
    </cfRule>
    <cfRule type="expression" dxfId="7696" priority="9439">
      <formula>F242&lt;85.5</formula>
    </cfRule>
    <cfRule type="expression" dxfId="7695" priority="9441">
      <formula>F242&gt;85.5</formula>
    </cfRule>
  </conditionalFormatting>
  <conditionalFormatting sqref="F243">
    <cfRule type="expression" dxfId="7694" priority="9429">
      <formula>F243="**"</formula>
    </cfRule>
    <cfRule type="expression" dxfId="7693" priority="9430">
      <formula>F243=""</formula>
    </cfRule>
    <cfRule type="expression" dxfId="7692" priority="9431">
      <formula>F243&lt;44.5</formula>
    </cfRule>
    <cfRule type="expression" dxfId="7691" priority="9432">
      <formula>F243&lt;60.5</formula>
    </cfRule>
    <cfRule type="expression" dxfId="7690" priority="9433">
      <formula>F243&lt;85.5</formula>
    </cfRule>
    <cfRule type="expression" dxfId="7689" priority="9434">
      <formula>F243&gt;85.5</formula>
    </cfRule>
  </conditionalFormatting>
  <conditionalFormatting sqref="F245">
    <cfRule type="expression" dxfId="7688" priority="9418">
      <formula>F245="**"</formula>
    </cfRule>
    <cfRule type="expression" dxfId="7687" priority="9419">
      <formula>F245=""</formula>
    </cfRule>
    <cfRule type="expression" dxfId="7686" priority="9420">
      <formula>F245&lt;44.5</formula>
    </cfRule>
    <cfRule type="expression" dxfId="7685" priority="9421">
      <formula>F245&lt;60.5</formula>
    </cfRule>
    <cfRule type="expression" dxfId="7684" priority="9422">
      <formula>F245&lt;85.5</formula>
    </cfRule>
    <cfRule type="expression" dxfId="7683" priority="9423">
      <formula>F245&gt;85.5</formula>
    </cfRule>
  </conditionalFormatting>
  <conditionalFormatting sqref="G241">
    <cfRule type="expression" dxfId="7682" priority="9411">
      <formula>G241="**"</formula>
    </cfRule>
    <cfRule type="expression" dxfId="7681" priority="9412">
      <formula>G241=""</formula>
    </cfRule>
    <cfRule type="expression" dxfId="7680" priority="9413">
      <formula>G241&lt;44.5</formula>
    </cfRule>
    <cfRule type="expression" dxfId="7679" priority="9414">
      <formula>G241&lt;60.5</formula>
    </cfRule>
    <cfRule type="expression" dxfId="7678" priority="9415">
      <formula>G241&lt;85.5</formula>
    </cfRule>
    <cfRule type="expression" dxfId="7677" priority="9416">
      <formula>G241&gt;85.5</formula>
    </cfRule>
  </conditionalFormatting>
  <conditionalFormatting sqref="G241:G243 G245">
    <cfRule type="expression" dxfId="7676" priority="9386">
      <formula>G$240=""</formula>
    </cfRule>
  </conditionalFormatting>
  <conditionalFormatting sqref="G242">
    <cfRule type="expression" dxfId="7675" priority="9404">
      <formula>G242="**"</formula>
    </cfRule>
    <cfRule type="expression" dxfId="7674" priority="9405">
      <formula>G242=""</formula>
    </cfRule>
    <cfRule type="expression" dxfId="7673" priority="9406">
      <formula>G242&lt;44.5</formula>
    </cfRule>
    <cfRule type="expression" dxfId="7672" priority="9407">
      <formula>G242&lt;60.5</formula>
    </cfRule>
    <cfRule type="expression" dxfId="7671" priority="9408">
      <formula>G242&lt;85.5</formula>
    </cfRule>
    <cfRule type="expression" dxfId="7670" priority="9410">
      <formula>G242&gt;85.5</formula>
    </cfRule>
  </conditionalFormatting>
  <conditionalFormatting sqref="G243">
    <cfRule type="expression" dxfId="7669" priority="9398">
      <formula>G243="**"</formula>
    </cfRule>
    <cfRule type="expression" dxfId="7668" priority="9399">
      <formula>G243=""</formula>
    </cfRule>
    <cfRule type="expression" dxfId="7667" priority="9400">
      <formula>G243&lt;44.5</formula>
    </cfRule>
    <cfRule type="expression" dxfId="7666" priority="9401">
      <formula>G243&lt;60.5</formula>
    </cfRule>
    <cfRule type="expression" dxfId="7665" priority="9402">
      <formula>G243&lt;85.5</formula>
    </cfRule>
    <cfRule type="expression" dxfId="7664" priority="9403">
      <formula>G243&gt;85.5</formula>
    </cfRule>
  </conditionalFormatting>
  <conditionalFormatting sqref="G245">
    <cfRule type="expression" dxfId="7663" priority="9387">
      <formula>G245="**"</formula>
    </cfRule>
    <cfRule type="expression" dxfId="7662" priority="9388">
      <formula>G245=""</formula>
    </cfRule>
    <cfRule type="expression" dxfId="7661" priority="9389">
      <formula>G245&lt;44.5</formula>
    </cfRule>
    <cfRule type="expression" dxfId="7660" priority="9390">
      <formula>G245&lt;60.5</formula>
    </cfRule>
    <cfRule type="expression" dxfId="7659" priority="9391">
      <formula>G245&lt;85.5</formula>
    </cfRule>
    <cfRule type="expression" dxfId="7658" priority="9392">
      <formula>G245&gt;85.5</formula>
    </cfRule>
  </conditionalFormatting>
  <conditionalFormatting sqref="H241">
    <cfRule type="expression" dxfId="7657" priority="9380">
      <formula>H241="**"</formula>
    </cfRule>
    <cfRule type="expression" dxfId="7656" priority="9381">
      <formula>H241=""</formula>
    </cfRule>
    <cfRule type="expression" dxfId="7655" priority="9382">
      <formula>H241&lt;44.5</formula>
    </cfRule>
    <cfRule type="expression" dxfId="7654" priority="9383">
      <formula>H241&lt;60.5</formula>
    </cfRule>
    <cfRule type="expression" dxfId="7653" priority="9384">
      <formula>H241&lt;85.5</formula>
    </cfRule>
    <cfRule type="expression" dxfId="7652" priority="9385">
      <formula>H241&gt;85.5</formula>
    </cfRule>
  </conditionalFormatting>
  <conditionalFormatting sqref="H241:H243 H245">
    <cfRule type="expression" dxfId="7651" priority="9355">
      <formula>H$240=""</formula>
    </cfRule>
  </conditionalFormatting>
  <conditionalFormatting sqref="H242">
    <cfRule type="expression" dxfId="7650" priority="9373">
      <formula>H242="**"</formula>
    </cfRule>
    <cfRule type="expression" dxfId="7649" priority="9374">
      <formula>H242=""</formula>
    </cfRule>
    <cfRule type="expression" dxfId="7648" priority="9375">
      <formula>H242&lt;44.5</formula>
    </cfRule>
    <cfRule type="expression" dxfId="7647" priority="9376">
      <formula>H242&lt;60.5</formula>
    </cfRule>
    <cfRule type="expression" dxfId="7646" priority="9377">
      <formula>H242&lt;85.5</formula>
    </cfRule>
    <cfRule type="expression" dxfId="7645" priority="9379">
      <formula>H242&gt;85.5</formula>
    </cfRule>
  </conditionalFormatting>
  <conditionalFormatting sqref="H243">
    <cfRule type="expression" dxfId="7644" priority="9367">
      <formula>H243="**"</formula>
    </cfRule>
    <cfRule type="expression" dxfId="7643" priority="9368">
      <formula>H243=""</formula>
    </cfRule>
    <cfRule type="expression" dxfId="7642" priority="9369">
      <formula>H243&lt;44.5</formula>
    </cfRule>
    <cfRule type="expression" dxfId="7641" priority="9370">
      <formula>H243&lt;60.5</formula>
    </cfRule>
    <cfRule type="expression" dxfId="7640" priority="9371">
      <formula>H243&lt;85.5</formula>
    </cfRule>
    <cfRule type="expression" dxfId="7639" priority="9372">
      <formula>H243&gt;85.5</formula>
    </cfRule>
  </conditionalFormatting>
  <conditionalFormatting sqref="H245">
    <cfRule type="expression" dxfId="7638" priority="9356">
      <formula>H245="**"</formula>
    </cfRule>
    <cfRule type="expression" dxfId="7637" priority="9357">
      <formula>H245=""</formula>
    </cfRule>
    <cfRule type="expression" dxfId="7636" priority="9358">
      <formula>H245&lt;44.5</formula>
    </cfRule>
    <cfRule type="expression" dxfId="7635" priority="9359">
      <formula>H245&lt;60.5</formula>
    </cfRule>
    <cfRule type="expression" dxfId="7634" priority="9360">
      <formula>H245&lt;85.5</formula>
    </cfRule>
    <cfRule type="expression" dxfId="7633" priority="9361">
      <formula>H245&gt;85.5</formula>
    </cfRule>
  </conditionalFormatting>
  <conditionalFormatting sqref="I241">
    <cfRule type="expression" dxfId="7632" priority="9349">
      <formula>I241="**"</formula>
    </cfRule>
    <cfRule type="expression" dxfId="7631" priority="9350">
      <formula>I241=""</formula>
    </cfRule>
    <cfRule type="expression" dxfId="7630" priority="9351">
      <formula>I241&lt;44.5</formula>
    </cfRule>
    <cfRule type="expression" dxfId="7629" priority="9352">
      <formula>I241&lt;60.5</formula>
    </cfRule>
    <cfRule type="expression" dxfId="7628" priority="9353">
      <formula>I241&lt;85.5</formula>
    </cfRule>
    <cfRule type="expression" dxfId="7627" priority="9354">
      <formula>I241&gt;85.5</formula>
    </cfRule>
  </conditionalFormatting>
  <conditionalFormatting sqref="I241:I243 I245">
    <cfRule type="expression" dxfId="7626" priority="9324">
      <formula>I$240=""</formula>
    </cfRule>
  </conditionalFormatting>
  <conditionalFormatting sqref="I242">
    <cfRule type="expression" dxfId="7625" priority="9342">
      <formula>I242="**"</formula>
    </cfRule>
    <cfRule type="expression" dxfId="7624" priority="9343">
      <formula>I242=""</formula>
    </cfRule>
    <cfRule type="expression" dxfId="7623" priority="9344">
      <formula>I242&lt;44.5</formula>
    </cfRule>
    <cfRule type="expression" dxfId="7622" priority="9345">
      <formula>I242&lt;60.5</formula>
    </cfRule>
    <cfRule type="expression" dxfId="7621" priority="9346">
      <formula>I242&lt;85.5</formula>
    </cfRule>
    <cfRule type="expression" dxfId="7620" priority="9348">
      <formula>I242&gt;85.5</formula>
    </cfRule>
  </conditionalFormatting>
  <conditionalFormatting sqref="I243">
    <cfRule type="expression" dxfId="7619" priority="9336">
      <formula>I243="**"</formula>
    </cfRule>
    <cfRule type="expression" dxfId="7618" priority="9337">
      <formula>I243=""</formula>
    </cfRule>
    <cfRule type="expression" dxfId="7617" priority="9338">
      <formula>I243&lt;44.5</formula>
    </cfRule>
    <cfRule type="expression" dxfId="7616" priority="9339">
      <formula>I243&lt;60.5</formula>
    </cfRule>
    <cfRule type="expression" dxfId="7615" priority="9340">
      <formula>I243&lt;85.5</formula>
    </cfRule>
    <cfRule type="expression" dxfId="7614" priority="9341">
      <formula>I243&gt;85.5</formula>
    </cfRule>
  </conditionalFormatting>
  <conditionalFormatting sqref="I245">
    <cfRule type="expression" dxfId="7613" priority="9325">
      <formula>I245="**"</formula>
    </cfRule>
    <cfRule type="expression" dxfId="7612" priority="9326">
      <formula>I245=""</formula>
    </cfRule>
    <cfRule type="expression" dxfId="7611" priority="9327">
      <formula>I245&lt;44.5</formula>
    </cfRule>
    <cfRule type="expression" dxfId="7610" priority="9328">
      <formula>I245&lt;60.5</formula>
    </cfRule>
    <cfRule type="expression" dxfId="7609" priority="9329">
      <formula>I245&lt;85.5</formula>
    </cfRule>
    <cfRule type="expression" dxfId="7608" priority="9330">
      <formula>I245&gt;85.5</formula>
    </cfRule>
  </conditionalFormatting>
  <conditionalFormatting sqref="J241">
    <cfRule type="expression" dxfId="7607" priority="9318">
      <formula>J241="**"</formula>
    </cfRule>
    <cfRule type="expression" dxfId="7606" priority="9319">
      <formula>J241=""</formula>
    </cfRule>
    <cfRule type="expression" dxfId="7605" priority="9320">
      <formula>J241&lt;44.5</formula>
    </cfRule>
    <cfRule type="expression" dxfId="7604" priority="9321">
      <formula>J241&lt;60.5</formula>
    </cfRule>
    <cfRule type="expression" dxfId="7603" priority="9322">
      <formula>J241&lt;85.5</formula>
    </cfRule>
    <cfRule type="expression" dxfId="7602" priority="9323">
      <formula>J241&gt;85.5</formula>
    </cfRule>
  </conditionalFormatting>
  <conditionalFormatting sqref="J241:J243 J245">
    <cfRule type="expression" dxfId="7601" priority="9293">
      <formula>J$240=""</formula>
    </cfRule>
  </conditionalFormatting>
  <conditionalFormatting sqref="J242">
    <cfRule type="expression" dxfId="7600" priority="9311">
      <formula>J242="**"</formula>
    </cfRule>
    <cfRule type="expression" dxfId="7599" priority="9312">
      <formula>J242=""</formula>
    </cfRule>
    <cfRule type="expression" dxfId="7598" priority="9313">
      <formula>J242&lt;44.5</formula>
    </cfRule>
    <cfRule type="expression" dxfId="7597" priority="9314">
      <formula>J242&lt;60.5</formula>
    </cfRule>
    <cfRule type="expression" dxfId="7596" priority="9315">
      <formula>J242&lt;85.5</formula>
    </cfRule>
    <cfRule type="expression" dxfId="7595" priority="9317">
      <formula>J242&gt;85.5</formula>
    </cfRule>
  </conditionalFormatting>
  <conditionalFormatting sqref="J243">
    <cfRule type="expression" dxfId="7594" priority="9305">
      <formula>J243="**"</formula>
    </cfRule>
    <cfRule type="expression" dxfId="7593" priority="9306">
      <formula>J243=""</formula>
    </cfRule>
    <cfRule type="expression" dxfId="7592" priority="9307">
      <formula>J243&lt;44.5</formula>
    </cfRule>
    <cfRule type="expression" dxfId="7591" priority="9308">
      <formula>J243&lt;60.5</formula>
    </cfRule>
    <cfRule type="expression" dxfId="7590" priority="9309">
      <formula>J243&lt;85.5</formula>
    </cfRule>
    <cfRule type="expression" dxfId="7589" priority="9310">
      <formula>J243&gt;85.5</formula>
    </cfRule>
  </conditionalFormatting>
  <conditionalFormatting sqref="J245">
    <cfRule type="expression" dxfId="7588" priority="9294">
      <formula>J245="**"</formula>
    </cfRule>
    <cfRule type="expression" dxfId="7587" priority="9295">
      <formula>J245=""</formula>
    </cfRule>
    <cfRule type="expression" dxfId="7586" priority="9296">
      <formula>J245&lt;44.5</formula>
    </cfRule>
    <cfRule type="expression" dxfId="7585" priority="9297">
      <formula>J245&lt;60.5</formula>
    </cfRule>
    <cfRule type="expression" dxfId="7584" priority="9298">
      <formula>J245&lt;85.5</formula>
    </cfRule>
    <cfRule type="expression" dxfId="7583" priority="9299">
      <formula>J245&gt;85.5</formula>
    </cfRule>
  </conditionalFormatting>
  <conditionalFormatting sqref="K241">
    <cfRule type="expression" dxfId="7582" priority="9287">
      <formula>K241="**"</formula>
    </cfRule>
    <cfRule type="expression" dxfId="7581" priority="9288">
      <formula>K241=""</formula>
    </cfRule>
    <cfRule type="expression" dxfId="7580" priority="9289">
      <formula>K241&lt;44.5</formula>
    </cfRule>
    <cfRule type="expression" dxfId="7579" priority="9290">
      <formula>K241&lt;60.5</formula>
    </cfRule>
    <cfRule type="expression" dxfId="7578" priority="9291">
      <formula>K241&lt;85.5</formula>
    </cfRule>
    <cfRule type="expression" dxfId="7577" priority="9292">
      <formula>K241&gt;85.5</formula>
    </cfRule>
  </conditionalFormatting>
  <conditionalFormatting sqref="K241:K243 K245">
    <cfRule type="expression" dxfId="7576" priority="9262">
      <formula>K$240=""</formula>
    </cfRule>
  </conditionalFormatting>
  <conditionalFormatting sqref="K242">
    <cfRule type="expression" dxfId="7575" priority="9280">
      <formula>K242="**"</formula>
    </cfRule>
    <cfRule type="expression" dxfId="7574" priority="9281">
      <formula>K242=""</formula>
    </cfRule>
    <cfRule type="expression" dxfId="7573" priority="9282">
      <formula>K242&lt;44.5</formula>
    </cfRule>
    <cfRule type="expression" dxfId="7572" priority="9283">
      <formula>K242&lt;60.5</formula>
    </cfRule>
    <cfRule type="expression" dxfId="7571" priority="9284">
      <formula>K242&lt;85.5</formula>
    </cfRule>
    <cfRule type="expression" dxfId="7570" priority="9286">
      <formula>K242&gt;85.5</formula>
    </cfRule>
  </conditionalFormatting>
  <conditionalFormatting sqref="K243">
    <cfRule type="expression" dxfId="7569" priority="9274">
      <formula>K243="**"</formula>
    </cfRule>
    <cfRule type="expression" dxfId="7568" priority="9275">
      <formula>K243=""</formula>
    </cfRule>
    <cfRule type="expression" dxfId="7567" priority="9276">
      <formula>K243&lt;44.5</formula>
    </cfRule>
    <cfRule type="expression" dxfId="7566" priority="9277">
      <formula>K243&lt;60.5</formula>
    </cfRule>
    <cfRule type="expression" dxfId="7565" priority="9278">
      <formula>K243&lt;85.5</formula>
    </cfRule>
    <cfRule type="expression" dxfId="7564" priority="9279">
      <formula>K243&gt;85.5</formula>
    </cfRule>
  </conditionalFormatting>
  <conditionalFormatting sqref="K245">
    <cfRule type="expression" dxfId="7563" priority="9263">
      <formula>K245="**"</formula>
    </cfRule>
    <cfRule type="expression" dxfId="7562" priority="9264">
      <formula>K245=""</formula>
    </cfRule>
    <cfRule type="expression" dxfId="7561" priority="9265">
      <formula>K245&lt;44.5</formula>
    </cfRule>
    <cfRule type="expression" dxfId="7560" priority="9266">
      <formula>K245&lt;60.5</formula>
    </cfRule>
    <cfRule type="expression" dxfId="7559" priority="9267">
      <formula>K245&lt;85.5</formula>
    </cfRule>
    <cfRule type="expression" dxfId="7558" priority="9268">
      <formula>K245&gt;85.5</formula>
    </cfRule>
  </conditionalFormatting>
  <conditionalFormatting sqref="L241">
    <cfRule type="expression" dxfId="7557" priority="9256">
      <formula>L241="**"</formula>
    </cfRule>
    <cfRule type="expression" dxfId="7556" priority="9257">
      <formula>L241=""</formula>
    </cfRule>
    <cfRule type="expression" dxfId="7555" priority="9258">
      <formula>L241&lt;44.5</formula>
    </cfRule>
    <cfRule type="expression" dxfId="7554" priority="9259">
      <formula>L241&lt;60.5</formula>
    </cfRule>
    <cfRule type="expression" dxfId="7553" priority="9260">
      <formula>L241&lt;85.5</formula>
    </cfRule>
    <cfRule type="expression" dxfId="7552" priority="9261">
      <formula>L241&gt;85.5</formula>
    </cfRule>
  </conditionalFormatting>
  <conditionalFormatting sqref="L241:L243 L245">
    <cfRule type="expression" dxfId="7551" priority="9231">
      <formula>L$240=""</formula>
    </cfRule>
  </conditionalFormatting>
  <conditionalFormatting sqref="L242">
    <cfRule type="expression" dxfId="7550" priority="9249">
      <formula>L242="**"</formula>
    </cfRule>
    <cfRule type="expression" dxfId="7549" priority="9250">
      <formula>L242=""</formula>
    </cfRule>
    <cfRule type="expression" dxfId="7548" priority="9251">
      <formula>L242&lt;44.5</formula>
    </cfRule>
    <cfRule type="expression" dxfId="7547" priority="9252">
      <formula>L242&lt;60.5</formula>
    </cfRule>
    <cfRule type="expression" dxfId="7546" priority="9253">
      <formula>L242&lt;85.5</formula>
    </cfRule>
    <cfRule type="expression" dxfId="7545" priority="9255">
      <formula>L242&gt;85.5</formula>
    </cfRule>
  </conditionalFormatting>
  <conditionalFormatting sqref="L243">
    <cfRule type="expression" dxfId="7544" priority="9243">
      <formula>L243="**"</formula>
    </cfRule>
    <cfRule type="expression" dxfId="7543" priority="9244">
      <formula>L243=""</formula>
    </cfRule>
    <cfRule type="expression" dxfId="7542" priority="9245">
      <formula>L243&lt;44.5</formula>
    </cfRule>
    <cfRule type="expression" dxfId="7541" priority="9246">
      <formula>L243&lt;60.5</formula>
    </cfRule>
    <cfRule type="expression" dxfId="7540" priority="9247">
      <formula>L243&lt;85.5</formula>
    </cfRule>
    <cfRule type="expression" dxfId="7539" priority="9248">
      <formula>L243&gt;85.5</formula>
    </cfRule>
  </conditionalFormatting>
  <conditionalFormatting sqref="L245">
    <cfRule type="expression" dxfId="7538" priority="9232">
      <formula>L245="**"</formula>
    </cfRule>
    <cfRule type="expression" dxfId="7537" priority="9233">
      <formula>L245=""</formula>
    </cfRule>
    <cfRule type="expression" dxfId="7536" priority="9234">
      <formula>L245&lt;44.5</formula>
    </cfRule>
    <cfRule type="expression" dxfId="7535" priority="9235">
      <formula>L245&lt;60.5</formula>
    </cfRule>
    <cfRule type="expression" dxfId="7534" priority="9236">
      <formula>L245&lt;85.5</formula>
    </cfRule>
    <cfRule type="expression" dxfId="7533" priority="9237">
      <formula>L245&gt;85.5</formula>
    </cfRule>
  </conditionalFormatting>
  <conditionalFormatting sqref="C271">
    <cfRule type="expression" dxfId="7532" priority="9225">
      <formula>C271="**"</formula>
    </cfRule>
    <cfRule type="expression" dxfId="7531" priority="9226">
      <formula>C271=""</formula>
    </cfRule>
    <cfRule type="expression" dxfId="7530" priority="9227">
      <formula>C271&lt;44.5</formula>
    </cfRule>
    <cfRule type="expression" dxfId="7529" priority="9228">
      <formula>C271&lt;60.5</formula>
    </cfRule>
    <cfRule type="expression" dxfId="7528" priority="9229">
      <formula>C271&lt;85.5</formula>
    </cfRule>
    <cfRule type="expression" dxfId="7527" priority="9230">
      <formula>C271&gt;85.5</formula>
    </cfRule>
  </conditionalFormatting>
  <conditionalFormatting sqref="C271:C275">
    <cfRule type="expression" dxfId="7526" priority="9200">
      <formula>C$270=""</formula>
    </cfRule>
  </conditionalFormatting>
  <conditionalFormatting sqref="C272">
    <cfRule type="expression" dxfId="7525" priority="9218">
      <formula>C272="**"</formula>
    </cfRule>
    <cfRule type="expression" dxfId="7524" priority="9219">
      <formula>C272=""</formula>
    </cfRule>
    <cfRule type="expression" dxfId="7523" priority="9220">
      <formula>C272&lt;44.5</formula>
    </cfRule>
    <cfRule type="expression" dxfId="7522" priority="9221">
      <formula>C272&lt;60.5</formula>
    </cfRule>
    <cfRule type="expression" dxfId="7521" priority="9222">
      <formula>C272&lt;85.5</formula>
    </cfRule>
    <cfRule type="expression" dxfId="7520" priority="9224">
      <formula>C272&gt;85.5</formula>
    </cfRule>
  </conditionalFormatting>
  <conditionalFormatting sqref="C273">
    <cfRule type="expression" dxfId="7519" priority="9212">
      <formula>C273="**"</formula>
    </cfRule>
    <cfRule type="expression" dxfId="7518" priority="9213">
      <formula>C273=""</formula>
    </cfRule>
    <cfRule type="expression" dxfId="7517" priority="9214">
      <formula>C273&lt;44.5</formula>
    </cfRule>
    <cfRule type="expression" dxfId="7516" priority="9215">
      <formula>C273&lt;60.5</formula>
    </cfRule>
    <cfRule type="expression" dxfId="7515" priority="9216">
      <formula>C273&lt;85.5</formula>
    </cfRule>
    <cfRule type="expression" dxfId="7514" priority="9217">
      <formula>C273&gt;85.5</formula>
    </cfRule>
  </conditionalFormatting>
  <conditionalFormatting sqref="C274">
    <cfRule type="expression" dxfId="7513" priority="9207">
      <formula>C274="**"</formula>
    </cfRule>
    <cfRule type="expression" dxfId="7512" priority="9208">
      <formula>C274=""</formula>
    </cfRule>
    <cfRule type="expression" dxfId="7511" priority="9209">
      <formula>C274&lt;44.5</formula>
    </cfRule>
    <cfRule type="expression" dxfId="7510" priority="9210">
      <formula>C274&lt;60.5</formula>
    </cfRule>
    <cfRule type="expression" dxfId="7509" priority="9211">
      <formula>C274&lt;85.5</formula>
    </cfRule>
    <cfRule type="expression" dxfId="7508" priority="9223">
      <formula>C274&gt;85.5</formula>
    </cfRule>
  </conditionalFormatting>
  <conditionalFormatting sqref="C275">
    <cfRule type="expression" dxfId="7507" priority="9201">
      <formula>C275="**"</formula>
    </cfRule>
    <cfRule type="expression" dxfId="7506" priority="9202">
      <formula>C275=""</formula>
    </cfRule>
    <cfRule type="expression" dxfId="7505" priority="9203">
      <formula>C275&lt;44.5</formula>
    </cfRule>
    <cfRule type="expression" dxfId="7504" priority="9204">
      <formula>C275&lt;60.5</formula>
    </cfRule>
    <cfRule type="expression" dxfId="7503" priority="9205">
      <formula>C275&lt;85.5</formula>
    </cfRule>
    <cfRule type="expression" dxfId="7502" priority="9206">
      <formula>C275&gt;85.5</formula>
    </cfRule>
  </conditionalFormatting>
  <conditionalFormatting sqref="D271">
    <cfRule type="expression" dxfId="7501" priority="8884">
      <formula>D271="**"</formula>
    </cfRule>
    <cfRule type="expression" dxfId="7500" priority="8885">
      <formula>D271=""</formula>
    </cfRule>
    <cfRule type="expression" dxfId="7499" priority="8886">
      <formula>D271&lt;44.5</formula>
    </cfRule>
    <cfRule type="expression" dxfId="7498" priority="8887">
      <formula>D271&lt;60.5</formula>
    </cfRule>
    <cfRule type="expression" dxfId="7497" priority="8888">
      <formula>D271&lt;85.5</formula>
    </cfRule>
    <cfRule type="expression" dxfId="7496" priority="8889">
      <formula>D271&gt;85.5</formula>
    </cfRule>
  </conditionalFormatting>
  <conditionalFormatting sqref="D271:D273 D275">
    <cfRule type="expression" dxfId="7495" priority="8859">
      <formula>D$270=""</formula>
    </cfRule>
  </conditionalFormatting>
  <conditionalFormatting sqref="D272">
    <cfRule type="expression" dxfId="7494" priority="8877">
      <formula>D272="**"</formula>
    </cfRule>
    <cfRule type="expression" dxfId="7493" priority="8878">
      <formula>D272=""</formula>
    </cfRule>
    <cfRule type="expression" dxfId="7492" priority="8879">
      <formula>D272&lt;44.5</formula>
    </cfRule>
    <cfRule type="expression" dxfId="7491" priority="8880">
      <formula>D272&lt;60.5</formula>
    </cfRule>
    <cfRule type="expression" dxfId="7490" priority="8881">
      <formula>D272&lt;85.5</formula>
    </cfRule>
    <cfRule type="expression" dxfId="7489" priority="8883">
      <formula>D272&gt;85.5</formula>
    </cfRule>
  </conditionalFormatting>
  <conditionalFormatting sqref="D273">
    <cfRule type="expression" dxfId="7488" priority="8871">
      <formula>D273="**"</formula>
    </cfRule>
    <cfRule type="expression" dxfId="7487" priority="8872">
      <formula>D273=""</formula>
    </cfRule>
    <cfRule type="expression" dxfId="7486" priority="8873">
      <formula>D273&lt;44.5</formula>
    </cfRule>
    <cfRule type="expression" dxfId="7485" priority="8874">
      <formula>D273&lt;60.5</formula>
    </cfRule>
    <cfRule type="expression" dxfId="7484" priority="8875">
      <formula>D273&lt;85.5</formula>
    </cfRule>
    <cfRule type="expression" dxfId="7483" priority="8876">
      <formula>D273&gt;85.5</formula>
    </cfRule>
  </conditionalFormatting>
  <conditionalFormatting sqref="D275">
    <cfRule type="expression" dxfId="7482" priority="8860">
      <formula>D275="**"</formula>
    </cfRule>
    <cfRule type="expression" dxfId="7481" priority="8861">
      <formula>D275=""</formula>
    </cfRule>
    <cfRule type="expression" dxfId="7480" priority="8862">
      <formula>D275&lt;44.5</formula>
    </cfRule>
    <cfRule type="expression" dxfId="7479" priority="8863">
      <formula>D275&lt;60.5</formula>
    </cfRule>
    <cfRule type="expression" dxfId="7478" priority="8864">
      <formula>D275&lt;85.5</formula>
    </cfRule>
    <cfRule type="expression" dxfId="7477" priority="8865">
      <formula>D275&gt;85.5</formula>
    </cfRule>
  </conditionalFormatting>
  <conditionalFormatting sqref="E271">
    <cfRule type="expression" dxfId="7476" priority="8853">
      <formula>E271="**"</formula>
    </cfRule>
    <cfRule type="expression" dxfId="7475" priority="8854">
      <formula>E271=""</formula>
    </cfRule>
    <cfRule type="expression" dxfId="7474" priority="8855">
      <formula>E271&lt;44.5</formula>
    </cfRule>
    <cfRule type="expression" dxfId="7473" priority="8856">
      <formula>E271&lt;60.5</formula>
    </cfRule>
    <cfRule type="expression" dxfId="7472" priority="8857">
      <formula>E271&lt;85.5</formula>
    </cfRule>
    <cfRule type="expression" dxfId="7471" priority="8858">
      <formula>E271&gt;85.5</formula>
    </cfRule>
  </conditionalFormatting>
  <conditionalFormatting sqref="E271:E273 E275">
    <cfRule type="expression" dxfId="7470" priority="8828">
      <formula>E$270=""</formula>
    </cfRule>
  </conditionalFormatting>
  <conditionalFormatting sqref="E272">
    <cfRule type="expression" dxfId="7469" priority="8846">
      <formula>E272="**"</formula>
    </cfRule>
    <cfRule type="expression" dxfId="7468" priority="8847">
      <formula>E272=""</formula>
    </cfRule>
    <cfRule type="expression" dxfId="7467" priority="8848">
      <formula>E272&lt;44.5</formula>
    </cfRule>
    <cfRule type="expression" dxfId="7466" priority="8849">
      <formula>E272&lt;60.5</formula>
    </cfRule>
    <cfRule type="expression" dxfId="7465" priority="8850">
      <formula>E272&lt;85.5</formula>
    </cfRule>
    <cfRule type="expression" dxfId="7464" priority="8852">
      <formula>E272&gt;85.5</formula>
    </cfRule>
  </conditionalFormatting>
  <conditionalFormatting sqref="E273">
    <cfRule type="expression" dxfId="7463" priority="8840">
      <formula>E273="**"</formula>
    </cfRule>
    <cfRule type="expression" dxfId="7462" priority="8841">
      <formula>E273=""</formula>
    </cfRule>
    <cfRule type="expression" dxfId="7461" priority="8842">
      <formula>E273&lt;44.5</formula>
    </cfRule>
    <cfRule type="expression" dxfId="7460" priority="8843">
      <formula>E273&lt;60.5</formula>
    </cfRule>
    <cfRule type="expression" dxfId="7459" priority="8844">
      <formula>E273&lt;85.5</formula>
    </cfRule>
    <cfRule type="expression" dxfId="7458" priority="8845">
      <formula>E273&gt;85.5</formula>
    </cfRule>
  </conditionalFormatting>
  <conditionalFormatting sqref="E275">
    <cfRule type="expression" dxfId="7457" priority="8829">
      <formula>E275="**"</formula>
    </cfRule>
    <cfRule type="expression" dxfId="7456" priority="8830">
      <formula>E275=""</formula>
    </cfRule>
    <cfRule type="expression" dxfId="7455" priority="8831">
      <formula>E275&lt;44.5</formula>
    </cfRule>
    <cfRule type="expression" dxfId="7454" priority="8832">
      <formula>E275&lt;60.5</formula>
    </cfRule>
    <cfRule type="expression" dxfId="7453" priority="8833">
      <formula>E275&lt;85.5</formula>
    </cfRule>
    <cfRule type="expression" dxfId="7452" priority="8834">
      <formula>E275&gt;85.5</formula>
    </cfRule>
  </conditionalFormatting>
  <conditionalFormatting sqref="F271">
    <cfRule type="expression" dxfId="7451" priority="8822">
      <formula>F271="**"</formula>
    </cfRule>
    <cfRule type="expression" dxfId="7450" priority="8823">
      <formula>F271=""</formula>
    </cfRule>
    <cfRule type="expression" dxfId="7449" priority="8824">
      <formula>F271&lt;44.5</formula>
    </cfRule>
    <cfRule type="expression" dxfId="7448" priority="8825">
      <formula>F271&lt;60.5</formula>
    </cfRule>
    <cfRule type="expression" dxfId="7447" priority="8826">
      <formula>F271&lt;85.5</formula>
    </cfRule>
    <cfRule type="expression" dxfId="7446" priority="8827">
      <formula>F271&gt;85.5</formula>
    </cfRule>
  </conditionalFormatting>
  <conditionalFormatting sqref="F271:F273 F275">
    <cfRule type="expression" dxfId="7445" priority="8797">
      <formula>F$270=""</formula>
    </cfRule>
  </conditionalFormatting>
  <conditionalFormatting sqref="F272">
    <cfRule type="expression" dxfId="7444" priority="8815">
      <formula>F272="**"</formula>
    </cfRule>
    <cfRule type="expression" dxfId="7443" priority="8816">
      <formula>F272=""</formula>
    </cfRule>
    <cfRule type="expression" dxfId="7442" priority="8817">
      <formula>F272&lt;44.5</formula>
    </cfRule>
    <cfRule type="expression" dxfId="7441" priority="8818">
      <formula>F272&lt;60.5</formula>
    </cfRule>
    <cfRule type="expression" dxfId="7440" priority="8819">
      <formula>F272&lt;85.5</formula>
    </cfRule>
    <cfRule type="expression" dxfId="7439" priority="8821">
      <formula>F272&gt;85.5</formula>
    </cfRule>
  </conditionalFormatting>
  <conditionalFormatting sqref="F273">
    <cfRule type="expression" dxfId="7438" priority="8809">
      <formula>F273="**"</formula>
    </cfRule>
    <cfRule type="expression" dxfId="7437" priority="8810">
      <formula>F273=""</formula>
    </cfRule>
    <cfRule type="expression" dxfId="7436" priority="8811">
      <formula>F273&lt;44.5</formula>
    </cfRule>
    <cfRule type="expression" dxfId="7435" priority="8812">
      <formula>F273&lt;60.5</formula>
    </cfRule>
    <cfRule type="expression" dxfId="7434" priority="8813">
      <formula>F273&lt;85.5</formula>
    </cfRule>
    <cfRule type="expression" dxfId="7433" priority="8814">
      <formula>F273&gt;85.5</formula>
    </cfRule>
  </conditionalFormatting>
  <conditionalFormatting sqref="F275">
    <cfRule type="expression" dxfId="7432" priority="8798">
      <formula>F275="**"</formula>
    </cfRule>
    <cfRule type="expression" dxfId="7431" priority="8799">
      <formula>F275=""</formula>
    </cfRule>
    <cfRule type="expression" dxfId="7430" priority="8800">
      <formula>F275&lt;44.5</formula>
    </cfRule>
    <cfRule type="expression" dxfId="7429" priority="8801">
      <formula>F275&lt;60.5</formula>
    </cfRule>
    <cfRule type="expression" dxfId="7428" priority="8802">
      <formula>F275&lt;85.5</formula>
    </cfRule>
    <cfRule type="expression" dxfId="7427" priority="8803">
      <formula>F275&gt;85.5</formula>
    </cfRule>
  </conditionalFormatting>
  <conditionalFormatting sqref="G271">
    <cfRule type="expression" dxfId="7426" priority="8791">
      <formula>G271="**"</formula>
    </cfRule>
    <cfRule type="expression" dxfId="7425" priority="8792">
      <formula>G271=""</formula>
    </cfRule>
    <cfRule type="expression" dxfId="7424" priority="8793">
      <formula>G271&lt;44.5</formula>
    </cfRule>
    <cfRule type="expression" dxfId="7423" priority="8794">
      <formula>G271&lt;60.5</formula>
    </cfRule>
    <cfRule type="expression" dxfId="7422" priority="8795">
      <formula>G271&lt;85.5</formula>
    </cfRule>
    <cfRule type="expression" dxfId="7421" priority="8796">
      <formula>G271&gt;85.5</formula>
    </cfRule>
  </conditionalFormatting>
  <conditionalFormatting sqref="G271:G273 G275">
    <cfRule type="expression" dxfId="7420" priority="8766">
      <formula>G$270=""</formula>
    </cfRule>
  </conditionalFormatting>
  <conditionalFormatting sqref="G272">
    <cfRule type="expression" dxfId="7419" priority="8784">
      <formula>G272="**"</formula>
    </cfRule>
    <cfRule type="expression" dxfId="7418" priority="8785">
      <formula>G272=""</formula>
    </cfRule>
    <cfRule type="expression" dxfId="7417" priority="8786">
      <formula>G272&lt;44.5</formula>
    </cfRule>
    <cfRule type="expression" dxfId="7416" priority="8787">
      <formula>G272&lt;60.5</formula>
    </cfRule>
    <cfRule type="expression" dxfId="7415" priority="8788">
      <formula>G272&lt;85.5</formula>
    </cfRule>
    <cfRule type="expression" dxfId="7414" priority="8790">
      <formula>G272&gt;85.5</formula>
    </cfRule>
  </conditionalFormatting>
  <conditionalFormatting sqref="G273">
    <cfRule type="expression" dxfId="7413" priority="8778">
      <formula>G273="**"</formula>
    </cfRule>
    <cfRule type="expression" dxfId="7412" priority="8779">
      <formula>G273=""</formula>
    </cfRule>
    <cfRule type="expression" dxfId="7411" priority="8780">
      <formula>G273&lt;44.5</formula>
    </cfRule>
    <cfRule type="expression" dxfId="7410" priority="8781">
      <formula>G273&lt;60.5</formula>
    </cfRule>
    <cfRule type="expression" dxfId="7409" priority="8782">
      <formula>G273&lt;85.5</formula>
    </cfRule>
    <cfRule type="expression" dxfId="7408" priority="8783">
      <formula>G273&gt;85.5</formula>
    </cfRule>
  </conditionalFormatting>
  <conditionalFormatting sqref="G275">
    <cfRule type="expression" dxfId="7407" priority="8767">
      <formula>G275="**"</formula>
    </cfRule>
    <cfRule type="expression" dxfId="7406" priority="8768">
      <formula>G275=""</formula>
    </cfRule>
    <cfRule type="expression" dxfId="7405" priority="8769">
      <formula>G275&lt;44.5</formula>
    </cfRule>
    <cfRule type="expression" dxfId="7404" priority="8770">
      <formula>G275&lt;60.5</formula>
    </cfRule>
    <cfRule type="expression" dxfId="7403" priority="8771">
      <formula>G275&lt;85.5</formula>
    </cfRule>
    <cfRule type="expression" dxfId="7402" priority="8772">
      <formula>G275&gt;85.5</formula>
    </cfRule>
  </conditionalFormatting>
  <conditionalFormatting sqref="H271">
    <cfRule type="expression" dxfId="7401" priority="8760">
      <formula>H271="**"</formula>
    </cfRule>
    <cfRule type="expression" dxfId="7400" priority="8761">
      <formula>H271=""</formula>
    </cfRule>
    <cfRule type="expression" dxfId="7399" priority="8762">
      <formula>H271&lt;44.5</formula>
    </cfRule>
    <cfRule type="expression" dxfId="7398" priority="8763">
      <formula>H271&lt;60.5</formula>
    </cfRule>
    <cfRule type="expression" dxfId="7397" priority="8764">
      <formula>H271&lt;85.5</formula>
    </cfRule>
    <cfRule type="expression" dxfId="7396" priority="8765">
      <formula>H271&gt;85.5</formula>
    </cfRule>
  </conditionalFormatting>
  <conditionalFormatting sqref="H271:H273 H275">
    <cfRule type="expression" dxfId="7395" priority="8735">
      <formula>H$270=""</formula>
    </cfRule>
  </conditionalFormatting>
  <conditionalFormatting sqref="H272">
    <cfRule type="expression" dxfId="7394" priority="8753">
      <formula>H272="**"</formula>
    </cfRule>
    <cfRule type="expression" dxfId="7393" priority="8754">
      <formula>H272=""</formula>
    </cfRule>
    <cfRule type="expression" dxfId="7392" priority="8755">
      <formula>H272&lt;44.5</formula>
    </cfRule>
    <cfRule type="expression" dxfId="7391" priority="8756">
      <formula>H272&lt;60.5</formula>
    </cfRule>
    <cfRule type="expression" dxfId="7390" priority="8757">
      <formula>H272&lt;85.5</formula>
    </cfRule>
    <cfRule type="expression" dxfId="7389" priority="8759">
      <formula>H272&gt;85.5</formula>
    </cfRule>
  </conditionalFormatting>
  <conditionalFormatting sqref="H273">
    <cfRule type="expression" dxfId="7388" priority="8747">
      <formula>H273="**"</formula>
    </cfRule>
    <cfRule type="expression" dxfId="7387" priority="8748">
      <formula>H273=""</formula>
    </cfRule>
    <cfRule type="expression" dxfId="7386" priority="8749">
      <formula>H273&lt;44.5</formula>
    </cfRule>
    <cfRule type="expression" dxfId="7385" priority="8750">
      <formula>H273&lt;60.5</formula>
    </cfRule>
    <cfRule type="expression" dxfId="7384" priority="8751">
      <formula>H273&lt;85.5</formula>
    </cfRule>
    <cfRule type="expression" dxfId="7383" priority="8752">
      <formula>H273&gt;85.5</formula>
    </cfRule>
  </conditionalFormatting>
  <conditionalFormatting sqref="H275">
    <cfRule type="expression" dxfId="7382" priority="8736">
      <formula>H275="**"</formula>
    </cfRule>
    <cfRule type="expression" dxfId="7381" priority="8737">
      <formula>H275=""</formula>
    </cfRule>
    <cfRule type="expression" dxfId="7380" priority="8738">
      <formula>H275&lt;44.5</formula>
    </cfRule>
    <cfRule type="expression" dxfId="7379" priority="8739">
      <formula>H275&lt;60.5</formula>
    </cfRule>
    <cfRule type="expression" dxfId="7378" priority="8740">
      <formula>H275&lt;85.5</formula>
    </cfRule>
    <cfRule type="expression" dxfId="7377" priority="8741">
      <formula>H275&gt;85.5</formula>
    </cfRule>
  </conditionalFormatting>
  <conditionalFormatting sqref="I271">
    <cfRule type="expression" dxfId="7376" priority="8729">
      <formula>I271="**"</formula>
    </cfRule>
    <cfRule type="expression" dxfId="7375" priority="8730">
      <formula>I271=""</formula>
    </cfRule>
    <cfRule type="expression" dxfId="7374" priority="8731">
      <formula>I271&lt;44.5</formula>
    </cfRule>
    <cfRule type="expression" dxfId="7373" priority="8732">
      <formula>I271&lt;60.5</formula>
    </cfRule>
    <cfRule type="expression" dxfId="7372" priority="8733">
      <formula>I271&lt;85.5</formula>
    </cfRule>
    <cfRule type="expression" dxfId="7371" priority="8734">
      <formula>I271&gt;85.5</formula>
    </cfRule>
  </conditionalFormatting>
  <conditionalFormatting sqref="I271:I273 I275">
    <cfRule type="expression" dxfId="7370" priority="8704">
      <formula>I$270=""</formula>
    </cfRule>
  </conditionalFormatting>
  <conditionalFormatting sqref="I272">
    <cfRule type="expression" dxfId="7369" priority="8722">
      <formula>I272="**"</formula>
    </cfRule>
    <cfRule type="expression" dxfId="7368" priority="8723">
      <formula>I272=""</formula>
    </cfRule>
    <cfRule type="expression" dxfId="7367" priority="8724">
      <formula>I272&lt;44.5</formula>
    </cfRule>
    <cfRule type="expression" dxfId="7366" priority="8725">
      <formula>I272&lt;60.5</formula>
    </cfRule>
    <cfRule type="expression" dxfId="7365" priority="8726">
      <formula>I272&lt;85.5</formula>
    </cfRule>
    <cfRule type="expression" dxfId="7364" priority="8728">
      <formula>I272&gt;85.5</formula>
    </cfRule>
  </conditionalFormatting>
  <conditionalFormatting sqref="I273">
    <cfRule type="expression" dxfId="7363" priority="8716">
      <formula>I273="**"</formula>
    </cfRule>
    <cfRule type="expression" dxfId="7362" priority="8717">
      <formula>I273=""</formula>
    </cfRule>
    <cfRule type="expression" dxfId="7361" priority="8718">
      <formula>I273&lt;44.5</formula>
    </cfRule>
    <cfRule type="expression" dxfId="7360" priority="8719">
      <formula>I273&lt;60.5</formula>
    </cfRule>
    <cfRule type="expression" dxfId="7359" priority="8720">
      <formula>I273&lt;85.5</formula>
    </cfRule>
    <cfRule type="expression" dxfId="7358" priority="8721">
      <formula>I273&gt;85.5</formula>
    </cfRule>
  </conditionalFormatting>
  <conditionalFormatting sqref="I275">
    <cfRule type="expression" dxfId="7357" priority="8705">
      <formula>I275="**"</formula>
    </cfRule>
    <cfRule type="expression" dxfId="7356" priority="8706">
      <formula>I275=""</formula>
    </cfRule>
    <cfRule type="expression" dxfId="7355" priority="8707">
      <formula>I275&lt;44.5</formula>
    </cfRule>
    <cfRule type="expression" dxfId="7354" priority="8708">
      <formula>I275&lt;60.5</formula>
    </cfRule>
    <cfRule type="expression" dxfId="7353" priority="8709">
      <formula>I275&lt;85.5</formula>
    </cfRule>
    <cfRule type="expression" dxfId="7352" priority="8710">
      <formula>I275&gt;85.5</formula>
    </cfRule>
  </conditionalFormatting>
  <conditionalFormatting sqref="J271">
    <cfRule type="expression" dxfId="7351" priority="8698">
      <formula>J271="**"</formula>
    </cfRule>
    <cfRule type="expression" dxfId="7350" priority="8699">
      <formula>J271=""</formula>
    </cfRule>
    <cfRule type="expression" dxfId="7349" priority="8700">
      <formula>J271&lt;44.5</formula>
    </cfRule>
    <cfRule type="expression" dxfId="7348" priority="8701">
      <formula>J271&lt;60.5</formula>
    </cfRule>
    <cfRule type="expression" dxfId="7347" priority="8702">
      <formula>J271&lt;85.5</formula>
    </cfRule>
    <cfRule type="expression" dxfId="7346" priority="8703">
      <formula>J271&gt;85.5</formula>
    </cfRule>
  </conditionalFormatting>
  <conditionalFormatting sqref="J271:J273 J275">
    <cfRule type="expression" dxfId="7345" priority="8673">
      <formula>J$270=""</formula>
    </cfRule>
  </conditionalFormatting>
  <conditionalFormatting sqref="J272">
    <cfRule type="expression" dxfId="7344" priority="8691">
      <formula>J272="**"</formula>
    </cfRule>
    <cfRule type="expression" dxfId="7343" priority="8692">
      <formula>J272=""</formula>
    </cfRule>
    <cfRule type="expression" dxfId="7342" priority="8693">
      <formula>J272&lt;44.5</formula>
    </cfRule>
    <cfRule type="expression" dxfId="7341" priority="8694">
      <formula>J272&lt;60.5</formula>
    </cfRule>
    <cfRule type="expression" dxfId="7340" priority="8695">
      <formula>J272&lt;85.5</formula>
    </cfRule>
    <cfRule type="expression" dxfId="7339" priority="8697">
      <formula>J272&gt;85.5</formula>
    </cfRule>
  </conditionalFormatting>
  <conditionalFormatting sqref="J273">
    <cfRule type="expression" dxfId="7338" priority="8685">
      <formula>J273="**"</formula>
    </cfRule>
    <cfRule type="expression" dxfId="7337" priority="8686">
      <formula>J273=""</formula>
    </cfRule>
    <cfRule type="expression" dxfId="7336" priority="8687">
      <formula>J273&lt;44.5</formula>
    </cfRule>
    <cfRule type="expression" dxfId="7335" priority="8688">
      <formula>J273&lt;60.5</formula>
    </cfRule>
    <cfRule type="expression" dxfId="7334" priority="8689">
      <formula>J273&lt;85.5</formula>
    </cfRule>
    <cfRule type="expression" dxfId="7333" priority="8690">
      <formula>J273&gt;85.5</formula>
    </cfRule>
  </conditionalFormatting>
  <conditionalFormatting sqref="J275">
    <cfRule type="expression" dxfId="7332" priority="8674">
      <formula>J275="**"</formula>
    </cfRule>
    <cfRule type="expression" dxfId="7331" priority="8675">
      <formula>J275=""</formula>
    </cfRule>
    <cfRule type="expression" dxfId="7330" priority="8676">
      <formula>J275&lt;44.5</formula>
    </cfRule>
    <cfRule type="expression" dxfId="7329" priority="8677">
      <formula>J275&lt;60.5</formula>
    </cfRule>
    <cfRule type="expression" dxfId="7328" priority="8678">
      <formula>J275&lt;85.5</formula>
    </cfRule>
    <cfRule type="expression" dxfId="7327" priority="8679">
      <formula>J275&gt;85.5</formula>
    </cfRule>
  </conditionalFormatting>
  <conditionalFormatting sqref="K271">
    <cfRule type="expression" dxfId="7326" priority="8667">
      <formula>K271="**"</formula>
    </cfRule>
    <cfRule type="expression" dxfId="7325" priority="8668">
      <formula>K271=""</formula>
    </cfRule>
    <cfRule type="expression" dxfId="7324" priority="8669">
      <formula>K271&lt;44.5</formula>
    </cfRule>
    <cfRule type="expression" dxfId="7323" priority="8670">
      <formula>K271&lt;60.5</formula>
    </cfRule>
    <cfRule type="expression" dxfId="7322" priority="8671">
      <formula>K271&lt;85.5</formula>
    </cfRule>
    <cfRule type="expression" dxfId="7321" priority="8672">
      <formula>K271&gt;85.5</formula>
    </cfRule>
  </conditionalFormatting>
  <conditionalFormatting sqref="K271:K273 K275">
    <cfRule type="expression" dxfId="7320" priority="8642">
      <formula>K$270=""</formula>
    </cfRule>
  </conditionalFormatting>
  <conditionalFormatting sqref="K272">
    <cfRule type="expression" dxfId="7319" priority="8660">
      <formula>K272="**"</formula>
    </cfRule>
    <cfRule type="expression" dxfId="7318" priority="8661">
      <formula>K272=""</formula>
    </cfRule>
    <cfRule type="expression" dxfId="7317" priority="8662">
      <formula>K272&lt;44.5</formula>
    </cfRule>
    <cfRule type="expression" dxfId="7316" priority="8663">
      <formula>K272&lt;60.5</formula>
    </cfRule>
    <cfRule type="expression" dxfId="7315" priority="8664">
      <formula>K272&lt;85.5</formula>
    </cfRule>
    <cfRule type="expression" dxfId="7314" priority="8666">
      <formula>K272&gt;85.5</formula>
    </cfRule>
  </conditionalFormatting>
  <conditionalFormatting sqref="K273">
    <cfRule type="expression" dxfId="7313" priority="8654">
      <formula>K273="**"</formula>
    </cfRule>
    <cfRule type="expression" dxfId="7312" priority="8655">
      <formula>K273=""</formula>
    </cfRule>
    <cfRule type="expression" dxfId="7311" priority="8656">
      <formula>K273&lt;44.5</formula>
    </cfRule>
    <cfRule type="expression" dxfId="7310" priority="8657">
      <formula>K273&lt;60.5</formula>
    </cfRule>
    <cfRule type="expression" dxfId="7309" priority="8658">
      <formula>K273&lt;85.5</formula>
    </cfRule>
    <cfRule type="expression" dxfId="7308" priority="8659">
      <formula>K273&gt;85.5</formula>
    </cfRule>
  </conditionalFormatting>
  <conditionalFormatting sqref="K275">
    <cfRule type="expression" dxfId="7307" priority="8643">
      <formula>K275="**"</formula>
    </cfRule>
    <cfRule type="expression" dxfId="7306" priority="8644">
      <formula>K275=""</formula>
    </cfRule>
    <cfRule type="expression" dxfId="7305" priority="8645">
      <formula>K275&lt;44.5</formula>
    </cfRule>
    <cfRule type="expression" dxfId="7304" priority="8646">
      <formula>K275&lt;60.5</formula>
    </cfRule>
    <cfRule type="expression" dxfId="7303" priority="8647">
      <formula>K275&lt;85.5</formula>
    </cfRule>
    <cfRule type="expression" dxfId="7302" priority="8648">
      <formula>K275&gt;85.5</formula>
    </cfRule>
  </conditionalFormatting>
  <conditionalFormatting sqref="L271">
    <cfRule type="expression" dxfId="7301" priority="8636">
      <formula>L271="**"</formula>
    </cfRule>
    <cfRule type="expression" dxfId="7300" priority="8637">
      <formula>L271=""</formula>
    </cfRule>
    <cfRule type="expression" dxfId="7299" priority="8638">
      <formula>L271&lt;44.5</formula>
    </cfRule>
    <cfRule type="expression" dxfId="7298" priority="8639">
      <formula>L271&lt;60.5</formula>
    </cfRule>
    <cfRule type="expression" dxfId="7297" priority="8640">
      <formula>L271&lt;85.5</formula>
    </cfRule>
    <cfRule type="expression" dxfId="7296" priority="8641">
      <formula>L271&gt;85.5</formula>
    </cfRule>
  </conditionalFormatting>
  <conditionalFormatting sqref="L271:L273 L275">
    <cfRule type="expression" dxfId="7295" priority="8611">
      <formula>L$270=""</formula>
    </cfRule>
  </conditionalFormatting>
  <conditionalFormatting sqref="L272">
    <cfRule type="expression" dxfId="7294" priority="8629">
      <formula>L272="**"</formula>
    </cfRule>
    <cfRule type="expression" dxfId="7293" priority="8630">
      <formula>L272=""</formula>
    </cfRule>
    <cfRule type="expression" dxfId="7292" priority="8631">
      <formula>L272&lt;44.5</formula>
    </cfRule>
    <cfRule type="expression" dxfId="7291" priority="8632">
      <formula>L272&lt;60.5</formula>
    </cfRule>
    <cfRule type="expression" dxfId="7290" priority="8633">
      <formula>L272&lt;85.5</formula>
    </cfRule>
    <cfRule type="expression" dxfId="7289" priority="8635">
      <formula>L272&gt;85.5</formula>
    </cfRule>
  </conditionalFormatting>
  <conditionalFormatting sqref="L273">
    <cfRule type="expression" dxfId="7288" priority="8623">
      <formula>L273="**"</formula>
    </cfRule>
    <cfRule type="expression" dxfId="7287" priority="8624">
      <formula>L273=""</formula>
    </cfRule>
    <cfRule type="expression" dxfId="7286" priority="8625">
      <formula>L273&lt;44.5</formula>
    </cfRule>
    <cfRule type="expression" dxfId="7285" priority="8626">
      <formula>L273&lt;60.5</formula>
    </cfRule>
    <cfRule type="expression" dxfId="7284" priority="8627">
      <formula>L273&lt;85.5</formula>
    </cfRule>
    <cfRule type="expression" dxfId="7283" priority="8628">
      <formula>L273&gt;85.5</formula>
    </cfRule>
  </conditionalFormatting>
  <conditionalFormatting sqref="L275">
    <cfRule type="expression" dxfId="7282" priority="8612">
      <formula>L275="**"</formula>
    </cfRule>
    <cfRule type="expression" dxfId="7281" priority="8613">
      <formula>L275=""</formula>
    </cfRule>
    <cfRule type="expression" dxfId="7280" priority="8614">
      <formula>L275&lt;44.5</formula>
    </cfRule>
    <cfRule type="expression" dxfId="7279" priority="8615">
      <formula>L275&lt;60.5</formula>
    </cfRule>
    <cfRule type="expression" dxfId="7278" priority="8616">
      <formula>L275&lt;85.5</formula>
    </cfRule>
    <cfRule type="expression" dxfId="7277" priority="8617">
      <formula>L275&gt;85.5</formula>
    </cfRule>
  </conditionalFormatting>
  <conditionalFormatting sqref="C301">
    <cfRule type="expression" dxfId="7276" priority="8605">
      <formula>C301="**"</formula>
    </cfRule>
    <cfRule type="expression" dxfId="7275" priority="8606">
      <formula>C301=""</formula>
    </cfRule>
    <cfRule type="expression" dxfId="7274" priority="8607">
      <formula>C301&lt;44.5</formula>
    </cfRule>
    <cfRule type="expression" dxfId="7273" priority="8608">
      <formula>C301&lt;60.5</formula>
    </cfRule>
    <cfRule type="expression" dxfId="7272" priority="8609">
      <formula>C301&lt;85.5</formula>
    </cfRule>
    <cfRule type="expression" dxfId="7271" priority="8610">
      <formula>C301&gt;85.5</formula>
    </cfRule>
  </conditionalFormatting>
  <conditionalFormatting sqref="C301:C305">
    <cfRule type="expression" dxfId="7270" priority="8580">
      <formula>C$300=""</formula>
    </cfRule>
  </conditionalFormatting>
  <conditionalFormatting sqref="C302">
    <cfRule type="expression" dxfId="7269" priority="8598">
      <formula>C302="**"</formula>
    </cfRule>
    <cfRule type="expression" dxfId="7268" priority="8599">
      <formula>C302=""</formula>
    </cfRule>
    <cfRule type="expression" dxfId="7267" priority="8600">
      <formula>C302&lt;44.5</formula>
    </cfRule>
    <cfRule type="expression" dxfId="7266" priority="8601">
      <formula>C302&lt;60.5</formula>
    </cfRule>
    <cfRule type="expression" dxfId="7265" priority="8602">
      <formula>C302&lt;85.5</formula>
    </cfRule>
    <cfRule type="expression" dxfId="7264" priority="8604">
      <formula>C302&gt;85.5</formula>
    </cfRule>
  </conditionalFormatting>
  <conditionalFormatting sqref="C303">
    <cfRule type="expression" dxfId="7263" priority="8592">
      <formula>C303="**"</formula>
    </cfRule>
    <cfRule type="expression" dxfId="7262" priority="8593">
      <formula>C303=""</formula>
    </cfRule>
    <cfRule type="expression" dxfId="7261" priority="8594">
      <formula>C303&lt;44.5</formula>
    </cfRule>
    <cfRule type="expression" dxfId="7260" priority="8595">
      <formula>C303&lt;60.5</formula>
    </cfRule>
    <cfRule type="expression" dxfId="7259" priority="8596">
      <formula>C303&lt;85.5</formula>
    </cfRule>
    <cfRule type="expression" dxfId="7258" priority="8597">
      <formula>C303&gt;85.5</formula>
    </cfRule>
  </conditionalFormatting>
  <conditionalFormatting sqref="C304">
    <cfRule type="expression" dxfId="7257" priority="8587">
      <formula>C304="**"</formula>
    </cfRule>
    <cfRule type="expression" dxfId="7256" priority="8588">
      <formula>C304=""</formula>
    </cfRule>
    <cfRule type="expression" dxfId="7255" priority="8589">
      <formula>C304&lt;44.5</formula>
    </cfRule>
    <cfRule type="expression" dxfId="7254" priority="8590">
      <formula>C304&lt;60.5</formula>
    </cfRule>
    <cfRule type="expression" dxfId="7253" priority="8591">
      <formula>C304&lt;85.5</formula>
    </cfRule>
    <cfRule type="expression" dxfId="7252" priority="8603">
      <formula>C304&gt;85.5</formula>
    </cfRule>
  </conditionalFormatting>
  <conditionalFormatting sqref="C305">
    <cfRule type="expression" dxfId="7251" priority="8581">
      <formula>C305="**"</formula>
    </cfRule>
    <cfRule type="expression" dxfId="7250" priority="8582">
      <formula>C305=""</formula>
    </cfRule>
    <cfRule type="expression" dxfId="7249" priority="8583">
      <formula>C305&lt;44.5</formula>
    </cfRule>
    <cfRule type="expression" dxfId="7248" priority="8584">
      <formula>C305&lt;60.5</formula>
    </cfRule>
    <cfRule type="expression" dxfId="7247" priority="8585">
      <formula>C305&lt;85.5</formula>
    </cfRule>
    <cfRule type="expression" dxfId="7246" priority="8586">
      <formula>C305&gt;85.5</formula>
    </cfRule>
  </conditionalFormatting>
  <conditionalFormatting sqref="D301">
    <cfRule type="expression" dxfId="7245" priority="8574">
      <formula>D301="**"</formula>
    </cfRule>
    <cfRule type="expression" dxfId="7244" priority="8575">
      <formula>D301=""</formula>
    </cfRule>
    <cfRule type="expression" dxfId="7243" priority="8576">
      <formula>D301&lt;44.5</formula>
    </cfRule>
    <cfRule type="expression" dxfId="7242" priority="8577">
      <formula>D301&lt;60.5</formula>
    </cfRule>
    <cfRule type="expression" dxfId="7241" priority="8578">
      <formula>D301&lt;85.5</formula>
    </cfRule>
    <cfRule type="expression" dxfId="7240" priority="8579">
      <formula>D301&gt;85.5</formula>
    </cfRule>
  </conditionalFormatting>
  <conditionalFormatting sqref="D301:D303 D305">
    <cfRule type="expression" dxfId="7239" priority="8549">
      <formula>D$300=""</formula>
    </cfRule>
  </conditionalFormatting>
  <conditionalFormatting sqref="D302">
    <cfRule type="expression" dxfId="7238" priority="8567">
      <formula>D302="**"</formula>
    </cfRule>
    <cfRule type="expression" dxfId="7237" priority="8568">
      <formula>D302=""</formula>
    </cfRule>
    <cfRule type="expression" dxfId="7236" priority="8569">
      <formula>D302&lt;44.5</formula>
    </cfRule>
    <cfRule type="expression" dxfId="7235" priority="8570">
      <formula>D302&lt;60.5</formula>
    </cfRule>
    <cfRule type="expression" dxfId="7234" priority="8571">
      <formula>D302&lt;85.5</formula>
    </cfRule>
    <cfRule type="expression" dxfId="7233" priority="8573">
      <formula>D302&gt;85.5</formula>
    </cfRule>
  </conditionalFormatting>
  <conditionalFormatting sqref="D303">
    <cfRule type="expression" dxfId="7232" priority="8561">
      <formula>D303="**"</formula>
    </cfRule>
    <cfRule type="expression" dxfId="7231" priority="8562">
      <formula>D303=""</formula>
    </cfRule>
    <cfRule type="expression" dxfId="7230" priority="8563">
      <formula>D303&lt;44.5</formula>
    </cfRule>
    <cfRule type="expression" dxfId="7229" priority="8564">
      <formula>D303&lt;60.5</formula>
    </cfRule>
    <cfRule type="expression" dxfId="7228" priority="8565">
      <formula>D303&lt;85.5</formula>
    </cfRule>
    <cfRule type="expression" dxfId="7227" priority="8566">
      <formula>D303&gt;85.5</formula>
    </cfRule>
  </conditionalFormatting>
  <conditionalFormatting sqref="D305">
    <cfRule type="expression" dxfId="7226" priority="8550">
      <formula>D305="**"</formula>
    </cfRule>
    <cfRule type="expression" dxfId="7225" priority="8551">
      <formula>D305=""</formula>
    </cfRule>
    <cfRule type="expression" dxfId="7224" priority="8552">
      <formula>D305&lt;44.5</formula>
    </cfRule>
    <cfRule type="expression" dxfId="7223" priority="8553">
      <formula>D305&lt;60.5</formula>
    </cfRule>
    <cfRule type="expression" dxfId="7222" priority="8554">
      <formula>D305&lt;85.5</formula>
    </cfRule>
    <cfRule type="expression" dxfId="7221" priority="8555">
      <formula>D305&gt;85.5</formula>
    </cfRule>
  </conditionalFormatting>
  <conditionalFormatting sqref="E301">
    <cfRule type="expression" dxfId="7220" priority="8543">
      <formula>E301="**"</formula>
    </cfRule>
    <cfRule type="expression" dxfId="7219" priority="8544">
      <formula>E301=""</formula>
    </cfRule>
    <cfRule type="expression" dxfId="7218" priority="8545">
      <formula>E301&lt;44.5</formula>
    </cfRule>
    <cfRule type="expression" dxfId="7217" priority="8546">
      <formula>E301&lt;60.5</formula>
    </cfRule>
    <cfRule type="expression" dxfId="7216" priority="8547">
      <formula>E301&lt;85.5</formula>
    </cfRule>
    <cfRule type="expression" dxfId="7215" priority="8548">
      <formula>E301&gt;85.5</formula>
    </cfRule>
  </conditionalFormatting>
  <conditionalFormatting sqref="E301:E303 E305">
    <cfRule type="expression" dxfId="7214" priority="8518">
      <formula>E$300=""</formula>
    </cfRule>
  </conditionalFormatting>
  <conditionalFormatting sqref="E302">
    <cfRule type="expression" dxfId="7213" priority="8536">
      <formula>E302="**"</formula>
    </cfRule>
    <cfRule type="expression" dxfId="7212" priority="8537">
      <formula>E302=""</formula>
    </cfRule>
    <cfRule type="expression" dxfId="7211" priority="8538">
      <formula>E302&lt;44.5</formula>
    </cfRule>
    <cfRule type="expression" dxfId="7210" priority="8539">
      <formula>E302&lt;60.5</formula>
    </cfRule>
    <cfRule type="expression" dxfId="7209" priority="8540">
      <formula>E302&lt;85.5</formula>
    </cfRule>
    <cfRule type="expression" dxfId="7208" priority="8542">
      <formula>E302&gt;85.5</formula>
    </cfRule>
  </conditionalFormatting>
  <conditionalFormatting sqref="E303">
    <cfRule type="expression" dxfId="7207" priority="8530">
      <formula>E303="**"</formula>
    </cfRule>
    <cfRule type="expression" dxfId="7206" priority="8531">
      <formula>E303=""</formula>
    </cfRule>
    <cfRule type="expression" dxfId="7205" priority="8532">
      <formula>E303&lt;44.5</formula>
    </cfRule>
    <cfRule type="expression" dxfId="7204" priority="8533">
      <formula>E303&lt;60.5</formula>
    </cfRule>
    <cfRule type="expression" dxfId="7203" priority="8534">
      <formula>E303&lt;85.5</formula>
    </cfRule>
    <cfRule type="expression" dxfId="7202" priority="8535">
      <formula>E303&gt;85.5</formula>
    </cfRule>
  </conditionalFormatting>
  <conditionalFormatting sqref="E305">
    <cfRule type="expression" dxfId="7201" priority="8519">
      <formula>E305="**"</formula>
    </cfRule>
    <cfRule type="expression" dxfId="7200" priority="8520">
      <formula>E305=""</formula>
    </cfRule>
    <cfRule type="expression" dxfId="7199" priority="8521">
      <formula>E305&lt;44.5</formula>
    </cfRule>
    <cfRule type="expression" dxfId="7198" priority="8522">
      <formula>E305&lt;60.5</formula>
    </cfRule>
    <cfRule type="expression" dxfId="7197" priority="8523">
      <formula>E305&lt;85.5</formula>
    </cfRule>
    <cfRule type="expression" dxfId="7196" priority="8524">
      <formula>E305&gt;85.5</formula>
    </cfRule>
  </conditionalFormatting>
  <conditionalFormatting sqref="F301">
    <cfRule type="expression" dxfId="7195" priority="8512">
      <formula>F301="**"</formula>
    </cfRule>
    <cfRule type="expression" dxfId="7194" priority="8513">
      <formula>F301=""</formula>
    </cfRule>
    <cfRule type="expression" dxfId="7193" priority="8514">
      <formula>F301&lt;44.5</formula>
    </cfRule>
    <cfRule type="expression" dxfId="7192" priority="8515">
      <formula>F301&lt;60.5</formula>
    </cfRule>
    <cfRule type="expression" dxfId="7191" priority="8516">
      <formula>F301&lt;85.5</formula>
    </cfRule>
    <cfRule type="expression" dxfId="7190" priority="8517">
      <formula>F301&gt;85.5</formula>
    </cfRule>
  </conditionalFormatting>
  <conditionalFormatting sqref="F301:F303 F305">
    <cfRule type="expression" dxfId="7189" priority="8487">
      <formula>F$300=""</formula>
    </cfRule>
  </conditionalFormatting>
  <conditionalFormatting sqref="F302">
    <cfRule type="expression" dxfId="7188" priority="8505">
      <formula>F302="**"</formula>
    </cfRule>
    <cfRule type="expression" dxfId="7187" priority="8506">
      <formula>F302=""</formula>
    </cfRule>
    <cfRule type="expression" dxfId="7186" priority="8507">
      <formula>F302&lt;44.5</formula>
    </cfRule>
    <cfRule type="expression" dxfId="7185" priority="8508">
      <formula>F302&lt;60.5</formula>
    </cfRule>
    <cfRule type="expression" dxfId="7184" priority="8509">
      <formula>F302&lt;85.5</formula>
    </cfRule>
    <cfRule type="expression" dxfId="7183" priority="8511">
      <formula>F302&gt;85.5</formula>
    </cfRule>
  </conditionalFormatting>
  <conditionalFormatting sqref="F303">
    <cfRule type="expression" dxfId="7182" priority="8499">
      <formula>F303="**"</formula>
    </cfRule>
    <cfRule type="expression" dxfId="7181" priority="8500">
      <formula>F303=""</formula>
    </cfRule>
    <cfRule type="expression" dxfId="7180" priority="8501">
      <formula>F303&lt;44.5</formula>
    </cfRule>
    <cfRule type="expression" dxfId="7179" priority="8502">
      <formula>F303&lt;60.5</formula>
    </cfRule>
    <cfRule type="expression" dxfId="7178" priority="8503">
      <formula>F303&lt;85.5</formula>
    </cfRule>
    <cfRule type="expression" dxfId="7177" priority="8504">
      <formula>F303&gt;85.5</formula>
    </cfRule>
  </conditionalFormatting>
  <conditionalFormatting sqref="F305">
    <cfRule type="expression" dxfId="7176" priority="8488">
      <formula>F305="**"</formula>
    </cfRule>
    <cfRule type="expression" dxfId="7175" priority="8489">
      <formula>F305=""</formula>
    </cfRule>
    <cfRule type="expression" dxfId="7174" priority="8490">
      <formula>F305&lt;44.5</formula>
    </cfRule>
    <cfRule type="expression" dxfId="7173" priority="8491">
      <formula>F305&lt;60.5</formula>
    </cfRule>
    <cfRule type="expression" dxfId="7172" priority="8492">
      <formula>F305&lt;85.5</formula>
    </cfRule>
    <cfRule type="expression" dxfId="7171" priority="8493">
      <formula>F305&gt;85.5</formula>
    </cfRule>
  </conditionalFormatting>
  <conditionalFormatting sqref="G301">
    <cfRule type="expression" dxfId="7170" priority="8481">
      <formula>G301="**"</formula>
    </cfRule>
    <cfRule type="expression" dxfId="7169" priority="8482">
      <formula>G301=""</formula>
    </cfRule>
    <cfRule type="expression" dxfId="7168" priority="8483">
      <formula>G301&lt;44.5</formula>
    </cfRule>
    <cfRule type="expression" dxfId="7167" priority="8484">
      <formula>G301&lt;60.5</formula>
    </cfRule>
    <cfRule type="expression" dxfId="7166" priority="8485">
      <formula>G301&lt;85.5</formula>
    </cfRule>
    <cfRule type="expression" dxfId="7165" priority="8486">
      <formula>G301&gt;85.5</formula>
    </cfRule>
  </conditionalFormatting>
  <conditionalFormatting sqref="G301:G303 G305">
    <cfRule type="expression" dxfId="7164" priority="8456">
      <formula>G$300=""</formula>
    </cfRule>
  </conditionalFormatting>
  <conditionalFormatting sqref="G302">
    <cfRule type="expression" dxfId="7163" priority="8474">
      <formula>G302="**"</formula>
    </cfRule>
    <cfRule type="expression" dxfId="7162" priority="8475">
      <formula>G302=""</formula>
    </cfRule>
    <cfRule type="expression" dxfId="7161" priority="8476">
      <formula>G302&lt;44.5</formula>
    </cfRule>
    <cfRule type="expression" dxfId="7160" priority="8477">
      <formula>G302&lt;60.5</formula>
    </cfRule>
    <cfRule type="expression" dxfId="7159" priority="8478">
      <formula>G302&lt;85.5</formula>
    </cfRule>
    <cfRule type="expression" dxfId="7158" priority="8480">
      <formula>G302&gt;85.5</formula>
    </cfRule>
  </conditionalFormatting>
  <conditionalFormatting sqref="G303">
    <cfRule type="expression" dxfId="7157" priority="8468">
      <formula>G303="**"</formula>
    </cfRule>
    <cfRule type="expression" dxfId="7156" priority="8469">
      <formula>G303=""</formula>
    </cfRule>
    <cfRule type="expression" dxfId="7155" priority="8470">
      <formula>G303&lt;44.5</formula>
    </cfRule>
    <cfRule type="expression" dxfId="7154" priority="8471">
      <formula>G303&lt;60.5</formula>
    </cfRule>
    <cfRule type="expression" dxfId="7153" priority="8472">
      <formula>G303&lt;85.5</formula>
    </cfRule>
    <cfRule type="expression" dxfId="7152" priority="8473">
      <formula>G303&gt;85.5</formula>
    </cfRule>
  </conditionalFormatting>
  <conditionalFormatting sqref="G305">
    <cfRule type="expression" dxfId="7151" priority="8457">
      <formula>G305="**"</formula>
    </cfRule>
    <cfRule type="expression" dxfId="7150" priority="8458">
      <formula>G305=""</formula>
    </cfRule>
    <cfRule type="expression" dxfId="7149" priority="8459">
      <formula>G305&lt;44.5</formula>
    </cfRule>
    <cfRule type="expression" dxfId="7148" priority="8460">
      <formula>G305&lt;60.5</formula>
    </cfRule>
    <cfRule type="expression" dxfId="7147" priority="8461">
      <formula>G305&lt;85.5</formula>
    </cfRule>
    <cfRule type="expression" dxfId="7146" priority="8462">
      <formula>G305&gt;85.5</formula>
    </cfRule>
  </conditionalFormatting>
  <conditionalFormatting sqref="H301">
    <cfRule type="expression" dxfId="7145" priority="8450">
      <formula>H301="**"</formula>
    </cfRule>
    <cfRule type="expression" dxfId="7144" priority="8451">
      <formula>H301=""</formula>
    </cfRule>
    <cfRule type="expression" dxfId="7143" priority="8452">
      <formula>H301&lt;44.5</formula>
    </cfRule>
    <cfRule type="expression" dxfId="7142" priority="8453">
      <formula>H301&lt;60.5</formula>
    </cfRule>
    <cfRule type="expression" dxfId="7141" priority="8454">
      <formula>H301&lt;85.5</formula>
    </cfRule>
    <cfRule type="expression" dxfId="7140" priority="8455">
      <formula>H301&gt;85.5</formula>
    </cfRule>
  </conditionalFormatting>
  <conditionalFormatting sqref="H301:H303 H305">
    <cfRule type="expression" dxfId="7139" priority="8425">
      <formula>H$300=""</formula>
    </cfRule>
  </conditionalFormatting>
  <conditionalFormatting sqref="H302">
    <cfRule type="expression" dxfId="7138" priority="8443">
      <formula>H302="**"</formula>
    </cfRule>
    <cfRule type="expression" dxfId="7137" priority="8444">
      <formula>H302=""</formula>
    </cfRule>
    <cfRule type="expression" dxfId="7136" priority="8445">
      <formula>H302&lt;44.5</formula>
    </cfRule>
    <cfRule type="expression" dxfId="7135" priority="8446">
      <formula>H302&lt;60.5</formula>
    </cfRule>
    <cfRule type="expression" dxfId="7134" priority="8447">
      <formula>H302&lt;85.5</formula>
    </cfRule>
    <cfRule type="expression" dxfId="7133" priority="8449">
      <formula>H302&gt;85.5</formula>
    </cfRule>
  </conditionalFormatting>
  <conditionalFormatting sqref="H303">
    <cfRule type="expression" dxfId="7132" priority="8437">
      <formula>H303="**"</formula>
    </cfRule>
    <cfRule type="expression" dxfId="7131" priority="8438">
      <formula>H303=""</formula>
    </cfRule>
    <cfRule type="expression" dxfId="7130" priority="8439">
      <formula>H303&lt;44.5</formula>
    </cfRule>
    <cfRule type="expression" dxfId="7129" priority="8440">
      <formula>H303&lt;60.5</formula>
    </cfRule>
    <cfRule type="expression" dxfId="7128" priority="8441">
      <formula>H303&lt;85.5</formula>
    </cfRule>
    <cfRule type="expression" dxfId="7127" priority="8442">
      <formula>H303&gt;85.5</formula>
    </cfRule>
  </conditionalFormatting>
  <conditionalFormatting sqref="H305">
    <cfRule type="expression" dxfId="7126" priority="8426">
      <formula>H305="**"</formula>
    </cfRule>
    <cfRule type="expression" dxfId="7125" priority="8427">
      <formula>H305=""</formula>
    </cfRule>
    <cfRule type="expression" dxfId="7124" priority="8428">
      <formula>H305&lt;44.5</formula>
    </cfRule>
    <cfRule type="expression" dxfId="7123" priority="8429">
      <formula>H305&lt;60.5</formula>
    </cfRule>
    <cfRule type="expression" dxfId="7122" priority="8430">
      <formula>H305&lt;85.5</formula>
    </cfRule>
    <cfRule type="expression" dxfId="7121" priority="8431">
      <formula>H305&gt;85.5</formula>
    </cfRule>
  </conditionalFormatting>
  <conditionalFormatting sqref="I301">
    <cfRule type="expression" dxfId="7120" priority="8419">
      <formula>I301="**"</formula>
    </cfRule>
    <cfRule type="expression" dxfId="7119" priority="8420">
      <formula>I301=""</formula>
    </cfRule>
    <cfRule type="expression" dxfId="7118" priority="8421">
      <formula>I301&lt;44.5</formula>
    </cfRule>
    <cfRule type="expression" dxfId="7117" priority="8422">
      <formula>I301&lt;60.5</formula>
    </cfRule>
    <cfRule type="expression" dxfId="7116" priority="8423">
      <formula>I301&lt;85.5</formula>
    </cfRule>
    <cfRule type="expression" dxfId="7115" priority="8424">
      <formula>I301&gt;85.5</formula>
    </cfRule>
  </conditionalFormatting>
  <conditionalFormatting sqref="I301:I303 I305">
    <cfRule type="expression" dxfId="7114" priority="8394">
      <formula>I$300=""</formula>
    </cfRule>
  </conditionalFormatting>
  <conditionalFormatting sqref="I302">
    <cfRule type="expression" dxfId="7113" priority="8412">
      <formula>I302="**"</formula>
    </cfRule>
    <cfRule type="expression" dxfId="7112" priority="8413">
      <formula>I302=""</formula>
    </cfRule>
    <cfRule type="expression" dxfId="7111" priority="8414">
      <formula>I302&lt;44.5</formula>
    </cfRule>
    <cfRule type="expression" dxfId="7110" priority="8415">
      <formula>I302&lt;60.5</formula>
    </cfRule>
    <cfRule type="expression" dxfId="7109" priority="8416">
      <formula>I302&lt;85.5</formula>
    </cfRule>
    <cfRule type="expression" dxfId="7108" priority="8418">
      <formula>I302&gt;85.5</formula>
    </cfRule>
  </conditionalFormatting>
  <conditionalFormatting sqref="I303">
    <cfRule type="expression" dxfId="7107" priority="8406">
      <formula>I303="**"</formula>
    </cfRule>
    <cfRule type="expression" dxfId="7106" priority="8407">
      <formula>I303=""</formula>
    </cfRule>
    <cfRule type="expression" dxfId="7105" priority="8408">
      <formula>I303&lt;44.5</formula>
    </cfRule>
    <cfRule type="expression" dxfId="7104" priority="8409">
      <formula>I303&lt;60.5</formula>
    </cfRule>
    <cfRule type="expression" dxfId="7103" priority="8410">
      <formula>I303&lt;85.5</formula>
    </cfRule>
    <cfRule type="expression" dxfId="7102" priority="8411">
      <formula>I303&gt;85.5</formula>
    </cfRule>
  </conditionalFormatting>
  <conditionalFormatting sqref="I305">
    <cfRule type="expression" dxfId="7101" priority="8395">
      <formula>I305="**"</formula>
    </cfRule>
    <cfRule type="expression" dxfId="7100" priority="8396">
      <formula>I305=""</formula>
    </cfRule>
    <cfRule type="expression" dxfId="7099" priority="8397">
      <formula>I305&lt;44.5</formula>
    </cfRule>
    <cfRule type="expression" dxfId="7098" priority="8398">
      <formula>I305&lt;60.5</formula>
    </cfRule>
    <cfRule type="expression" dxfId="7097" priority="8399">
      <formula>I305&lt;85.5</formula>
    </cfRule>
    <cfRule type="expression" dxfId="7096" priority="8400">
      <formula>I305&gt;85.5</formula>
    </cfRule>
  </conditionalFormatting>
  <conditionalFormatting sqref="J301">
    <cfRule type="expression" dxfId="7095" priority="8388">
      <formula>J301="**"</formula>
    </cfRule>
    <cfRule type="expression" dxfId="7094" priority="8389">
      <formula>J301=""</formula>
    </cfRule>
    <cfRule type="expression" dxfId="7093" priority="8390">
      <formula>J301&lt;44.5</formula>
    </cfRule>
    <cfRule type="expression" dxfId="7092" priority="8391">
      <formula>J301&lt;60.5</formula>
    </cfRule>
    <cfRule type="expression" dxfId="7091" priority="8392">
      <formula>J301&lt;85.5</formula>
    </cfRule>
    <cfRule type="expression" dxfId="7090" priority="8393">
      <formula>J301&gt;85.5</formula>
    </cfRule>
  </conditionalFormatting>
  <conditionalFormatting sqref="J301:J303 J305">
    <cfRule type="expression" dxfId="7089" priority="8363">
      <formula>J$300=""</formula>
    </cfRule>
  </conditionalFormatting>
  <conditionalFormatting sqref="J302">
    <cfRule type="expression" dxfId="7088" priority="8381">
      <formula>J302="**"</formula>
    </cfRule>
    <cfRule type="expression" dxfId="7087" priority="8382">
      <formula>J302=""</formula>
    </cfRule>
    <cfRule type="expression" dxfId="7086" priority="8383">
      <formula>J302&lt;44.5</formula>
    </cfRule>
    <cfRule type="expression" dxfId="7085" priority="8384">
      <formula>J302&lt;60.5</formula>
    </cfRule>
    <cfRule type="expression" dxfId="7084" priority="8385">
      <formula>J302&lt;85.5</formula>
    </cfRule>
    <cfRule type="expression" dxfId="7083" priority="8387">
      <formula>J302&gt;85.5</formula>
    </cfRule>
  </conditionalFormatting>
  <conditionalFormatting sqref="J303">
    <cfRule type="expression" dxfId="7082" priority="8375">
      <formula>J303="**"</formula>
    </cfRule>
    <cfRule type="expression" dxfId="7081" priority="8376">
      <formula>J303=""</formula>
    </cfRule>
    <cfRule type="expression" dxfId="7080" priority="8377">
      <formula>J303&lt;44.5</formula>
    </cfRule>
    <cfRule type="expression" dxfId="7079" priority="8378">
      <formula>J303&lt;60.5</formula>
    </cfRule>
    <cfRule type="expression" dxfId="7078" priority="8379">
      <formula>J303&lt;85.5</formula>
    </cfRule>
    <cfRule type="expression" dxfId="7077" priority="8380">
      <formula>J303&gt;85.5</formula>
    </cfRule>
  </conditionalFormatting>
  <conditionalFormatting sqref="J305">
    <cfRule type="expression" dxfId="7076" priority="8364">
      <formula>J305="**"</formula>
    </cfRule>
    <cfRule type="expression" dxfId="7075" priority="8365">
      <formula>J305=""</formula>
    </cfRule>
    <cfRule type="expression" dxfId="7074" priority="8366">
      <formula>J305&lt;44.5</formula>
    </cfRule>
    <cfRule type="expression" dxfId="7073" priority="8367">
      <formula>J305&lt;60.5</formula>
    </cfRule>
    <cfRule type="expression" dxfId="7072" priority="8368">
      <formula>J305&lt;85.5</formula>
    </cfRule>
    <cfRule type="expression" dxfId="7071" priority="8369">
      <formula>J305&gt;85.5</formula>
    </cfRule>
  </conditionalFormatting>
  <conditionalFormatting sqref="K301">
    <cfRule type="expression" dxfId="7070" priority="8357">
      <formula>K301="**"</formula>
    </cfRule>
    <cfRule type="expression" dxfId="7069" priority="8358">
      <formula>K301=""</formula>
    </cfRule>
    <cfRule type="expression" dxfId="7068" priority="8359">
      <formula>K301&lt;44.5</formula>
    </cfRule>
    <cfRule type="expression" dxfId="7067" priority="8360">
      <formula>K301&lt;60.5</formula>
    </cfRule>
    <cfRule type="expression" dxfId="7066" priority="8361">
      <formula>K301&lt;85.5</formula>
    </cfRule>
    <cfRule type="expression" dxfId="7065" priority="8362">
      <formula>K301&gt;85.5</formula>
    </cfRule>
  </conditionalFormatting>
  <conditionalFormatting sqref="K301:K303 K305">
    <cfRule type="expression" dxfId="7064" priority="8332">
      <formula>K$300=""</formula>
    </cfRule>
  </conditionalFormatting>
  <conditionalFormatting sqref="K302">
    <cfRule type="expression" dxfId="7063" priority="8350">
      <formula>K302="**"</formula>
    </cfRule>
    <cfRule type="expression" dxfId="7062" priority="8351">
      <formula>K302=""</formula>
    </cfRule>
    <cfRule type="expression" dxfId="7061" priority="8352">
      <formula>K302&lt;44.5</formula>
    </cfRule>
    <cfRule type="expression" dxfId="7060" priority="8353">
      <formula>K302&lt;60.5</formula>
    </cfRule>
    <cfRule type="expression" dxfId="7059" priority="8354">
      <formula>K302&lt;85.5</formula>
    </cfRule>
    <cfRule type="expression" dxfId="7058" priority="8356">
      <formula>K302&gt;85.5</formula>
    </cfRule>
  </conditionalFormatting>
  <conditionalFormatting sqref="K303">
    <cfRule type="expression" dxfId="7057" priority="8344">
      <formula>K303="**"</formula>
    </cfRule>
    <cfRule type="expression" dxfId="7056" priority="8345">
      <formula>K303=""</formula>
    </cfRule>
    <cfRule type="expression" dxfId="7055" priority="8346">
      <formula>K303&lt;44.5</formula>
    </cfRule>
    <cfRule type="expression" dxfId="7054" priority="8347">
      <formula>K303&lt;60.5</formula>
    </cfRule>
    <cfRule type="expression" dxfId="7053" priority="8348">
      <formula>K303&lt;85.5</formula>
    </cfRule>
    <cfRule type="expression" dxfId="7052" priority="8349">
      <formula>K303&gt;85.5</formula>
    </cfRule>
  </conditionalFormatting>
  <conditionalFormatting sqref="K305">
    <cfRule type="expression" dxfId="7051" priority="8333">
      <formula>K305="**"</formula>
    </cfRule>
    <cfRule type="expression" dxfId="7050" priority="8334">
      <formula>K305=""</formula>
    </cfRule>
    <cfRule type="expression" dxfId="7049" priority="8335">
      <formula>K305&lt;44.5</formula>
    </cfRule>
    <cfRule type="expression" dxfId="7048" priority="8336">
      <formula>K305&lt;60.5</formula>
    </cfRule>
    <cfRule type="expression" dxfId="7047" priority="8337">
      <formula>K305&lt;85.5</formula>
    </cfRule>
    <cfRule type="expression" dxfId="7046" priority="8338">
      <formula>K305&gt;85.5</formula>
    </cfRule>
  </conditionalFormatting>
  <conditionalFormatting sqref="L301">
    <cfRule type="expression" dxfId="7045" priority="8326">
      <formula>L301="**"</formula>
    </cfRule>
    <cfRule type="expression" dxfId="7044" priority="8327">
      <formula>L301=""</formula>
    </cfRule>
    <cfRule type="expression" dxfId="7043" priority="8328">
      <formula>L301&lt;44.5</formula>
    </cfRule>
    <cfRule type="expression" dxfId="7042" priority="8329">
      <formula>L301&lt;60.5</formula>
    </cfRule>
    <cfRule type="expression" dxfId="7041" priority="8330">
      <formula>L301&lt;85.5</formula>
    </cfRule>
    <cfRule type="expression" dxfId="7040" priority="8331">
      <formula>L301&gt;85.5</formula>
    </cfRule>
  </conditionalFormatting>
  <conditionalFormatting sqref="L301:L303 L305">
    <cfRule type="expression" dxfId="7039" priority="8301">
      <formula>L$300=""</formula>
    </cfRule>
  </conditionalFormatting>
  <conditionalFormatting sqref="L302">
    <cfRule type="expression" dxfId="7038" priority="8319">
      <formula>L302="**"</formula>
    </cfRule>
    <cfRule type="expression" dxfId="7037" priority="8320">
      <formula>L302=""</formula>
    </cfRule>
    <cfRule type="expression" dxfId="7036" priority="8321">
      <formula>L302&lt;44.5</formula>
    </cfRule>
    <cfRule type="expression" dxfId="7035" priority="8322">
      <formula>L302&lt;60.5</formula>
    </cfRule>
    <cfRule type="expression" dxfId="7034" priority="8323">
      <formula>L302&lt;85.5</formula>
    </cfRule>
    <cfRule type="expression" dxfId="7033" priority="8325">
      <formula>L302&gt;85.5</formula>
    </cfRule>
  </conditionalFormatting>
  <conditionalFormatting sqref="L303">
    <cfRule type="expression" dxfId="7032" priority="8313">
      <formula>L303="**"</formula>
    </cfRule>
    <cfRule type="expression" dxfId="7031" priority="8314">
      <formula>L303=""</formula>
    </cfRule>
    <cfRule type="expression" dxfId="7030" priority="8315">
      <formula>L303&lt;44.5</formula>
    </cfRule>
    <cfRule type="expression" dxfId="7029" priority="8316">
      <formula>L303&lt;60.5</formula>
    </cfRule>
    <cfRule type="expression" dxfId="7028" priority="8317">
      <formula>L303&lt;85.5</formula>
    </cfRule>
    <cfRule type="expression" dxfId="7027" priority="8318">
      <formula>L303&gt;85.5</formula>
    </cfRule>
  </conditionalFormatting>
  <conditionalFormatting sqref="L305">
    <cfRule type="expression" dxfId="7026" priority="8302">
      <formula>L305="**"</formula>
    </cfRule>
    <cfRule type="expression" dxfId="7025" priority="8303">
      <formula>L305=""</formula>
    </cfRule>
    <cfRule type="expression" dxfId="7024" priority="8304">
      <formula>L305&lt;44.5</formula>
    </cfRule>
    <cfRule type="expression" dxfId="7023" priority="8305">
      <formula>L305&lt;60.5</formula>
    </cfRule>
    <cfRule type="expression" dxfId="7022" priority="8306">
      <formula>L305&lt;85.5</formula>
    </cfRule>
    <cfRule type="expression" dxfId="7021" priority="8307">
      <formula>L305&gt;85.5</formula>
    </cfRule>
  </conditionalFormatting>
  <conditionalFormatting sqref="C331">
    <cfRule type="expression" dxfId="7020" priority="8295">
      <formula>C331="**"</formula>
    </cfRule>
    <cfRule type="expression" dxfId="7019" priority="8296">
      <formula>C331=""</formula>
    </cfRule>
    <cfRule type="expression" dxfId="7018" priority="8297">
      <formula>C331&lt;44.5</formula>
    </cfRule>
    <cfRule type="expression" dxfId="7017" priority="8298">
      <formula>C331&lt;60.5</formula>
    </cfRule>
    <cfRule type="expression" dxfId="7016" priority="8299">
      <formula>C331&lt;85.5</formula>
    </cfRule>
    <cfRule type="expression" dxfId="7015" priority="8300">
      <formula>C331&gt;85.5</formula>
    </cfRule>
  </conditionalFormatting>
  <conditionalFormatting sqref="C331:C335">
    <cfRule type="expression" dxfId="7014" priority="8270">
      <formula>C$330=""</formula>
    </cfRule>
  </conditionalFormatting>
  <conditionalFormatting sqref="C332">
    <cfRule type="expression" dxfId="7013" priority="8288">
      <formula>C332="**"</formula>
    </cfRule>
    <cfRule type="expression" dxfId="7012" priority="8289">
      <formula>C332=""</formula>
    </cfRule>
    <cfRule type="expression" dxfId="7011" priority="8290">
      <formula>C332&lt;44.5</formula>
    </cfRule>
    <cfRule type="expression" dxfId="7010" priority="8291">
      <formula>C332&lt;60.5</formula>
    </cfRule>
    <cfRule type="expression" dxfId="7009" priority="8292">
      <formula>C332&lt;85.5</formula>
    </cfRule>
    <cfRule type="expression" dxfId="7008" priority="8294">
      <formula>C332&gt;85.5</formula>
    </cfRule>
  </conditionalFormatting>
  <conditionalFormatting sqref="C333">
    <cfRule type="expression" dxfId="7007" priority="8282">
      <formula>C333="**"</formula>
    </cfRule>
    <cfRule type="expression" dxfId="7006" priority="8283">
      <formula>C333=""</formula>
    </cfRule>
    <cfRule type="expression" dxfId="7005" priority="8284">
      <formula>C333&lt;44.5</formula>
    </cfRule>
    <cfRule type="expression" dxfId="7004" priority="8285">
      <formula>C333&lt;60.5</formula>
    </cfRule>
    <cfRule type="expression" dxfId="7003" priority="8286">
      <formula>C333&lt;85.5</formula>
    </cfRule>
    <cfRule type="expression" dxfId="7002" priority="8287">
      <formula>C333&gt;85.5</formula>
    </cfRule>
  </conditionalFormatting>
  <conditionalFormatting sqref="C334">
    <cfRule type="expression" dxfId="7001" priority="8277">
      <formula>C334="**"</formula>
    </cfRule>
    <cfRule type="expression" dxfId="7000" priority="8278">
      <formula>C334=""</formula>
    </cfRule>
    <cfRule type="expression" dxfId="6999" priority="8279">
      <formula>C334&lt;44.5</formula>
    </cfRule>
    <cfRule type="expression" dxfId="6998" priority="8280">
      <formula>C334&lt;60.5</formula>
    </cfRule>
    <cfRule type="expression" dxfId="6997" priority="8281">
      <formula>C334&lt;85.5</formula>
    </cfRule>
    <cfRule type="expression" dxfId="6996" priority="8293">
      <formula>C334&gt;85.5</formula>
    </cfRule>
  </conditionalFormatting>
  <conditionalFormatting sqref="C335">
    <cfRule type="expression" dxfId="6995" priority="8271">
      <formula>C335="**"</formula>
    </cfRule>
    <cfRule type="expression" dxfId="6994" priority="8272">
      <formula>C335=""</formula>
    </cfRule>
    <cfRule type="expression" dxfId="6993" priority="8273">
      <formula>C335&lt;44.5</formula>
    </cfRule>
    <cfRule type="expression" dxfId="6992" priority="8274">
      <formula>C335&lt;60.5</formula>
    </cfRule>
    <cfRule type="expression" dxfId="6991" priority="8275">
      <formula>C335&lt;85.5</formula>
    </cfRule>
    <cfRule type="expression" dxfId="6990" priority="8276">
      <formula>C335&gt;85.5</formula>
    </cfRule>
  </conditionalFormatting>
  <conditionalFormatting sqref="D331">
    <cfRule type="expression" dxfId="6989" priority="8264">
      <formula>D331="**"</formula>
    </cfRule>
    <cfRule type="expression" dxfId="6988" priority="8265">
      <formula>D331=""</formula>
    </cfRule>
    <cfRule type="expression" dxfId="6987" priority="8266">
      <formula>D331&lt;44.5</formula>
    </cfRule>
    <cfRule type="expression" dxfId="6986" priority="8267">
      <formula>D331&lt;60.5</formula>
    </cfRule>
    <cfRule type="expression" dxfId="6985" priority="8268">
      <formula>D331&lt;85.5</formula>
    </cfRule>
    <cfRule type="expression" dxfId="6984" priority="8269">
      <formula>D331&gt;85.5</formula>
    </cfRule>
  </conditionalFormatting>
  <conditionalFormatting sqref="D331:D333 D335">
    <cfRule type="expression" dxfId="6983" priority="8239">
      <formula>D$330=""</formula>
    </cfRule>
  </conditionalFormatting>
  <conditionalFormatting sqref="D332">
    <cfRule type="expression" dxfId="6982" priority="8257">
      <formula>D332="**"</formula>
    </cfRule>
    <cfRule type="expression" dxfId="6981" priority="8258">
      <formula>D332=""</formula>
    </cfRule>
    <cfRule type="expression" dxfId="6980" priority="8259">
      <formula>D332&lt;44.5</formula>
    </cfRule>
    <cfRule type="expression" dxfId="6979" priority="8260">
      <formula>D332&lt;60.5</formula>
    </cfRule>
    <cfRule type="expression" dxfId="6978" priority="8261">
      <formula>D332&lt;85.5</formula>
    </cfRule>
    <cfRule type="expression" dxfId="6977" priority="8263">
      <formula>D332&gt;85.5</formula>
    </cfRule>
  </conditionalFormatting>
  <conditionalFormatting sqref="D333">
    <cfRule type="expression" dxfId="6976" priority="8251">
      <formula>D333="**"</formula>
    </cfRule>
    <cfRule type="expression" dxfId="6975" priority="8252">
      <formula>D333=""</formula>
    </cfRule>
    <cfRule type="expression" dxfId="6974" priority="8253">
      <formula>D333&lt;44.5</formula>
    </cfRule>
    <cfRule type="expression" dxfId="6973" priority="8254">
      <formula>D333&lt;60.5</formula>
    </cfRule>
    <cfRule type="expression" dxfId="6972" priority="8255">
      <formula>D333&lt;85.5</formula>
    </cfRule>
    <cfRule type="expression" dxfId="6971" priority="8256">
      <formula>D333&gt;85.5</formula>
    </cfRule>
  </conditionalFormatting>
  <conditionalFormatting sqref="D335">
    <cfRule type="expression" dxfId="6970" priority="8240">
      <formula>D335="**"</formula>
    </cfRule>
    <cfRule type="expression" dxfId="6969" priority="8241">
      <formula>D335=""</formula>
    </cfRule>
    <cfRule type="expression" dxfId="6968" priority="8242">
      <formula>D335&lt;44.5</formula>
    </cfRule>
    <cfRule type="expression" dxfId="6967" priority="8243">
      <formula>D335&lt;60.5</formula>
    </cfRule>
    <cfRule type="expression" dxfId="6966" priority="8244">
      <formula>D335&lt;85.5</formula>
    </cfRule>
    <cfRule type="expression" dxfId="6965" priority="8245">
      <formula>D335&gt;85.5</formula>
    </cfRule>
  </conditionalFormatting>
  <conditionalFormatting sqref="E331">
    <cfRule type="expression" dxfId="6964" priority="8233">
      <formula>E331="**"</formula>
    </cfRule>
    <cfRule type="expression" dxfId="6963" priority="8234">
      <formula>E331=""</formula>
    </cfRule>
    <cfRule type="expression" dxfId="6962" priority="8235">
      <formula>E331&lt;44.5</formula>
    </cfRule>
    <cfRule type="expression" dxfId="6961" priority="8236">
      <formula>E331&lt;60.5</formula>
    </cfRule>
    <cfRule type="expression" dxfId="6960" priority="8237">
      <formula>E331&lt;85.5</formula>
    </cfRule>
    <cfRule type="expression" dxfId="6959" priority="8238">
      <formula>E331&gt;85.5</formula>
    </cfRule>
  </conditionalFormatting>
  <conditionalFormatting sqref="E331:E333 E335">
    <cfRule type="expression" dxfId="6958" priority="8208">
      <formula>E$330=""</formula>
    </cfRule>
  </conditionalFormatting>
  <conditionalFormatting sqref="E332">
    <cfRule type="expression" dxfId="6957" priority="8226">
      <formula>E332="**"</formula>
    </cfRule>
    <cfRule type="expression" dxfId="6956" priority="8227">
      <formula>E332=""</formula>
    </cfRule>
    <cfRule type="expression" dxfId="6955" priority="8228">
      <formula>E332&lt;44.5</formula>
    </cfRule>
    <cfRule type="expression" dxfId="6954" priority="8229">
      <formula>E332&lt;60.5</formula>
    </cfRule>
    <cfRule type="expression" dxfId="6953" priority="8230">
      <formula>E332&lt;85.5</formula>
    </cfRule>
    <cfRule type="expression" dxfId="6952" priority="8232">
      <formula>E332&gt;85.5</formula>
    </cfRule>
  </conditionalFormatting>
  <conditionalFormatting sqref="E333">
    <cfRule type="expression" dxfId="6951" priority="8220">
      <formula>E333="**"</formula>
    </cfRule>
    <cfRule type="expression" dxfId="6950" priority="8221">
      <formula>E333=""</formula>
    </cfRule>
    <cfRule type="expression" dxfId="6949" priority="8222">
      <formula>E333&lt;44.5</formula>
    </cfRule>
    <cfRule type="expression" dxfId="6948" priority="8223">
      <formula>E333&lt;60.5</formula>
    </cfRule>
    <cfRule type="expression" dxfId="6947" priority="8224">
      <formula>E333&lt;85.5</formula>
    </cfRule>
    <cfRule type="expression" dxfId="6946" priority="8225">
      <formula>E333&gt;85.5</formula>
    </cfRule>
  </conditionalFormatting>
  <conditionalFormatting sqref="E335">
    <cfRule type="expression" dxfId="6945" priority="8209">
      <formula>E335="**"</formula>
    </cfRule>
    <cfRule type="expression" dxfId="6944" priority="8210">
      <formula>E335=""</formula>
    </cfRule>
    <cfRule type="expression" dxfId="6943" priority="8211">
      <formula>E335&lt;44.5</formula>
    </cfRule>
    <cfRule type="expression" dxfId="6942" priority="8212">
      <formula>E335&lt;60.5</formula>
    </cfRule>
    <cfRule type="expression" dxfId="6941" priority="8213">
      <formula>E335&lt;85.5</formula>
    </cfRule>
    <cfRule type="expression" dxfId="6940" priority="8214">
      <formula>E335&gt;85.5</formula>
    </cfRule>
  </conditionalFormatting>
  <conditionalFormatting sqref="F331">
    <cfRule type="expression" dxfId="6939" priority="8202">
      <formula>F331="**"</formula>
    </cfRule>
    <cfRule type="expression" dxfId="6938" priority="8203">
      <formula>F331=""</formula>
    </cfRule>
    <cfRule type="expression" dxfId="6937" priority="8204">
      <formula>F331&lt;44.5</formula>
    </cfRule>
    <cfRule type="expression" dxfId="6936" priority="8205">
      <formula>F331&lt;60.5</formula>
    </cfRule>
    <cfRule type="expression" dxfId="6935" priority="8206">
      <formula>F331&lt;85.5</formula>
    </cfRule>
    <cfRule type="expression" dxfId="6934" priority="8207">
      <formula>F331&gt;85.5</formula>
    </cfRule>
  </conditionalFormatting>
  <conditionalFormatting sqref="F331:F333 F335">
    <cfRule type="expression" dxfId="6933" priority="8177">
      <formula>F$330=""</formula>
    </cfRule>
  </conditionalFormatting>
  <conditionalFormatting sqref="F332">
    <cfRule type="expression" dxfId="6932" priority="8195">
      <formula>F332="**"</formula>
    </cfRule>
    <cfRule type="expression" dxfId="6931" priority="8196">
      <formula>F332=""</formula>
    </cfRule>
    <cfRule type="expression" dxfId="6930" priority="8197">
      <formula>F332&lt;44.5</formula>
    </cfRule>
    <cfRule type="expression" dxfId="6929" priority="8198">
      <formula>F332&lt;60.5</formula>
    </cfRule>
    <cfRule type="expression" dxfId="6928" priority="8199">
      <formula>F332&lt;85.5</formula>
    </cfRule>
    <cfRule type="expression" dxfId="6927" priority="8201">
      <formula>F332&gt;85.5</formula>
    </cfRule>
  </conditionalFormatting>
  <conditionalFormatting sqref="F333">
    <cfRule type="expression" dxfId="6926" priority="8189">
      <formula>F333="**"</formula>
    </cfRule>
    <cfRule type="expression" dxfId="6925" priority="8190">
      <formula>F333=""</formula>
    </cfRule>
    <cfRule type="expression" dxfId="6924" priority="8191">
      <formula>F333&lt;44.5</formula>
    </cfRule>
    <cfRule type="expression" dxfId="6923" priority="8192">
      <formula>F333&lt;60.5</formula>
    </cfRule>
    <cfRule type="expression" dxfId="6922" priority="8193">
      <formula>F333&lt;85.5</formula>
    </cfRule>
    <cfRule type="expression" dxfId="6921" priority="8194">
      <formula>F333&gt;85.5</formula>
    </cfRule>
  </conditionalFormatting>
  <conditionalFormatting sqref="F335">
    <cfRule type="expression" dxfId="6920" priority="8178">
      <formula>F335="**"</formula>
    </cfRule>
    <cfRule type="expression" dxfId="6919" priority="8179">
      <formula>F335=""</formula>
    </cfRule>
    <cfRule type="expression" dxfId="6918" priority="8180">
      <formula>F335&lt;44.5</formula>
    </cfRule>
    <cfRule type="expression" dxfId="6917" priority="8181">
      <formula>F335&lt;60.5</formula>
    </cfRule>
    <cfRule type="expression" dxfId="6916" priority="8182">
      <formula>F335&lt;85.5</formula>
    </cfRule>
    <cfRule type="expression" dxfId="6915" priority="8183">
      <formula>F335&gt;85.5</formula>
    </cfRule>
  </conditionalFormatting>
  <conditionalFormatting sqref="G331">
    <cfRule type="expression" dxfId="6914" priority="8171">
      <formula>G331="**"</formula>
    </cfRule>
    <cfRule type="expression" dxfId="6913" priority="8172">
      <formula>G331=""</formula>
    </cfRule>
    <cfRule type="expression" dxfId="6912" priority="8173">
      <formula>G331&lt;44.5</formula>
    </cfRule>
    <cfRule type="expression" dxfId="6911" priority="8174">
      <formula>G331&lt;60.5</formula>
    </cfRule>
    <cfRule type="expression" dxfId="6910" priority="8175">
      <formula>G331&lt;85.5</formula>
    </cfRule>
    <cfRule type="expression" dxfId="6909" priority="8176">
      <formula>G331&gt;85.5</formula>
    </cfRule>
  </conditionalFormatting>
  <conditionalFormatting sqref="G331:G333 G335">
    <cfRule type="expression" dxfId="6908" priority="8146">
      <formula>G$330=""</formula>
    </cfRule>
  </conditionalFormatting>
  <conditionalFormatting sqref="G332">
    <cfRule type="expression" dxfId="6907" priority="8164">
      <formula>G332="**"</formula>
    </cfRule>
    <cfRule type="expression" dxfId="6906" priority="8165">
      <formula>G332=""</formula>
    </cfRule>
    <cfRule type="expression" dxfId="6905" priority="8166">
      <formula>G332&lt;44.5</formula>
    </cfRule>
    <cfRule type="expression" dxfId="6904" priority="8167">
      <formula>G332&lt;60.5</formula>
    </cfRule>
    <cfRule type="expression" dxfId="6903" priority="8168">
      <formula>G332&lt;85.5</formula>
    </cfRule>
    <cfRule type="expression" dxfId="6902" priority="8170">
      <formula>G332&gt;85.5</formula>
    </cfRule>
  </conditionalFormatting>
  <conditionalFormatting sqref="G333">
    <cfRule type="expression" dxfId="6901" priority="8158">
      <formula>G333="**"</formula>
    </cfRule>
    <cfRule type="expression" dxfId="6900" priority="8159">
      <formula>G333=""</formula>
    </cfRule>
    <cfRule type="expression" dxfId="6899" priority="8160">
      <formula>G333&lt;44.5</formula>
    </cfRule>
    <cfRule type="expression" dxfId="6898" priority="8161">
      <formula>G333&lt;60.5</formula>
    </cfRule>
    <cfRule type="expression" dxfId="6897" priority="8162">
      <formula>G333&lt;85.5</formula>
    </cfRule>
    <cfRule type="expression" dxfId="6896" priority="8163">
      <formula>G333&gt;85.5</formula>
    </cfRule>
  </conditionalFormatting>
  <conditionalFormatting sqref="G335">
    <cfRule type="expression" dxfId="6895" priority="8147">
      <formula>G335="**"</formula>
    </cfRule>
    <cfRule type="expression" dxfId="6894" priority="8148">
      <formula>G335=""</formula>
    </cfRule>
    <cfRule type="expression" dxfId="6893" priority="8149">
      <formula>G335&lt;44.5</formula>
    </cfRule>
    <cfRule type="expression" dxfId="6892" priority="8150">
      <formula>G335&lt;60.5</formula>
    </cfRule>
    <cfRule type="expression" dxfId="6891" priority="8151">
      <formula>G335&lt;85.5</formula>
    </cfRule>
    <cfRule type="expression" dxfId="6890" priority="8152">
      <formula>G335&gt;85.5</formula>
    </cfRule>
  </conditionalFormatting>
  <conditionalFormatting sqref="H331">
    <cfRule type="expression" dxfId="6889" priority="8140">
      <formula>H331="**"</formula>
    </cfRule>
    <cfRule type="expression" dxfId="6888" priority="8141">
      <formula>H331=""</formula>
    </cfRule>
    <cfRule type="expression" dxfId="6887" priority="8142">
      <formula>H331&lt;44.5</formula>
    </cfRule>
    <cfRule type="expression" dxfId="6886" priority="8143">
      <formula>H331&lt;60.5</formula>
    </cfRule>
    <cfRule type="expression" dxfId="6885" priority="8144">
      <formula>H331&lt;85.5</formula>
    </cfRule>
    <cfRule type="expression" dxfId="6884" priority="8145">
      <formula>H331&gt;85.5</formula>
    </cfRule>
  </conditionalFormatting>
  <conditionalFormatting sqref="H331:H333 H335">
    <cfRule type="expression" dxfId="6883" priority="8115">
      <formula>H$330=""</formula>
    </cfRule>
  </conditionalFormatting>
  <conditionalFormatting sqref="H332">
    <cfRule type="expression" dxfId="6882" priority="8133">
      <formula>H332="**"</formula>
    </cfRule>
    <cfRule type="expression" dxfId="6881" priority="8134">
      <formula>H332=""</formula>
    </cfRule>
    <cfRule type="expression" dxfId="6880" priority="8135">
      <formula>H332&lt;44.5</formula>
    </cfRule>
    <cfRule type="expression" dxfId="6879" priority="8136">
      <formula>H332&lt;60.5</formula>
    </cfRule>
    <cfRule type="expression" dxfId="6878" priority="8137">
      <formula>H332&lt;85.5</formula>
    </cfRule>
    <cfRule type="expression" dxfId="6877" priority="8139">
      <formula>H332&gt;85.5</formula>
    </cfRule>
  </conditionalFormatting>
  <conditionalFormatting sqref="H333">
    <cfRule type="expression" dxfId="6876" priority="8127">
      <formula>H333="**"</formula>
    </cfRule>
    <cfRule type="expression" dxfId="6875" priority="8128">
      <formula>H333=""</formula>
    </cfRule>
    <cfRule type="expression" dxfId="6874" priority="8129">
      <formula>H333&lt;44.5</formula>
    </cfRule>
    <cfRule type="expression" dxfId="6873" priority="8130">
      <formula>H333&lt;60.5</formula>
    </cfRule>
    <cfRule type="expression" dxfId="6872" priority="8131">
      <formula>H333&lt;85.5</formula>
    </cfRule>
    <cfRule type="expression" dxfId="6871" priority="8132">
      <formula>H333&gt;85.5</formula>
    </cfRule>
  </conditionalFormatting>
  <conditionalFormatting sqref="H335">
    <cfRule type="expression" dxfId="6870" priority="8116">
      <formula>H335="**"</formula>
    </cfRule>
    <cfRule type="expression" dxfId="6869" priority="8117">
      <formula>H335=""</formula>
    </cfRule>
    <cfRule type="expression" dxfId="6868" priority="8118">
      <formula>H335&lt;44.5</formula>
    </cfRule>
    <cfRule type="expression" dxfId="6867" priority="8119">
      <formula>H335&lt;60.5</formula>
    </cfRule>
    <cfRule type="expression" dxfId="6866" priority="8120">
      <formula>H335&lt;85.5</formula>
    </cfRule>
    <cfRule type="expression" dxfId="6865" priority="8121">
      <formula>H335&gt;85.5</formula>
    </cfRule>
  </conditionalFormatting>
  <conditionalFormatting sqref="I331">
    <cfRule type="expression" dxfId="6864" priority="8109">
      <formula>I331="**"</formula>
    </cfRule>
    <cfRule type="expression" dxfId="6863" priority="8110">
      <formula>I331=""</formula>
    </cfRule>
    <cfRule type="expression" dxfId="6862" priority="8111">
      <formula>I331&lt;44.5</formula>
    </cfRule>
    <cfRule type="expression" dxfId="6861" priority="8112">
      <formula>I331&lt;60.5</formula>
    </cfRule>
    <cfRule type="expression" dxfId="6860" priority="8113">
      <formula>I331&lt;85.5</formula>
    </cfRule>
    <cfRule type="expression" dxfId="6859" priority="8114">
      <formula>I331&gt;85.5</formula>
    </cfRule>
  </conditionalFormatting>
  <conditionalFormatting sqref="I331:I333 I335">
    <cfRule type="expression" dxfId="6858" priority="8084">
      <formula>I$330=""</formula>
    </cfRule>
  </conditionalFormatting>
  <conditionalFormatting sqref="I332">
    <cfRule type="expression" dxfId="6857" priority="8102">
      <formula>I332="**"</formula>
    </cfRule>
    <cfRule type="expression" dxfId="6856" priority="8103">
      <formula>I332=""</formula>
    </cfRule>
    <cfRule type="expression" dxfId="6855" priority="8104">
      <formula>I332&lt;44.5</formula>
    </cfRule>
    <cfRule type="expression" dxfId="6854" priority="8105">
      <formula>I332&lt;60.5</formula>
    </cfRule>
    <cfRule type="expression" dxfId="6853" priority="8106">
      <formula>I332&lt;85.5</formula>
    </cfRule>
    <cfRule type="expression" dxfId="6852" priority="8108">
      <formula>I332&gt;85.5</formula>
    </cfRule>
  </conditionalFormatting>
  <conditionalFormatting sqref="I333">
    <cfRule type="expression" dxfId="6851" priority="8096">
      <formula>I333="**"</formula>
    </cfRule>
    <cfRule type="expression" dxfId="6850" priority="8097">
      <formula>I333=""</formula>
    </cfRule>
    <cfRule type="expression" dxfId="6849" priority="8098">
      <formula>I333&lt;44.5</formula>
    </cfRule>
    <cfRule type="expression" dxfId="6848" priority="8099">
      <formula>I333&lt;60.5</formula>
    </cfRule>
    <cfRule type="expression" dxfId="6847" priority="8100">
      <formula>I333&lt;85.5</formula>
    </cfRule>
    <cfRule type="expression" dxfId="6846" priority="8101">
      <formula>I333&gt;85.5</formula>
    </cfRule>
  </conditionalFormatting>
  <conditionalFormatting sqref="I335">
    <cfRule type="expression" dxfId="6845" priority="8085">
      <formula>I335="**"</formula>
    </cfRule>
    <cfRule type="expression" dxfId="6844" priority="8086">
      <formula>I335=""</formula>
    </cfRule>
    <cfRule type="expression" dxfId="6843" priority="8087">
      <formula>I335&lt;44.5</formula>
    </cfRule>
    <cfRule type="expression" dxfId="6842" priority="8088">
      <formula>I335&lt;60.5</formula>
    </cfRule>
    <cfRule type="expression" dxfId="6841" priority="8089">
      <formula>I335&lt;85.5</formula>
    </cfRule>
    <cfRule type="expression" dxfId="6840" priority="8090">
      <formula>I335&gt;85.5</formula>
    </cfRule>
  </conditionalFormatting>
  <conditionalFormatting sqref="J331">
    <cfRule type="expression" dxfId="6839" priority="8078">
      <formula>J331="**"</formula>
    </cfRule>
    <cfRule type="expression" dxfId="6838" priority="8079">
      <formula>J331=""</formula>
    </cfRule>
    <cfRule type="expression" dxfId="6837" priority="8080">
      <formula>J331&lt;44.5</formula>
    </cfRule>
    <cfRule type="expression" dxfId="6836" priority="8081">
      <formula>J331&lt;60.5</formula>
    </cfRule>
    <cfRule type="expression" dxfId="6835" priority="8082">
      <formula>J331&lt;85.5</formula>
    </cfRule>
    <cfRule type="expression" dxfId="6834" priority="8083">
      <formula>J331&gt;85.5</formula>
    </cfRule>
  </conditionalFormatting>
  <conditionalFormatting sqref="J331:J333 J335">
    <cfRule type="expression" dxfId="6833" priority="8053">
      <formula>J$330=""</formula>
    </cfRule>
  </conditionalFormatting>
  <conditionalFormatting sqref="J332">
    <cfRule type="expression" dxfId="6832" priority="8071">
      <formula>J332="**"</formula>
    </cfRule>
    <cfRule type="expression" dxfId="6831" priority="8072">
      <formula>J332=""</formula>
    </cfRule>
    <cfRule type="expression" dxfId="6830" priority="8073">
      <formula>J332&lt;44.5</formula>
    </cfRule>
    <cfRule type="expression" dxfId="6829" priority="8074">
      <formula>J332&lt;60.5</formula>
    </cfRule>
    <cfRule type="expression" dxfId="6828" priority="8075">
      <formula>J332&lt;85.5</formula>
    </cfRule>
    <cfRule type="expression" dxfId="6827" priority="8077">
      <formula>J332&gt;85.5</formula>
    </cfRule>
  </conditionalFormatting>
  <conditionalFormatting sqref="J333">
    <cfRule type="expression" dxfId="6826" priority="8065">
      <formula>J333="**"</formula>
    </cfRule>
    <cfRule type="expression" dxfId="6825" priority="8066">
      <formula>J333=""</formula>
    </cfRule>
    <cfRule type="expression" dxfId="6824" priority="8067">
      <formula>J333&lt;44.5</formula>
    </cfRule>
    <cfRule type="expression" dxfId="6823" priority="8068">
      <formula>J333&lt;60.5</formula>
    </cfRule>
    <cfRule type="expression" dxfId="6822" priority="8069">
      <formula>J333&lt;85.5</formula>
    </cfRule>
    <cfRule type="expression" dxfId="6821" priority="8070">
      <formula>J333&gt;85.5</formula>
    </cfRule>
  </conditionalFormatting>
  <conditionalFormatting sqref="J335">
    <cfRule type="expression" dxfId="6820" priority="8054">
      <formula>J335="**"</formula>
    </cfRule>
    <cfRule type="expression" dxfId="6819" priority="8055">
      <formula>J335=""</formula>
    </cfRule>
    <cfRule type="expression" dxfId="6818" priority="8056">
      <formula>J335&lt;44.5</formula>
    </cfRule>
    <cfRule type="expression" dxfId="6817" priority="8057">
      <formula>J335&lt;60.5</formula>
    </cfRule>
    <cfRule type="expression" dxfId="6816" priority="8058">
      <formula>J335&lt;85.5</formula>
    </cfRule>
    <cfRule type="expression" dxfId="6815" priority="8059">
      <formula>J335&gt;85.5</formula>
    </cfRule>
  </conditionalFormatting>
  <conditionalFormatting sqref="K331">
    <cfRule type="expression" dxfId="6814" priority="8047">
      <formula>K331="**"</formula>
    </cfRule>
    <cfRule type="expression" dxfId="6813" priority="8048">
      <formula>K331=""</formula>
    </cfRule>
    <cfRule type="expression" dxfId="6812" priority="8049">
      <formula>K331&lt;44.5</formula>
    </cfRule>
    <cfRule type="expression" dxfId="6811" priority="8050">
      <formula>K331&lt;60.5</formula>
    </cfRule>
    <cfRule type="expression" dxfId="6810" priority="8051">
      <formula>K331&lt;85.5</formula>
    </cfRule>
    <cfRule type="expression" dxfId="6809" priority="8052">
      <formula>K331&gt;85.5</formula>
    </cfRule>
  </conditionalFormatting>
  <conditionalFormatting sqref="K331:K333 K335">
    <cfRule type="expression" dxfId="6808" priority="8022">
      <formula>K$330=""</formula>
    </cfRule>
  </conditionalFormatting>
  <conditionalFormatting sqref="K332">
    <cfRule type="expression" dxfId="6807" priority="8040">
      <formula>K332="**"</formula>
    </cfRule>
    <cfRule type="expression" dxfId="6806" priority="8041">
      <formula>K332=""</formula>
    </cfRule>
    <cfRule type="expression" dxfId="6805" priority="8042">
      <formula>K332&lt;44.5</formula>
    </cfRule>
    <cfRule type="expression" dxfId="6804" priority="8043">
      <formula>K332&lt;60.5</formula>
    </cfRule>
    <cfRule type="expression" dxfId="6803" priority="8044">
      <formula>K332&lt;85.5</formula>
    </cfRule>
    <cfRule type="expression" dxfId="6802" priority="8046">
      <formula>K332&gt;85.5</formula>
    </cfRule>
  </conditionalFormatting>
  <conditionalFormatting sqref="K333">
    <cfRule type="expression" dxfId="6801" priority="8034">
      <formula>K333="**"</formula>
    </cfRule>
    <cfRule type="expression" dxfId="6800" priority="8035">
      <formula>K333=""</formula>
    </cfRule>
    <cfRule type="expression" dxfId="6799" priority="8036">
      <formula>K333&lt;44.5</formula>
    </cfRule>
    <cfRule type="expression" dxfId="6798" priority="8037">
      <formula>K333&lt;60.5</formula>
    </cfRule>
    <cfRule type="expression" dxfId="6797" priority="8038">
      <formula>K333&lt;85.5</formula>
    </cfRule>
    <cfRule type="expression" dxfId="6796" priority="8039">
      <formula>K333&gt;85.5</formula>
    </cfRule>
  </conditionalFormatting>
  <conditionalFormatting sqref="K335">
    <cfRule type="expression" dxfId="6795" priority="8023">
      <formula>K335="**"</formula>
    </cfRule>
    <cfRule type="expression" dxfId="6794" priority="8024">
      <formula>K335=""</formula>
    </cfRule>
    <cfRule type="expression" dxfId="6793" priority="8025">
      <formula>K335&lt;44.5</formula>
    </cfRule>
    <cfRule type="expression" dxfId="6792" priority="8026">
      <formula>K335&lt;60.5</formula>
    </cfRule>
    <cfRule type="expression" dxfId="6791" priority="8027">
      <formula>K335&lt;85.5</formula>
    </cfRule>
    <cfRule type="expression" dxfId="6790" priority="8028">
      <formula>K335&gt;85.5</formula>
    </cfRule>
  </conditionalFormatting>
  <conditionalFormatting sqref="L331">
    <cfRule type="expression" dxfId="6789" priority="8016">
      <formula>L331="**"</formula>
    </cfRule>
    <cfRule type="expression" dxfId="6788" priority="8017">
      <formula>L331=""</formula>
    </cfRule>
    <cfRule type="expression" dxfId="6787" priority="8018">
      <formula>L331&lt;44.5</formula>
    </cfRule>
    <cfRule type="expression" dxfId="6786" priority="8019">
      <formula>L331&lt;60.5</formula>
    </cfRule>
    <cfRule type="expression" dxfId="6785" priority="8020">
      <formula>L331&lt;85.5</formula>
    </cfRule>
    <cfRule type="expression" dxfId="6784" priority="8021">
      <formula>L331&gt;85.5</formula>
    </cfRule>
  </conditionalFormatting>
  <conditionalFormatting sqref="L331:L333 L335">
    <cfRule type="expression" dxfId="6783" priority="7991">
      <formula>L$330=""</formula>
    </cfRule>
  </conditionalFormatting>
  <conditionalFormatting sqref="L332">
    <cfRule type="expression" dxfId="6782" priority="8009">
      <formula>L332="**"</formula>
    </cfRule>
    <cfRule type="expression" dxfId="6781" priority="8010">
      <formula>L332=""</formula>
    </cfRule>
    <cfRule type="expression" dxfId="6780" priority="8011">
      <formula>L332&lt;44.5</formula>
    </cfRule>
    <cfRule type="expression" dxfId="6779" priority="8012">
      <formula>L332&lt;60.5</formula>
    </cfRule>
    <cfRule type="expression" dxfId="6778" priority="8013">
      <formula>L332&lt;85.5</formula>
    </cfRule>
    <cfRule type="expression" dxfId="6777" priority="8015">
      <formula>L332&gt;85.5</formula>
    </cfRule>
  </conditionalFormatting>
  <conditionalFormatting sqref="L333">
    <cfRule type="expression" dxfId="6776" priority="8003">
      <formula>L333="**"</formula>
    </cfRule>
    <cfRule type="expression" dxfId="6775" priority="8004">
      <formula>L333=""</formula>
    </cfRule>
    <cfRule type="expression" dxfId="6774" priority="8005">
      <formula>L333&lt;44.5</formula>
    </cfRule>
    <cfRule type="expression" dxfId="6773" priority="8006">
      <formula>L333&lt;60.5</formula>
    </cfRule>
    <cfRule type="expression" dxfId="6772" priority="8007">
      <formula>L333&lt;85.5</formula>
    </cfRule>
    <cfRule type="expression" dxfId="6771" priority="8008">
      <formula>L333&gt;85.5</formula>
    </cfRule>
  </conditionalFormatting>
  <conditionalFormatting sqref="L335">
    <cfRule type="expression" dxfId="6770" priority="7992">
      <formula>L335="**"</formula>
    </cfRule>
    <cfRule type="expression" dxfId="6769" priority="7993">
      <formula>L335=""</formula>
    </cfRule>
    <cfRule type="expression" dxfId="6768" priority="7994">
      <formula>L335&lt;44.5</formula>
    </cfRule>
    <cfRule type="expression" dxfId="6767" priority="7995">
      <formula>L335&lt;60.5</formula>
    </cfRule>
    <cfRule type="expression" dxfId="6766" priority="7996">
      <formula>L335&lt;85.5</formula>
    </cfRule>
    <cfRule type="expression" dxfId="6765" priority="7997">
      <formula>L335&gt;85.5</formula>
    </cfRule>
  </conditionalFormatting>
  <conditionalFormatting sqref="C361">
    <cfRule type="expression" dxfId="6764" priority="7985">
      <formula>C361="**"</formula>
    </cfRule>
    <cfRule type="expression" dxfId="6763" priority="7986">
      <formula>C361=""</formula>
    </cfRule>
    <cfRule type="expression" dxfId="6762" priority="7987">
      <formula>C361&lt;44.5</formula>
    </cfRule>
    <cfRule type="expression" dxfId="6761" priority="7988">
      <formula>C361&lt;60.5</formula>
    </cfRule>
    <cfRule type="expression" dxfId="6760" priority="7989">
      <formula>C361&lt;85.5</formula>
    </cfRule>
    <cfRule type="expression" dxfId="6759" priority="7990">
      <formula>C361&gt;85.5</formula>
    </cfRule>
  </conditionalFormatting>
  <conditionalFormatting sqref="C361:C365">
    <cfRule type="expression" dxfId="6758" priority="7960">
      <formula>C$360=""</formula>
    </cfRule>
  </conditionalFormatting>
  <conditionalFormatting sqref="C362">
    <cfRule type="expression" dxfId="6757" priority="7978">
      <formula>C362="**"</formula>
    </cfRule>
    <cfRule type="expression" dxfId="6756" priority="7979">
      <formula>C362=""</formula>
    </cfRule>
    <cfRule type="expression" dxfId="6755" priority="7980">
      <formula>C362&lt;44.5</formula>
    </cfRule>
    <cfRule type="expression" dxfId="6754" priority="7981">
      <formula>C362&lt;60.5</formula>
    </cfRule>
    <cfRule type="expression" dxfId="6753" priority="7982">
      <formula>C362&lt;85.5</formula>
    </cfRule>
    <cfRule type="expression" dxfId="6752" priority="7984">
      <formula>C362&gt;85.5</formula>
    </cfRule>
  </conditionalFormatting>
  <conditionalFormatting sqref="C363">
    <cfRule type="expression" dxfId="6751" priority="7972">
      <formula>C363="**"</formula>
    </cfRule>
    <cfRule type="expression" dxfId="6750" priority="7973">
      <formula>C363=""</formula>
    </cfRule>
    <cfRule type="expression" dxfId="6749" priority="7974">
      <formula>C363&lt;44.5</formula>
    </cfRule>
    <cfRule type="expression" dxfId="6748" priority="7975">
      <formula>C363&lt;60.5</formula>
    </cfRule>
    <cfRule type="expression" dxfId="6747" priority="7976">
      <formula>C363&lt;85.5</formula>
    </cfRule>
    <cfRule type="expression" dxfId="6746" priority="7977">
      <formula>C363&gt;85.5</formula>
    </cfRule>
  </conditionalFormatting>
  <conditionalFormatting sqref="C364">
    <cfRule type="expression" dxfId="6745" priority="7967">
      <formula>C364="**"</formula>
    </cfRule>
    <cfRule type="expression" dxfId="6744" priority="7968">
      <formula>C364=""</formula>
    </cfRule>
    <cfRule type="expression" dxfId="6743" priority="7969">
      <formula>C364&lt;44.5</formula>
    </cfRule>
    <cfRule type="expression" dxfId="6742" priority="7970">
      <formula>C364&lt;60.5</formula>
    </cfRule>
    <cfRule type="expression" dxfId="6741" priority="7971">
      <formula>C364&lt;85.5</formula>
    </cfRule>
    <cfRule type="expression" dxfId="6740" priority="7983">
      <formula>C364&gt;85.5</formula>
    </cfRule>
  </conditionalFormatting>
  <conditionalFormatting sqref="C365">
    <cfRule type="expression" dxfId="6739" priority="7961">
      <formula>C365="**"</formula>
    </cfRule>
    <cfRule type="expression" dxfId="6738" priority="7962">
      <formula>C365=""</formula>
    </cfRule>
    <cfRule type="expression" dxfId="6737" priority="7963">
      <formula>C365&lt;44.5</formula>
    </cfRule>
    <cfRule type="expression" dxfId="6736" priority="7964">
      <formula>C365&lt;60.5</formula>
    </cfRule>
    <cfRule type="expression" dxfId="6735" priority="7965">
      <formula>C365&lt;85.5</formula>
    </cfRule>
    <cfRule type="expression" dxfId="6734" priority="7966">
      <formula>C365&gt;85.5</formula>
    </cfRule>
  </conditionalFormatting>
  <conditionalFormatting sqref="D361">
    <cfRule type="expression" dxfId="6733" priority="7954">
      <formula>D361="**"</formula>
    </cfRule>
    <cfRule type="expression" dxfId="6732" priority="7955">
      <formula>D361=""</formula>
    </cfRule>
    <cfRule type="expression" dxfId="6731" priority="7956">
      <formula>D361&lt;44.5</formula>
    </cfRule>
    <cfRule type="expression" dxfId="6730" priority="7957">
      <formula>D361&lt;60.5</formula>
    </cfRule>
    <cfRule type="expression" dxfId="6729" priority="7958">
      <formula>D361&lt;85.5</formula>
    </cfRule>
    <cfRule type="expression" dxfId="6728" priority="7959">
      <formula>D361&gt;85.5</formula>
    </cfRule>
  </conditionalFormatting>
  <conditionalFormatting sqref="D361:D363 D365">
    <cfRule type="expression" dxfId="6727" priority="7929">
      <formula>D$360=""</formula>
    </cfRule>
  </conditionalFormatting>
  <conditionalFormatting sqref="D362">
    <cfRule type="expression" dxfId="6726" priority="7947">
      <formula>D362="**"</formula>
    </cfRule>
    <cfRule type="expression" dxfId="6725" priority="7948">
      <formula>D362=""</formula>
    </cfRule>
    <cfRule type="expression" dxfId="6724" priority="7949">
      <formula>D362&lt;44.5</formula>
    </cfRule>
    <cfRule type="expression" dxfId="6723" priority="7950">
      <formula>D362&lt;60.5</formula>
    </cfRule>
    <cfRule type="expression" dxfId="6722" priority="7951">
      <formula>D362&lt;85.5</formula>
    </cfRule>
    <cfRule type="expression" dxfId="6721" priority="7953">
      <formula>D362&gt;85.5</formula>
    </cfRule>
  </conditionalFormatting>
  <conditionalFormatting sqref="D363">
    <cfRule type="expression" dxfId="6720" priority="7941">
      <formula>D363="**"</formula>
    </cfRule>
    <cfRule type="expression" dxfId="6719" priority="7942">
      <formula>D363=""</formula>
    </cfRule>
    <cfRule type="expression" dxfId="6718" priority="7943">
      <formula>D363&lt;44.5</formula>
    </cfRule>
    <cfRule type="expression" dxfId="6717" priority="7944">
      <formula>D363&lt;60.5</formula>
    </cfRule>
    <cfRule type="expression" dxfId="6716" priority="7945">
      <formula>D363&lt;85.5</formula>
    </cfRule>
    <cfRule type="expression" dxfId="6715" priority="7946">
      <formula>D363&gt;85.5</formula>
    </cfRule>
  </conditionalFormatting>
  <conditionalFormatting sqref="D365">
    <cfRule type="expression" dxfId="6714" priority="7930">
      <formula>D365="**"</formula>
    </cfRule>
    <cfRule type="expression" dxfId="6713" priority="7931">
      <formula>D365=""</formula>
    </cfRule>
    <cfRule type="expression" dxfId="6712" priority="7932">
      <formula>D365&lt;44.5</formula>
    </cfRule>
    <cfRule type="expression" dxfId="6711" priority="7933">
      <formula>D365&lt;60.5</formula>
    </cfRule>
    <cfRule type="expression" dxfId="6710" priority="7934">
      <formula>D365&lt;85.5</formula>
    </cfRule>
    <cfRule type="expression" dxfId="6709" priority="7935">
      <formula>D365&gt;85.5</formula>
    </cfRule>
  </conditionalFormatting>
  <conditionalFormatting sqref="E361">
    <cfRule type="expression" dxfId="6708" priority="7923">
      <formula>E361="**"</formula>
    </cfRule>
    <cfRule type="expression" dxfId="6707" priority="7924">
      <formula>E361=""</formula>
    </cfRule>
    <cfRule type="expression" dxfId="6706" priority="7925">
      <formula>E361&lt;44.5</formula>
    </cfRule>
    <cfRule type="expression" dxfId="6705" priority="7926">
      <formula>E361&lt;60.5</formula>
    </cfRule>
    <cfRule type="expression" dxfId="6704" priority="7927">
      <formula>E361&lt;85.5</formula>
    </cfRule>
    <cfRule type="expression" dxfId="6703" priority="7928">
      <formula>E361&gt;85.5</formula>
    </cfRule>
  </conditionalFormatting>
  <conditionalFormatting sqref="E361:E363 E365">
    <cfRule type="expression" dxfId="6702" priority="7898">
      <formula>E$360=""</formula>
    </cfRule>
  </conditionalFormatting>
  <conditionalFormatting sqref="E362">
    <cfRule type="expression" dxfId="6701" priority="7916">
      <formula>E362="**"</formula>
    </cfRule>
    <cfRule type="expression" dxfId="6700" priority="7917">
      <formula>E362=""</formula>
    </cfRule>
    <cfRule type="expression" dxfId="6699" priority="7918">
      <formula>E362&lt;44.5</formula>
    </cfRule>
    <cfRule type="expression" dxfId="6698" priority="7919">
      <formula>E362&lt;60.5</formula>
    </cfRule>
    <cfRule type="expression" dxfId="6697" priority="7920">
      <formula>E362&lt;85.5</formula>
    </cfRule>
    <cfRule type="expression" dxfId="6696" priority="7922">
      <formula>E362&gt;85.5</formula>
    </cfRule>
  </conditionalFormatting>
  <conditionalFormatting sqref="E363">
    <cfRule type="expression" dxfId="6695" priority="7910">
      <formula>E363="**"</formula>
    </cfRule>
    <cfRule type="expression" dxfId="6694" priority="7911">
      <formula>E363=""</formula>
    </cfRule>
    <cfRule type="expression" dxfId="6693" priority="7912">
      <formula>E363&lt;44.5</formula>
    </cfRule>
    <cfRule type="expression" dxfId="6692" priority="7913">
      <formula>E363&lt;60.5</formula>
    </cfRule>
    <cfRule type="expression" dxfId="6691" priority="7914">
      <formula>E363&lt;85.5</formula>
    </cfRule>
    <cfRule type="expression" dxfId="6690" priority="7915">
      <formula>E363&gt;85.5</formula>
    </cfRule>
  </conditionalFormatting>
  <conditionalFormatting sqref="E365">
    <cfRule type="expression" dxfId="6689" priority="7899">
      <formula>E365="**"</formula>
    </cfRule>
    <cfRule type="expression" dxfId="6688" priority="7900">
      <formula>E365=""</formula>
    </cfRule>
    <cfRule type="expression" dxfId="6687" priority="7901">
      <formula>E365&lt;44.5</formula>
    </cfRule>
    <cfRule type="expression" dxfId="6686" priority="7902">
      <formula>E365&lt;60.5</formula>
    </cfRule>
    <cfRule type="expression" dxfId="6685" priority="7903">
      <formula>E365&lt;85.5</formula>
    </cfRule>
    <cfRule type="expression" dxfId="6684" priority="7904">
      <formula>E365&gt;85.5</formula>
    </cfRule>
  </conditionalFormatting>
  <conditionalFormatting sqref="F361">
    <cfRule type="expression" dxfId="6683" priority="7892">
      <formula>F361="**"</formula>
    </cfRule>
    <cfRule type="expression" dxfId="6682" priority="7893">
      <formula>F361=""</formula>
    </cfRule>
    <cfRule type="expression" dxfId="6681" priority="7894">
      <formula>F361&lt;44.5</formula>
    </cfRule>
    <cfRule type="expression" dxfId="6680" priority="7895">
      <formula>F361&lt;60.5</formula>
    </cfRule>
    <cfRule type="expression" dxfId="6679" priority="7896">
      <formula>F361&lt;85.5</formula>
    </cfRule>
    <cfRule type="expression" dxfId="6678" priority="7897">
      <formula>F361&gt;85.5</formula>
    </cfRule>
  </conditionalFormatting>
  <conditionalFormatting sqref="F361:F363 F365">
    <cfRule type="expression" dxfId="6677" priority="7867">
      <formula>F$360=""</formula>
    </cfRule>
  </conditionalFormatting>
  <conditionalFormatting sqref="F362">
    <cfRule type="expression" dxfId="6676" priority="7885">
      <formula>F362="**"</formula>
    </cfRule>
    <cfRule type="expression" dxfId="6675" priority="7886">
      <formula>F362=""</formula>
    </cfRule>
    <cfRule type="expression" dxfId="6674" priority="7887">
      <formula>F362&lt;44.5</formula>
    </cfRule>
    <cfRule type="expression" dxfId="6673" priority="7888">
      <formula>F362&lt;60.5</formula>
    </cfRule>
    <cfRule type="expression" dxfId="6672" priority="7889">
      <formula>F362&lt;85.5</formula>
    </cfRule>
    <cfRule type="expression" dxfId="6671" priority="7891">
      <formula>F362&gt;85.5</formula>
    </cfRule>
  </conditionalFormatting>
  <conditionalFormatting sqref="F363">
    <cfRule type="expression" dxfId="6670" priority="7879">
      <formula>F363="**"</formula>
    </cfRule>
    <cfRule type="expression" dxfId="6669" priority="7880">
      <formula>F363=""</formula>
    </cfRule>
    <cfRule type="expression" dxfId="6668" priority="7881">
      <formula>F363&lt;44.5</formula>
    </cfRule>
    <cfRule type="expression" dxfId="6667" priority="7882">
      <formula>F363&lt;60.5</formula>
    </cfRule>
    <cfRule type="expression" dxfId="6666" priority="7883">
      <formula>F363&lt;85.5</formula>
    </cfRule>
    <cfRule type="expression" dxfId="6665" priority="7884">
      <formula>F363&gt;85.5</formula>
    </cfRule>
  </conditionalFormatting>
  <conditionalFormatting sqref="F365">
    <cfRule type="expression" dxfId="6664" priority="7868">
      <formula>F365="**"</formula>
    </cfRule>
    <cfRule type="expression" dxfId="6663" priority="7869">
      <formula>F365=""</formula>
    </cfRule>
    <cfRule type="expression" dxfId="6662" priority="7870">
      <formula>F365&lt;44.5</formula>
    </cfRule>
    <cfRule type="expression" dxfId="6661" priority="7871">
      <formula>F365&lt;60.5</formula>
    </cfRule>
    <cfRule type="expression" dxfId="6660" priority="7872">
      <formula>F365&lt;85.5</formula>
    </cfRule>
    <cfRule type="expression" dxfId="6659" priority="7873">
      <formula>F365&gt;85.5</formula>
    </cfRule>
  </conditionalFormatting>
  <conditionalFormatting sqref="G361">
    <cfRule type="expression" dxfId="6658" priority="7861">
      <formula>G361="**"</formula>
    </cfRule>
    <cfRule type="expression" dxfId="6657" priority="7862">
      <formula>G361=""</formula>
    </cfRule>
    <cfRule type="expression" dxfId="6656" priority="7863">
      <formula>G361&lt;44.5</formula>
    </cfRule>
    <cfRule type="expression" dxfId="6655" priority="7864">
      <formula>G361&lt;60.5</formula>
    </cfRule>
    <cfRule type="expression" dxfId="6654" priority="7865">
      <formula>G361&lt;85.5</formula>
    </cfRule>
    <cfRule type="expression" dxfId="6653" priority="7866">
      <formula>G361&gt;85.5</formula>
    </cfRule>
  </conditionalFormatting>
  <conditionalFormatting sqref="G361:G363 G365">
    <cfRule type="expression" dxfId="6652" priority="7836">
      <formula>G$360=""</formula>
    </cfRule>
  </conditionalFormatting>
  <conditionalFormatting sqref="G362">
    <cfRule type="expression" dxfId="6651" priority="7854">
      <formula>G362="**"</formula>
    </cfRule>
    <cfRule type="expression" dxfId="6650" priority="7855">
      <formula>G362=""</formula>
    </cfRule>
    <cfRule type="expression" dxfId="6649" priority="7856">
      <formula>G362&lt;44.5</formula>
    </cfRule>
    <cfRule type="expression" dxfId="6648" priority="7857">
      <formula>G362&lt;60.5</formula>
    </cfRule>
    <cfRule type="expression" dxfId="6647" priority="7858">
      <formula>G362&lt;85.5</formula>
    </cfRule>
    <cfRule type="expression" dxfId="6646" priority="7860">
      <formula>G362&gt;85.5</formula>
    </cfRule>
  </conditionalFormatting>
  <conditionalFormatting sqref="G363">
    <cfRule type="expression" dxfId="6645" priority="7848">
      <formula>G363="**"</formula>
    </cfRule>
    <cfRule type="expression" dxfId="6644" priority="7849">
      <formula>G363=""</formula>
    </cfRule>
    <cfRule type="expression" dxfId="6643" priority="7850">
      <formula>G363&lt;44.5</formula>
    </cfRule>
    <cfRule type="expression" dxfId="6642" priority="7851">
      <formula>G363&lt;60.5</formula>
    </cfRule>
    <cfRule type="expression" dxfId="6641" priority="7852">
      <formula>G363&lt;85.5</formula>
    </cfRule>
    <cfRule type="expression" dxfId="6640" priority="7853">
      <formula>G363&gt;85.5</formula>
    </cfRule>
  </conditionalFormatting>
  <conditionalFormatting sqref="G365">
    <cfRule type="expression" dxfId="6639" priority="7837">
      <formula>G365="**"</formula>
    </cfRule>
    <cfRule type="expression" dxfId="6638" priority="7838">
      <formula>G365=""</formula>
    </cfRule>
    <cfRule type="expression" dxfId="6637" priority="7839">
      <formula>G365&lt;44.5</formula>
    </cfRule>
    <cfRule type="expression" dxfId="6636" priority="7840">
      <formula>G365&lt;60.5</formula>
    </cfRule>
    <cfRule type="expression" dxfId="6635" priority="7841">
      <formula>G365&lt;85.5</formula>
    </cfRule>
    <cfRule type="expression" dxfId="6634" priority="7842">
      <formula>G365&gt;85.5</formula>
    </cfRule>
  </conditionalFormatting>
  <conditionalFormatting sqref="H361">
    <cfRule type="expression" dxfId="6633" priority="7830">
      <formula>H361="**"</formula>
    </cfRule>
    <cfRule type="expression" dxfId="6632" priority="7831">
      <formula>H361=""</formula>
    </cfRule>
    <cfRule type="expression" dxfId="6631" priority="7832">
      <formula>H361&lt;44.5</formula>
    </cfRule>
    <cfRule type="expression" dxfId="6630" priority="7833">
      <formula>H361&lt;60.5</formula>
    </cfRule>
    <cfRule type="expression" dxfId="6629" priority="7834">
      <formula>H361&lt;85.5</formula>
    </cfRule>
    <cfRule type="expression" dxfId="6628" priority="7835">
      <formula>H361&gt;85.5</formula>
    </cfRule>
  </conditionalFormatting>
  <conditionalFormatting sqref="H361:H363 H365">
    <cfRule type="expression" dxfId="6627" priority="7805">
      <formula>H$360=""</formula>
    </cfRule>
  </conditionalFormatting>
  <conditionalFormatting sqref="H362">
    <cfRule type="expression" dxfId="6626" priority="7823">
      <formula>H362="**"</formula>
    </cfRule>
    <cfRule type="expression" dxfId="6625" priority="7824">
      <formula>H362=""</formula>
    </cfRule>
    <cfRule type="expression" dxfId="6624" priority="7825">
      <formula>H362&lt;44.5</formula>
    </cfRule>
    <cfRule type="expression" dxfId="6623" priority="7826">
      <formula>H362&lt;60.5</formula>
    </cfRule>
    <cfRule type="expression" dxfId="6622" priority="7827">
      <formula>H362&lt;85.5</formula>
    </cfRule>
    <cfRule type="expression" dxfId="6621" priority="7829">
      <formula>H362&gt;85.5</formula>
    </cfRule>
  </conditionalFormatting>
  <conditionalFormatting sqref="H363">
    <cfRule type="expression" dxfId="6620" priority="7817">
      <formula>H363="**"</formula>
    </cfRule>
    <cfRule type="expression" dxfId="6619" priority="7818">
      <formula>H363=""</formula>
    </cfRule>
    <cfRule type="expression" dxfId="6618" priority="7819">
      <formula>H363&lt;44.5</formula>
    </cfRule>
    <cfRule type="expression" dxfId="6617" priority="7820">
      <formula>H363&lt;60.5</formula>
    </cfRule>
    <cfRule type="expression" dxfId="6616" priority="7821">
      <formula>H363&lt;85.5</formula>
    </cfRule>
    <cfRule type="expression" dxfId="6615" priority="7822">
      <formula>H363&gt;85.5</formula>
    </cfRule>
  </conditionalFormatting>
  <conditionalFormatting sqref="H365">
    <cfRule type="expression" dxfId="6614" priority="7806">
      <formula>H365="**"</formula>
    </cfRule>
    <cfRule type="expression" dxfId="6613" priority="7807">
      <formula>H365=""</formula>
    </cfRule>
    <cfRule type="expression" dxfId="6612" priority="7808">
      <formula>H365&lt;44.5</formula>
    </cfRule>
    <cfRule type="expression" dxfId="6611" priority="7809">
      <formula>H365&lt;60.5</formula>
    </cfRule>
    <cfRule type="expression" dxfId="6610" priority="7810">
      <formula>H365&lt;85.5</formula>
    </cfRule>
    <cfRule type="expression" dxfId="6609" priority="7811">
      <formula>H365&gt;85.5</formula>
    </cfRule>
  </conditionalFormatting>
  <conditionalFormatting sqref="I361">
    <cfRule type="expression" dxfId="6608" priority="7799">
      <formula>I361="**"</formula>
    </cfRule>
    <cfRule type="expression" dxfId="6607" priority="7800">
      <formula>I361=""</formula>
    </cfRule>
    <cfRule type="expression" dxfId="6606" priority="7801">
      <formula>I361&lt;44.5</formula>
    </cfRule>
    <cfRule type="expression" dxfId="6605" priority="7802">
      <formula>I361&lt;60.5</formula>
    </cfRule>
    <cfRule type="expression" dxfId="6604" priority="7803">
      <formula>I361&lt;85.5</formula>
    </cfRule>
    <cfRule type="expression" dxfId="6603" priority="7804">
      <formula>I361&gt;85.5</formula>
    </cfRule>
  </conditionalFormatting>
  <conditionalFormatting sqref="I361:I363 I365">
    <cfRule type="expression" dxfId="6602" priority="7774">
      <formula>I$360=""</formula>
    </cfRule>
  </conditionalFormatting>
  <conditionalFormatting sqref="I362">
    <cfRule type="expression" dxfId="6601" priority="7792">
      <formula>I362="**"</formula>
    </cfRule>
    <cfRule type="expression" dxfId="6600" priority="7793">
      <formula>I362=""</formula>
    </cfRule>
    <cfRule type="expression" dxfId="6599" priority="7794">
      <formula>I362&lt;44.5</formula>
    </cfRule>
    <cfRule type="expression" dxfId="6598" priority="7795">
      <formula>I362&lt;60.5</formula>
    </cfRule>
    <cfRule type="expression" dxfId="6597" priority="7796">
      <formula>I362&lt;85.5</formula>
    </cfRule>
    <cfRule type="expression" dxfId="6596" priority="7798">
      <formula>I362&gt;85.5</formula>
    </cfRule>
  </conditionalFormatting>
  <conditionalFormatting sqref="I363">
    <cfRule type="expression" dxfId="6595" priority="7786">
      <formula>I363="**"</formula>
    </cfRule>
    <cfRule type="expression" dxfId="6594" priority="7787">
      <formula>I363=""</formula>
    </cfRule>
    <cfRule type="expression" dxfId="6593" priority="7788">
      <formula>I363&lt;44.5</formula>
    </cfRule>
    <cfRule type="expression" dxfId="6592" priority="7789">
      <formula>I363&lt;60.5</formula>
    </cfRule>
    <cfRule type="expression" dxfId="6591" priority="7790">
      <formula>I363&lt;85.5</formula>
    </cfRule>
    <cfRule type="expression" dxfId="6590" priority="7791">
      <formula>I363&gt;85.5</formula>
    </cfRule>
  </conditionalFormatting>
  <conditionalFormatting sqref="I365">
    <cfRule type="expression" dxfId="6589" priority="7775">
      <formula>I365="**"</formula>
    </cfRule>
    <cfRule type="expression" dxfId="6588" priority="7776">
      <formula>I365=""</formula>
    </cfRule>
    <cfRule type="expression" dxfId="6587" priority="7777">
      <formula>I365&lt;44.5</formula>
    </cfRule>
    <cfRule type="expression" dxfId="6586" priority="7778">
      <formula>I365&lt;60.5</formula>
    </cfRule>
    <cfRule type="expression" dxfId="6585" priority="7779">
      <formula>I365&lt;85.5</formula>
    </cfRule>
    <cfRule type="expression" dxfId="6584" priority="7780">
      <formula>I365&gt;85.5</formula>
    </cfRule>
  </conditionalFormatting>
  <conditionalFormatting sqref="J361">
    <cfRule type="expression" dxfId="6583" priority="7768">
      <formula>J361="**"</formula>
    </cfRule>
    <cfRule type="expression" dxfId="6582" priority="7769">
      <formula>J361=""</formula>
    </cfRule>
    <cfRule type="expression" dxfId="6581" priority="7770">
      <formula>J361&lt;44.5</formula>
    </cfRule>
    <cfRule type="expression" dxfId="6580" priority="7771">
      <formula>J361&lt;60.5</formula>
    </cfRule>
    <cfRule type="expression" dxfId="6579" priority="7772">
      <formula>J361&lt;85.5</formula>
    </cfRule>
    <cfRule type="expression" dxfId="6578" priority="7773">
      <formula>J361&gt;85.5</formula>
    </cfRule>
  </conditionalFormatting>
  <conditionalFormatting sqref="J361:J363 J365">
    <cfRule type="expression" dxfId="6577" priority="7743">
      <formula>J$360=""</formula>
    </cfRule>
  </conditionalFormatting>
  <conditionalFormatting sqref="J362">
    <cfRule type="expression" dxfId="6576" priority="7761">
      <formula>J362="**"</formula>
    </cfRule>
    <cfRule type="expression" dxfId="6575" priority="7762">
      <formula>J362=""</formula>
    </cfRule>
    <cfRule type="expression" dxfId="6574" priority="7763">
      <formula>J362&lt;44.5</formula>
    </cfRule>
    <cfRule type="expression" dxfId="6573" priority="7764">
      <formula>J362&lt;60.5</formula>
    </cfRule>
    <cfRule type="expression" dxfId="6572" priority="7765">
      <formula>J362&lt;85.5</formula>
    </cfRule>
    <cfRule type="expression" dxfId="6571" priority="7767">
      <formula>J362&gt;85.5</formula>
    </cfRule>
  </conditionalFormatting>
  <conditionalFormatting sqref="J363">
    <cfRule type="expression" dxfId="6570" priority="7755">
      <formula>J363="**"</formula>
    </cfRule>
    <cfRule type="expression" dxfId="6569" priority="7756">
      <formula>J363=""</formula>
    </cfRule>
    <cfRule type="expression" dxfId="6568" priority="7757">
      <formula>J363&lt;44.5</formula>
    </cfRule>
    <cfRule type="expression" dxfId="6567" priority="7758">
      <formula>J363&lt;60.5</formula>
    </cfRule>
    <cfRule type="expression" dxfId="6566" priority="7759">
      <formula>J363&lt;85.5</formula>
    </cfRule>
    <cfRule type="expression" dxfId="6565" priority="7760">
      <formula>J363&gt;85.5</formula>
    </cfRule>
  </conditionalFormatting>
  <conditionalFormatting sqref="J365">
    <cfRule type="expression" dxfId="6564" priority="7744">
      <formula>J365="**"</formula>
    </cfRule>
    <cfRule type="expression" dxfId="6563" priority="7745">
      <formula>J365=""</formula>
    </cfRule>
    <cfRule type="expression" dxfId="6562" priority="7746">
      <formula>J365&lt;44.5</formula>
    </cfRule>
    <cfRule type="expression" dxfId="6561" priority="7747">
      <formula>J365&lt;60.5</formula>
    </cfRule>
    <cfRule type="expression" dxfId="6560" priority="7748">
      <formula>J365&lt;85.5</formula>
    </cfRule>
    <cfRule type="expression" dxfId="6559" priority="7749">
      <formula>J365&gt;85.5</formula>
    </cfRule>
  </conditionalFormatting>
  <conditionalFormatting sqref="K361">
    <cfRule type="expression" dxfId="6558" priority="7737">
      <formula>K361="**"</formula>
    </cfRule>
    <cfRule type="expression" dxfId="6557" priority="7738">
      <formula>K361=""</formula>
    </cfRule>
    <cfRule type="expression" dxfId="6556" priority="7739">
      <formula>K361&lt;44.5</formula>
    </cfRule>
    <cfRule type="expression" dxfId="6555" priority="7740">
      <formula>K361&lt;60.5</formula>
    </cfRule>
    <cfRule type="expression" dxfId="6554" priority="7741">
      <formula>K361&lt;85.5</formula>
    </cfRule>
    <cfRule type="expression" dxfId="6553" priority="7742">
      <formula>K361&gt;85.5</formula>
    </cfRule>
  </conditionalFormatting>
  <conditionalFormatting sqref="K361:K363 K365">
    <cfRule type="expression" dxfId="6552" priority="7712">
      <formula>K$360=""</formula>
    </cfRule>
  </conditionalFormatting>
  <conditionalFormatting sqref="K362">
    <cfRule type="expression" dxfId="6551" priority="7730">
      <formula>K362="**"</formula>
    </cfRule>
    <cfRule type="expression" dxfId="6550" priority="7731">
      <formula>K362=""</formula>
    </cfRule>
    <cfRule type="expression" dxfId="6549" priority="7732">
      <formula>K362&lt;44.5</formula>
    </cfRule>
    <cfRule type="expression" dxfId="6548" priority="7733">
      <formula>K362&lt;60.5</formula>
    </cfRule>
    <cfRule type="expression" dxfId="6547" priority="7734">
      <formula>K362&lt;85.5</formula>
    </cfRule>
    <cfRule type="expression" dxfId="6546" priority="7736">
      <formula>K362&gt;85.5</formula>
    </cfRule>
  </conditionalFormatting>
  <conditionalFormatting sqref="K363">
    <cfRule type="expression" dxfId="6545" priority="7724">
      <formula>K363="**"</formula>
    </cfRule>
    <cfRule type="expression" dxfId="6544" priority="7725">
      <formula>K363=""</formula>
    </cfRule>
    <cfRule type="expression" dxfId="6543" priority="7726">
      <formula>K363&lt;44.5</formula>
    </cfRule>
    <cfRule type="expression" dxfId="6542" priority="7727">
      <formula>K363&lt;60.5</formula>
    </cfRule>
    <cfRule type="expression" dxfId="6541" priority="7728">
      <formula>K363&lt;85.5</formula>
    </cfRule>
    <cfRule type="expression" dxfId="6540" priority="7729">
      <formula>K363&gt;85.5</formula>
    </cfRule>
  </conditionalFormatting>
  <conditionalFormatting sqref="K365">
    <cfRule type="expression" dxfId="6539" priority="7713">
      <formula>K365="**"</formula>
    </cfRule>
    <cfRule type="expression" dxfId="6538" priority="7714">
      <formula>K365=""</formula>
    </cfRule>
    <cfRule type="expression" dxfId="6537" priority="7715">
      <formula>K365&lt;44.5</formula>
    </cfRule>
    <cfRule type="expression" dxfId="6536" priority="7716">
      <formula>K365&lt;60.5</formula>
    </cfRule>
    <cfRule type="expression" dxfId="6535" priority="7717">
      <formula>K365&lt;85.5</formula>
    </cfRule>
    <cfRule type="expression" dxfId="6534" priority="7718">
      <formula>K365&gt;85.5</formula>
    </cfRule>
  </conditionalFormatting>
  <conditionalFormatting sqref="L361">
    <cfRule type="expression" dxfId="6533" priority="7706">
      <formula>L361="**"</formula>
    </cfRule>
    <cfRule type="expression" dxfId="6532" priority="7707">
      <formula>L361=""</formula>
    </cfRule>
    <cfRule type="expression" dxfId="6531" priority="7708">
      <formula>L361&lt;44.5</formula>
    </cfRule>
    <cfRule type="expression" dxfId="6530" priority="7709">
      <formula>L361&lt;60.5</formula>
    </cfRule>
    <cfRule type="expression" dxfId="6529" priority="7710">
      <formula>L361&lt;85.5</formula>
    </cfRule>
    <cfRule type="expression" dxfId="6528" priority="7711">
      <formula>L361&gt;85.5</formula>
    </cfRule>
  </conditionalFormatting>
  <conditionalFormatting sqref="L361:L363 L365">
    <cfRule type="expression" dxfId="6527" priority="7681">
      <formula>L$360=""</formula>
    </cfRule>
  </conditionalFormatting>
  <conditionalFormatting sqref="L362">
    <cfRule type="expression" dxfId="6526" priority="7699">
      <formula>L362="**"</formula>
    </cfRule>
    <cfRule type="expression" dxfId="6525" priority="7700">
      <formula>L362=""</formula>
    </cfRule>
    <cfRule type="expression" dxfId="6524" priority="7701">
      <formula>L362&lt;44.5</formula>
    </cfRule>
    <cfRule type="expression" dxfId="6523" priority="7702">
      <formula>L362&lt;60.5</formula>
    </cfRule>
    <cfRule type="expression" dxfId="6522" priority="7703">
      <formula>L362&lt;85.5</formula>
    </cfRule>
    <cfRule type="expression" dxfId="6521" priority="7705">
      <formula>L362&gt;85.5</formula>
    </cfRule>
  </conditionalFormatting>
  <conditionalFormatting sqref="L363">
    <cfRule type="expression" dxfId="6520" priority="7693">
      <formula>L363="**"</formula>
    </cfRule>
    <cfRule type="expression" dxfId="6519" priority="7694">
      <formula>L363=""</formula>
    </cfRule>
    <cfRule type="expression" dxfId="6518" priority="7695">
      <formula>L363&lt;44.5</formula>
    </cfRule>
    <cfRule type="expression" dxfId="6517" priority="7696">
      <formula>L363&lt;60.5</formula>
    </cfRule>
    <cfRule type="expression" dxfId="6516" priority="7697">
      <formula>L363&lt;85.5</formula>
    </cfRule>
    <cfRule type="expression" dxfId="6515" priority="7698">
      <formula>L363&gt;85.5</formula>
    </cfRule>
  </conditionalFormatting>
  <conditionalFormatting sqref="L365">
    <cfRule type="expression" dxfId="6514" priority="7682">
      <formula>L365="**"</formula>
    </cfRule>
    <cfRule type="expression" dxfId="6513" priority="7683">
      <formula>L365=""</formula>
    </cfRule>
    <cfRule type="expression" dxfId="6512" priority="7684">
      <formula>L365&lt;44.5</formula>
    </cfRule>
    <cfRule type="expression" dxfId="6511" priority="7685">
      <formula>L365&lt;60.5</formula>
    </cfRule>
    <cfRule type="expression" dxfId="6510" priority="7686">
      <formula>L365&lt;85.5</formula>
    </cfRule>
    <cfRule type="expression" dxfId="6509" priority="7687">
      <formula>L365&gt;85.5</formula>
    </cfRule>
  </conditionalFormatting>
  <conditionalFormatting sqref="C391">
    <cfRule type="expression" dxfId="6508" priority="7675">
      <formula>C391="**"</formula>
    </cfRule>
    <cfRule type="expression" dxfId="6507" priority="7676">
      <formula>C391=""</formula>
    </cfRule>
    <cfRule type="expression" dxfId="6506" priority="7677">
      <formula>C391&lt;44.5</formula>
    </cfRule>
    <cfRule type="expression" dxfId="6505" priority="7678">
      <formula>C391&lt;60.5</formula>
    </cfRule>
    <cfRule type="expression" dxfId="6504" priority="7679">
      <formula>C391&lt;85.5</formula>
    </cfRule>
    <cfRule type="expression" dxfId="6503" priority="7680">
      <formula>C391&gt;85.5</formula>
    </cfRule>
  </conditionalFormatting>
  <conditionalFormatting sqref="C391:C395">
    <cfRule type="expression" dxfId="6502" priority="7650">
      <formula>C$390=""</formula>
    </cfRule>
  </conditionalFormatting>
  <conditionalFormatting sqref="C392">
    <cfRule type="expression" dxfId="6501" priority="7668">
      <formula>C392="**"</formula>
    </cfRule>
    <cfRule type="expression" dxfId="6500" priority="7669">
      <formula>C392=""</formula>
    </cfRule>
    <cfRule type="expression" dxfId="6499" priority="7670">
      <formula>C392&lt;44.5</formula>
    </cfRule>
    <cfRule type="expression" dxfId="6498" priority="7671">
      <formula>C392&lt;60.5</formula>
    </cfRule>
    <cfRule type="expression" dxfId="6497" priority="7672">
      <formula>C392&lt;85.5</formula>
    </cfRule>
    <cfRule type="expression" dxfId="6496" priority="7674">
      <formula>C392&gt;85.5</formula>
    </cfRule>
  </conditionalFormatting>
  <conditionalFormatting sqref="C393">
    <cfRule type="expression" dxfId="6495" priority="7662">
      <formula>C393="**"</formula>
    </cfRule>
    <cfRule type="expression" dxfId="6494" priority="7663">
      <formula>C393=""</formula>
    </cfRule>
    <cfRule type="expression" dxfId="6493" priority="7664">
      <formula>C393&lt;44.5</formula>
    </cfRule>
    <cfRule type="expression" dxfId="6492" priority="7665">
      <formula>C393&lt;60.5</formula>
    </cfRule>
    <cfRule type="expression" dxfId="6491" priority="7666">
      <formula>C393&lt;85.5</formula>
    </cfRule>
    <cfRule type="expression" dxfId="6490" priority="7667">
      <formula>C393&gt;85.5</formula>
    </cfRule>
  </conditionalFormatting>
  <conditionalFormatting sqref="C394">
    <cfRule type="expression" dxfId="6489" priority="7657">
      <formula>C394="**"</formula>
    </cfRule>
    <cfRule type="expression" dxfId="6488" priority="7658">
      <formula>C394=""</formula>
    </cfRule>
    <cfRule type="expression" dxfId="6487" priority="7659">
      <formula>C394&lt;44.5</formula>
    </cfRule>
    <cfRule type="expression" dxfId="6486" priority="7660">
      <formula>C394&lt;60.5</formula>
    </cfRule>
    <cfRule type="expression" dxfId="6485" priority="7661">
      <formula>C394&lt;85.5</formula>
    </cfRule>
    <cfRule type="expression" dxfId="6484" priority="7673">
      <formula>C394&gt;85.5</formula>
    </cfRule>
  </conditionalFormatting>
  <conditionalFormatting sqref="C395">
    <cfRule type="expression" dxfId="6483" priority="7651">
      <formula>C395="**"</formula>
    </cfRule>
    <cfRule type="expression" dxfId="6482" priority="7652">
      <formula>C395=""</formula>
    </cfRule>
    <cfRule type="expression" dxfId="6481" priority="7653">
      <formula>C395&lt;44.5</formula>
    </cfRule>
    <cfRule type="expression" dxfId="6480" priority="7654">
      <formula>C395&lt;60.5</formula>
    </cfRule>
    <cfRule type="expression" dxfId="6479" priority="7655">
      <formula>C395&lt;85.5</formula>
    </cfRule>
    <cfRule type="expression" dxfId="6478" priority="7656">
      <formula>C395&gt;85.5</formula>
    </cfRule>
  </conditionalFormatting>
  <conditionalFormatting sqref="D391">
    <cfRule type="expression" dxfId="6477" priority="7644">
      <formula>D391="**"</formula>
    </cfRule>
    <cfRule type="expression" dxfId="6476" priority="7645">
      <formula>D391=""</formula>
    </cfRule>
    <cfRule type="expression" dxfId="6475" priority="7646">
      <formula>D391&lt;44.5</formula>
    </cfRule>
    <cfRule type="expression" dxfId="6474" priority="7647">
      <formula>D391&lt;60.5</formula>
    </cfRule>
    <cfRule type="expression" dxfId="6473" priority="7648">
      <formula>D391&lt;85.5</formula>
    </cfRule>
    <cfRule type="expression" dxfId="6472" priority="7649">
      <formula>D391&gt;85.5</formula>
    </cfRule>
  </conditionalFormatting>
  <conditionalFormatting sqref="D391:D393 D395">
    <cfRule type="expression" dxfId="6471" priority="7619">
      <formula>D$390=""</formula>
    </cfRule>
  </conditionalFormatting>
  <conditionalFormatting sqref="D392">
    <cfRule type="expression" dxfId="6470" priority="7637">
      <formula>D392="**"</formula>
    </cfRule>
    <cfRule type="expression" dxfId="6469" priority="7638">
      <formula>D392=""</formula>
    </cfRule>
    <cfRule type="expression" dxfId="6468" priority="7639">
      <formula>D392&lt;44.5</formula>
    </cfRule>
    <cfRule type="expression" dxfId="6467" priority="7640">
      <formula>D392&lt;60.5</formula>
    </cfRule>
    <cfRule type="expression" dxfId="6466" priority="7641">
      <formula>D392&lt;85.5</formula>
    </cfRule>
    <cfRule type="expression" dxfId="6465" priority="7643">
      <formula>D392&gt;85.5</formula>
    </cfRule>
  </conditionalFormatting>
  <conditionalFormatting sqref="D393">
    <cfRule type="expression" dxfId="6464" priority="7631">
      <formula>D393="**"</formula>
    </cfRule>
    <cfRule type="expression" dxfId="6463" priority="7632">
      <formula>D393=""</formula>
    </cfRule>
    <cfRule type="expression" dxfId="6462" priority="7633">
      <formula>D393&lt;44.5</formula>
    </cfRule>
    <cfRule type="expression" dxfId="6461" priority="7634">
      <formula>D393&lt;60.5</formula>
    </cfRule>
    <cfRule type="expression" dxfId="6460" priority="7635">
      <formula>D393&lt;85.5</formula>
    </cfRule>
    <cfRule type="expression" dxfId="6459" priority="7636">
      <formula>D393&gt;85.5</formula>
    </cfRule>
  </conditionalFormatting>
  <conditionalFormatting sqref="D395">
    <cfRule type="expression" dxfId="6458" priority="7620">
      <formula>D395="**"</formula>
    </cfRule>
    <cfRule type="expression" dxfId="6457" priority="7621">
      <formula>D395=""</formula>
    </cfRule>
    <cfRule type="expression" dxfId="6456" priority="7622">
      <formula>D395&lt;44.5</formula>
    </cfRule>
    <cfRule type="expression" dxfId="6455" priority="7623">
      <formula>D395&lt;60.5</formula>
    </cfRule>
    <cfRule type="expression" dxfId="6454" priority="7624">
      <formula>D395&lt;85.5</formula>
    </cfRule>
    <cfRule type="expression" dxfId="6453" priority="7625">
      <formula>D395&gt;85.5</formula>
    </cfRule>
  </conditionalFormatting>
  <conditionalFormatting sqref="E391">
    <cfRule type="expression" dxfId="6452" priority="7613">
      <formula>E391="**"</formula>
    </cfRule>
    <cfRule type="expression" dxfId="6451" priority="7614">
      <formula>E391=""</formula>
    </cfRule>
    <cfRule type="expression" dxfId="6450" priority="7615">
      <formula>E391&lt;44.5</formula>
    </cfRule>
    <cfRule type="expression" dxfId="6449" priority="7616">
      <formula>E391&lt;60.5</formula>
    </cfRule>
    <cfRule type="expression" dxfId="6448" priority="7617">
      <formula>E391&lt;85.5</formula>
    </cfRule>
    <cfRule type="expression" dxfId="6447" priority="7618">
      <formula>E391&gt;85.5</formula>
    </cfRule>
  </conditionalFormatting>
  <conditionalFormatting sqref="E391:E393 E395">
    <cfRule type="expression" dxfId="6446" priority="7588">
      <formula>E$390=""</formula>
    </cfRule>
  </conditionalFormatting>
  <conditionalFormatting sqref="E392">
    <cfRule type="expression" dxfId="6445" priority="7606">
      <formula>E392="**"</formula>
    </cfRule>
    <cfRule type="expression" dxfId="6444" priority="7607">
      <formula>E392=""</formula>
    </cfRule>
    <cfRule type="expression" dxfId="6443" priority="7608">
      <formula>E392&lt;44.5</formula>
    </cfRule>
    <cfRule type="expression" dxfId="6442" priority="7609">
      <formula>E392&lt;60.5</formula>
    </cfRule>
    <cfRule type="expression" dxfId="6441" priority="7610">
      <formula>E392&lt;85.5</formula>
    </cfRule>
    <cfRule type="expression" dxfId="6440" priority="7612">
      <formula>E392&gt;85.5</formula>
    </cfRule>
  </conditionalFormatting>
  <conditionalFormatting sqref="E393">
    <cfRule type="expression" dxfId="6439" priority="7600">
      <formula>E393="**"</formula>
    </cfRule>
    <cfRule type="expression" dxfId="6438" priority="7601">
      <formula>E393=""</formula>
    </cfRule>
    <cfRule type="expression" dxfId="6437" priority="7602">
      <formula>E393&lt;44.5</formula>
    </cfRule>
    <cfRule type="expression" dxfId="6436" priority="7603">
      <formula>E393&lt;60.5</formula>
    </cfRule>
    <cfRule type="expression" dxfId="6435" priority="7604">
      <formula>E393&lt;85.5</formula>
    </cfRule>
    <cfRule type="expression" dxfId="6434" priority="7605">
      <formula>E393&gt;85.5</formula>
    </cfRule>
  </conditionalFormatting>
  <conditionalFormatting sqref="E395">
    <cfRule type="expression" dxfId="6433" priority="7589">
      <formula>E395="**"</formula>
    </cfRule>
    <cfRule type="expression" dxfId="6432" priority="7590">
      <formula>E395=""</formula>
    </cfRule>
    <cfRule type="expression" dxfId="6431" priority="7591">
      <formula>E395&lt;44.5</formula>
    </cfRule>
    <cfRule type="expression" dxfId="6430" priority="7592">
      <formula>E395&lt;60.5</formula>
    </cfRule>
    <cfRule type="expression" dxfId="6429" priority="7593">
      <formula>E395&lt;85.5</formula>
    </cfRule>
    <cfRule type="expression" dxfId="6428" priority="7594">
      <formula>E395&gt;85.5</formula>
    </cfRule>
  </conditionalFormatting>
  <conditionalFormatting sqref="F391">
    <cfRule type="expression" dxfId="6427" priority="7582">
      <formula>F391="**"</formula>
    </cfRule>
    <cfRule type="expression" dxfId="6426" priority="7583">
      <formula>F391=""</formula>
    </cfRule>
    <cfRule type="expression" dxfId="6425" priority="7584">
      <formula>F391&lt;44.5</formula>
    </cfRule>
    <cfRule type="expression" dxfId="6424" priority="7585">
      <formula>F391&lt;60.5</formula>
    </cfRule>
    <cfRule type="expression" dxfId="6423" priority="7586">
      <formula>F391&lt;85.5</formula>
    </cfRule>
    <cfRule type="expression" dxfId="6422" priority="7587">
      <formula>F391&gt;85.5</formula>
    </cfRule>
  </conditionalFormatting>
  <conditionalFormatting sqref="F391:F393 F395">
    <cfRule type="expression" dxfId="6421" priority="7557">
      <formula>F$390=""</formula>
    </cfRule>
  </conditionalFormatting>
  <conditionalFormatting sqref="F392">
    <cfRule type="expression" dxfId="6420" priority="7575">
      <formula>F392="**"</formula>
    </cfRule>
    <cfRule type="expression" dxfId="6419" priority="7576">
      <formula>F392=""</formula>
    </cfRule>
    <cfRule type="expression" dxfId="6418" priority="7577">
      <formula>F392&lt;44.5</formula>
    </cfRule>
    <cfRule type="expression" dxfId="6417" priority="7578">
      <formula>F392&lt;60.5</formula>
    </cfRule>
    <cfRule type="expression" dxfId="6416" priority="7579">
      <formula>F392&lt;85.5</formula>
    </cfRule>
    <cfRule type="expression" dxfId="6415" priority="7581">
      <formula>F392&gt;85.5</formula>
    </cfRule>
  </conditionalFormatting>
  <conditionalFormatting sqref="F393">
    <cfRule type="expression" dxfId="6414" priority="7569">
      <formula>F393="**"</formula>
    </cfRule>
    <cfRule type="expression" dxfId="6413" priority="7570">
      <formula>F393=""</formula>
    </cfRule>
    <cfRule type="expression" dxfId="6412" priority="7571">
      <formula>F393&lt;44.5</formula>
    </cfRule>
    <cfRule type="expression" dxfId="6411" priority="7572">
      <formula>F393&lt;60.5</formula>
    </cfRule>
    <cfRule type="expression" dxfId="6410" priority="7573">
      <formula>F393&lt;85.5</formula>
    </cfRule>
    <cfRule type="expression" dxfId="6409" priority="7574">
      <formula>F393&gt;85.5</formula>
    </cfRule>
  </conditionalFormatting>
  <conditionalFormatting sqref="F395">
    <cfRule type="expression" dxfId="6408" priority="7558">
      <formula>F395="**"</formula>
    </cfRule>
    <cfRule type="expression" dxfId="6407" priority="7559">
      <formula>F395=""</formula>
    </cfRule>
    <cfRule type="expression" dxfId="6406" priority="7560">
      <formula>F395&lt;44.5</formula>
    </cfRule>
    <cfRule type="expression" dxfId="6405" priority="7561">
      <formula>F395&lt;60.5</formula>
    </cfRule>
    <cfRule type="expression" dxfId="6404" priority="7562">
      <formula>F395&lt;85.5</formula>
    </cfRule>
    <cfRule type="expression" dxfId="6403" priority="7563">
      <formula>F395&gt;85.5</formula>
    </cfRule>
  </conditionalFormatting>
  <conditionalFormatting sqref="G391">
    <cfRule type="expression" dxfId="6402" priority="7551">
      <formula>G391="**"</formula>
    </cfRule>
    <cfRule type="expression" dxfId="6401" priority="7552">
      <formula>G391=""</formula>
    </cfRule>
    <cfRule type="expression" dxfId="6400" priority="7553">
      <formula>G391&lt;44.5</formula>
    </cfRule>
    <cfRule type="expression" dxfId="6399" priority="7554">
      <formula>G391&lt;60.5</formula>
    </cfRule>
    <cfRule type="expression" dxfId="6398" priority="7555">
      <formula>G391&lt;85.5</formula>
    </cfRule>
    <cfRule type="expression" dxfId="6397" priority="7556">
      <formula>G391&gt;85.5</formula>
    </cfRule>
  </conditionalFormatting>
  <conditionalFormatting sqref="G391:G393 G395">
    <cfRule type="expression" dxfId="6396" priority="7526">
      <formula>G$390=""</formula>
    </cfRule>
  </conditionalFormatting>
  <conditionalFormatting sqref="G392">
    <cfRule type="expression" dxfId="6395" priority="7544">
      <formula>G392="**"</formula>
    </cfRule>
    <cfRule type="expression" dxfId="6394" priority="7545">
      <formula>G392=""</formula>
    </cfRule>
    <cfRule type="expression" dxfId="6393" priority="7546">
      <formula>G392&lt;44.5</formula>
    </cfRule>
    <cfRule type="expression" dxfId="6392" priority="7547">
      <formula>G392&lt;60.5</formula>
    </cfRule>
    <cfRule type="expression" dxfId="6391" priority="7548">
      <formula>G392&lt;85.5</formula>
    </cfRule>
    <cfRule type="expression" dxfId="6390" priority="7550">
      <formula>G392&gt;85.5</formula>
    </cfRule>
  </conditionalFormatting>
  <conditionalFormatting sqref="G393">
    <cfRule type="expression" dxfId="6389" priority="7538">
      <formula>G393="**"</formula>
    </cfRule>
    <cfRule type="expression" dxfId="6388" priority="7539">
      <formula>G393=""</formula>
    </cfRule>
    <cfRule type="expression" dxfId="6387" priority="7540">
      <formula>G393&lt;44.5</formula>
    </cfRule>
    <cfRule type="expression" dxfId="6386" priority="7541">
      <formula>G393&lt;60.5</formula>
    </cfRule>
    <cfRule type="expression" dxfId="6385" priority="7542">
      <formula>G393&lt;85.5</formula>
    </cfRule>
    <cfRule type="expression" dxfId="6384" priority="7543">
      <formula>G393&gt;85.5</formula>
    </cfRule>
  </conditionalFormatting>
  <conditionalFormatting sqref="G395">
    <cfRule type="expression" dxfId="6383" priority="7527">
      <formula>G395="**"</formula>
    </cfRule>
    <cfRule type="expression" dxfId="6382" priority="7528">
      <formula>G395=""</formula>
    </cfRule>
    <cfRule type="expression" dxfId="6381" priority="7529">
      <formula>G395&lt;44.5</formula>
    </cfRule>
    <cfRule type="expression" dxfId="6380" priority="7530">
      <formula>G395&lt;60.5</formula>
    </cfRule>
    <cfRule type="expression" dxfId="6379" priority="7531">
      <formula>G395&lt;85.5</formula>
    </cfRule>
    <cfRule type="expression" dxfId="6378" priority="7532">
      <formula>G395&gt;85.5</formula>
    </cfRule>
  </conditionalFormatting>
  <conditionalFormatting sqref="H391">
    <cfRule type="expression" dxfId="6377" priority="7520">
      <formula>H391="**"</formula>
    </cfRule>
    <cfRule type="expression" dxfId="6376" priority="7521">
      <formula>H391=""</formula>
    </cfRule>
    <cfRule type="expression" dxfId="6375" priority="7522">
      <formula>H391&lt;44.5</formula>
    </cfRule>
    <cfRule type="expression" dxfId="6374" priority="7523">
      <formula>H391&lt;60.5</formula>
    </cfRule>
    <cfRule type="expression" dxfId="6373" priority="7524">
      <formula>H391&lt;85.5</formula>
    </cfRule>
    <cfRule type="expression" dxfId="6372" priority="7525">
      <formula>H391&gt;85.5</formula>
    </cfRule>
  </conditionalFormatting>
  <conditionalFormatting sqref="H391:H393 H395">
    <cfRule type="expression" dxfId="6371" priority="7495">
      <formula>H$390=""</formula>
    </cfRule>
  </conditionalFormatting>
  <conditionalFormatting sqref="H392">
    <cfRule type="expression" dxfId="6370" priority="7513">
      <formula>H392="**"</formula>
    </cfRule>
    <cfRule type="expression" dxfId="6369" priority="7514">
      <formula>H392=""</formula>
    </cfRule>
    <cfRule type="expression" dxfId="6368" priority="7515">
      <formula>H392&lt;44.5</formula>
    </cfRule>
    <cfRule type="expression" dxfId="6367" priority="7516">
      <formula>H392&lt;60.5</formula>
    </cfRule>
    <cfRule type="expression" dxfId="6366" priority="7517">
      <formula>H392&lt;85.5</formula>
    </cfRule>
    <cfRule type="expression" dxfId="6365" priority="7519">
      <formula>H392&gt;85.5</formula>
    </cfRule>
  </conditionalFormatting>
  <conditionalFormatting sqref="H393">
    <cfRule type="expression" dxfId="6364" priority="7507">
      <formula>H393="**"</formula>
    </cfRule>
    <cfRule type="expression" dxfId="6363" priority="7508">
      <formula>H393=""</formula>
    </cfRule>
    <cfRule type="expression" dxfId="6362" priority="7509">
      <formula>H393&lt;44.5</formula>
    </cfRule>
    <cfRule type="expression" dxfId="6361" priority="7510">
      <formula>H393&lt;60.5</formula>
    </cfRule>
    <cfRule type="expression" dxfId="6360" priority="7511">
      <formula>H393&lt;85.5</formula>
    </cfRule>
    <cfRule type="expression" dxfId="6359" priority="7512">
      <formula>H393&gt;85.5</formula>
    </cfRule>
  </conditionalFormatting>
  <conditionalFormatting sqref="H395">
    <cfRule type="expression" dxfId="6358" priority="7496">
      <formula>H395="**"</formula>
    </cfRule>
    <cfRule type="expression" dxfId="6357" priority="7497">
      <formula>H395=""</formula>
    </cfRule>
    <cfRule type="expression" dxfId="6356" priority="7498">
      <formula>H395&lt;44.5</formula>
    </cfRule>
    <cfRule type="expression" dxfId="6355" priority="7499">
      <formula>H395&lt;60.5</formula>
    </cfRule>
    <cfRule type="expression" dxfId="6354" priority="7500">
      <formula>H395&lt;85.5</formula>
    </cfRule>
    <cfRule type="expression" dxfId="6353" priority="7501">
      <formula>H395&gt;85.5</formula>
    </cfRule>
  </conditionalFormatting>
  <conditionalFormatting sqref="I391">
    <cfRule type="expression" dxfId="6352" priority="7489">
      <formula>I391="**"</formula>
    </cfRule>
    <cfRule type="expression" dxfId="6351" priority="7490">
      <formula>I391=""</formula>
    </cfRule>
    <cfRule type="expression" dxfId="6350" priority="7491">
      <formula>I391&lt;44.5</formula>
    </cfRule>
    <cfRule type="expression" dxfId="6349" priority="7492">
      <formula>I391&lt;60.5</formula>
    </cfRule>
    <cfRule type="expression" dxfId="6348" priority="7493">
      <formula>I391&lt;85.5</formula>
    </cfRule>
    <cfRule type="expression" dxfId="6347" priority="7494">
      <formula>I391&gt;85.5</formula>
    </cfRule>
  </conditionalFormatting>
  <conditionalFormatting sqref="I391:I393 I395">
    <cfRule type="expression" dxfId="6346" priority="7464">
      <formula>I$390=""</formula>
    </cfRule>
  </conditionalFormatting>
  <conditionalFormatting sqref="I392">
    <cfRule type="expression" dxfId="6345" priority="7482">
      <formula>I392="**"</formula>
    </cfRule>
    <cfRule type="expression" dxfId="6344" priority="7483">
      <formula>I392=""</formula>
    </cfRule>
    <cfRule type="expression" dxfId="6343" priority="7484">
      <formula>I392&lt;44.5</formula>
    </cfRule>
    <cfRule type="expression" dxfId="6342" priority="7485">
      <formula>I392&lt;60.5</formula>
    </cfRule>
    <cfRule type="expression" dxfId="6341" priority="7486">
      <formula>I392&lt;85.5</formula>
    </cfRule>
    <cfRule type="expression" dxfId="6340" priority="7488">
      <formula>I392&gt;85.5</formula>
    </cfRule>
  </conditionalFormatting>
  <conditionalFormatting sqref="I393">
    <cfRule type="expression" dxfId="6339" priority="7476">
      <formula>I393="**"</formula>
    </cfRule>
    <cfRule type="expression" dxfId="6338" priority="7477">
      <formula>I393=""</formula>
    </cfRule>
    <cfRule type="expression" dxfId="6337" priority="7478">
      <formula>I393&lt;44.5</formula>
    </cfRule>
    <cfRule type="expression" dxfId="6336" priority="7479">
      <formula>I393&lt;60.5</formula>
    </cfRule>
    <cfRule type="expression" dxfId="6335" priority="7480">
      <formula>I393&lt;85.5</formula>
    </cfRule>
    <cfRule type="expression" dxfId="6334" priority="7481">
      <formula>I393&gt;85.5</formula>
    </cfRule>
  </conditionalFormatting>
  <conditionalFormatting sqref="I395">
    <cfRule type="expression" dxfId="6333" priority="7465">
      <formula>I395="**"</formula>
    </cfRule>
    <cfRule type="expression" dxfId="6332" priority="7466">
      <formula>I395=""</formula>
    </cfRule>
    <cfRule type="expression" dxfId="6331" priority="7467">
      <formula>I395&lt;44.5</formula>
    </cfRule>
    <cfRule type="expression" dxfId="6330" priority="7468">
      <formula>I395&lt;60.5</formula>
    </cfRule>
    <cfRule type="expression" dxfId="6329" priority="7469">
      <formula>I395&lt;85.5</formula>
    </cfRule>
    <cfRule type="expression" dxfId="6328" priority="7470">
      <formula>I395&gt;85.5</formula>
    </cfRule>
  </conditionalFormatting>
  <conditionalFormatting sqref="J391">
    <cfRule type="expression" dxfId="6327" priority="7458">
      <formula>J391="**"</formula>
    </cfRule>
    <cfRule type="expression" dxfId="6326" priority="7459">
      <formula>J391=""</formula>
    </cfRule>
    <cfRule type="expression" dxfId="6325" priority="7460">
      <formula>J391&lt;44.5</formula>
    </cfRule>
    <cfRule type="expression" dxfId="6324" priority="7461">
      <formula>J391&lt;60.5</formula>
    </cfRule>
    <cfRule type="expression" dxfId="6323" priority="7462">
      <formula>J391&lt;85.5</formula>
    </cfRule>
    <cfRule type="expression" dxfId="6322" priority="7463">
      <formula>J391&gt;85.5</formula>
    </cfRule>
  </conditionalFormatting>
  <conditionalFormatting sqref="J391:J393 J395">
    <cfRule type="expression" dxfId="6321" priority="7433">
      <formula>J$390=""</formula>
    </cfRule>
  </conditionalFormatting>
  <conditionalFormatting sqref="J392">
    <cfRule type="expression" dxfId="6320" priority="7451">
      <formula>J392="**"</formula>
    </cfRule>
    <cfRule type="expression" dxfId="6319" priority="7452">
      <formula>J392=""</formula>
    </cfRule>
    <cfRule type="expression" dxfId="6318" priority="7453">
      <formula>J392&lt;44.5</formula>
    </cfRule>
    <cfRule type="expression" dxfId="6317" priority="7454">
      <formula>J392&lt;60.5</formula>
    </cfRule>
    <cfRule type="expression" dxfId="6316" priority="7455">
      <formula>J392&lt;85.5</formula>
    </cfRule>
    <cfRule type="expression" dxfId="6315" priority="7457">
      <formula>J392&gt;85.5</formula>
    </cfRule>
  </conditionalFormatting>
  <conditionalFormatting sqref="J393">
    <cfRule type="expression" dxfId="6314" priority="7445">
      <formula>J393="**"</formula>
    </cfRule>
    <cfRule type="expression" dxfId="6313" priority="7446">
      <formula>J393=""</formula>
    </cfRule>
    <cfRule type="expression" dxfId="6312" priority="7447">
      <formula>J393&lt;44.5</formula>
    </cfRule>
    <cfRule type="expression" dxfId="6311" priority="7448">
      <formula>J393&lt;60.5</formula>
    </cfRule>
    <cfRule type="expression" dxfId="6310" priority="7449">
      <formula>J393&lt;85.5</formula>
    </cfRule>
    <cfRule type="expression" dxfId="6309" priority="7450">
      <formula>J393&gt;85.5</formula>
    </cfRule>
  </conditionalFormatting>
  <conditionalFormatting sqref="J395">
    <cfRule type="expression" dxfId="6308" priority="7434">
      <formula>J395="**"</formula>
    </cfRule>
    <cfRule type="expression" dxfId="6307" priority="7435">
      <formula>J395=""</formula>
    </cfRule>
    <cfRule type="expression" dxfId="6306" priority="7436">
      <formula>J395&lt;44.5</formula>
    </cfRule>
    <cfRule type="expression" dxfId="6305" priority="7437">
      <formula>J395&lt;60.5</formula>
    </cfRule>
    <cfRule type="expression" dxfId="6304" priority="7438">
      <formula>J395&lt;85.5</formula>
    </cfRule>
    <cfRule type="expression" dxfId="6303" priority="7439">
      <formula>J395&gt;85.5</formula>
    </cfRule>
  </conditionalFormatting>
  <conditionalFormatting sqref="K391">
    <cfRule type="expression" dxfId="6302" priority="7427">
      <formula>K391="**"</formula>
    </cfRule>
    <cfRule type="expression" dxfId="6301" priority="7428">
      <formula>K391=""</formula>
    </cfRule>
    <cfRule type="expression" dxfId="6300" priority="7429">
      <formula>K391&lt;44.5</formula>
    </cfRule>
    <cfRule type="expression" dxfId="6299" priority="7430">
      <formula>K391&lt;60.5</formula>
    </cfRule>
    <cfRule type="expression" dxfId="6298" priority="7431">
      <formula>K391&lt;85.5</formula>
    </cfRule>
    <cfRule type="expression" dxfId="6297" priority="7432">
      <formula>K391&gt;85.5</formula>
    </cfRule>
  </conditionalFormatting>
  <conditionalFormatting sqref="K391:K393 K395">
    <cfRule type="expression" dxfId="6296" priority="7402">
      <formula>K$390=""</formula>
    </cfRule>
  </conditionalFormatting>
  <conditionalFormatting sqref="K392">
    <cfRule type="expression" dxfId="6295" priority="7420">
      <formula>K392="**"</formula>
    </cfRule>
    <cfRule type="expression" dxfId="6294" priority="7421">
      <formula>K392=""</formula>
    </cfRule>
    <cfRule type="expression" dxfId="6293" priority="7422">
      <formula>K392&lt;44.5</formula>
    </cfRule>
    <cfRule type="expression" dxfId="6292" priority="7423">
      <formula>K392&lt;60.5</formula>
    </cfRule>
    <cfRule type="expression" dxfId="6291" priority="7424">
      <formula>K392&lt;85.5</formula>
    </cfRule>
    <cfRule type="expression" dxfId="6290" priority="7426">
      <formula>K392&gt;85.5</formula>
    </cfRule>
  </conditionalFormatting>
  <conditionalFormatting sqref="K393">
    <cfRule type="expression" dxfId="6289" priority="7414">
      <formula>K393="**"</formula>
    </cfRule>
    <cfRule type="expression" dxfId="6288" priority="7415">
      <formula>K393=""</formula>
    </cfRule>
    <cfRule type="expression" dxfId="6287" priority="7416">
      <formula>K393&lt;44.5</formula>
    </cfRule>
    <cfRule type="expression" dxfId="6286" priority="7417">
      <formula>K393&lt;60.5</formula>
    </cfRule>
    <cfRule type="expression" dxfId="6285" priority="7418">
      <formula>K393&lt;85.5</formula>
    </cfRule>
    <cfRule type="expression" dxfId="6284" priority="7419">
      <formula>K393&gt;85.5</formula>
    </cfRule>
  </conditionalFormatting>
  <conditionalFormatting sqref="K395">
    <cfRule type="expression" dxfId="6283" priority="7403">
      <formula>K395="**"</formula>
    </cfRule>
    <cfRule type="expression" dxfId="6282" priority="7404">
      <formula>K395=""</formula>
    </cfRule>
    <cfRule type="expression" dxfId="6281" priority="7405">
      <formula>K395&lt;44.5</formula>
    </cfRule>
    <cfRule type="expression" dxfId="6280" priority="7406">
      <formula>K395&lt;60.5</formula>
    </cfRule>
    <cfRule type="expression" dxfId="6279" priority="7407">
      <formula>K395&lt;85.5</formula>
    </cfRule>
    <cfRule type="expression" dxfId="6278" priority="7408">
      <formula>K395&gt;85.5</formula>
    </cfRule>
  </conditionalFormatting>
  <conditionalFormatting sqref="L391">
    <cfRule type="expression" dxfId="6277" priority="7396">
      <formula>L391="**"</formula>
    </cfRule>
    <cfRule type="expression" dxfId="6276" priority="7397">
      <formula>L391=""</formula>
    </cfRule>
    <cfRule type="expression" dxfId="6275" priority="7398">
      <formula>L391&lt;44.5</formula>
    </cfRule>
    <cfRule type="expression" dxfId="6274" priority="7399">
      <formula>L391&lt;60.5</formula>
    </cfRule>
    <cfRule type="expression" dxfId="6273" priority="7400">
      <formula>L391&lt;85.5</formula>
    </cfRule>
    <cfRule type="expression" dxfId="6272" priority="7401">
      <formula>L391&gt;85.5</formula>
    </cfRule>
  </conditionalFormatting>
  <conditionalFormatting sqref="L391:L393 L395">
    <cfRule type="expression" dxfId="6271" priority="7371">
      <formula>L$390=""</formula>
    </cfRule>
  </conditionalFormatting>
  <conditionalFormatting sqref="L392">
    <cfRule type="expression" dxfId="6270" priority="7389">
      <formula>L392="**"</formula>
    </cfRule>
    <cfRule type="expression" dxfId="6269" priority="7390">
      <formula>L392=""</formula>
    </cfRule>
    <cfRule type="expression" dxfId="6268" priority="7391">
      <formula>L392&lt;44.5</formula>
    </cfRule>
    <cfRule type="expression" dxfId="6267" priority="7392">
      <formula>L392&lt;60.5</formula>
    </cfRule>
    <cfRule type="expression" dxfId="6266" priority="7393">
      <formula>L392&lt;85.5</formula>
    </cfRule>
    <cfRule type="expression" dxfId="6265" priority="7395">
      <formula>L392&gt;85.5</formula>
    </cfRule>
  </conditionalFormatting>
  <conditionalFormatting sqref="L393">
    <cfRule type="expression" dxfId="6264" priority="7383">
      <formula>L393="**"</formula>
    </cfRule>
    <cfRule type="expression" dxfId="6263" priority="7384">
      <formula>L393=""</formula>
    </cfRule>
    <cfRule type="expression" dxfId="6262" priority="7385">
      <formula>L393&lt;44.5</formula>
    </cfRule>
    <cfRule type="expression" dxfId="6261" priority="7386">
      <formula>L393&lt;60.5</formula>
    </cfRule>
    <cfRule type="expression" dxfId="6260" priority="7387">
      <formula>L393&lt;85.5</formula>
    </cfRule>
    <cfRule type="expression" dxfId="6259" priority="7388">
      <formula>L393&gt;85.5</formula>
    </cfRule>
  </conditionalFormatting>
  <conditionalFormatting sqref="L395">
    <cfRule type="expression" dxfId="6258" priority="7372">
      <formula>L395="**"</formula>
    </cfRule>
    <cfRule type="expression" dxfId="6257" priority="7373">
      <formula>L395=""</formula>
    </cfRule>
    <cfRule type="expression" dxfId="6256" priority="7374">
      <formula>L395&lt;44.5</formula>
    </cfRule>
    <cfRule type="expression" dxfId="6255" priority="7375">
      <formula>L395&lt;60.5</formula>
    </cfRule>
    <cfRule type="expression" dxfId="6254" priority="7376">
      <formula>L395&lt;85.5</formula>
    </cfRule>
    <cfRule type="expression" dxfId="6253" priority="7377">
      <formula>L395&gt;85.5</formula>
    </cfRule>
  </conditionalFormatting>
  <conditionalFormatting sqref="C421">
    <cfRule type="expression" dxfId="6252" priority="7365">
      <formula>C421="**"</formula>
    </cfRule>
    <cfRule type="expression" dxfId="6251" priority="7366">
      <formula>C421=""</formula>
    </cfRule>
    <cfRule type="expression" dxfId="6250" priority="7367">
      <formula>C421&lt;44.5</formula>
    </cfRule>
    <cfRule type="expression" dxfId="6249" priority="7368">
      <formula>C421&lt;60.5</formula>
    </cfRule>
    <cfRule type="expression" dxfId="6248" priority="7369">
      <formula>C421&lt;85.5</formula>
    </cfRule>
    <cfRule type="expression" dxfId="6247" priority="7370">
      <formula>C421&gt;85.5</formula>
    </cfRule>
  </conditionalFormatting>
  <conditionalFormatting sqref="C421:C425">
    <cfRule type="expression" dxfId="6246" priority="7340">
      <formula>C$420=""</formula>
    </cfRule>
  </conditionalFormatting>
  <conditionalFormatting sqref="C422">
    <cfRule type="expression" dxfId="6245" priority="7358">
      <formula>C422="**"</formula>
    </cfRule>
    <cfRule type="expression" dxfId="6244" priority="7359">
      <formula>C422=""</formula>
    </cfRule>
    <cfRule type="expression" dxfId="6243" priority="7360">
      <formula>C422&lt;44.5</formula>
    </cfRule>
    <cfRule type="expression" dxfId="6242" priority="7361">
      <formula>C422&lt;60.5</formula>
    </cfRule>
    <cfRule type="expression" dxfId="6241" priority="7362">
      <formula>C422&lt;85.5</formula>
    </cfRule>
    <cfRule type="expression" dxfId="6240" priority="7364">
      <formula>C422&gt;85.5</formula>
    </cfRule>
  </conditionalFormatting>
  <conditionalFormatting sqref="C423">
    <cfRule type="expression" dxfId="6239" priority="7352">
      <formula>C423="**"</formula>
    </cfRule>
    <cfRule type="expression" dxfId="6238" priority="7353">
      <formula>C423=""</formula>
    </cfRule>
    <cfRule type="expression" dxfId="6237" priority="7354">
      <formula>C423&lt;44.5</formula>
    </cfRule>
    <cfRule type="expression" dxfId="6236" priority="7355">
      <formula>C423&lt;60.5</formula>
    </cfRule>
    <cfRule type="expression" dxfId="6235" priority="7356">
      <formula>C423&lt;85.5</formula>
    </cfRule>
    <cfRule type="expression" dxfId="6234" priority="7357">
      <formula>C423&gt;85.5</formula>
    </cfRule>
  </conditionalFormatting>
  <conditionalFormatting sqref="C424">
    <cfRule type="expression" dxfId="6233" priority="7347">
      <formula>C424="**"</formula>
    </cfRule>
    <cfRule type="expression" dxfId="6232" priority="7348">
      <formula>C424=""</formula>
    </cfRule>
    <cfRule type="expression" dxfId="6231" priority="7349">
      <formula>C424&lt;44.5</formula>
    </cfRule>
    <cfRule type="expression" dxfId="6230" priority="7350">
      <formula>C424&lt;60.5</formula>
    </cfRule>
    <cfRule type="expression" dxfId="6229" priority="7351">
      <formula>C424&lt;85.5</formula>
    </cfRule>
    <cfRule type="expression" dxfId="6228" priority="7363">
      <formula>C424&gt;85.5</formula>
    </cfRule>
  </conditionalFormatting>
  <conditionalFormatting sqref="C425">
    <cfRule type="expression" dxfId="6227" priority="7341">
      <formula>C425="**"</formula>
    </cfRule>
    <cfRule type="expression" dxfId="6226" priority="7342">
      <formula>C425=""</formula>
    </cfRule>
    <cfRule type="expression" dxfId="6225" priority="7343">
      <formula>C425&lt;44.5</formula>
    </cfRule>
    <cfRule type="expression" dxfId="6224" priority="7344">
      <formula>C425&lt;60.5</formula>
    </cfRule>
    <cfRule type="expression" dxfId="6223" priority="7345">
      <formula>C425&lt;85.5</formula>
    </cfRule>
    <cfRule type="expression" dxfId="6222" priority="7346">
      <formula>C425&gt;85.5</formula>
    </cfRule>
  </conditionalFormatting>
  <conditionalFormatting sqref="D421">
    <cfRule type="expression" dxfId="6221" priority="7334">
      <formula>D421="**"</formula>
    </cfRule>
    <cfRule type="expression" dxfId="6220" priority="7335">
      <formula>D421=""</formula>
    </cfRule>
    <cfRule type="expression" dxfId="6219" priority="7336">
      <formula>D421&lt;44.5</formula>
    </cfRule>
    <cfRule type="expression" dxfId="6218" priority="7337">
      <formula>D421&lt;60.5</formula>
    </cfRule>
    <cfRule type="expression" dxfId="6217" priority="7338">
      <formula>D421&lt;85.5</formula>
    </cfRule>
    <cfRule type="expression" dxfId="6216" priority="7339">
      <formula>D421&gt;85.5</formula>
    </cfRule>
  </conditionalFormatting>
  <conditionalFormatting sqref="D421:D423 D425">
    <cfRule type="expression" dxfId="6215" priority="7309">
      <formula>D$420=""</formula>
    </cfRule>
  </conditionalFormatting>
  <conditionalFormatting sqref="D422">
    <cfRule type="expression" dxfId="6214" priority="7327">
      <formula>D422="**"</formula>
    </cfRule>
    <cfRule type="expression" dxfId="6213" priority="7328">
      <formula>D422=""</formula>
    </cfRule>
    <cfRule type="expression" dxfId="6212" priority="7329">
      <formula>D422&lt;44.5</formula>
    </cfRule>
    <cfRule type="expression" dxfId="6211" priority="7330">
      <formula>D422&lt;60.5</formula>
    </cfRule>
    <cfRule type="expression" dxfId="6210" priority="7331">
      <formula>D422&lt;85.5</formula>
    </cfRule>
    <cfRule type="expression" dxfId="6209" priority="7333">
      <formula>D422&gt;85.5</formula>
    </cfRule>
  </conditionalFormatting>
  <conditionalFormatting sqref="D423">
    <cfRule type="expression" dxfId="6208" priority="7321">
      <formula>D423="**"</formula>
    </cfRule>
    <cfRule type="expression" dxfId="6207" priority="7322">
      <formula>D423=""</formula>
    </cfRule>
    <cfRule type="expression" dxfId="6206" priority="7323">
      <formula>D423&lt;44.5</formula>
    </cfRule>
    <cfRule type="expression" dxfId="6205" priority="7324">
      <formula>D423&lt;60.5</formula>
    </cfRule>
    <cfRule type="expression" dxfId="6204" priority="7325">
      <formula>D423&lt;85.5</formula>
    </cfRule>
    <cfRule type="expression" dxfId="6203" priority="7326">
      <formula>D423&gt;85.5</formula>
    </cfRule>
  </conditionalFormatting>
  <conditionalFormatting sqref="D425">
    <cfRule type="expression" dxfId="6202" priority="7310">
      <formula>D425="**"</formula>
    </cfRule>
    <cfRule type="expression" dxfId="6201" priority="7311">
      <formula>D425=""</formula>
    </cfRule>
    <cfRule type="expression" dxfId="6200" priority="7312">
      <formula>D425&lt;44.5</formula>
    </cfRule>
    <cfRule type="expression" dxfId="6199" priority="7313">
      <formula>D425&lt;60.5</formula>
    </cfRule>
    <cfRule type="expression" dxfId="6198" priority="7314">
      <formula>D425&lt;85.5</formula>
    </cfRule>
    <cfRule type="expression" dxfId="6197" priority="7315">
      <formula>D425&gt;85.5</formula>
    </cfRule>
  </conditionalFormatting>
  <conditionalFormatting sqref="E421">
    <cfRule type="expression" dxfId="6196" priority="7303">
      <formula>E421="**"</formula>
    </cfRule>
    <cfRule type="expression" dxfId="6195" priority="7304">
      <formula>E421=""</formula>
    </cfRule>
    <cfRule type="expression" dxfId="6194" priority="7305">
      <formula>E421&lt;44.5</formula>
    </cfRule>
    <cfRule type="expression" dxfId="6193" priority="7306">
      <formula>E421&lt;60.5</formula>
    </cfRule>
    <cfRule type="expression" dxfId="6192" priority="7307">
      <formula>E421&lt;85.5</formula>
    </cfRule>
    <cfRule type="expression" dxfId="6191" priority="7308">
      <formula>E421&gt;85.5</formula>
    </cfRule>
  </conditionalFormatting>
  <conditionalFormatting sqref="E421:E423 E425">
    <cfRule type="expression" dxfId="6190" priority="7278">
      <formula>E$420=""</formula>
    </cfRule>
  </conditionalFormatting>
  <conditionalFormatting sqref="E422">
    <cfRule type="expression" dxfId="6189" priority="7296">
      <formula>E422="**"</formula>
    </cfRule>
    <cfRule type="expression" dxfId="6188" priority="7297">
      <formula>E422=""</formula>
    </cfRule>
    <cfRule type="expression" dxfId="6187" priority="7298">
      <formula>E422&lt;44.5</formula>
    </cfRule>
    <cfRule type="expression" dxfId="6186" priority="7299">
      <formula>E422&lt;60.5</formula>
    </cfRule>
    <cfRule type="expression" dxfId="6185" priority="7300">
      <formula>E422&lt;85.5</formula>
    </cfRule>
    <cfRule type="expression" dxfId="6184" priority="7302">
      <formula>E422&gt;85.5</formula>
    </cfRule>
  </conditionalFormatting>
  <conditionalFormatting sqref="E423">
    <cfRule type="expression" dxfId="6183" priority="7290">
      <formula>E423="**"</formula>
    </cfRule>
    <cfRule type="expression" dxfId="6182" priority="7291">
      <formula>E423=""</formula>
    </cfRule>
    <cfRule type="expression" dxfId="6181" priority="7292">
      <formula>E423&lt;44.5</formula>
    </cfRule>
    <cfRule type="expression" dxfId="6180" priority="7293">
      <formula>E423&lt;60.5</formula>
    </cfRule>
    <cfRule type="expression" dxfId="6179" priority="7294">
      <formula>E423&lt;85.5</formula>
    </cfRule>
    <cfRule type="expression" dxfId="6178" priority="7295">
      <formula>E423&gt;85.5</formula>
    </cfRule>
  </conditionalFormatting>
  <conditionalFormatting sqref="E425">
    <cfRule type="expression" dxfId="6177" priority="7279">
      <formula>E425="**"</formula>
    </cfRule>
    <cfRule type="expression" dxfId="6176" priority="7280">
      <formula>E425=""</formula>
    </cfRule>
    <cfRule type="expression" dxfId="6175" priority="7281">
      <formula>E425&lt;44.5</formula>
    </cfRule>
    <cfRule type="expression" dxfId="6174" priority="7282">
      <formula>E425&lt;60.5</formula>
    </cfRule>
    <cfRule type="expression" dxfId="6173" priority="7283">
      <formula>E425&lt;85.5</formula>
    </cfRule>
    <cfRule type="expression" dxfId="6172" priority="7284">
      <formula>E425&gt;85.5</formula>
    </cfRule>
  </conditionalFormatting>
  <conditionalFormatting sqref="F421">
    <cfRule type="expression" dxfId="6171" priority="7272">
      <formula>F421="**"</formula>
    </cfRule>
    <cfRule type="expression" dxfId="6170" priority="7273">
      <formula>F421=""</formula>
    </cfRule>
    <cfRule type="expression" dxfId="6169" priority="7274">
      <formula>F421&lt;44.5</formula>
    </cfRule>
    <cfRule type="expression" dxfId="6168" priority="7275">
      <formula>F421&lt;60.5</formula>
    </cfRule>
    <cfRule type="expression" dxfId="6167" priority="7276">
      <formula>F421&lt;85.5</formula>
    </cfRule>
    <cfRule type="expression" dxfId="6166" priority="7277">
      <formula>F421&gt;85.5</formula>
    </cfRule>
  </conditionalFormatting>
  <conditionalFormatting sqref="F421:F423 F425">
    <cfRule type="expression" dxfId="6165" priority="7247">
      <formula>F$420=""</formula>
    </cfRule>
  </conditionalFormatting>
  <conditionalFormatting sqref="F422">
    <cfRule type="expression" dxfId="6164" priority="7265">
      <formula>F422="**"</formula>
    </cfRule>
    <cfRule type="expression" dxfId="6163" priority="7266">
      <formula>F422=""</formula>
    </cfRule>
    <cfRule type="expression" dxfId="6162" priority="7267">
      <formula>F422&lt;44.5</formula>
    </cfRule>
    <cfRule type="expression" dxfId="6161" priority="7268">
      <formula>F422&lt;60.5</formula>
    </cfRule>
    <cfRule type="expression" dxfId="6160" priority="7269">
      <formula>F422&lt;85.5</formula>
    </cfRule>
    <cfRule type="expression" dxfId="6159" priority="7271">
      <formula>F422&gt;85.5</formula>
    </cfRule>
  </conditionalFormatting>
  <conditionalFormatting sqref="F423">
    <cfRule type="expression" dxfId="6158" priority="7259">
      <formula>F423="**"</formula>
    </cfRule>
    <cfRule type="expression" dxfId="6157" priority="7260">
      <formula>F423=""</formula>
    </cfRule>
    <cfRule type="expression" dxfId="6156" priority="7261">
      <formula>F423&lt;44.5</formula>
    </cfRule>
    <cfRule type="expression" dxfId="6155" priority="7262">
      <formula>F423&lt;60.5</formula>
    </cfRule>
    <cfRule type="expression" dxfId="6154" priority="7263">
      <formula>F423&lt;85.5</formula>
    </cfRule>
    <cfRule type="expression" dxfId="6153" priority="7264">
      <formula>F423&gt;85.5</formula>
    </cfRule>
  </conditionalFormatting>
  <conditionalFormatting sqref="F425">
    <cfRule type="expression" dxfId="6152" priority="7248">
      <formula>F425="**"</formula>
    </cfRule>
    <cfRule type="expression" dxfId="6151" priority="7249">
      <formula>F425=""</formula>
    </cfRule>
    <cfRule type="expression" dxfId="6150" priority="7250">
      <formula>F425&lt;44.5</formula>
    </cfRule>
    <cfRule type="expression" dxfId="6149" priority="7251">
      <formula>F425&lt;60.5</formula>
    </cfRule>
    <cfRule type="expression" dxfId="6148" priority="7252">
      <formula>F425&lt;85.5</formula>
    </cfRule>
    <cfRule type="expression" dxfId="6147" priority="7253">
      <formula>F425&gt;85.5</formula>
    </cfRule>
  </conditionalFormatting>
  <conditionalFormatting sqref="G421">
    <cfRule type="expression" dxfId="6146" priority="7241">
      <formula>G421="**"</formula>
    </cfRule>
    <cfRule type="expression" dxfId="6145" priority="7242">
      <formula>G421=""</formula>
    </cfRule>
    <cfRule type="expression" dxfId="6144" priority="7243">
      <formula>G421&lt;44.5</formula>
    </cfRule>
    <cfRule type="expression" dxfId="6143" priority="7244">
      <formula>G421&lt;60.5</formula>
    </cfRule>
    <cfRule type="expression" dxfId="6142" priority="7245">
      <formula>G421&lt;85.5</formula>
    </cfRule>
    <cfRule type="expression" dxfId="6141" priority="7246">
      <formula>G421&gt;85.5</formula>
    </cfRule>
  </conditionalFormatting>
  <conditionalFormatting sqref="G421:G423 G425">
    <cfRule type="expression" dxfId="6140" priority="7216">
      <formula>G$420=""</formula>
    </cfRule>
  </conditionalFormatting>
  <conditionalFormatting sqref="G422">
    <cfRule type="expression" dxfId="6139" priority="7234">
      <formula>G422="**"</formula>
    </cfRule>
    <cfRule type="expression" dxfId="6138" priority="7235">
      <formula>G422=""</formula>
    </cfRule>
    <cfRule type="expression" dxfId="6137" priority="7236">
      <formula>G422&lt;44.5</formula>
    </cfRule>
    <cfRule type="expression" dxfId="6136" priority="7237">
      <formula>G422&lt;60.5</formula>
    </cfRule>
    <cfRule type="expression" dxfId="6135" priority="7238">
      <formula>G422&lt;85.5</formula>
    </cfRule>
    <cfRule type="expression" dxfId="6134" priority="7240">
      <formula>G422&gt;85.5</formula>
    </cfRule>
  </conditionalFormatting>
  <conditionalFormatting sqref="G423">
    <cfRule type="expression" dxfId="6133" priority="7228">
      <formula>G423="**"</formula>
    </cfRule>
    <cfRule type="expression" dxfId="6132" priority="7229">
      <formula>G423=""</formula>
    </cfRule>
    <cfRule type="expression" dxfId="6131" priority="7230">
      <formula>G423&lt;44.5</formula>
    </cfRule>
    <cfRule type="expression" dxfId="6130" priority="7231">
      <formula>G423&lt;60.5</formula>
    </cfRule>
    <cfRule type="expression" dxfId="6129" priority="7232">
      <formula>G423&lt;85.5</formula>
    </cfRule>
    <cfRule type="expression" dxfId="6128" priority="7233">
      <formula>G423&gt;85.5</formula>
    </cfRule>
  </conditionalFormatting>
  <conditionalFormatting sqref="G425">
    <cfRule type="expression" dxfId="6127" priority="7217">
      <formula>G425="**"</formula>
    </cfRule>
    <cfRule type="expression" dxfId="6126" priority="7218">
      <formula>G425=""</formula>
    </cfRule>
    <cfRule type="expression" dxfId="6125" priority="7219">
      <formula>G425&lt;44.5</formula>
    </cfRule>
    <cfRule type="expression" dxfId="6124" priority="7220">
      <formula>G425&lt;60.5</formula>
    </cfRule>
    <cfRule type="expression" dxfId="6123" priority="7221">
      <formula>G425&lt;85.5</formula>
    </cfRule>
    <cfRule type="expression" dxfId="6122" priority="7222">
      <formula>G425&gt;85.5</formula>
    </cfRule>
  </conditionalFormatting>
  <conditionalFormatting sqref="H421">
    <cfRule type="expression" dxfId="6121" priority="7210">
      <formula>H421="**"</formula>
    </cfRule>
    <cfRule type="expression" dxfId="6120" priority="7211">
      <formula>H421=""</formula>
    </cfRule>
    <cfRule type="expression" dxfId="6119" priority="7212">
      <formula>H421&lt;44.5</formula>
    </cfRule>
    <cfRule type="expression" dxfId="6118" priority="7213">
      <formula>H421&lt;60.5</formula>
    </cfRule>
    <cfRule type="expression" dxfId="6117" priority="7214">
      <formula>H421&lt;85.5</formula>
    </cfRule>
    <cfRule type="expression" dxfId="6116" priority="7215">
      <formula>H421&gt;85.5</formula>
    </cfRule>
  </conditionalFormatting>
  <conditionalFormatting sqref="H421:H423 H425">
    <cfRule type="expression" dxfId="6115" priority="7185">
      <formula>H$420=""</formula>
    </cfRule>
  </conditionalFormatting>
  <conditionalFormatting sqref="H422">
    <cfRule type="expression" dxfId="6114" priority="7203">
      <formula>H422="**"</formula>
    </cfRule>
    <cfRule type="expression" dxfId="6113" priority="7204">
      <formula>H422=""</formula>
    </cfRule>
    <cfRule type="expression" dxfId="6112" priority="7205">
      <formula>H422&lt;44.5</formula>
    </cfRule>
    <cfRule type="expression" dxfId="6111" priority="7206">
      <formula>H422&lt;60.5</formula>
    </cfRule>
    <cfRule type="expression" dxfId="6110" priority="7207">
      <formula>H422&lt;85.5</formula>
    </cfRule>
    <cfRule type="expression" dxfId="6109" priority="7209">
      <formula>H422&gt;85.5</formula>
    </cfRule>
  </conditionalFormatting>
  <conditionalFormatting sqref="H423">
    <cfRule type="expression" dxfId="6108" priority="7197">
      <formula>H423="**"</formula>
    </cfRule>
    <cfRule type="expression" dxfId="6107" priority="7198">
      <formula>H423=""</formula>
    </cfRule>
    <cfRule type="expression" dxfId="6106" priority="7199">
      <formula>H423&lt;44.5</formula>
    </cfRule>
    <cfRule type="expression" dxfId="6105" priority="7200">
      <formula>H423&lt;60.5</formula>
    </cfRule>
    <cfRule type="expression" dxfId="6104" priority="7201">
      <formula>H423&lt;85.5</formula>
    </cfRule>
    <cfRule type="expression" dxfId="6103" priority="7202">
      <formula>H423&gt;85.5</formula>
    </cfRule>
  </conditionalFormatting>
  <conditionalFormatting sqref="H425">
    <cfRule type="expression" dxfId="6102" priority="7186">
      <formula>H425="**"</formula>
    </cfRule>
    <cfRule type="expression" dxfId="6101" priority="7187">
      <formula>H425=""</formula>
    </cfRule>
    <cfRule type="expression" dxfId="6100" priority="7188">
      <formula>H425&lt;44.5</formula>
    </cfRule>
    <cfRule type="expression" dxfId="6099" priority="7189">
      <formula>H425&lt;60.5</formula>
    </cfRule>
    <cfRule type="expression" dxfId="6098" priority="7190">
      <formula>H425&lt;85.5</formula>
    </cfRule>
    <cfRule type="expression" dxfId="6097" priority="7191">
      <formula>H425&gt;85.5</formula>
    </cfRule>
  </conditionalFormatting>
  <conditionalFormatting sqref="I421">
    <cfRule type="expression" dxfId="6096" priority="7179">
      <formula>I421="**"</formula>
    </cfRule>
    <cfRule type="expression" dxfId="6095" priority="7180">
      <formula>I421=""</formula>
    </cfRule>
    <cfRule type="expression" dxfId="6094" priority="7181">
      <formula>I421&lt;44.5</formula>
    </cfRule>
    <cfRule type="expression" dxfId="6093" priority="7182">
      <formula>I421&lt;60.5</formula>
    </cfRule>
    <cfRule type="expression" dxfId="6092" priority="7183">
      <formula>I421&lt;85.5</formula>
    </cfRule>
    <cfRule type="expression" dxfId="6091" priority="7184">
      <formula>I421&gt;85.5</formula>
    </cfRule>
  </conditionalFormatting>
  <conditionalFormatting sqref="I421:I423 I425">
    <cfRule type="expression" dxfId="6090" priority="7154">
      <formula>I$420=""</formula>
    </cfRule>
  </conditionalFormatting>
  <conditionalFormatting sqref="I422">
    <cfRule type="expression" dxfId="6089" priority="7172">
      <formula>I422="**"</formula>
    </cfRule>
    <cfRule type="expression" dxfId="6088" priority="7173">
      <formula>I422=""</formula>
    </cfRule>
    <cfRule type="expression" dxfId="6087" priority="7174">
      <formula>I422&lt;44.5</formula>
    </cfRule>
    <cfRule type="expression" dxfId="6086" priority="7175">
      <formula>I422&lt;60.5</formula>
    </cfRule>
    <cfRule type="expression" dxfId="6085" priority="7176">
      <formula>I422&lt;85.5</formula>
    </cfRule>
    <cfRule type="expression" dxfId="6084" priority="7178">
      <formula>I422&gt;85.5</formula>
    </cfRule>
  </conditionalFormatting>
  <conditionalFormatting sqref="I423">
    <cfRule type="expression" dxfId="6083" priority="7166">
      <formula>I423="**"</formula>
    </cfRule>
    <cfRule type="expression" dxfId="6082" priority="7167">
      <formula>I423=""</formula>
    </cfRule>
    <cfRule type="expression" dxfId="6081" priority="7168">
      <formula>I423&lt;44.5</formula>
    </cfRule>
    <cfRule type="expression" dxfId="6080" priority="7169">
      <formula>I423&lt;60.5</formula>
    </cfRule>
    <cfRule type="expression" dxfId="6079" priority="7170">
      <formula>I423&lt;85.5</formula>
    </cfRule>
    <cfRule type="expression" dxfId="6078" priority="7171">
      <formula>I423&gt;85.5</formula>
    </cfRule>
  </conditionalFormatting>
  <conditionalFormatting sqref="I425">
    <cfRule type="expression" dxfId="6077" priority="7155">
      <formula>I425="**"</formula>
    </cfRule>
    <cfRule type="expression" dxfId="6076" priority="7156">
      <formula>I425=""</formula>
    </cfRule>
    <cfRule type="expression" dxfId="6075" priority="7157">
      <formula>I425&lt;44.5</formula>
    </cfRule>
    <cfRule type="expression" dxfId="6074" priority="7158">
      <formula>I425&lt;60.5</formula>
    </cfRule>
    <cfRule type="expression" dxfId="6073" priority="7159">
      <formula>I425&lt;85.5</formula>
    </cfRule>
    <cfRule type="expression" dxfId="6072" priority="7160">
      <formula>I425&gt;85.5</formula>
    </cfRule>
  </conditionalFormatting>
  <conditionalFormatting sqref="J421">
    <cfRule type="expression" dxfId="6071" priority="7148">
      <formula>J421="**"</formula>
    </cfRule>
    <cfRule type="expression" dxfId="6070" priority="7149">
      <formula>J421=""</formula>
    </cfRule>
    <cfRule type="expression" dxfId="6069" priority="7150">
      <formula>J421&lt;44.5</formula>
    </cfRule>
    <cfRule type="expression" dxfId="6068" priority="7151">
      <formula>J421&lt;60.5</formula>
    </cfRule>
    <cfRule type="expression" dxfId="6067" priority="7152">
      <formula>J421&lt;85.5</formula>
    </cfRule>
    <cfRule type="expression" dxfId="6066" priority="7153">
      <formula>J421&gt;85.5</formula>
    </cfRule>
  </conditionalFormatting>
  <conditionalFormatting sqref="J421:J423 J425">
    <cfRule type="expression" dxfId="6065" priority="7123">
      <formula>J$420=""</formula>
    </cfRule>
  </conditionalFormatting>
  <conditionalFormatting sqref="J422">
    <cfRule type="expression" dxfId="6064" priority="7141">
      <formula>J422="**"</formula>
    </cfRule>
    <cfRule type="expression" dxfId="6063" priority="7142">
      <formula>J422=""</formula>
    </cfRule>
    <cfRule type="expression" dxfId="6062" priority="7143">
      <formula>J422&lt;44.5</formula>
    </cfRule>
    <cfRule type="expression" dxfId="6061" priority="7144">
      <formula>J422&lt;60.5</formula>
    </cfRule>
    <cfRule type="expression" dxfId="6060" priority="7145">
      <formula>J422&lt;85.5</formula>
    </cfRule>
    <cfRule type="expression" dxfId="6059" priority="7147">
      <formula>J422&gt;85.5</formula>
    </cfRule>
  </conditionalFormatting>
  <conditionalFormatting sqref="J423">
    <cfRule type="expression" dxfId="6058" priority="7135">
      <formula>J423="**"</formula>
    </cfRule>
    <cfRule type="expression" dxfId="6057" priority="7136">
      <formula>J423=""</formula>
    </cfRule>
    <cfRule type="expression" dxfId="6056" priority="7137">
      <formula>J423&lt;44.5</formula>
    </cfRule>
    <cfRule type="expression" dxfId="6055" priority="7138">
      <formula>J423&lt;60.5</formula>
    </cfRule>
    <cfRule type="expression" dxfId="6054" priority="7139">
      <formula>J423&lt;85.5</formula>
    </cfRule>
    <cfRule type="expression" dxfId="6053" priority="7140">
      <formula>J423&gt;85.5</formula>
    </cfRule>
  </conditionalFormatting>
  <conditionalFormatting sqref="J425">
    <cfRule type="expression" dxfId="6052" priority="7124">
      <formula>J425="**"</formula>
    </cfRule>
    <cfRule type="expression" dxfId="6051" priority="7125">
      <formula>J425=""</formula>
    </cfRule>
    <cfRule type="expression" dxfId="6050" priority="7126">
      <formula>J425&lt;44.5</formula>
    </cfRule>
    <cfRule type="expression" dxfId="6049" priority="7127">
      <formula>J425&lt;60.5</formula>
    </cfRule>
    <cfRule type="expression" dxfId="6048" priority="7128">
      <formula>J425&lt;85.5</formula>
    </cfRule>
    <cfRule type="expression" dxfId="6047" priority="7129">
      <formula>J425&gt;85.5</formula>
    </cfRule>
  </conditionalFormatting>
  <conditionalFormatting sqref="K421">
    <cfRule type="expression" dxfId="6046" priority="7117">
      <formula>K421="**"</formula>
    </cfRule>
    <cfRule type="expression" dxfId="6045" priority="7118">
      <formula>K421=""</formula>
    </cfRule>
    <cfRule type="expression" dxfId="6044" priority="7119">
      <formula>K421&lt;44.5</formula>
    </cfRule>
    <cfRule type="expression" dxfId="6043" priority="7120">
      <formula>K421&lt;60.5</formula>
    </cfRule>
    <cfRule type="expression" dxfId="6042" priority="7121">
      <formula>K421&lt;85.5</formula>
    </cfRule>
    <cfRule type="expression" dxfId="6041" priority="7122">
      <formula>K421&gt;85.5</formula>
    </cfRule>
  </conditionalFormatting>
  <conditionalFormatting sqref="K421:K423 K425">
    <cfRule type="expression" dxfId="6040" priority="7092">
      <formula>K$420=""</formula>
    </cfRule>
  </conditionalFormatting>
  <conditionalFormatting sqref="K422">
    <cfRule type="expression" dxfId="6039" priority="7110">
      <formula>K422="**"</formula>
    </cfRule>
    <cfRule type="expression" dxfId="6038" priority="7111">
      <formula>K422=""</formula>
    </cfRule>
    <cfRule type="expression" dxfId="6037" priority="7112">
      <formula>K422&lt;44.5</formula>
    </cfRule>
    <cfRule type="expression" dxfId="6036" priority="7113">
      <formula>K422&lt;60.5</formula>
    </cfRule>
    <cfRule type="expression" dxfId="6035" priority="7114">
      <formula>K422&lt;85.5</formula>
    </cfRule>
    <cfRule type="expression" dxfId="6034" priority="7116">
      <formula>K422&gt;85.5</formula>
    </cfRule>
  </conditionalFormatting>
  <conditionalFormatting sqref="K423">
    <cfRule type="expression" dxfId="6033" priority="7104">
      <formula>K423="**"</formula>
    </cfRule>
    <cfRule type="expression" dxfId="6032" priority="7105">
      <formula>K423=""</formula>
    </cfRule>
    <cfRule type="expression" dxfId="6031" priority="7106">
      <formula>K423&lt;44.5</formula>
    </cfRule>
    <cfRule type="expression" dxfId="6030" priority="7107">
      <formula>K423&lt;60.5</formula>
    </cfRule>
    <cfRule type="expression" dxfId="6029" priority="7108">
      <formula>K423&lt;85.5</formula>
    </cfRule>
    <cfRule type="expression" dxfId="6028" priority="7109">
      <formula>K423&gt;85.5</formula>
    </cfRule>
  </conditionalFormatting>
  <conditionalFormatting sqref="K425">
    <cfRule type="expression" dxfId="6027" priority="7093">
      <formula>K425="**"</formula>
    </cfRule>
    <cfRule type="expression" dxfId="6026" priority="7094">
      <formula>K425=""</formula>
    </cfRule>
    <cfRule type="expression" dxfId="6025" priority="7095">
      <formula>K425&lt;44.5</formula>
    </cfRule>
    <cfRule type="expression" dxfId="6024" priority="7096">
      <formula>K425&lt;60.5</formula>
    </cfRule>
    <cfRule type="expression" dxfId="6023" priority="7097">
      <formula>K425&lt;85.5</formula>
    </cfRule>
    <cfRule type="expression" dxfId="6022" priority="7098">
      <formula>K425&gt;85.5</formula>
    </cfRule>
  </conditionalFormatting>
  <conditionalFormatting sqref="L421">
    <cfRule type="expression" dxfId="6021" priority="7086">
      <formula>L421="**"</formula>
    </cfRule>
    <cfRule type="expression" dxfId="6020" priority="7087">
      <formula>L421=""</formula>
    </cfRule>
    <cfRule type="expression" dxfId="6019" priority="7088">
      <formula>L421&lt;44.5</formula>
    </cfRule>
    <cfRule type="expression" dxfId="6018" priority="7089">
      <formula>L421&lt;60.5</formula>
    </cfRule>
    <cfRule type="expression" dxfId="6017" priority="7090">
      <formula>L421&lt;85.5</formula>
    </cfRule>
    <cfRule type="expression" dxfId="6016" priority="7091">
      <formula>L421&gt;85.5</formula>
    </cfRule>
  </conditionalFormatting>
  <conditionalFormatting sqref="L421:L423 L425">
    <cfRule type="expression" dxfId="6015" priority="7061">
      <formula>L$420=""</formula>
    </cfRule>
  </conditionalFormatting>
  <conditionalFormatting sqref="L422">
    <cfRule type="expression" dxfId="6014" priority="7079">
      <formula>L422="**"</formula>
    </cfRule>
    <cfRule type="expression" dxfId="6013" priority="7080">
      <formula>L422=""</formula>
    </cfRule>
    <cfRule type="expression" dxfId="6012" priority="7081">
      <formula>L422&lt;44.5</formula>
    </cfRule>
    <cfRule type="expression" dxfId="6011" priority="7082">
      <formula>L422&lt;60.5</formula>
    </cfRule>
    <cfRule type="expression" dxfId="6010" priority="7083">
      <formula>L422&lt;85.5</formula>
    </cfRule>
    <cfRule type="expression" dxfId="6009" priority="7085">
      <formula>L422&gt;85.5</formula>
    </cfRule>
  </conditionalFormatting>
  <conditionalFormatting sqref="L423">
    <cfRule type="expression" dxfId="6008" priority="7073">
      <formula>L423="**"</formula>
    </cfRule>
    <cfRule type="expression" dxfId="6007" priority="7074">
      <formula>L423=""</formula>
    </cfRule>
    <cfRule type="expression" dxfId="6006" priority="7075">
      <formula>L423&lt;44.5</formula>
    </cfRule>
    <cfRule type="expression" dxfId="6005" priority="7076">
      <formula>L423&lt;60.5</formula>
    </cfRule>
    <cfRule type="expression" dxfId="6004" priority="7077">
      <formula>L423&lt;85.5</formula>
    </cfRule>
    <cfRule type="expression" dxfId="6003" priority="7078">
      <formula>L423&gt;85.5</formula>
    </cfRule>
  </conditionalFormatting>
  <conditionalFormatting sqref="L425">
    <cfRule type="expression" dxfId="6002" priority="7062">
      <formula>L425="**"</formula>
    </cfRule>
    <cfRule type="expression" dxfId="6001" priority="7063">
      <formula>L425=""</formula>
    </cfRule>
    <cfRule type="expression" dxfId="6000" priority="7064">
      <formula>L425&lt;44.5</formula>
    </cfRule>
    <cfRule type="expression" dxfId="5999" priority="7065">
      <formula>L425&lt;60.5</formula>
    </cfRule>
    <cfRule type="expression" dxfId="5998" priority="7066">
      <formula>L425&lt;85.5</formula>
    </cfRule>
    <cfRule type="expression" dxfId="5997" priority="7067">
      <formula>L425&gt;85.5</formula>
    </cfRule>
  </conditionalFormatting>
  <conditionalFormatting sqref="C451">
    <cfRule type="expression" dxfId="5996" priority="7055">
      <formula>C451="**"</formula>
    </cfRule>
    <cfRule type="expression" dxfId="5995" priority="7056">
      <formula>C451=""</formula>
    </cfRule>
    <cfRule type="expression" dxfId="5994" priority="7057">
      <formula>C451&lt;44.5</formula>
    </cfRule>
    <cfRule type="expression" dxfId="5993" priority="7058">
      <formula>C451&lt;60.5</formula>
    </cfRule>
    <cfRule type="expression" dxfId="5992" priority="7059">
      <formula>C451&lt;85.5</formula>
    </cfRule>
    <cfRule type="expression" dxfId="5991" priority="7060">
      <formula>C451&gt;85.5</formula>
    </cfRule>
  </conditionalFormatting>
  <conditionalFormatting sqref="C451:C455">
    <cfRule type="expression" dxfId="5990" priority="7030">
      <formula>C$450=""</formula>
    </cfRule>
  </conditionalFormatting>
  <conditionalFormatting sqref="C452">
    <cfRule type="expression" dxfId="5989" priority="7048">
      <formula>C452="**"</formula>
    </cfRule>
    <cfRule type="expression" dxfId="5988" priority="7049">
      <formula>C452=""</formula>
    </cfRule>
    <cfRule type="expression" dxfId="5987" priority="7050">
      <formula>C452&lt;44.5</formula>
    </cfRule>
    <cfRule type="expression" dxfId="5986" priority="7051">
      <formula>C452&lt;60.5</formula>
    </cfRule>
    <cfRule type="expression" dxfId="5985" priority="7052">
      <formula>C452&lt;85.5</formula>
    </cfRule>
    <cfRule type="expression" dxfId="5984" priority="7054">
      <formula>C452&gt;85.5</formula>
    </cfRule>
  </conditionalFormatting>
  <conditionalFormatting sqref="C453">
    <cfRule type="expression" dxfId="5983" priority="7042">
      <formula>C453="**"</formula>
    </cfRule>
    <cfRule type="expression" dxfId="5982" priority="7043">
      <formula>C453=""</formula>
    </cfRule>
    <cfRule type="expression" dxfId="5981" priority="7044">
      <formula>C453&lt;44.5</formula>
    </cfRule>
    <cfRule type="expression" dxfId="5980" priority="7045">
      <formula>C453&lt;60.5</formula>
    </cfRule>
    <cfRule type="expression" dxfId="5979" priority="7046">
      <formula>C453&lt;85.5</formula>
    </cfRule>
    <cfRule type="expression" dxfId="5978" priority="7047">
      <formula>C453&gt;85.5</formula>
    </cfRule>
  </conditionalFormatting>
  <conditionalFormatting sqref="C454">
    <cfRule type="expression" dxfId="5977" priority="7037">
      <formula>C454="**"</formula>
    </cfRule>
    <cfRule type="expression" dxfId="5976" priority="7038">
      <formula>C454=""</formula>
    </cfRule>
    <cfRule type="expression" dxfId="5975" priority="7039">
      <formula>C454&lt;44.5</formula>
    </cfRule>
    <cfRule type="expression" dxfId="5974" priority="7040">
      <formula>C454&lt;60.5</formula>
    </cfRule>
    <cfRule type="expression" dxfId="5973" priority="7041">
      <formula>C454&lt;85.5</formula>
    </cfRule>
    <cfRule type="expression" dxfId="5972" priority="7053">
      <formula>C454&gt;85.5</formula>
    </cfRule>
  </conditionalFormatting>
  <conditionalFormatting sqref="C455">
    <cfRule type="expression" dxfId="5971" priority="7031">
      <formula>C455="**"</formula>
    </cfRule>
    <cfRule type="expression" dxfId="5970" priority="7032">
      <formula>C455=""</formula>
    </cfRule>
    <cfRule type="expression" dxfId="5969" priority="7033">
      <formula>C455&lt;44.5</formula>
    </cfRule>
    <cfRule type="expression" dxfId="5968" priority="7034">
      <formula>C455&lt;60.5</formula>
    </cfRule>
    <cfRule type="expression" dxfId="5967" priority="7035">
      <formula>C455&lt;85.5</formula>
    </cfRule>
    <cfRule type="expression" dxfId="5966" priority="7036">
      <formula>C455&gt;85.5</formula>
    </cfRule>
  </conditionalFormatting>
  <conditionalFormatting sqref="D451">
    <cfRule type="expression" dxfId="5965" priority="7024">
      <formula>D451="**"</formula>
    </cfRule>
    <cfRule type="expression" dxfId="5964" priority="7025">
      <formula>D451=""</formula>
    </cfRule>
    <cfRule type="expression" dxfId="5963" priority="7026">
      <formula>D451&lt;44.5</formula>
    </cfRule>
    <cfRule type="expression" dxfId="5962" priority="7027">
      <formula>D451&lt;60.5</formula>
    </cfRule>
    <cfRule type="expression" dxfId="5961" priority="7028">
      <formula>D451&lt;85.5</formula>
    </cfRule>
    <cfRule type="expression" dxfId="5960" priority="7029">
      <formula>D451&gt;85.5</formula>
    </cfRule>
  </conditionalFormatting>
  <conditionalFormatting sqref="D451:D453 D455">
    <cfRule type="expression" dxfId="5959" priority="6999">
      <formula>D$450=""</formula>
    </cfRule>
  </conditionalFormatting>
  <conditionalFormatting sqref="D452">
    <cfRule type="expression" dxfId="5958" priority="7017">
      <formula>D452="**"</formula>
    </cfRule>
    <cfRule type="expression" dxfId="5957" priority="7018">
      <formula>D452=""</formula>
    </cfRule>
    <cfRule type="expression" dxfId="5956" priority="7019">
      <formula>D452&lt;44.5</formula>
    </cfRule>
    <cfRule type="expression" dxfId="5955" priority="7020">
      <formula>D452&lt;60.5</formula>
    </cfRule>
    <cfRule type="expression" dxfId="5954" priority="7021">
      <formula>D452&lt;85.5</formula>
    </cfRule>
    <cfRule type="expression" dxfId="5953" priority="7023">
      <formula>D452&gt;85.5</formula>
    </cfRule>
  </conditionalFormatting>
  <conditionalFormatting sqref="D453">
    <cfRule type="expression" dxfId="5952" priority="7011">
      <formula>D453="**"</formula>
    </cfRule>
    <cfRule type="expression" dxfId="5951" priority="7012">
      <formula>D453=""</formula>
    </cfRule>
    <cfRule type="expression" dxfId="5950" priority="7013">
      <formula>D453&lt;44.5</formula>
    </cfRule>
    <cfRule type="expression" dxfId="5949" priority="7014">
      <formula>D453&lt;60.5</formula>
    </cfRule>
    <cfRule type="expression" dxfId="5948" priority="7015">
      <formula>D453&lt;85.5</formula>
    </cfRule>
    <cfRule type="expression" dxfId="5947" priority="7016">
      <formula>D453&gt;85.5</formula>
    </cfRule>
  </conditionalFormatting>
  <conditionalFormatting sqref="D455">
    <cfRule type="expression" dxfId="5946" priority="7000">
      <formula>D455="**"</formula>
    </cfRule>
    <cfRule type="expression" dxfId="5945" priority="7001">
      <formula>D455=""</formula>
    </cfRule>
    <cfRule type="expression" dxfId="5944" priority="7002">
      <formula>D455&lt;44.5</formula>
    </cfRule>
    <cfRule type="expression" dxfId="5943" priority="7003">
      <formula>D455&lt;60.5</formula>
    </cfRule>
    <cfRule type="expression" dxfId="5942" priority="7004">
      <formula>D455&lt;85.5</formula>
    </cfRule>
    <cfRule type="expression" dxfId="5941" priority="7005">
      <formula>D455&gt;85.5</formula>
    </cfRule>
  </conditionalFormatting>
  <conditionalFormatting sqref="E451">
    <cfRule type="expression" dxfId="5940" priority="6993">
      <formula>E451="**"</formula>
    </cfRule>
    <cfRule type="expression" dxfId="5939" priority="6994">
      <formula>E451=""</formula>
    </cfRule>
    <cfRule type="expression" dxfId="5938" priority="6995">
      <formula>E451&lt;44.5</formula>
    </cfRule>
    <cfRule type="expression" dxfId="5937" priority="6996">
      <formula>E451&lt;60.5</formula>
    </cfRule>
    <cfRule type="expression" dxfId="5936" priority="6997">
      <formula>E451&lt;85.5</formula>
    </cfRule>
    <cfRule type="expression" dxfId="5935" priority="6998">
      <formula>E451&gt;85.5</formula>
    </cfRule>
  </conditionalFormatting>
  <conditionalFormatting sqref="E451:E453 E455">
    <cfRule type="expression" dxfId="5934" priority="6968">
      <formula>E$450=""</formula>
    </cfRule>
  </conditionalFormatting>
  <conditionalFormatting sqref="E452">
    <cfRule type="expression" dxfId="5933" priority="6986">
      <formula>E452="**"</formula>
    </cfRule>
    <cfRule type="expression" dxfId="5932" priority="6987">
      <formula>E452=""</formula>
    </cfRule>
    <cfRule type="expression" dxfId="5931" priority="6988">
      <formula>E452&lt;44.5</formula>
    </cfRule>
    <cfRule type="expression" dxfId="5930" priority="6989">
      <formula>E452&lt;60.5</formula>
    </cfRule>
    <cfRule type="expression" dxfId="5929" priority="6990">
      <formula>E452&lt;85.5</formula>
    </cfRule>
    <cfRule type="expression" dxfId="5928" priority="6992">
      <formula>E452&gt;85.5</formula>
    </cfRule>
  </conditionalFormatting>
  <conditionalFormatting sqref="E453">
    <cfRule type="expression" dxfId="5927" priority="6980">
      <formula>E453="**"</formula>
    </cfRule>
    <cfRule type="expression" dxfId="5926" priority="6981">
      <formula>E453=""</formula>
    </cfRule>
    <cfRule type="expression" dxfId="5925" priority="6982">
      <formula>E453&lt;44.5</formula>
    </cfRule>
    <cfRule type="expression" dxfId="5924" priority="6983">
      <formula>E453&lt;60.5</formula>
    </cfRule>
    <cfRule type="expression" dxfId="5923" priority="6984">
      <formula>E453&lt;85.5</formula>
    </cfRule>
    <cfRule type="expression" dxfId="5922" priority="6985">
      <formula>E453&gt;85.5</formula>
    </cfRule>
  </conditionalFormatting>
  <conditionalFormatting sqref="E455">
    <cfRule type="expression" dxfId="5921" priority="6969">
      <formula>E455="**"</formula>
    </cfRule>
    <cfRule type="expression" dxfId="5920" priority="6970">
      <formula>E455=""</formula>
    </cfRule>
    <cfRule type="expression" dxfId="5919" priority="6971">
      <formula>E455&lt;44.5</formula>
    </cfRule>
    <cfRule type="expression" dxfId="5918" priority="6972">
      <formula>E455&lt;60.5</formula>
    </cfRule>
    <cfRule type="expression" dxfId="5917" priority="6973">
      <formula>E455&lt;85.5</formula>
    </cfRule>
    <cfRule type="expression" dxfId="5916" priority="6974">
      <formula>E455&gt;85.5</formula>
    </cfRule>
  </conditionalFormatting>
  <conditionalFormatting sqref="F451">
    <cfRule type="expression" dxfId="5915" priority="6962">
      <formula>F451="**"</formula>
    </cfRule>
    <cfRule type="expression" dxfId="5914" priority="6963">
      <formula>F451=""</formula>
    </cfRule>
    <cfRule type="expression" dxfId="5913" priority="6964">
      <formula>F451&lt;44.5</formula>
    </cfRule>
    <cfRule type="expression" dxfId="5912" priority="6965">
      <formula>F451&lt;60.5</formula>
    </cfRule>
    <cfRule type="expression" dxfId="5911" priority="6966">
      <formula>F451&lt;85.5</formula>
    </cfRule>
    <cfRule type="expression" dxfId="5910" priority="6967">
      <formula>F451&gt;85.5</formula>
    </cfRule>
  </conditionalFormatting>
  <conditionalFormatting sqref="F451:F453 F455">
    <cfRule type="expression" dxfId="5909" priority="6937">
      <formula>F$450=""</formula>
    </cfRule>
  </conditionalFormatting>
  <conditionalFormatting sqref="F452">
    <cfRule type="expression" dxfId="5908" priority="6955">
      <formula>F452="**"</formula>
    </cfRule>
    <cfRule type="expression" dxfId="5907" priority="6956">
      <formula>F452=""</formula>
    </cfRule>
    <cfRule type="expression" dxfId="5906" priority="6957">
      <formula>F452&lt;44.5</formula>
    </cfRule>
    <cfRule type="expression" dxfId="5905" priority="6958">
      <formula>F452&lt;60.5</formula>
    </cfRule>
    <cfRule type="expression" dxfId="5904" priority="6959">
      <formula>F452&lt;85.5</formula>
    </cfRule>
    <cfRule type="expression" dxfId="5903" priority="6961">
      <formula>F452&gt;85.5</formula>
    </cfRule>
  </conditionalFormatting>
  <conditionalFormatting sqref="F453">
    <cfRule type="expression" dxfId="5902" priority="6949">
      <formula>F453="**"</formula>
    </cfRule>
    <cfRule type="expression" dxfId="5901" priority="6950">
      <formula>F453=""</formula>
    </cfRule>
    <cfRule type="expression" dxfId="5900" priority="6951">
      <formula>F453&lt;44.5</formula>
    </cfRule>
    <cfRule type="expression" dxfId="5899" priority="6952">
      <formula>F453&lt;60.5</formula>
    </cfRule>
    <cfRule type="expression" dxfId="5898" priority="6953">
      <formula>F453&lt;85.5</formula>
    </cfRule>
    <cfRule type="expression" dxfId="5897" priority="6954">
      <formula>F453&gt;85.5</formula>
    </cfRule>
  </conditionalFormatting>
  <conditionalFormatting sqref="F455">
    <cfRule type="expression" dxfId="5896" priority="6938">
      <formula>F455="**"</formula>
    </cfRule>
    <cfRule type="expression" dxfId="5895" priority="6939">
      <formula>F455=""</formula>
    </cfRule>
    <cfRule type="expression" dxfId="5894" priority="6940">
      <formula>F455&lt;44.5</formula>
    </cfRule>
    <cfRule type="expression" dxfId="5893" priority="6941">
      <formula>F455&lt;60.5</formula>
    </cfRule>
    <cfRule type="expression" dxfId="5892" priority="6942">
      <formula>F455&lt;85.5</formula>
    </cfRule>
    <cfRule type="expression" dxfId="5891" priority="6943">
      <formula>F455&gt;85.5</formula>
    </cfRule>
  </conditionalFormatting>
  <conditionalFormatting sqref="G451">
    <cfRule type="expression" dxfId="5890" priority="6931">
      <formula>G451="**"</formula>
    </cfRule>
    <cfRule type="expression" dxfId="5889" priority="6932">
      <formula>G451=""</formula>
    </cfRule>
    <cfRule type="expression" dxfId="5888" priority="6933">
      <formula>G451&lt;44.5</formula>
    </cfRule>
    <cfRule type="expression" dxfId="5887" priority="6934">
      <formula>G451&lt;60.5</formula>
    </cfRule>
    <cfRule type="expression" dxfId="5886" priority="6935">
      <formula>G451&lt;85.5</formula>
    </cfRule>
    <cfRule type="expression" dxfId="5885" priority="6936">
      <formula>G451&gt;85.5</formula>
    </cfRule>
  </conditionalFormatting>
  <conditionalFormatting sqref="G451:G453 G455">
    <cfRule type="expression" dxfId="5884" priority="6906">
      <formula>G$450=""</formula>
    </cfRule>
  </conditionalFormatting>
  <conditionalFormatting sqref="G452">
    <cfRule type="expression" dxfId="5883" priority="6924">
      <formula>G452="**"</formula>
    </cfRule>
    <cfRule type="expression" dxfId="5882" priority="6925">
      <formula>G452=""</formula>
    </cfRule>
    <cfRule type="expression" dxfId="5881" priority="6926">
      <formula>G452&lt;44.5</formula>
    </cfRule>
    <cfRule type="expression" dxfId="5880" priority="6927">
      <formula>G452&lt;60.5</formula>
    </cfRule>
    <cfRule type="expression" dxfId="5879" priority="6928">
      <formula>G452&lt;85.5</formula>
    </cfRule>
    <cfRule type="expression" dxfId="5878" priority="6930">
      <formula>G452&gt;85.5</formula>
    </cfRule>
  </conditionalFormatting>
  <conditionalFormatting sqref="G453">
    <cfRule type="expression" dxfId="5877" priority="6918">
      <formula>G453="**"</formula>
    </cfRule>
    <cfRule type="expression" dxfId="5876" priority="6919">
      <formula>G453=""</formula>
    </cfRule>
    <cfRule type="expression" dxfId="5875" priority="6920">
      <formula>G453&lt;44.5</formula>
    </cfRule>
    <cfRule type="expression" dxfId="5874" priority="6921">
      <formula>G453&lt;60.5</formula>
    </cfRule>
    <cfRule type="expression" dxfId="5873" priority="6922">
      <formula>G453&lt;85.5</formula>
    </cfRule>
    <cfRule type="expression" dxfId="5872" priority="6923">
      <formula>G453&gt;85.5</formula>
    </cfRule>
  </conditionalFormatting>
  <conditionalFormatting sqref="G455">
    <cfRule type="expression" dxfId="5871" priority="6907">
      <formula>G455="**"</formula>
    </cfRule>
    <cfRule type="expression" dxfId="5870" priority="6908">
      <formula>G455=""</formula>
    </cfRule>
    <cfRule type="expression" dxfId="5869" priority="6909">
      <formula>G455&lt;44.5</formula>
    </cfRule>
    <cfRule type="expression" dxfId="5868" priority="6910">
      <formula>G455&lt;60.5</formula>
    </cfRule>
    <cfRule type="expression" dxfId="5867" priority="6911">
      <formula>G455&lt;85.5</formula>
    </cfRule>
    <cfRule type="expression" dxfId="5866" priority="6912">
      <formula>G455&gt;85.5</formula>
    </cfRule>
  </conditionalFormatting>
  <conditionalFormatting sqref="H451">
    <cfRule type="expression" dxfId="5865" priority="6900">
      <formula>H451="**"</formula>
    </cfRule>
    <cfRule type="expression" dxfId="5864" priority="6901">
      <formula>H451=""</formula>
    </cfRule>
    <cfRule type="expression" dxfId="5863" priority="6902">
      <formula>H451&lt;44.5</formula>
    </cfRule>
    <cfRule type="expression" dxfId="5862" priority="6903">
      <formula>H451&lt;60.5</formula>
    </cfRule>
    <cfRule type="expression" dxfId="5861" priority="6904">
      <formula>H451&lt;85.5</formula>
    </cfRule>
    <cfRule type="expression" dxfId="5860" priority="6905">
      <formula>H451&gt;85.5</formula>
    </cfRule>
  </conditionalFormatting>
  <conditionalFormatting sqref="H451:H453 H455">
    <cfRule type="expression" dxfId="5859" priority="6875">
      <formula>H$450=""</formula>
    </cfRule>
  </conditionalFormatting>
  <conditionalFormatting sqref="H452">
    <cfRule type="expression" dxfId="5858" priority="6893">
      <formula>H452="**"</formula>
    </cfRule>
    <cfRule type="expression" dxfId="5857" priority="6894">
      <formula>H452=""</formula>
    </cfRule>
    <cfRule type="expression" dxfId="5856" priority="6895">
      <formula>H452&lt;44.5</formula>
    </cfRule>
    <cfRule type="expression" dxfId="5855" priority="6896">
      <formula>H452&lt;60.5</formula>
    </cfRule>
    <cfRule type="expression" dxfId="5854" priority="6897">
      <formula>H452&lt;85.5</formula>
    </cfRule>
    <cfRule type="expression" dxfId="5853" priority="6899">
      <formula>H452&gt;85.5</formula>
    </cfRule>
  </conditionalFormatting>
  <conditionalFormatting sqref="H453">
    <cfRule type="expression" dxfId="5852" priority="6887">
      <formula>H453="**"</formula>
    </cfRule>
    <cfRule type="expression" dxfId="5851" priority="6888">
      <formula>H453=""</formula>
    </cfRule>
    <cfRule type="expression" dxfId="5850" priority="6889">
      <formula>H453&lt;44.5</formula>
    </cfRule>
    <cfRule type="expression" dxfId="5849" priority="6890">
      <formula>H453&lt;60.5</formula>
    </cfRule>
    <cfRule type="expression" dxfId="5848" priority="6891">
      <formula>H453&lt;85.5</formula>
    </cfRule>
    <cfRule type="expression" dxfId="5847" priority="6892">
      <formula>H453&gt;85.5</formula>
    </cfRule>
  </conditionalFormatting>
  <conditionalFormatting sqref="H455">
    <cfRule type="expression" dxfId="5846" priority="6876">
      <formula>H455="**"</formula>
    </cfRule>
    <cfRule type="expression" dxfId="5845" priority="6877">
      <formula>H455=""</formula>
    </cfRule>
    <cfRule type="expression" dxfId="5844" priority="6878">
      <formula>H455&lt;44.5</formula>
    </cfRule>
    <cfRule type="expression" dxfId="5843" priority="6879">
      <formula>H455&lt;60.5</formula>
    </cfRule>
    <cfRule type="expression" dxfId="5842" priority="6880">
      <formula>H455&lt;85.5</formula>
    </cfRule>
    <cfRule type="expression" dxfId="5841" priority="6881">
      <formula>H455&gt;85.5</formula>
    </cfRule>
  </conditionalFormatting>
  <conditionalFormatting sqref="I451">
    <cfRule type="expression" dxfId="5840" priority="6869">
      <formula>I451="**"</formula>
    </cfRule>
    <cfRule type="expression" dxfId="5839" priority="6870">
      <formula>I451=""</formula>
    </cfRule>
    <cfRule type="expression" dxfId="5838" priority="6871">
      <formula>I451&lt;44.5</formula>
    </cfRule>
    <cfRule type="expression" dxfId="5837" priority="6872">
      <formula>I451&lt;60.5</formula>
    </cfRule>
    <cfRule type="expression" dxfId="5836" priority="6873">
      <formula>I451&lt;85.5</formula>
    </cfRule>
    <cfRule type="expression" dxfId="5835" priority="6874">
      <formula>I451&gt;85.5</formula>
    </cfRule>
  </conditionalFormatting>
  <conditionalFormatting sqref="I451:I453 I455">
    <cfRule type="expression" dxfId="5834" priority="6844">
      <formula>I$450=""</formula>
    </cfRule>
  </conditionalFormatting>
  <conditionalFormatting sqref="I452">
    <cfRule type="expression" dxfId="5833" priority="6862">
      <formula>I452="**"</formula>
    </cfRule>
    <cfRule type="expression" dxfId="5832" priority="6863">
      <formula>I452=""</formula>
    </cfRule>
    <cfRule type="expression" dxfId="5831" priority="6864">
      <formula>I452&lt;44.5</formula>
    </cfRule>
    <cfRule type="expression" dxfId="5830" priority="6865">
      <formula>I452&lt;60.5</formula>
    </cfRule>
    <cfRule type="expression" dxfId="5829" priority="6866">
      <formula>I452&lt;85.5</formula>
    </cfRule>
    <cfRule type="expression" dxfId="5828" priority="6868">
      <formula>I452&gt;85.5</formula>
    </cfRule>
  </conditionalFormatting>
  <conditionalFormatting sqref="I453">
    <cfRule type="expression" dxfId="5827" priority="6856">
      <formula>I453="**"</formula>
    </cfRule>
    <cfRule type="expression" dxfId="5826" priority="6857">
      <formula>I453=""</formula>
    </cfRule>
    <cfRule type="expression" dxfId="5825" priority="6858">
      <formula>I453&lt;44.5</formula>
    </cfRule>
    <cfRule type="expression" dxfId="5824" priority="6859">
      <formula>I453&lt;60.5</formula>
    </cfRule>
    <cfRule type="expression" dxfId="5823" priority="6860">
      <formula>I453&lt;85.5</formula>
    </cfRule>
    <cfRule type="expression" dxfId="5822" priority="6861">
      <formula>I453&gt;85.5</formula>
    </cfRule>
  </conditionalFormatting>
  <conditionalFormatting sqref="I455">
    <cfRule type="expression" dxfId="5821" priority="6845">
      <formula>I455="**"</formula>
    </cfRule>
    <cfRule type="expression" dxfId="5820" priority="6846">
      <formula>I455=""</formula>
    </cfRule>
    <cfRule type="expression" dxfId="5819" priority="6847">
      <formula>I455&lt;44.5</formula>
    </cfRule>
    <cfRule type="expression" dxfId="5818" priority="6848">
      <formula>I455&lt;60.5</formula>
    </cfRule>
    <cfRule type="expression" dxfId="5817" priority="6849">
      <formula>I455&lt;85.5</formula>
    </cfRule>
    <cfRule type="expression" dxfId="5816" priority="6850">
      <formula>I455&gt;85.5</formula>
    </cfRule>
  </conditionalFormatting>
  <conditionalFormatting sqref="J451">
    <cfRule type="expression" dxfId="5815" priority="6838">
      <formula>J451="**"</formula>
    </cfRule>
    <cfRule type="expression" dxfId="5814" priority="6839">
      <formula>J451=""</formula>
    </cfRule>
    <cfRule type="expression" dxfId="5813" priority="6840">
      <formula>J451&lt;44.5</formula>
    </cfRule>
    <cfRule type="expression" dxfId="5812" priority="6841">
      <formula>J451&lt;60.5</formula>
    </cfRule>
    <cfRule type="expression" dxfId="5811" priority="6842">
      <formula>J451&lt;85.5</formula>
    </cfRule>
    <cfRule type="expression" dxfId="5810" priority="6843">
      <formula>J451&gt;85.5</formula>
    </cfRule>
  </conditionalFormatting>
  <conditionalFormatting sqref="J451:J453 J455">
    <cfRule type="expression" dxfId="5809" priority="6813">
      <formula>J$450=""</formula>
    </cfRule>
  </conditionalFormatting>
  <conditionalFormatting sqref="J452">
    <cfRule type="expression" dxfId="5808" priority="6831">
      <formula>J452="**"</formula>
    </cfRule>
    <cfRule type="expression" dxfId="5807" priority="6832">
      <formula>J452=""</formula>
    </cfRule>
    <cfRule type="expression" dxfId="5806" priority="6833">
      <formula>J452&lt;44.5</formula>
    </cfRule>
    <cfRule type="expression" dxfId="5805" priority="6834">
      <formula>J452&lt;60.5</formula>
    </cfRule>
    <cfRule type="expression" dxfId="5804" priority="6835">
      <formula>J452&lt;85.5</formula>
    </cfRule>
    <cfRule type="expression" dxfId="5803" priority="6837">
      <formula>J452&gt;85.5</formula>
    </cfRule>
  </conditionalFormatting>
  <conditionalFormatting sqref="J453">
    <cfRule type="expression" dxfId="5802" priority="6825">
      <formula>J453="**"</formula>
    </cfRule>
    <cfRule type="expression" dxfId="5801" priority="6826">
      <formula>J453=""</formula>
    </cfRule>
    <cfRule type="expression" dxfId="5800" priority="6827">
      <formula>J453&lt;44.5</formula>
    </cfRule>
    <cfRule type="expression" dxfId="5799" priority="6828">
      <formula>J453&lt;60.5</formula>
    </cfRule>
    <cfRule type="expression" dxfId="5798" priority="6829">
      <formula>J453&lt;85.5</formula>
    </cfRule>
    <cfRule type="expression" dxfId="5797" priority="6830">
      <formula>J453&gt;85.5</formula>
    </cfRule>
  </conditionalFormatting>
  <conditionalFormatting sqref="J455">
    <cfRule type="expression" dxfId="5796" priority="6814">
      <formula>J455="**"</formula>
    </cfRule>
    <cfRule type="expression" dxfId="5795" priority="6815">
      <formula>J455=""</formula>
    </cfRule>
    <cfRule type="expression" dxfId="5794" priority="6816">
      <formula>J455&lt;44.5</formula>
    </cfRule>
    <cfRule type="expression" dxfId="5793" priority="6817">
      <formula>J455&lt;60.5</formula>
    </cfRule>
    <cfRule type="expression" dxfId="5792" priority="6818">
      <formula>J455&lt;85.5</formula>
    </cfRule>
    <cfRule type="expression" dxfId="5791" priority="6819">
      <formula>J455&gt;85.5</formula>
    </cfRule>
  </conditionalFormatting>
  <conditionalFormatting sqref="K451">
    <cfRule type="expression" dxfId="5790" priority="6807">
      <formula>K451="**"</formula>
    </cfRule>
    <cfRule type="expression" dxfId="5789" priority="6808">
      <formula>K451=""</formula>
    </cfRule>
    <cfRule type="expression" dxfId="5788" priority="6809">
      <formula>K451&lt;44.5</formula>
    </cfRule>
    <cfRule type="expression" dxfId="5787" priority="6810">
      <formula>K451&lt;60.5</formula>
    </cfRule>
    <cfRule type="expression" dxfId="5786" priority="6811">
      <formula>K451&lt;85.5</formula>
    </cfRule>
    <cfRule type="expression" dxfId="5785" priority="6812">
      <formula>K451&gt;85.5</formula>
    </cfRule>
  </conditionalFormatting>
  <conditionalFormatting sqref="K451:K453 K455">
    <cfRule type="expression" dxfId="5784" priority="6782">
      <formula>K$450=""</formula>
    </cfRule>
  </conditionalFormatting>
  <conditionalFormatting sqref="K452">
    <cfRule type="expression" dxfId="5783" priority="6800">
      <formula>K452="**"</formula>
    </cfRule>
    <cfRule type="expression" dxfId="5782" priority="6801">
      <formula>K452=""</formula>
    </cfRule>
    <cfRule type="expression" dxfId="5781" priority="6802">
      <formula>K452&lt;44.5</formula>
    </cfRule>
    <cfRule type="expression" dxfId="5780" priority="6803">
      <formula>K452&lt;60.5</formula>
    </cfRule>
    <cfRule type="expression" dxfId="5779" priority="6804">
      <formula>K452&lt;85.5</formula>
    </cfRule>
    <cfRule type="expression" dxfId="5778" priority="6806">
      <formula>K452&gt;85.5</formula>
    </cfRule>
  </conditionalFormatting>
  <conditionalFormatting sqref="K453">
    <cfRule type="expression" dxfId="5777" priority="6794">
      <formula>K453="**"</formula>
    </cfRule>
    <cfRule type="expression" dxfId="5776" priority="6795">
      <formula>K453=""</formula>
    </cfRule>
    <cfRule type="expression" dxfId="5775" priority="6796">
      <formula>K453&lt;44.5</formula>
    </cfRule>
    <cfRule type="expression" dxfId="5774" priority="6797">
      <formula>K453&lt;60.5</formula>
    </cfRule>
    <cfRule type="expression" dxfId="5773" priority="6798">
      <formula>K453&lt;85.5</formula>
    </cfRule>
    <cfRule type="expression" dxfId="5772" priority="6799">
      <formula>K453&gt;85.5</formula>
    </cfRule>
  </conditionalFormatting>
  <conditionalFormatting sqref="K455">
    <cfRule type="expression" dxfId="5771" priority="6783">
      <formula>K455="**"</formula>
    </cfRule>
    <cfRule type="expression" dxfId="5770" priority="6784">
      <formula>K455=""</formula>
    </cfRule>
    <cfRule type="expression" dxfId="5769" priority="6785">
      <formula>K455&lt;44.5</formula>
    </cfRule>
    <cfRule type="expression" dxfId="5768" priority="6786">
      <formula>K455&lt;60.5</formula>
    </cfRule>
    <cfRule type="expression" dxfId="5767" priority="6787">
      <formula>K455&lt;85.5</formula>
    </cfRule>
    <cfRule type="expression" dxfId="5766" priority="6788">
      <formula>K455&gt;85.5</formula>
    </cfRule>
  </conditionalFormatting>
  <conditionalFormatting sqref="L451">
    <cfRule type="expression" dxfId="5765" priority="6776">
      <formula>L451="**"</formula>
    </cfRule>
    <cfRule type="expression" dxfId="5764" priority="6777">
      <formula>L451=""</formula>
    </cfRule>
    <cfRule type="expression" dxfId="5763" priority="6778">
      <formula>L451&lt;44.5</formula>
    </cfRule>
    <cfRule type="expression" dxfId="5762" priority="6779">
      <formula>L451&lt;60.5</formula>
    </cfRule>
    <cfRule type="expression" dxfId="5761" priority="6780">
      <formula>L451&lt;85.5</formula>
    </cfRule>
    <cfRule type="expression" dxfId="5760" priority="6781">
      <formula>L451&gt;85.5</formula>
    </cfRule>
  </conditionalFormatting>
  <conditionalFormatting sqref="L451:L453 L455">
    <cfRule type="expression" dxfId="5759" priority="6751">
      <formula>L$450=""</formula>
    </cfRule>
  </conditionalFormatting>
  <conditionalFormatting sqref="L452">
    <cfRule type="expression" dxfId="5758" priority="6769">
      <formula>L452="**"</formula>
    </cfRule>
    <cfRule type="expression" dxfId="5757" priority="6770">
      <formula>L452=""</formula>
    </cfRule>
    <cfRule type="expression" dxfId="5756" priority="6771">
      <formula>L452&lt;44.5</formula>
    </cfRule>
    <cfRule type="expression" dxfId="5755" priority="6772">
      <formula>L452&lt;60.5</formula>
    </cfRule>
    <cfRule type="expression" dxfId="5754" priority="6773">
      <formula>L452&lt;85.5</formula>
    </cfRule>
    <cfRule type="expression" dxfId="5753" priority="6775">
      <formula>L452&gt;85.5</formula>
    </cfRule>
  </conditionalFormatting>
  <conditionalFormatting sqref="L453">
    <cfRule type="expression" dxfId="5752" priority="6763">
      <formula>L453="**"</formula>
    </cfRule>
    <cfRule type="expression" dxfId="5751" priority="6764">
      <formula>L453=""</formula>
    </cfRule>
    <cfRule type="expression" dxfId="5750" priority="6765">
      <formula>L453&lt;44.5</formula>
    </cfRule>
    <cfRule type="expression" dxfId="5749" priority="6766">
      <formula>L453&lt;60.5</formula>
    </cfRule>
    <cfRule type="expression" dxfId="5748" priority="6767">
      <formula>L453&lt;85.5</formula>
    </cfRule>
    <cfRule type="expression" dxfId="5747" priority="6768">
      <formula>L453&gt;85.5</formula>
    </cfRule>
  </conditionalFormatting>
  <conditionalFormatting sqref="L455">
    <cfRule type="expression" dxfId="5746" priority="6752">
      <formula>L455="**"</formula>
    </cfRule>
    <cfRule type="expression" dxfId="5745" priority="6753">
      <formula>L455=""</formula>
    </cfRule>
    <cfRule type="expression" dxfId="5744" priority="6754">
      <formula>L455&lt;44.5</formula>
    </cfRule>
    <cfRule type="expression" dxfId="5743" priority="6755">
      <formula>L455&lt;60.5</formula>
    </cfRule>
    <cfRule type="expression" dxfId="5742" priority="6756">
      <formula>L455&lt;85.5</formula>
    </cfRule>
    <cfRule type="expression" dxfId="5741" priority="6757">
      <formula>L455&gt;85.5</formula>
    </cfRule>
  </conditionalFormatting>
  <conditionalFormatting sqref="C481">
    <cfRule type="expression" dxfId="5740" priority="6745">
      <formula>C481="**"</formula>
    </cfRule>
    <cfRule type="expression" dxfId="5739" priority="6746">
      <formula>C481=""</formula>
    </cfRule>
    <cfRule type="expression" dxfId="5738" priority="6747">
      <formula>C481&lt;44.5</formula>
    </cfRule>
    <cfRule type="expression" dxfId="5737" priority="6748">
      <formula>C481&lt;60.5</formula>
    </cfRule>
    <cfRule type="expression" dxfId="5736" priority="6749">
      <formula>C481&lt;85.5</formula>
    </cfRule>
    <cfRule type="expression" dxfId="5735" priority="6750">
      <formula>C481&gt;85.5</formula>
    </cfRule>
  </conditionalFormatting>
  <conditionalFormatting sqref="C481:C485">
    <cfRule type="expression" dxfId="5734" priority="6720">
      <formula>C$480=""</formula>
    </cfRule>
  </conditionalFormatting>
  <conditionalFormatting sqref="C482">
    <cfRule type="expression" dxfId="5733" priority="6738">
      <formula>C482="**"</formula>
    </cfRule>
    <cfRule type="expression" dxfId="5732" priority="6739">
      <formula>C482=""</formula>
    </cfRule>
    <cfRule type="expression" dxfId="5731" priority="6740">
      <formula>C482&lt;44.5</formula>
    </cfRule>
    <cfRule type="expression" dxfId="5730" priority="6741">
      <formula>C482&lt;60.5</formula>
    </cfRule>
    <cfRule type="expression" dxfId="5729" priority="6742">
      <formula>C482&lt;85.5</formula>
    </cfRule>
    <cfRule type="expression" dxfId="5728" priority="6744">
      <formula>C482&gt;85.5</formula>
    </cfRule>
  </conditionalFormatting>
  <conditionalFormatting sqref="C483">
    <cfRule type="expression" dxfId="5727" priority="6732">
      <formula>C483="**"</formula>
    </cfRule>
    <cfRule type="expression" dxfId="5726" priority="6733">
      <formula>C483=""</formula>
    </cfRule>
    <cfRule type="expression" dxfId="5725" priority="6734">
      <formula>C483&lt;44.5</formula>
    </cfRule>
    <cfRule type="expression" dxfId="5724" priority="6735">
      <formula>C483&lt;60.5</formula>
    </cfRule>
    <cfRule type="expression" dxfId="5723" priority="6736">
      <formula>C483&lt;85.5</formula>
    </cfRule>
    <cfRule type="expression" dxfId="5722" priority="6737">
      <formula>C483&gt;85.5</formula>
    </cfRule>
  </conditionalFormatting>
  <conditionalFormatting sqref="C484">
    <cfRule type="expression" dxfId="5721" priority="6727">
      <formula>C484="**"</formula>
    </cfRule>
    <cfRule type="expression" dxfId="5720" priority="6728">
      <formula>C484=""</formula>
    </cfRule>
    <cfRule type="expression" dxfId="5719" priority="6729">
      <formula>C484&lt;44.5</formula>
    </cfRule>
    <cfRule type="expression" dxfId="5718" priority="6730">
      <formula>C484&lt;60.5</formula>
    </cfRule>
    <cfRule type="expression" dxfId="5717" priority="6731">
      <formula>C484&lt;85.5</formula>
    </cfRule>
    <cfRule type="expression" dxfId="5716" priority="6743">
      <formula>C484&gt;85.5</formula>
    </cfRule>
  </conditionalFormatting>
  <conditionalFormatting sqref="C485">
    <cfRule type="expression" dxfId="5715" priority="6721">
      <formula>C485="**"</formula>
    </cfRule>
    <cfRule type="expression" dxfId="5714" priority="6722">
      <formula>C485=""</formula>
    </cfRule>
    <cfRule type="expression" dxfId="5713" priority="6723">
      <formula>C485&lt;44.5</formula>
    </cfRule>
    <cfRule type="expression" dxfId="5712" priority="6724">
      <formula>C485&lt;60.5</formula>
    </cfRule>
    <cfRule type="expression" dxfId="5711" priority="6725">
      <formula>C485&lt;85.5</formula>
    </cfRule>
    <cfRule type="expression" dxfId="5710" priority="6726">
      <formula>C485&gt;85.5</formula>
    </cfRule>
  </conditionalFormatting>
  <conditionalFormatting sqref="D481">
    <cfRule type="expression" dxfId="5709" priority="6714">
      <formula>D481="**"</formula>
    </cfRule>
    <cfRule type="expression" dxfId="5708" priority="6715">
      <formula>D481=""</formula>
    </cfRule>
    <cfRule type="expression" dxfId="5707" priority="6716">
      <formula>D481&lt;44.5</formula>
    </cfRule>
    <cfRule type="expression" dxfId="5706" priority="6717">
      <formula>D481&lt;60.5</formula>
    </cfRule>
    <cfRule type="expression" dxfId="5705" priority="6718">
      <formula>D481&lt;85.5</formula>
    </cfRule>
    <cfRule type="expression" dxfId="5704" priority="6719">
      <formula>D481&gt;85.5</formula>
    </cfRule>
  </conditionalFormatting>
  <conditionalFormatting sqref="D481:D483 D485">
    <cfRule type="expression" dxfId="5703" priority="6689">
      <formula>D$480=""</formula>
    </cfRule>
  </conditionalFormatting>
  <conditionalFormatting sqref="D482">
    <cfRule type="expression" dxfId="5702" priority="6707">
      <formula>D482="**"</formula>
    </cfRule>
    <cfRule type="expression" dxfId="5701" priority="6708">
      <formula>D482=""</formula>
    </cfRule>
    <cfRule type="expression" dxfId="5700" priority="6709">
      <formula>D482&lt;44.5</formula>
    </cfRule>
    <cfRule type="expression" dxfId="5699" priority="6710">
      <formula>D482&lt;60.5</formula>
    </cfRule>
    <cfRule type="expression" dxfId="5698" priority="6711">
      <formula>D482&lt;85.5</formula>
    </cfRule>
    <cfRule type="expression" dxfId="5697" priority="6713">
      <formula>D482&gt;85.5</formula>
    </cfRule>
  </conditionalFormatting>
  <conditionalFormatting sqref="D483">
    <cfRule type="expression" dxfId="5696" priority="6701">
      <formula>D483="**"</formula>
    </cfRule>
    <cfRule type="expression" dxfId="5695" priority="6702">
      <formula>D483=""</formula>
    </cfRule>
    <cfRule type="expression" dxfId="5694" priority="6703">
      <formula>D483&lt;44.5</formula>
    </cfRule>
    <cfRule type="expression" dxfId="5693" priority="6704">
      <formula>D483&lt;60.5</formula>
    </cfRule>
    <cfRule type="expression" dxfId="5692" priority="6705">
      <formula>D483&lt;85.5</formula>
    </cfRule>
    <cfRule type="expression" dxfId="5691" priority="6706">
      <formula>D483&gt;85.5</formula>
    </cfRule>
  </conditionalFormatting>
  <conditionalFormatting sqref="D485">
    <cfRule type="expression" dxfId="5690" priority="6690">
      <formula>D485="**"</formula>
    </cfRule>
    <cfRule type="expression" dxfId="5689" priority="6691">
      <formula>D485=""</formula>
    </cfRule>
    <cfRule type="expression" dxfId="5688" priority="6692">
      <formula>D485&lt;44.5</formula>
    </cfRule>
    <cfRule type="expression" dxfId="5687" priority="6693">
      <formula>D485&lt;60.5</formula>
    </cfRule>
    <cfRule type="expression" dxfId="5686" priority="6694">
      <formula>D485&lt;85.5</formula>
    </cfRule>
    <cfRule type="expression" dxfId="5685" priority="6695">
      <formula>D485&gt;85.5</formula>
    </cfRule>
  </conditionalFormatting>
  <conditionalFormatting sqref="E481">
    <cfRule type="expression" dxfId="5684" priority="6683">
      <formula>E481="**"</formula>
    </cfRule>
    <cfRule type="expression" dxfId="5683" priority="6684">
      <formula>E481=""</formula>
    </cfRule>
    <cfRule type="expression" dxfId="5682" priority="6685">
      <formula>E481&lt;44.5</formula>
    </cfRule>
    <cfRule type="expression" dxfId="5681" priority="6686">
      <formula>E481&lt;60.5</formula>
    </cfRule>
    <cfRule type="expression" dxfId="5680" priority="6687">
      <formula>E481&lt;85.5</formula>
    </cfRule>
    <cfRule type="expression" dxfId="5679" priority="6688">
      <formula>E481&gt;85.5</formula>
    </cfRule>
  </conditionalFormatting>
  <conditionalFormatting sqref="E481:E483 E485">
    <cfRule type="expression" dxfId="5678" priority="6658">
      <formula>E$480=""</formula>
    </cfRule>
  </conditionalFormatting>
  <conditionalFormatting sqref="E482">
    <cfRule type="expression" dxfId="5677" priority="6676">
      <formula>E482="**"</formula>
    </cfRule>
    <cfRule type="expression" dxfId="5676" priority="6677">
      <formula>E482=""</formula>
    </cfRule>
    <cfRule type="expression" dxfId="5675" priority="6678">
      <formula>E482&lt;44.5</formula>
    </cfRule>
    <cfRule type="expression" dxfId="5674" priority="6679">
      <formula>E482&lt;60.5</formula>
    </cfRule>
    <cfRule type="expression" dxfId="5673" priority="6680">
      <formula>E482&lt;85.5</formula>
    </cfRule>
    <cfRule type="expression" dxfId="5672" priority="6682">
      <formula>E482&gt;85.5</formula>
    </cfRule>
  </conditionalFormatting>
  <conditionalFormatting sqref="E483">
    <cfRule type="expression" dxfId="5671" priority="6670">
      <formula>E483="**"</formula>
    </cfRule>
    <cfRule type="expression" dxfId="5670" priority="6671">
      <formula>E483=""</formula>
    </cfRule>
    <cfRule type="expression" dxfId="5669" priority="6672">
      <formula>E483&lt;44.5</formula>
    </cfRule>
    <cfRule type="expression" dxfId="5668" priority="6673">
      <formula>E483&lt;60.5</formula>
    </cfRule>
    <cfRule type="expression" dxfId="5667" priority="6674">
      <formula>E483&lt;85.5</formula>
    </cfRule>
    <cfRule type="expression" dxfId="5666" priority="6675">
      <formula>E483&gt;85.5</formula>
    </cfRule>
  </conditionalFormatting>
  <conditionalFormatting sqref="E485">
    <cfRule type="expression" dxfId="5665" priority="6659">
      <formula>E485="**"</formula>
    </cfRule>
    <cfRule type="expression" dxfId="5664" priority="6660">
      <formula>E485=""</formula>
    </cfRule>
    <cfRule type="expression" dxfId="5663" priority="6661">
      <formula>E485&lt;44.5</formula>
    </cfRule>
    <cfRule type="expression" dxfId="5662" priority="6662">
      <formula>E485&lt;60.5</formula>
    </cfRule>
    <cfRule type="expression" dxfId="5661" priority="6663">
      <formula>E485&lt;85.5</formula>
    </cfRule>
    <cfRule type="expression" dxfId="5660" priority="6664">
      <formula>E485&gt;85.5</formula>
    </cfRule>
  </conditionalFormatting>
  <conditionalFormatting sqref="F481">
    <cfRule type="expression" dxfId="5659" priority="6652">
      <formula>F481="**"</formula>
    </cfRule>
    <cfRule type="expression" dxfId="5658" priority="6653">
      <formula>F481=""</formula>
    </cfRule>
    <cfRule type="expression" dxfId="5657" priority="6654">
      <formula>F481&lt;44.5</formula>
    </cfRule>
    <cfRule type="expression" dxfId="5656" priority="6655">
      <formula>F481&lt;60.5</formula>
    </cfRule>
    <cfRule type="expression" dxfId="5655" priority="6656">
      <formula>F481&lt;85.5</formula>
    </cfRule>
    <cfRule type="expression" dxfId="5654" priority="6657">
      <formula>F481&gt;85.5</formula>
    </cfRule>
  </conditionalFormatting>
  <conditionalFormatting sqref="F481:F483 F485">
    <cfRule type="expression" dxfId="5653" priority="6627">
      <formula>F$480=""</formula>
    </cfRule>
  </conditionalFormatting>
  <conditionalFormatting sqref="F482">
    <cfRule type="expression" dxfId="5652" priority="6645">
      <formula>F482="**"</formula>
    </cfRule>
    <cfRule type="expression" dxfId="5651" priority="6646">
      <formula>F482=""</formula>
    </cfRule>
    <cfRule type="expression" dxfId="5650" priority="6647">
      <formula>F482&lt;44.5</formula>
    </cfRule>
    <cfRule type="expression" dxfId="5649" priority="6648">
      <formula>F482&lt;60.5</formula>
    </cfRule>
    <cfRule type="expression" dxfId="5648" priority="6649">
      <formula>F482&lt;85.5</formula>
    </cfRule>
    <cfRule type="expression" dxfId="5647" priority="6651">
      <formula>F482&gt;85.5</formula>
    </cfRule>
  </conditionalFormatting>
  <conditionalFormatting sqref="F483">
    <cfRule type="expression" dxfId="5646" priority="6639">
      <formula>F483="**"</formula>
    </cfRule>
    <cfRule type="expression" dxfId="5645" priority="6640">
      <formula>F483=""</formula>
    </cfRule>
    <cfRule type="expression" dxfId="5644" priority="6641">
      <formula>F483&lt;44.5</formula>
    </cfRule>
    <cfRule type="expression" dxfId="5643" priority="6642">
      <formula>F483&lt;60.5</formula>
    </cfRule>
    <cfRule type="expression" dxfId="5642" priority="6643">
      <formula>F483&lt;85.5</formula>
    </cfRule>
    <cfRule type="expression" dxfId="5641" priority="6644">
      <formula>F483&gt;85.5</formula>
    </cfRule>
  </conditionalFormatting>
  <conditionalFormatting sqref="F485">
    <cfRule type="expression" dxfId="5640" priority="6628">
      <formula>F485="**"</formula>
    </cfRule>
    <cfRule type="expression" dxfId="5639" priority="6629">
      <formula>F485=""</formula>
    </cfRule>
    <cfRule type="expression" dxfId="5638" priority="6630">
      <formula>F485&lt;44.5</formula>
    </cfRule>
    <cfRule type="expression" dxfId="5637" priority="6631">
      <formula>F485&lt;60.5</formula>
    </cfRule>
    <cfRule type="expression" dxfId="5636" priority="6632">
      <formula>F485&lt;85.5</formula>
    </cfRule>
    <cfRule type="expression" dxfId="5635" priority="6633">
      <formula>F485&gt;85.5</formula>
    </cfRule>
  </conditionalFormatting>
  <conditionalFormatting sqref="G481">
    <cfRule type="expression" dxfId="5634" priority="6621">
      <formula>G481="**"</formula>
    </cfRule>
    <cfRule type="expression" dxfId="5633" priority="6622">
      <formula>G481=""</formula>
    </cfRule>
    <cfRule type="expression" dxfId="5632" priority="6623">
      <formula>G481&lt;44.5</formula>
    </cfRule>
    <cfRule type="expression" dxfId="5631" priority="6624">
      <formula>G481&lt;60.5</formula>
    </cfRule>
    <cfRule type="expression" dxfId="5630" priority="6625">
      <formula>G481&lt;85.5</formula>
    </cfRule>
    <cfRule type="expression" dxfId="5629" priority="6626">
      <formula>G481&gt;85.5</formula>
    </cfRule>
  </conditionalFormatting>
  <conditionalFormatting sqref="G481:G483 G485">
    <cfRule type="expression" dxfId="5628" priority="6596">
      <formula>G$480=""</formula>
    </cfRule>
  </conditionalFormatting>
  <conditionalFormatting sqref="G482">
    <cfRule type="expression" dxfId="5627" priority="6614">
      <formula>G482="**"</formula>
    </cfRule>
    <cfRule type="expression" dxfId="5626" priority="6615">
      <formula>G482=""</formula>
    </cfRule>
    <cfRule type="expression" dxfId="5625" priority="6616">
      <formula>G482&lt;44.5</formula>
    </cfRule>
    <cfRule type="expression" dxfId="5624" priority="6617">
      <formula>G482&lt;60.5</formula>
    </cfRule>
    <cfRule type="expression" dxfId="5623" priority="6618">
      <formula>G482&lt;85.5</formula>
    </cfRule>
    <cfRule type="expression" dxfId="5622" priority="6620">
      <formula>G482&gt;85.5</formula>
    </cfRule>
  </conditionalFormatting>
  <conditionalFormatting sqref="G483">
    <cfRule type="expression" dxfId="5621" priority="6608">
      <formula>G483="**"</formula>
    </cfRule>
    <cfRule type="expression" dxfId="5620" priority="6609">
      <formula>G483=""</formula>
    </cfRule>
    <cfRule type="expression" dxfId="5619" priority="6610">
      <formula>G483&lt;44.5</formula>
    </cfRule>
    <cfRule type="expression" dxfId="5618" priority="6611">
      <formula>G483&lt;60.5</formula>
    </cfRule>
    <cfRule type="expression" dxfId="5617" priority="6612">
      <formula>G483&lt;85.5</formula>
    </cfRule>
    <cfRule type="expression" dxfId="5616" priority="6613">
      <formula>G483&gt;85.5</formula>
    </cfRule>
  </conditionalFormatting>
  <conditionalFormatting sqref="G485">
    <cfRule type="expression" dxfId="5615" priority="6597">
      <formula>G485="**"</formula>
    </cfRule>
    <cfRule type="expression" dxfId="5614" priority="6598">
      <formula>G485=""</formula>
    </cfRule>
    <cfRule type="expression" dxfId="5613" priority="6599">
      <formula>G485&lt;44.5</formula>
    </cfRule>
    <cfRule type="expression" dxfId="5612" priority="6600">
      <formula>G485&lt;60.5</formula>
    </cfRule>
    <cfRule type="expression" dxfId="5611" priority="6601">
      <formula>G485&lt;85.5</formula>
    </cfRule>
    <cfRule type="expression" dxfId="5610" priority="6602">
      <formula>G485&gt;85.5</formula>
    </cfRule>
  </conditionalFormatting>
  <conditionalFormatting sqref="H481">
    <cfRule type="expression" dxfId="5609" priority="6590">
      <formula>H481="**"</formula>
    </cfRule>
    <cfRule type="expression" dxfId="5608" priority="6591">
      <formula>H481=""</formula>
    </cfRule>
    <cfRule type="expression" dxfId="5607" priority="6592">
      <formula>H481&lt;44.5</formula>
    </cfRule>
    <cfRule type="expression" dxfId="5606" priority="6593">
      <formula>H481&lt;60.5</formula>
    </cfRule>
    <cfRule type="expression" dxfId="5605" priority="6594">
      <formula>H481&lt;85.5</formula>
    </cfRule>
    <cfRule type="expression" dxfId="5604" priority="6595">
      <formula>H481&gt;85.5</formula>
    </cfRule>
  </conditionalFormatting>
  <conditionalFormatting sqref="H481:H483 H485">
    <cfRule type="expression" dxfId="5603" priority="6565">
      <formula>H$480=""</formula>
    </cfRule>
  </conditionalFormatting>
  <conditionalFormatting sqref="H482">
    <cfRule type="expression" dxfId="5602" priority="6583">
      <formula>H482="**"</formula>
    </cfRule>
    <cfRule type="expression" dxfId="5601" priority="6584">
      <formula>H482=""</formula>
    </cfRule>
    <cfRule type="expression" dxfId="5600" priority="6585">
      <formula>H482&lt;44.5</formula>
    </cfRule>
    <cfRule type="expression" dxfId="5599" priority="6586">
      <formula>H482&lt;60.5</formula>
    </cfRule>
    <cfRule type="expression" dxfId="5598" priority="6587">
      <formula>H482&lt;85.5</formula>
    </cfRule>
    <cfRule type="expression" dxfId="5597" priority="6589">
      <formula>H482&gt;85.5</formula>
    </cfRule>
  </conditionalFormatting>
  <conditionalFormatting sqref="H483">
    <cfRule type="expression" dxfId="5596" priority="6577">
      <formula>H483="**"</formula>
    </cfRule>
    <cfRule type="expression" dxfId="5595" priority="6578">
      <formula>H483=""</formula>
    </cfRule>
    <cfRule type="expression" dxfId="5594" priority="6579">
      <formula>H483&lt;44.5</formula>
    </cfRule>
    <cfRule type="expression" dxfId="5593" priority="6580">
      <formula>H483&lt;60.5</formula>
    </cfRule>
    <cfRule type="expression" dxfId="5592" priority="6581">
      <formula>H483&lt;85.5</formula>
    </cfRule>
    <cfRule type="expression" dxfId="5591" priority="6582">
      <formula>H483&gt;85.5</formula>
    </cfRule>
  </conditionalFormatting>
  <conditionalFormatting sqref="H485">
    <cfRule type="expression" dxfId="5590" priority="6566">
      <formula>H485="**"</formula>
    </cfRule>
    <cfRule type="expression" dxfId="5589" priority="6567">
      <formula>H485=""</formula>
    </cfRule>
    <cfRule type="expression" dxfId="5588" priority="6568">
      <formula>H485&lt;44.5</formula>
    </cfRule>
    <cfRule type="expression" dxfId="5587" priority="6569">
      <formula>H485&lt;60.5</formula>
    </cfRule>
    <cfRule type="expression" dxfId="5586" priority="6570">
      <formula>H485&lt;85.5</formula>
    </cfRule>
    <cfRule type="expression" dxfId="5585" priority="6571">
      <formula>H485&gt;85.5</formula>
    </cfRule>
  </conditionalFormatting>
  <conditionalFormatting sqref="I481">
    <cfRule type="expression" dxfId="5584" priority="6559">
      <formula>I481="**"</formula>
    </cfRule>
    <cfRule type="expression" dxfId="5583" priority="6560">
      <formula>I481=""</formula>
    </cfRule>
    <cfRule type="expression" dxfId="5582" priority="6561">
      <formula>I481&lt;44.5</formula>
    </cfRule>
    <cfRule type="expression" dxfId="5581" priority="6562">
      <formula>I481&lt;60.5</formula>
    </cfRule>
    <cfRule type="expression" dxfId="5580" priority="6563">
      <formula>I481&lt;85.5</formula>
    </cfRule>
    <cfRule type="expression" dxfId="5579" priority="6564">
      <formula>I481&gt;85.5</formula>
    </cfRule>
  </conditionalFormatting>
  <conditionalFormatting sqref="I481:I483 I485">
    <cfRule type="expression" dxfId="5578" priority="6534">
      <formula>I$480=""</formula>
    </cfRule>
  </conditionalFormatting>
  <conditionalFormatting sqref="I482">
    <cfRule type="expression" dxfId="5577" priority="6552">
      <formula>I482="**"</formula>
    </cfRule>
    <cfRule type="expression" dxfId="5576" priority="6553">
      <formula>I482=""</formula>
    </cfRule>
    <cfRule type="expression" dxfId="5575" priority="6554">
      <formula>I482&lt;44.5</formula>
    </cfRule>
    <cfRule type="expression" dxfId="5574" priority="6555">
      <formula>I482&lt;60.5</formula>
    </cfRule>
    <cfRule type="expression" dxfId="5573" priority="6556">
      <formula>I482&lt;85.5</formula>
    </cfRule>
    <cfRule type="expression" dxfId="5572" priority="6558">
      <formula>I482&gt;85.5</formula>
    </cfRule>
  </conditionalFormatting>
  <conditionalFormatting sqref="I483">
    <cfRule type="expression" dxfId="5571" priority="6546">
      <formula>I483="**"</formula>
    </cfRule>
    <cfRule type="expression" dxfId="5570" priority="6547">
      <formula>I483=""</formula>
    </cfRule>
    <cfRule type="expression" dxfId="5569" priority="6548">
      <formula>I483&lt;44.5</formula>
    </cfRule>
    <cfRule type="expression" dxfId="5568" priority="6549">
      <formula>I483&lt;60.5</formula>
    </cfRule>
    <cfRule type="expression" dxfId="5567" priority="6550">
      <formula>I483&lt;85.5</formula>
    </cfRule>
    <cfRule type="expression" dxfId="5566" priority="6551">
      <formula>I483&gt;85.5</formula>
    </cfRule>
  </conditionalFormatting>
  <conditionalFormatting sqref="I485">
    <cfRule type="expression" dxfId="5565" priority="6535">
      <formula>I485="**"</formula>
    </cfRule>
    <cfRule type="expression" dxfId="5564" priority="6536">
      <formula>I485=""</formula>
    </cfRule>
    <cfRule type="expression" dxfId="5563" priority="6537">
      <formula>I485&lt;44.5</formula>
    </cfRule>
    <cfRule type="expression" dxfId="5562" priority="6538">
      <formula>I485&lt;60.5</formula>
    </cfRule>
    <cfRule type="expression" dxfId="5561" priority="6539">
      <formula>I485&lt;85.5</formula>
    </cfRule>
    <cfRule type="expression" dxfId="5560" priority="6540">
      <formula>I485&gt;85.5</formula>
    </cfRule>
  </conditionalFormatting>
  <conditionalFormatting sqref="J481">
    <cfRule type="expression" dxfId="5559" priority="6528">
      <formula>J481="**"</formula>
    </cfRule>
    <cfRule type="expression" dxfId="5558" priority="6529">
      <formula>J481=""</formula>
    </cfRule>
    <cfRule type="expression" dxfId="5557" priority="6530">
      <formula>J481&lt;44.5</formula>
    </cfRule>
    <cfRule type="expression" dxfId="5556" priority="6531">
      <formula>J481&lt;60.5</formula>
    </cfRule>
    <cfRule type="expression" dxfId="5555" priority="6532">
      <formula>J481&lt;85.5</formula>
    </cfRule>
    <cfRule type="expression" dxfId="5554" priority="6533">
      <formula>J481&gt;85.5</formula>
    </cfRule>
  </conditionalFormatting>
  <conditionalFormatting sqref="J481:J483 J485">
    <cfRule type="expression" dxfId="5553" priority="6503">
      <formula>J$480=""</formula>
    </cfRule>
  </conditionalFormatting>
  <conditionalFormatting sqref="J482">
    <cfRule type="expression" dxfId="5552" priority="6521">
      <formula>J482="**"</formula>
    </cfRule>
    <cfRule type="expression" dxfId="5551" priority="6522">
      <formula>J482=""</formula>
    </cfRule>
    <cfRule type="expression" dxfId="5550" priority="6523">
      <formula>J482&lt;44.5</formula>
    </cfRule>
    <cfRule type="expression" dxfId="5549" priority="6524">
      <formula>J482&lt;60.5</formula>
    </cfRule>
    <cfRule type="expression" dxfId="5548" priority="6525">
      <formula>J482&lt;85.5</formula>
    </cfRule>
    <cfRule type="expression" dxfId="5547" priority="6527">
      <formula>J482&gt;85.5</formula>
    </cfRule>
  </conditionalFormatting>
  <conditionalFormatting sqref="J483">
    <cfRule type="expression" dxfId="5546" priority="6515">
      <formula>J483="**"</formula>
    </cfRule>
    <cfRule type="expression" dxfId="5545" priority="6516">
      <formula>J483=""</formula>
    </cfRule>
    <cfRule type="expression" dxfId="5544" priority="6517">
      <formula>J483&lt;44.5</formula>
    </cfRule>
    <cfRule type="expression" dxfId="5543" priority="6518">
      <formula>J483&lt;60.5</formula>
    </cfRule>
    <cfRule type="expression" dxfId="5542" priority="6519">
      <formula>J483&lt;85.5</formula>
    </cfRule>
    <cfRule type="expression" dxfId="5541" priority="6520">
      <formula>J483&gt;85.5</formula>
    </cfRule>
  </conditionalFormatting>
  <conditionalFormatting sqref="J485">
    <cfRule type="expression" dxfId="5540" priority="6504">
      <formula>J485="**"</formula>
    </cfRule>
    <cfRule type="expression" dxfId="5539" priority="6505">
      <formula>J485=""</formula>
    </cfRule>
    <cfRule type="expression" dxfId="5538" priority="6506">
      <formula>J485&lt;44.5</formula>
    </cfRule>
    <cfRule type="expression" dxfId="5537" priority="6507">
      <formula>J485&lt;60.5</formula>
    </cfRule>
    <cfRule type="expression" dxfId="5536" priority="6508">
      <formula>J485&lt;85.5</formula>
    </cfRule>
    <cfRule type="expression" dxfId="5535" priority="6509">
      <formula>J485&gt;85.5</formula>
    </cfRule>
  </conditionalFormatting>
  <conditionalFormatting sqref="K481">
    <cfRule type="expression" dxfId="5534" priority="6497">
      <formula>K481="**"</formula>
    </cfRule>
    <cfRule type="expression" dxfId="5533" priority="6498">
      <formula>K481=""</formula>
    </cfRule>
    <cfRule type="expression" dxfId="5532" priority="6499">
      <formula>K481&lt;44.5</formula>
    </cfRule>
    <cfRule type="expression" dxfId="5531" priority="6500">
      <formula>K481&lt;60.5</formula>
    </cfRule>
    <cfRule type="expression" dxfId="5530" priority="6501">
      <formula>K481&lt;85.5</formula>
    </cfRule>
    <cfRule type="expression" dxfId="5529" priority="6502">
      <formula>K481&gt;85.5</formula>
    </cfRule>
  </conditionalFormatting>
  <conditionalFormatting sqref="K481:K483 K485">
    <cfRule type="expression" dxfId="5528" priority="6472">
      <formula>K$480=""</formula>
    </cfRule>
  </conditionalFormatting>
  <conditionalFormatting sqref="K482">
    <cfRule type="expression" dxfId="5527" priority="6490">
      <formula>K482="**"</formula>
    </cfRule>
    <cfRule type="expression" dxfId="5526" priority="6491">
      <formula>K482=""</formula>
    </cfRule>
    <cfRule type="expression" dxfId="5525" priority="6492">
      <formula>K482&lt;44.5</formula>
    </cfRule>
    <cfRule type="expression" dxfId="5524" priority="6493">
      <formula>K482&lt;60.5</formula>
    </cfRule>
    <cfRule type="expression" dxfId="5523" priority="6494">
      <formula>K482&lt;85.5</formula>
    </cfRule>
    <cfRule type="expression" dxfId="5522" priority="6496">
      <formula>K482&gt;85.5</formula>
    </cfRule>
  </conditionalFormatting>
  <conditionalFormatting sqref="K483">
    <cfRule type="expression" dxfId="5521" priority="6484">
      <formula>K483="**"</formula>
    </cfRule>
    <cfRule type="expression" dxfId="5520" priority="6485">
      <formula>K483=""</formula>
    </cfRule>
    <cfRule type="expression" dxfId="5519" priority="6486">
      <formula>K483&lt;44.5</formula>
    </cfRule>
    <cfRule type="expression" dxfId="5518" priority="6487">
      <formula>K483&lt;60.5</formula>
    </cfRule>
    <cfRule type="expression" dxfId="5517" priority="6488">
      <formula>K483&lt;85.5</formula>
    </cfRule>
    <cfRule type="expression" dxfId="5516" priority="6489">
      <formula>K483&gt;85.5</formula>
    </cfRule>
  </conditionalFormatting>
  <conditionalFormatting sqref="K485">
    <cfRule type="expression" dxfId="5515" priority="6473">
      <formula>K485="**"</formula>
    </cfRule>
    <cfRule type="expression" dxfId="5514" priority="6474">
      <formula>K485=""</formula>
    </cfRule>
    <cfRule type="expression" dxfId="5513" priority="6475">
      <formula>K485&lt;44.5</formula>
    </cfRule>
    <cfRule type="expression" dxfId="5512" priority="6476">
      <formula>K485&lt;60.5</formula>
    </cfRule>
    <cfRule type="expression" dxfId="5511" priority="6477">
      <formula>K485&lt;85.5</formula>
    </cfRule>
    <cfRule type="expression" dxfId="5510" priority="6478">
      <formula>K485&gt;85.5</formula>
    </cfRule>
  </conditionalFormatting>
  <conditionalFormatting sqref="L481">
    <cfRule type="expression" dxfId="5509" priority="6466">
      <formula>L481="**"</formula>
    </cfRule>
    <cfRule type="expression" dxfId="5508" priority="6467">
      <formula>L481=""</formula>
    </cfRule>
    <cfRule type="expression" dxfId="5507" priority="6468">
      <formula>L481&lt;44.5</formula>
    </cfRule>
    <cfRule type="expression" dxfId="5506" priority="6469">
      <formula>L481&lt;60.5</formula>
    </cfRule>
    <cfRule type="expression" dxfId="5505" priority="6470">
      <formula>L481&lt;85.5</formula>
    </cfRule>
    <cfRule type="expression" dxfId="5504" priority="6471">
      <formula>L481&gt;85.5</formula>
    </cfRule>
  </conditionalFormatting>
  <conditionalFormatting sqref="L481:L483 L485">
    <cfRule type="expression" dxfId="5503" priority="6441">
      <formula>L$480=""</formula>
    </cfRule>
  </conditionalFormatting>
  <conditionalFormatting sqref="L482">
    <cfRule type="expression" dxfId="5502" priority="6459">
      <formula>L482="**"</formula>
    </cfRule>
    <cfRule type="expression" dxfId="5501" priority="6460">
      <formula>L482=""</formula>
    </cfRule>
    <cfRule type="expression" dxfId="5500" priority="6461">
      <formula>L482&lt;44.5</formula>
    </cfRule>
    <cfRule type="expression" dxfId="5499" priority="6462">
      <formula>L482&lt;60.5</formula>
    </cfRule>
    <cfRule type="expression" dxfId="5498" priority="6463">
      <formula>L482&lt;85.5</formula>
    </cfRule>
    <cfRule type="expression" dxfId="5497" priority="6465">
      <formula>L482&gt;85.5</formula>
    </cfRule>
  </conditionalFormatting>
  <conditionalFormatting sqref="L483">
    <cfRule type="expression" dxfId="5496" priority="6453">
      <formula>L483="**"</formula>
    </cfRule>
    <cfRule type="expression" dxfId="5495" priority="6454">
      <formula>L483=""</formula>
    </cfRule>
    <cfRule type="expression" dxfId="5494" priority="6455">
      <formula>L483&lt;44.5</formula>
    </cfRule>
    <cfRule type="expression" dxfId="5493" priority="6456">
      <formula>L483&lt;60.5</formula>
    </cfRule>
    <cfRule type="expression" dxfId="5492" priority="6457">
      <formula>L483&lt;85.5</formula>
    </cfRule>
    <cfRule type="expression" dxfId="5491" priority="6458">
      <formula>L483&gt;85.5</formula>
    </cfRule>
  </conditionalFormatting>
  <conditionalFormatting sqref="L485">
    <cfRule type="expression" dxfId="5490" priority="6442">
      <formula>L485="**"</formula>
    </cfRule>
    <cfRule type="expression" dxfId="5489" priority="6443">
      <formula>L485=""</formula>
    </cfRule>
    <cfRule type="expression" dxfId="5488" priority="6444">
      <formula>L485&lt;44.5</formula>
    </cfRule>
    <cfRule type="expression" dxfId="5487" priority="6445">
      <formula>L485&lt;60.5</formula>
    </cfRule>
    <cfRule type="expression" dxfId="5486" priority="6446">
      <formula>L485&lt;85.5</formula>
    </cfRule>
    <cfRule type="expression" dxfId="5485" priority="6447">
      <formula>L485&gt;85.5</formula>
    </cfRule>
  </conditionalFormatting>
  <conditionalFormatting sqref="C511">
    <cfRule type="expression" dxfId="5484" priority="6435">
      <formula>C511="**"</formula>
    </cfRule>
    <cfRule type="expression" dxfId="5483" priority="6436">
      <formula>C511=""</formula>
    </cfRule>
    <cfRule type="expression" dxfId="5482" priority="6437">
      <formula>C511&lt;44.5</formula>
    </cfRule>
    <cfRule type="expression" dxfId="5481" priority="6438">
      <formula>C511&lt;60.5</formula>
    </cfRule>
    <cfRule type="expression" dxfId="5480" priority="6439">
      <formula>C511&lt;85.5</formula>
    </cfRule>
    <cfRule type="expression" dxfId="5479" priority="6440">
      <formula>C511&gt;85.5</formula>
    </cfRule>
  </conditionalFormatting>
  <conditionalFormatting sqref="C511:C515">
    <cfRule type="expression" dxfId="5478" priority="6410">
      <formula>C$510=""</formula>
    </cfRule>
  </conditionalFormatting>
  <conditionalFormatting sqref="C512">
    <cfRule type="expression" dxfId="5477" priority="6428">
      <formula>C512="**"</formula>
    </cfRule>
    <cfRule type="expression" dxfId="5476" priority="6429">
      <formula>C512=""</formula>
    </cfRule>
    <cfRule type="expression" dxfId="5475" priority="6430">
      <formula>C512&lt;44.5</formula>
    </cfRule>
    <cfRule type="expression" dxfId="5474" priority="6431">
      <formula>C512&lt;60.5</formula>
    </cfRule>
    <cfRule type="expression" dxfId="5473" priority="6432">
      <formula>C512&lt;85.5</formula>
    </cfRule>
    <cfRule type="expression" dxfId="5472" priority="6434">
      <formula>C512&gt;85.5</formula>
    </cfRule>
  </conditionalFormatting>
  <conditionalFormatting sqref="C513">
    <cfRule type="expression" dxfId="5471" priority="6422">
      <formula>C513="**"</formula>
    </cfRule>
    <cfRule type="expression" dxfId="5470" priority="6423">
      <formula>C513=""</formula>
    </cfRule>
    <cfRule type="expression" dxfId="5469" priority="6424">
      <formula>C513&lt;44.5</formula>
    </cfRule>
    <cfRule type="expression" dxfId="5468" priority="6425">
      <formula>C513&lt;60.5</formula>
    </cfRule>
    <cfRule type="expression" dxfId="5467" priority="6426">
      <formula>C513&lt;85.5</formula>
    </cfRule>
    <cfRule type="expression" dxfId="5466" priority="6427">
      <formula>C513&gt;85.5</formula>
    </cfRule>
  </conditionalFormatting>
  <conditionalFormatting sqref="C514">
    <cfRule type="expression" dxfId="5465" priority="6417">
      <formula>C514="**"</formula>
    </cfRule>
    <cfRule type="expression" dxfId="5464" priority="6418">
      <formula>C514=""</formula>
    </cfRule>
    <cfRule type="expression" dxfId="5463" priority="6419">
      <formula>C514&lt;44.5</formula>
    </cfRule>
    <cfRule type="expression" dxfId="5462" priority="6420">
      <formula>C514&lt;60.5</formula>
    </cfRule>
    <cfRule type="expression" dxfId="5461" priority="6421">
      <formula>C514&lt;85.5</formula>
    </cfRule>
    <cfRule type="expression" dxfId="5460" priority="6433">
      <formula>C514&gt;85.5</formula>
    </cfRule>
  </conditionalFormatting>
  <conditionalFormatting sqref="C515">
    <cfRule type="expression" dxfId="5459" priority="6411">
      <formula>C515="**"</formula>
    </cfRule>
    <cfRule type="expression" dxfId="5458" priority="6412">
      <formula>C515=""</formula>
    </cfRule>
    <cfRule type="expression" dxfId="5457" priority="6413">
      <formula>C515&lt;44.5</formula>
    </cfRule>
    <cfRule type="expression" dxfId="5456" priority="6414">
      <formula>C515&lt;60.5</formula>
    </cfRule>
    <cfRule type="expression" dxfId="5455" priority="6415">
      <formula>C515&lt;85.5</formula>
    </cfRule>
    <cfRule type="expression" dxfId="5454" priority="6416">
      <formula>C515&gt;85.5</formula>
    </cfRule>
  </conditionalFormatting>
  <conditionalFormatting sqref="D511">
    <cfRule type="expression" dxfId="5453" priority="6404">
      <formula>D511="**"</formula>
    </cfRule>
    <cfRule type="expression" dxfId="5452" priority="6405">
      <formula>D511=""</formula>
    </cfRule>
    <cfRule type="expression" dxfId="5451" priority="6406">
      <formula>D511&lt;44.5</formula>
    </cfRule>
    <cfRule type="expression" dxfId="5450" priority="6407">
      <formula>D511&lt;60.5</formula>
    </cfRule>
    <cfRule type="expression" dxfId="5449" priority="6408">
      <formula>D511&lt;85.5</formula>
    </cfRule>
    <cfRule type="expression" dxfId="5448" priority="6409">
      <formula>D511&gt;85.5</formula>
    </cfRule>
  </conditionalFormatting>
  <conditionalFormatting sqref="D511:D513 D515">
    <cfRule type="expression" dxfId="5447" priority="6379">
      <formula>D$510=""</formula>
    </cfRule>
  </conditionalFormatting>
  <conditionalFormatting sqref="D512">
    <cfRule type="expression" dxfId="5446" priority="6397">
      <formula>D512="**"</formula>
    </cfRule>
    <cfRule type="expression" dxfId="5445" priority="6398">
      <formula>D512=""</formula>
    </cfRule>
    <cfRule type="expression" dxfId="5444" priority="6399">
      <formula>D512&lt;44.5</formula>
    </cfRule>
    <cfRule type="expression" dxfId="5443" priority="6400">
      <formula>D512&lt;60.5</formula>
    </cfRule>
    <cfRule type="expression" dxfId="5442" priority="6401">
      <formula>D512&lt;85.5</formula>
    </cfRule>
    <cfRule type="expression" dxfId="5441" priority="6403">
      <formula>D512&gt;85.5</formula>
    </cfRule>
  </conditionalFormatting>
  <conditionalFormatting sqref="D513">
    <cfRule type="expression" dxfId="5440" priority="6391">
      <formula>D513="**"</formula>
    </cfRule>
    <cfRule type="expression" dxfId="5439" priority="6392">
      <formula>D513=""</formula>
    </cfRule>
    <cfRule type="expression" dxfId="5438" priority="6393">
      <formula>D513&lt;44.5</formula>
    </cfRule>
    <cfRule type="expression" dxfId="5437" priority="6394">
      <formula>D513&lt;60.5</formula>
    </cfRule>
    <cfRule type="expression" dxfId="5436" priority="6395">
      <formula>D513&lt;85.5</formula>
    </cfRule>
    <cfRule type="expression" dxfId="5435" priority="6396">
      <formula>D513&gt;85.5</formula>
    </cfRule>
  </conditionalFormatting>
  <conditionalFormatting sqref="D515">
    <cfRule type="expression" dxfId="5434" priority="6380">
      <formula>D515="**"</formula>
    </cfRule>
    <cfRule type="expression" dxfId="5433" priority="6381">
      <formula>D515=""</formula>
    </cfRule>
    <cfRule type="expression" dxfId="5432" priority="6382">
      <formula>D515&lt;44.5</formula>
    </cfRule>
    <cfRule type="expression" dxfId="5431" priority="6383">
      <formula>D515&lt;60.5</formula>
    </cfRule>
    <cfRule type="expression" dxfId="5430" priority="6384">
      <formula>D515&lt;85.5</formula>
    </cfRule>
    <cfRule type="expression" dxfId="5429" priority="6385">
      <formula>D515&gt;85.5</formula>
    </cfRule>
  </conditionalFormatting>
  <conditionalFormatting sqref="E511">
    <cfRule type="expression" dxfId="5428" priority="6373">
      <formula>E511="**"</formula>
    </cfRule>
    <cfRule type="expression" dxfId="5427" priority="6374">
      <formula>E511=""</formula>
    </cfRule>
    <cfRule type="expression" dxfId="5426" priority="6375">
      <formula>E511&lt;44.5</formula>
    </cfRule>
    <cfRule type="expression" dxfId="5425" priority="6376">
      <formula>E511&lt;60.5</formula>
    </cfRule>
    <cfRule type="expression" dxfId="5424" priority="6377">
      <formula>E511&lt;85.5</formula>
    </cfRule>
    <cfRule type="expression" dxfId="5423" priority="6378">
      <formula>E511&gt;85.5</formula>
    </cfRule>
  </conditionalFormatting>
  <conditionalFormatting sqref="E511:E513 E515">
    <cfRule type="expression" dxfId="5422" priority="6348">
      <formula>E$510=""</formula>
    </cfRule>
  </conditionalFormatting>
  <conditionalFormatting sqref="E512">
    <cfRule type="expression" dxfId="5421" priority="6366">
      <formula>E512="**"</formula>
    </cfRule>
    <cfRule type="expression" dxfId="5420" priority="6367">
      <formula>E512=""</formula>
    </cfRule>
    <cfRule type="expression" dxfId="5419" priority="6368">
      <formula>E512&lt;44.5</formula>
    </cfRule>
    <cfRule type="expression" dxfId="5418" priority="6369">
      <formula>E512&lt;60.5</formula>
    </cfRule>
    <cfRule type="expression" dxfId="5417" priority="6370">
      <formula>E512&lt;85.5</formula>
    </cfRule>
    <cfRule type="expression" dxfId="5416" priority="6372">
      <formula>E512&gt;85.5</formula>
    </cfRule>
  </conditionalFormatting>
  <conditionalFormatting sqref="E513">
    <cfRule type="expression" dxfId="5415" priority="6360">
      <formula>E513="**"</formula>
    </cfRule>
    <cfRule type="expression" dxfId="5414" priority="6361">
      <formula>E513=""</formula>
    </cfRule>
    <cfRule type="expression" dxfId="5413" priority="6362">
      <formula>E513&lt;44.5</formula>
    </cfRule>
    <cfRule type="expression" dxfId="5412" priority="6363">
      <formula>E513&lt;60.5</formula>
    </cfRule>
    <cfRule type="expression" dxfId="5411" priority="6364">
      <formula>E513&lt;85.5</formula>
    </cfRule>
    <cfRule type="expression" dxfId="5410" priority="6365">
      <formula>E513&gt;85.5</formula>
    </cfRule>
  </conditionalFormatting>
  <conditionalFormatting sqref="E515">
    <cfRule type="expression" dxfId="5409" priority="6349">
      <formula>E515="**"</formula>
    </cfRule>
    <cfRule type="expression" dxfId="5408" priority="6350">
      <formula>E515=""</formula>
    </cfRule>
    <cfRule type="expression" dxfId="5407" priority="6351">
      <formula>E515&lt;44.5</formula>
    </cfRule>
    <cfRule type="expression" dxfId="5406" priority="6352">
      <formula>E515&lt;60.5</formula>
    </cfRule>
    <cfRule type="expression" dxfId="5405" priority="6353">
      <formula>E515&lt;85.5</formula>
    </cfRule>
    <cfRule type="expression" dxfId="5404" priority="6354">
      <formula>E515&gt;85.5</formula>
    </cfRule>
  </conditionalFormatting>
  <conditionalFormatting sqref="F511">
    <cfRule type="expression" dxfId="5403" priority="6342">
      <formula>F511="**"</formula>
    </cfRule>
    <cfRule type="expression" dxfId="5402" priority="6343">
      <formula>F511=""</formula>
    </cfRule>
    <cfRule type="expression" dxfId="5401" priority="6344">
      <formula>F511&lt;44.5</formula>
    </cfRule>
    <cfRule type="expression" dxfId="5400" priority="6345">
      <formula>F511&lt;60.5</formula>
    </cfRule>
    <cfRule type="expression" dxfId="5399" priority="6346">
      <formula>F511&lt;85.5</formula>
    </cfRule>
    <cfRule type="expression" dxfId="5398" priority="6347">
      <formula>F511&gt;85.5</formula>
    </cfRule>
  </conditionalFormatting>
  <conditionalFormatting sqref="F511:F513 F515">
    <cfRule type="expression" dxfId="5397" priority="6317">
      <formula>F$510=""</formula>
    </cfRule>
  </conditionalFormatting>
  <conditionalFormatting sqref="F512">
    <cfRule type="expression" dxfId="5396" priority="6335">
      <formula>F512="**"</formula>
    </cfRule>
    <cfRule type="expression" dxfId="5395" priority="6336">
      <formula>F512=""</formula>
    </cfRule>
    <cfRule type="expression" dxfId="5394" priority="6337">
      <formula>F512&lt;44.5</formula>
    </cfRule>
    <cfRule type="expression" dxfId="5393" priority="6338">
      <formula>F512&lt;60.5</formula>
    </cfRule>
    <cfRule type="expression" dxfId="5392" priority="6339">
      <formula>F512&lt;85.5</formula>
    </cfRule>
    <cfRule type="expression" dxfId="5391" priority="6341">
      <formula>F512&gt;85.5</formula>
    </cfRule>
  </conditionalFormatting>
  <conditionalFormatting sqref="F513">
    <cfRule type="expression" dxfId="5390" priority="6329">
      <formula>F513="**"</formula>
    </cfRule>
    <cfRule type="expression" dxfId="5389" priority="6330">
      <formula>F513=""</formula>
    </cfRule>
    <cfRule type="expression" dxfId="5388" priority="6331">
      <formula>F513&lt;44.5</formula>
    </cfRule>
    <cfRule type="expression" dxfId="5387" priority="6332">
      <formula>F513&lt;60.5</formula>
    </cfRule>
    <cfRule type="expression" dxfId="5386" priority="6333">
      <formula>F513&lt;85.5</formula>
    </cfRule>
    <cfRule type="expression" dxfId="5385" priority="6334">
      <formula>F513&gt;85.5</formula>
    </cfRule>
  </conditionalFormatting>
  <conditionalFormatting sqref="F515">
    <cfRule type="expression" dxfId="5384" priority="6318">
      <formula>F515="**"</formula>
    </cfRule>
    <cfRule type="expression" dxfId="5383" priority="6319">
      <formula>F515=""</formula>
    </cfRule>
    <cfRule type="expression" dxfId="5382" priority="6320">
      <formula>F515&lt;44.5</formula>
    </cfRule>
    <cfRule type="expression" dxfId="5381" priority="6321">
      <formula>F515&lt;60.5</formula>
    </cfRule>
    <cfRule type="expression" dxfId="5380" priority="6322">
      <formula>F515&lt;85.5</formula>
    </cfRule>
    <cfRule type="expression" dxfId="5379" priority="6323">
      <formula>F515&gt;85.5</formula>
    </cfRule>
  </conditionalFormatting>
  <conditionalFormatting sqref="G511">
    <cfRule type="expression" dxfId="5378" priority="6311">
      <formula>G511="**"</formula>
    </cfRule>
    <cfRule type="expression" dxfId="5377" priority="6312">
      <formula>G511=""</formula>
    </cfRule>
    <cfRule type="expression" dxfId="5376" priority="6313">
      <formula>G511&lt;44.5</formula>
    </cfRule>
    <cfRule type="expression" dxfId="5375" priority="6314">
      <formula>G511&lt;60.5</formula>
    </cfRule>
    <cfRule type="expression" dxfId="5374" priority="6315">
      <formula>G511&lt;85.5</formula>
    </cfRule>
    <cfRule type="expression" dxfId="5373" priority="6316">
      <formula>G511&gt;85.5</formula>
    </cfRule>
  </conditionalFormatting>
  <conditionalFormatting sqref="G511:G513 G515">
    <cfRule type="expression" dxfId="5372" priority="6286">
      <formula>G$510=""</formula>
    </cfRule>
  </conditionalFormatting>
  <conditionalFormatting sqref="G512">
    <cfRule type="expression" dxfId="5371" priority="6304">
      <formula>G512="**"</formula>
    </cfRule>
    <cfRule type="expression" dxfId="5370" priority="6305">
      <formula>G512=""</formula>
    </cfRule>
    <cfRule type="expression" dxfId="5369" priority="6306">
      <formula>G512&lt;44.5</formula>
    </cfRule>
    <cfRule type="expression" dxfId="5368" priority="6307">
      <formula>G512&lt;60.5</formula>
    </cfRule>
    <cfRule type="expression" dxfId="5367" priority="6308">
      <formula>G512&lt;85.5</formula>
    </cfRule>
    <cfRule type="expression" dxfId="5366" priority="6310">
      <formula>G512&gt;85.5</formula>
    </cfRule>
  </conditionalFormatting>
  <conditionalFormatting sqref="G513">
    <cfRule type="expression" dxfId="5365" priority="6298">
      <formula>G513="**"</formula>
    </cfRule>
    <cfRule type="expression" dxfId="5364" priority="6299">
      <formula>G513=""</formula>
    </cfRule>
    <cfRule type="expression" dxfId="5363" priority="6300">
      <formula>G513&lt;44.5</formula>
    </cfRule>
    <cfRule type="expression" dxfId="5362" priority="6301">
      <formula>G513&lt;60.5</formula>
    </cfRule>
    <cfRule type="expression" dxfId="5361" priority="6302">
      <formula>G513&lt;85.5</formula>
    </cfRule>
    <cfRule type="expression" dxfId="5360" priority="6303">
      <formula>G513&gt;85.5</formula>
    </cfRule>
  </conditionalFormatting>
  <conditionalFormatting sqref="G515">
    <cfRule type="expression" dxfId="5359" priority="6287">
      <formula>G515="**"</formula>
    </cfRule>
    <cfRule type="expression" dxfId="5358" priority="6288">
      <formula>G515=""</formula>
    </cfRule>
    <cfRule type="expression" dxfId="5357" priority="6289">
      <formula>G515&lt;44.5</formula>
    </cfRule>
    <cfRule type="expression" dxfId="5356" priority="6290">
      <formula>G515&lt;60.5</formula>
    </cfRule>
    <cfRule type="expression" dxfId="5355" priority="6291">
      <formula>G515&lt;85.5</formula>
    </cfRule>
    <cfRule type="expression" dxfId="5354" priority="6292">
      <formula>G515&gt;85.5</formula>
    </cfRule>
  </conditionalFormatting>
  <conditionalFormatting sqref="H511">
    <cfRule type="expression" dxfId="5353" priority="6280">
      <formula>H511="**"</formula>
    </cfRule>
    <cfRule type="expression" dxfId="5352" priority="6281">
      <formula>H511=""</formula>
    </cfRule>
    <cfRule type="expression" dxfId="5351" priority="6282">
      <formula>H511&lt;44.5</formula>
    </cfRule>
    <cfRule type="expression" dxfId="5350" priority="6283">
      <formula>H511&lt;60.5</formula>
    </cfRule>
    <cfRule type="expression" dxfId="5349" priority="6284">
      <formula>H511&lt;85.5</formula>
    </cfRule>
    <cfRule type="expression" dxfId="5348" priority="6285">
      <formula>H511&gt;85.5</formula>
    </cfRule>
  </conditionalFormatting>
  <conditionalFormatting sqref="H511:H513 H515">
    <cfRule type="expression" dxfId="5347" priority="6255">
      <formula>H$510=""</formula>
    </cfRule>
  </conditionalFormatting>
  <conditionalFormatting sqref="H512">
    <cfRule type="expression" dxfId="5346" priority="6273">
      <formula>H512="**"</formula>
    </cfRule>
    <cfRule type="expression" dxfId="5345" priority="6274">
      <formula>H512=""</formula>
    </cfRule>
    <cfRule type="expression" dxfId="5344" priority="6275">
      <formula>H512&lt;44.5</formula>
    </cfRule>
    <cfRule type="expression" dxfId="5343" priority="6276">
      <formula>H512&lt;60.5</formula>
    </cfRule>
    <cfRule type="expression" dxfId="5342" priority="6277">
      <formula>H512&lt;85.5</formula>
    </cfRule>
    <cfRule type="expression" dxfId="5341" priority="6279">
      <formula>H512&gt;85.5</formula>
    </cfRule>
  </conditionalFormatting>
  <conditionalFormatting sqref="H513">
    <cfRule type="expression" dxfId="5340" priority="6267">
      <formula>H513="**"</formula>
    </cfRule>
    <cfRule type="expression" dxfId="5339" priority="6268">
      <formula>H513=""</formula>
    </cfRule>
    <cfRule type="expression" dxfId="5338" priority="6269">
      <formula>H513&lt;44.5</formula>
    </cfRule>
    <cfRule type="expression" dxfId="5337" priority="6270">
      <formula>H513&lt;60.5</formula>
    </cfRule>
    <cfRule type="expression" dxfId="5336" priority="6271">
      <formula>H513&lt;85.5</formula>
    </cfRule>
    <cfRule type="expression" dxfId="5335" priority="6272">
      <formula>H513&gt;85.5</formula>
    </cfRule>
  </conditionalFormatting>
  <conditionalFormatting sqref="H515">
    <cfRule type="expression" dxfId="5334" priority="6256">
      <formula>H515="**"</formula>
    </cfRule>
    <cfRule type="expression" dxfId="5333" priority="6257">
      <formula>H515=""</formula>
    </cfRule>
    <cfRule type="expression" dxfId="5332" priority="6258">
      <formula>H515&lt;44.5</formula>
    </cfRule>
    <cfRule type="expression" dxfId="5331" priority="6259">
      <formula>H515&lt;60.5</formula>
    </cfRule>
    <cfRule type="expression" dxfId="5330" priority="6260">
      <formula>H515&lt;85.5</formula>
    </cfRule>
    <cfRule type="expression" dxfId="5329" priority="6261">
      <formula>H515&gt;85.5</formula>
    </cfRule>
  </conditionalFormatting>
  <conditionalFormatting sqref="I511">
    <cfRule type="expression" dxfId="5328" priority="6249">
      <formula>I511="**"</formula>
    </cfRule>
    <cfRule type="expression" dxfId="5327" priority="6250">
      <formula>I511=""</formula>
    </cfRule>
    <cfRule type="expression" dxfId="5326" priority="6251">
      <formula>I511&lt;44.5</formula>
    </cfRule>
    <cfRule type="expression" dxfId="5325" priority="6252">
      <formula>I511&lt;60.5</formula>
    </cfRule>
    <cfRule type="expression" dxfId="5324" priority="6253">
      <formula>I511&lt;85.5</formula>
    </cfRule>
    <cfRule type="expression" dxfId="5323" priority="6254">
      <formula>I511&gt;85.5</formula>
    </cfRule>
  </conditionalFormatting>
  <conditionalFormatting sqref="I511:I513 I515">
    <cfRule type="expression" dxfId="5322" priority="6224">
      <formula>I$510=""</formula>
    </cfRule>
  </conditionalFormatting>
  <conditionalFormatting sqref="I512">
    <cfRule type="expression" dxfId="5321" priority="6242">
      <formula>I512="**"</formula>
    </cfRule>
    <cfRule type="expression" dxfId="5320" priority="6243">
      <formula>I512=""</formula>
    </cfRule>
    <cfRule type="expression" dxfId="5319" priority="6244">
      <formula>I512&lt;44.5</formula>
    </cfRule>
    <cfRule type="expression" dxfId="5318" priority="6245">
      <formula>I512&lt;60.5</formula>
    </cfRule>
    <cfRule type="expression" dxfId="5317" priority="6246">
      <formula>I512&lt;85.5</formula>
    </cfRule>
    <cfRule type="expression" dxfId="5316" priority="6248">
      <formula>I512&gt;85.5</formula>
    </cfRule>
  </conditionalFormatting>
  <conditionalFormatting sqref="I513">
    <cfRule type="expression" dxfId="5315" priority="6236">
      <formula>I513="**"</formula>
    </cfRule>
    <cfRule type="expression" dxfId="5314" priority="6237">
      <formula>I513=""</formula>
    </cfRule>
    <cfRule type="expression" dxfId="5313" priority="6238">
      <formula>I513&lt;44.5</formula>
    </cfRule>
    <cfRule type="expression" dxfId="5312" priority="6239">
      <formula>I513&lt;60.5</formula>
    </cfRule>
    <cfRule type="expression" dxfId="5311" priority="6240">
      <formula>I513&lt;85.5</formula>
    </cfRule>
    <cfRule type="expression" dxfId="5310" priority="6241">
      <formula>I513&gt;85.5</formula>
    </cfRule>
  </conditionalFormatting>
  <conditionalFormatting sqref="I515">
    <cfRule type="expression" dxfId="5309" priority="6225">
      <formula>I515="**"</formula>
    </cfRule>
    <cfRule type="expression" dxfId="5308" priority="6226">
      <formula>I515=""</formula>
    </cfRule>
    <cfRule type="expression" dxfId="5307" priority="6227">
      <formula>I515&lt;44.5</formula>
    </cfRule>
    <cfRule type="expression" dxfId="5306" priority="6228">
      <formula>I515&lt;60.5</formula>
    </cfRule>
    <cfRule type="expression" dxfId="5305" priority="6229">
      <formula>I515&lt;85.5</formula>
    </cfRule>
    <cfRule type="expression" dxfId="5304" priority="6230">
      <formula>I515&gt;85.5</formula>
    </cfRule>
  </conditionalFormatting>
  <conditionalFormatting sqref="J511">
    <cfRule type="expression" dxfId="5303" priority="6218">
      <formula>J511="**"</formula>
    </cfRule>
    <cfRule type="expression" dxfId="5302" priority="6219">
      <formula>J511=""</formula>
    </cfRule>
    <cfRule type="expression" dxfId="5301" priority="6220">
      <formula>J511&lt;44.5</formula>
    </cfRule>
    <cfRule type="expression" dxfId="5300" priority="6221">
      <formula>J511&lt;60.5</formula>
    </cfRule>
    <cfRule type="expression" dxfId="5299" priority="6222">
      <formula>J511&lt;85.5</formula>
    </cfRule>
    <cfRule type="expression" dxfId="5298" priority="6223">
      <formula>J511&gt;85.5</formula>
    </cfRule>
  </conditionalFormatting>
  <conditionalFormatting sqref="J511:J513 J515">
    <cfRule type="expression" dxfId="5297" priority="6193">
      <formula>J$510=""</formula>
    </cfRule>
  </conditionalFormatting>
  <conditionalFormatting sqref="J512">
    <cfRule type="expression" dxfId="5296" priority="6211">
      <formula>J512="**"</formula>
    </cfRule>
    <cfRule type="expression" dxfId="5295" priority="6212">
      <formula>J512=""</formula>
    </cfRule>
    <cfRule type="expression" dxfId="5294" priority="6213">
      <formula>J512&lt;44.5</formula>
    </cfRule>
    <cfRule type="expression" dxfId="5293" priority="6214">
      <formula>J512&lt;60.5</formula>
    </cfRule>
    <cfRule type="expression" dxfId="5292" priority="6215">
      <formula>J512&lt;85.5</formula>
    </cfRule>
    <cfRule type="expression" dxfId="5291" priority="6217">
      <formula>J512&gt;85.5</formula>
    </cfRule>
  </conditionalFormatting>
  <conditionalFormatting sqref="J513">
    <cfRule type="expression" dxfId="5290" priority="6205">
      <formula>J513="**"</formula>
    </cfRule>
    <cfRule type="expression" dxfId="5289" priority="6206">
      <formula>J513=""</formula>
    </cfRule>
    <cfRule type="expression" dxfId="5288" priority="6207">
      <formula>J513&lt;44.5</formula>
    </cfRule>
    <cfRule type="expression" dxfId="5287" priority="6208">
      <formula>J513&lt;60.5</formula>
    </cfRule>
    <cfRule type="expression" dxfId="5286" priority="6209">
      <formula>J513&lt;85.5</formula>
    </cfRule>
    <cfRule type="expression" dxfId="5285" priority="6210">
      <formula>J513&gt;85.5</formula>
    </cfRule>
  </conditionalFormatting>
  <conditionalFormatting sqref="J515">
    <cfRule type="expression" dxfId="5284" priority="6194">
      <formula>J515="**"</formula>
    </cfRule>
    <cfRule type="expression" dxfId="5283" priority="6195">
      <formula>J515=""</formula>
    </cfRule>
    <cfRule type="expression" dxfId="5282" priority="6196">
      <formula>J515&lt;44.5</formula>
    </cfRule>
    <cfRule type="expression" dxfId="5281" priority="6197">
      <formula>J515&lt;60.5</formula>
    </cfRule>
    <cfRule type="expression" dxfId="5280" priority="6198">
      <formula>J515&lt;85.5</formula>
    </cfRule>
    <cfRule type="expression" dxfId="5279" priority="6199">
      <formula>J515&gt;85.5</formula>
    </cfRule>
  </conditionalFormatting>
  <conditionalFormatting sqref="K511">
    <cfRule type="expression" dxfId="5278" priority="6187">
      <formula>K511="**"</formula>
    </cfRule>
    <cfRule type="expression" dxfId="5277" priority="6188">
      <formula>K511=""</formula>
    </cfRule>
    <cfRule type="expression" dxfId="5276" priority="6189">
      <formula>K511&lt;44.5</formula>
    </cfRule>
    <cfRule type="expression" dxfId="5275" priority="6190">
      <formula>K511&lt;60.5</formula>
    </cfRule>
    <cfRule type="expression" dxfId="5274" priority="6191">
      <formula>K511&lt;85.5</formula>
    </cfRule>
    <cfRule type="expression" dxfId="5273" priority="6192">
      <formula>K511&gt;85.5</formula>
    </cfRule>
  </conditionalFormatting>
  <conditionalFormatting sqref="K511:K513 K515">
    <cfRule type="expression" dxfId="5272" priority="6162">
      <formula>K$510=""</formula>
    </cfRule>
  </conditionalFormatting>
  <conditionalFormatting sqref="K512">
    <cfRule type="expression" dxfId="5271" priority="6180">
      <formula>K512="**"</formula>
    </cfRule>
    <cfRule type="expression" dxfId="5270" priority="6181">
      <formula>K512=""</formula>
    </cfRule>
    <cfRule type="expression" dxfId="5269" priority="6182">
      <formula>K512&lt;44.5</formula>
    </cfRule>
    <cfRule type="expression" dxfId="5268" priority="6183">
      <formula>K512&lt;60.5</formula>
    </cfRule>
    <cfRule type="expression" dxfId="5267" priority="6184">
      <formula>K512&lt;85.5</formula>
    </cfRule>
    <cfRule type="expression" dxfId="5266" priority="6186">
      <formula>K512&gt;85.5</formula>
    </cfRule>
  </conditionalFormatting>
  <conditionalFormatting sqref="K513">
    <cfRule type="expression" dxfId="5265" priority="6174">
      <formula>K513="**"</formula>
    </cfRule>
    <cfRule type="expression" dxfId="5264" priority="6175">
      <formula>K513=""</formula>
    </cfRule>
    <cfRule type="expression" dxfId="5263" priority="6176">
      <formula>K513&lt;44.5</formula>
    </cfRule>
    <cfRule type="expression" dxfId="5262" priority="6177">
      <formula>K513&lt;60.5</formula>
    </cfRule>
    <cfRule type="expression" dxfId="5261" priority="6178">
      <formula>K513&lt;85.5</formula>
    </cfRule>
    <cfRule type="expression" dxfId="5260" priority="6179">
      <formula>K513&gt;85.5</formula>
    </cfRule>
  </conditionalFormatting>
  <conditionalFormatting sqref="K515">
    <cfRule type="expression" dxfId="5259" priority="6163">
      <formula>K515="**"</formula>
    </cfRule>
    <cfRule type="expression" dxfId="5258" priority="6164">
      <formula>K515=""</formula>
    </cfRule>
    <cfRule type="expression" dxfId="5257" priority="6165">
      <formula>K515&lt;44.5</formula>
    </cfRule>
    <cfRule type="expression" dxfId="5256" priority="6166">
      <formula>K515&lt;60.5</formula>
    </cfRule>
    <cfRule type="expression" dxfId="5255" priority="6167">
      <formula>K515&lt;85.5</formula>
    </cfRule>
    <cfRule type="expression" dxfId="5254" priority="6168">
      <formula>K515&gt;85.5</formula>
    </cfRule>
  </conditionalFormatting>
  <conditionalFormatting sqref="L511">
    <cfRule type="expression" dxfId="5253" priority="6156">
      <formula>L511="**"</formula>
    </cfRule>
    <cfRule type="expression" dxfId="5252" priority="6157">
      <formula>L511=""</formula>
    </cfRule>
    <cfRule type="expression" dxfId="5251" priority="6158">
      <formula>L511&lt;44.5</formula>
    </cfRule>
    <cfRule type="expression" dxfId="5250" priority="6159">
      <formula>L511&lt;60.5</formula>
    </cfRule>
    <cfRule type="expression" dxfId="5249" priority="6160">
      <formula>L511&lt;85.5</formula>
    </cfRule>
    <cfRule type="expression" dxfId="5248" priority="6161">
      <formula>L511&gt;85.5</formula>
    </cfRule>
  </conditionalFormatting>
  <conditionalFormatting sqref="L511:L513 L515">
    <cfRule type="expression" dxfId="5247" priority="6131">
      <formula>L$510=""</formula>
    </cfRule>
  </conditionalFormatting>
  <conditionalFormatting sqref="L512">
    <cfRule type="expression" dxfId="5246" priority="6149">
      <formula>L512="**"</formula>
    </cfRule>
    <cfRule type="expression" dxfId="5245" priority="6150">
      <formula>L512=""</formula>
    </cfRule>
    <cfRule type="expression" dxfId="5244" priority="6151">
      <formula>L512&lt;44.5</formula>
    </cfRule>
    <cfRule type="expression" dxfId="5243" priority="6152">
      <formula>L512&lt;60.5</formula>
    </cfRule>
    <cfRule type="expression" dxfId="5242" priority="6153">
      <formula>L512&lt;85.5</formula>
    </cfRule>
    <cfRule type="expression" dxfId="5241" priority="6155">
      <formula>L512&gt;85.5</formula>
    </cfRule>
  </conditionalFormatting>
  <conditionalFormatting sqref="L513">
    <cfRule type="expression" dxfId="5240" priority="6143">
      <formula>L513="**"</formula>
    </cfRule>
    <cfRule type="expression" dxfId="5239" priority="6144">
      <formula>L513=""</formula>
    </cfRule>
    <cfRule type="expression" dxfId="5238" priority="6145">
      <formula>L513&lt;44.5</formula>
    </cfRule>
    <cfRule type="expression" dxfId="5237" priority="6146">
      <formula>L513&lt;60.5</formula>
    </cfRule>
    <cfRule type="expression" dxfId="5236" priority="6147">
      <formula>L513&lt;85.5</formula>
    </cfRule>
    <cfRule type="expression" dxfId="5235" priority="6148">
      <formula>L513&gt;85.5</formula>
    </cfRule>
  </conditionalFormatting>
  <conditionalFormatting sqref="L515">
    <cfRule type="expression" dxfId="5234" priority="6132">
      <formula>L515="**"</formula>
    </cfRule>
    <cfRule type="expression" dxfId="5233" priority="6133">
      <formula>L515=""</formula>
    </cfRule>
    <cfRule type="expression" dxfId="5232" priority="6134">
      <formula>L515&lt;44.5</formula>
    </cfRule>
    <cfRule type="expression" dxfId="5231" priority="6135">
      <formula>L515&lt;60.5</formula>
    </cfRule>
    <cfRule type="expression" dxfId="5230" priority="6136">
      <formula>L515&lt;85.5</formula>
    </cfRule>
    <cfRule type="expression" dxfId="5229" priority="6137">
      <formula>L515&gt;85.5</formula>
    </cfRule>
  </conditionalFormatting>
  <conditionalFormatting sqref="C541">
    <cfRule type="expression" dxfId="5228" priority="6125">
      <formula>C541="**"</formula>
    </cfRule>
    <cfRule type="expression" dxfId="5227" priority="6126">
      <formula>C541=""</formula>
    </cfRule>
    <cfRule type="expression" dxfId="5226" priority="6127">
      <formula>C541&lt;44.5</formula>
    </cfRule>
    <cfRule type="expression" dxfId="5225" priority="6128">
      <formula>C541&lt;60.5</formula>
    </cfRule>
    <cfRule type="expression" dxfId="5224" priority="6129">
      <formula>C541&lt;85.5</formula>
    </cfRule>
    <cfRule type="expression" dxfId="5223" priority="6130">
      <formula>C541&gt;85.5</formula>
    </cfRule>
  </conditionalFormatting>
  <conditionalFormatting sqref="C541:C545">
    <cfRule type="expression" dxfId="5222" priority="6100">
      <formula>C$540=""</formula>
    </cfRule>
  </conditionalFormatting>
  <conditionalFormatting sqref="C542">
    <cfRule type="expression" dxfId="5221" priority="6118">
      <formula>C542="**"</formula>
    </cfRule>
    <cfRule type="expression" dxfId="5220" priority="6119">
      <formula>C542=""</formula>
    </cfRule>
    <cfRule type="expression" dxfId="5219" priority="6120">
      <formula>C542&lt;44.5</formula>
    </cfRule>
    <cfRule type="expression" dxfId="5218" priority="6121">
      <formula>C542&lt;60.5</formula>
    </cfRule>
    <cfRule type="expression" dxfId="5217" priority="6122">
      <formula>C542&lt;85.5</formula>
    </cfRule>
    <cfRule type="expression" dxfId="5216" priority="6124">
      <formula>C542&gt;85.5</formula>
    </cfRule>
  </conditionalFormatting>
  <conditionalFormatting sqref="C543">
    <cfRule type="expression" dxfId="5215" priority="6112">
      <formula>C543="**"</formula>
    </cfRule>
    <cfRule type="expression" dxfId="5214" priority="6113">
      <formula>C543=""</formula>
    </cfRule>
    <cfRule type="expression" dxfId="5213" priority="6114">
      <formula>C543&lt;44.5</formula>
    </cfRule>
    <cfRule type="expression" dxfId="5212" priority="6115">
      <formula>C543&lt;60.5</formula>
    </cfRule>
    <cfRule type="expression" dxfId="5211" priority="6116">
      <formula>C543&lt;85.5</formula>
    </cfRule>
    <cfRule type="expression" dxfId="5210" priority="6117">
      <formula>C543&gt;85.5</formula>
    </cfRule>
  </conditionalFormatting>
  <conditionalFormatting sqref="C544">
    <cfRule type="expression" dxfId="5209" priority="6107">
      <formula>C544="**"</formula>
    </cfRule>
    <cfRule type="expression" dxfId="5208" priority="6108">
      <formula>C544=""</formula>
    </cfRule>
    <cfRule type="expression" dxfId="5207" priority="6109">
      <formula>C544&lt;44.5</formula>
    </cfRule>
    <cfRule type="expression" dxfId="5206" priority="6110">
      <formula>C544&lt;60.5</formula>
    </cfRule>
    <cfRule type="expression" dxfId="5205" priority="6111">
      <formula>C544&lt;85.5</formula>
    </cfRule>
    <cfRule type="expression" dxfId="5204" priority="6123">
      <formula>C544&gt;85.5</formula>
    </cfRule>
  </conditionalFormatting>
  <conditionalFormatting sqref="C545">
    <cfRule type="expression" dxfId="5203" priority="6101">
      <formula>C545="**"</formula>
    </cfRule>
    <cfRule type="expression" dxfId="5202" priority="6102">
      <formula>C545=""</formula>
    </cfRule>
    <cfRule type="expression" dxfId="5201" priority="6103">
      <formula>C545&lt;44.5</formula>
    </cfRule>
    <cfRule type="expression" dxfId="5200" priority="6104">
      <formula>C545&lt;60.5</formula>
    </cfRule>
    <cfRule type="expression" dxfId="5199" priority="6105">
      <formula>C545&lt;85.5</formula>
    </cfRule>
    <cfRule type="expression" dxfId="5198" priority="6106">
      <formula>C545&gt;85.5</formula>
    </cfRule>
  </conditionalFormatting>
  <conditionalFormatting sqref="D541">
    <cfRule type="expression" dxfId="5197" priority="6094">
      <formula>D541="**"</formula>
    </cfRule>
    <cfRule type="expression" dxfId="5196" priority="6095">
      <formula>D541=""</formula>
    </cfRule>
    <cfRule type="expression" dxfId="5195" priority="6096">
      <formula>D541&lt;44.5</formula>
    </cfRule>
    <cfRule type="expression" dxfId="5194" priority="6097">
      <formula>D541&lt;60.5</formula>
    </cfRule>
    <cfRule type="expression" dxfId="5193" priority="6098">
      <formula>D541&lt;85.5</formula>
    </cfRule>
    <cfRule type="expression" dxfId="5192" priority="6099">
      <formula>D541&gt;85.5</formula>
    </cfRule>
  </conditionalFormatting>
  <conditionalFormatting sqref="D541:D543 D545">
    <cfRule type="expression" dxfId="5191" priority="6069">
      <formula>D$540=""</formula>
    </cfRule>
  </conditionalFormatting>
  <conditionalFormatting sqref="D542">
    <cfRule type="expression" dxfId="5190" priority="6087">
      <formula>D542="**"</formula>
    </cfRule>
    <cfRule type="expression" dxfId="5189" priority="6088">
      <formula>D542=""</formula>
    </cfRule>
    <cfRule type="expression" dxfId="5188" priority="6089">
      <formula>D542&lt;44.5</formula>
    </cfRule>
    <cfRule type="expression" dxfId="5187" priority="6090">
      <formula>D542&lt;60.5</formula>
    </cfRule>
    <cfRule type="expression" dxfId="5186" priority="6091">
      <formula>D542&lt;85.5</formula>
    </cfRule>
    <cfRule type="expression" dxfId="5185" priority="6093">
      <formula>D542&gt;85.5</formula>
    </cfRule>
  </conditionalFormatting>
  <conditionalFormatting sqref="D543">
    <cfRule type="expression" dxfId="5184" priority="6081">
      <formula>D543="**"</formula>
    </cfRule>
    <cfRule type="expression" dxfId="5183" priority="6082">
      <formula>D543=""</formula>
    </cfRule>
    <cfRule type="expression" dxfId="5182" priority="6083">
      <formula>D543&lt;44.5</formula>
    </cfRule>
    <cfRule type="expression" dxfId="5181" priority="6084">
      <formula>D543&lt;60.5</formula>
    </cfRule>
    <cfRule type="expression" dxfId="5180" priority="6085">
      <formula>D543&lt;85.5</formula>
    </cfRule>
    <cfRule type="expression" dxfId="5179" priority="6086">
      <formula>D543&gt;85.5</formula>
    </cfRule>
  </conditionalFormatting>
  <conditionalFormatting sqref="D545">
    <cfRule type="expression" dxfId="5178" priority="6070">
      <formula>D545="**"</formula>
    </cfRule>
    <cfRule type="expression" dxfId="5177" priority="6071">
      <formula>D545=""</formula>
    </cfRule>
    <cfRule type="expression" dxfId="5176" priority="6072">
      <formula>D545&lt;44.5</formula>
    </cfRule>
    <cfRule type="expression" dxfId="5175" priority="6073">
      <formula>D545&lt;60.5</formula>
    </cfRule>
    <cfRule type="expression" dxfId="5174" priority="6074">
      <formula>D545&lt;85.5</formula>
    </cfRule>
    <cfRule type="expression" dxfId="5173" priority="6075">
      <formula>D545&gt;85.5</formula>
    </cfRule>
  </conditionalFormatting>
  <conditionalFormatting sqref="E541">
    <cfRule type="expression" dxfId="5172" priority="6063">
      <formula>E541="**"</formula>
    </cfRule>
    <cfRule type="expression" dxfId="5171" priority="6064">
      <formula>E541=""</formula>
    </cfRule>
    <cfRule type="expression" dxfId="5170" priority="6065">
      <formula>E541&lt;44.5</formula>
    </cfRule>
    <cfRule type="expression" dxfId="5169" priority="6066">
      <formula>E541&lt;60.5</formula>
    </cfRule>
    <cfRule type="expression" dxfId="5168" priority="6067">
      <formula>E541&lt;85.5</formula>
    </cfRule>
    <cfRule type="expression" dxfId="5167" priority="6068">
      <formula>E541&gt;85.5</formula>
    </cfRule>
  </conditionalFormatting>
  <conditionalFormatting sqref="E541:E543 E545">
    <cfRule type="expression" dxfId="5166" priority="6038">
      <formula>E$540=""</formula>
    </cfRule>
  </conditionalFormatting>
  <conditionalFormatting sqref="E542">
    <cfRule type="expression" dxfId="5165" priority="6056">
      <formula>E542="**"</formula>
    </cfRule>
    <cfRule type="expression" dxfId="5164" priority="6057">
      <formula>E542=""</formula>
    </cfRule>
    <cfRule type="expression" dxfId="5163" priority="6058">
      <formula>E542&lt;44.5</formula>
    </cfRule>
    <cfRule type="expression" dxfId="5162" priority="6059">
      <formula>E542&lt;60.5</formula>
    </cfRule>
    <cfRule type="expression" dxfId="5161" priority="6060">
      <formula>E542&lt;85.5</formula>
    </cfRule>
    <cfRule type="expression" dxfId="5160" priority="6062">
      <formula>E542&gt;85.5</formula>
    </cfRule>
  </conditionalFormatting>
  <conditionalFormatting sqref="E543">
    <cfRule type="expression" dxfId="5159" priority="6050">
      <formula>E543="**"</formula>
    </cfRule>
    <cfRule type="expression" dxfId="5158" priority="6051">
      <formula>E543=""</formula>
    </cfRule>
    <cfRule type="expression" dxfId="5157" priority="6052">
      <formula>E543&lt;44.5</formula>
    </cfRule>
    <cfRule type="expression" dxfId="5156" priority="6053">
      <formula>E543&lt;60.5</formula>
    </cfRule>
    <cfRule type="expression" dxfId="5155" priority="6054">
      <formula>E543&lt;85.5</formula>
    </cfRule>
    <cfRule type="expression" dxfId="5154" priority="6055">
      <formula>E543&gt;85.5</formula>
    </cfRule>
  </conditionalFormatting>
  <conditionalFormatting sqref="E545">
    <cfRule type="expression" dxfId="5153" priority="6039">
      <formula>E545="**"</formula>
    </cfRule>
    <cfRule type="expression" dxfId="5152" priority="6040">
      <formula>E545=""</formula>
    </cfRule>
    <cfRule type="expression" dxfId="5151" priority="6041">
      <formula>E545&lt;44.5</formula>
    </cfRule>
    <cfRule type="expression" dxfId="5150" priority="6042">
      <formula>E545&lt;60.5</formula>
    </cfRule>
    <cfRule type="expression" dxfId="5149" priority="6043">
      <formula>E545&lt;85.5</formula>
    </cfRule>
    <cfRule type="expression" dxfId="5148" priority="6044">
      <formula>E545&gt;85.5</formula>
    </cfRule>
  </conditionalFormatting>
  <conditionalFormatting sqref="F541">
    <cfRule type="expression" dxfId="5147" priority="6032">
      <formula>F541="**"</formula>
    </cfRule>
    <cfRule type="expression" dxfId="5146" priority="6033">
      <formula>F541=""</formula>
    </cfRule>
    <cfRule type="expression" dxfId="5145" priority="6034">
      <formula>F541&lt;44.5</formula>
    </cfRule>
    <cfRule type="expression" dxfId="5144" priority="6035">
      <formula>F541&lt;60.5</formula>
    </cfRule>
    <cfRule type="expression" dxfId="5143" priority="6036">
      <formula>F541&lt;85.5</formula>
    </cfRule>
    <cfRule type="expression" dxfId="5142" priority="6037">
      <formula>F541&gt;85.5</formula>
    </cfRule>
  </conditionalFormatting>
  <conditionalFormatting sqref="F541:F543 F545">
    <cfRule type="expression" dxfId="5141" priority="6007">
      <formula>F$540=""</formula>
    </cfRule>
  </conditionalFormatting>
  <conditionalFormatting sqref="F542">
    <cfRule type="expression" dxfId="5140" priority="6025">
      <formula>F542="**"</formula>
    </cfRule>
    <cfRule type="expression" dxfId="5139" priority="6026">
      <formula>F542=""</formula>
    </cfRule>
    <cfRule type="expression" dxfId="5138" priority="6027">
      <formula>F542&lt;44.5</formula>
    </cfRule>
    <cfRule type="expression" dxfId="5137" priority="6028">
      <formula>F542&lt;60.5</formula>
    </cfRule>
    <cfRule type="expression" dxfId="5136" priority="6029">
      <formula>F542&lt;85.5</formula>
    </cfRule>
    <cfRule type="expression" dxfId="5135" priority="6031">
      <formula>F542&gt;85.5</formula>
    </cfRule>
  </conditionalFormatting>
  <conditionalFormatting sqref="F543">
    <cfRule type="expression" dxfId="5134" priority="6019">
      <formula>F543="**"</formula>
    </cfRule>
    <cfRule type="expression" dxfId="5133" priority="6020">
      <formula>F543=""</formula>
    </cfRule>
    <cfRule type="expression" dxfId="5132" priority="6021">
      <formula>F543&lt;44.5</formula>
    </cfRule>
    <cfRule type="expression" dxfId="5131" priority="6022">
      <formula>F543&lt;60.5</formula>
    </cfRule>
    <cfRule type="expression" dxfId="5130" priority="6023">
      <formula>F543&lt;85.5</formula>
    </cfRule>
    <cfRule type="expression" dxfId="5129" priority="6024">
      <formula>F543&gt;85.5</formula>
    </cfRule>
  </conditionalFormatting>
  <conditionalFormatting sqref="F545">
    <cfRule type="expression" dxfId="5128" priority="6008">
      <formula>F545="**"</formula>
    </cfRule>
    <cfRule type="expression" dxfId="5127" priority="6009">
      <formula>F545=""</formula>
    </cfRule>
    <cfRule type="expression" dxfId="5126" priority="6010">
      <formula>F545&lt;44.5</formula>
    </cfRule>
    <cfRule type="expression" dxfId="5125" priority="6011">
      <formula>F545&lt;60.5</formula>
    </cfRule>
    <cfRule type="expression" dxfId="5124" priority="6012">
      <formula>F545&lt;85.5</formula>
    </cfRule>
    <cfRule type="expression" dxfId="5123" priority="6013">
      <formula>F545&gt;85.5</formula>
    </cfRule>
  </conditionalFormatting>
  <conditionalFormatting sqref="G541">
    <cfRule type="expression" dxfId="5122" priority="6001">
      <formula>G541="**"</formula>
    </cfRule>
    <cfRule type="expression" dxfId="5121" priority="6002">
      <formula>G541=""</formula>
    </cfRule>
    <cfRule type="expression" dxfId="5120" priority="6003">
      <formula>G541&lt;44.5</formula>
    </cfRule>
    <cfRule type="expression" dxfId="5119" priority="6004">
      <formula>G541&lt;60.5</formula>
    </cfRule>
    <cfRule type="expression" dxfId="5118" priority="6005">
      <formula>G541&lt;85.5</formula>
    </cfRule>
    <cfRule type="expression" dxfId="5117" priority="6006">
      <formula>G541&gt;85.5</formula>
    </cfRule>
  </conditionalFormatting>
  <conditionalFormatting sqref="G541:G543 G545">
    <cfRule type="expression" dxfId="5116" priority="5976">
      <formula>G$540=""</formula>
    </cfRule>
  </conditionalFormatting>
  <conditionalFormatting sqref="G542">
    <cfRule type="expression" dxfId="5115" priority="5994">
      <formula>G542="**"</formula>
    </cfRule>
    <cfRule type="expression" dxfId="5114" priority="5995">
      <formula>G542=""</formula>
    </cfRule>
    <cfRule type="expression" dxfId="5113" priority="5996">
      <formula>G542&lt;44.5</formula>
    </cfRule>
    <cfRule type="expression" dxfId="5112" priority="5997">
      <formula>G542&lt;60.5</formula>
    </cfRule>
    <cfRule type="expression" dxfId="5111" priority="5998">
      <formula>G542&lt;85.5</formula>
    </cfRule>
    <cfRule type="expression" dxfId="5110" priority="6000">
      <formula>G542&gt;85.5</formula>
    </cfRule>
  </conditionalFormatting>
  <conditionalFormatting sqref="G543">
    <cfRule type="expression" dxfId="5109" priority="5988">
      <formula>G543="**"</formula>
    </cfRule>
    <cfRule type="expression" dxfId="5108" priority="5989">
      <formula>G543=""</formula>
    </cfRule>
    <cfRule type="expression" dxfId="5107" priority="5990">
      <formula>G543&lt;44.5</formula>
    </cfRule>
    <cfRule type="expression" dxfId="5106" priority="5991">
      <formula>G543&lt;60.5</formula>
    </cfRule>
    <cfRule type="expression" dxfId="5105" priority="5992">
      <formula>G543&lt;85.5</formula>
    </cfRule>
    <cfRule type="expression" dxfId="5104" priority="5993">
      <formula>G543&gt;85.5</formula>
    </cfRule>
  </conditionalFormatting>
  <conditionalFormatting sqref="G545">
    <cfRule type="expression" dxfId="5103" priority="5977">
      <formula>G545="**"</formula>
    </cfRule>
    <cfRule type="expression" dxfId="5102" priority="5978">
      <formula>G545=""</formula>
    </cfRule>
    <cfRule type="expression" dxfId="5101" priority="5979">
      <formula>G545&lt;44.5</formula>
    </cfRule>
    <cfRule type="expression" dxfId="5100" priority="5980">
      <formula>G545&lt;60.5</formula>
    </cfRule>
    <cfRule type="expression" dxfId="5099" priority="5981">
      <formula>G545&lt;85.5</formula>
    </cfRule>
    <cfRule type="expression" dxfId="5098" priority="5982">
      <formula>G545&gt;85.5</formula>
    </cfRule>
  </conditionalFormatting>
  <conditionalFormatting sqref="H541">
    <cfRule type="expression" dxfId="5097" priority="5970">
      <formula>H541="**"</formula>
    </cfRule>
    <cfRule type="expression" dxfId="5096" priority="5971">
      <formula>H541=""</formula>
    </cfRule>
    <cfRule type="expression" dxfId="5095" priority="5972">
      <formula>H541&lt;44.5</formula>
    </cfRule>
    <cfRule type="expression" dxfId="5094" priority="5973">
      <formula>H541&lt;60.5</formula>
    </cfRule>
    <cfRule type="expression" dxfId="5093" priority="5974">
      <formula>H541&lt;85.5</formula>
    </cfRule>
    <cfRule type="expression" dxfId="5092" priority="5975">
      <formula>H541&gt;85.5</formula>
    </cfRule>
  </conditionalFormatting>
  <conditionalFormatting sqref="H541:H543 H545">
    <cfRule type="expression" dxfId="5091" priority="5945">
      <formula>H$540=""</formula>
    </cfRule>
  </conditionalFormatting>
  <conditionalFormatting sqref="H542">
    <cfRule type="expression" dxfId="5090" priority="5963">
      <formula>H542="**"</formula>
    </cfRule>
    <cfRule type="expression" dxfId="5089" priority="5964">
      <formula>H542=""</formula>
    </cfRule>
    <cfRule type="expression" dxfId="5088" priority="5965">
      <formula>H542&lt;44.5</formula>
    </cfRule>
    <cfRule type="expression" dxfId="5087" priority="5966">
      <formula>H542&lt;60.5</formula>
    </cfRule>
    <cfRule type="expression" dxfId="5086" priority="5967">
      <formula>H542&lt;85.5</formula>
    </cfRule>
    <cfRule type="expression" dxfId="5085" priority="5969">
      <formula>H542&gt;85.5</formula>
    </cfRule>
  </conditionalFormatting>
  <conditionalFormatting sqref="H543">
    <cfRule type="expression" dxfId="5084" priority="5957">
      <formula>H543="**"</formula>
    </cfRule>
    <cfRule type="expression" dxfId="5083" priority="5958">
      <formula>H543=""</formula>
    </cfRule>
    <cfRule type="expression" dxfId="5082" priority="5959">
      <formula>H543&lt;44.5</formula>
    </cfRule>
    <cfRule type="expression" dxfId="5081" priority="5960">
      <formula>H543&lt;60.5</formula>
    </cfRule>
    <cfRule type="expression" dxfId="5080" priority="5961">
      <formula>H543&lt;85.5</formula>
    </cfRule>
    <cfRule type="expression" dxfId="5079" priority="5962">
      <formula>H543&gt;85.5</formula>
    </cfRule>
  </conditionalFormatting>
  <conditionalFormatting sqref="H545">
    <cfRule type="expression" dxfId="5078" priority="5946">
      <formula>H545="**"</formula>
    </cfRule>
    <cfRule type="expression" dxfId="5077" priority="5947">
      <formula>H545=""</formula>
    </cfRule>
    <cfRule type="expression" dxfId="5076" priority="5948">
      <formula>H545&lt;44.5</formula>
    </cfRule>
    <cfRule type="expression" dxfId="5075" priority="5949">
      <formula>H545&lt;60.5</formula>
    </cfRule>
    <cfRule type="expression" dxfId="5074" priority="5950">
      <formula>H545&lt;85.5</formula>
    </cfRule>
    <cfRule type="expression" dxfId="5073" priority="5951">
      <formula>H545&gt;85.5</formula>
    </cfRule>
  </conditionalFormatting>
  <conditionalFormatting sqref="I541">
    <cfRule type="expression" dxfId="5072" priority="5939">
      <formula>I541="**"</formula>
    </cfRule>
    <cfRule type="expression" dxfId="5071" priority="5940">
      <formula>I541=""</formula>
    </cfRule>
    <cfRule type="expression" dxfId="5070" priority="5941">
      <formula>I541&lt;44.5</formula>
    </cfRule>
    <cfRule type="expression" dxfId="5069" priority="5942">
      <formula>I541&lt;60.5</formula>
    </cfRule>
    <cfRule type="expression" dxfId="5068" priority="5943">
      <formula>I541&lt;85.5</formula>
    </cfRule>
    <cfRule type="expression" dxfId="5067" priority="5944">
      <formula>I541&gt;85.5</formula>
    </cfRule>
  </conditionalFormatting>
  <conditionalFormatting sqref="I541:I543 I545">
    <cfRule type="expression" dxfId="5066" priority="5914">
      <formula>I$540=""</formula>
    </cfRule>
  </conditionalFormatting>
  <conditionalFormatting sqref="I542">
    <cfRule type="expression" dxfId="5065" priority="5932">
      <formula>I542="**"</formula>
    </cfRule>
    <cfRule type="expression" dxfId="5064" priority="5933">
      <formula>I542=""</formula>
    </cfRule>
    <cfRule type="expression" dxfId="5063" priority="5934">
      <formula>I542&lt;44.5</formula>
    </cfRule>
    <cfRule type="expression" dxfId="5062" priority="5935">
      <formula>I542&lt;60.5</formula>
    </cfRule>
    <cfRule type="expression" dxfId="5061" priority="5936">
      <formula>I542&lt;85.5</formula>
    </cfRule>
    <cfRule type="expression" dxfId="5060" priority="5938">
      <formula>I542&gt;85.5</formula>
    </cfRule>
  </conditionalFormatting>
  <conditionalFormatting sqref="I543">
    <cfRule type="expression" dxfId="5059" priority="5926">
      <formula>I543="**"</formula>
    </cfRule>
    <cfRule type="expression" dxfId="5058" priority="5927">
      <formula>I543=""</formula>
    </cfRule>
    <cfRule type="expression" dxfId="5057" priority="5928">
      <formula>I543&lt;44.5</formula>
    </cfRule>
    <cfRule type="expression" dxfId="5056" priority="5929">
      <formula>I543&lt;60.5</formula>
    </cfRule>
    <cfRule type="expression" dxfId="5055" priority="5930">
      <formula>I543&lt;85.5</formula>
    </cfRule>
    <cfRule type="expression" dxfId="5054" priority="5931">
      <formula>I543&gt;85.5</formula>
    </cfRule>
  </conditionalFormatting>
  <conditionalFormatting sqref="I545">
    <cfRule type="expression" dxfId="5053" priority="5915">
      <formula>I545="**"</formula>
    </cfRule>
    <cfRule type="expression" dxfId="5052" priority="5916">
      <formula>I545=""</formula>
    </cfRule>
    <cfRule type="expression" dxfId="5051" priority="5917">
      <formula>I545&lt;44.5</formula>
    </cfRule>
    <cfRule type="expression" dxfId="5050" priority="5918">
      <formula>I545&lt;60.5</formula>
    </cfRule>
    <cfRule type="expression" dxfId="5049" priority="5919">
      <formula>I545&lt;85.5</formula>
    </cfRule>
    <cfRule type="expression" dxfId="5048" priority="5920">
      <formula>I545&gt;85.5</formula>
    </cfRule>
  </conditionalFormatting>
  <conditionalFormatting sqref="J541">
    <cfRule type="expression" dxfId="5047" priority="5908">
      <formula>J541="**"</formula>
    </cfRule>
    <cfRule type="expression" dxfId="5046" priority="5909">
      <formula>J541=""</formula>
    </cfRule>
    <cfRule type="expression" dxfId="5045" priority="5910">
      <formula>J541&lt;44.5</formula>
    </cfRule>
    <cfRule type="expression" dxfId="5044" priority="5911">
      <formula>J541&lt;60.5</formula>
    </cfRule>
    <cfRule type="expression" dxfId="5043" priority="5912">
      <formula>J541&lt;85.5</formula>
    </cfRule>
    <cfRule type="expression" dxfId="5042" priority="5913">
      <formula>J541&gt;85.5</formula>
    </cfRule>
  </conditionalFormatting>
  <conditionalFormatting sqref="J541:J543 J545">
    <cfRule type="expression" dxfId="5041" priority="5883">
      <formula>J$540=""</formula>
    </cfRule>
  </conditionalFormatting>
  <conditionalFormatting sqref="J542">
    <cfRule type="expression" dxfId="5040" priority="5901">
      <formula>J542="**"</formula>
    </cfRule>
    <cfRule type="expression" dxfId="5039" priority="5902">
      <formula>J542=""</formula>
    </cfRule>
    <cfRule type="expression" dxfId="5038" priority="5903">
      <formula>J542&lt;44.5</formula>
    </cfRule>
    <cfRule type="expression" dxfId="5037" priority="5904">
      <formula>J542&lt;60.5</formula>
    </cfRule>
    <cfRule type="expression" dxfId="5036" priority="5905">
      <formula>J542&lt;85.5</formula>
    </cfRule>
    <cfRule type="expression" dxfId="5035" priority="5907">
      <formula>J542&gt;85.5</formula>
    </cfRule>
  </conditionalFormatting>
  <conditionalFormatting sqref="J543">
    <cfRule type="expression" dxfId="5034" priority="5895">
      <formula>J543="**"</formula>
    </cfRule>
    <cfRule type="expression" dxfId="5033" priority="5896">
      <formula>J543=""</formula>
    </cfRule>
    <cfRule type="expression" dxfId="5032" priority="5897">
      <formula>J543&lt;44.5</formula>
    </cfRule>
    <cfRule type="expression" dxfId="5031" priority="5898">
      <formula>J543&lt;60.5</formula>
    </cfRule>
    <cfRule type="expression" dxfId="5030" priority="5899">
      <formula>J543&lt;85.5</formula>
    </cfRule>
    <cfRule type="expression" dxfId="5029" priority="5900">
      <formula>J543&gt;85.5</formula>
    </cfRule>
  </conditionalFormatting>
  <conditionalFormatting sqref="J545">
    <cfRule type="expression" dxfId="5028" priority="5884">
      <formula>J545="**"</formula>
    </cfRule>
    <cfRule type="expression" dxfId="5027" priority="5885">
      <formula>J545=""</formula>
    </cfRule>
    <cfRule type="expression" dxfId="5026" priority="5886">
      <formula>J545&lt;44.5</formula>
    </cfRule>
    <cfRule type="expression" dxfId="5025" priority="5887">
      <formula>J545&lt;60.5</formula>
    </cfRule>
    <cfRule type="expression" dxfId="5024" priority="5888">
      <formula>J545&lt;85.5</formula>
    </cfRule>
    <cfRule type="expression" dxfId="5023" priority="5889">
      <formula>J545&gt;85.5</formula>
    </cfRule>
  </conditionalFormatting>
  <conditionalFormatting sqref="K541">
    <cfRule type="expression" dxfId="5022" priority="5877">
      <formula>K541="**"</formula>
    </cfRule>
    <cfRule type="expression" dxfId="5021" priority="5878">
      <formula>K541=""</formula>
    </cfRule>
    <cfRule type="expression" dxfId="5020" priority="5879">
      <formula>K541&lt;44.5</formula>
    </cfRule>
    <cfRule type="expression" dxfId="5019" priority="5880">
      <formula>K541&lt;60.5</formula>
    </cfRule>
    <cfRule type="expression" dxfId="5018" priority="5881">
      <formula>K541&lt;85.5</formula>
    </cfRule>
    <cfRule type="expression" dxfId="5017" priority="5882">
      <formula>K541&gt;85.5</formula>
    </cfRule>
  </conditionalFormatting>
  <conditionalFormatting sqref="K541:K543 K545">
    <cfRule type="expression" dxfId="5016" priority="5852">
      <formula>K$540=""</formula>
    </cfRule>
  </conditionalFormatting>
  <conditionalFormatting sqref="K542">
    <cfRule type="expression" dxfId="5015" priority="5870">
      <formula>K542="**"</formula>
    </cfRule>
    <cfRule type="expression" dxfId="5014" priority="5871">
      <formula>K542=""</formula>
    </cfRule>
    <cfRule type="expression" dxfId="5013" priority="5872">
      <formula>K542&lt;44.5</formula>
    </cfRule>
    <cfRule type="expression" dxfId="5012" priority="5873">
      <formula>K542&lt;60.5</formula>
    </cfRule>
    <cfRule type="expression" dxfId="5011" priority="5874">
      <formula>K542&lt;85.5</formula>
    </cfRule>
    <cfRule type="expression" dxfId="5010" priority="5876">
      <formula>K542&gt;85.5</formula>
    </cfRule>
  </conditionalFormatting>
  <conditionalFormatting sqref="K543">
    <cfRule type="expression" dxfId="5009" priority="5864">
      <formula>K543="**"</formula>
    </cfRule>
    <cfRule type="expression" dxfId="5008" priority="5865">
      <formula>K543=""</formula>
    </cfRule>
    <cfRule type="expression" dxfId="5007" priority="5866">
      <formula>K543&lt;44.5</formula>
    </cfRule>
    <cfRule type="expression" dxfId="5006" priority="5867">
      <formula>K543&lt;60.5</formula>
    </cfRule>
    <cfRule type="expression" dxfId="5005" priority="5868">
      <formula>K543&lt;85.5</formula>
    </cfRule>
    <cfRule type="expression" dxfId="5004" priority="5869">
      <formula>K543&gt;85.5</formula>
    </cfRule>
  </conditionalFormatting>
  <conditionalFormatting sqref="K545">
    <cfRule type="expression" dxfId="5003" priority="5853">
      <formula>K545="**"</formula>
    </cfRule>
    <cfRule type="expression" dxfId="5002" priority="5854">
      <formula>K545=""</formula>
    </cfRule>
    <cfRule type="expression" dxfId="5001" priority="5855">
      <formula>K545&lt;44.5</formula>
    </cfRule>
    <cfRule type="expression" dxfId="5000" priority="5856">
      <formula>K545&lt;60.5</formula>
    </cfRule>
    <cfRule type="expression" dxfId="4999" priority="5857">
      <formula>K545&lt;85.5</formula>
    </cfRule>
    <cfRule type="expression" dxfId="4998" priority="5858">
      <formula>K545&gt;85.5</formula>
    </cfRule>
  </conditionalFormatting>
  <conditionalFormatting sqref="L541">
    <cfRule type="expression" dxfId="4997" priority="5846">
      <formula>L541="**"</formula>
    </cfRule>
    <cfRule type="expression" dxfId="4996" priority="5847">
      <formula>L541=""</formula>
    </cfRule>
    <cfRule type="expression" dxfId="4995" priority="5848">
      <formula>L541&lt;44.5</formula>
    </cfRule>
    <cfRule type="expression" dxfId="4994" priority="5849">
      <formula>L541&lt;60.5</formula>
    </cfRule>
    <cfRule type="expression" dxfId="4993" priority="5850">
      <formula>L541&lt;85.5</formula>
    </cfRule>
    <cfRule type="expression" dxfId="4992" priority="5851">
      <formula>L541&gt;85.5</formula>
    </cfRule>
  </conditionalFormatting>
  <conditionalFormatting sqref="L541:L545">
    <cfRule type="expression" dxfId="4991" priority="5821">
      <formula>L$540=""</formula>
    </cfRule>
  </conditionalFormatting>
  <conditionalFormatting sqref="L542">
    <cfRule type="expression" dxfId="4990" priority="5839">
      <formula>L542="**"</formula>
    </cfRule>
    <cfRule type="expression" dxfId="4989" priority="5840">
      <formula>L542=""</formula>
    </cfRule>
    <cfRule type="expression" dxfId="4988" priority="5841">
      <formula>L542&lt;44.5</formula>
    </cfRule>
    <cfRule type="expression" dxfId="4987" priority="5842">
      <formula>L542&lt;60.5</formula>
    </cfRule>
    <cfRule type="expression" dxfId="4986" priority="5843">
      <formula>L542&lt;85.5</formula>
    </cfRule>
    <cfRule type="expression" dxfId="4985" priority="5845">
      <formula>L542&gt;85.5</formula>
    </cfRule>
  </conditionalFormatting>
  <conditionalFormatting sqref="L543">
    <cfRule type="expression" dxfId="4984" priority="5833">
      <formula>L543="**"</formula>
    </cfRule>
    <cfRule type="expression" dxfId="4983" priority="5834">
      <formula>L543=""</formula>
    </cfRule>
    <cfRule type="expression" dxfId="4982" priority="5835">
      <formula>L543&lt;44.5</formula>
    </cfRule>
    <cfRule type="expression" dxfId="4981" priority="5836">
      <formula>L543&lt;60.5</formula>
    </cfRule>
    <cfRule type="expression" dxfId="4980" priority="5837">
      <formula>L543&lt;85.5</formula>
    </cfRule>
    <cfRule type="expression" dxfId="4979" priority="5838">
      <formula>L543&gt;85.5</formula>
    </cfRule>
  </conditionalFormatting>
  <conditionalFormatting sqref="L544">
    <cfRule type="expression" dxfId="4978" priority="5828">
      <formula>L544="**"</formula>
    </cfRule>
    <cfRule type="expression" dxfId="4977" priority="5829">
      <formula>L544=""</formula>
    </cfRule>
    <cfRule type="expression" dxfId="4976" priority="5830">
      <formula>L544&lt;44.5</formula>
    </cfRule>
    <cfRule type="expression" dxfId="4975" priority="5831">
      <formula>L544&lt;60.5</formula>
    </cfRule>
    <cfRule type="expression" dxfId="4974" priority="5832">
      <formula>L544&lt;85.5</formula>
    </cfRule>
    <cfRule type="expression" dxfId="4973" priority="5844">
      <formula>L544&gt;85.5</formula>
    </cfRule>
  </conditionalFormatting>
  <conditionalFormatting sqref="L545">
    <cfRule type="expression" dxfId="4972" priority="5822">
      <formula>L545="**"</formula>
    </cfRule>
    <cfRule type="expression" dxfId="4971" priority="5823">
      <formula>L545=""</formula>
    </cfRule>
    <cfRule type="expression" dxfId="4970" priority="5824">
      <formula>L545&lt;44.5</formula>
    </cfRule>
    <cfRule type="expression" dxfId="4969" priority="5825">
      <formula>L545&lt;60.5</formula>
    </cfRule>
    <cfRule type="expression" dxfId="4968" priority="5826">
      <formula>L545&lt;85.5</formula>
    </cfRule>
    <cfRule type="expression" dxfId="4967" priority="5827">
      <formula>L545&gt;85.5</formula>
    </cfRule>
  </conditionalFormatting>
  <conditionalFormatting sqref="C571">
    <cfRule type="expression" dxfId="4966" priority="5815">
      <formula>C571="**"</formula>
    </cfRule>
    <cfRule type="expression" dxfId="4965" priority="5816">
      <formula>C571=""</formula>
    </cfRule>
    <cfRule type="expression" dxfId="4964" priority="5817">
      <formula>C571&lt;44.5</formula>
    </cfRule>
    <cfRule type="expression" dxfId="4963" priority="5818">
      <formula>C571&lt;60.5</formula>
    </cfRule>
    <cfRule type="expression" dxfId="4962" priority="5819">
      <formula>C571&lt;85.5</formula>
    </cfRule>
    <cfRule type="expression" dxfId="4961" priority="5820">
      <formula>C571&gt;85.5</formula>
    </cfRule>
  </conditionalFormatting>
  <conditionalFormatting sqref="C571:C575">
    <cfRule type="expression" dxfId="4960" priority="5790">
      <formula>C$570=""</formula>
    </cfRule>
  </conditionalFormatting>
  <conditionalFormatting sqref="C572">
    <cfRule type="expression" dxfId="4959" priority="5808">
      <formula>C572="**"</formula>
    </cfRule>
    <cfRule type="expression" dxfId="4958" priority="5809">
      <formula>C572=""</formula>
    </cfRule>
    <cfRule type="expression" dxfId="4957" priority="5810">
      <formula>C572&lt;44.5</formula>
    </cfRule>
    <cfRule type="expression" dxfId="4956" priority="5811">
      <formula>C572&lt;60.5</formula>
    </cfRule>
    <cfRule type="expression" dxfId="4955" priority="5812">
      <formula>C572&lt;85.5</formula>
    </cfRule>
    <cfRule type="expression" dxfId="4954" priority="5814">
      <formula>C572&gt;85.5</formula>
    </cfRule>
  </conditionalFormatting>
  <conditionalFormatting sqref="C573">
    <cfRule type="expression" dxfId="4953" priority="5802">
      <formula>C573="**"</formula>
    </cfRule>
    <cfRule type="expression" dxfId="4952" priority="5803">
      <formula>C573=""</formula>
    </cfRule>
    <cfRule type="expression" dxfId="4951" priority="5804">
      <formula>C573&lt;44.5</formula>
    </cfRule>
    <cfRule type="expression" dxfId="4950" priority="5805">
      <formula>C573&lt;60.5</formula>
    </cfRule>
    <cfRule type="expression" dxfId="4949" priority="5806">
      <formula>C573&lt;85.5</formula>
    </cfRule>
    <cfRule type="expression" dxfId="4948" priority="5807">
      <formula>C573&gt;85.5</formula>
    </cfRule>
  </conditionalFormatting>
  <conditionalFormatting sqref="C574">
    <cfRule type="expression" dxfId="4947" priority="5797">
      <formula>C574="**"</formula>
    </cfRule>
    <cfRule type="expression" dxfId="4946" priority="5798">
      <formula>C574=""</formula>
    </cfRule>
    <cfRule type="expression" dxfId="4945" priority="5799">
      <formula>C574&lt;44.5</formula>
    </cfRule>
    <cfRule type="expression" dxfId="4944" priority="5800">
      <formula>C574&lt;60.5</formula>
    </cfRule>
    <cfRule type="expression" dxfId="4943" priority="5801">
      <formula>C574&lt;85.5</formula>
    </cfRule>
    <cfRule type="expression" dxfId="4942" priority="5813">
      <formula>C574&gt;85.5</formula>
    </cfRule>
  </conditionalFormatting>
  <conditionalFormatting sqref="C575">
    <cfRule type="expression" dxfId="4941" priority="5791">
      <formula>C575="**"</formula>
    </cfRule>
    <cfRule type="expression" dxfId="4940" priority="5792">
      <formula>C575=""</formula>
    </cfRule>
    <cfRule type="expression" dxfId="4939" priority="5793">
      <formula>C575&lt;44.5</formula>
    </cfRule>
    <cfRule type="expression" dxfId="4938" priority="5794">
      <formula>C575&lt;60.5</formula>
    </cfRule>
    <cfRule type="expression" dxfId="4937" priority="5795">
      <formula>C575&lt;85.5</formula>
    </cfRule>
    <cfRule type="expression" dxfId="4936" priority="5796">
      <formula>C575&gt;85.5</formula>
    </cfRule>
  </conditionalFormatting>
  <conditionalFormatting sqref="D571">
    <cfRule type="expression" dxfId="4935" priority="5784">
      <formula>D571="**"</formula>
    </cfRule>
    <cfRule type="expression" dxfId="4934" priority="5785">
      <formula>D571=""</formula>
    </cfRule>
    <cfRule type="expression" dxfId="4933" priority="5786">
      <formula>D571&lt;44.5</formula>
    </cfRule>
    <cfRule type="expression" dxfId="4932" priority="5787">
      <formula>D571&lt;60.5</formula>
    </cfRule>
    <cfRule type="expression" dxfId="4931" priority="5788">
      <formula>D571&lt;85.5</formula>
    </cfRule>
    <cfRule type="expression" dxfId="4930" priority="5789">
      <formula>D571&gt;85.5</formula>
    </cfRule>
  </conditionalFormatting>
  <conditionalFormatting sqref="D571:D573 D575">
    <cfRule type="expression" dxfId="4929" priority="5759">
      <formula>D$570=""</formula>
    </cfRule>
  </conditionalFormatting>
  <conditionalFormatting sqref="D572">
    <cfRule type="expression" dxfId="4928" priority="5777">
      <formula>D572="**"</formula>
    </cfRule>
    <cfRule type="expression" dxfId="4927" priority="5778">
      <formula>D572=""</formula>
    </cfRule>
    <cfRule type="expression" dxfId="4926" priority="5779">
      <formula>D572&lt;44.5</formula>
    </cfRule>
    <cfRule type="expression" dxfId="4925" priority="5780">
      <formula>D572&lt;60.5</formula>
    </cfRule>
    <cfRule type="expression" dxfId="4924" priority="5781">
      <formula>D572&lt;85.5</formula>
    </cfRule>
    <cfRule type="expression" dxfId="4923" priority="5783">
      <formula>D572&gt;85.5</formula>
    </cfRule>
  </conditionalFormatting>
  <conditionalFormatting sqref="D573">
    <cfRule type="expression" dxfId="4922" priority="5771">
      <formula>D573="**"</formula>
    </cfRule>
    <cfRule type="expression" dxfId="4921" priority="5772">
      <formula>D573=""</formula>
    </cfRule>
    <cfRule type="expression" dxfId="4920" priority="5773">
      <formula>D573&lt;44.5</formula>
    </cfRule>
    <cfRule type="expression" dxfId="4919" priority="5774">
      <formula>D573&lt;60.5</formula>
    </cfRule>
    <cfRule type="expression" dxfId="4918" priority="5775">
      <formula>D573&lt;85.5</formula>
    </cfRule>
    <cfRule type="expression" dxfId="4917" priority="5776">
      <formula>D573&gt;85.5</formula>
    </cfRule>
  </conditionalFormatting>
  <conditionalFormatting sqref="D575">
    <cfRule type="expression" dxfId="4916" priority="5760">
      <formula>D575="**"</formula>
    </cfRule>
    <cfRule type="expression" dxfId="4915" priority="5761">
      <formula>D575=""</formula>
    </cfRule>
    <cfRule type="expression" dxfId="4914" priority="5762">
      <formula>D575&lt;44.5</formula>
    </cfRule>
    <cfRule type="expression" dxfId="4913" priority="5763">
      <formula>D575&lt;60.5</formula>
    </cfRule>
    <cfRule type="expression" dxfId="4912" priority="5764">
      <formula>D575&lt;85.5</formula>
    </cfRule>
    <cfRule type="expression" dxfId="4911" priority="5765">
      <formula>D575&gt;85.5</formula>
    </cfRule>
  </conditionalFormatting>
  <conditionalFormatting sqref="E571">
    <cfRule type="expression" dxfId="4910" priority="5753">
      <formula>E571="**"</formula>
    </cfRule>
    <cfRule type="expression" dxfId="4909" priority="5754">
      <formula>E571=""</formula>
    </cfRule>
    <cfRule type="expression" dxfId="4908" priority="5755">
      <formula>E571&lt;44.5</formula>
    </cfRule>
    <cfRule type="expression" dxfId="4907" priority="5756">
      <formula>E571&lt;60.5</formula>
    </cfRule>
    <cfRule type="expression" dxfId="4906" priority="5757">
      <formula>E571&lt;85.5</formula>
    </cfRule>
    <cfRule type="expression" dxfId="4905" priority="5758">
      <formula>E571&gt;85.5</formula>
    </cfRule>
  </conditionalFormatting>
  <conditionalFormatting sqref="E571:E573 E575">
    <cfRule type="expression" dxfId="4904" priority="5728">
      <formula>E$570=""</formula>
    </cfRule>
  </conditionalFormatting>
  <conditionalFormatting sqref="E572">
    <cfRule type="expression" dxfId="4903" priority="5746">
      <formula>E572="**"</formula>
    </cfRule>
    <cfRule type="expression" dxfId="4902" priority="5747">
      <formula>E572=""</formula>
    </cfRule>
    <cfRule type="expression" dxfId="4901" priority="5748">
      <formula>E572&lt;44.5</formula>
    </cfRule>
    <cfRule type="expression" dxfId="4900" priority="5749">
      <formula>E572&lt;60.5</formula>
    </cfRule>
    <cfRule type="expression" dxfId="4899" priority="5750">
      <formula>E572&lt;85.5</formula>
    </cfRule>
    <cfRule type="expression" dxfId="4898" priority="5752">
      <formula>E572&gt;85.5</formula>
    </cfRule>
  </conditionalFormatting>
  <conditionalFormatting sqref="E573">
    <cfRule type="expression" dxfId="4897" priority="5740">
      <formula>E573="**"</formula>
    </cfRule>
    <cfRule type="expression" dxfId="4896" priority="5741">
      <formula>E573=""</formula>
    </cfRule>
    <cfRule type="expression" dxfId="4895" priority="5742">
      <formula>E573&lt;44.5</formula>
    </cfRule>
    <cfRule type="expression" dxfId="4894" priority="5743">
      <formula>E573&lt;60.5</formula>
    </cfRule>
    <cfRule type="expression" dxfId="4893" priority="5744">
      <formula>E573&lt;85.5</formula>
    </cfRule>
    <cfRule type="expression" dxfId="4892" priority="5745">
      <formula>E573&gt;85.5</formula>
    </cfRule>
  </conditionalFormatting>
  <conditionalFormatting sqref="E575">
    <cfRule type="expression" dxfId="4891" priority="5729">
      <formula>E575="**"</formula>
    </cfRule>
    <cfRule type="expression" dxfId="4890" priority="5730">
      <formula>E575=""</formula>
    </cfRule>
    <cfRule type="expression" dxfId="4889" priority="5731">
      <formula>E575&lt;44.5</formula>
    </cfRule>
    <cfRule type="expression" dxfId="4888" priority="5732">
      <formula>E575&lt;60.5</formula>
    </cfRule>
    <cfRule type="expression" dxfId="4887" priority="5733">
      <formula>E575&lt;85.5</formula>
    </cfRule>
    <cfRule type="expression" dxfId="4886" priority="5734">
      <formula>E575&gt;85.5</formula>
    </cfRule>
  </conditionalFormatting>
  <conditionalFormatting sqref="F571">
    <cfRule type="expression" dxfId="4885" priority="5722">
      <formula>F571="**"</formula>
    </cfRule>
    <cfRule type="expression" dxfId="4884" priority="5723">
      <formula>F571=""</formula>
    </cfRule>
    <cfRule type="expression" dxfId="4883" priority="5724">
      <formula>F571&lt;44.5</formula>
    </cfRule>
    <cfRule type="expression" dxfId="4882" priority="5725">
      <formula>F571&lt;60.5</formula>
    </cfRule>
    <cfRule type="expression" dxfId="4881" priority="5726">
      <formula>F571&lt;85.5</formula>
    </cfRule>
    <cfRule type="expression" dxfId="4880" priority="5727">
      <formula>F571&gt;85.5</formula>
    </cfRule>
  </conditionalFormatting>
  <conditionalFormatting sqref="F571:F573 F575">
    <cfRule type="expression" dxfId="4879" priority="5697">
      <formula>F$570=""</formula>
    </cfRule>
  </conditionalFormatting>
  <conditionalFormatting sqref="F572">
    <cfRule type="expression" dxfId="4878" priority="5715">
      <formula>F572="**"</formula>
    </cfRule>
    <cfRule type="expression" dxfId="4877" priority="5716">
      <formula>F572=""</formula>
    </cfRule>
    <cfRule type="expression" dxfId="4876" priority="5717">
      <formula>F572&lt;44.5</formula>
    </cfRule>
    <cfRule type="expression" dxfId="4875" priority="5718">
      <formula>F572&lt;60.5</formula>
    </cfRule>
    <cfRule type="expression" dxfId="4874" priority="5719">
      <formula>F572&lt;85.5</formula>
    </cfRule>
    <cfRule type="expression" dxfId="4873" priority="5721">
      <formula>F572&gt;85.5</formula>
    </cfRule>
  </conditionalFormatting>
  <conditionalFormatting sqref="F573">
    <cfRule type="expression" dxfId="4872" priority="5709">
      <formula>F573="**"</formula>
    </cfRule>
    <cfRule type="expression" dxfId="4871" priority="5710">
      <formula>F573=""</formula>
    </cfRule>
    <cfRule type="expression" dxfId="4870" priority="5711">
      <formula>F573&lt;44.5</formula>
    </cfRule>
    <cfRule type="expression" dxfId="4869" priority="5712">
      <formula>F573&lt;60.5</formula>
    </cfRule>
    <cfRule type="expression" dxfId="4868" priority="5713">
      <formula>F573&lt;85.5</formula>
    </cfRule>
    <cfRule type="expression" dxfId="4867" priority="5714">
      <formula>F573&gt;85.5</formula>
    </cfRule>
  </conditionalFormatting>
  <conditionalFormatting sqref="F575">
    <cfRule type="expression" dxfId="4866" priority="5698">
      <formula>F575="**"</formula>
    </cfRule>
    <cfRule type="expression" dxfId="4865" priority="5699">
      <formula>F575=""</formula>
    </cfRule>
    <cfRule type="expression" dxfId="4864" priority="5700">
      <formula>F575&lt;44.5</formula>
    </cfRule>
    <cfRule type="expression" dxfId="4863" priority="5701">
      <formula>F575&lt;60.5</formula>
    </cfRule>
    <cfRule type="expression" dxfId="4862" priority="5702">
      <formula>F575&lt;85.5</formula>
    </cfRule>
    <cfRule type="expression" dxfId="4861" priority="5703">
      <formula>F575&gt;85.5</formula>
    </cfRule>
  </conditionalFormatting>
  <conditionalFormatting sqref="G571">
    <cfRule type="expression" dxfId="4860" priority="5691">
      <formula>G571="**"</formula>
    </cfRule>
    <cfRule type="expression" dxfId="4859" priority="5692">
      <formula>G571=""</formula>
    </cfRule>
    <cfRule type="expression" dxfId="4858" priority="5693">
      <formula>G571&lt;44.5</formula>
    </cfRule>
    <cfRule type="expression" dxfId="4857" priority="5694">
      <formula>G571&lt;60.5</formula>
    </cfRule>
    <cfRule type="expression" dxfId="4856" priority="5695">
      <formula>G571&lt;85.5</formula>
    </cfRule>
    <cfRule type="expression" dxfId="4855" priority="5696">
      <formula>G571&gt;85.5</formula>
    </cfRule>
  </conditionalFormatting>
  <conditionalFormatting sqref="G571:G573 G575">
    <cfRule type="expression" dxfId="4854" priority="5666">
      <formula>G$570=""</formula>
    </cfRule>
  </conditionalFormatting>
  <conditionalFormatting sqref="G572">
    <cfRule type="expression" dxfId="4853" priority="5684">
      <formula>G572="**"</formula>
    </cfRule>
    <cfRule type="expression" dxfId="4852" priority="5685">
      <formula>G572=""</formula>
    </cfRule>
    <cfRule type="expression" dxfId="4851" priority="5686">
      <formula>G572&lt;44.5</formula>
    </cfRule>
    <cfRule type="expression" dxfId="4850" priority="5687">
      <formula>G572&lt;60.5</formula>
    </cfRule>
    <cfRule type="expression" dxfId="4849" priority="5688">
      <formula>G572&lt;85.5</formula>
    </cfRule>
    <cfRule type="expression" dxfId="4848" priority="5690">
      <formula>G572&gt;85.5</formula>
    </cfRule>
  </conditionalFormatting>
  <conditionalFormatting sqref="G573">
    <cfRule type="expression" dxfId="4847" priority="5678">
      <formula>G573="**"</formula>
    </cfRule>
    <cfRule type="expression" dxfId="4846" priority="5679">
      <formula>G573=""</formula>
    </cfRule>
    <cfRule type="expression" dxfId="4845" priority="5680">
      <formula>G573&lt;44.5</formula>
    </cfRule>
    <cfRule type="expression" dxfId="4844" priority="5681">
      <formula>G573&lt;60.5</formula>
    </cfRule>
    <cfRule type="expression" dxfId="4843" priority="5682">
      <formula>G573&lt;85.5</formula>
    </cfRule>
    <cfRule type="expression" dxfId="4842" priority="5683">
      <formula>G573&gt;85.5</formula>
    </cfRule>
  </conditionalFormatting>
  <conditionalFormatting sqref="G575">
    <cfRule type="expression" dxfId="4841" priority="5667">
      <formula>G575="**"</formula>
    </cfRule>
    <cfRule type="expression" dxfId="4840" priority="5668">
      <formula>G575=""</formula>
    </cfRule>
    <cfRule type="expression" dxfId="4839" priority="5669">
      <formula>G575&lt;44.5</formula>
    </cfRule>
    <cfRule type="expression" dxfId="4838" priority="5670">
      <formula>G575&lt;60.5</formula>
    </cfRule>
    <cfRule type="expression" dxfId="4837" priority="5671">
      <formula>G575&lt;85.5</formula>
    </cfRule>
    <cfRule type="expression" dxfId="4836" priority="5672">
      <formula>G575&gt;85.5</formula>
    </cfRule>
  </conditionalFormatting>
  <conditionalFormatting sqref="H571">
    <cfRule type="expression" dxfId="4835" priority="5660">
      <formula>H571="**"</formula>
    </cfRule>
    <cfRule type="expression" dxfId="4834" priority="5661">
      <formula>H571=""</formula>
    </cfRule>
    <cfRule type="expression" dxfId="4833" priority="5662">
      <formula>H571&lt;44.5</formula>
    </cfRule>
    <cfRule type="expression" dxfId="4832" priority="5663">
      <formula>H571&lt;60.5</formula>
    </cfRule>
    <cfRule type="expression" dxfId="4831" priority="5664">
      <formula>H571&lt;85.5</formula>
    </cfRule>
    <cfRule type="expression" dxfId="4830" priority="5665">
      <formula>H571&gt;85.5</formula>
    </cfRule>
  </conditionalFormatting>
  <conditionalFormatting sqref="H571:H573 H575">
    <cfRule type="expression" dxfId="4829" priority="5635">
      <formula>H$570=""</formula>
    </cfRule>
  </conditionalFormatting>
  <conditionalFormatting sqref="H572">
    <cfRule type="expression" dxfId="4828" priority="5653">
      <formula>H572="**"</formula>
    </cfRule>
    <cfRule type="expression" dxfId="4827" priority="5654">
      <formula>H572=""</formula>
    </cfRule>
    <cfRule type="expression" dxfId="4826" priority="5655">
      <formula>H572&lt;44.5</formula>
    </cfRule>
    <cfRule type="expression" dxfId="4825" priority="5656">
      <formula>H572&lt;60.5</formula>
    </cfRule>
    <cfRule type="expression" dxfId="4824" priority="5657">
      <formula>H572&lt;85.5</formula>
    </cfRule>
    <cfRule type="expression" dxfId="4823" priority="5659">
      <formula>H572&gt;85.5</formula>
    </cfRule>
  </conditionalFormatting>
  <conditionalFormatting sqref="H573">
    <cfRule type="expression" dxfId="4822" priority="5647">
      <formula>H573="**"</formula>
    </cfRule>
    <cfRule type="expression" dxfId="4821" priority="5648">
      <formula>H573=""</formula>
    </cfRule>
    <cfRule type="expression" dxfId="4820" priority="5649">
      <formula>H573&lt;44.5</formula>
    </cfRule>
    <cfRule type="expression" dxfId="4819" priority="5650">
      <formula>H573&lt;60.5</formula>
    </cfRule>
    <cfRule type="expression" dxfId="4818" priority="5651">
      <formula>H573&lt;85.5</formula>
    </cfRule>
    <cfRule type="expression" dxfId="4817" priority="5652">
      <formula>H573&gt;85.5</formula>
    </cfRule>
  </conditionalFormatting>
  <conditionalFormatting sqref="H575">
    <cfRule type="expression" dxfId="4816" priority="5636">
      <formula>H575="**"</formula>
    </cfRule>
    <cfRule type="expression" dxfId="4815" priority="5637">
      <formula>H575=""</formula>
    </cfRule>
    <cfRule type="expression" dxfId="4814" priority="5638">
      <formula>H575&lt;44.5</formula>
    </cfRule>
    <cfRule type="expression" dxfId="4813" priority="5639">
      <formula>H575&lt;60.5</formula>
    </cfRule>
    <cfRule type="expression" dxfId="4812" priority="5640">
      <formula>H575&lt;85.5</formula>
    </cfRule>
    <cfRule type="expression" dxfId="4811" priority="5641">
      <formula>H575&gt;85.5</formula>
    </cfRule>
  </conditionalFormatting>
  <conditionalFormatting sqref="I571">
    <cfRule type="expression" dxfId="4810" priority="5629">
      <formula>I571="**"</formula>
    </cfRule>
    <cfRule type="expression" dxfId="4809" priority="5630">
      <formula>I571=""</formula>
    </cfRule>
    <cfRule type="expression" dxfId="4808" priority="5631">
      <formula>I571&lt;44.5</formula>
    </cfRule>
    <cfRule type="expression" dxfId="4807" priority="5632">
      <formula>I571&lt;60.5</formula>
    </cfRule>
    <cfRule type="expression" dxfId="4806" priority="5633">
      <formula>I571&lt;85.5</formula>
    </cfRule>
    <cfRule type="expression" dxfId="4805" priority="5634">
      <formula>I571&gt;85.5</formula>
    </cfRule>
  </conditionalFormatting>
  <conditionalFormatting sqref="I571:I573 I575">
    <cfRule type="expression" dxfId="4804" priority="5604">
      <formula>I$570=""</formula>
    </cfRule>
  </conditionalFormatting>
  <conditionalFormatting sqref="I572">
    <cfRule type="expression" dxfId="4803" priority="5622">
      <formula>I572="**"</formula>
    </cfRule>
    <cfRule type="expression" dxfId="4802" priority="5623">
      <formula>I572=""</formula>
    </cfRule>
    <cfRule type="expression" dxfId="4801" priority="5624">
      <formula>I572&lt;44.5</formula>
    </cfRule>
    <cfRule type="expression" dxfId="4800" priority="5625">
      <formula>I572&lt;60.5</formula>
    </cfRule>
    <cfRule type="expression" dxfId="4799" priority="5626">
      <formula>I572&lt;85.5</formula>
    </cfRule>
    <cfRule type="expression" dxfId="4798" priority="5628">
      <formula>I572&gt;85.5</formula>
    </cfRule>
  </conditionalFormatting>
  <conditionalFormatting sqref="I573">
    <cfRule type="expression" dxfId="4797" priority="5616">
      <formula>I573="**"</formula>
    </cfRule>
    <cfRule type="expression" dxfId="4796" priority="5617">
      <formula>I573=""</formula>
    </cfRule>
    <cfRule type="expression" dxfId="4795" priority="5618">
      <formula>I573&lt;44.5</formula>
    </cfRule>
    <cfRule type="expression" dxfId="4794" priority="5619">
      <formula>I573&lt;60.5</formula>
    </cfRule>
    <cfRule type="expression" dxfId="4793" priority="5620">
      <formula>I573&lt;85.5</formula>
    </cfRule>
    <cfRule type="expression" dxfId="4792" priority="5621">
      <formula>I573&gt;85.5</formula>
    </cfRule>
  </conditionalFormatting>
  <conditionalFormatting sqref="I575">
    <cfRule type="expression" dxfId="4791" priority="5605">
      <formula>I575="**"</formula>
    </cfRule>
    <cfRule type="expression" dxfId="4790" priority="5606">
      <formula>I575=""</formula>
    </cfRule>
    <cfRule type="expression" dxfId="4789" priority="5607">
      <formula>I575&lt;44.5</formula>
    </cfRule>
    <cfRule type="expression" dxfId="4788" priority="5608">
      <formula>I575&lt;60.5</formula>
    </cfRule>
    <cfRule type="expression" dxfId="4787" priority="5609">
      <formula>I575&lt;85.5</formula>
    </cfRule>
    <cfRule type="expression" dxfId="4786" priority="5610">
      <formula>I575&gt;85.5</formula>
    </cfRule>
  </conditionalFormatting>
  <conditionalFormatting sqref="J571">
    <cfRule type="expression" dxfId="4785" priority="5598">
      <formula>J571="**"</formula>
    </cfRule>
    <cfRule type="expression" dxfId="4784" priority="5599">
      <formula>J571=""</formula>
    </cfRule>
    <cfRule type="expression" dxfId="4783" priority="5600">
      <formula>J571&lt;44.5</formula>
    </cfRule>
    <cfRule type="expression" dxfId="4782" priority="5601">
      <formula>J571&lt;60.5</formula>
    </cfRule>
    <cfRule type="expression" dxfId="4781" priority="5602">
      <formula>J571&lt;85.5</formula>
    </cfRule>
    <cfRule type="expression" dxfId="4780" priority="5603">
      <formula>J571&gt;85.5</formula>
    </cfRule>
  </conditionalFormatting>
  <conditionalFormatting sqref="J571:J573 J575">
    <cfRule type="expression" dxfId="4779" priority="5573">
      <formula>J$570=""</formula>
    </cfRule>
  </conditionalFormatting>
  <conditionalFormatting sqref="J572">
    <cfRule type="expression" dxfId="4778" priority="5591">
      <formula>J572="**"</formula>
    </cfRule>
    <cfRule type="expression" dxfId="4777" priority="5592">
      <formula>J572=""</formula>
    </cfRule>
    <cfRule type="expression" dxfId="4776" priority="5593">
      <formula>J572&lt;44.5</formula>
    </cfRule>
    <cfRule type="expression" dxfId="4775" priority="5594">
      <formula>J572&lt;60.5</formula>
    </cfRule>
    <cfRule type="expression" dxfId="4774" priority="5595">
      <formula>J572&lt;85.5</formula>
    </cfRule>
    <cfRule type="expression" dxfId="4773" priority="5597">
      <formula>J572&gt;85.5</formula>
    </cfRule>
  </conditionalFormatting>
  <conditionalFormatting sqref="J573">
    <cfRule type="expression" dxfId="4772" priority="5585">
      <formula>J573="**"</formula>
    </cfRule>
    <cfRule type="expression" dxfId="4771" priority="5586">
      <formula>J573=""</formula>
    </cfRule>
    <cfRule type="expression" dxfId="4770" priority="5587">
      <formula>J573&lt;44.5</formula>
    </cfRule>
    <cfRule type="expression" dxfId="4769" priority="5588">
      <formula>J573&lt;60.5</formula>
    </cfRule>
    <cfRule type="expression" dxfId="4768" priority="5589">
      <formula>J573&lt;85.5</formula>
    </cfRule>
    <cfRule type="expression" dxfId="4767" priority="5590">
      <formula>J573&gt;85.5</formula>
    </cfRule>
  </conditionalFormatting>
  <conditionalFormatting sqref="J575">
    <cfRule type="expression" dxfId="4766" priority="5574">
      <formula>J575="**"</formula>
    </cfRule>
    <cfRule type="expression" dxfId="4765" priority="5575">
      <formula>J575=""</formula>
    </cfRule>
    <cfRule type="expression" dxfId="4764" priority="5576">
      <formula>J575&lt;44.5</formula>
    </cfRule>
    <cfRule type="expression" dxfId="4763" priority="5577">
      <formula>J575&lt;60.5</formula>
    </cfRule>
    <cfRule type="expression" dxfId="4762" priority="5578">
      <formula>J575&lt;85.5</formula>
    </cfRule>
    <cfRule type="expression" dxfId="4761" priority="5579">
      <formula>J575&gt;85.5</formula>
    </cfRule>
  </conditionalFormatting>
  <conditionalFormatting sqref="K571">
    <cfRule type="expression" dxfId="4760" priority="5567">
      <formula>K571="**"</formula>
    </cfRule>
    <cfRule type="expression" dxfId="4759" priority="5568">
      <formula>K571=""</formula>
    </cfRule>
    <cfRule type="expression" dxfId="4758" priority="5569">
      <formula>K571&lt;44.5</formula>
    </cfRule>
    <cfRule type="expression" dxfId="4757" priority="5570">
      <formula>K571&lt;60.5</formula>
    </cfRule>
    <cfRule type="expression" dxfId="4756" priority="5571">
      <formula>K571&lt;85.5</formula>
    </cfRule>
    <cfRule type="expression" dxfId="4755" priority="5572">
      <formula>K571&gt;85.5</formula>
    </cfRule>
  </conditionalFormatting>
  <conditionalFormatting sqref="K571:K573 K575">
    <cfRule type="expression" dxfId="4754" priority="5542">
      <formula>K$570=""</formula>
    </cfRule>
  </conditionalFormatting>
  <conditionalFormatting sqref="K572">
    <cfRule type="expression" dxfId="4753" priority="5560">
      <formula>K572="**"</formula>
    </cfRule>
    <cfRule type="expression" dxfId="4752" priority="5561">
      <formula>K572=""</formula>
    </cfRule>
    <cfRule type="expression" dxfId="4751" priority="5562">
      <formula>K572&lt;44.5</formula>
    </cfRule>
    <cfRule type="expression" dxfId="4750" priority="5563">
      <formula>K572&lt;60.5</formula>
    </cfRule>
    <cfRule type="expression" dxfId="4749" priority="5564">
      <formula>K572&lt;85.5</formula>
    </cfRule>
    <cfRule type="expression" dxfId="4748" priority="5566">
      <formula>K572&gt;85.5</formula>
    </cfRule>
  </conditionalFormatting>
  <conditionalFormatting sqref="K573">
    <cfRule type="expression" dxfId="4747" priority="5554">
      <formula>K573="**"</formula>
    </cfRule>
    <cfRule type="expression" dxfId="4746" priority="5555">
      <formula>K573=""</formula>
    </cfRule>
    <cfRule type="expression" dxfId="4745" priority="5556">
      <formula>K573&lt;44.5</formula>
    </cfRule>
    <cfRule type="expression" dxfId="4744" priority="5557">
      <formula>K573&lt;60.5</formula>
    </cfRule>
    <cfRule type="expression" dxfId="4743" priority="5558">
      <formula>K573&lt;85.5</formula>
    </cfRule>
    <cfRule type="expression" dxfId="4742" priority="5559">
      <formula>K573&gt;85.5</formula>
    </cfRule>
  </conditionalFormatting>
  <conditionalFormatting sqref="K575">
    <cfRule type="expression" dxfId="4741" priority="5543">
      <formula>K575="**"</formula>
    </cfRule>
    <cfRule type="expression" dxfId="4740" priority="5544">
      <formula>K575=""</formula>
    </cfRule>
    <cfRule type="expression" dxfId="4739" priority="5545">
      <formula>K575&lt;44.5</formula>
    </cfRule>
    <cfRule type="expression" dxfId="4738" priority="5546">
      <formula>K575&lt;60.5</formula>
    </cfRule>
    <cfRule type="expression" dxfId="4737" priority="5547">
      <formula>K575&lt;85.5</formula>
    </cfRule>
    <cfRule type="expression" dxfId="4736" priority="5548">
      <formula>K575&gt;85.5</formula>
    </cfRule>
  </conditionalFormatting>
  <conditionalFormatting sqref="L571">
    <cfRule type="expression" dxfId="4735" priority="5536">
      <formula>L571="**"</formula>
    </cfRule>
    <cfRule type="expression" dxfId="4734" priority="5537">
      <formula>L571=""</formula>
    </cfRule>
    <cfRule type="expression" dxfId="4733" priority="5538">
      <formula>L571&lt;44.5</formula>
    </cfRule>
    <cfRule type="expression" dxfId="4732" priority="5539">
      <formula>L571&lt;60.5</formula>
    </cfRule>
    <cfRule type="expression" dxfId="4731" priority="5540">
      <formula>L571&lt;85.5</formula>
    </cfRule>
    <cfRule type="expression" dxfId="4730" priority="5541">
      <formula>L571&gt;85.5</formula>
    </cfRule>
  </conditionalFormatting>
  <conditionalFormatting sqref="L571:L573 L575">
    <cfRule type="expression" dxfId="4729" priority="5511">
      <formula>L$570=""</formula>
    </cfRule>
  </conditionalFormatting>
  <conditionalFormatting sqref="L572">
    <cfRule type="expression" dxfId="4728" priority="5529">
      <formula>L572="**"</formula>
    </cfRule>
    <cfRule type="expression" dxfId="4727" priority="5530">
      <formula>L572=""</formula>
    </cfRule>
    <cfRule type="expression" dxfId="4726" priority="5531">
      <formula>L572&lt;44.5</formula>
    </cfRule>
    <cfRule type="expression" dxfId="4725" priority="5532">
      <formula>L572&lt;60.5</formula>
    </cfRule>
    <cfRule type="expression" dxfId="4724" priority="5533">
      <formula>L572&lt;85.5</formula>
    </cfRule>
    <cfRule type="expression" dxfId="4723" priority="5535">
      <formula>L572&gt;85.5</formula>
    </cfRule>
  </conditionalFormatting>
  <conditionalFormatting sqref="L573">
    <cfRule type="expression" dxfId="4722" priority="5523">
      <formula>L573="**"</formula>
    </cfRule>
    <cfRule type="expression" dxfId="4721" priority="5524">
      <formula>L573=""</formula>
    </cfRule>
    <cfRule type="expression" dxfId="4720" priority="5525">
      <formula>L573&lt;44.5</formula>
    </cfRule>
    <cfRule type="expression" dxfId="4719" priority="5526">
      <formula>L573&lt;60.5</formula>
    </cfRule>
    <cfRule type="expression" dxfId="4718" priority="5527">
      <formula>L573&lt;85.5</formula>
    </cfRule>
    <cfRule type="expression" dxfId="4717" priority="5528">
      <formula>L573&gt;85.5</formula>
    </cfRule>
  </conditionalFormatting>
  <conditionalFormatting sqref="L575">
    <cfRule type="expression" dxfId="4716" priority="5512">
      <formula>L575="**"</formula>
    </cfRule>
    <cfRule type="expression" dxfId="4715" priority="5513">
      <formula>L575=""</formula>
    </cfRule>
    <cfRule type="expression" dxfId="4714" priority="5514">
      <formula>L575&lt;44.5</formula>
    </cfRule>
    <cfRule type="expression" dxfId="4713" priority="5515">
      <formula>L575&lt;60.5</formula>
    </cfRule>
    <cfRule type="expression" dxfId="4712" priority="5516">
      <formula>L575&lt;85.5</formula>
    </cfRule>
    <cfRule type="expression" dxfId="4711" priority="5517">
      <formula>L575&gt;85.5</formula>
    </cfRule>
  </conditionalFormatting>
  <conditionalFormatting sqref="C601">
    <cfRule type="expression" dxfId="4710" priority="5505">
      <formula>C601="**"</formula>
    </cfRule>
    <cfRule type="expression" dxfId="4709" priority="5506">
      <formula>C601=""</formula>
    </cfRule>
    <cfRule type="expression" dxfId="4708" priority="5507">
      <formula>C601&lt;44.5</formula>
    </cfRule>
    <cfRule type="expression" dxfId="4707" priority="5508">
      <formula>C601&lt;60.5</formula>
    </cfRule>
    <cfRule type="expression" dxfId="4706" priority="5509">
      <formula>C601&lt;85.5</formula>
    </cfRule>
    <cfRule type="expression" dxfId="4705" priority="5510">
      <formula>C601&gt;85.5</formula>
    </cfRule>
  </conditionalFormatting>
  <conditionalFormatting sqref="C601:C605">
    <cfRule type="expression" dxfId="4704" priority="5480">
      <formula>C$600=""</formula>
    </cfRule>
  </conditionalFormatting>
  <conditionalFormatting sqref="C602">
    <cfRule type="expression" dxfId="4703" priority="5498">
      <formula>C602="**"</formula>
    </cfRule>
    <cfRule type="expression" dxfId="4702" priority="5499">
      <formula>C602=""</formula>
    </cfRule>
    <cfRule type="expression" dxfId="4701" priority="5500">
      <formula>C602&lt;44.5</formula>
    </cfRule>
    <cfRule type="expression" dxfId="4700" priority="5501">
      <formula>C602&lt;60.5</formula>
    </cfRule>
    <cfRule type="expression" dxfId="4699" priority="5502">
      <formula>C602&lt;85.5</formula>
    </cfRule>
    <cfRule type="expression" dxfId="4698" priority="5504">
      <formula>C602&gt;85.5</formula>
    </cfRule>
  </conditionalFormatting>
  <conditionalFormatting sqref="C603">
    <cfRule type="expression" dxfId="4697" priority="5492">
      <formula>C603="**"</formula>
    </cfRule>
    <cfRule type="expression" dxfId="4696" priority="5493">
      <formula>C603=""</formula>
    </cfRule>
    <cfRule type="expression" dxfId="4695" priority="5494">
      <formula>C603&lt;44.5</formula>
    </cfRule>
    <cfRule type="expression" dxfId="4694" priority="5495">
      <formula>C603&lt;60.5</formula>
    </cfRule>
    <cfRule type="expression" dxfId="4693" priority="5496">
      <formula>C603&lt;85.5</formula>
    </cfRule>
    <cfRule type="expression" dxfId="4692" priority="5497">
      <formula>C603&gt;85.5</formula>
    </cfRule>
  </conditionalFormatting>
  <conditionalFormatting sqref="C604">
    <cfRule type="expression" dxfId="4691" priority="5487">
      <formula>C604="**"</formula>
    </cfRule>
    <cfRule type="expression" dxfId="4690" priority="5488">
      <formula>C604=""</formula>
    </cfRule>
    <cfRule type="expression" dxfId="4689" priority="5489">
      <formula>C604&lt;44.5</formula>
    </cfRule>
    <cfRule type="expression" dxfId="4688" priority="5490">
      <formula>C604&lt;60.5</formula>
    </cfRule>
    <cfRule type="expression" dxfId="4687" priority="5491">
      <formula>C604&lt;85.5</formula>
    </cfRule>
    <cfRule type="expression" dxfId="4686" priority="5503">
      <formula>C604&gt;85.5</formula>
    </cfRule>
  </conditionalFormatting>
  <conditionalFormatting sqref="C605">
    <cfRule type="expression" dxfId="4685" priority="5481">
      <formula>C605="**"</formula>
    </cfRule>
    <cfRule type="expression" dxfId="4684" priority="5482">
      <formula>C605=""</formula>
    </cfRule>
    <cfRule type="expression" dxfId="4683" priority="5483">
      <formula>C605&lt;44.5</formula>
    </cfRule>
    <cfRule type="expression" dxfId="4682" priority="5484">
      <formula>C605&lt;60.5</formula>
    </cfRule>
    <cfRule type="expression" dxfId="4681" priority="5485">
      <formula>C605&lt;85.5</formula>
    </cfRule>
    <cfRule type="expression" dxfId="4680" priority="5486">
      <formula>C605&gt;85.5</formula>
    </cfRule>
  </conditionalFormatting>
  <conditionalFormatting sqref="D601">
    <cfRule type="expression" dxfId="4679" priority="5474">
      <formula>D601="**"</formula>
    </cfRule>
    <cfRule type="expression" dxfId="4678" priority="5475">
      <formula>D601=""</formula>
    </cfRule>
    <cfRule type="expression" dxfId="4677" priority="5476">
      <formula>D601&lt;44.5</formula>
    </cfRule>
    <cfRule type="expression" dxfId="4676" priority="5477">
      <formula>D601&lt;60.5</formula>
    </cfRule>
    <cfRule type="expression" dxfId="4675" priority="5478">
      <formula>D601&lt;85.5</formula>
    </cfRule>
    <cfRule type="expression" dxfId="4674" priority="5479">
      <formula>D601&gt;85.5</formula>
    </cfRule>
  </conditionalFormatting>
  <conditionalFormatting sqref="D601:D603 D605">
    <cfRule type="expression" dxfId="4673" priority="5449">
      <formula>D$600=""</formula>
    </cfRule>
  </conditionalFormatting>
  <conditionalFormatting sqref="D602">
    <cfRule type="expression" dxfId="4672" priority="5467">
      <formula>D602="**"</formula>
    </cfRule>
    <cfRule type="expression" dxfId="4671" priority="5468">
      <formula>D602=""</formula>
    </cfRule>
    <cfRule type="expression" dxfId="4670" priority="5469">
      <formula>D602&lt;44.5</formula>
    </cfRule>
    <cfRule type="expression" dxfId="4669" priority="5470">
      <formula>D602&lt;60.5</formula>
    </cfRule>
    <cfRule type="expression" dxfId="4668" priority="5471">
      <formula>D602&lt;85.5</formula>
    </cfRule>
    <cfRule type="expression" dxfId="4667" priority="5473">
      <formula>D602&gt;85.5</formula>
    </cfRule>
  </conditionalFormatting>
  <conditionalFormatting sqref="D603">
    <cfRule type="expression" dxfId="4666" priority="5461">
      <formula>D603="**"</formula>
    </cfRule>
    <cfRule type="expression" dxfId="4665" priority="5462">
      <formula>D603=""</formula>
    </cfRule>
    <cfRule type="expression" dxfId="4664" priority="5463">
      <formula>D603&lt;44.5</formula>
    </cfRule>
    <cfRule type="expression" dxfId="4663" priority="5464">
      <formula>D603&lt;60.5</formula>
    </cfRule>
    <cfRule type="expression" dxfId="4662" priority="5465">
      <formula>D603&lt;85.5</formula>
    </cfRule>
    <cfRule type="expression" dxfId="4661" priority="5466">
      <formula>D603&gt;85.5</formula>
    </cfRule>
  </conditionalFormatting>
  <conditionalFormatting sqref="D605">
    <cfRule type="expression" dxfId="4660" priority="5450">
      <formula>D605="**"</formula>
    </cfRule>
    <cfRule type="expression" dxfId="4659" priority="5451">
      <formula>D605=""</formula>
    </cfRule>
    <cfRule type="expression" dxfId="4658" priority="5452">
      <formula>D605&lt;44.5</formula>
    </cfRule>
    <cfRule type="expression" dxfId="4657" priority="5453">
      <formula>D605&lt;60.5</formula>
    </cfRule>
    <cfRule type="expression" dxfId="4656" priority="5454">
      <formula>D605&lt;85.5</formula>
    </cfRule>
    <cfRule type="expression" dxfId="4655" priority="5455">
      <formula>D605&gt;85.5</formula>
    </cfRule>
  </conditionalFormatting>
  <conditionalFormatting sqref="E601">
    <cfRule type="expression" dxfId="4654" priority="5443">
      <formula>E601="**"</formula>
    </cfRule>
    <cfRule type="expression" dxfId="4653" priority="5444">
      <formula>E601=""</formula>
    </cfRule>
    <cfRule type="expression" dxfId="4652" priority="5445">
      <formula>E601&lt;44.5</formula>
    </cfRule>
    <cfRule type="expression" dxfId="4651" priority="5446">
      <formula>E601&lt;60.5</formula>
    </cfRule>
    <cfRule type="expression" dxfId="4650" priority="5447">
      <formula>E601&lt;85.5</formula>
    </cfRule>
    <cfRule type="expression" dxfId="4649" priority="5448">
      <formula>E601&gt;85.5</formula>
    </cfRule>
  </conditionalFormatting>
  <conditionalFormatting sqref="E601:E603 E605">
    <cfRule type="expression" dxfId="4648" priority="5418">
      <formula>E$600=""</formula>
    </cfRule>
  </conditionalFormatting>
  <conditionalFormatting sqref="E602">
    <cfRule type="expression" dxfId="4647" priority="5436">
      <formula>E602="**"</formula>
    </cfRule>
    <cfRule type="expression" dxfId="4646" priority="5437">
      <formula>E602=""</formula>
    </cfRule>
    <cfRule type="expression" dxfId="4645" priority="5438">
      <formula>E602&lt;44.5</formula>
    </cfRule>
    <cfRule type="expression" dxfId="4644" priority="5439">
      <formula>E602&lt;60.5</formula>
    </cfRule>
    <cfRule type="expression" dxfId="4643" priority="5440">
      <formula>E602&lt;85.5</formula>
    </cfRule>
    <cfRule type="expression" dxfId="4642" priority="5442">
      <formula>E602&gt;85.5</formula>
    </cfRule>
  </conditionalFormatting>
  <conditionalFormatting sqref="E603">
    <cfRule type="expression" dxfId="4641" priority="5430">
      <formula>E603="**"</formula>
    </cfRule>
    <cfRule type="expression" dxfId="4640" priority="5431">
      <formula>E603=""</formula>
    </cfRule>
    <cfRule type="expression" dxfId="4639" priority="5432">
      <formula>E603&lt;44.5</formula>
    </cfRule>
    <cfRule type="expression" dxfId="4638" priority="5433">
      <formula>E603&lt;60.5</formula>
    </cfRule>
    <cfRule type="expression" dxfId="4637" priority="5434">
      <formula>E603&lt;85.5</formula>
    </cfRule>
    <cfRule type="expression" dxfId="4636" priority="5435">
      <formula>E603&gt;85.5</formula>
    </cfRule>
  </conditionalFormatting>
  <conditionalFormatting sqref="E605">
    <cfRule type="expression" dxfId="4635" priority="5419">
      <formula>E605="**"</formula>
    </cfRule>
    <cfRule type="expression" dxfId="4634" priority="5420">
      <formula>E605=""</formula>
    </cfRule>
    <cfRule type="expression" dxfId="4633" priority="5421">
      <formula>E605&lt;44.5</formula>
    </cfRule>
    <cfRule type="expression" dxfId="4632" priority="5422">
      <formula>E605&lt;60.5</formula>
    </cfRule>
    <cfRule type="expression" dxfId="4631" priority="5423">
      <formula>E605&lt;85.5</formula>
    </cfRule>
    <cfRule type="expression" dxfId="4630" priority="5424">
      <formula>E605&gt;85.5</formula>
    </cfRule>
  </conditionalFormatting>
  <conditionalFormatting sqref="F601">
    <cfRule type="expression" dxfId="4629" priority="5412">
      <formula>F601="**"</formula>
    </cfRule>
    <cfRule type="expression" dxfId="4628" priority="5413">
      <formula>F601=""</formula>
    </cfRule>
    <cfRule type="expression" dxfId="4627" priority="5414">
      <formula>F601&lt;44.5</formula>
    </cfRule>
    <cfRule type="expression" dxfId="4626" priority="5415">
      <formula>F601&lt;60.5</formula>
    </cfRule>
    <cfRule type="expression" dxfId="4625" priority="5416">
      <formula>F601&lt;85.5</formula>
    </cfRule>
    <cfRule type="expression" dxfId="4624" priority="5417">
      <formula>F601&gt;85.5</formula>
    </cfRule>
  </conditionalFormatting>
  <conditionalFormatting sqref="F601:F603 F605">
    <cfRule type="expression" dxfId="4623" priority="5387">
      <formula>F$600=""</formula>
    </cfRule>
  </conditionalFormatting>
  <conditionalFormatting sqref="F602">
    <cfRule type="expression" dxfId="4622" priority="5405">
      <formula>F602="**"</formula>
    </cfRule>
    <cfRule type="expression" dxfId="4621" priority="5406">
      <formula>F602=""</formula>
    </cfRule>
    <cfRule type="expression" dxfId="4620" priority="5407">
      <formula>F602&lt;44.5</formula>
    </cfRule>
    <cfRule type="expression" dxfId="4619" priority="5408">
      <formula>F602&lt;60.5</formula>
    </cfRule>
    <cfRule type="expression" dxfId="4618" priority="5409">
      <formula>F602&lt;85.5</formula>
    </cfRule>
    <cfRule type="expression" dxfId="4617" priority="5411">
      <formula>F602&gt;85.5</formula>
    </cfRule>
  </conditionalFormatting>
  <conditionalFormatting sqref="F603">
    <cfRule type="expression" dxfId="4616" priority="5399">
      <formula>F603="**"</formula>
    </cfRule>
    <cfRule type="expression" dxfId="4615" priority="5400">
      <formula>F603=""</formula>
    </cfRule>
    <cfRule type="expression" dxfId="4614" priority="5401">
      <formula>F603&lt;44.5</formula>
    </cfRule>
    <cfRule type="expression" dxfId="4613" priority="5402">
      <formula>F603&lt;60.5</formula>
    </cfRule>
    <cfRule type="expression" dxfId="4612" priority="5403">
      <formula>F603&lt;85.5</formula>
    </cfRule>
    <cfRule type="expression" dxfId="4611" priority="5404">
      <formula>F603&gt;85.5</formula>
    </cfRule>
  </conditionalFormatting>
  <conditionalFormatting sqref="F605">
    <cfRule type="expression" dxfId="4610" priority="5388">
      <formula>F605="**"</formula>
    </cfRule>
    <cfRule type="expression" dxfId="4609" priority="5389">
      <formula>F605=""</formula>
    </cfRule>
    <cfRule type="expression" dxfId="4608" priority="5390">
      <formula>F605&lt;44.5</formula>
    </cfRule>
    <cfRule type="expression" dxfId="4607" priority="5391">
      <formula>F605&lt;60.5</formula>
    </cfRule>
    <cfRule type="expression" dxfId="4606" priority="5392">
      <formula>F605&lt;85.5</formula>
    </cfRule>
    <cfRule type="expression" dxfId="4605" priority="5393">
      <formula>F605&gt;85.5</formula>
    </cfRule>
  </conditionalFormatting>
  <conditionalFormatting sqref="G601">
    <cfRule type="expression" dxfId="4604" priority="5381">
      <formula>G601="**"</formula>
    </cfRule>
    <cfRule type="expression" dxfId="4603" priority="5382">
      <formula>G601=""</formula>
    </cfRule>
    <cfRule type="expression" dxfId="4602" priority="5383">
      <formula>G601&lt;44.5</formula>
    </cfRule>
    <cfRule type="expression" dxfId="4601" priority="5384">
      <formula>G601&lt;60.5</formula>
    </cfRule>
    <cfRule type="expression" dxfId="4600" priority="5385">
      <formula>G601&lt;85.5</formula>
    </cfRule>
    <cfRule type="expression" dxfId="4599" priority="5386">
      <formula>G601&gt;85.5</formula>
    </cfRule>
  </conditionalFormatting>
  <conditionalFormatting sqref="G601:G603 G605">
    <cfRule type="expression" dxfId="4598" priority="5356">
      <formula>G$600=""</formula>
    </cfRule>
  </conditionalFormatting>
  <conditionalFormatting sqref="G602">
    <cfRule type="expression" dxfId="4597" priority="5374">
      <formula>G602="**"</formula>
    </cfRule>
    <cfRule type="expression" dxfId="4596" priority="5375">
      <formula>G602=""</formula>
    </cfRule>
    <cfRule type="expression" dxfId="4595" priority="5376">
      <formula>G602&lt;44.5</formula>
    </cfRule>
    <cfRule type="expression" dxfId="4594" priority="5377">
      <formula>G602&lt;60.5</formula>
    </cfRule>
    <cfRule type="expression" dxfId="4593" priority="5378">
      <formula>G602&lt;85.5</formula>
    </cfRule>
    <cfRule type="expression" dxfId="4592" priority="5380">
      <formula>G602&gt;85.5</formula>
    </cfRule>
  </conditionalFormatting>
  <conditionalFormatting sqref="G603">
    <cfRule type="expression" dxfId="4591" priority="5368">
      <formula>G603="**"</formula>
    </cfRule>
    <cfRule type="expression" dxfId="4590" priority="5369">
      <formula>G603=""</formula>
    </cfRule>
    <cfRule type="expression" dxfId="4589" priority="5370">
      <formula>G603&lt;44.5</formula>
    </cfRule>
    <cfRule type="expression" dxfId="4588" priority="5371">
      <formula>G603&lt;60.5</formula>
    </cfRule>
    <cfRule type="expression" dxfId="4587" priority="5372">
      <formula>G603&lt;85.5</formula>
    </cfRule>
    <cfRule type="expression" dxfId="4586" priority="5373">
      <formula>G603&gt;85.5</formula>
    </cfRule>
  </conditionalFormatting>
  <conditionalFormatting sqref="G605">
    <cfRule type="expression" dxfId="4585" priority="5357">
      <formula>G605="**"</formula>
    </cfRule>
    <cfRule type="expression" dxfId="4584" priority="5358">
      <formula>G605=""</formula>
    </cfRule>
    <cfRule type="expression" dxfId="4583" priority="5359">
      <formula>G605&lt;44.5</formula>
    </cfRule>
    <cfRule type="expression" dxfId="4582" priority="5360">
      <formula>G605&lt;60.5</formula>
    </cfRule>
    <cfRule type="expression" dxfId="4581" priority="5361">
      <formula>G605&lt;85.5</formula>
    </cfRule>
    <cfRule type="expression" dxfId="4580" priority="5362">
      <formula>G605&gt;85.5</formula>
    </cfRule>
  </conditionalFormatting>
  <conditionalFormatting sqref="H601">
    <cfRule type="expression" dxfId="4579" priority="5350">
      <formula>H601="**"</formula>
    </cfRule>
    <cfRule type="expression" dxfId="4578" priority="5351">
      <formula>H601=""</formula>
    </cfRule>
    <cfRule type="expression" dxfId="4577" priority="5352">
      <formula>H601&lt;44.5</formula>
    </cfRule>
    <cfRule type="expression" dxfId="4576" priority="5353">
      <formula>H601&lt;60.5</formula>
    </cfRule>
    <cfRule type="expression" dxfId="4575" priority="5354">
      <formula>H601&lt;85.5</formula>
    </cfRule>
    <cfRule type="expression" dxfId="4574" priority="5355">
      <formula>H601&gt;85.5</formula>
    </cfRule>
  </conditionalFormatting>
  <conditionalFormatting sqref="H601:H603 H605">
    <cfRule type="expression" dxfId="4573" priority="5325">
      <formula>H$600=""</formula>
    </cfRule>
  </conditionalFormatting>
  <conditionalFormatting sqref="H602">
    <cfRule type="expression" dxfId="4572" priority="5343">
      <formula>H602="**"</formula>
    </cfRule>
    <cfRule type="expression" dxfId="4571" priority="5344">
      <formula>H602=""</formula>
    </cfRule>
    <cfRule type="expression" dxfId="4570" priority="5345">
      <formula>H602&lt;44.5</formula>
    </cfRule>
    <cfRule type="expression" dxfId="4569" priority="5346">
      <formula>H602&lt;60.5</formula>
    </cfRule>
    <cfRule type="expression" dxfId="4568" priority="5347">
      <formula>H602&lt;85.5</formula>
    </cfRule>
    <cfRule type="expression" dxfId="4567" priority="5349">
      <formula>H602&gt;85.5</formula>
    </cfRule>
  </conditionalFormatting>
  <conditionalFormatting sqref="H603">
    <cfRule type="expression" dxfId="4566" priority="5337">
      <formula>H603="**"</formula>
    </cfRule>
    <cfRule type="expression" dxfId="4565" priority="5338">
      <formula>H603=""</formula>
    </cfRule>
    <cfRule type="expression" dxfId="4564" priority="5339">
      <formula>H603&lt;44.5</formula>
    </cfRule>
    <cfRule type="expression" dxfId="4563" priority="5340">
      <formula>H603&lt;60.5</formula>
    </cfRule>
    <cfRule type="expression" dxfId="4562" priority="5341">
      <formula>H603&lt;85.5</formula>
    </cfRule>
    <cfRule type="expression" dxfId="4561" priority="5342">
      <formula>H603&gt;85.5</formula>
    </cfRule>
  </conditionalFormatting>
  <conditionalFormatting sqref="H605">
    <cfRule type="expression" dxfId="4560" priority="5326">
      <formula>H605="**"</formula>
    </cfRule>
    <cfRule type="expression" dxfId="4559" priority="5327">
      <formula>H605=""</formula>
    </cfRule>
    <cfRule type="expression" dxfId="4558" priority="5328">
      <formula>H605&lt;44.5</formula>
    </cfRule>
    <cfRule type="expression" dxfId="4557" priority="5329">
      <formula>H605&lt;60.5</formula>
    </cfRule>
    <cfRule type="expression" dxfId="4556" priority="5330">
      <formula>H605&lt;85.5</formula>
    </cfRule>
    <cfRule type="expression" dxfId="4555" priority="5331">
      <formula>H605&gt;85.5</formula>
    </cfRule>
  </conditionalFormatting>
  <conditionalFormatting sqref="I601">
    <cfRule type="expression" dxfId="4554" priority="5319">
      <formula>I601="**"</formula>
    </cfRule>
    <cfRule type="expression" dxfId="4553" priority="5320">
      <formula>I601=""</formula>
    </cfRule>
    <cfRule type="expression" dxfId="4552" priority="5321">
      <formula>I601&lt;44.5</formula>
    </cfRule>
    <cfRule type="expression" dxfId="4551" priority="5322">
      <formula>I601&lt;60.5</formula>
    </cfRule>
    <cfRule type="expression" dxfId="4550" priority="5323">
      <formula>I601&lt;85.5</formula>
    </cfRule>
    <cfRule type="expression" dxfId="4549" priority="5324">
      <formula>I601&gt;85.5</formula>
    </cfRule>
  </conditionalFormatting>
  <conditionalFormatting sqref="I601:I603 I605">
    <cfRule type="expression" dxfId="4548" priority="5294">
      <formula>I$600=""</formula>
    </cfRule>
  </conditionalFormatting>
  <conditionalFormatting sqref="I602">
    <cfRule type="expression" dxfId="4547" priority="5312">
      <formula>I602="**"</formula>
    </cfRule>
    <cfRule type="expression" dxfId="4546" priority="5313">
      <formula>I602=""</formula>
    </cfRule>
    <cfRule type="expression" dxfId="4545" priority="5314">
      <formula>I602&lt;44.5</formula>
    </cfRule>
    <cfRule type="expression" dxfId="4544" priority="5315">
      <formula>I602&lt;60.5</formula>
    </cfRule>
    <cfRule type="expression" dxfId="4543" priority="5316">
      <formula>I602&lt;85.5</formula>
    </cfRule>
    <cfRule type="expression" dxfId="4542" priority="5318">
      <formula>I602&gt;85.5</formula>
    </cfRule>
  </conditionalFormatting>
  <conditionalFormatting sqref="I603">
    <cfRule type="expression" dxfId="4541" priority="5306">
      <formula>I603="**"</formula>
    </cfRule>
    <cfRule type="expression" dxfId="4540" priority="5307">
      <formula>I603=""</formula>
    </cfRule>
    <cfRule type="expression" dxfId="4539" priority="5308">
      <formula>I603&lt;44.5</formula>
    </cfRule>
    <cfRule type="expression" dxfId="4538" priority="5309">
      <formula>I603&lt;60.5</formula>
    </cfRule>
    <cfRule type="expression" dxfId="4537" priority="5310">
      <formula>I603&lt;85.5</formula>
    </cfRule>
    <cfRule type="expression" dxfId="4536" priority="5311">
      <formula>I603&gt;85.5</formula>
    </cfRule>
  </conditionalFormatting>
  <conditionalFormatting sqref="I605">
    <cfRule type="expression" dxfId="4535" priority="5295">
      <formula>I605="**"</formula>
    </cfRule>
    <cfRule type="expression" dxfId="4534" priority="5296">
      <formula>I605=""</formula>
    </cfRule>
    <cfRule type="expression" dxfId="4533" priority="5297">
      <formula>I605&lt;44.5</formula>
    </cfRule>
    <cfRule type="expression" dxfId="4532" priority="5298">
      <formula>I605&lt;60.5</formula>
    </cfRule>
    <cfRule type="expression" dxfId="4531" priority="5299">
      <formula>I605&lt;85.5</formula>
    </cfRule>
    <cfRule type="expression" dxfId="4530" priority="5300">
      <formula>I605&gt;85.5</formula>
    </cfRule>
  </conditionalFormatting>
  <conditionalFormatting sqref="J601">
    <cfRule type="expression" dxfId="4529" priority="5288">
      <formula>J601="**"</formula>
    </cfRule>
    <cfRule type="expression" dxfId="4528" priority="5289">
      <formula>J601=""</formula>
    </cfRule>
    <cfRule type="expression" dxfId="4527" priority="5290">
      <formula>J601&lt;44.5</formula>
    </cfRule>
    <cfRule type="expression" dxfId="4526" priority="5291">
      <formula>J601&lt;60.5</formula>
    </cfRule>
    <cfRule type="expression" dxfId="4525" priority="5292">
      <formula>J601&lt;85.5</formula>
    </cfRule>
    <cfRule type="expression" dxfId="4524" priority="5293">
      <formula>J601&gt;85.5</formula>
    </cfRule>
  </conditionalFormatting>
  <conditionalFormatting sqref="J601:J603 J605">
    <cfRule type="expression" dxfId="4523" priority="5263">
      <formula>J$600=""</formula>
    </cfRule>
  </conditionalFormatting>
  <conditionalFormatting sqref="J602">
    <cfRule type="expression" dxfId="4522" priority="5281">
      <formula>J602="**"</formula>
    </cfRule>
    <cfRule type="expression" dxfId="4521" priority="5282">
      <formula>J602=""</formula>
    </cfRule>
    <cfRule type="expression" dxfId="4520" priority="5283">
      <formula>J602&lt;44.5</formula>
    </cfRule>
    <cfRule type="expression" dxfId="4519" priority="5284">
      <formula>J602&lt;60.5</formula>
    </cfRule>
    <cfRule type="expression" dxfId="4518" priority="5285">
      <formula>J602&lt;85.5</formula>
    </cfRule>
    <cfRule type="expression" dxfId="4517" priority="5287">
      <formula>J602&gt;85.5</formula>
    </cfRule>
  </conditionalFormatting>
  <conditionalFormatting sqref="J603">
    <cfRule type="expression" dxfId="4516" priority="5275">
      <formula>J603="**"</formula>
    </cfRule>
    <cfRule type="expression" dxfId="4515" priority="5276">
      <formula>J603=""</formula>
    </cfRule>
    <cfRule type="expression" dxfId="4514" priority="5277">
      <formula>J603&lt;44.5</formula>
    </cfRule>
    <cfRule type="expression" dxfId="4513" priority="5278">
      <formula>J603&lt;60.5</formula>
    </cfRule>
    <cfRule type="expression" dxfId="4512" priority="5279">
      <formula>J603&lt;85.5</formula>
    </cfRule>
    <cfRule type="expression" dxfId="4511" priority="5280">
      <formula>J603&gt;85.5</formula>
    </cfRule>
  </conditionalFormatting>
  <conditionalFormatting sqref="J605">
    <cfRule type="expression" dxfId="4510" priority="5264">
      <formula>J605="**"</formula>
    </cfRule>
    <cfRule type="expression" dxfId="4509" priority="5265">
      <formula>J605=""</formula>
    </cfRule>
    <cfRule type="expression" dxfId="4508" priority="5266">
      <formula>J605&lt;44.5</formula>
    </cfRule>
    <cfRule type="expression" dxfId="4507" priority="5267">
      <formula>J605&lt;60.5</formula>
    </cfRule>
    <cfRule type="expression" dxfId="4506" priority="5268">
      <formula>J605&lt;85.5</formula>
    </cfRule>
    <cfRule type="expression" dxfId="4505" priority="5269">
      <formula>J605&gt;85.5</formula>
    </cfRule>
  </conditionalFormatting>
  <conditionalFormatting sqref="K601">
    <cfRule type="expression" dxfId="4504" priority="5257">
      <formula>K601="**"</formula>
    </cfRule>
    <cfRule type="expression" dxfId="4503" priority="5258">
      <formula>K601=""</formula>
    </cfRule>
    <cfRule type="expression" dxfId="4502" priority="5259">
      <formula>K601&lt;44.5</formula>
    </cfRule>
    <cfRule type="expression" dxfId="4501" priority="5260">
      <formula>K601&lt;60.5</formula>
    </cfRule>
    <cfRule type="expression" dxfId="4500" priority="5261">
      <formula>K601&lt;85.5</formula>
    </cfRule>
    <cfRule type="expression" dxfId="4499" priority="5262">
      <formula>K601&gt;85.5</formula>
    </cfRule>
  </conditionalFormatting>
  <conditionalFormatting sqref="K601:K603 K605">
    <cfRule type="expression" dxfId="4498" priority="5232">
      <formula>K$600=""</formula>
    </cfRule>
  </conditionalFormatting>
  <conditionalFormatting sqref="K602">
    <cfRule type="expression" dxfId="4497" priority="5250">
      <formula>K602="**"</formula>
    </cfRule>
    <cfRule type="expression" dxfId="4496" priority="5251">
      <formula>K602=""</formula>
    </cfRule>
    <cfRule type="expression" dxfId="4495" priority="5252">
      <formula>K602&lt;44.5</formula>
    </cfRule>
    <cfRule type="expression" dxfId="4494" priority="5253">
      <formula>K602&lt;60.5</formula>
    </cfRule>
    <cfRule type="expression" dxfId="4493" priority="5254">
      <formula>K602&lt;85.5</formula>
    </cfRule>
    <cfRule type="expression" dxfId="4492" priority="5256">
      <formula>K602&gt;85.5</formula>
    </cfRule>
  </conditionalFormatting>
  <conditionalFormatting sqref="K603">
    <cfRule type="expression" dxfId="4491" priority="5244">
      <formula>K603="**"</formula>
    </cfRule>
    <cfRule type="expression" dxfId="4490" priority="5245">
      <formula>K603=""</formula>
    </cfRule>
    <cfRule type="expression" dxfId="4489" priority="5246">
      <formula>K603&lt;44.5</formula>
    </cfRule>
    <cfRule type="expression" dxfId="4488" priority="5247">
      <formula>K603&lt;60.5</formula>
    </cfRule>
    <cfRule type="expression" dxfId="4487" priority="5248">
      <formula>K603&lt;85.5</formula>
    </cfRule>
    <cfRule type="expression" dxfId="4486" priority="5249">
      <formula>K603&gt;85.5</formula>
    </cfRule>
  </conditionalFormatting>
  <conditionalFormatting sqref="K605">
    <cfRule type="expression" dxfId="4485" priority="5233">
      <formula>K605="**"</formula>
    </cfRule>
    <cfRule type="expression" dxfId="4484" priority="5234">
      <formula>K605=""</formula>
    </cfRule>
    <cfRule type="expression" dxfId="4483" priority="5235">
      <formula>K605&lt;44.5</formula>
    </cfRule>
    <cfRule type="expression" dxfId="4482" priority="5236">
      <formula>K605&lt;60.5</formula>
    </cfRule>
    <cfRule type="expression" dxfId="4481" priority="5237">
      <formula>K605&lt;85.5</formula>
    </cfRule>
    <cfRule type="expression" dxfId="4480" priority="5238">
      <formula>K605&gt;85.5</formula>
    </cfRule>
  </conditionalFormatting>
  <conditionalFormatting sqref="L601">
    <cfRule type="expression" dxfId="4479" priority="5226">
      <formula>L601="**"</formula>
    </cfRule>
    <cfRule type="expression" dxfId="4478" priority="5227">
      <formula>L601=""</formula>
    </cfRule>
    <cfRule type="expression" dxfId="4477" priority="5228">
      <formula>L601&lt;44.5</formula>
    </cfRule>
    <cfRule type="expression" dxfId="4476" priority="5229">
      <formula>L601&lt;60.5</formula>
    </cfRule>
    <cfRule type="expression" dxfId="4475" priority="5230">
      <formula>L601&lt;85.5</formula>
    </cfRule>
    <cfRule type="expression" dxfId="4474" priority="5231">
      <formula>L601&gt;85.5</formula>
    </cfRule>
  </conditionalFormatting>
  <conditionalFormatting sqref="L601:L603 L605">
    <cfRule type="expression" dxfId="4473" priority="5201">
      <formula>L$600=""</formula>
    </cfRule>
  </conditionalFormatting>
  <conditionalFormatting sqref="L602">
    <cfRule type="expression" dxfId="4472" priority="5219">
      <formula>L602="**"</formula>
    </cfRule>
    <cfRule type="expression" dxfId="4471" priority="5220">
      <formula>L602=""</formula>
    </cfRule>
    <cfRule type="expression" dxfId="4470" priority="5221">
      <formula>L602&lt;44.5</formula>
    </cfRule>
    <cfRule type="expression" dxfId="4469" priority="5222">
      <formula>L602&lt;60.5</formula>
    </cfRule>
    <cfRule type="expression" dxfId="4468" priority="5223">
      <formula>L602&lt;85.5</formula>
    </cfRule>
    <cfRule type="expression" dxfId="4467" priority="5225">
      <formula>L602&gt;85.5</formula>
    </cfRule>
  </conditionalFormatting>
  <conditionalFormatting sqref="L603">
    <cfRule type="expression" dxfId="4466" priority="5213">
      <formula>L603="**"</formula>
    </cfRule>
    <cfRule type="expression" dxfId="4465" priority="5214">
      <formula>L603=""</formula>
    </cfRule>
    <cfRule type="expression" dxfId="4464" priority="5215">
      <formula>L603&lt;44.5</formula>
    </cfRule>
    <cfRule type="expression" dxfId="4463" priority="5216">
      <formula>L603&lt;60.5</formula>
    </cfRule>
    <cfRule type="expression" dxfId="4462" priority="5217">
      <formula>L603&lt;85.5</formula>
    </cfRule>
    <cfRule type="expression" dxfId="4461" priority="5218">
      <formula>L603&gt;85.5</formula>
    </cfRule>
  </conditionalFormatting>
  <conditionalFormatting sqref="L605">
    <cfRule type="expression" dxfId="4460" priority="5202">
      <formula>L605="**"</formula>
    </cfRule>
    <cfRule type="expression" dxfId="4459" priority="5203">
      <formula>L605=""</formula>
    </cfRule>
    <cfRule type="expression" dxfId="4458" priority="5204">
      <formula>L605&lt;44.5</formula>
    </cfRule>
    <cfRule type="expression" dxfId="4457" priority="5205">
      <formula>L605&lt;60.5</formula>
    </cfRule>
    <cfRule type="expression" dxfId="4456" priority="5206">
      <formula>L605&lt;85.5</formula>
    </cfRule>
    <cfRule type="expression" dxfId="4455" priority="5207">
      <formula>L605&gt;85.5</formula>
    </cfRule>
  </conditionalFormatting>
  <conditionalFormatting sqref="C631">
    <cfRule type="expression" dxfId="4454" priority="5195">
      <formula>C631="**"</formula>
    </cfRule>
    <cfRule type="expression" dxfId="4453" priority="5196">
      <formula>C631=""</formula>
    </cfRule>
    <cfRule type="expression" dxfId="4452" priority="5197">
      <formula>C631&lt;44.5</formula>
    </cfRule>
    <cfRule type="expression" dxfId="4451" priority="5198">
      <formula>C631&lt;60.5</formula>
    </cfRule>
    <cfRule type="expression" dxfId="4450" priority="5199">
      <formula>C631&lt;85.5</formula>
    </cfRule>
    <cfRule type="expression" dxfId="4449" priority="5200">
      <formula>C631&gt;85.5</formula>
    </cfRule>
  </conditionalFormatting>
  <conditionalFormatting sqref="C631:C635">
    <cfRule type="expression" dxfId="4448" priority="5170">
      <formula>C$630=""</formula>
    </cfRule>
  </conditionalFormatting>
  <conditionalFormatting sqref="C632">
    <cfRule type="expression" dxfId="4447" priority="5188">
      <formula>C632="**"</formula>
    </cfRule>
    <cfRule type="expression" dxfId="4446" priority="5189">
      <formula>C632=""</formula>
    </cfRule>
    <cfRule type="expression" dxfId="4445" priority="5190">
      <formula>C632&lt;44.5</formula>
    </cfRule>
    <cfRule type="expression" dxfId="4444" priority="5191">
      <formula>C632&lt;60.5</formula>
    </cfRule>
    <cfRule type="expression" dxfId="4443" priority="5192">
      <formula>C632&lt;85.5</formula>
    </cfRule>
    <cfRule type="expression" dxfId="4442" priority="5194">
      <formula>C632&gt;85.5</formula>
    </cfRule>
  </conditionalFormatting>
  <conditionalFormatting sqref="C633">
    <cfRule type="expression" dxfId="4441" priority="5182">
      <formula>C633="**"</formula>
    </cfRule>
    <cfRule type="expression" dxfId="4440" priority="5183">
      <formula>C633=""</formula>
    </cfRule>
    <cfRule type="expression" dxfId="4439" priority="5184">
      <formula>C633&lt;44.5</formula>
    </cfRule>
    <cfRule type="expression" dxfId="4438" priority="5185">
      <formula>C633&lt;60.5</formula>
    </cfRule>
    <cfRule type="expression" dxfId="4437" priority="5186">
      <formula>C633&lt;85.5</formula>
    </cfRule>
    <cfRule type="expression" dxfId="4436" priority="5187">
      <formula>C633&gt;85.5</formula>
    </cfRule>
  </conditionalFormatting>
  <conditionalFormatting sqref="C634">
    <cfRule type="expression" dxfId="4435" priority="5177">
      <formula>C634="**"</formula>
    </cfRule>
    <cfRule type="expression" dxfId="4434" priority="5178">
      <formula>C634=""</formula>
    </cfRule>
    <cfRule type="expression" dxfId="4433" priority="5179">
      <formula>C634&lt;44.5</formula>
    </cfRule>
    <cfRule type="expression" dxfId="4432" priority="5180">
      <formula>C634&lt;60.5</formula>
    </cfRule>
    <cfRule type="expression" dxfId="4431" priority="5181">
      <formula>C634&lt;85.5</formula>
    </cfRule>
    <cfRule type="expression" dxfId="4430" priority="5193">
      <formula>C634&gt;85.5</formula>
    </cfRule>
  </conditionalFormatting>
  <conditionalFormatting sqref="C635">
    <cfRule type="expression" dxfId="4429" priority="5171">
      <formula>C635="**"</formula>
    </cfRule>
    <cfRule type="expression" dxfId="4428" priority="5172">
      <formula>C635=""</formula>
    </cfRule>
    <cfRule type="expression" dxfId="4427" priority="5173">
      <formula>C635&lt;44.5</formula>
    </cfRule>
    <cfRule type="expression" dxfId="4426" priority="5174">
      <formula>C635&lt;60.5</formula>
    </cfRule>
    <cfRule type="expression" dxfId="4425" priority="5175">
      <formula>C635&lt;85.5</formula>
    </cfRule>
    <cfRule type="expression" dxfId="4424" priority="5176">
      <formula>C635&gt;85.5</formula>
    </cfRule>
  </conditionalFormatting>
  <conditionalFormatting sqref="D631">
    <cfRule type="expression" dxfId="4423" priority="5164">
      <formula>D631="**"</formula>
    </cfRule>
    <cfRule type="expression" dxfId="4422" priority="5165">
      <formula>D631=""</formula>
    </cfRule>
    <cfRule type="expression" dxfId="4421" priority="5166">
      <formula>D631&lt;44.5</formula>
    </cfRule>
    <cfRule type="expression" dxfId="4420" priority="5167">
      <formula>D631&lt;60.5</formula>
    </cfRule>
    <cfRule type="expression" dxfId="4419" priority="5168">
      <formula>D631&lt;85.5</formula>
    </cfRule>
    <cfRule type="expression" dxfId="4418" priority="5169">
      <formula>D631&gt;85.5</formula>
    </cfRule>
  </conditionalFormatting>
  <conditionalFormatting sqref="D631:D633 D635">
    <cfRule type="expression" dxfId="4417" priority="5139">
      <formula>D$630=""</formula>
    </cfRule>
  </conditionalFormatting>
  <conditionalFormatting sqref="D632">
    <cfRule type="expression" dxfId="4416" priority="5157">
      <formula>D632="**"</formula>
    </cfRule>
    <cfRule type="expression" dxfId="4415" priority="5158">
      <formula>D632=""</formula>
    </cfRule>
    <cfRule type="expression" dxfId="4414" priority="5159">
      <formula>D632&lt;44.5</formula>
    </cfRule>
    <cfRule type="expression" dxfId="4413" priority="5160">
      <formula>D632&lt;60.5</formula>
    </cfRule>
    <cfRule type="expression" dxfId="4412" priority="5161">
      <formula>D632&lt;85.5</formula>
    </cfRule>
    <cfRule type="expression" dxfId="4411" priority="5163">
      <formula>D632&gt;85.5</formula>
    </cfRule>
  </conditionalFormatting>
  <conditionalFormatting sqref="D633">
    <cfRule type="expression" dxfId="4410" priority="5151">
      <formula>D633="**"</formula>
    </cfRule>
    <cfRule type="expression" dxfId="4409" priority="5152">
      <formula>D633=""</formula>
    </cfRule>
    <cfRule type="expression" dxfId="4408" priority="5153">
      <formula>D633&lt;44.5</formula>
    </cfRule>
    <cfRule type="expression" dxfId="4407" priority="5154">
      <formula>D633&lt;60.5</formula>
    </cfRule>
    <cfRule type="expression" dxfId="4406" priority="5155">
      <formula>D633&lt;85.5</formula>
    </cfRule>
    <cfRule type="expression" dxfId="4405" priority="5156">
      <formula>D633&gt;85.5</formula>
    </cfRule>
  </conditionalFormatting>
  <conditionalFormatting sqref="D635">
    <cfRule type="expression" dxfId="4404" priority="5140">
      <formula>D635="**"</formula>
    </cfRule>
    <cfRule type="expression" dxfId="4403" priority="5141">
      <formula>D635=""</formula>
    </cfRule>
    <cfRule type="expression" dxfId="4402" priority="5142">
      <formula>D635&lt;44.5</formula>
    </cfRule>
    <cfRule type="expression" dxfId="4401" priority="5143">
      <formula>D635&lt;60.5</formula>
    </cfRule>
    <cfRule type="expression" dxfId="4400" priority="5144">
      <formula>D635&lt;85.5</formula>
    </cfRule>
    <cfRule type="expression" dxfId="4399" priority="5145">
      <formula>D635&gt;85.5</formula>
    </cfRule>
  </conditionalFormatting>
  <conditionalFormatting sqref="E631">
    <cfRule type="expression" dxfId="4398" priority="5133">
      <formula>E631="**"</formula>
    </cfRule>
    <cfRule type="expression" dxfId="4397" priority="5134">
      <formula>E631=""</formula>
    </cfRule>
    <cfRule type="expression" dxfId="4396" priority="5135">
      <formula>E631&lt;44.5</formula>
    </cfRule>
    <cfRule type="expression" dxfId="4395" priority="5136">
      <formula>E631&lt;60.5</formula>
    </cfRule>
    <cfRule type="expression" dxfId="4394" priority="5137">
      <formula>E631&lt;85.5</formula>
    </cfRule>
    <cfRule type="expression" dxfId="4393" priority="5138">
      <formula>E631&gt;85.5</formula>
    </cfRule>
  </conditionalFormatting>
  <conditionalFormatting sqref="E631:E633 E635">
    <cfRule type="expression" dxfId="4392" priority="5108">
      <formula>E$630=""</formula>
    </cfRule>
  </conditionalFormatting>
  <conditionalFormatting sqref="E632">
    <cfRule type="expression" dxfId="4391" priority="5126">
      <formula>E632="**"</formula>
    </cfRule>
    <cfRule type="expression" dxfId="4390" priority="5127">
      <formula>E632=""</formula>
    </cfRule>
    <cfRule type="expression" dxfId="4389" priority="5128">
      <formula>E632&lt;44.5</formula>
    </cfRule>
    <cfRule type="expression" dxfId="4388" priority="5129">
      <formula>E632&lt;60.5</formula>
    </cfRule>
    <cfRule type="expression" dxfId="4387" priority="5130">
      <formula>E632&lt;85.5</formula>
    </cfRule>
    <cfRule type="expression" dxfId="4386" priority="5132">
      <formula>E632&gt;85.5</formula>
    </cfRule>
  </conditionalFormatting>
  <conditionalFormatting sqref="E633">
    <cfRule type="expression" dxfId="4385" priority="5120">
      <formula>E633="**"</formula>
    </cfRule>
    <cfRule type="expression" dxfId="4384" priority="5121">
      <formula>E633=""</formula>
    </cfRule>
    <cfRule type="expression" dxfId="4383" priority="5122">
      <formula>E633&lt;44.5</formula>
    </cfRule>
    <cfRule type="expression" dxfId="4382" priority="5123">
      <formula>E633&lt;60.5</formula>
    </cfRule>
    <cfRule type="expression" dxfId="4381" priority="5124">
      <formula>E633&lt;85.5</formula>
    </cfRule>
    <cfRule type="expression" dxfId="4380" priority="5125">
      <formula>E633&gt;85.5</formula>
    </cfRule>
  </conditionalFormatting>
  <conditionalFormatting sqref="E635">
    <cfRule type="expression" dxfId="4379" priority="5109">
      <formula>E635="**"</formula>
    </cfRule>
    <cfRule type="expression" dxfId="4378" priority="5110">
      <formula>E635=""</formula>
    </cfRule>
    <cfRule type="expression" dxfId="4377" priority="5111">
      <formula>E635&lt;44.5</formula>
    </cfRule>
    <cfRule type="expression" dxfId="4376" priority="5112">
      <formula>E635&lt;60.5</formula>
    </cfRule>
    <cfRule type="expression" dxfId="4375" priority="5113">
      <formula>E635&lt;85.5</formula>
    </cfRule>
    <cfRule type="expression" dxfId="4374" priority="5114">
      <formula>E635&gt;85.5</formula>
    </cfRule>
  </conditionalFormatting>
  <conditionalFormatting sqref="F631">
    <cfRule type="expression" dxfId="4373" priority="5102">
      <formula>F631="**"</formula>
    </cfRule>
    <cfRule type="expression" dxfId="4372" priority="5103">
      <formula>F631=""</formula>
    </cfRule>
    <cfRule type="expression" dxfId="4371" priority="5104">
      <formula>F631&lt;44.5</formula>
    </cfRule>
    <cfRule type="expression" dxfId="4370" priority="5105">
      <formula>F631&lt;60.5</formula>
    </cfRule>
    <cfRule type="expression" dxfId="4369" priority="5106">
      <formula>F631&lt;85.5</formula>
    </cfRule>
    <cfRule type="expression" dxfId="4368" priority="5107">
      <formula>F631&gt;85.5</formula>
    </cfRule>
  </conditionalFormatting>
  <conditionalFormatting sqref="F631:F633 F635">
    <cfRule type="expression" dxfId="4367" priority="5077">
      <formula>F$630=""</formula>
    </cfRule>
  </conditionalFormatting>
  <conditionalFormatting sqref="F632">
    <cfRule type="expression" dxfId="4366" priority="5095">
      <formula>F632="**"</formula>
    </cfRule>
    <cfRule type="expression" dxfId="4365" priority="5096">
      <formula>F632=""</formula>
    </cfRule>
    <cfRule type="expression" dxfId="4364" priority="5097">
      <formula>F632&lt;44.5</formula>
    </cfRule>
    <cfRule type="expression" dxfId="4363" priority="5098">
      <formula>F632&lt;60.5</formula>
    </cfRule>
    <cfRule type="expression" dxfId="4362" priority="5099">
      <formula>F632&lt;85.5</formula>
    </cfRule>
    <cfRule type="expression" dxfId="4361" priority="5101">
      <formula>F632&gt;85.5</formula>
    </cfRule>
  </conditionalFormatting>
  <conditionalFormatting sqref="F633">
    <cfRule type="expression" dxfId="4360" priority="5089">
      <formula>F633="**"</formula>
    </cfRule>
    <cfRule type="expression" dxfId="4359" priority="5090">
      <formula>F633=""</formula>
    </cfRule>
    <cfRule type="expression" dxfId="4358" priority="5091">
      <formula>F633&lt;44.5</formula>
    </cfRule>
    <cfRule type="expression" dxfId="4357" priority="5092">
      <formula>F633&lt;60.5</formula>
    </cfRule>
    <cfRule type="expression" dxfId="4356" priority="5093">
      <formula>F633&lt;85.5</formula>
    </cfRule>
    <cfRule type="expression" dxfId="4355" priority="5094">
      <formula>F633&gt;85.5</formula>
    </cfRule>
  </conditionalFormatting>
  <conditionalFormatting sqref="F635">
    <cfRule type="expression" dxfId="4354" priority="5078">
      <formula>F635="**"</formula>
    </cfRule>
    <cfRule type="expression" dxfId="4353" priority="5079">
      <formula>F635=""</formula>
    </cfRule>
    <cfRule type="expression" dxfId="4352" priority="5080">
      <formula>F635&lt;44.5</formula>
    </cfRule>
    <cfRule type="expression" dxfId="4351" priority="5081">
      <formula>F635&lt;60.5</formula>
    </cfRule>
    <cfRule type="expression" dxfId="4350" priority="5082">
      <formula>F635&lt;85.5</formula>
    </cfRule>
    <cfRule type="expression" dxfId="4349" priority="5083">
      <formula>F635&gt;85.5</formula>
    </cfRule>
  </conditionalFormatting>
  <conditionalFormatting sqref="G631">
    <cfRule type="expression" dxfId="4348" priority="5071">
      <formula>G631="**"</formula>
    </cfRule>
    <cfRule type="expression" dxfId="4347" priority="5072">
      <formula>G631=""</formula>
    </cfRule>
    <cfRule type="expression" dxfId="4346" priority="5073">
      <formula>G631&lt;44.5</formula>
    </cfRule>
    <cfRule type="expression" dxfId="4345" priority="5074">
      <formula>G631&lt;60.5</formula>
    </cfRule>
    <cfRule type="expression" dxfId="4344" priority="5075">
      <formula>G631&lt;85.5</formula>
    </cfRule>
    <cfRule type="expression" dxfId="4343" priority="5076">
      <formula>G631&gt;85.5</formula>
    </cfRule>
  </conditionalFormatting>
  <conditionalFormatting sqref="G631:G633 G635">
    <cfRule type="expression" dxfId="4342" priority="5046">
      <formula>G$630=""</formula>
    </cfRule>
  </conditionalFormatting>
  <conditionalFormatting sqref="G632">
    <cfRule type="expression" dxfId="4341" priority="5064">
      <formula>G632="**"</formula>
    </cfRule>
    <cfRule type="expression" dxfId="4340" priority="5065">
      <formula>G632=""</formula>
    </cfRule>
    <cfRule type="expression" dxfId="4339" priority="5066">
      <formula>G632&lt;44.5</formula>
    </cfRule>
    <cfRule type="expression" dxfId="4338" priority="5067">
      <formula>G632&lt;60.5</formula>
    </cfRule>
    <cfRule type="expression" dxfId="4337" priority="5068">
      <formula>G632&lt;85.5</formula>
    </cfRule>
    <cfRule type="expression" dxfId="4336" priority="5070">
      <formula>G632&gt;85.5</formula>
    </cfRule>
  </conditionalFormatting>
  <conditionalFormatting sqref="G633">
    <cfRule type="expression" dxfId="4335" priority="5058">
      <formula>G633="**"</formula>
    </cfRule>
    <cfRule type="expression" dxfId="4334" priority="5059">
      <formula>G633=""</formula>
    </cfRule>
    <cfRule type="expression" dxfId="4333" priority="5060">
      <formula>G633&lt;44.5</formula>
    </cfRule>
    <cfRule type="expression" dxfId="4332" priority="5061">
      <formula>G633&lt;60.5</formula>
    </cfRule>
    <cfRule type="expression" dxfId="4331" priority="5062">
      <formula>G633&lt;85.5</formula>
    </cfRule>
    <cfRule type="expression" dxfId="4330" priority="5063">
      <formula>G633&gt;85.5</formula>
    </cfRule>
  </conditionalFormatting>
  <conditionalFormatting sqref="G635">
    <cfRule type="expression" dxfId="4329" priority="5047">
      <formula>G635="**"</formula>
    </cfRule>
    <cfRule type="expression" dxfId="4328" priority="5048">
      <formula>G635=""</formula>
    </cfRule>
    <cfRule type="expression" dxfId="4327" priority="5049">
      <formula>G635&lt;44.5</formula>
    </cfRule>
    <cfRule type="expression" dxfId="4326" priority="5050">
      <formula>G635&lt;60.5</formula>
    </cfRule>
    <cfRule type="expression" dxfId="4325" priority="5051">
      <formula>G635&lt;85.5</formula>
    </cfRule>
    <cfRule type="expression" dxfId="4324" priority="5052">
      <formula>G635&gt;85.5</formula>
    </cfRule>
  </conditionalFormatting>
  <conditionalFormatting sqref="H631">
    <cfRule type="expression" dxfId="4323" priority="5040">
      <formula>H631="**"</formula>
    </cfRule>
    <cfRule type="expression" dxfId="4322" priority="5041">
      <formula>H631=""</formula>
    </cfRule>
    <cfRule type="expression" dxfId="4321" priority="5042">
      <formula>H631&lt;44.5</formula>
    </cfRule>
    <cfRule type="expression" dxfId="4320" priority="5043">
      <formula>H631&lt;60.5</formula>
    </cfRule>
    <cfRule type="expression" dxfId="4319" priority="5044">
      <formula>H631&lt;85.5</formula>
    </cfRule>
    <cfRule type="expression" dxfId="4318" priority="5045">
      <formula>H631&gt;85.5</formula>
    </cfRule>
  </conditionalFormatting>
  <conditionalFormatting sqref="H631:H633 H635">
    <cfRule type="expression" dxfId="4317" priority="5015">
      <formula>H$630=""</formula>
    </cfRule>
  </conditionalFormatting>
  <conditionalFormatting sqref="H632">
    <cfRule type="expression" dxfId="4316" priority="5033">
      <formula>H632="**"</formula>
    </cfRule>
    <cfRule type="expression" dxfId="4315" priority="5034">
      <formula>H632=""</formula>
    </cfRule>
    <cfRule type="expression" dxfId="4314" priority="5035">
      <formula>H632&lt;44.5</formula>
    </cfRule>
    <cfRule type="expression" dxfId="4313" priority="5036">
      <formula>H632&lt;60.5</formula>
    </cfRule>
    <cfRule type="expression" dxfId="4312" priority="5037">
      <formula>H632&lt;85.5</formula>
    </cfRule>
    <cfRule type="expression" dxfId="4311" priority="5039">
      <formula>H632&gt;85.5</formula>
    </cfRule>
  </conditionalFormatting>
  <conditionalFormatting sqref="H633">
    <cfRule type="expression" dxfId="4310" priority="5027">
      <formula>H633="**"</formula>
    </cfRule>
    <cfRule type="expression" dxfId="4309" priority="5028">
      <formula>H633=""</formula>
    </cfRule>
    <cfRule type="expression" dxfId="4308" priority="5029">
      <formula>H633&lt;44.5</formula>
    </cfRule>
    <cfRule type="expression" dxfId="4307" priority="5030">
      <formula>H633&lt;60.5</formula>
    </cfRule>
    <cfRule type="expression" dxfId="4306" priority="5031">
      <formula>H633&lt;85.5</formula>
    </cfRule>
    <cfRule type="expression" dxfId="4305" priority="5032">
      <formula>H633&gt;85.5</formula>
    </cfRule>
  </conditionalFormatting>
  <conditionalFormatting sqref="H635">
    <cfRule type="expression" dxfId="4304" priority="5016">
      <formula>H635="**"</formula>
    </cfRule>
    <cfRule type="expression" dxfId="4303" priority="5017">
      <formula>H635=""</formula>
    </cfRule>
    <cfRule type="expression" dxfId="4302" priority="5018">
      <formula>H635&lt;44.5</formula>
    </cfRule>
    <cfRule type="expression" dxfId="4301" priority="5019">
      <formula>H635&lt;60.5</formula>
    </cfRule>
    <cfRule type="expression" dxfId="4300" priority="5020">
      <formula>H635&lt;85.5</formula>
    </cfRule>
    <cfRule type="expression" dxfId="4299" priority="5021">
      <formula>H635&gt;85.5</formula>
    </cfRule>
  </conditionalFormatting>
  <conditionalFormatting sqref="I631">
    <cfRule type="expression" dxfId="4298" priority="5009">
      <formula>I631="**"</formula>
    </cfRule>
    <cfRule type="expression" dxfId="4297" priority="5010">
      <formula>I631=""</formula>
    </cfRule>
    <cfRule type="expression" dxfId="4296" priority="5011">
      <formula>I631&lt;44.5</formula>
    </cfRule>
    <cfRule type="expression" dxfId="4295" priority="5012">
      <formula>I631&lt;60.5</formula>
    </cfRule>
    <cfRule type="expression" dxfId="4294" priority="5013">
      <formula>I631&lt;85.5</formula>
    </cfRule>
    <cfRule type="expression" dxfId="4293" priority="5014">
      <formula>I631&gt;85.5</formula>
    </cfRule>
  </conditionalFormatting>
  <conditionalFormatting sqref="I631:I633 I635">
    <cfRule type="expression" dxfId="4292" priority="4984">
      <formula>I$630=""</formula>
    </cfRule>
  </conditionalFormatting>
  <conditionalFormatting sqref="I632">
    <cfRule type="expression" dxfId="4291" priority="5002">
      <formula>I632="**"</formula>
    </cfRule>
    <cfRule type="expression" dxfId="4290" priority="5003">
      <formula>I632=""</formula>
    </cfRule>
    <cfRule type="expression" dxfId="4289" priority="5004">
      <formula>I632&lt;44.5</formula>
    </cfRule>
    <cfRule type="expression" dxfId="4288" priority="5005">
      <formula>I632&lt;60.5</formula>
    </cfRule>
    <cfRule type="expression" dxfId="4287" priority="5006">
      <formula>I632&lt;85.5</formula>
    </cfRule>
    <cfRule type="expression" dxfId="4286" priority="5008">
      <formula>I632&gt;85.5</formula>
    </cfRule>
  </conditionalFormatting>
  <conditionalFormatting sqref="I633">
    <cfRule type="expression" dxfId="4285" priority="4996">
      <formula>I633="**"</formula>
    </cfRule>
    <cfRule type="expression" dxfId="4284" priority="4997">
      <formula>I633=""</formula>
    </cfRule>
    <cfRule type="expression" dxfId="4283" priority="4998">
      <formula>I633&lt;44.5</formula>
    </cfRule>
    <cfRule type="expression" dxfId="4282" priority="4999">
      <formula>I633&lt;60.5</formula>
    </cfRule>
    <cfRule type="expression" dxfId="4281" priority="5000">
      <formula>I633&lt;85.5</formula>
    </cfRule>
    <cfRule type="expression" dxfId="4280" priority="5001">
      <formula>I633&gt;85.5</formula>
    </cfRule>
  </conditionalFormatting>
  <conditionalFormatting sqref="I635">
    <cfRule type="expression" dxfId="4279" priority="4985">
      <formula>I635="**"</formula>
    </cfRule>
    <cfRule type="expression" dxfId="4278" priority="4986">
      <formula>I635=""</formula>
    </cfRule>
    <cfRule type="expression" dxfId="4277" priority="4987">
      <formula>I635&lt;44.5</formula>
    </cfRule>
    <cfRule type="expression" dxfId="4276" priority="4988">
      <formula>I635&lt;60.5</formula>
    </cfRule>
    <cfRule type="expression" dxfId="4275" priority="4989">
      <formula>I635&lt;85.5</formula>
    </cfRule>
    <cfRule type="expression" dxfId="4274" priority="4990">
      <formula>I635&gt;85.5</formula>
    </cfRule>
  </conditionalFormatting>
  <conditionalFormatting sqref="J631">
    <cfRule type="expression" dxfId="4273" priority="4978">
      <formula>J631="**"</formula>
    </cfRule>
    <cfRule type="expression" dxfId="4272" priority="4979">
      <formula>J631=""</formula>
    </cfRule>
    <cfRule type="expression" dxfId="4271" priority="4980">
      <formula>J631&lt;44.5</formula>
    </cfRule>
    <cfRule type="expression" dxfId="4270" priority="4981">
      <formula>J631&lt;60.5</formula>
    </cfRule>
    <cfRule type="expression" dxfId="4269" priority="4982">
      <formula>J631&lt;85.5</formula>
    </cfRule>
    <cfRule type="expression" dxfId="4268" priority="4983">
      <formula>J631&gt;85.5</formula>
    </cfRule>
  </conditionalFormatting>
  <conditionalFormatting sqref="J631:J633 J635">
    <cfRule type="expression" dxfId="4267" priority="4953">
      <formula>J$630=""</formula>
    </cfRule>
  </conditionalFormatting>
  <conditionalFormatting sqref="J632">
    <cfRule type="expression" dxfId="4266" priority="4971">
      <formula>J632="**"</formula>
    </cfRule>
    <cfRule type="expression" dxfId="4265" priority="4972">
      <formula>J632=""</formula>
    </cfRule>
    <cfRule type="expression" dxfId="4264" priority="4973">
      <formula>J632&lt;44.5</formula>
    </cfRule>
    <cfRule type="expression" dxfId="4263" priority="4974">
      <formula>J632&lt;60.5</formula>
    </cfRule>
    <cfRule type="expression" dxfId="4262" priority="4975">
      <formula>J632&lt;85.5</formula>
    </cfRule>
    <cfRule type="expression" dxfId="4261" priority="4977">
      <formula>J632&gt;85.5</formula>
    </cfRule>
  </conditionalFormatting>
  <conditionalFormatting sqref="J633">
    <cfRule type="expression" dxfId="4260" priority="4965">
      <formula>J633="**"</formula>
    </cfRule>
    <cfRule type="expression" dxfId="4259" priority="4966">
      <formula>J633=""</formula>
    </cfRule>
    <cfRule type="expression" dxfId="4258" priority="4967">
      <formula>J633&lt;44.5</formula>
    </cfRule>
    <cfRule type="expression" dxfId="4257" priority="4968">
      <formula>J633&lt;60.5</formula>
    </cfRule>
    <cfRule type="expression" dxfId="4256" priority="4969">
      <formula>J633&lt;85.5</formula>
    </cfRule>
    <cfRule type="expression" dxfId="4255" priority="4970">
      <formula>J633&gt;85.5</formula>
    </cfRule>
  </conditionalFormatting>
  <conditionalFormatting sqref="J635">
    <cfRule type="expression" dxfId="4254" priority="4954">
      <formula>J635="**"</formula>
    </cfRule>
    <cfRule type="expression" dxfId="4253" priority="4955">
      <formula>J635=""</formula>
    </cfRule>
    <cfRule type="expression" dxfId="4252" priority="4956">
      <formula>J635&lt;44.5</formula>
    </cfRule>
    <cfRule type="expression" dxfId="4251" priority="4957">
      <formula>J635&lt;60.5</formula>
    </cfRule>
    <cfRule type="expression" dxfId="4250" priority="4958">
      <formula>J635&lt;85.5</formula>
    </cfRule>
    <cfRule type="expression" dxfId="4249" priority="4959">
      <formula>J635&gt;85.5</formula>
    </cfRule>
  </conditionalFormatting>
  <conditionalFormatting sqref="K631">
    <cfRule type="expression" dxfId="4248" priority="4947">
      <formula>K631="**"</formula>
    </cfRule>
    <cfRule type="expression" dxfId="4247" priority="4948">
      <formula>K631=""</formula>
    </cfRule>
    <cfRule type="expression" dxfId="4246" priority="4949">
      <formula>K631&lt;44.5</formula>
    </cfRule>
    <cfRule type="expression" dxfId="4245" priority="4950">
      <formula>K631&lt;60.5</formula>
    </cfRule>
    <cfRule type="expression" dxfId="4244" priority="4951">
      <formula>K631&lt;85.5</formula>
    </cfRule>
    <cfRule type="expression" dxfId="4243" priority="4952">
      <formula>K631&gt;85.5</formula>
    </cfRule>
  </conditionalFormatting>
  <conditionalFormatting sqref="K631:K633 K635">
    <cfRule type="expression" dxfId="4242" priority="4922">
      <formula>K$630=""</formula>
    </cfRule>
  </conditionalFormatting>
  <conditionalFormatting sqref="K632">
    <cfRule type="expression" dxfId="4241" priority="4940">
      <formula>K632="**"</formula>
    </cfRule>
    <cfRule type="expression" dxfId="4240" priority="4941">
      <formula>K632=""</formula>
    </cfRule>
    <cfRule type="expression" dxfId="4239" priority="4942">
      <formula>K632&lt;44.5</formula>
    </cfRule>
    <cfRule type="expression" dxfId="4238" priority="4943">
      <formula>K632&lt;60.5</formula>
    </cfRule>
    <cfRule type="expression" dxfId="4237" priority="4944">
      <formula>K632&lt;85.5</formula>
    </cfRule>
    <cfRule type="expression" dxfId="4236" priority="4946">
      <formula>K632&gt;85.5</formula>
    </cfRule>
  </conditionalFormatting>
  <conditionalFormatting sqref="K633">
    <cfRule type="expression" dxfId="4235" priority="4934">
      <formula>K633="**"</formula>
    </cfRule>
    <cfRule type="expression" dxfId="4234" priority="4935">
      <formula>K633=""</formula>
    </cfRule>
    <cfRule type="expression" dxfId="4233" priority="4936">
      <formula>K633&lt;44.5</formula>
    </cfRule>
    <cfRule type="expression" dxfId="4232" priority="4937">
      <formula>K633&lt;60.5</formula>
    </cfRule>
    <cfRule type="expression" dxfId="4231" priority="4938">
      <formula>K633&lt;85.5</formula>
    </cfRule>
    <cfRule type="expression" dxfId="4230" priority="4939">
      <formula>K633&gt;85.5</formula>
    </cfRule>
  </conditionalFormatting>
  <conditionalFormatting sqref="K635">
    <cfRule type="expression" dxfId="4229" priority="4923">
      <formula>K635="**"</formula>
    </cfRule>
    <cfRule type="expression" dxfId="4228" priority="4924">
      <formula>K635=""</formula>
    </cfRule>
    <cfRule type="expression" dxfId="4227" priority="4925">
      <formula>K635&lt;44.5</formula>
    </cfRule>
    <cfRule type="expression" dxfId="4226" priority="4926">
      <formula>K635&lt;60.5</formula>
    </cfRule>
    <cfRule type="expression" dxfId="4225" priority="4927">
      <formula>K635&lt;85.5</formula>
    </cfRule>
    <cfRule type="expression" dxfId="4224" priority="4928">
      <formula>K635&gt;85.5</formula>
    </cfRule>
  </conditionalFormatting>
  <conditionalFormatting sqref="L631">
    <cfRule type="expression" dxfId="4223" priority="4916">
      <formula>L631="**"</formula>
    </cfRule>
    <cfRule type="expression" dxfId="4222" priority="4917">
      <formula>L631=""</formula>
    </cfRule>
    <cfRule type="expression" dxfId="4221" priority="4918">
      <formula>L631&lt;44.5</formula>
    </cfRule>
    <cfRule type="expression" dxfId="4220" priority="4919">
      <formula>L631&lt;60.5</formula>
    </cfRule>
    <cfRule type="expression" dxfId="4219" priority="4920">
      <formula>L631&lt;85.5</formula>
    </cfRule>
    <cfRule type="expression" dxfId="4218" priority="4921">
      <formula>L631&gt;85.5</formula>
    </cfRule>
  </conditionalFormatting>
  <conditionalFormatting sqref="L631:L633 L635">
    <cfRule type="expression" dxfId="4217" priority="4891">
      <formula>L$630=""</formula>
    </cfRule>
  </conditionalFormatting>
  <conditionalFormatting sqref="L632">
    <cfRule type="expression" dxfId="4216" priority="4909">
      <formula>L632="**"</formula>
    </cfRule>
    <cfRule type="expression" dxfId="4215" priority="4910">
      <formula>L632=""</formula>
    </cfRule>
    <cfRule type="expression" dxfId="4214" priority="4911">
      <formula>L632&lt;44.5</formula>
    </cfRule>
    <cfRule type="expression" dxfId="4213" priority="4912">
      <formula>L632&lt;60.5</formula>
    </cfRule>
    <cfRule type="expression" dxfId="4212" priority="4913">
      <formula>L632&lt;85.5</formula>
    </cfRule>
    <cfRule type="expression" dxfId="4211" priority="4915">
      <formula>L632&gt;85.5</formula>
    </cfRule>
  </conditionalFormatting>
  <conditionalFormatting sqref="L633">
    <cfRule type="expression" dxfId="4210" priority="4903">
      <formula>L633="**"</formula>
    </cfRule>
    <cfRule type="expression" dxfId="4209" priority="4904">
      <formula>L633=""</formula>
    </cfRule>
    <cfRule type="expression" dxfId="4208" priority="4905">
      <formula>L633&lt;44.5</formula>
    </cfRule>
    <cfRule type="expression" dxfId="4207" priority="4906">
      <formula>L633&lt;60.5</formula>
    </cfRule>
    <cfRule type="expression" dxfId="4206" priority="4907">
      <formula>L633&lt;85.5</formula>
    </cfRule>
    <cfRule type="expression" dxfId="4205" priority="4908">
      <formula>L633&gt;85.5</formula>
    </cfRule>
  </conditionalFormatting>
  <conditionalFormatting sqref="L635">
    <cfRule type="expression" dxfId="4204" priority="4892">
      <formula>L635="**"</formula>
    </cfRule>
    <cfRule type="expression" dxfId="4203" priority="4893">
      <formula>L635=""</formula>
    </cfRule>
    <cfRule type="expression" dxfId="4202" priority="4894">
      <formula>L635&lt;44.5</formula>
    </cfRule>
    <cfRule type="expression" dxfId="4201" priority="4895">
      <formula>L635&lt;60.5</formula>
    </cfRule>
    <cfRule type="expression" dxfId="4200" priority="4896">
      <formula>L635&lt;85.5</formula>
    </cfRule>
    <cfRule type="expression" dxfId="4199" priority="4897">
      <formula>L635&gt;85.5</formula>
    </cfRule>
  </conditionalFormatting>
  <conditionalFormatting sqref="C661">
    <cfRule type="expression" dxfId="4198" priority="4885">
      <formula>C661="**"</formula>
    </cfRule>
    <cfRule type="expression" dxfId="4197" priority="4886">
      <formula>C661=""</formula>
    </cfRule>
    <cfRule type="expression" dxfId="4196" priority="4887">
      <formula>C661&lt;44.5</formula>
    </cfRule>
    <cfRule type="expression" dxfId="4195" priority="4888">
      <formula>C661&lt;60.5</formula>
    </cfRule>
    <cfRule type="expression" dxfId="4194" priority="4889">
      <formula>C661&lt;85.5</formula>
    </cfRule>
    <cfRule type="expression" dxfId="4193" priority="4890">
      <formula>C661&gt;85.5</formula>
    </cfRule>
  </conditionalFormatting>
  <conditionalFormatting sqref="C661:C665">
    <cfRule type="expression" dxfId="4192" priority="4860">
      <formula>C$660=""</formula>
    </cfRule>
  </conditionalFormatting>
  <conditionalFormatting sqref="C662">
    <cfRule type="expression" dxfId="4191" priority="4878">
      <formula>C662="**"</formula>
    </cfRule>
    <cfRule type="expression" dxfId="4190" priority="4879">
      <formula>C662=""</formula>
    </cfRule>
    <cfRule type="expression" dxfId="4189" priority="4880">
      <formula>C662&lt;44.5</formula>
    </cfRule>
    <cfRule type="expression" dxfId="4188" priority="4881">
      <formula>C662&lt;60.5</formula>
    </cfRule>
    <cfRule type="expression" dxfId="4187" priority="4882">
      <formula>C662&lt;85.5</formula>
    </cfRule>
    <cfRule type="expression" dxfId="4186" priority="4884">
      <formula>C662&gt;85.5</formula>
    </cfRule>
  </conditionalFormatting>
  <conditionalFormatting sqref="C663">
    <cfRule type="expression" dxfId="4185" priority="4872">
      <formula>C663="**"</formula>
    </cfRule>
    <cfRule type="expression" dxfId="4184" priority="4873">
      <formula>C663=""</formula>
    </cfRule>
    <cfRule type="expression" dxfId="4183" priority="4874">
      <formula>C663&lt;44.5</formula>
    </cfRule>
    <cfRule type="expression" dxfId="4182" priority="4875">
      <formula>C663&lt;60.5</formula>
    </cfRule>
    <cfRule type="expression" dxfId="4181" priority="4876">
      <formula>C663&lt;85.5</formula>
    </cfRule>
    <cfRule type="expression" dxfId="4180" priority="4877">
      <formula>C663&gt;85.5</formula>
    </cfRule>
  </conditionalFormatting>
  <conditionalFormatting sqref="C664">
    <cfRule type="expression" dxfId="4179" priority="4867">
      <formula>C664="**"</formula>
    </cfRule>
    <cfRule type="expression" dxfId="4178" priority="4868">
      <formula>C664=""</formula>
    </cfRule>
    <cfRule type="expression" dxfId="4177" priority="4869">
      <formula>C664&lt;44.5</formula>
    </cfRule>
    <cfRule type="expression" dxfId="4176" priority="4870">
      <formula>C664&lt;60.5</formula>
    </cfRule>
    <cfRule type="expression" dxfId="4175" priority="4871">
      <formula>C664&lt;85.5</formula>
    </cfRule>
    <cfRule type="expression" dxfId="4174" priority="4883">
      <formula>C664&gt;85.5</formula>
    </cfRule>
  </conditionalFormatting>
  <conditionalFormatting sqref="C665">
    <cfRule type="expression" dxfId="4173" priority="4861">
      <formula>C665="**"</formula>
    </cfRule>
    <cfRule type="expression" dxfId="4172" priority="4862">
      <formula>C665=""</formula>
    </cfRule>
    <cfRule type="expression" dxfId="4171" priority="4863">
      <formula>C665&lt;44.5</formula>
    </cfRule>
    <cfRule type="expression" dxfId="4170" priority="4864">
      <formula>C665&lt;60.5</formula>
    </cfRule>
    <cfRule type="expression" dxfId="4169" priority="4865">
      <formula>C665&lt;85.5</formula>
    </cfRule>
    <cfRule type="expression" dxfId="4168" priority="4866">
      <formula>C665&gt;85.5</formula>
    </cfRule>
  </conditionalFormatting>
  <conditionalFormatting sqref="D661">
    <cfRule type="expression" dxfId="4167" priority="4854">
      <formula>D661="**"</formula>
    </cfRule>
    <cfRule type="expression" dxfId="4166" priority="4855">
      <formula>D661=""</formula>
    </cfRule>
    <cfRule type="expression" dxfId="4165" priority="4856">
      <formula>D661&lt;44.5</formula>
    </cfRule>
    <cfRule type="expression" dxfId="4164" priority="4857">
      <formula>D661&lt;60.5</formula>
    </cfRule>
    <cfRule type="expression" dxfId="4163" priority="4858">
      <formula>D661&lt;85.5</formula>
    </cfRule>
    <cfRule type="expression" dxfId="4162" priority="4859">
      <formula>D661&gt;85.5</formula>
    </cfRule>
  </conditionalFormatting>
  <conditionalFormatting sqref="D661:D663 D665">
    <cfRule type="expression" dxfId="4161" priority="4829">
      <formula>D$660=""</formula>
    </cfRule>
  </conditionalFormatting>
  <conditionalFormatting sqref="D662">
    <cfRule type="expression" dxfId="4160" priority="4847">
      <formula>D662="**"</formula>
    </cfRule>
    <cfRule type="expression" dxfId="4159" priority="4848">
      <formula>D662=""</formula>
    </cfRule>
    <cfRule type="expression" dxfId="4158" priority="4849">
      <formula>D662&lt;44.5</formula>
    </cfRule>
    <cfRule type="expression" dxfId="4157" priority="4850">
      <formula>D662&lt;60.5</formula>
    </cfRule>
    <cfRule type="expression" dxfId="4156" priority="4851">
      <formula>D662&lt;85.5</formula>
    </cfRule>
    <cfRule type="expression" dxfId="4155" priority="4853">
      <formula>D662&gt;85.5</formula>
    </cfRule>
  </conditionalFormatting>
  <conditionalFormatting sqref="D663">
    <cfRule type="expression" dxfId="4154" priority="4841">
      <formula>D663="**"</formula>
    </cfRule>
    <cfRule type="expression" dxfId="4153" priority="4842">
      <formula>D663=""</formula>
    </cfRule>
    <cfRule type="expression" dxfId="4152" priority="4843">
      <formula>D663&lt;44.5</formula>
    </cfRule>
    <cfRule type="expression" dxfId="4151" priority="4844">
      <formula>D663&lt;60.5</formula>
    </cfRule>
    <cfRule type="expression" dxfId="4150" priority="4845">
      <formula>D663&lt;85.5</formula>
    </cfRule>
    <cfRule type="expression" dxfId="4149" priority="4846">
      <formula>D663&gt;85.5</formula>
    </cfRule>
  </conditionalFormatting>
  <conditionalFormatting sqref="D665">
    <cfRule type="expression" dxfId="4148" priority="4830">
      <formula>D665="**"</formula>
    </cfRule>
    <cfRule type="expression" dxfId="4147" priority="4831">
      <formula>D665=""</formula>
    </cfRule>
    <cfRule type="expression" dxfId="4146" priority="4832">
      <formula>D665&lt;44.5</formula>
    </cfRule>
    <cfRule type="expression" dxfId="4145" priority="4833">
      <formula>D665&lt;60.5</formula>
    </cfRule>
    <cfRule type="expression" dxfId="4144" priority="4834">
      <formula>D665&lt;85.5</formula>
    </cfRule>
    <cfRule type="expression" dxfId="4143" priority="4835">
      <formula>D665&gt;85.5</formula>
    </cfRule>
  </conditionalFormatting>
  <conditionalFormatting sqref="E661">
    <cfRule type="expression" dxfId="4142" priority="4823">
      <formula>E661="**"</formula>
    </cfRule>
    <cfRule type="expression" dxfId="4141" priority="4824">
      <formula>E661=""</formula>
    </cfRule>
    <cfRule type="expression" dxfId="4140" priority="4825">
      <formula>E661&lt;44.5</formula>
    </cfRule>
    <cfRule type="expression" dxfId="4139" priority="4826">
      <formula>E661&lt;60.5</formula>
    </cfRule>
    <cfRule type="expression" dxfId="4138" priority="4827">
      <formula>E661&lt;85.5</formula>
    </cfRule>
    <cfRule type="expression" dxfId="4137" priority="4828">
      <formula>E661&gt;85.5</formula>
    </cfRule>
  </conditionalFormatting>
  <conditionalFormatting sqref="E661:E663 E665">
    <cfRule type="expression" dxfId="4136" priority="4798">
      <formula>E$660=""</formula>
    </cfRule>
  </conditionalFormatting>
  <conditionalFormatting sqref="E662">
    <cfRule type="expression" dxfId="4135" priority="4816">
      <formula>E662="**"</formula>
    </cfRule>
    <cfRule type="expression" dxfId="4134" priority="4817">
      <formula>E662=""</formula>
    </cfRule>
    <cfRule type="expression" dxfId="4133" priority="4818">
      <formula>E662&lt;44.5</formula>
    </cfRule>
    <cfRule type="expression" dxfId="4132" priority="4819">
      <formula>E662&lt;60.5</formula>
    </cfRule>
    <cfRule type="expression" dxfId="4131" priority="4820">
      <formula>E662&lt;85.5</formula>
    </cfRule>
    <cfRule type="expression" dxfId="4130" priority="4822">
      <formula>E662&gt;85.5</formula>
    </cfRule>
  </conditionalFormatting>
  <conditionalFormatting sqref="E663">
    <cfRule type="expression" dxfId="4129" priority="4810">
      <formula>E663="**"</formula>
    </cfRule>
    <cfRule type="expression" dxfId="4128" priority="4811">
      <formula>E663=""</formula>
    </cfRule>
    <cfRule type="expression" dxfId="4127" priority="4812">
      <formula>E663&lt;44.5</formula>
    </cfRule>
    <cfRule type="expression" dxfId="4126" priority="4813">
      <formula>E663&lt;60.5</formula>
    </cfRule>
    <cfRule type="expression" dxfId="4125" priority="4814">
      <formula>E663&lt;85.5</formula>
    </cfRule>
    <cfRule type="expression" dxfId="4124" priority="4815">
      <formula>E663&gt;85.5</formula>
    </cfRule>
  </conditionalFormatting>
  <conditionalFormatting sqref="E665">
    <cfRule type="expression" dxfId="4123" priority="4799">
      <formula>E665="**"</formula>
    </cfRule>
    <cfRule type="expression" dxfId="4122" priority="4800">
      <formula>E665=""</formula>
    </cfRule>
    <cfRule type="expression" dxfId="4121" priority="4801">
      <formula>E665&lt;44.5</formula>
    </cfRule>
    <cfRule type="expression" dxfId="4120" priority="4802">
      <formula>E665&lt;60.5</formula>
    </cfRule>
    <cfRule type="expression" dxfId="4119" priority="4803">
      <formula>E665&lt;85.5</formula>
    </cfRule>
    <cfRule type="expression" dxfId="4118" priority="4804">
      <formula>E665&gt;85.5</formula>
    </cfRule>
  </conditionalFormatting>
  <conditionalFormatting sqref="F661">
    <cfRule type="expression" dxfId="4117" priority="4792">
      <formula>F661="**"</formula>
    </cfRule>
    <cfRule type="expression" dxfId="4116" priority="4793">
      <formula>F661=""</formula>
    </cfRule>
    <cfRule type="expression" dxfId="4115" priority="4794">
      <formula>F661&lt;44.5</formula>
    </cfRule>
    <cfRule type="expression" dxfId="4114" priority="4795">
      <formula>F661&lt;60.5</formula>
    </cfRule>
    <cfRule type="expression" dxfId="4113" priority="4796">
      <formula>F661&lt;85.5</formula>
    </cfRule>
    <cfRule type="expression" dxfId="4112" priority="4797">
      <formula>F661&gt;85.5</formula>
    </cfRule>
  </conditionalFormatting>
  <conditionalFormatting sqref="F661:F663 F665">
    <cfRule type="expression" dxfId="4111" priority="4767">
      <formula>F$660=""</formula>
    </cfRule>
  </conditionalFormatting>
  <conditionalFormatting sqref="F662">
    <cfRule type="expression" dxfId="4110" priority="4785">
      <formula>F662="**"</formula>
    </cfRule>
    <cfRule type="expression" dxfId="4109" priority="4786">
      <formula>F662=""</formula>
    </cfRule>
    <cfRule type="expression" dxfId="4108" priority="4787">
      <formula>F662&lt;44.5</formula>
    </cfRule>
    <cfRule type="expression" dxfId="4107" priority="4788">
      <formula>F662&lt;60.5</formula>
    </cfRule>
    <cfRule type="expression" dxfId="4106" priority="4789">
      <formula>F662&lt;85.5</formula>
    </cfRule>
    <cfRule type="expression" dxfId="4105" priority="4791">
      <formula>F662&gt;85.5</formula>
    </cfRule>
  </conditionalFormatting>
  <conditionalFormatting sqref="F663">
    <cfRule type="expression" dxfId="4104" priority="4779">
      <formula>F663="**"</formula>
    </cfRule>
    <cfRule type="expression" dxfId="4103" priority="4780">
      <formula>F663=""</formula>
    </cfRule>
    <cfRule type="expression" dxfId="4102" priority="4781">
      <formula>F663&lt;44.5</formula>
    </cfRule>
    <cfRule type="expression" dxfId="4101" priority="4782">
      <formula>F663&lt;60.5</formula>
    </cfRule>
    <cfRule type="expression" dxfId="4100" priority="4783">
      <formula>F663&lt;85.5</formula>
    </cfRule>
    <cfRule type="expression" dxfId="4099" priority="4784">
      <formula>F663&gt;85.5</formula>
    </cfRule>
  </conditionalFormatting>
  <conditionalFormatting sqref="F665">
    <cfRule type="expression" dxfId="4098" priority="4768">
      <formula>F665="**"</formula>
    </cfRule>
    <cfRule type="expression" dxfId="4097" priority="4769">
      <formula>F665=""</formula>
    </cfRule>
    <cfRule type="expression" dxfId="4096" priority="4770">
      <formula>F665&lt;44.5</formula>
    </cfRule>
    <cfRule type="expression" dxfId="4095" priority="4771">
      <formula>F665&lt;60.5</formula>
    </cfRule>
    <cfRule type="expression" dxfId="4094" priority="4772">
      <formula>F665&lt;85.5</formula>
    </cfRule>
    <cfRule type="expression" dxfId="4093" priority="4773">
      <formula>F665&gt;85.5</formula>
    </cfRule>
  </conditionalFormatting>
  <conditionalFormatting sqref="G661">
    <cfRule type="expression" dxfId="4092" priority="4761">
      <formula>G661="**"</formula>
    </cfRule>
    <cfRule type="expression" dxfId="4091" priority="4762">
      <formula>G661=""</formula>
    </cfRule>
    <cfRule type="expression" dxfId="4090" priority="4763">
      <formula>G661&lt;44.5</formula>
    </cfRule>
    <cfRule type="expression" dxfId="4089" priority="4764">
      <formula>G661&lt;60.5</formula>
    </cfRule>
    <cfRule type="expression" dxfId="4088" priority="4765">
      <formula>G661&lt;85.5</formula>
    </cfRule>
    <cfRule type="expression" dxfId="4087" priority="4766">
      <formula>G661&gt;85.5</formula>
    </cfRule>
  </conditionalFormatting>
  <conditionalFormatting sqref="G661:G663 G665">
    <cfRule type="expression" dxfId="4086" priority="4736">
      <formula>G$660=""</formula>
    </cfRule>
  </conditionalFormatting>
  <conditionalFormatting sqref="G662">
    <cfRule type="expression" dxfId="4085" priority="4754">
      <formula>G662="**"</formula>
    </cfRule>
    <cfRule type="expression" dxfId="4084" priority="4755">
      <formula>G662=""</formula>
    </cfRule>
    <cfRule type="expression" dxfId="4083" priority="4756">
      <formula>G662&lt;44.5</formula>
    </cfRule>
    <cfRule type="expression" dxfId="4082" priority="4757">
      <formula>G662&lt;60.5</formula>
    </cfRule>
    <cfRule type="expression" dxfId="4081" priority="4758">
      <formula>G662&lt;85.5</formula>
    </cfRule>
    <cfRule type="expression" dxfId="4080" priority="4760">
      <formula>G662&gt;85.5</formula>
    </cfRule>
  </conditionalFormatting>
  <conditionalFormatting sqref="G663">
    <cfRule type="expression" dxfId="4079" priority="4748">
      <formula>G663="**"</formula>
    </cfRule>
    <cfRule type="expression" dxfId="4078" priority="4749">
      <formula>G663=""</formula>
    </cfRule>
    <cfRule type="expression" dxfId="4077" priority="4750">
      <formula>G663&lt;44.5</formula>
    </cfRule>
    <cfRule type="expression" dxfId="4076" priority="4751">
      <formula>G663&lt;60.5</formula>
    </cfRule>
    <cfRule type="expression" dxfId="4075" priority="4752">
      <formula>G663&lt;85.5</formula>
    </cfRule>
    <cfRule type="expression" dxfId="4074" priority="4753">
      <formula>G663&gt;85.5</formula>
    </cfRule>
  </conditionalFormatting>
  <conditionalFormatting sqref="G665">
    <cfRule type="expression" dxfId="4073" priority="4737">
      <formula>G665="**"</formula>
    </cfRule>
    <cfRule type="expression" dxfId="4072" priority="4738">
      <formula>G665=""</formula>
    </cfRule>
    <cfRule type="expression" dxfId="4071" priority="4739">
      <formula>G665&lt;44.5</formula>
    </cfRule>
    <cfRule type="expression" dxfId="4070" priority="4740">
      <formula>G665&lt;60.5</formula>
    </cfRule>
    <cfRule type="expression" dxfId="4069" priority="4741">
      <formula>G665&lt;85.5</formula>
    </cfRule>
    <cfRule type="expression" dxfId="4068" priority="4742">
      <formula>G665&gt;85.5</formula>
    </cfRule>
  </conditionalFormatting>
  <conditionalFormatting sqref="H661">
    <cfRule type="expression" dxfId="4067" priority="4730">
      <formula>H661="**"</formula>
    </cfRule>
    <cfRule type="expression" dxfId="4066" priority="4731">
      <formula>H661=""</formula>
    </cfRule>
    <cfRule type="expression" dxfId="4065" priority="4732">
      <formula>H661&lt;44.5</formula>
    </cfRule>
    <cfRule type="expression" dxfId="4064" priority="4733">
      <formula>H661&lt;60.5</formula>
    </cfRule>
    <cfRule type="expression" dxfId="4063" priority="4734">
      <formula>H661&lt;85.5</formula>
    </cfRule>
    <cfRule type="expression" dxfId="4062" priority="4735">
      <formula>H661&gt;85.5</formula>
    </cfRule>
  </conditionalFormatting>
  <conditionalFormatting sqref="H661:H663 H665">
    <cfRule type="expression" dxfId="4061" priority="4705">
      <formula>H$660=""</formula>
    </cfRule>
  </conditionalFormatting>
  <conditionalFormatting sqref="H662">
    <cfRule type="expression" dxfId="4060" priority="4723">
      <formula>H662="**"</formula>
    </cfRule>
    <cfRule type="expression" dxfId="4059" priority="4724">
      <formula>H662=""</formula>
    </cfRule>
    <cfRule type="expression" dxfId="4058" priority="4725">
      <formula>H662&lt;44.5</formula>
    </cfRule>
    <cfRule type="expression" dxfId="4057" priority="4726">
      <formula>H662&lt;60.5</formula>
    </cfRule>
    <cfRule type="expression" dxfId="4056" priority="4727">
      <formula>H662&lt;85.5</formula>
    </cfRule>
    <cfRule type="expression" dxfId="4055" priority="4729">
      <formula>H662&gt;85.5</formula>
    </cfRule>
  </conditionalFormatting>
  <conditionalFormatting sqref="H663">
    <cfRule type="expression" dxfId="4054" priority="4717">
      <formula>H663="**"</formula>
    </cfRule>
    <cfRule type="expression" dxfId="4053" priority="4718">
      <formula>H663=""</formula>
    </cfRule>
    <cfRule type="expression" dxfId="4052" priority="4719">
      <formula>H663&lt;44.5</formula>
    </cfRule>
    <cfRule type="expression" dxfId="4051" priority="4720">
      <formula>H663&lt;60.5</formula>
    </cfRule>
    <cfRule type="expression" dxfId="4050" priority="4721">
      <formula>H663&lt;85.5</formula>
    </cfRule>
    <cfRule type="expression" dxfId="4049" priority="4722">
      <formula>H663&gt;85.5</formula>
    </cfRule>
  </conditionalFormatting>
  <conditionalFormatting sqref="H665">
    <cfRule type="expression" dxfId="4048" priority="4706">
      <formula>H665="**"</formula>
    </cfRule>
    <cfRule type="expression" dxfId="4047" priority="4707">
      <formula>H665=""</formula>
    </cfRule>
    <cfRule type="expression" dxfId="4046" priority="4708">
      <formula>H665&lt;44.5</formula>
    </cfRule>
    <cfRule type="expression" dxfId="4045" priority="4709">
      <formula>H665&lt;60.5</formula>
    </cfRule>
    <cfRule type="expression" dxfId="4044" priority="4710">
      <formula>H665&lt;85.5</formula>
    </cfRule>
    <cfRule type="expression" dxfId="4043" priority="4711">
      <formula>H665&gt;85.5</formula>
    </cfRule>
  </conditionalFormatting>
  <conditionalFormatting sqref="I661">
    <cfRule type="expression" dxfId="4042" priority="4699">
      <formula>I661="**"</formula>
    </cfRule>
    <cfRule type="expression" dxfId="4041" priority="4700">
      <formula>I661=""</formula>
    </cfRule>
    <cfRule type="expression" dxfId="4040" priority="4701">
      <formula>I661&lt;44.5</formula>
    </cfRule>
    <cfRule type="expression" dxfId="4039" priority="4702">
      <formula>I661&lt;60.5</formula>
    </cfRule>
    <cfRule type="expression" dxfId="4038" priority="4703">
      <formula>I661&lt;85.5</formula>
    </cfRule>
    <cfRule type="expression" dxfId="4037" priority="4704">
      <formula>I661&gt;85.5</formula>
    </cfRule>
  </conditionalFormatting>
  <conditionalFormatting sqref="I661:I663 I665">
    <cfRule type="expression" dxfId="4036" priority="4674">
      <formula>I$660=""</formula>
    </cfRule>
  </conditionalFormatting>
  <conditionalFormatting sqref="I662">
    <cfRule type="expression" dxfId="4035" priority="4692">
      <formula>I662="**"</formula>
    </cfRule>
    <cfRule type="expression" dxfId="4034" priority="4693">
      <formula>I662=""</formula>
    </cfRule>
    <cfRule type="expression" dxfId="4033" priority="4694">
      <formula>I662&lt;44.5</formula>
    </cfRule>
    <cfRule type="expression" dxfId="4032" priority="4695">
      <formula>I662&lt;60.5</formula>
    </cfRule>
    <cfRule type="expression" dxfId="4031" priority="4696">
      <formula>I662&lt;85.5</formula>
    </cfRule>
    <cfRule type="expression" dxfId="4030" priority="4698">
      <formula>I662&gt;85.5</formula>
    </cfRule>
  </conditionalFormatting>
  <conditionalFormatting sqref="I663">
    <cfRule type="expression" dxfId="4029" priority="4686">
      <formula>I663="**"</formula>
    </cfRule>
    <cfRule type="expression" dxfId="4028" priority="4687">
      <formula>I663=""</formula>
    </cfRule>
    <cfRule type="expression" dxfId="4027" priority="4688">
      <formula>I663&lt;44.5</formula>
    </cfRule>
    <cfRule type="expression" dxfId="4026" priority="4689">
      <formula>I663&lt;60.5</formula>
    </cfRule>
    <cfRule type="expression" dxfId="4025" priority="4690">
      <formula>I663&lt;85.5</formula>
    </cfRule>
    <cfRule type="expression" dxfId="4024" priority="4691">
      <formula>I663&gt;85.5</formula>
    </cfRule>
  </conditionalFormatting>
  <conditionalFormatting sqref="I665">
    <cfRule type="expression" dxfId="4023" priority="4675">
      <formula>I665="**"</formula>
    </cfRule>
    <cfRule type="expression" dxfId="4022" priority="4676">
      <formula>I665=""</formula>
    </cfRule>
    <cfRule type="expression" dxfId="4021" priority="4677">
      <formula>I665&lt;44.5</formula>
    </cfRule>
    <cfRule type="expression" dxfId="4020" priority="4678">
      <formula>I665&lt;60.5</formula>
    </cfRule>
    <cfRule type="expression" dxfId="4019" priority="4679">
      <formula>I665&lt;85.5</formula>
    </cfRule>
    <cfRule type="expression" dxfId="4018" priority="4680">
      <formula>I665&gt;85.5</formula>
    </cfRule>
  </conditionalFormatting>
  <conditionalFormatting sqref="J661">
    <cfRule type="expression" dxfId="4017" priority="4668">
      <formula>J661="**"</formula>
    </cfRule>
    <cfRule type="expression" dxfId="4016" priority="4669">
      <formula>J661=""</formula>
    </cfRule>
    <cfRule type="expression" dxfId="4015" priority="4670">
      <formula>J661&lt;44.5</formula>
    </cfRule>
    <cfRule type="expression" dxfId="4014" priority="4671">
      <formula>J661&lt;60.5</formula>
    </cfRule>
    <cfRule type="expression" dxfId="4013" priority="4672">
      <formula>J661&lt;85.5</formula>
    </cfRule>
    <cfRule type="expression" dxfId="4012" priority="4673">
      <formula>J661&gt;85.5</formula>
    </cfRule>
  </conditionalFormatting>
  <conditionalFormatting sqref="J661:J663 J665">
    <cfRule type="expression" dxfId="4011" priority="4643">
      <formula>J$660=""</formula>
    </cfRule>
  </conditionalFormatting>
  <conditionalFormatting sqref="J662">
    <cfRule type="expression" dxfId="4010" priority="4661">
      <formula>J662="**"</formula>
    </cfRule>
    <cfRule type="expression" dxfId="4009" priority="4662">
      <formula>J662=""</formula>
    </cfRule>
    <cfRule type="expression" dxfId="4008" priority="4663">
      <formula>J662&lt;44.5</formula>
    </cfRule>
    <cfRule type="expression" dxfId="4007" priority="4664">
      <formula>J662&lt;60.5</formula>
    </cfRule>
    <cfRule type="expression" dxfId="4006" priority="4665">
      <formula>J662&lt;85.5</formula>
    </cfRule>
    <cfRule type="expression" dxfId="4005" priority="4667">
      <formula>J662&gt;85.5</formula>
    </cfRule>
  </conditionalFormatting>
  <conditionalFormatting sqref="J663">
    <cfRule type="expression" dxfId="4004" priority="4655">
      <formula>J663="**"</formula>
    </cfRule>
    <cfRule type="expression" dxfId="4003" priority="4656">
      <formula>J663=""</formula>
    </cfRule>
    <cfRule type="expression" dxfId="4002" priority="4657">
      <formula>J663&lt;44.5</formula>
    </cfRule>
    <cfRule type="expression" dxfId="4001" priority="4658">
      <formula>J663&lt;60.5</formula>
    </cfRule>
    <cfRule type="expression" dxfId="4000" priority="4659">
      <formula>J663&lt;85.5</formula>
    </cfRule>
    <cfRule type="expression" dxfId="3999" priority="4660">
      <formula>J663&gt;85.5</formula>
    </cfRule>
  </conditionalFormatting>
  <conditionalFormatting sqref="J665">
    <cfRule type="expression" dxfId="3998" priority="4644">
      <formula>J665="**"</formula>
    </cfRule>
    <cfRule type="expression" dxfId="3997" priority="4645">
      <formula>J665=""</formula>
    </cfRule>
    <cfRule type="expression" dxfId="3996" priority="4646">
      <formula>J665&lt;44.5</formula>
    </cfRule>
    <cfRule type="expression" dxfId="3995" priority="4647">
      <formula>J665&lt;60.5</formula>
    </cfRule>
    <cfRule type="expression" dxfId="3994" priority="4648">
      <formula>J665&lt;85.5</formula>
    </cfRule>
    <cfRule type="expression" dxfId="3993" priority="4649">
      <formula>J665&gt;85.5</formula>
    </cfRule>
  </conditionalFormatting>
  <conditionalFormatting sqref="K661">
    <cfRule type="expression" dxfId="3992" priority="4637">
      <formula>K661="**"</formula>
    </cfRule>
    <cfRule type="expression" dxfId="3991" priority="4638">
      <formula>K661=""</formula>
    </cfRule>
    <cfRule type="expression" dxfId="3990" priority="4639">
      <formula>K661&lt;44.5</formula>
    </cfRule>
    <cfRule type="expression" dxfId="3989" priority="4640">
      <formula>K661&lt;60.5</formula>
    </cfRule>
    <cfRule type="expression" dxfId="3988" priority="4641">
      <formula>K661&lt;85.5</formula>
    </cfRule>
    <cfRule type="expression" dxfId="3987" priority="4642">
      <formula>K661&gt;85.5</formula>
    </cfRule>
  </conditionalFormatting>
  <conditionalFormatting sqref="K661:K663 K665">
    <cfRule type="expression" dxfId="3986" priority="4612">
      <formula>K$660=""</formula>
    </cfRule>
  </conditionalFormatting>
  <conditionalFormatting sqref="K662">
    <cfRule type="expression" dxfId="3985" priority="4630">
      <formula>K662="**"</formula>
    </cfRule>
    <cfRule type="expression" dxfId="3984" priority="4631">
      <formula>K662=""</formula>
    </cfRule>
    <cfRule type="expression" dxfId="3983" priority="4632">
      <formula>K662&lt;44.5</formula>
    </cfRule>
    <cfRule type="expression" dxfId="3982" priority="4633">
      <formula>K662&lt;60.5</formula>
    </cfRule>
    <cfRule type="expression" dxfId="3981" priority="4634">
      <formula>K662&lt;85.5</formula>
    </cfRule>
    <cfRule type="expression" dxfId="3980" priority="4636">
      <formula>K662&gt;85.5</formula>
    </cfRule>
  </conditionalFormatting>
  <conditionalFormatting sqref="K663">
    <cfRule type="expression" dxfId="3979" priority="4624">
      <formula>K663="**"</formula>
    </cfRule>
    <cfRule type="expression" dxfId="3978" priority="4625">
      <formula>K663=""</formula>
    </cfRule>
    <cfRule type="expression" dxfId="3977" priority="4626">
      <formula>K663&lt;44.5</formula>
    </cfRule>
    <cfRule type="expression" dxfId="3976" priority="4627">
      <formula>K663&lt;60.5</formula>
    </cfRule>
    <cfRule type="expression" dxfId="3975" priority="4628">
      <formula>K663&lt;85.5</formula>
    </cfRule>
    <cfRule type="expression" dxfId="3974" priority="4629">
      <formula>K663&gt;85.5</formula>
    </cfRule>
  </conditionalFormatting>
  <conditionalFormatting sqref="K665">
    <cfRule type="expression" dxfId="3973" priority="4613">
      <formula>K665="**"</formula>
    </cfRule>
    <cfRule type="expression" dxfId="3972" priority="4614">
      <formula>K665=""</formula>
    </cfRule>
    <cfRule type="expression" dxfId="3971" priority="4615">
      <formula>K665&lt;44.5</formula>
    </cfRule>
    <cfRule type="expression" dxfId="3970" priority="4616">
      <formula>K665&lt;60.5</formula>
    </cfRule>
    <cfRule type="expression" dxfId="3969" priority="4617">
      <formula>K665&lt;85.5</formula>
    </cfRule>
    <cfRule type="expression" dxfId="3968" priority="4618">
      <formula>K665&gt;85.5</formula>
    </cfRule>
  </conditionalFormatting>
  <conditionalFormatting sqref="L661">
    <cfRule type="expression" dxfId="3967" priority="4606">
      <formula>L661="**"</formula>
    </cfRule>
    <cfRule type="expression" dxfId="3966" priority="4607">
      <formula>L661=""</formula>
    </cfRule>
    <cfRule type="expression" dxfId="3965" priority="4608">
      <formula>L661&lt;44.5</formula>
    </cfRule>
    <cfRule type="expression" dxfId="3964" priority="4609">
      <formula>L661&lt;60.5</formula>
    </cfRule>
    <cfRule type="expression" dxfId="3963" priority="4610">
      <formula>L661&lt;85.5</formula>
    </cfRule>
    <cfRule type="expression" dxfId="3962" priority="4611">
      <formula>L661&gt;85.5</formula>
    </cfRule>
  </conditionalFormatting>
  <conditionalFormatting sqref="L661:L663 L665">
    <cfRule type="expression" dxfId="3961" priority="4581">
      <formula>L$660=""</formula>
    </cfRule>
  </conditionalFormatting>
  <conditionalFormatting sqref="L662">
    <cfRule type="expression" dxfId="3960" priority="4599">
      <formula>L662="**"</formula>
    </cfRule>
    <cfRule type="expression" dxfId="3959" priority="4600">
      <formula>L662=""</formula>
    </cfRule>
    <cfRule type="expression" dxfId="3958" priority="4601">
      <formula>L662&lt;44.5</formula>
    </cfRule>
    <cfRule type="expression" dxfId="3957" priority="4602">
      <formula>L662&lt;60.5</formula>
    </cfRule>
    <cfRule type="expression" dxfId="3956" priority="4603">
      <formula>L662&lt;85.5</formula>
    </cfRule>
    <cfRule type="expression" dxfId="3955" priority="4605">
      <formula>L662&gt;85.5</formula>
    </cfRule>
  </conditionalFormatting>
  <conditionalFormatting sqref="L663">
    <cfRule type="expression" dxfId="3954" priority="4593">
      <formula>L663="**"</formula>
    </cfRule>
    <cfRule type="expression" dxfId="3953" priority="4594">
      <formula>L663=""</formula>
    </cfRule>
    <cfRule type="expression" dxfId="3952" priority="4595">
      <formula>L663&lt;44.5</formula>
    </cfRule>
    <cfRule type="expression" dxfId="3951" priority="4596">
      <formula>L663&lt;60.5</formula>
    </cfRule>
    <cfRule type="expression" dxfId="3950" priority="4597">
      <formula>L663&lt;85.5</formula>
    </cfRule>
    <cfRule type="expression" dxfId="3949" priority="4598">
      <formula>L663&gt;85.5</formula>
    </cfRule>
  </conditionalFormatting>
  <conditionalFormatting sqref="L665">
    <cfRule type="expression" dxfId="3948" priority="4582">
      <formula>L665="**"</formula>
    </cfRule>
    <cfRule type="expression" dxfId="3947" priority="4583">
      <formula>L665=""</formula>
    </cfRule>
    <cfRule type="expression" dxfId="3946" priority="4584">
      <formula>L665&lt;44.5</formula>
    </cfRule>
    <cfRule type="expression" dxfId="3945" priority="4585">
      <formula>L665&lt;60.5</formula>
    </cfRule>
    <cfRule type="expression" dxfId="3944" priority="4586">
      <formula>L665&lt;85.5</formula>
    </cfRule>
    <cfRule type="expression" dxfId="3943" priority="4587">
      <formula>L665&gt;85.5</formula>
    </cfRule>
  </conditionalFormatting>
  <conditionalFormatting sqref="C691">
    <cfRule type="expression" dxfId="3942" priority="4575">
      <formula>C691="**"</formula>
    </cfRule>
    <cfRule type="expression" dxfId="3941" priority="4576">
      <formula>C691=""</formula>
    </cfRule>
    <cfRule type="expression" dxfId="3940" priority="4577">
      <formula>C691&lt;44.5</formula>
    </cfRule>
    <cfRule type="expression" dxfId="3939" priority="4578">
      <formula>C691&lt;60.5</formula>
    </cfRule>
    <cfRule type="expression" dxfId="3938" priority="4579">
      <formula>C691&lt;85.5</formula>
    </cfRule>
    <cfRule type="expression" dxfId="3937" priority="4580">
      <formula>C691&gt;85.5</formula>
    </cfRule>
  </conditionalFormatting>
  <conditionalFormatting sqref="C691:C695">
    <cfRule type="expression" dxfId="3936" priority="4550">
      <formula>C$690=""</formula>
    </cfRule>
  </conditionalFormatting>
  <conditionalFormatting sqref="C692">
    <cfRule type="expression" dxfId="3935" priority="4568">
      <formula>C692="**"</formula>
    </cfRule>
    <cfRule type="expression" dxfId="3934" priority="4569">
      <formula>C692=""</formula>
    </cfRule>
    <cfRule type="expression" dxfId="3933" priority="4570">
      <formula>C692&lt;44.5</formula>
    </cfRule>
    <cfRule type="expression" dxfId="3932" priority="4571">
      <formula>C692&lt;60.5</formula>
    </cfRule>
    <cfRule type="expression" dxfId="3931" priority="4572">
      <formula>C692&lt;85.5</formula>
    </cfRule>
    <cfRule type="expression" dxfId="3930" priority="4574">
      <formula>C692&gt;85.5</formula>
    </cfRule>
  </conditionalFormatting>
  <conditionalFormatting sqref="C693">
    <cfRule type="expression" dxfId="3929" priority="4562">
      <formula>C693="**"</formula>
    </cfRule>
    <cfRule type="expression" dxfId="3928" priority="4563">
      <formula>C693=""</formula>
    </cfRule>
    <cfRule type="expression" dxfId="3927" priority="4564">
      <formula>C693&lt;44.5</formula>
    </cfRule>
    <cfRule type="expression" dxfId="3926" priority="4565">
      <formula>C693&lt;60.5</formula>
    </cfRule>
    <cfRule type="expression" dxfId="3925" priority="4566">
      <formula>C693&lt;85.5</formula>
    </cfRule>
    <cfRule type="expression" dxfId="3924" priority="4567">
      <formula>C693&gt;85.5</formula>
    </cfRule>
  </conditionalFormatting>
  <conditionalFormatting sqref="C694">
    <cfRule type="expression" dxfId="3923" priority="4557">
      <formula>C694="**"</formula>
    </cfRule>
    <cfRule type="expression" dxfId="3922" priority="4558">
      <formula>C694=""</formula>
    </cfRule>
    <cfRule type="expression" dxfId="3921" priority="4559">
      <formula>C694&lt;44.5</formula>
    </cfRule>
    <cfRule type="expression" dxfId="3920" priority="4560">
      <formula>C694&lt;60.5</formula>
    </cfRule>
    <cfRule type="expression" dxfId="3919" priority="4561">
      <formula>C694&lt;85.5</formula>
    </cfRule>
    <cfRule type="expression" dxfId="3918" priority="4573">
      <formula>C694&gt;85.5</formula>
    </cfRule>
  </conditionalFormatting>
  <conditionalFormatting sqref="C695">
    <cfRule type="expression" dxfId="3917" priority="4551">
      <formula>C695="**"</formula>
    </cfRule>
    <cfRule type="expression" dxfId="3916" priority="4552">
      <formula>C695=""</formula>
    </cfRule>
    <cfRule type="expression" dxfId="3915" priority="4553">
      <formula>C695&lt;44.5</formula>
    </cfRule>
    <cfRule type="expression" dxfId="3914" priority="4554">
      <formula>C695&lt;60.5</formula>
    </cfRule>
    <cfRule type="expression" dxfId="3913" priority="4555">
      <formula>C695&lt;85.5</formula>
    </cfRule>
    <cfRule type="expression" dxfId="3912" priority="4556">
      <formula>C695&gt;85.5</formula>
    </cfRule>
  </conditionalFormatting>
  <conditionalFormatting sqref="D691">
    <cfRule type="expression" dxfId="3911" priority="4544">
      <formula>D691="**"</formula>
    </cfRule>
    <cfRule type="expression" dxfId="3910" priority="4545">
      <formula>D691=""</formula>
    </cfRule>
    <cfRule type="expression" dxfId="3909" priority="4546">
      <formula>D691&lt;44.5</formula>
    </cfRule>
    <cfRule type="expression" dxfId="3908" priority="4547">
      <formula>D691&lt;60.5</formula>
    </cfRule>
    <cfRule type="expression" dxfId="3907" priority="4548">
      <formula>D691&lt;85.5</formula>
    </cfRule>
    <cfRule type="expression" dxfId="3906" priority="4549">
      <formula>D691&gt;85.5</formula>
    </cfRule>
  </conditionalFormatting>
  <conditionalFormatting sqref="D691:D693 D695">
    <cfRule type="expression" dxfId="3905" priority="4519">
      <formula>D$690=""</formula>
    </cfRule>
  </conditionalFormatting>
  <conditionalFormatting sqref="D692">
    <cfRule type="expression" dxfId="3904" priority="4537">
      <formula>D692="**"</formula>
    </cfRule>
    <cfRule type="expression" dxfId="3903" priority="4538">
      <formula>D692=""</formula>
    </cfRule>
    <cfRule type="expression" dxfId="3902" priority="4539">
      <formula>D692&lt;44.5</formula>
    </cfRule>
    <cfRule type="expression" dxfId="3901" priority="4540">
      <formula>D692&lt;60.5</formula>
    </cfRule>
    <cfRule type="expression" dxfId="3900" priority="4541">
      <formula>D692&lt;85.5</formula>
    </cfRule>
    <cfRule type="expression" dxfId="3899" priority="4543">
      <formula>D692&gt;85.5</formula>
    </cfRule>
  </conditionalFormatting>
  <conditionalFormatting sqref="D693">
    <cfRule type="expression" dxfId="3898" priority="4531">
      <formula>D693="**"</formula>
    </cfRule>
    <cfRule type="expression" dxfId="3897" priority="4532">
      <formula>D693=""</formula>
    </cfRule>
    <cfRule type="expression" dxfId="3896" priority="4533">
      <formula>D693&lt;44.5</formula>
    </cfRule>
    <cfRule type="expression" dxfId="3895" priority="4534">
      <formula>D693&lt;60.5</formula>
    </cfRule>
    <cfRule type="expression" dxfId="3894" priority="4535">
      <formula>D693&lt;85.5</formula>
    </cfRule>
    <cfRule type="expression" dxfId="3893" priority="4536">
      <formula>D693&gt;85.5</formula>
    </cfRule>
  </conditionalFormatting>
  <conditionalFormatting sqref="D695">
    <cfRule type="expression" dxfId="3892" priority="4520">
      <formula>D695="**"</formula>
    </cfRule>
    <cfRule type="expression" dxfId="3891" priority="4521">
      <formula>D695=""</formula>
    </cfRule>
    <cfRule type="expression" dxfId="3890" priority="4522">
      <formula>D695&lt;44.5</formula>
    </cfRule>
    <cfRule type="expression" dxfId="3889" priority="4523">
      <formula>D695&lt;60.5</formula>
    </cfRule>
    <cfRule type="expression" dxfId="3888" priority="4524">
      <formula>D695&lt;85.5</formula>
    </cfRule>
    <cfRule type="expression" dxfId="3887" priority="4525">
      <formula>D695&gt;85.5</formula>
    </cfRule>
  </conditionalFormatting>
  <conditionalFormatting sqref="E691">
    <cfRule type="expression" dxfId="3886" priority="4513">
      <formula>E691="**"</formula>
    </cfRule>
    <cfRule type="expression" dxfId="3885" priority="4514">
      <formula>E691=""</formula>
    </cfRule>
    <cfRule type="expression" dxfId="3884" priority="4515">
      <formula>E691&lt;44.5</formula>
    </cfRule>
    <cfRule type="expression" dxfId="3883" priority="4516">
      <formula>E691&lt;60.5</formula>
    </cfRule>
    <cfRule type="expression" dxfId="3882" priority="4517">
      <formula>E691&lt;85.5</formula>
    </cfRule>
    <cfRule type="expression" dxfId="3881" priority="4518">
      <formula>E691&gt;85.5</formula>
    </cfRule>
  </conditionalFormatting>
  <conditionalFormatting sqref="E691:E693 E695">
    <cfRule type="expression" dxfId="3880" priority="4488">
      <formula>E$690=""</formula>
    </cfRule>
  </conditionalFormatting>
  <conditionalFormatting sqref="E692">
    <cfRule type="expression" dxfId="3879" priority="4506">
      <formula>E692="**"</formula>
    </cfRule>
    <cfRule type="expression" dxfId="3878" priority="4507">
      <formula>E692=""</formula>
    </cfRule>
    <cfRule type="expression" dxfId="3877" priority="4508">
      <formula>E692&lt;44.5</formula>
    </cfRule>
    <cfRule type="expression" dxfId="3876" priority="4509">
      <formula>E692&lt;60.5</formula>
    </cfRule>
    <cfRule type="expression" dxfId="3875" priority="4510">
      <formula>E692&lt;85.5</formula>
    </cfRule>
    <cfRule type="expression" dxfId="3874" priority="4512">
      <formula>E692&gt;85.5</formula>
    </cfRule>
  </conditionalFormatting>
  <conditionalFormatting sqref="E693">
    <cfRule type="expression" dxfId="3873" priority="4500">
      <formula>E693="**"</formula>
    </cfRule>
    <cfRule type="expression" dxfId="3872" priority="4501">
      <formula>E693=""</formula>
    </cfRule>
    <cfRule type="expression" dxfId="3871" priority="4502">
      <formula>E693&lt;44.5</formula>
    </cfRule>
    <cfRule type="expression" dxfId="3870" priority="4503">
      <formula>E693&lt;60.5</formula>
    </cfRule>
    <cfRule type="expression" dxfId="3869" priority="4504">
      <formula>E693&lt;85.5</formula>
    </cfRule>
    <cfRule type="expression" dxfId="3868" priority="4505">
      <formula>E693&gt;85.5</formula>
    </cfRule>
  </conditionalFormatting>
  <conditionalFormatting sqref="E695">
    <cfRule type="expression" dxfId="3867" priority="4489">
      <formula>E695="**"</formula>
    </cfRule>
    <cfRule type="expression" dxfId="3866" priority="4490">
      <formula>E695=""</formula>
    </cfRule>
    <cfRule type="expression" dxfId="3865" priority="4491">
      <formula>E695&lt;44.5</formula>
    </cfRule>
    <cfRule type="expression" dxfId="3864" priority="4492">
      <formula>E695&lt;60.5</formula>
    </cfRule>
    <cfRule type="expression" dxfId="3863" priority="4493">
      <formula>E695&lt;85.5</formula>
    </cfRule>
    <cfRule type="expression" dxfId="3862" priority="4494">
      <formula>E695&gt;85.5</formula>
    </cfRule>
  </conditionalFormatting>
  <conditionalFormatting sqref="F691">
    <cfRule type="expression" dxfId="3861" priority="4482">
      <formula>F691="**"</formula>
    </cfRule>
    <cfRule type="expression" dxfId="3860" priority="4483">
      <formula>F691=""</formula>
    </cfRule>
    <cfRule type="expression" dxfId="3859" priority="4484">
      <formula>F691&lt;44.5</formula>
    </cfRule>
    <cfRule type="expression" dxfId="3858" priority="4485">
      <formula>F691&lt;60.5</formula>
    </cfRule>
    <cfRule type="expression" dxfId="3857" priority="4486">
      <formula>F691&lt;85.5</formula>
    </cfRule>
    <cfRule type="expression" dxfId="3856" priority="4487">
      <formula>F691&gt;85.5</formula>
    </cfRule>
  </conditionalFormatting>
  <conditionalFormatting sqref="F691:F693 F695">
    <cfRule type="expression" dxfId="3855" priority="4457">
      <formula>F$690=""</formula>
    </cfRule>
  </conditionalFormatting>
  <conditionalFormatting sqref="F692">
    <cfRule type="expression" dxfId="3854" priority="4475">
      <formula>F692="**"</formula>
    </cfRule>
    <cfRule type="expression" dxfId="3853" priority="4476">
      <formula>F692=""</formula>
    </cfRule>
    <cfRule type="expression" dxfId="3852" priority="4477">
      <formula>F692&lt;44.5</formula>
    </cfRule>
    <cfRule type="expression" dxfId="3851" priority="4478">
      <formula>F692&lt;60.5</formula>
    </cfRule>
    <cfRule type="expression" dxfId="3850" priority="4479">
      <formula>F692&lt;85.5</formula>
    </cfRule>
    <cfRule type="expression" dxfId="3849" priority="4481">
      <formula>F692&gt;85.5</formula>
    </cfRule>
  </conditionalFormatting>
  <conditionalFormatting sqref="F693">
    <cfRule type="expression" dxfId="3848" priority="4469">
      <formula>F693="**"</formula>
    </cfRule>
    <cfRule type="expression" dxfId="3847" priority="4470">
      <formula>F693=""</formula>
    </cfRule>
    <cfRule type="expression" dxfId="3846" priority="4471">
      <formula>F693&lt;44.5</formula>
    </cfRule>
    <cfRule type="expression" dxfId="3845" priority="4472">
      <formula>F693&lt;60.5</formula>
    </cfRule>
    <cfRule type="expression" dxfId="3844" priority="4473">
      <formula>F693&lt;85.5</formula>
    </cfRule>
    <cfRule type="expression" dxfId="3843" priority="4474">
      <formula>F693&gt;85.5</formula>
    </cfRule>
  </conditionalFormatting>
  <conditionalFormatting sqref="F695">
    <cfRule type="expression" dxfId="3842" priority="4458">
      <formula>F695="**"</formula>
    </cfRule>
    <cfRule type="expression" dxfId="3841" priority="4459">
      <formula>F695=""</formula>
    </cfRule>
    <cfRule type="expression" dxfId="3840" priority="4460">
      <formula>F695&lt;44.5</formula>
    </cfRule>
    <cfRule type="expression" dxfId="3839" priority="4461">
      <formula>F695&lt;60.5</formula>
    </cfRule>
    <cfRule type="expression" dxfId="3838" priority="4462">
      <formula>F695&lt;85.5</formula>
    </cfRule>
    <cfRule type="expression" dxfId="3837" priority="4463">
      <formula>F695&gt;85.5</formula>
    </cfRule>
  </conditionalFormatting>
  <conditionalFormatting sqref="G691">
    <cfRule type="expression" dxfId="3836" priority="4451">
      <formula>G691="**"</formula>
    </cfRule>
    <cfRule type="expression" dxfId="3835" priority="4452">
      <formula>G691=""</formula>
    </cfRule>
    <cfRule type="expression" dxfId="3834" priority="4453">
      <formula>G691&lt;44.5</formula>
    </cfRule>
    <cfRule type="expression" dxfId="3833" priority="4454">
      <formula>G691&lt;60.5</formula>
    </cfRule>
    <cfRule type="expression" dxfId="3832" priority="4455">
      <formula>G691&lt;85.5</formula>
    </cfRule>
    <cfRule type="expression" dxfId="3831" priority="4456">
      <formula>G691&gt;85.5</formula>
    </cfRule>
  </conditionalFormatting>
  <conditionalFormatting sqref="G691:G693 G695">
    <cfRule type="expression" dxfId="3830" priority="4426">
      <formula>G$690=""</formula>
    </cfRule>
  </conditionalFormatting>
  <conditionalFormatting sqref="G692">
    <cfRule type="expression" dxfId="3829" priority="4444">
      <formula>G692="**"</formula>
    </cfRule>
    <cfRule type="expression" dxfId="3828" priority="4445">
      <formula>G692=""</formula>
    </cfRule>
    <cfRule type="expression" dxfId="3827" priority="4446">
      <formula>G692&lt;44.5</formula>
    </cfRule>
    <cfRule type="expression" dxfId="3826" priority="4447">
      <formula>G692&lt;60.5</formula>
    </cfRule>
    <cfRule type="expression" dxfId="3825" priority="4448">
      <formula>G692&lt;85.5</formula>
    </cfRule>
    <cfRule type="expression" dxfId="3824" priority="4450">
      <formula>G692&gt;85.5</formula>
    </cfRule>
  </conditionalFormatting>
  <conditionalFormatting sqref="G693">
    <cfRule type="expression" dxfId="3823" priority="4438">
      <formula>G693="**"</formula>
    </cfRule>
    <cfRule type="expression" dxfId="3822" priority="4439">
      <formula>G693=""</formula>
    </cfRule>
    <cfRule type="expression" dxfId="3821" priority="4440">
      <formula>G693&lt;44.5</formula>
    </cfRule>
    <cfRule type="expression" dxfId="3820" priority="4441">
      <formula>G693&lt;60.5</formula>
    </cfRule>
    <cfRule type="expression" dxfId="3819" priority="4442">
      <formula>G693&lt;85.5</formula>
    </cfRule>
    <cfRule type="expression" dxfId="3818" priority="4443">
      <formula>G693&gt;85.5</formula>
    </cfRule>
  </conditionalFormatting>
  <conditionalFormatting sqref="G695">
    <cfRule type="expression" dxfId="3817" priority="4427">
      <formula>G695="**"</formula>
    </cfRule>
    <cfRule type="expression" dxfId="3816" priority="4428">
      <formula>G695=""</formula>
    </cfRule>
    <cfRule type="expression" dxfId="3815" priority="4429">
      <formula>G695&lt;44.5</formula>
    </cfRule>
    <cfRule type="expression" dxfId="3814" priority="4430">
      <formula>G695&lt;60.5</formula>
    </cfRule>
    <cfRule type="expression" dxfId="3813" priority="4431">
      <formula>G695&lt;85.5</formula>
    </cfRule>
    <cfRule type="expression" dxfId="3812" priority="4432">
      <formula>G695&gt;85.5</formula>
    </cfRule>
  </conditionalFormatting>
  <conditionalFormatting sqref="H691">
    <cfRule type="expression" dxfId="3811" priority="4420">
      <formula>H691="**"</formula>
    </cfRule>
    <cfRule type="expression" dxfId="3810" priority="4421">
      <formula>H691=""</formula>
    </cfRule>
    <cfRule type="expression" dxfId="3809" priority="4422">
      <formula>H691&lt;44.5</formula>
    </cfRule>
    <cfRule type="expression" dxfId="3808" priority="4423">
      <formula>H691&lt;60.5</formula>
    </cfRule>
    <cfRule type="expression" dxfId="3807" priority="4424">
      <formula>H691&lt;85.5</formula>
    </cfRule>
    <cfRule type="expression" dxfId="3806" priority="4425">
      <formula>H691&gt;85.5</formula>
    </cfRule>
  </conditionalFormatting>
  <conditionalFormatting sqref="H691:H693 H695">
    <cfRule type="expression" dxfId="3805" priority="4395">
      <formula>H$690=""</formula>
    </cfRule>
  </conditionalFormatting>
  <conditionalFormatting sqref="H692">
    <cfRule type="expression" dxfId="3804" priority="4413">
      <formula>H692="**"</formula>
    </cfRule>
    <cfRule type="expression" dxfId="3803" priority="4414">
      <formula>H692=""</formula>
    </cfRule>
    <cfRule type="expression" dxfId="3802" priority="4415">
      <formula>H692&lt;44.5</formula>
    </cfRule>
    <cfRule type="expression" dxfId="3801" priority="4416">
      <formula>H692&lt;60.5</formula>
    </cfRule>
    <cfRule type="expression" dxfId="3800" priority="4417">
      <formula>H692&lt;85.5</formula>
    </cfRule>
    <cfRule type="expression" dxfId="3799" priority="4419">
      <formula>H692&gt;85.5</formula>
    </cfRule>
  </conditionalFormatting>
  <conditionalFormatting sqref="H693">
    <cfRule type="expression" dxfId="3798" priority="4407">
      <formula>H693="**"</formula>
    </cfRule>
    <cfRule type="expression" dxfId="3797" priority="4408">
      <formula>H693=""</formula>
    </cfRule>
    <cfRule type="expression" dxfId="3796" priority="4409">
      <formula>H693&lt;44.5</formula>
    </cfRule>
    <cfRule type="expression" dxfId="3795" priority="4410">
      <formula>H693&lt;60.5</formula>
    </cfRule>
    <cfRule type="expression" dxfId="3794" priority="4411">
      <formula>H693&lt;85.5</formula>
    </cfRule>
    <cfRule type="expression" dxfId="3793" priority="4412">
      <formula>H693&gt;85.5</formula>
    </cfRule>
  </conditionalFormatting>
  <conditionalFormatting sqref="H695">
    <cfRule type="expression" dxfId="3792" priority="4396">
      <formula>H695="**"</formula>
    </cfRule>
    <cfRule type="expression" dxfId="3791" priority="4397">
      <formula>H695=""</formula>
    </cfRule>
    <cfRule type="expression" dxfId="3790" priority="4398">
      <formula>H695&lt;44.5</formula>
    </cfRule>
    <cfRule type="expression" dxfId="3789" priority="4399">
      <formula>H695&lt;60.5</formula>
    </cfRule>
    <cfRule type="expression" dxfId="3788" priority="4400">
      <formula>H695&lt;85.5</formula>
    </cfRule>
    <cfRule type="expression" dxfId="3787" priority="4401">
      <formula>H695&gt;85.5</formula>
    </cfRule>
  </conditionalFormatting>
  <conditionalFormatting sqref="I691">
    <cfRule type="expression" dxfId="3786" priority="4389">
      <formula>I691="**"</formula>
    </cfRule>
    <cfRule type="expression" dxfId="3785" priority="4390">
      <formula>I691=""</formula>
    </cfRule>
    <cfRule type="expression" dxfId="3784" priority="4391">
      <formula>I691&lt;44.5</formula>
    </cfRule>
    <cfRule type="expression" dxfId="3783" priority="4392">
      <formula>I691&lt;60.5</formula>
    </cfRule>
    <cfRule type="expression" dxfId="3782" priority="4393">
      <formula>I691&lt;85.5</formula>
    </cfRule>
    <cfRule type="expression" dxfId="3781" priority="4394">
      <formula>I691&gt;85.5</formula>
    </cfRule>
  </conditionalFormatting>
  <conditionalFormatting sqref="I691:I693 I695">
    <cfRule type="expression" dxfId="3780" priority="4364">
      <formula>I$690=""</formula>
    </cfRule>
  </conditionalFormatting>
  <conditionalFormatting sqref="I692">
    <cfRule type="expression" dxfId="3779" priority="4382">
      <formula>I692="**"</formula>
    </cfRule>
    <cfRule type="expression" dxfId="3778" priority="4383">
      <formula>I692=""</formula>
    </cfRule>
    <cfRule type="expression" dxfId="3777" priority="4384">
      <formula>I692&lt;44.5</formula>
    </cfRule>
    <cfRule type="expression" dxfId="3776" priority="4385">
      <formula>I692&lt;60.5</formula>
    </cfRule>
    <cfRule type="expression" dxfId="3775" priority="4386">
      <formula>I692&lt;85.5</formula>
    </cfRule>
    <cfRule type="expression" dxfId="3774" priority="4388">
      <formula>I692&gt;85.5</formula>
    </cfRule>
  </conditionalFormatting>
  <conditionalFormatting sqref="I693">
    <cfRule type="expression" dxfId="3773" priority="4376">
      <formula>I693="**"</formula>
    </cfRule>
    <cfRule type="expression" dxfId="3772" priority="4377">
      <formula>I693=""</formula>
    </cfRule>
    <cfRule type="expression" dxfId="3771" priority="4378">
      <formula>I693&lt;44.5</formula>
    </cfRule>
    <cfRule type="expression" dxfId="3770" priority="4379">
      <formula>I693&lt;60.5</formula>
    </cfRule>
    <cfRule type="expression" dxfId="3769" priority="4380">
      <formula>I693&lt;85.5</formula>
    </cfRule>
    <cfRule type="expression" dxfId="3768" priority="4381">
      <formula>I693&gt;85.5</formula>
    </cfRule>
  </conditionalFormatting>
  <conditionalFormatting sqref="I695">
    <cfRule type="expression" dxfId="3767" priority="4365">
      <formula>I695="**"</formula>
    </cfRule>
    <cfRule type="expression" dxfId="3766" priority="4366">
      <formula>I695=""</formula>
    </cfRule>
    <cfRule type="expression" dxfId="3765" priority="4367">
      <formula>I695&lt;44.5</formula>
    </cfRule>
    <cfRule type="expression" dxfId="3764" priority="4368">
      <formula>I695&lt;60.5</formula>
    </cfRule>
    <cfRule type="expression" dxfId="3763" priority="4369">
      <formula>I695&lt;85.5</formula>
    </cfRule>
    <cfRule type="expression" dxfId="3762" priority="4370">
      <formula>I695&gt;85.5</formula>
    </cfRule>
  </conditionalFormatting>
  <conditionalFormatting sqref="J691">
    <cfRule type="expression" dxfId="3761" priority="4358">
      <formula>J691="**"</formula>
    </cfRule>
    <cfRule type="expression" dxfId="3760" priority="4359">
      <formula>J691=""</formula>
    </cfRule>
    <cfRule type="expression" dxfId="3759" priority="4360">
      <formula>J691&lt;44.5</formula>
    </cfRule>
    <cfRule type="expression" dxfId="3758" priority="4361">
      <formula>J691&lt;60.5</formula>
    </cfRule>
    <cfRule type="expression" dxfId="3757" priority="4362">
      <formula>J691&lt;85.5</formula>
    </cfRule>
    <cfRule type="expression" dxfId="3756" priority="4363">
      <formula>J691&gt;85.5</formula>
    </cfRule>
  </conditionalFormatting>
  <conditionalFormatting sqref="J691:J693 J695">
    <cfRule type="expression" dxfId="3755" priority="4333">
      <formula>J$690=""</formula>
    </cfRule>
  </conditionalFormatting>
  <conditionalFormatting sqref="J692">
    <cfRule type="expression" dxfId="3754" priority="4351">
      <formula>J692="**"</formula>
    </cfRule>
    <cfRule type="expression" dxfId="3753" priority="4352">
      <formula>J692=""</formula>
    </cfRule>
    <cfRule type="expression" dxfId="3752" priority="4353">
      <formula>J692&lt;44.5</formula>
    </cfRule>
    <cfRule type="expression" dxfId="3751" priority="4354">
      <formula>J692&lt;60.5</formula>
    </cfRule>
    <cfRule type="expression" dxfId="3750" priority="4355">
      <formula>J692&lt;85.5</formula>
    </cfRule>
    <cfRule type="expression" dxfId="3749" priority="4357">
      <formula>J692&gt;85.5</formula>
    </cfRule>
  </conditionalFormatting>
  <conditionalFormatting sqref="J693">
    <cfRule type="expression" dxfId="3748" priority="4345">
      <formula>J693="**"</formula>
    </cfRule>
    <cfRule type="expression" dxfId="3747" priority="4346">
      <formula>J693=""</formula>
    </cfRule>
    <cfRule type="expression" dxfId="3746" priority="4347">
      <formula>J693&lt;44.5</formula>
    </cfRule>
    <cfRule type="expression" dxfId="3745" priority="4348">
      <formula>J693&lt;60.5</formula>
    </cfRule>
    <cfRule type="expression" dxfId="3744" priority="4349">
      <formula>J693&lt;85.5</formula>
    </cfRule>
    <cfRule type="expression" dxfId="3743" priority="4350">
      <formula>J693&gt;85.5</formula>
    </cfRule>
  </conditionalFormatting>
  <conditionalFormatting sqref="J695">
    <cfRule type="expression" dxfId="3742" priority="4334">
      <formula>J695="**"</formula>
    </cfRule>
    <cfRule type="expression" dxfId="3741" priority="4335">
      <formula>J695=""</formula>
    </cfRule>
    <cfRule type="expression" dxfId="3740" priority="4336">
      <formula>J695&lt;44.5</formula>
    </cfRule>
    <cfRule type="expression" dxfId="3739" priority="4337">
      <formula>J695&lt;60.5</formula>
    </cfRule>
    <cfRule type="expression" dxfId="3738" priority="4338">
      <formula>J695&lt;85.5</formula>
    </cfRule>
    <cfRule type="expression" dxfId="3737" priority="4339">
      <formula>J695&gt;85.5</formula>
    </cfRule>
  </conditionalFormatting>
  <conditionalFormatting sqref="K691">
    <cfRule type="expression" dxfId="3736" priority="4327">
      <formula>K691="**"</formula>
    </cfRule>
    <cfRule type="expression" dxfId="3735" priority="4328">
      <formula>K691=""</formula>
    </cfRule>
    <cfRule type="expression" dxfId="3734" priority="4329">
      <formula>K691&lt;44.5</formula>
    </cfRule>
    <cfRule type="expression" dxfId="3733" priority="4330">
      <formula>K691&lt;60.5</formula>
    </cfRule>
    <cfRule type="expression" dxfId="3732" priority="4331">
      <formula>K691&lt;85.5</formula>
    </cfRule>
    <cfRule type="expression" dxfId="3731" priority="4332">
      <formula>K691&gt;85.5</formula>
    </cfRule>
  </conditionalFormatting>
  <conditionalFormatting sqref="K691:K693 K695">
    <cfRule type="expression" dxfId="3730" priority="4302">
      <formula>K$690=""</formula>
    </cfRule>
  </conditionalFormatting>
  <conditionalFormatting sqref="K692">
    <cfRule type="expression" dxfId="3729" priority="4320">
      <formula>K692="**"</formula>
    </cfRule>
    <cfRule type="expression" dxfId="3728" priority="4321">
      <formula>K692=""</formula>
    </cfRule>
    <cfRule type="expression" dxfId="3727" priority="4322">
      <formula>K692&lt;44.5</formula>
    </cfRule>
    <cfRule type="expression" dxfId="3726" priority="4323">
      <formula>K692&lt;60.5</formula>
    </cfRule>
    <cfRule type="expression" dxfId="3725" priority="4324">
      <formula>K692&lt;85.5</formula>
    </cfRule>
    <cfRule type="expression" dxfId="3724" priority="4326">
      <formula>K692&gt;85.5</formula>
    </cfRule>
  </conditionalFormatting>
  <conditionalFormatting sqref="K693">
    <cfRule type="expression" dxfId="3723" priority="4314">
      <formula>K693="**"</formula>
    </cfRule>
    <cfRule type="expression" dxfId="3722" priority="4315">
      <formula>K693=""</formula>
    </cfRule>
    <cfRule type="expression" dxfId="3721" priority="4316">
      <formula>K693&lt;44.5</formula>
    </cfRule>
    <cfRule type="expression" dxfId="3720" priority="4317">
      <formula>K693&lt;60.5</formula>
    </cfRule>
    <cfRule type="expression" dxfId="3719" priority="4318">
      <formula>K693&lt;85.5</formula>
    </cfRule>
    <cfRule type="expression" dxfId="3718" priority="4319">
      <formula>K693&gt;85.5</formula>
    </cfRule>
  </conditionalFormatting>
  <conditionalFormatting sqref="K695">
    <cfRule type="expression" dxfId="3717" priority="4303">
      <formula>K695="**"</formula>
    </cfRule>
    <cfRule type="expression" dxfId="3716" priority="4304">
      <formula>K695=""</formula>
    </cfRule>
    <cfRule type="expression" dxfId="3715" priority="4305">
      <formula>K695&lt;44.5</formula>
    </cfRule>
    <cfRule type="expression" dxfId="3714" priority="4306">
      <formula>K695&lt;60.5</formula>
    </cfRule>
    <cfRule type="expression" dxfId="3713" priority="4307">
      <formula>K695&lt;85.5</formula>
    </cfRule>
    <cfRule type="expression" dxfId="3712" priority="4308">
      <formula>K695&gt;85.5</formula>
    </cfRule>
  </conditionalFormatting>
  <conditionalFormatting sqref="L691">
    <cfRule type="expression" dxfId="3711" priority="4296">
      <formula>L691="**"</formula>
    </cfRule>
    <cfRule type="expression" dxfId="3710" priority="4297">
      <formula>L691=""</formula>
    </cfRule>
    <cfRule type="expression" dxfId="3709" priority="4298">
      <formula>L691&lt;44.5</formula>
    </cfRule>
    <cfRule type="expression" dxfId="3708" priority="4299">
      <formula>L691&lt;60.5</formula>
    </cfRule>
    <cfRule type="expression" dxfId="3707" priority="4300">
      <formula>L691&lt;85.5</formula>
    </cfRule>
    <cfRule type="expression" dxfId="3706" priority="4301">
      <formula>L691&gt;85.5</formula>
    </cfRule>
  </conditionalFormatting>
  <conditionalFormatting sqref="L691:L693 L695">
    <cfRule type="expression" dxfId="3705" priority="4271">
      <formula>L$690=""</formula>
    </cfRule>
  </conditionalFormatting>
  <conditionalFormatting sqref="L692">
    <cfRule type="expression" dxfId="3704" priority="4289">
      <formula>L692="**"</formula>
    </cfRule>
    <cfRule type="expression" dxfId="3703" priority="4290">
      <formula>L692=""</formula>
    </cfRule>
    <cfRule type="expression" dxfId="3702" priority="4291">
      <formula>L692&lt;44.5</formula>
    </cfRule>
    <cfRule type="expression" dxfId="3701" priority="4292">
      <formula>L692&lt;60.5</formula>
    </cfRule>
    <cfRule type="expression" dxfId="3700" priority="4293">
      <formula>L692&lt;85.5</formula>
    </cfRule>
    <cfRule type="expression" dxfId="3699" priority="4295">
      <formula>L692&gt;85.5</formula>
    </cfRule>
  </conditionalFormatting>
  <conditionalFormatting sqref="L693">
    <cfRule type="expression" dxfId="3698" priority="4283">
      <formula>L693="**"</formula>
    </cfRule>
    <cfRule type="expression" dxfId="3697" priority="4284">
      <formula>L693=""</formula>
    </cfRule>
    <cfRule type="expression" dxfId="3696" priority="4285">
      <formula>L693&lt;44.5</formula>
    </cfRule>
    <cfRule type="expression" dxfId="3695" priority="4286">
      <formula>L693&lt;60.5</formula>
    </cfRule>
    <cfRule type="expression" dxfId="3694" priority="4287">
      <formula>L693&lt;85.5</formula>
    </cfRule>
    <cfRule type="expression" dxfId="3693" priority="4288">
      <formula>L693&gt;85.5</formula>
    </cfRule>
  </conditionalFormatting>
  <conditionalFormatting sqref="L695">
    <cfRule type="expression" dxfId="3692" priority="4272">
      <formula>L695="**"</formula>
    </cfRule>
    <cfRule type="expression" dxfId="3691" priority="4273">
      <formula>L695=""</formula>
    </cfRule>
    <cfRule type="expression" dxfId="3690" priority="4274">
      <formula>L695&lt;44.5</formula>
    </cfRule>
    <cfRule type="expression" dxfId="3689" priority="4275">
      <formula>L695&lt;60.5</formula>
    </cfRule>
    <cfRule type="expression" dxfId="3688" priority="4276">
      <formula>L695&lt;85.5</formula>
    </cfRule>
    <cfRule type="expression" dxfId="3687" priority="4277">
      <formula>L695&gt;85.5</formula>
    </cfRule>
  </conditionalFormatting>
  <conditionalFormatting sqref="C721">
    <cfRule type="expression" dxfId="3686" priority="4265">
      <formula>C721="**"</formula>
    </cfRule>
    <cfRule type="expression" dxfId="3685" priority="4266">
      <formula>C721=""</formula>
    </cfRule>
    <cfRule type="expression" dxfId="3684" priority="4267">
      <formula>C721&lt;44.5</formula>
    </cfRule>
    <cfRule type="expression" dxfId="3683" priority="4268">
      <formula>C721&lt;60.5</formula>
    </cfRule>
    <cfRule type="expression" dxfId="3682" priority="4269">
      <formula>C721&lt;85.5</formula>
    </cfRule>
    <cfRule type="expression" dxfId="3681" priority="4270">
      <formula>C721&gt;85.5</formula>
    </cfRule>
  </conditionalFormatting>
  <conditionalFormatting sqref="C721:C725">
    <cfRule type="expression" dxfId="3680" priority="4240">
      <formula>C$720=""</formula>
    </cfRule>
  </conditionalFormatting>
  <conditionalFormatting sqref="C722">
    <cfRule type="expression" dxfId="3679" priority="4258">
      <formula>C722="**"</formula>
    </cfRule>
    <cfRule type="expression" dxfId="3678" priority="4259">
      <formula>C722=""</formula>
    </cfRule>
    <cfRule type="expression" dxfId="3677" priority="4260">
      <formula>C722&lt;44.5</formula>
    </cfRule>
    <cfRule type="expression" dxfId="3676" priority="4261">
      <formula>C722&lt;60.5</formula>
    </cfRule>
    <cfRule type="expression" dxfId="3675" priority="4262">
      <formula>C722&lt;85.5</formula>
    </cfRule>
    <cfRule type="expression" dxfId="3674" priority="4264">
      <formula>C722&gt;85.5</formula>
    </cfRule>
  </conditionalFormatting>
  <conditionalFormatting sqref="C723">
    <cfRule type="expression" dxfId="3673" priority="4252">
      <formula>C723="**"</formula>
    </cfRule>
    <cfRule type="expression" dxfId="3672" priority="4253">
      <formula>C723=""</formula>
    </cfRule>
    <cfRule type="expression" dxfId="3671" priority="4254">
      <formula>C723&lt;44.5</formula>
    </cfRule>
    <cfRule type="expression" dxfId="3670" priority="4255">
      <formula>C723&lt;60.5</formula>
    </cfRule>
    <cfRule type="expression" dxfId="3669" priority="4256">
      <formula>C723&lt;85.5</formula>
    </cfRule>
    <cfRule type="expression" dxfId="3668" priority="4257">
      <formula>C723&gt;85.5</formula>
    </cfRule>
  </conditionalFormatting>
  <conditionalFormatting sqref="C724">
    <cfRule type="expression" dxfId="3667" priority="4247">
      <formula>C724="**"</formula>
    </cfRule>
    <cfRule type="expression" dxfId="3666" priority="4248">
      <formula>C724=""</formula>
    </cfRule>
    <cfRule type="expression" dxfId="3665" priority="4249">
      <formula>C724&lt;44.5</formula>
    </cfRule>
    <cfRule type="expression" dxfId="3664" priority="4250">
      <formula>C724&lt;60.5</formula>
    </cfRule>
    <cfRule type="expression" dxfId="3663" priority="4251">
      <formula>C724&lt;85.5</formula>
    </cfRule>
    <cfRule type="expression" dxfId="3662" priority="4263">
      <formula>C724&gt;85.5</formula>
    </cfRule>
  </conditionalFormatting>
  <conditionalFormatting sqref="C725">
    <cfRule type="expression" dxfId="3661" priority="4241">
      <formula>C725="**"</formula>
    </cfRule>
    <cfRule type="expression" dxfId="3660" priority="4242">
      <formula>C725=""</formula>
    </cfRule>
    <cfRule type="expression" dxfId="3659" priority="4243">
      <formula>C725&lt;44.5</formula>
    </cfRule>
    <cfRule type="expression" dxfId="3658" priority="4244">
      <formula>C725&lt;60.5</formula>
    </cfRule>
    <cfRule type="expression" dxfId="3657" priority="4245">
      <formula>C725&lt;85.5</formula>
    </cfRule>
    <cfRule type="expression" dxfId="3656" priority="4246">
      <formula>C725&gt;85.5</formula>
    </cfRule>
  </conditionalFormatting>
  <conditionalFormatting sqref="D721">
    <cfRule type="expression" dxfId="3655" priority="4234">
      <formula>D721="**"</formula>
    </cfRule>
    <cfRule type="expression" dxfId="3654" priority="4235">
      <formula>D721=""</formula>
    </cfRule>
    <cfRule type="expression" dxfId="3653" priority="4236">
      <formula>D721&lt;44.5</formula>
    </cfRule>
    <cfRule type="expression" dxfId="3652" priority="4237">
      <formula>D721&lt;60.5</formula>
    </cfRule>
    <cfRule type="expression" dxfId="3651" priority="4238">
      <formula>D721&lt;85.5</formula>
    </cfRule>
    <cfRule type="expression" dxfId="3650" priority="4239">
      <formula>D721&gt;85.5</formula>
    </cfRule>
  </conditionalFormatting>
  <conditionalFormatting sqref="D721:D723 D725">
    <cfRule type="expression" dxfId="3649" priority="4209">
      <formula>D$720=""</formula>
    </cfRule>
  </conditionalFormatting>
  <conditionalFormatting sqref="D722">
    <cfRule type="expression" dxfId="3648" priority="4227">
      <formula>D722="**"</formula>
    </cfRule>
    <cfRule type="expression" dxfId="3647" priority="4228">
      <formula>D722=""</formula>
    </cfRule>
    <cfRule type="expression" dxfId="3646" priority="4229">
      <formula>D722&lt;44.5</formula>
    </cfRule>
    <cfRule type="expression" dxfId="3645" priority="4230">
      <formula>D722&lt;60.5</formula>
    </cfRule>
    <cfRule type="expression" dxfId="3644" priority="4231">
      <formula>D722&lt;85.5</formula>
    </cfRule>
    <cfRule type="expression" dxfId="3643" priority="4233">
      <formula>D722&gt;85.5</formula>
    </cfRule>
  </conditionalFormatting>
  <conditionalFormatting sqref="D723">
    <cfRule type="expression" dxfId="3642" priority="4221">
      <formula>D723="**"</formula>
    </cfRule>
    <cfRule type="expression" dxfId="3641" priority="4222">
      <formula>D723=""</formula>
    </cfRule>
    <cfRule type="expression" dxfId="3640" priority="4223">
      <formula>D723&lt;44.5</formula>
    </cfRule>
    <cfRule type="expression" dxfId="3639" priority="4224">
      <formula>D723&lt;60.5</formula>
    </cfRule>
    <cfRule type="expression" dxfId="3638" priority="4225">
      <formula>D723&lt;85.5</formula>
    </cfRule>
    <cfRule type="expression" dxfId="3637" priority="4226">
      <formula>D723&gt;85.5</formula>
    </cfRule>
  </conditionalFormatting>
  <conditionalFormatting sqref="D725">
    <cfRule type="expression" dxfId="3636" priority="4210">
      <formula>D725="**"</formula>
    </cfRule>
    <cfRule type="expression" dxfId="3635" priority="4211">
      <formula>D725=""</formula>
    </cfRule>
    <cfRule type="expression" dxfId="3634" priority="4212">
      <formula>D725&lt;44.5</formula>
    </cfRule>
    <cfRule type="expression" dxfId="3633" priority="4213">
      <formula>D725&lt;60.5</formula>
    </cfRule>
    <cfRule type="expression" dxfId="3632" priority="4214">
      <formula>D725&lt;85.5</formula>
    </cfRule>
    <cfRule type="expression" dxfId="3631" priority="4215">
      <formula>D725&gt;85.5</formula>
    </cfRule>
  </conditionalFormatting>
  <conditionalFormatting sqref="E721">
    <cfRule type="expression" dxfId="3630" priority="4203">
      <formula>E721="**"</formula>
    </cfRule>
    <cfRule type="expression" dxfId="3629" priority="4204">
      <formula>E721=""</formula>
    </cfRule>
    <cfRule type="expression" dxfId="3628" priority="4205">
      <formula>E721&lt;44.5</formula>
    </cfRule>
    <cfRule type="expression" dxfId="3627" priority="4206">
      <formula>E721&lt;60.5</formula>
    </cfRule>
    <cfRule type="expression" dxfId="3626" priority="4207">
      <formula>E721&lt;85.5</formula>
    </cfRule>
    <cfRule type="expression" dxfId="3625" priority="4208">
      <formula>E721&gt;85.5</formula>
    </cfRule>
  </conditionalFormatting>
  <conditionalFormatting sqref="E721:E723 E725">
    <cfRule type="expression" dxfId="3624" priority="4178">
      <formula>E$720=""</formula>
    </cfRule>
  </conditionalFormatting>
  <conditionalFormatting sqref="E722">
    <cfRule type="expression" dxfId="3623" priority="4196">
      <formula>E722="**"</formula>
    </cfRule>
    <cfRule type="expression" dxfId="3622" priority="4197">
      <formula>E722=""</formula>
    </cfRule>
    <cfRule type="expression" dxfId="3621" priority="4198">
      <formula>E722&lt;44.5</formula>
    </cfRule>
    <cfRule type="expression" dxfId="3620" priority="4199">
      <formula>E722&lt;60.5</formula>
    </cfRule>
    <cfRule type="expression" dxfId="3619" priority="4200">
      <formula>E722&lt;85.5</formula>
    </cfRule>
    <cfRule type="expression" dxfId="3618" priority="4202">
      <formula>E722&gt;85.5</formula>
    </cfRule>
  </conditionalFormatting>
  <conditionalFormatting sqref="E723">
    <cfRule type="expression" dxfId="3617" priority="4190">
      <formula>E723="**"</formula>
    </cfRule>
    <cfRule type="expression" dxfId="3616" priority="4191">
      <formula>E723=""</formula>
    </cfRule>
    <cfRule type="expression" dxfId="3615" priority="4192">
      <formula>E723&lt;44.5</formula>
    </cfRule>
    <cfRule type="expression" dxfId="3614" priority="4193">
      <formula>E723&lt;60.5</formula>
    </cfRule>
    <cfRule type="expression" dxfId="3613" priority="4194">
      <formula>E723&lt;85.5</formula>
    </cfRule>
    <cfRule type="expression" dxfId="3612" priority="4195">
      <formula>E723&gt;85.5</formula>
    </cfRule>
  </conditionalFormatting>
  <conditionalFormatting sqref="E725">
    <cfRule type="expression" dxfId="3611" priority="4179">
      <formula>E725="**"</formula>
    </cfRule>
    <cfRule type="expression" dxfId="3610" priority="4180">
      <formula>E725=""</formula>
    </cfRule>
    <cfRule type="expression" dxfId="3609" priority="4181">
      <formula>E725&lt;44.5</formula>
    </cfRule>
    <cfRule type="expression" dxfId="3608" priority="4182">
      <formula>E725&lt;60.5</formula>
    </cfRule>
    <cfRule type="expression" dxfId="3607" priority="4183">
      <formula>E725&lt;85.5</formula>
    </cfRule>
    <cfRule type="expression" dxfId="3606" priority="4184">
      <formula>E725&gt;85.5</formula>
    </cfRule>
  </conditionalFormatting>
  <conditionalFormatting sqref="F721">
    <cfRule type="expression" dxfId="3605" priority="4172">
      <formula>F721="**"</formula>
    </cfRule>
    <cfRule type="expression" dxfId="3604" priority="4173">
      <formula>F721=""</formula>
    </cfRule>
    <cfRule type="expression" dxfId="3603" priority="4174">
      <formula>F721&lt;44.5</formula>
    </cfRule>
    <cfRule type="expression" dxfId="3602" priority="4175">
      <formula>F721&lt;60.5</formula>
    </cfRule>
    <cfRule type="expression" dxfId="3601" priority="4176">
      <formula>F721&lt;85.5</formula>
    </cfRule>
    <cfRule type="expression" dxfId="3600" priority="4177">
      <formula>F721&gt;85.5</formula>
    </cfRule>
  </conditionalFormatting>
  <conditionalFormatting sqref="F721:F723 F725">
    <cfRule type="expression" dxfId="3599" priority="4147">
      <formula>F$720=""</formula>
    </cfRule>
  </conditionalFormatting>
  <conditionalFormatting sqref="F722">
    <cfRule type="expression" dxfId="3598" priority="4165">
      <formula>F722="**"</formula>
    </cfRule>
    <cfRule type="expression" dxfId="3597" priority="4166">
      <formula>F722=""</formula>
    </cfRule>
    <cfRule type="expression" dxfId="3596" priority="4167">
      <formula>F722&lt;44.5</formula>
    </cfRule>
    <cfRule type="expression" dxfId="3595" priority="4168">
      <formula>F722&lt;60.5</formula>
    </cfRule>
    <cfRule type="expression" dxfId="3594" priority="4169">
      <formula>F722&lt;85.5</formula>
    </cfRule>
    <cfRule type="expression" dxfId="3593" priority="4171">
      <formula>F722&gt;85.5</formula>
    </cfRule>
  </conditionalFormatting>
  <conditionalFormatting sqref="F723">
    <cfRule type="expression" dxfId="3592" priority="4159">
      <formula>F723="**"</formula>
    </cfRule>
    <cfRule type="expression" dxfId="3591" priority="4160">
      <formula>F723=""</formula>
    </cfRule>
    <cfRule type="expression" dxfId="3590" priority="4161">
      <formula>F723&lt;44.5</formula>
    </cfRule>
    <cfRule type="expression" dxfId="3589" priority="4162">
      <formula>F723&lt;60.5</formula>
    </cfRule>
    <cfRule type="expression" dxfId="3588" priority="4163">
      <formula>F723&lt;85.5</formula>
    </cfRule>
    <cfRule type="expression" dxfId="3587" priority="4164">
      <formula>F723&gt;85.5</formula>
    </cfRule>
  </conditionalFormatting>
  <conditionalFormatting sqref="F725">
    <cfRule type="expression" dxfId="3586" priority="4148">
      <formula>F725="**"</formula>
    </cfRule>
    <cfRule type="expression" dxfId="3585" priority="4149">
      <formula>F725=""</formula>
    </cfRule>
    <cfRule type="expression" dxfId="3584" priority="4150">
      <formula>F725&lt;44.5</formula>
    </cfRule>
    <cfRule type="expression" dxfId="3583" priority="4151">
      <formula>F725&lt;60.5</formula>
    </cfRule>
    <cfRule type="expression" dxfId="3582" priority="4152">
      <formula>F725&lt;85.5</formula>
    </cfRule>
    <cfRule type="expression" dxfId="3581" priority="4153">
      <formula>F725&gt;85.5</formula>
    </cfRule>
  </conditionalFormatting>
  <conditionalFormatting sqref="G721">
    <cfRule type="expression" dxfId="3580" priority="4141">
      <formula>G721="**"</formula>
    </cfRule>
    <cfRule type="expression" dxfId="3579" priority="4142">
      <formula>G721=""</formula>
    </cfRule>
    <cfRule type="expression" dxfId="3578" priority="4143">
      <formula>G721&lt;44.5</formula>
    </cfRule>
    <cfRule type="expression" dxfId="3577" priority="4144">
      <formula>G721&lt;60.5</formula>
    </cfRule>
    <cfRule type="expression" dxfId="3576" priority="4145">
      <formula>G721&lt;85.5</formula>
    </cfRule>
    <cfRule type="expression" dxfId="3575" priority="4146">
      <formula>G721&gt;85.5</formula>
    </cfRule>
  </conditionalFormatting>
  <conditionalFormatting sqref="G721:G723 G725">
    <cfRule type="expression" dxfId="3574" priority="4116">
      <formula>G$720=""</formula>
    </cfRule>
  </conditionalFormatting>
  <conditionalFormatting sqref="G722">
    <cfRule type="expression" dxfId="3573" priority="4134">
      <formula>G722="**"</formula>
    </cfRule>
    <cfRule type="expression" dxfId="3572" priority="4135">
      <formula>G722=""</formula>
    </cfRule>
    <cfRule type="expression" dxfId="3571" priority="4136">
      <formula>G722&lt;44.5</formula>
    </cfRule>
    <cfRule type="expression" dxfId="3570" priority="4137">
      <formula>G722&lt;60.5</formula>
    </cfRule>
    <cfRule type="expression" dxfId="3569" priority="4138">
      <formula>G722&lt;85.5</formula>
    </cfRule>
    <cfRule type="expression" dxfId="3568" priority="4140">
      <formula>G722&gt;85.5</formula>
    </cfRule>
  </conditionalFormatting>
  <conditionalFormatting sqref="G723">
    <cfRule type="expression" dxfId="3567" priority="4128">
      <formula>G723="**"</formula>
    </cfRule>
    <cfRule type="expression" dxfId="3566" priority="4129">
      <formula>G723=""</formula>
    </cfRule>
    <cfRule type="expression" dxfId="3565" priority="4130">
      <formula>G723&lt;44.5</formula>
    </cfRule>
    <cfRule type="expression" dxfId="3564" priority="4131">
      <formula>G723&lt;60.5</formula>
    </cfRule>
    <cfRule type="expression" dxfId="3563" priority="4132">
      <formula>G723&lt;85.5</formula>
    </cfRule>
    <cfRule type="expression" dxfId="3562" priority="4133">
      <formula>G723&gt;85.5</formula>
    </cfRule>
  </conditionalFormatting>
  <conditionalFormatting sqref="G725">
    <cfRule type="expression" dxfId="3561" priority="4117">
      <formula>G725="**"</formula>
    </cfRule>
    <cfRule type="expression" dxfId="3560" priority="4118">
      <formula>G725=""</formula>
    </cfRule>
    <cfRule type="expression" dxfId="3559" priority="4119">
      <formula>G725&lt;44.5</formula>
    </cfRule>
    <cfRule type="expression" dxfId="3558" priority="4120">
      <formula>G725&lt;60.5</formula>
    </cfRule>
    <cfRule type="expression" dxfId="3557" priority="4121">
      <formula>G725&lt;85.5</formula>
    </cfRule>
    <cfRule type="expression" dxfId="3556" priority="4122">
      <formula>G725&gt;85.5</formula>
    </cfRule>
  </conditionalFormatting>
  <conditionalFormatting sqref="H721">
    <cfRule type="expression" dxfId="3555" priority="4110">
      <formula>H721="**"</formula>
    </cfRule>
    <cfRule type="expression" dxfId="3554" priority="4111">
      <formula>H721=""</formula>
    </cfRule>
    <cfRule type="expression" dxfId="3553" priority="4112">
      <formula>H721&lt;44.5</formula>
    </cfRule>
    <cfRule type="expression" dxfId="3552" priority="4113">
      <formula>H721&lt;60.5</formula>
    </cfRule>
    <cfRule type="expression" dxfId="3551" priority="4114">
      <formula>H721&lt;85.5</formula>
    </cfRule>
    <cfRule type="expression" dxfId="3550" priority="4115">
      <formula>H721&gt;85.5</formula>
    </cfRule>
  </conditionalFormatting>
  <conditionalFormatting sqref="H721:H723 H725">
    <cfRule type="expression" dxfId="3549" priority="4085">
      <formula>H$720=""</formula>
    </cfRule>
  </conditionalFormatting>
  <conditionalFormatting sqref="H722">
    <cfRule type="expression" dxfId="3548" priority="4103">
      <formula>H722="**"</formula>
    </cfRule>
    <cfRule type="expression" dxfId="3547" priority="4104">
      <formula>H722=""</formula>
    </cfRule>
    <cfRule type="expression" dxfId="3546" priority="4105">
      <formula>H722&lt;44.5</formula>
    </cfRule>
    <cfRule type="expression" dxfId="3545" priority="4106">
      <formula>H722&lt;60.5</formula>
    </cfRule>
    <cfRule type="expression" dxfId="3544" priority="4107">
      <formula>H722&lt;85.5</formula>
    </cfRule>
    <cfRule type="expression" dxfId="3543" priority="4109">
      <formula>H722&gt;85.5</formula>
    </cfRule>
  </conditionalFormatting>
  <conditionalFormatting sqref="H723">
    <cfRule type="expression" dxfId="3542" priority="4097">
      <formula>H723="**"</formula>
    </cfRule>
    <cfRule type="expression" dxfId="3541" priority="4098">
      <formula>H723=""</formula>
    </cfRule>
    <cfRule type="expression" dxfId="3540" priority="4099">
      <formula>H723&lt;44.5</formula>
    </cfRule>
    <cfRule type="expression" dxfId="3539" priority="4100">
      <formula>H723&lt;60.5</formula>
    </cfRule>
    <cfRule type="expression" dxfId="3538" priority="4101">
      <formula>H723&lt;85.5</formula>
    </cfRule>
    <cfRule type="expression" dxfId="3537" priority="4102">
      <formula>H723&gt;85.5</formula>
    </cfRule>
  </conditionalFormatting>
  <conditionalFormatting sqref="H725">
    <cfRule type="expression" dxfId="3536" priority="4086">
      <formula>H725="**"</formula>
    </cfRule>
    <cfRule type="expression" dxfId="3535" priority="4087">
      <formula>H725=""</formula>
    </cfRule>
    <cfRule type="expression" dxfId="3534" priority="4088">
      <formula>H725&lt;44.5</formula>
    </cfRule>
    <cfRule type="expression" dxfId="3533" priority="4089">
      <formula>H725&lt;60.5</formula>
    </cfRule>
    <cfRule type="expression" dxfId="3532" priority="4090">
      <formula>H725&lt;85.5</formula>
    </cfRule>
    <cfRule type="expression" dxfId="3531" priority="4091">
      <formula>H725&gt;85.5</formula>
    </cfRule>
  </conditionalFormatting>
  <conditionalFormatting sqref="I721">
    <cfRule type="expression" dxfId="3530" priority="4079">
      <formula>I721="**"</formula>
    </cfRule>
    <cfRule type="expression" dxfId="3529" priority="4080">
      <formula>I721=""</formula>
    </cfRule>
    <cfRule type="expression" dxfId="3528" priority="4081">
      <formula>I721&lt;44.5</formula>
    </cfRule>
    <cfRule type="expression" dxfId="3527" priority="4082">
      <formula>I721&lt;60.5</formula>
    </cfRule>
    <cfRule type="expression" dxfId="3526" priority="4083">
      <formula>I721&lt;85.5</formula>
    </cfRule>
    <cfRule type="expression" dxfId="3525" priority="4084">
      <formula>I721&gt;85.5</formula>
    </cfRule>
  </conditionalFormatting>
  <conditionalFormatting sqref="I721:I723 I725">
    <cfRule type="expression" dxfId="3524" priority="4054">
      <formula>I$720=""</formula>
    </cfRule>
  </conditionalFormatting>
  <conditionalFormatting sqref="I722">
    <cfRule type="expression" dxfId="3523" priority="4072">
      <formula>I722="**"</formula>
    </cfRule>
    <cfRule type="expression" dxfId="3522" priority="4073">
      <formula>I722=""</formula>
    </cfRule>
    <cfRule type="expression" dxfId="3521" priority="4074">
      <formula>I722&lt;44.5</formula>
    </cfRule>
    <cfRule type="expression" dxfId="3520" priority="4075">
      <formula>I722&lt;60.5</formula>
    </cfRule>
    <cfRule type="expression" dxfId="3519" priority="4076">
      <formula>I722&lt;85.5</formula>
    </cfRule>
    <cfRule type="expression" dxfId="3518" priority="4078">
      <formula>I722&gt;85.5</formula>
    </cfRule>
  </conditionalFormatting>
  <conditionalFormatting sqref="I723">
    <cfRule type="expression" dxfId="3517" priority="4066">
      <formula>I723="**"</formula>
    </cfRule>
    <cfRule type="expression" dxfId="3516" priority="4067">
      <formula>I723=""</formula>
    </cfRule>
    <cfRule type="expression" dxfId="3515" priority="4068">
      <formula>I723&lt;44.5</formula>
    </cfRule>
    <cfRule type="expression" dxfId="3514" priority="4069">
      <formula>I723&lt;60.5</formula>
    </cfRule>
    <cfRule type="expression" dxfId="3513" priority="4070">
      <formula>I723&lt;85.5</formula>
    </cfRule>
    <cfRule type="expression" dxfId="3512" priority="4071">
      <formula>I723&gt;85.5</formula>
    </cfRule>
  </conditionalFormatting>
  <conditionalFormatting sqref="I725">
    <cfRule type="expression" dxfId="3511" priority="4055">
      <formula>I725="**"</formula>
    </cfRule>
    <cfRule type="expression" dxfId="3510" priority="4056">
      <formula>I725=""</formula>
    </cfRule>
    <cfRule type="expression" dxfId="3509" priority="4057">
      <formula>I725&lt;44.5</formula>
    </cfRule>
    <cfRule type="expression" dxfId="3508" priority="4058">
      <formula>I725&lt;60.5</formula>
    </cfRule>
    <cfRule type="expression" dxfId="3507" priority="4059">
      <formula>I725&lt;85.5</formula>
    </cfRule>
    <cfRule type="expression" dxfId="3506" priority="4060">
      <formula>I725&gt;85.5</formula>
    </cfRule>
  </conditionalFormatting>
  <conditionalFormatting sqref="J721">
    <cfRule type="expression" dxfId="3505" priority="4048">
      <formula>J721="**"</formula>
    </cfRule>
    <cfRule type="expression" dxfId="3504" priority="4049">
      <formula>J721=""</formula>
    </cfRule>
    <cfRule type="expression" dxfId="3503" priority="4050">
      <formula>J721&lt;44.5</formula>
    </cfRule>
    <cfRule type="expression" dxfId="3502" priority="4051">
      <formula>J721&lt;60.5</formula>
    </cfRule>
    <cfRule type="expression" dxfId="3501" priority="4052">
      <formula>J721&lt;85.5</formula>
    </cfRule>
    <cfRule type="expression" dxfId="3500" priority="4053">
      <formula>J721&gt;85.5</formula>
    </cfRule>
  </conditionalFormatting>
  <conditionalFormatting sqref="J721:J723 J725">
    <cfRule type="expression" dxfId="3499" priority="4023">
      <formula>J$720=""</formula>
    </cfRule>
  </conditionalFormatting>
  <conditionalFormatting sqref="J722">
    <cfRule type="expression" dxfId="3498" priority="4041">
      <formula>J722="**"</formula>
    </cfRule>
    <cfRule type="expression" dxfId="3497" priority="4042">
      <formula>J722=""</formula>
    </cfRule>
    <cfRule type="expression" dxfId="3496" priority="4043">
      <formula>J722&lt;44.5</formula>
    </cfRule>
    <cfRule type="expression" dxfId="3495" priority="4044">
      <formula>J722&lt;60.5</formula>
    </cfRule>
    <cfRule type="expression" dxfId="3494" priority="4045">
      <formula>J722&lt;85.5</formula>
    </cfRule>
    <cfRule type="expression" dxfId="3493" priority="4047">
      <formula>J722&gt;85.5</formula>
    </cfRule>
  </conditionalFormatting>
  <conditionalFormatting sqref="J723">
    <cfRule type="expression" dxfId="3492" priority="4035">
      <formula>J723="**"</formula>
    </cfRule>
    <cfRule type="expression" dxfId="3491" priority="4036">
      <formula>J723=""</formula>
    </cfRule>
    <cfRule type="expression" dxfId="3490" priority="4037">
      <formula>J723&lt;44.5</formula>
    </cfRule>
    <cfRule type="expression" dxfId="3489" priority="4038">
      <formula>J723&lt;60.5</formula>
    </cfRule>
    <cfRule type="expression" dxfId="3488" priority="4039">
      <formula>J723&lt;85.5</formula>
    </cfRule>
    <cfRule type="expression" dxfId="3487" priority="4040">
      <formula>J723&gt;85.5</formula>
    </cfRule>
  </conditionalFormatting>
  <conditionalFormatting sqref="J725">
    <cfRule type="expression" dxfId="3486" priority="4024">
      <formula>J725="**"</formula>
    </cfRule>
    <cfRule type="expression" dxfId="3485" priority="4025">
      <formula>J725=""</formula>
    </cfRule>
    <cfRule type="expression" dxfId="3484" priority="4026">
      <formula>J725&lt;44.5</formula>
    </cfRule>
    <cfRule type="expression" dxfId="3483" priority="4027">
      <formula>J725&lt;60.5</formula>
    </cfRule>
    <cfRule type="expression" dxfId="3482" priority="4028">
      <formula>J725&lt;85.5</formula>
    </cfRule>
    <cfRule type="expression" dxfId="3481" priority="4029">
      <formula>J725&gt;85.5</formula>
    </cfRule>
  </conditionalFormatting>
  <conditionalFormatting sqref="K721">
    <cfRule type="expression" dxfId="3480" priority="4017">
      <formula>K721="**"</formula>
    </cfRule>
    <cfRule type="expression" dxfId="3479" priority="4018">
      <formula>K721=""</formula>
    </cfRule>
    <cfRule type="expression" dxfId="3478" priority="4019">
      <formula>K721&lt;44.5</formula>
    </cfRule>
    <cfRule type="expression" dxfId="3477" priority="4020">
      <formula>K721&lt;60.5</formula>
    </cfRule>
    <cfRule type="expression" dxfId="3476" priority="4021">
      <formula>K721&lt;85.5</formula>
    </cfRule>
    <cfRule type="expression" dxfId="3475" priority="4022">
      <formula>K721&gt;85.5</formula>
    </cfRule>
  </conditionalFormatting>
  <conditionalFormatting sqref="K721:K723 K725">
    <cfRule type="expression" dxfId="3474" priority="3992">
      <formula>K$720=""</formula>
    </cfRule>
  </conditionalFormatting>
  <conditionalFormatting sqref="K722">
    <cfRule type="expression" dxfId="3473" priority="4010">
      <formula>K722="**"</formula>
    </cfRule>
    <cfRule type="expression" dxfId="3472" priority="4011">
      <formula>K722=""</formula>
    </cfRule>
    <cfRule type="expression" dxfId="3471" priority="4012">
      <formula>K722&lt;44.5</formula>
    </cfRule>
    <cfRule type="expression" dxfId="3470" priority="4013">
      <formula>K722&lt;60.5</formula>
    </cfRule>
    <cfRule type="expression" dxfId="3469" priority="4014">
      <formula>K722&lt;85.5</formula>
    </cfRule>
    <cfRule type="expression" dxfId="3468" priority="4016">
      <formula>K722&gt;85.5</formula>
    </cfRule>
  </conditionalFormatting>
  <conditionalFormatting sqref="K723">
    <cfRule type="expression" dxfId="3467" priority="4004">
      <formula>K723="**"</formula>
    </cfRule>
    <cfRule type="expression" dxfId="3466" priority="4005">
      <formula>K723=""</formula>
    </cfRule>
    <cfRule type="expression" dxfId="3465" priority="4006">
      <formula>K723&lt;44.5</formula>
    </cfRule>
    <cfRule type="expression" dxfId="3464" priority="4007">
      <formula>K723&lt;60.5</formula>
    </cfRule>
    <cfRule type="expression" dxfId="3463" priority="4008">
      <formula>K723&lt;85.5</formula>
    </cfRule>
    <cfRule type="expression" dxfId="3462" priority="4009">
      <formula>K723&gt;85.5</formula>
    </cfRule>
  </conditionalFormatting>
  <conditionalFormatting sqref="K725">
    <cfRule type="expression" dxfId="3461" priority="3993">
      <formula>K725="**"</formula>
    </cfRule>
    <cfRule type="expression" dxfId="3460" priority="3994">
      <formula>K725=""</formula>
    </cfRule>
    <cfRule type="expression" dxfId="3459" priority="3995">
      <formula>K725&lt;44.5</formula>
    </cfRule>
    <cfRule type="expression" dxfId="3458" priority="3996">
      <formula>K725&lt;60.5</formula>
    </cfRule>
    <cfRule type="expression" dxfId="3457" priority="3997">
      <formula>K725&lt;85.5</formula>
    </cfRule>
    <cfRule type="expression" dxfId="3456" priority="3998">
      <formula>K725&gt;85.5</formula>
    </cfRule>
  </conditionalFormatting>
  <conditionalFormatting sqref="L721">
    <cfRule type="expression" dxfId="3455" priority="3986">
      <formula>L721="**"</formula>
    </cfRule>
    <cfRule type="expression" dxfId="3454" priority="3987">
      <formula>L721=""</formula>
    </cfRule>
    <cfRule type="expression" dxfId="3453" priority="3988">
      <formula>L721&lt;44.5</formula>
    </cfRule>
    <cfRule type="expression" dxfId="3452" priority="3989">
      <formula>L721&lt;60.5</formula>
    </cfRule>
    <cfRule type="expression" dxfId="3451" priority="3990">
      <formula>L721&lt;85.5</formula>
    </cfRule>
    <cfRule type="expression" dxfId="3450" priority="3991">
      <formula>L721&gt;85.5</formula>
    </cfRule>
  </conditionalFormatting>
  <conditionalFormatting sqref="L721:L723 L725">
    <cfRule type="expression" dxfId="3449" priority="3961">
      <formula>L$720=""</formula>
    </cfRule>
  </conditionalFormatting>
  <conditionalFormatting sqref="L722">
    <cfRule type="expression" dxfId="3448" priority="3979">
      <formula>L722="**"</formula>
    </cfRule>
    <cfRule type="expression" dxfId="3447" priority="3980">
      <formula>L722=""</formula>
    </cfRule>
    <cfRule type="expression" dxfId="3446" priority="3981">
      <formula>L722&lt;44.5</formula>
    </cfRule>
    <cfRule type="expression" dxfId="3445" priority="3982">
      <formula>L722&lt;60.5</formula>
    </cfRule>
    <cfRule type="expression" dxfId="3444" priority="3983">
      <formula>L722&lt;85.5</formula>
    </cfRule>
    <cfRule type="expression" dxfId="3443" priority="3985">
      <formula>L722&gt;85.5</formula>
    </cfRule>
  </conditionalFormatting>
  <conditionalFormatting sqref="L723">
    <cfRule type="expression" dxfId="3442" priority="3973">
      <formula>L723="**"</formula>
    </cfRule>
    <cfRule type="expression" dxfId="3441" priority="3974">
      <formula>L723=""</formula>
    </cfRule>
    <cfRule type="expression" dxfId="3440" priority="3975">
      <formula>L723&lt;44.5</formula>
    </cfRule>
    <cfRule type="expression" dxfId="3439" priority="3976">
      <formula>L723&lt;60.5</formula>
    </cfRule>
    <cfRule type="expression" dxfId="3438" priority="3977">
      <formula>L723&lt;85.5</formula>
    </cfRule>
    <cfRule type="expression" dxfId="3437" priority="3978">
      <formula>L723&gt;85.5</formula>
    </cfRule>
  </conditionalFormatting>
  <conditionalFormatting sqref="L725">
    <cfRule type="expression" dxfId="3436" priority="3962">
      <formula>L725="**"</formula>
    </cfRule>
    <cfRule type="expression" dxfId="3435" priority="3963">
      <formula>L725=""</formula>
    </cfRule>
    <cfRule type="expression" dxfId="3434" priority="3964">
      <formula>L725&lt;44.5</formula>
    </cfRule>
    <cfRule type="expression" dxfId="3433" priority="3965">
      <formula>L725&lt;60.5</formula>
    </cfRule>
    <cfRule type="expression" dxfId="3432" priority="3966">
      <formula>L725&lt;85.5</formula>
    </cfRule>
    <cfRule type="expression" dxfId="3431" priority="3967">
      <formula>L725&gt;85.5</formula>
    </cfRule>
  </conditionalFormatting>
  <conditionalFormatting sqref="C751">
    <cfRule type="expression" dxfId="3430" priority="3955">
      <formula>C751="**"</formula>
    </cfRule>
    <cfRule type="expression" dxfId="3429" priority="3956">
      <formula>C751=""</formula>
    </cfRule>
    <cfRule type="expression" dxfId="3428" priority="3957">
      <formula>C751&lt;44.5</formula>
    </cfRule>
    <cfRule type="expression" dxfId="3427" priority="3958">
      <formula>C751&lt;60.5</formula>
    </cfRule>
    <cfRule type="expression" dxfId="3426" priority="3959">
      <formula>C751&lt;85.5</formula>
    </cfRule>
    <cfRule type="expression" dxfId="3425" priority="3960">
      <formula>C751&gt;85.5</formula>
    </cfRule>
  </conditionalFormatting>
  <conditionalFormatting sqref="C751:C755">
    <cfRule type="expression" dxfId="3424" priority="3930">
      <formula>C$750=""</formula>
    </cfRule>
  </conditionalFormatting>
  <conditionalFormatting sqref="C752">
    <cfRule type="expression" dxfId="3423" priority="3948">
      <formula>C752="**"</formula>
    </cfRule>
    <cfRule type="expression" dxfId="3422" priority="3949">
      <formula>C752=""</formula>
    </cfRule>
    <cfRule type="expression" dxfId="3421" priority="3950">
      <formula>C752&lt;44.5</formula>
    </cfRule>
    <cfRule type="expression" dxfId="3420" priority="3951">
      <formula>C752&lt;60.5</formula>
    </cfRule>
    <cfRule type="expression" dxfId="3419" priority="3952">
      <formula>C752&lt;85.5</formula>
    </cfRule>
    <cfRule type="expression" dxfId="3418" priority="3954">
      <formula>C752&gt;85.5</formula>
    </cfRule>
  </conditionalFormatting>
  <conditionalFormatting sqref="C753">
    <cfRule type="expression" dxfId="3417" priority="3942">
      <formula>C753="**"</formula>
    </cfRule>
    <cfRule type="expression" dxfId="3416" priority="3943">
      <formula>C753=""</formula>
    </cfRule>
    <cfRule type="expression" dxfId="3415" priority="3944">
      <formula>C753&lt;44.5</formula>
    </cfRule>
    <cfRule type="expression" dxfId="3414" priority="3945">
      <formula>C753&lt;60.5</formula>
    </cfRule>
    <cfRule type="expression" dxfId="3413" priority="3946">
      <formula>C753&lt;85.5</formula>
    </cfRule>
    <cfRule type="expression" dxfId="3412" priority="3947">
      <formula>C753&gt;85.5</formula>
    </cfRule>
  </conditionalFormatting>
  <conditionalFormatting sqref="C754">
    <cfRule type="expression" dxfId="3411" priority="3937">
      <formula>C754="**"</formula>
    </cfRule>
    <cfRule type="expression" dxfId="3410" priority="3938">
      <formula>C754=""</formula>
    </cfRule>
    <cfRule type="expression" dxfId="3409" priority="3939">
      <formula>C754&lt;44.5</formula>
    </cfRule>
    <cfRule type="expression" dxfId="3408" priority="3940">
      <formula>C754&lt;60.5</formula>
    </cfRule>
    <cfRule type="expression" dxfId="3407" priority="3941">
      <formula>C754&lt;85.5</formula>
    </cfRule>
    <cfRule type="expression" dxfId="3406" priority="3953">
      <formula>C754&gt;85.5</formula>
    </cfRule>
  </conditionalFormatting>
  <conditionalFormatting sqref="C755">
    <cfRule type="expression" dxfId="3405" priority="3931">
      <formula>C755="**"</formula>
    </cfRule>
    <cfRule type="expression" dxfId="3404" priority="3932">
      <formula>C755=""</formula>
    </cfRule>
    <cfRule type="expression" dxfId="3403" priority="3933">
      <formula>C755&lt;44.5</formula>
    </cfRule>
    <cfRule type="expression" dxfId="3402" priority="3934">
      <formula>C755&lt;60.5</formula>
    </cfRule>
    <cfRule type="expression" dxfId="3401" priority="3935">
      <formula>C755&lt;85.5</formula>
    </cfRule>
    <cfRule type="expression" dxfId="3400" priority="3936">
      <formula>C755&gt;85.5</formula>
    </cfRule>
  </conditionalFormatting>
  <conditionalFormatting sqref="D751">
    <cfRule type="expression" dxfId="3399" priority="3924">
      <formula>D751="**"</formula>
    </cfRule>
    <cfRule type="expression" dxfId="3398" priority="3925">
      <formula>D751=""</formula>
    </cfRule>
    <cfRule type="expression" dxfId="3397" priority="3926">
      <formula>D751&lt;44.5</formula>
    </cfRule>
    <cfRule type="expression" dxfId="3396" priority="3927">
      <formula>D751&lt;60.5</formula>
    </cfRule>
    <cfRule type="expression" dxfId="3395" priority="3928">
      <formula>D751&lt;85.5</formula>
    </cfRule>
    <cfRule type="expression" dxfId="3394" priority="3929">
      <formula>D751&gt;85.5</formula>
    </cfRule>
  </conditionalFormatting>
  <conditionalFormatting sqref="D751:D753 D755">
    <cfRule type="expression" dxfId="3393" priority="3899">
      <formula>D$750=""</formula>
    </cfRule>
  </conditionalFormatting>
  <conditionalFormatting sqref="D752">
    <cfRule type="expression" dxfId="3392" priority="3917">
      <formula>D752="**"</formula>
    </cfRule>
    <cfRule type="expression" dxfId="3391" priority="3918">
      <formula>D752=""</formula>
    </cfRule>
    <cfRule type="expression" dxfId="3390" priority="3919">
      <formula>D752&lt;44.5</formula>
    </cfRule>
    <cfRule type="expression" dxfId="3389" priority="3920">
      <formula>D752&lt;60.5</formula>
    </cfRule>
    <cfRule type="expression" dxfId="3388" priority="3921">
      <formula>D752&lt;85.5</formula>
    </cfRule>
    <cfRule type="expression" dxfId="3387" priority="3923">
      <formula>D752&gt;85.5</formula>
    </cfRule>
  </conditionalFormatting>
  <conditionalFormatting sqref="D753">
    <cfRule type="expression" dxfId="3386" priority="3911">
      <formula>D753="**"</formula>
    </cfRule>
    <cfRule type="expression" dxfId="3385" priority="3912">
      <formula>D753=""</formula>
    </cfRule>
    <cfRule type="expression" dxfId="3384" priority="3913">
      <formula>D753&lt;44.5</formula>
    </cfRule>
    <cfRule type="expression" dxfId="3383" priority="3914">
      <formula>D753&lt;60.5</formula>
    </cfRule>
    <cfRule type="expression" dxfId="3382" priority="3915">
      <formula>D753&lt;85.5</formula>
    </cfRule>
    <cfRule type="expression" dxfId="3381" priority="3916">
      <formula>D753&gt;85.5</formula>
    </cfRule>
  </conditionalFormatting>
  <conditionalFormatting sqref="D755">
    <cfRule type="expression" dxfId="3380" priority="3900">
      <formula>D755="**"</formula>
    </cfRule>
    <cfRule type="expression" dxfId="3379" priority="3901">
      <formula>D755=""</formula>
    </cfRule>
    <cfRule type="expression" dxfId="3378" priority="3902">
      <formula>D755&lt;44.5</formula>
    </cfRule>
    <cfRule type="expression" dxfId="3377" priority="3903">
      <formula>D755&lt;60.5</formula>
    </cfRule>
    <cfRule type="expression" dxfId="3376" priority="3904">
      <formula>D755&lt;85.5</formula>
    </cfRule>
    <cfRule type="expression" dxfId="3375" priority="3905">
      <formula>D755&gt;85.5</formula>
    </cfRule>
  </conditionalFormatting>
  <conditionalFormatting sqref="E751">
    <cfRule type="expression" dxfId="3374" priority="3893">
      <formula>E751="**"</formula>
    </cfRule>
    <cfRule type="expression" dxfId="3373" priority="3894">
      <formula>E751=""</formula>
    </cfRule>
    <cfRule type="expression" dxfId="3372" priority="3895">
      <formula>E751&lt;44.5</formula>
    </cfRule>
    <cfRule type="expression" dxfId="3371" priority="3896">
      <formula>E751&lt;60.5</formula>
    </cfRule>
    <cfRule type="expression" dxfId="3370" priority="3897">
      <formula>E751&lt;85.5</formula>
    </cfRule>
    <cfRule type="expression" dxfId="3369" priority="3898">
      <formula>E751&gt;85.5</formula>
    </cfRule>
  </conditionalFormatting>
  <conditionalFormatting sqref="E751:E753 E755">
    <cfRule type="expression" dxfId="3368" priority="3868">
      <formula>E$750=""</formula>
    </cfRule>
  </conditionalFormatting>
  <conditionalFormatting sqref="E752">
    <cfRule type="expression" dxfId="3367" priority="3886">
      <formula>E752="**"</formula>
    </cfRule>
    <cfRule type="expression" dxfId="3366" priority="3887">
      <formula>E752=""</formula>
    </cfRule>
    <cfRule type="expression" dxfId="3365" priority="3888">
      <formula>E752&lt;44.5</formula>
    </cfRule>
    <cfRule type="expression" dxfId="3364" priority="3889">
      <formula>E752&lt;60.5</formula>
    </cfRule>
    <cfRule type="expression" dxfId="3363" priority="3890">
      <formula>E752&lt;85.5</formula>
    </cfRule>
    <cfRule type="expression" dxfId="3362" priority="3892">
      <formula>E752&gt;85.5</formula>
    </cfRule>
  </conditionalFormatting>
  <conditionalFormatting sqref="E753">
    <cfRule type="expression" dxfId="3361" priority="3880">
      <formula>E753="**"</formula>
    </cfRule>
    <cfRule type="expression" dxfId="3360" priority="3881">
      <formula>E753=""</formula>
    </cfRule>
    <cfRule type="expression" dxfId="3359" priority="3882">
      <formula>E753&lt;44.5</formula>
    </cfRule>
    <cfRule type="expression" dxfId="3358" priority="3883">
      <formula>E753&lt;60.5</formula>
    </cfRule>
    <cfRule type="expression" dxfId="3357" priority="3884">
      <formula>E753&lt;85.5</formula>
    </cfRule>
    <cfRule type="expression" dxfId="3356" priority="3885">
      <formula>E753&gt;85.5</formula>
    </cfRule>
  </conditionalFormatting>
  <conditionalFormatting sqref="E755">
    <cfRule type="expression" dxfId="3355" priority="3869">
      <formula>E755="**"</formula>
    </cfRule>
    <cfRule type="expression" dxfId="3354" priority="3870">
      <formula>E755=""</formula>
    </cfRule>
    <cfRule type="expression" dxfId="3353" priority="3871">
      <formula>E755&lt;44.5</formula>
    </cfRule>
    <cfRule type="expression" dxfId="3352" priority="3872">
      <formula>E755&lt;60.5</formula>
    </cfRule>
    <cfRule type="expression" dxfId="3351" priority="3873">
      <formula>E755&lt;85.5</formula>
    </cfRule>
    <cfRule type="expression" dxfId="3350" priority="3874">
      <formula>E755&gt;85.5</formula>
    </cfRule>
  </conditionalFormatting>
  <conditionalFormatting sqref="F751">
    <cfRule type="expression" dxfId="3349" priority="3862">
      <formula>F751="**"</formula>
    </cfRule>
    <cfRule type="expression" dxfId="3348" priority="3863">
      <formula>F751=""</formula>
    </cfRule>
    <cfRule type="expression" dxfId="3347" priority="3864">
      <formula>F751&lt;44.5</formula>
    </cfRule>
    <cfRule type="expression" dxfId="3346" priority="3865">
      <formula>F751&lt;60.5</formula>
    </cfRule>
    <cfRule type="expression" dxfId="3345" priority="3866">
      <formula>F751&lt;85.5</formula>
    </cfRule>
    <cfRule type="expression" dxfId="3344" priority="3867">
      <formula>F751&gt;85.5</formula>
    </cfRule>
  </conditionalFormatting>
  <conditionalFormatting sqref="F751:F753 F755">
    <cfRule type="expression" dxfId="3343" priority="3837">
      <formula>F$750=""</formula>
    </cfRule>
  </conditionalFormatting>
  <conditionalFormatting sqref="F752">
    <cfRule type="expression" dxfId="3342" priority="3855">
      <formula>F752="**"</formula>
    </cfRule>
    <cfRule type="expression" dxfId="3341" priority="3856">
      <formula>F752=""</formula>
    </cfRule>
    <cfRule type="expression" dxfId="3340" priority="3857">
      <formula>F752&lt;44.5</formula>
    </cfRule>
    <cfRule type="expression" dxfId="3339" priority="3858">
      <formula>F752&lt;60.5</formula>
    </cfRule>
    <cfRule type="expression" dxfId="3338" priority="3859">
      <formula>F752&lt;85.5</formula>
    </cfRule>
    <cfRule type="expression" dxfId="3337" priority="3861">
      <formula>F752&gt;85.5</formula>
    </cfRule>
  </conditionalFormatting>
  <conditionalFormatting sqref="F753">
    <cfRule type="expression" dxfId="3336" priority="3849">
      <formula>F753="**"</formula>
    </cfRule>
    <cfRule type="expression" dxfId="3335" priority="3850">
      <formula>F753=""</formula>
    </cfRule>
    <cfRule type="expression" dxfId="3334" priority="3851">
      <formula>F753&lt;44.5</formula>
    </cfRule>
    <cfRule type="expression" dxfId="3333" priority="3852">
      <formula>F753&lt;60.5</formula>
    </cfRule>
    <cfRule type="expression" dxfId="3332" priority="3853">
      <formula>F753&lt;85.5</formula>
    </cfRule>
    <cfRule type="expression" dxfId="3331" priority="3854">
      <formula>F753&gt;85.5</formula>
    </cfRule>
  </conditionalFormatting>
  <conditionalFormatting sqref="F755">
    <cfRule type="expression" dxfId="3330" priority="3838">
      <formula>F755="**"</formula>
    </cfRule>
    <cfRule type="expression" dxfId="3329" priority="3839">
      <formula>F755=""</formula>
    </cfRule>
    <cfRule type="expression" dxfId="3328" priority="3840">
      <formula>F755&lt;44.5</formula>
    </cfRule>
    <cfRule type="expression" dxfId="3327" priority="3841">
      <formula>F755&lt;60.5</formula>
    </cfRule>
    <cfRule type="expression" dxfId="3326" priority="3842">
      <formula>F755&lt;85.5</formula>
    </cfRule>
    <cfRule type="expression" dxfId="3325" priority="3843">
      <formula>F755&gt;85.5</formula>
    </cfRule>
  </conditionalFormatting>
  <conditionalFormatting sqref="G751">
    <cfRule type="expression" dxfId="3324" priority="3831">
      <formula>G751="**"</formula>
    </cfRule>
    <cfRule type="expression" dxfId="3323" priority="3832">
      <formula>G751=""</formula>
    </cfRule>
    <cfRule type="expression" dxfId="3322" priority="3833">
      <formula>G751&lt;44.5</formula>
    </cfRule>
    <cfRule type="expression" dxfId="3321" priority="3834">
      <formula>G751&lt;60.5</formula>
    </cfRule>
    <cfRule type="expression" dxfId="3320" priority="3835">
      <formula>G751&lt;85.5</formula>
    </cfRule>
    <cfRule type="expression" dxfId="3319" priority="3836">
      <formula>G751&gt;85.5</formula>
    </cfRule>
  </conditionalFormatting>
  <conditionalFormatting sqref="G751:G753 G755">
    <cfRule type="expression" dxfId="3318" priority="3806">
      <formula>G$750=""</formula>
    </cfRule>
  </conditionalFormatting>
  <conditionalFormatting sqref="G752">
    <cfRule type="expression" dxfId="3317" priority="3824">
      <formula>G752="**"</formula>
    </cfRule>
    <cfRule type="expression" dxfId="3316" priority="3825">
      <formula>G752=""</formula>
    </cfRule>
    <cfRule type="expression" dxfId="3315" priority="3826">
      <formula>G752&lt;44.5</formula>
    </cfRule>
    <cfRule type="expression" dxfId="3314" priority="3827">
      <formula>G752&lt;60.5</formula>
    </cfRule>
    <cfRule type="expression" dxfId="3313" priority="3828">
      <formula>G752&lt;85.5</formula>
    </cfRule>
    <cfRule type="expression" dxfId="3312" priority="3830">
      <formula>G752&gt;85.5</formula>
    </cfRule>
  </conditionalFormatting>
  <conditionalFormatting sqref="G753">
    <cfRule type="expression" dxfId="3311" priority="3818">
      <formula>G753="**"</formula>
    </cfRule>
    <cfRule type="expression" dxfId="3310" priority="3819">
      <formula>G753=""</formula>
    </cfRule>
    <cfRule type="expression" dxfId="3309" priority="3820">
      <formula>G753&lt;44.5</formula>
    </cfRule>
    <cfRule type="expression" dxfId="3308" priority="3821">
      <formula>G753&lt;60.5</formula>
    </cfRule>
    <cfRule type="expression" dxfId="3307" priority="3822">
      <formula>G753&lt;85.5</formula>
    </cfRule>
    <cfRule type="expression" dxfId="3306" priority="3823">
      <formula>G753&gt;85.5</formula>
    </cfRule>
  </conditionalFormatting>
  <conditionalFormatting sqref="G755">
    <cfRule type="expression" dxfId="3305" priority="3807">
      <formula>G755="**"</formula>
    </cfRule>
    <cfRule type="expression" dxfId="3304" priority="3808">
      <formula>G755=""</formula>
    </cfRule>
    <cfRule type="expression" dxfId="3303" priority="3809">
      <formula>G755&lt;44.5</formula>
    </cfRule>
    <cfRule type="expression" dxfId="3302" priority="3810">
      <formula>G755&lt;60.5</formula>
    </cfRule>
    <cfRule type="expression" dxfId="3301" priority="3811">
      <formula>G755&lt;85.5</formula>
    </cfRule>
    <cfRule type="expression" dxfId="3300" priority="3812">
      <formula>G755&gt;85.5</formula>
    </cfRule>
  </conditionalFormatting>
  <conditionalFormatting sqref="H751">
    <cfRule type="expression" dxfId="3299" priority="3800">
      <formula>H751="**"</formula>
    </cfRule>
    <cfRule type="expression" dxfId="3298" priority="3801">
      <formula>H751=""</formula>
    </cfRule>
    <cfRule type="expression" dxfId="3297" priority="3802">
      <formula>H751&lt;44.5</formula>
    </cfRule>
    <cfRule type="expression" dxfId="3296" priority="3803">
      <formula>H751&lt;60.5</formula>
    </cfRule>
    <cfRule type="expression" dxfId="3295" priority="3804">
      <formula>H751&lt;85.5</formula>
    </cfRule>
    <cfRule type="expression" dxfId="3294" priority="3805">
      <formula>H751&gt;85.5</formula>
    </cfRule>
  </conditionalFormatting>
  <conditionalFormatting sqref="H751:H753 H755">
    <cfRule type="expression" dxfId="3293" priority="3775">
      <formula>H$750=""</formula>
    </cfRule>
  </conditionalFormatting>
  <conditionalFormatting sqref="H752">
    <cfRule type="expression" dxfId="3292" priority="3793">
      <formula>H752="**"</formula>
    </cfRule>
    <cfRule type="expression" dxfId="3291" priority="3794">
      <formula>H752=""</formula>
    </cfRule>
    <cfRule type="expression" dxfId="3290" priority="3795">
      <formula>H752&lt;44.5</formula>
    </cfRule>
    <cfRule type="expression" dxfId="3289" priority="3796">
      <formula>H752&lt;60.5</formula>
    </cfRule>
    <cfRule type="expression" dxfId="3288" priority="3797">
      <formula>H752&lt;85.5</formula>
    </cfRule>
    <cfRule type="expression" dxfId="3287" priority="3799">
      <formula>H752&gt;85.5</formula>
    </cfRule>
  </conditionalFormatting>
  <conditionalFormatting sqref="H753">
    <cfRule type="expression" dxfId="3286" priority="3787">
      <formula>H753="**"</formula>
    </cfRule>
    <cfRule type="expression" dxfId="3285" priority="3788">
      <formula>H753=""</formula>
    </cfRule>
    <cfRule type="expression" dxfId="3284" priority="3789">
      <formula>H753&lt;44.5</formula>
    </cfRule>
    <cfRule type="expression" dxfId="3283" priority="3790">
      <formula>H753&lt;60.5</formula>
    </cfRule>
    <cfRule type="expression" dxfId="3282" priority="3791">
      <formula>H753&lt;85.5</formula>
    </cfRule>
    <cfRule type="expression" dxfId="3281" priority="3792">
      <formula>H753&gt;85.5</formula>
    </cfRule>
  </conditionalFormatting>
  <conditionalFormatting sqref="H755">
    <cfRule type="expression" dxfId="3280" priority="3776">
      <formula>H755="**"</formula>
    </cfRule>
    <cfRule type="expression" dxfId="3279" priority="3777">
      <formula>H755=""</formula>
    </cfRule>
    <cfRule type="expression" dxfId="3278" priority="3778">
      <formula>H755&lt;44.5</formula>
    </cfRule>
    <cfRule type="expression" dxfId="3277" priority="3779">
      <formula>H755&lt;60.5</formula>
    </cfRule>
    <cfRule type="expression" dxfId="3276" priority="3780">
      <formula>H755&lt;85.5</formula>
    </cfRule>
    <cfRule type="expression" dxfId="3275" priority="3781">
      <formula>H755&gt;85.5</formula>
    </cfRule>
  </conditionalFormatting>
  <conditionalFormatting sqref="I751">
    <cfRule type="expression" dxfId="3274" priority="3769">
      <formula>I751="**"</formula>
    </cfRule>
    <cfRule type="expression" dxfId="3273" priority="3770">
      <formula>I751=""</formula>
    </cfRule>
    <cfRule type="expression" dxfId="3272" priority="3771">
      <formula>I751&lt;44.5</formula>
    </cfRule>
    <cfRule type="expression" dxfId="3271" priority="3772">
      <formula>I751&lt;60.5</formula>
    </cfRule>
    <cfRule type="expression" dxfId="3270" priority="3773">
      <formula>I751&lt;85.5</formula>
    </cfRule>
    <cfRule type="expression" dxfId="3269" priority="3774">
      <formula>I751&gt;85.5</formula>
    </cfRule>
  </conditionalFormatting>
  <conditionalFormatting sqref="I751:I753 I755">
    <cfRule type="expression" dxfId="3268" priority="3744">
      <formula>I$750=""</formula>
    </cfRule>
  </conditionalFormatting>
  <conditionalFormatting sqref="I752">
    <cfRule type="expression" dxfId="3267" priority="3762">
      <formula>I752="**"</formula>
    </cfRule>
    <cfRule type="expression" dxfId="3266" priority="3763">
      <formula>I752=""</formula>
    </cfRule>
    <cfRule type="expression" dxfId="3265" priority="3764">
      <formula>I752&lt;44.5</formula>
    </cfRule>
    <cfRule type="expression" dxfId="3264" priority="3765">
      <formula>I752&lt;60.5</formula>
    </cfRule>
    <cfRule type="expression" dxfId="3263" priority="3766">
      <formula>I752&lt;85.5</formula>
    </cfRule>
    <cfRule type="expression" dxfId="3262" priority="3768">
      <formula>I752&gt;85.5</formula>
    </cfRule>
  </conditionalFormatting>
  <conditionalFormatting sqref="I753">
    <cfRule type="expression" dxfId="3261" priority="3756">
      <formula>I753="**"</formula>
    </cfRule>
    <cfRule type="expression" dxfId="3260" priority="3757">
      <formula>I753=""</formula>
    </cfRule>
    <cfRule type="expression" dxfId="3259" priority="3758">
      <formula>I753&lt;44.5</formula>
    </cfRule>
    <cfRule type="expression" dxfId="3258" priority="3759">
      <formula>I753&lt;60.5</formula>
    </cfRule>
    <cfRule type="expression" dxfId="3257" priority="3760">
      <formula>I753&lt;85.5</formula>
    </cfRule>
    <cfRule type="expression" dxfId="3256" priority="3761">
      <formula>I753&gt;85.5</formula>
    </cfRule>
  </conditionalFormatting>
  <conditionalFormatting sqref="I755">
    <cfRule type="expression" dxfId="3255" priority="3745">
      <formula>I755="**"</formula>
    </cfRule>
    <cfRule type="expression" dxfId="3254" priority="3746">
      <formula>I755=""</formula>
    </cfRule>
    <cfRule type="expression" dxfId="3253" priority="3747">
      <formula>I755&lt;44.5</formula>
    </cfRule>
    <cfRule type="expression" dxfId="3252" priority="3748">
      <formula>I755&lt;60.5</formula>
    </cfRule>
    <cfRule type="expression" dxfId="3251" priority="3749">
      <formula>I755&lt;85.5</formula>
    </cfRule>
    <cfRule type="expression" dxfId="3250" priority="3750">
      <formula>I755&gt;85.5</formula>
    </cfRule>
  </conditionalFormatting>
  <conditionalFormatting sqref="J751">
    <cfRule type="expression" dxfId="3249" priority="3738">
      <formula>J751="**"</formula>
    </cfRule>
    <cfRule type="expression" dxfId="3248" priority="3739">
      <formula>J751=""</formula>
    </cfRule>
    <cfRule type="expression" dxfId="3247" priority="3740">
      <formula>J751&lt;44.5</formula>
    </cfRule>
    <cfRule type="expression" dxfId="3246" priority="3741">
      <formula>J751&lt;60.5</formula>
    </cfRule>
    <cfRule type="expression" dxfId="3245" priority="3742">
      <formula>J751&lt;85.5</formula>
    </cfRule>
    <cfRule type="expression" dxfId="3244" priority="3743">
      <formula>J751&gt;85.5</formula>
    </cfRule>
  </conditionalFormatting>
  <conditionalFormatting sqref="J751:J753 J755">
    <cfRule type="expression" dxfId="3243" priority="3713">
      <formula>J$750=""</formula>
    </cfRule>
  </conditionalFormatting>
  <conditionalFormatting sqref="J752">
    <cfRule type="expression" dxfId="3242" priority="3731">
      <formula>J752="**"</formula>
    </cfRule>
    <cfRule type="expression" dxfId="3241" priority="3732">
      <formula>J752=""</formula>
    </cfRule>
    <cfRule type="expression" dxfId="3240" priority="3733">
      <formula>J752&lt;44.5</formula>
    </cfRule>
    <cfRule type="expression" dxfId="3239" priority="3734">
      <formula>J752&lt;60.5</formula>
    </cfRule>
    <cfRule type="expression" dxfId="3238" priority="3735">
      <formula>J752&lt;85.5</formula>
    </cfRule>
    <cfRule type="expression" dxfId="3237" priority="3737">
      <formula>J752&gt;85.5</formula>
    </cfRule>
  </conditionalFormatting>
  <conditionalFormatting sqref="J753">
    <cfRule type="expression" dxfId="3236" priority="3725">
      <formula>J753="**"</formula>
    </cfRule>
    <cfRule type="expression" dxfId="3235" priority="3726">
      <formula>J753=""</formula>
    </cfRule>
    <cfRule type="expression" dxfId="3234" priority="3727">
      <formula>J753&lt;44.5</formula>
    </cfRule>
    <cfRule type="expression" dxfId="3233" priority="3728">
      <formula>J753&lt;60.5</formula>
    </cfRule>
    <cfRule type="expression" dxfId="3232" priority="3729">
      <formula>J753&lt;85.5</formula>
    </cfRule>
    <cfRule type="expression" dxfId="3231" priority="3730">
      <formula>J753&gt;85.5</formula>
    </cfRule>
  </conditionalFormatting>
  <conditionalFormatting sqref="J755">
    <cfRule type="expression" dxfId="3230" priority="3714">
      <formula>J755="**"</formula>
    </cfRule>
    <cfRule type="expression" dxfId="3229" priority="3715">
      <formula>J755=""</formula>
    </cfRule>
    <cfRule type="expression" dxfId="3228" priority="3716">
      <formula>J755&lt;44.5</formula>
    </cfRule>
    <cfRule type="expression" dxfId="3227" priority="3717">
      <formula>J755&lt;60.5</formula>
    </cfRule>
    <cfRule type="expression" dxfId="3226" priority="3718">
      <formula>J755&lt;85.5</formula>
    </cfRule>
    <cfRule type="expression" dxfId="3225" priority="3719">
      <formula>J755&gt;85.5</formula>
    </cfRule>
  </conditionalFormatting>
  <conditionalFormatting sqref="K751">
    <cfRule type="expression" dxfId="3224" priority="3707">
      <formula>K751="**"</formula>
    </cfRule>
    <cfRule type="expression" dxfId="3223" priority="3708">
      <formula>K751=""</formula>
    </cfRule>
    <cfRule type="expression" dxfId="3222" priority="3709">
      <formula>K751&lt;44.5</formula>
    </cfRule>
    <cfRule type="expression" dxfId="3221" priority="3710">
      <formula>K751&lt;60.5</formula>
    </cfRule>
    <cfRule type="expression" dxfId="3220" priority="3711">
      <formula>K751&lt;85.5</formula>
    </cfRule>
    <cfRule type="expression" dxfId="3219" priority="3712">
      <formula>K751&gt;85.5</formula>
    </cfRule>
  </conditionalFormatting>
  <conditionalFormatting sqref="K751:K753 K755">
    <cfRule type="expression" dxfId="3218" priority="3682">
      <formula>K$750=""</formula>
    </cfRule>
  </conditionalFormatting>
  <conditionalFormatting sqref="K752">
    <cfRule type="expression" dxfId="3217" priority="3700">
      <formula>K752="**"</formula>
    </cfRule>
    <cfRule type="expression" dxfId="3216" priority="3701">
      <formula>K752=""</formula>
    </cfRule>
    <cfRule type="expression" dxfId="3215" priority="3702">
      <formula>K752&lt;44.5</formula>
    </cfRule>
    <cfRule type="expression" dxfId="3214" priority="3703">
      <formula>K752&lt;60.5</formula>
    </cfRule>
    <cfRule type="expression" dxfId="3213" priority="3704">
      <formula>K752&lt;85.5</formula>
    </cfRule>
    <cfRule type="expression" dxfId="3212" priority="3706">
      <formula>K752&gt;85.5</formula>
    </cfRule>
  </conditionalFormatting>
  <conditionalFormatting sqref="K753">
    <cfRule type="expression" dxfId="3211" priority="3694">
      <formula>K753="**"</formula>
    </cfRule>
    <cfRule type="expression" dxfId="3210" priority="3695">
      <formula>K753=""</formula>
    </cfRule>
    <cfRule type="expression" dxfId="3209" priority="3696">
      <formula>K753&lt;44.5</formula>
    </cfRule>
    <cfRule type="expression" dxfId="3208" priority="3697">
      <formula>K753&lt;60.5</formula>
    </cfRule>
    <cfRule type="expression" dxfId="3207" priority="3698">
      <formula>K753&lt;85.5</formula>
    </cfRule>
    <cfRule type="expression" dxfId="3206" priority="3699">
      <formula>K753&gt;85.5</formula>
    </cfRule>
  </conditionalFormatting>
  <conditionalFormatting sqref="K755">
    <cfRule type="expression" dxfId="3205" priority="3683">
      <formula>K755="**"</formula>
    </cfRule>
    <cfRule type="expression" dxfId="3204" priority="3684">
      <formula>K755=""</formula>
    </cfRule>
    <cfRule type="expression" dxfId="3203" priority="3685">
      <formula>K755&lt;44.5</formula>
    </cfRule>
    <cfRule type="expression" dxfId="3202" priority="3686">
      <formula>K755&lt;60.5</formula>
    </cfRule>
    <cfRule type="expression" dxfId="3201" priority="3687">
      <formula>K755&lt;85.5</formula>
    </cfRule>
    <cfRule type="expression" dxfId="3200" priority="3688">
      <formula>K755&gt;85.5</formula>
    </cfRule>
  </conditionalFormatting>
  <conditionalFormatting sqref="L751">
    <cfRule type="expression" dxfId="3199" priority="3676">
      <formula>L751="**"</formula>
    </cfRule>
    <cfRule type="expression" dxfId="3198" priority="3677">
      <formula>L751=""</formula>
    </cfRule>
    <cfRule type="expression" dxfId="3197" priority="3678">
      <formula>L751&lt;44.5</formula>
    </cfRule>
    <cfRule type="expression" dxfId="3196" priority="3679">
      <formula>L751&lt;60.5</formula>
    </cfRule>
    <cfRule type="expression" dxfId="3195" priority="3680">
      <formula>L751&lt;85.5</formula>
    </cfRule>
    <cfRule type="expression" dxfId="3194" priority="3681">
      <formula>L751&gt;85.5</formula>
    </cfRule>
  </conditionalFormatting>
  <conditionalFormatting sqref="L751:L753 L755">
    <cfRule type="expression" dxfId="3193" priority="3651">
      <formula>L$750=""</formula>
    </cfRule>
  </conditionalFormatting>
  <conditionalFormatting sqref="L752">
    <cfRule type="expression" dxfId="3192" priority="3669">
      <formula>L752="**"</formula>
    </cfRule>
    <cfRule type="expression" dxfId="3191" priority="3670">
      <formula>L752=""</formula>
    </cfRule>
    <cfRule type="expression" dxfId="3190" priority="3671">
      <formula>L752&lt;44.5</formula>
    </cfRule>
    <cfRule type="expression" dxfId="3189" priority="3672">
      <formula>L752&lt;60.5</formula>
    </cfRule>
    <cfRule type="expression" dxfId="3188" priority="3673">
      <formula>L752&lt;85.5</formula>
    </cfRule>
    <cfRule type="expression" dxfId="3187" priority="3675">
      <formula>L752&gt;85.5</formula>
    </cfRule>
  </conditionalFormatting>
  <conditionalFormatting sqref="L753">
    <cfRule type="expression" dxfId="3186" priority="3663">
      <formula>L753="**"</formula>
    </cfRule>
    <cfRule type="expression" dxfId="3185" priority="3664">
      <formula>L753=""</formula>
    </cfRule>
    <cfRule type="expression" dxfId="3184" priority="3665">
      <formula>L753&lt;44.5</formula>
    </cfRule>
    <cfRule type="expression" dxfId="3183" priority="3666">
      <formula>L753&lt;60.5</formula>
    </cfRule>
    <cfRule type="expression" dxfId="3182" priority="3667">
      <formula>L753&lt;85.5</formula>
    </cfRule>
    <cfRule type="expression" dxfId="3181" priority="3668">
      <formula>L753&gt;85.5</formula>
    </cfRule>
  </conditionalFormatting>
  <conditionalFormatting sqref="L755">
    <cfRule type="expression" dxfId="3180" priority="3652">
      <formula>L755="**"</formula>
    </cfRule>
    <cfRule type="expression" dxfId="3179" priority="3653">
      <formula>L755=""</formula>
    </cfRule>
    <cfRule type="expression" dxfId="3178" priority="3654">
      <formula>L755&lt;44.5</formula>
    </cfRule>
    <cfRule type="expression" dxfId="3177" priority="3655">
      <formula>L755&lt;60.5</formula>
    </cfRule>
    <cfRule type="expression" dxfId="3176" priority="3656">
      <formula>L755&lt;85.5</formula>
    </cfRule>
    <cfRule type="expression" dxfId="3175" priority="3657">
      <formula>L755&gt;85.5</formula>
    </cfRule>
  </conditionalFormatting>
  <conditionalFormatting sqref="C781">
    <cfRule type="expression" dxfId="3174" priority="3645">
      <formula>C781="**"</formula>
    </cfRule>
    <cfRule type="expression" dxfId="3173" priority="3646">
      <formula>C781=""</formula>
    </cfRule>
    <cfRule type="expression" dxfId="3172" priority="3647">
      <formula>C781&lt;44.5</formula>
    </cfRule>
    <cfRule type="expression" dxfId="3171" priority="3648">
      <formula>C781&lt;60.5</formula>
    </cfRule>
    <cfRule type="expression" dxfId="3170" priority="3649">
      <formula>C781&lt;85.5</formula>
    </cfRule>
    <cfRule type="expression" dxfId="3169" priority="3650">
      <formula>C781&gt;85.5</formula>
    </cfRule>
  </conditionalFormatting>
  <conditionalFormatting sqref="C781:C785">
    <cfRule type="expression" dxfId="3168" priority="3620">
      <formula>C$780=""</formula>
    </cfRule>
  </conditionalFormatting>
  <conditionalFormatting sqref="C782">
    <cfRule type="expression" dxfId="3167" priority="3638">
      <formula>C782="**"</formula>
    </cfRule>
    <cfRule type="expression" dxfId="3166" priority="3639">
      <formula>C782=""</formula>
    </cfRule>
    <cfRule type="expression" dxfId="3165" priority="3640">
      <formula>C782&lt;44.5</formula>
    </cfRule>
    <cfRule type="expression" dxfId="3164" priority="3641">
      <formula>C782&lt;60.5</formula>
    </cfRule>
    <cfRule type="expression" dxfId="3163" priority="3642">
      <formula>C782&lt;85.5</formula>
    </cfRule>
    <cfRule type="expression" dxfId="3162" priority="3644">
      <formula>C782&gt;85.5</formula>
    </cfRule>
  </conditionalFormatting>
  <conditionalFormatting sqref="C783">
    <cfRule type="expression" dxfId="3161" priority="3632">
      <formula>C783="**"</formula>
    </cfRule>
    <cfRule type="expression" dxfId="3160" priority="3633">
      <formula>C783=""</formula>
    </cfRule>
    <cfRule type="expression" dxfId="3159" priority="3634">
      <formula>C783&lt;44.5</formula>
    </cfRule>
    <cfRule type="expression" dxfId="3158" priority="3635">
      <formula>C783&lt;60.5</formula>
    </cfRule>
    <cfRule type="expression" dxfId="3157" priority="3636">
      <formula>C783&lt;85.5</formula>
    </cfRule>
    <cfRule type="expression" dxfId="3156" priority="3637">
      <formula>C783&gt;85.5</formula>
    </cfRule>
  </conditionalFormatting>
  <conditionalFormatting sqref="C784">
    <cfRule type="expression" dxfId="3155" priority="3627">
      <formula>C784="**"</formula>
    </cfRule>
    <cfRule type="expression" dxfId="3154" priority="3628">
      <formula>C784=""</formula>
    </cfRule>
    <cfRule type="expression" dxfId="3153" priority="3629">
      <formula>C784&lt;44.5</formula>
    </cfRule>
    <cfRule type="expression" dxfId="3152" priority="3630">
      <formula>C784&lt;60.5</formula>
    </cfRule>
    <cfRule type="expression" dxfId="3151" priority="3631">
      <formula>C784&lt;85.5</formula>
    </cfRule>
    <cfRule type="expression" dxfId="3150" priority="3643">
      <formula>C784&gt;85.5</formula>
    </cfRule>
  </conditionalFormatting>
  <conditionalFormatting sqref="C785">
    <cfRule type="expression" dxfId="3149" priority="3621">
      <formula>C785="**"</formula>
    </cfRule>
    <cfRule type="expression" dxfId="3148" priority="3622">
      <formula>C785=""</formula>
    </cfRule>
    <cfRule type="expression" dxfId="3147" priority="3623">
      <formula>C785&lt;44.5</formula>
    </cfRule>
    <cfRule type="expression" dxfId="3146" priority="3624">
      <formula>C785&lt;60.5</formula>
    </cfRule>
    <cfRule type="expression" dxfId="3145" priority="3625">
      <formula>C785&lt;85.5</formula>
    </cfRule>
    <cfRule type="expression" dxfId="3144" priority="3626">
      <formula>C785&gt;85.5</formula>
    </cfRule>
  </conditionalFormatting>
  <conditionalFormatting sqref="D781">
    <cfRule type="expression" dxfId="3143" priority="3614">
      <formula>D781="**"</formula>
    </cfRule>
    <cfRule type="expression" dxfId="3142" priority="3615">
      <formula>D781=""</formula>
    </cfRule>
    <cfRule type="expression" dxfId="3141" priority="3616">
      <formula>D781&lt;44.5</formula>
    </cfRule>
    <cfRule type="expression" dxfId="3140" priority="3617">
      <formula>D781&lt;60.5</formula>
    </cfRule>
    <cfRule type="expression" dxfId="3139" priority="3618">
      <formula>D781&lt;85.5</formula>
    </cfRule>
    <cfRule type="expression" dxfId="3138" priority="3619">
      <formula>D781&gt;85.5</formula>
    </cfRule>
  </conditionalFormatting>
  <conditionalFormatting sqref="D781:D783 D785">
    <cfRule type="expression" dxfId="3137" priority="3589">
      <formula>D$780=""</formula>
    </cfRule>
  </conditionalFormatting>
  <conditionalFormatting sqref="D782">
    <cfRule type="expression" dxfId="3136" priority="3607">
      <formula>D782="**"</formula>
    </cfRule>
    <cfRule type="expression" dxfId="3135" priority="3608">
      <formula>D782=""</formula>
    </cfRule>
    <cfRule type="expression" dxfId="3134" priority="3609">
      <formula>D782&lt;44.5</formula>
    </cfRule>
    <cfRule type="expression" dxfId="3133" priority="3610">
      <formula>D782&lt;60.5</formula>
    </cfRule>
    <cfRule type="expression" dxfId="3132" priority="3611">
      <formula>D782&lt;85.5</formula>
    </cfRule>
    <cfRule type="expression" dxfId="3131" priority="3613">
      <formula>D782&gt;85.5</formula>
    </cfRule>
  </conditionalFormatting>
  <conditionalFormatting sqref="D783">
    <cfRule type="expression" dxfId="3130" priority="3601">
      <formula>D783="**"</formula>
    </cfRule>
    <cfRule type="expression" dxfId="3129" priority="3602">
      <formula>D783=""</formula>
    </cfRule>
    <cfRule type="expression" dxfId="3128" priority="3603">
      <formula>D783&lt;44.5</formula>
    </cfRule>
    <cfRule type="expression" dxfId="3127" priority="3604">
      <formula>D783&lt;60.5</formula>
    </cfRule>
    <cfRule type="expression" dxfId="3126" priority="3605">
      <formula>D783&lt;85.5</formula>
    </cfRule>
    <cfRule type="expression" dxfId="3125" priority="3606">
      <formula>D783&gt;85.5</formula>
    </cfRule>
  </conditionalFormatting>
  <conditionalFormatting sqref="D785">
    <cfRule type="expression" dxfId="3124" priority="3590">
      <formula>D785="**"</formula>
    </cfRule>
    <cfRule type="expression" dxfId="3123" priority="3591">
      <formula>D785=""</formula>
    </cfRule>
    <cfRule type="expression" dxfId="3122" priority="3592">
      <formula>D785&lt;44.5</formula>
    </cfRule>
    <cfRule type="expression" dxfId="3121" priority="3593">
      <formula>D785&lt;60.5</formula>
    </cfRule>
    <cfRule type="expression" dxfId="3120" priority="3594">
      <formula>D785&lt;85.5</formula>
    </cfRule>
    <cfRule type="expression" dxfId="3119" priority="3595">
      <formula>D785&gt;85.5</formula>
    </cfRule>
  </conditionalFormatting>
  <conditionalFormatting sqref="E781">
    <cfRule type="expression" dxfId="3118" priority="3583">
      <formula>E781="**"</formula>
    </cfRule>
    <cfRule type="expression" dxfId="3117" priority="3584">
      <formula>E781=""</formula>
    </cfRule>
    <cfRule type="expression" dxfId="3116" priority="3585">
      <formula>E781&lt;44.5</formula>
    </cfRule>
    <cfRule type="expression" dxfId="3115" priority="3586">
      <formula>E781&lt;60.5</formula>
    </cfRule>
    <cfRule type="expression" dxfId="3114" priority="3587">
      <formula>E781&lt;85.5</formula>
    </cfRule>
    <cfRule type="expression" dxfId="3113" priority="3588">
      <formula>E781&gt;85.5</formula>
    </cfRule>
  </conditionalFormatting>
  <conditionalFormatting sqref="E781:E783 E785">
    <cfRule type="expression" dxfId="3112" priority="3558">
      <formula>E$780=""</formula>
    </cfRule>
  </conditionalFormatting>
  <conditionalFormatting sqref="E782">
    <cfRule type="expression" dxfId="3111" priority="3576">
      <formula>E782="**"</formula>
    </cfRule>
    <cfRule type="expression" dxfId="3110" priority="3577">
      <formula>E782=""</formula>
    </cfRule>
    <cfRule type="expression" dxfId="3109" priority="3578">
      <formula>E782&lt;44.5</formula>
    </cfRule>
    <cfRule type="expression" dxfId="3108" priority="3579">
      <formula>E782&lt;60.5</formula>
    </cfRule>
    <cfRule type="expression" dxfId="3107" priority="3580">
      <formula>E782&lt;85.5</formula>
    </cfRule>
    <cfRule type="expression" dxfId="3106" priority="3582">
      <formula>E782&gt;85.5</formula>
    </cfRule>
  </conditionalFormatting>
  <conditionalFormatting sqref="E783">
    <cfRule type="expression" dxfId="3105" priority="3570">
      <formula>E783="**"</formula>
    </cfRule>
    <cfRule type="expression" dxfId="3104" priority="3571">
      <formula>E783=""</formula>
    </cfRule>
    <cfRule type="expression" dxfId="3103" priority="3572">
      <formula>E783&lt;44.5</formula>
    </cfRule>
    <cfRule type="expression" dxfId="3102" priority="3573">
      <formula>E783&lt;60.5</formula>
    </cfRule>
    <cfRule type="expression" dxfId="3101" priority="3574">
      <formula>E783&lt;85.5</formula>
    </cfRule>
    <cfRule type="expression" dxfId="3100" priority="3575">
      <formula>E783&gt;85.5</formula>
    </cfRule>
  </conditionalFormatting>
  <conditionalFormatting sqref="E785">
    <cfRule type="expression" dxfId="3099" priority="3559">
      <formula>E785="**"</formula>
    </cfRule>
    <cfRule type="expression" dxfId="3098" priority="3560">
      <formula>E785=""</formula>
    </cfRule>
    <cfRule type="expression" dxfId="3097" priority="3561">
      <formula>E785&lt;44.5</formula>
    </cfRule>
    <cfRule type="expression" dxfId="3096" priority="3562">
      <formula>E785&lt;60.5</formula>
    </cfRule>
    <cfRule type="expression" dxfId="3095" priority="3563">
      <formula>E785&lt;85.5</formula>
    </cfRule>
    <cfRule type="expression" dxfId="3094" priority="3564">
      <formula>E785&gt;85.5</formula>
    </cfRule>
  </conditionalFormatting>
  <conditionalFormatting sqref="F781">
    <cfRule type="expression" dxfId="3093" priority="3552">
      <formula>F781="**"</formula>
    </cfRule>
    <cfRule type="expression" dxfId="3092" priority="3553">
      <formula>F781=""</formula>
    </cfRule>
    <cfRule type="expression" dxfId="3091" priority="3554">
      <formula>F781&lt;44.5</formula>
    </cfRule>
    <cfRule type="expression" dxfId="3090" priority="3555">
      <formula>F781&lt;60.5</formula>
    </cfRule>
    <cfRule type="expression" dxfId="3089" priority="3556">
      <formula>F781&lt;85.5</formula>
    </cfRule>
    <cfRule type="expression" dxfId="3088" priority="3557">
      <formula>F781&gt;85.5</formula>
    </cfRule>
  </conditionalFormatting>
  <conditionalFormatting sqref="F781:F783 F785">
    <cfRule type="expression" dxfId="3087" priority="3527">
      <formula>F$780=""</formula>
    </cfRule>
  </conditionalFormatting>
  <conditionalFormatting sqref="F782">
    <cfRule type="expression" dxfId="3086" priority="3545">
      <formula>F782="**"</formula>
    </cfRule>
    <cfRule type="expression" dxfId="3085" priority="3546">
      <formula>F782=""</formula>
    </cfRule>
    <cfRule type="expression" dxfId="3084" priority="3547">
      <formula>F782&lt;44.5</formula>
    </cfRule>
    <cfRule type="expression" dxfId="3083" priority="3548">
      <formula>F782&lt;60.5</formula>
    </cfRule>
    <cfRule type="expression" dxfId="3082" priority="3549">
      <formula>F782&lt;85.5</formula>
    </cfRule>
    <cfRule type="expression" dxfId="3081" priority="3551">
      <formula>F782&gt;85.5</formula>
    </cfRule>
  </conditionalFormatting>
  <conditionalFormatting sqref="F783">
    <cfRule type="expression" dxfId="3080" priority="3539">
      <formula>F783="**"</formula>
    </cfRule>
    <cfRule type="expression" dxfId="3079" priority="3540">
      <formula>F783=""</formula>
    </cfRule>
    <cfRule type="expression" dxfId="3078" priority="3541">
      <formula>F783&lt;44.5</formula>
    </cfRule>
    <cfRule type="expression" dxfId="3077" priority="3542">
      <formula>F783&lt;60.5</formula>
    </cfRule>
    <cfRule type="expression" dxfId="3076" priority="3543">
      <formula>F783&lt;85.5</formula>
    </cfRule>
    <cfRule type="expression" dxfId="3075" priority="3544">
      <formula>F783&gt;85.5</formula>
    </cfRule>
  </conditionalFormatting>
  <conditionalFormatting sqref="F785">
    <cfRule type="expression" dxfId="3074" priority="3528">
      <formula>F785="**"</formula>
    </cfRule>
    <cfRule type="expression" dxfId="3073" priority="3529">
      <formula>F785=""</formula>
    </cfRule>
    <cfRule type="expression" dxfId="3072" priority="3530">
      <formula>F785&lt;44.5</formula>
    </cfRule>
    <cfRule type="expression" dxfId="3071" priority="3531">
      <formula>F785&lt;60.5</formula>
    </cfRule>
    <cfRule type="expression" dxfId="3070" priority="3532">
      <formula>F785&lt;85.5</formula>
    </cfRule>
    <cfRule type="expression" dxfId="3069" priority="3533">
      <formula>F785&gt;85.5</formula>
    </cfRule>
  </conditionalFormatting>
  <conditionalFormatting sqref="G781">
    <cfRule type="expression" dxfId="3068" priority="3521">
      <formula>G781="**"</formula>
    </cfRule>
    <cfRule type="expression" dxfId="3067" priority="3522">
      <formula>G781=""</formula>
    </cfRule>
    <cfRule type="expression" dxfId="3066" priority="3523">
      <formula>G781&lt;44.5</formula>
    </cfRule>
    <cfRule type="expression" dxfId="3065" priority="3524">
      <formula>G781&lt;60.5</formula>
    </cfRule>
    <cfRule type="expression" dxfId="3064" priority="3525">
      <formula>G781&lt;85.5</formula>
    </cfRule>
    <cfRule type="expression" dxfId="3063" priority="3526">
      <formula>G781&gt;85.5</formula>
    </cfRule>
  </conditionalFormatting>
  <conditionalFormatting sqref="G781:G783 G785">
    <cfRule type="expression" dxfId="3062" priority="3496">
      <formula>G$780=""</formula>
    </cfRule>
  </conditionalFormatting>
  <conditionalFormatting sqref="G782">
    <cfRule type="expression" dxfId="3061" priority="3514">
      <formula>G782="**"</formula>
    </cfRule>
    <cfRule type="expression" dxfId="3060" priority="3515">
      <formula>G782=""</formula>
    </cfRule>
    <cfRule type="expression" dxfId="3059" priority="3516">
      <formula>G782&lt;44.5</formula>
    </cfRule>
    <cfRule type="expression" dxfId="3058" priority="3517">
      <formula>G782&lt;60.5</formula>
    </cfRule>
    <cfRule type="expression" dxfId="3057" priority="3518">
      <formula>G782&lt;85.5</formula>
    </cfRule>
    <cfRule type="expression" dxfId="3056" priority="3520">
      <formula>G782&gt;85.5</formula>
    </cfRule>
  </conditionalFormatting>
  <conditionalFormatting sqref="G783">
    <cfRule type="expression" dxfId="3055" priority="3508">
      <formula>G783="**"</formula>
    </cfRule>
    <cfRule type="expression" dxfId="3054" priority="3509">
      <formula>G783=""</formula>
    </cfRule>
    <cfRule type="expression" dxfId="3053" priority="3510">
      <formula>G783&lt;44.5</formula>
    </cfRule>
    <cfRule type="expression" dxfId="3052" priority="3511">
      <formula>G783&lt;60.5</formula>
    </cfRule>
    <cfRule type="expression" dxfId="3051" priority="3512">
      <formula>G783&lt;85.5</formula>
    </cfRule>
    <cfRule type="expression" dxfId="3050" priority="3513">
      <formula>G783&gt;85.5</formula>
    </cfRule>
  </conditionalFormatting>
  <conditionalFormatting sqref="G785">
    <cfRule type="expression" dxfId="3049" priority="3497">
      <formula>G785="**"</formula>
    </cfRule>
    <cfRule type="expression" dxfId="3048" priority="3498">
      <formula>G785=""</formula>
    </cfRule>
    <cfRule type="expression" dxfId="3047" priority="3499">
      <formula>G785&lt;44.5</formula>
    </cfRule>
    <cfRule type="expression" dxfId="3046" priority="3500">
      <formula>G785&lt;60.5</formula>
    </cfRule>
    <cfRule type="expression" dxfId="3045" priority="3501">
      <formula>G785&lt;85.5</formula>
    </cfRule>
    <cfRule type="expression" dxfId="3044" priority="3502">
      <formula>G785&gt;85.5</formula>
    </cfRule>
  </conditionalFormatting>
  <conditionalFormatting sqref="H781">
    <cfRule type="expression" dxfId="3043" priority="3490">
      <formula>H781="**"</formula>
    </cfRule>
    <cfRule type="expression" dxfId="3042" priority="3491">
      <formula>H781=""</formula>
    </cfRule>
    <cfRule type="expression" dxfId="3041" priority="3492">
      <formula>H781&lt;44.5</formula>
    </cfRule>
    <cfRule type="expression" dxfId="3040" priority="3493">
      <formula>H781&lt;60.5</formula>
    </cfRule>
    <cfRule type="expression" dxfId="3039" priority="3494">
      <formula>H781&lt;85.5</formula>
    </cfRule>
    <cfRule type="expression" dxfId="3038" priority="3495">
      <formula>H781&gt;85.5</formula>
    </cfRule>
  </conditionalFormatting>
  <conditionalFormatting sqref="H781:H783 H785">
    <cfRule type="expression" dxfId="3037" priority="3465">
      <formula>H$780=""</formula>
    </cfRule>
  </conditionalFormatting>
  <conditionalFormatting sqref="H782">
    <cfRule type="expression" dxfId="3036" priority="3483">
      <formula>H782="**"</formula>
    </cfRule>
    <cfRule type="expression" dxfId="3035" priority="3484">
      <formula>H782=""</formula>
    </cfRule>
    <cfRule type="expression" dxfId="3034" priority="3485">
      <formula>H782&lt;44.5</formula>
    </cfRule>
    <cfRule type="expression" dxfId="3033" priority="3486">
      <formula>H782&lt;60.5</formula>
    </cfRule>
    <cfRule type="expression" dxfId="3032" priority="3487">
      <formula>H782&lt;85.5</formula>
    </cfRule>
    <cfRule type="expression" dxfId="3031" priority="3489">
      <formula>H782&gt;85.5</formula>
    </cfRule>
  </conditionalFormatting>
  <conditionalFormatting sqref="H783">
    <cfRule type="expression" dxfId="3030" priority="3477">
      <formula>H783="**"</formula>
    </cfRule>
    <cfRule type="expression" dxfId="3029" priority="3478">
      <formula>H783=""</formula>
    </cfRule>
    <cfRule type="expression" dxfId="3028" priority="3479">
      <formula>H783&lt;44.5</formula>
    </cfRule>
    <cfRule type="expression" dxfId="3027" priority="3480">
      <formula>H783&lt;60.5</formula>
    </cfRule>
    <cfRule type="expression" dxfId="3026" priority="3481">
      <formula>H783&lt;85.5</formula>
    </cfRule>
    <cfRule type="expression" dxfId="3025" priority="3482">
      <formula>H783&gt;85.5</formula>
    </cfRule>
  </conditionalFormatting>
  <conditionalFormatting sqref="H785">
    <cfRule type="expression" dxfId="3024" priority="3466">
      <formula>H785="**"</formula>
    </cfRule>
    <cfRule type="expression" dxfId="3023" priority="3467">
      <formula>H785=""</formula>
    </cfRule>
    <cfRule type="expression" dxfId="3022" priority="3468">
      <formula>H785&lt;44.5</formula>
    </cfRule>
    <cfRule type="expression" dxfId="3021" priority="3469">
      <formula>H785&lt;60.5</formula>
    </cfRule>
    <cfRule type="expression" dxfId="3020" priority="3470">
      <formula>H785&lt;85.5</formula>
    </cfRule>
    <cfRule type="expression" dxfId="3019" priority="3471">
      <formula>H785&gt;85.5</formula>
    </cfRule>
  </conditionalFormatting>
  <conditionalFormatting sqref="I781">
    <cfRule type="expression" dxfId="3018" priority="3459">
      <formula>I781="**"</formula>
    </cfRule>
    <cfRule type="expression" dxfId="3017" priority="3460">
      <formula>I781=""</formula>
    </cfRule>
    <cfRule type="expression" dxfId="3016" priority="3461">
      <formula>I781&lt;44.5</formula>
    </cfRule>
    <cfRule type="expression" dxfId="3015" priority="3462">
      <formula>I781&lt;60.5</formula>
    </cfRule>
    <cfRule type="expression" dxfId="3014" priority="3463">
      <formula>I781&lt;85.5</formula>
    </cfRule>
    <cfRule type="expression" dxfId="3013" priority="3464">
      <formula>I781&gt;85.5</formula>
    </cfRule>
  </conditionalFormatting>
  <conditionalFormatting sqref="I781:I783 I785">
    <cfRule type="expression" dxfId="3012" priority="3434">
      <formula>I$780=""</formula>
    </cfRule>
  </conditionalFormatting>
  <conditionalFormatting sqref="I782">
    <cfRule type="expression" dxfId="3011" priority="3452">
      <formula>I782="**"</formula>
    </cfRule>
    <cfRule type="expression" dxfId="3010" priority="3453">
      <formula>I782=""</formula>
    </cfRule>
    <cfRule type="expression" dxfId="3009" priority="3454">
      <formula>I782&lt;44.5</formula>
    </cfRule>
    <cfRule type="expression" dxfId="3008" priority="3455">
      <formula>I782&lt;60.5</formula>
    </cfRule>
    <cfRule type="expression" dxfId="3007" priority="3456">
      <formula>I782&lt;85.5</formula>
    </cfRule>
    <cfRule type="expression" dxfId="3006" priority="3458">
      <formula>I782&gt;85.5</formula>
    </cfRule>
  </conditionalFormatting>
  <conditionalFormatting sqref="I783">
    <cfRule type="expression" dxfId="3005" priority="3446">
      <formula>I783="**"</formula>
    </cfRule>
    <cfRule type="expression" dxfId="3004" priority="3447">
      <formula>I783=""</formula>
    </cfRule>
    <cfRule type="expression" dxfId="3003" priority="3448">
      <formula>I783&lt;44.5</formula>
    </cfRule>
    <cfRule type="expression" dxfId="3002" priority="3449">
      <formula>I783&lt;60.5</formula>
    </cfRule>
    <cfRule type="expression" dxfId="3001" priority="3450">
      <formula>I783&lt;85.5</formula>
    </cfRule>
    <cfRule type="expression" dxfId="3000" priority="3451">
      <formula>I783&gt;85.5</formula>
    </cfRule>
  </conditionalFormatting>
  <conditionalFormatting sqref="I785">
    <cfRule type="expression" dxfId="2999" priority="3435">
      <formula>I785="**"</formula>
    </cfRule>
    <cfRule type="expression" dxfId="2998" priority="3436">
      <formula>I785=""</formula>
    </cfRule>
    <cfRule type="expression" dxfId="2997" priority="3437">
      <formula>I785&lt;44.5</formula>
    </cfRule>
    <cfRule type="expression" dxfId="2996" priority="3438">
      <formula>I785&lt;60.5</formula>
    </cfRule>
    <cfRule type="expression" dxfId="2995" priority="3439">
      <formula>I785&lt;85.5</formula>
    </cfRule>
    <cfRule type="expression" dxfId="2994" priority="3440">
      <formula>I785&gt;85.5</formula>
    </cfRule>
  </conditionalFormatting>
  <conditionalFormatting sqref="J781">
    <cfRule type="expression" dxfId="2993" priority="3428">
      <formula>J781="**"</formula>
    </cfRule>
    <cfRule type="expression" dxfId="2992" priority="3429">
      <formula>J781=""</formula>
    </cfRule>
    <cfRule type="expression" dxfId="2991" priority="3430">
      <formula>J781&lt;44.5</formula>
    </cfRule>
    <cfRule type="expression" dxfId="2990" priority="3431">
      <formula>J781&lt;60.5</formula>
    </cfRule>
    <cfRule type="expression" dxfId="2989" priority="3432">
      <formula>J781&lt;85.5</formula>
    </cfRule>
    <cfRule type="expression" dxfId="2988" priority="3433">
      <formula>J781&gt;85.5</formula>
    </cfRule>
  </conditionalFormatting>
  <conditionalFormatting sqref="J781:J783 J785">
    <cfRule type="expression" dxfId="2987" priority="3403">
      <formula>J$780=""</formula>
    </cfRule>
  </conditionalFormatting>
  <conditionalFormatting sqref="J782">
    <cfRule type="expression" dxfId="2986" priority="3421">
      <formula>J782="**"</formula>
    </cfRule>
    <cfRule type="expression" dxfId="2985" priority="3422">
      <formula>J782=""</formula>
    </cfRule>
    <cfRule type="expression" dxfId="2984" priority="3423">
      <formula>J782&lt;44.5</formula>
    </cfRule>
    <cfRule type="expression" dxfId="2983" priority="3424">
      <formula>J782&lt;60.5</formula>
    </cfRule>
    <cfRule type="expression" dxfId="2982" priority="3425">
      <formula>J782&lt;85.5</formula>
    </cfRule>
    <cfRule type="expression" dxfId="2981" priority="3427">
      <formula>J782&gt;85.5</formula>
    </cfRule>
  </conditionalFormatting>
  <conditionalFormatting sqref="J783">
    <cfRule type="expression" dxfId="2980" priority="3415">
      <formula>J783="**"</formula>
    </cfRule>
    <cfRule type="expression" dxfId="2979" priority="3416">
      <formula>J783=""</formula>
    </cfRule>
    <cfRule type="expression" dxfId="2978" priority="3417">
      <formula>J783&lt;44.5</formula>
    </cfRule>
    <cfRule type="expression" dxfId="2977" priority="3418">
      <formula>J783&lt;60.5</formula>
    </cfRule>
    <cfRule type="expression" dxfId="2976" priority="3419">
      <formula>J783&lt;85.5</formula>
    </cfRule>
    <cfRule type="expression" dxfId="2975" priority="3420">
      <formula>J783&gt;85.5</formula>
    </cfRule>
  </conditionalFormatting>
  <conditionalFormatting sqref="J785">
    <cfRule type="expression" dxfId="2974" priority="3404">
      <formula>J785="**"</formula>
    </cfRule>
    <cfRule type="expression" dxfId="2973" priority="3405">
      <formula>J785=""</formula>
    </cfRule>
    <cfRule type="expression" dxfId="2972" priority="3406">
      <formula>J785&lt;44.5</formula>
    </cfRule>
    <cfRule type="expression" dxfId="2971" priority="3407">
      <formula>J785&lt;60.5</formula>
    </cfRule>
    <cfRule type="expression" dxfId="2970" priority="3408">
      <formula>J785&lt;85.5</formula>
    </cfRule>
    <cfRule type="expression" dxfId="2969" priority="3409">
      <formula>J785&gt;85.5</formula>
    </cfRule>
  </conditionalFormatting>
  <conditionalFormatting sqref="K781">
    <cfRule type="expression" dxfId="2968" priority="3397">
      <formula>K781="**"</formula>
    </cfRule>
    <cfRule type="expression" dxfId="2967" priority="3398">
      <formula>K781=""</formula>
    </cfRule>
    <cfRule type="expression" dxfId="2966" priority="3399">
      <formula>K781&lt;44.5</formula>
    </cfRule>
    <cfRule type="expression" dxfId="2965" priority="3400">
      <formula>K781&lt;60.5</formula>
    </cfRule>
    <cfRule type="expression" dxfId="2964" priority="3401">
      <formula>K781&lt;85.5</formula>
    </cfRule>
    <cfRule type="expression" dxfId="2963" priority="3402">
      <formula>K781&gt;85.5</formula>
    </cfRule>
  </conditionalFormatting>
  <conditionalFormatting sqref="K781:K783 K785">
    <cfRule type="expression" dxfId="2962" priority="3372">
      <formula>K$780=""</formula>
    </cfRule>
  </conditionalFormatting>
  <conditionalFormatting sqref="K782">
    <cfRule type="expression" dxfId="2961" priority="3390">
      <formula>K782="**"</formula>
    </cfRule>
    <cfRule type="expression" dxfId="2960" priority="3391">
      <formula>K782=""</formula>
    </cfRule>
    <cfRule type="expression" dxfId="2959" priority="3392">
      <formula>K782&lt;44.5</formula>
    </cfRule>
    <cfRule type="expression" dxfId="2958" priority="3393">
      <formula>K782&lt;60.5</formula>
    </cfRule>
    <cfRule type="expression" dxfId="2957" priority="3394">
      <formula>K782&lt;85.5</formula>
    </cfRule>
    <cfRule type="expression" dxfId="2956" priority="3396">
      <formula>K782&gt;85.5</formula>
    </cfRule>
  </conditionalFormatting>
  <conditionalFormatting sqref="K783">
    <cfRule type="expression" dxfId="2955" priority="3384">
      <formula>K783="**"</formula>
    </cfRule>
    <cfRule type="expression" dxfId="2954" priority="3385">
      <formula>K783=""</formula>
    </cfRule>
    <cfRule type="expression" dxfId="2953" priority="3386">
      <formula>K783&lt;44.5</formula>
    </cfRule>
    <cfRule type="expression" dxfId="2952" priority="3387">
      <formula>K783&lt;60.5</formula>
    </cfRule>
    <cfRule type="expression" dxfId="2951" priority="3388">
      <formula>K783&lt;85.5</formula>
    </cfRule>
    <cfRule type="expression" dxfId="2950" priority="3389">
      <formula>K783&gt;85.5</formula>
    </cfRule>
  </conditionalFormatting>
  <conditionalFormatting sqref="K785">
    <cfRule type="expression" dxfId="2949" priority="3373">
      <formula>K785="**"</formula>
    </cfRule>
    <cfRule type="expression" dxfId="2948" priority="3374">
      <formula>K785=""</formula>
    </cfRule>
    <cfRule type="expression" dxfId="2947" priority="3375">
      <formula>K785&lt;44.5</formula>
    </cfRule>
    <cfRule type="expression" dxfId="2946" priority="3376">
      <formula>K785&lt;60.5</formula>
    </cfRule>
    <cfRule type="expression" dxfId="2945" priority="3377">
      <formula>K785&lt;85.5</formula>
    </cfRule>
    <cfRule type="expression" dxfId="2944" priority="3378">
      <formula>K785&gt;85.5</formula>
    </cfRule>
  </conditionalFormatting>
  <conditionalFormatting sqref="L781">
    <cfRule type="expression" dxfId="2943" priority="3366">
      <formula>L781="**"</formula>
    </cfRule>
    <cfRule type="expression" dxfId="2942" priority="3367">
      <formula>L781=""</formula>
    </cfRule>
    <cfRule type="expression" dxfId="2941" priority="3368">
      <formula>L781&lt;44.5</formula>
    </cfRule>
    <cfRule type="expression" dxfId="2940" priority="3369">
      <formula>L781&lt;60.5</formula>
    </cfRule>
    <cfRule type="expression" dxfId="2939" priority="3370">
      <formula>L781&lt;85.5</formula>
    </cfRule>
    <cfRule type="expression" dxfId="2938" priority="3371">
      <formula>L781&gt;85.5</formula>
    </cfRule>
  </conditionalFormatting>
  <conditionalFormatting sqref="L781:L783 L785">
    <cfRule type="expression" dxfId="2937" priority="3341">
      <formula>L$780=""</formula>
    </cfRule>
  </conditionalFormatting>
  <conditionalFormatting sqref="L782">
    <cfRule type="expression" dxfId="2936" priority="3359">
      <formula>L782="**"</formula>
    </cfRule>
    <cfRule type="expression" dxfId="2935" priority="3360">
      <formula>L782=""</formula>
    </cfRule>
    <cfRule type="expression" dxfId="2934" priority="3361">
      <formula>L782&lt;44.5</formula>
    </cfRule>
    <cfRule type="expression" dxfId="2933" priority="3362">
      <formula>L782&lt;60.5</formula>
    </cfRule>
    <cfRule type="expression" dxfId="2932" priority="3363">
      <formula>L782&lt;85.5</formula>
    </cfRule>
    <cfRule type="expression" dxfId="2931" priority="3365">
      <formula>L782&gt;85.5</formula>
    </cfRule>
  </conditionalFormatting>
  <conditionalFormatting sqref="L783">
    <cfRule type="expression" dxfId="2930" priority="3353">
      <formula>L783="**"</formula>
    </cfRule>
    <cfRule type="expression" dxfId="2929" priority="3354">
      <formula>L783=""</formula>
    </cfRule>
    <cfRule type="expression" dxfId="2928" priority="3355">
      <formula>L783&lt;44.5</formula>
    </cfRule>
    <cfRule type="expression" dxfId="2927" priority="3356">
      <formula>L783&lt;60.5</formula>
    </cfRule>
    <cfRule type="expression" dxfId="2926" priority="3357">
      <formula>L783&lt;85.5</formula>
    </cfRule>
    <cfRule type="expression" dxfId="2925" priority="3358">
      <formula>L783&gt;85.5</formula>
    </cfRule>
  </conditionalFormatting>
  <conditionalFormatting sqref="L785">
    <cfRule type="expression" dxfId="2924" priority="3342">
      <formula>L785="**"</formula>
    </cfRule>
    <cfRule type="expression" dxfId="2923" priority="3343">
      <formula>L785=""</formula>
    </cfRule>
    <cfRule type="expression" dxfId="2922" priority="3344">
      <formula>L785&lt;44.5</formula>
    </cfRule>
    <cfRule type="expression" dxfId="2921" priority="3345">
      <formula>L785&lt;60.5</formula>
    </cfRule>
    <cfRule type="expression" dxfId="2920" priority="3346">
      <formula>L785&lt;85.5</formula>
    </cfRule>
    <cfRule type="expression" dxfId="2919" priority="3347">
      <formula>L785&gt;85.5</formula>
    </cfRule>
  </conditionalFormatting>
  <conditionalFormatting sqref="C811">
    <cfRule type="expression" dxfId="2918" priority="3335">
      <formula>C811="**"</formula>
    </cfRule>
    <cfRule type="expression" dxfId="2917" priority="3336">
      <formula>C811=""</formula>
    </cfRule>
    <cfRule type="expression" dxfId="2916" priority="3337">
      <formula>C811&lt;44.5</formula>
    </cfRule>
    <cfRule type="expression" dxfId="2915" priority="3338">
      <formula>C811&lt;60.5</formula>
    </cfRule>
    <cfRule type="expression" dxfId="2914" priority="3339">
      <formula>C811&lt;85.5</formula>
    </cfRule>
    <cfRule type="expression" dxfId="2913" priority="3340">
      <formula>C811&gt;85.5</formula>
    </cfRule>
  </conditionalFormatting>
  <conditionalFormatting sqref="C811:C815">
    <cfRule type="expression" dxfId="2912" priority="3310">
      <formula>C$810=""</formula>
    </cfRule>
  </conditionalFormatting>
  <conditionalFormatting sqref="C812">
    <cfRule type="expression" dxfId="2911" priority="3328">
      <formula>C812="**"</formula>
    </cfRule>
    <cfRule type="expression" dxfId="2910" priority="3329">
      <formula>C812=""</formula>
    </cfRule>
    <cfRule type="expression" dxfId="2909" priority="3330">
      <formula>C812&lt;44.5</formula>
    </cfRule>
    <cfRule type="expression" dxfId="2908" priority="3331">
      <formula>C812&lt;60.5</formula>
    </cfRule>
    <cfRule type="expression" dxfId="2907" priority="3332">
      <formula>C812&lt;85.5</formula>
    </cfRule>
    <cfRule type="expression" dxfId="2906" priority="3334">
      <formula>C812&gt;85.5</formula>
    </cfRule>
  </conditionalFormatting>
  <conditionalFormatting sqref="C813">
    <cfRule type="expression" dxfId="2905" priority="3322">
      <formula>C813="**"</formula>
    </cfRule>
    <cfRule type="expression" dxfId="2904" priority="3323">
      <formula>C813=""</formula>
    </cfRule>
    <cfRule type="expression" dxfId="2903" priority="3324">
      <formula>C813&lt;44.5</formula>
    </cfRule>
    <cfRule type="expression" dxfId="2902" priority="3325">
      <formula>C813&lt;60.5</formula>
    </cfRule>
    <cfRule type="expression" dxfId="2901" priority="3326">
      <formula>C813&lt;85.5</formula>
    </cfRule>
    <cfRule type="expression" dxfId="2900" priority="3327">
      <formula>C813&gt;85.5</formula>
    </cfRule>
  </conditionalFormatting>
  <conditionalFormatting sqref="C814">
    <cfRule type="expression" dxfId="2899" priority="3317">
      <formula>C814="**"</formula>
    </cfRule>
    <cfRule type="expression" dxfId="2898" priority="3318">
      <formula>C814=""</formula>
    </cfRule>
    <cfRule type="expression" dxfId="2897" priority="3319">
      <formula>C814&lt;44.5</formula>
    </cfRule>
    <cfRule type="expression" dxfId="2896" priority="3320">
      <formula>C814&lt;60.5</formula>
    </cfRule>
    <cfRule type="expression" dxfId="2895" priority="3321">
      <formula>C814&lt;85.5</formula>
    </cfRule>
    <cfRule type="expression" dxfId="2894" priority="3333">
      <formula>C814&gt;85.5</formula>
    </cfRule>
  </conditionalFormatting>
  <conditionalFormatting sqref="C815">
    <cfRule type="expression" dxfId="2893" priority="3311">
      <formula>C815="**"</formula>
    </cfRule>
    <cfRule type="expression" dxfId="2892" priority="3312">
      <formula>C815=""</formula>
    </cfRule>
    <cfRule type="expression" dxfId="2891" priority="3313">
      <formula>C815&lt;44.5</formula>
    </cfRule>
    <cfRule type="expression" dxfId="2890" priority="3314">
      <formula>C815&lt;60.5</formula>
    </cfRule>
    <cfRule type="expression" dxfId="2889" priority="3315">
      <formula>C815&lt;85.5</formula>
    </cfRule>
    <cfRule type="expression" dxfId="2888" priority="3316">
      <formula>C815&gt;85.5</formula>
    </cfRule>
  </conditionalFormatting>
  <conditionalFormatting sqref="D811">
    <cfRule type="expression" dxfId="2887" priority="3304">
      <formula>D811="**"</formula>
    </cfRule>
    <cfRule type="expression" dxfId="2886" priority="3305">
      <formula>D811=""</formula>
    </cfRule>
    <cfRule type="expression" dxfId="2885" priority="3306">
      <formula>D811&lt;44.5</formula>
    </cfRule>
    <cfRule type="expression" dxfId="2884" priority="3307">
      <formula>D811&lt;60.5</formula>
    </cfRule>
    <cfRule type="expression" dxfId="2883" priority="3308">
      <formula>D811&lt;85.5</formula>
    </cfRule>
    <cfRule type="expression" dxfId="2882" priority="3309">
      <formula>D811&gt;85.5</formula>
    </cfRule>
  </conditionalFormatting>
  <conditionalFormatting sqref="D811:D813 D815">
    <cfRule type="expression" dxfId="2881" priority="3279">
      <formula>D$810=""</formula>
    </cfRule>
  </conditionalFormatting>
  <conditionalFormatting sqref="D812">
    <cfRule type="expression" dxfId="2880" priority="3297">
      <formula>D812="**"</formula>
    </cfRule>
    <cfRule type="expression" dxfId="2879" priority="3298">
      <formula>D812=""</formula>
    </cfRule>
    <cfRule type="expression" dxfId="2878" priority="3299">
      <formula>D812&lt;44.5</formula>
    </cfRule>
    <cfRule type="expression" dxfId="2877" priority="3300">
      <formula>D812&lt;60.5</formula>
    </cfRule>
    <cfRule type="expression" dxfId="2876" priority="3301">
      <formula>D812&lt;85.5</formula>
    </cfRule>
    <cfRule type="expression" dxfId="2875" priority="3303">
      <formula>D812&gt;85.5</formula>
    </cfRule>
  </conditionalFormatting>
  <conditionalFormatting sqref="D813">
    <cfRule type="expression" dxfId="2874" priority="3291">
      <formula>D813="**"</formula>
    </cfRule>
    <cfRule type="expression" dxfId="2873" priority="3292">
      <formula>D813=""</formula>
    </cfRule>
    <cfRule type="expression" dxfId="2872" priority="3293">
      <formula>D813&lt;44.5</formula>
    </cfRule>
    <cfRule type="expression" dxfId="2871" priority="3294">
      <formula>D813&lt;60.5</formula>
    </cfRule>
    <cfRule type="expression" dxfId="2870" priority="3295">
      <formula>D813&lt;85.5</formula>
    </cfRule>
    <cfRule type="expression" dxfId="2869" priority="3296">
      <formula>D813&gt;85.5</formula>
    </cfRule>
  </conditionalFormatting>
  <conditionalFormatting sqref="D815">
    <cfRule type="expression" dxfId="2868" priority="3280">
      <formula>D815="**"</formula>
    </cfRule>
    <cfRule type="expression" dxfId="2867" priority="3281">
      <formula>D815=""</formula>
    </cfRule>
    <cfRule type="expression" dxfId="2866" priority="3282">
      <formula>D815&lt;44.5</formula>
    </cfRule>
    <cfRule type="expression" dxfId="2865" priority="3283">
      <formula>D815&lt;60.5</formula>
    </cfRule>
    <cfRule type="expression" dxfId="2864" priority="3284">
      <formula>D815&lt;85.5</formula>
    </cfRule>
    <cfRule type="expression" dxfId="2863" priority="3285">
      <formula>D815&gt;85.5</formula>
    </cfRule>
  </conditionalFormatting>
  <conditionalFormatting sqref="E811">
    <cfRule type="expression" dxfId="2862" priority="3273">
      <formula>E811="**"</formula>
    </cfRule>
    <cfRule type="expression" dxfId="2861" priority="3274">
      <formula>E811=""</formula>
    </cfRule>
    <cfRule type="expression" dxfId="2860" priority="3275">
      <formula>E811&lt;44.5</formula>
    </cfRule>
    <cfRule type="expression" dxfId="2859" priority="3276">
      <formula>E811&lt;60.5</formula>
    </cfRule>
    <cfRule type="expression" dxfId="2858" priority="3277">
      <formula>E811&lt;85.5</formula>
    </cfRule>
    <cfRule type="expression" dxfId="2857" priority="3278">
      <formula>E811&gt;85.5</formula>
    </cfRule>
  </conditionalFormatting>
  <conditionalFormatting sqref="E811:E813 E815">
    <cfRule type="expression" dxfId="2856" priority="3248">
      <formula>E$810=""</formula>
    </cfRule>
  </conditionalFormatting>
  <conditionalFormatting sqref="E812">
    <cfRule type="expression" dxfId="2855" priority="3266">
      <formula>E812="**"</formula>
    </cfRule>
    <cfRule type="expression" dxfId="2854" priority="3267">
      <formula>E812=""</formula>
    </cfRule>
    <cfRule type="expression" dxfId="2853" priority="3268">
      <formula>E812&lt;44.5</formula>
    </cfRule>
    <cfRule type="expression" dxfId="2852" priority="3269">
      <formula>E812&lt;60.5</formula>
    </cfRule>
    <cfRule type="expression" dxfId="2851" priority="3270">
      <formula>E812&lt;85.5</formula>
    </cfRule>
    <cfRule type="expression" dxfId="2850" priority="3272">
      <formula>E812&gt;85.5</formula>
    </cfRule>
  </conditionalFormatting>
  <conditionalFormatting sqref="E813">
    <cfRule type="expression" dxfId="2849" priority="3260">
      <formula>E813="**"</formula>
    </cfRule>
    <cfRule type="expression" dxfId="2848" priority="3261">
      <formula>E813=""</formula>
    </cfRule>
    <cfRule type="expression" dxfId="2847" priority="3262">
      <formula>E813&lt;44.5</formula>
    </cfRule>
    <cfRule type="expression" dxfId="2846" priority="3263">
      <formula>E813&lt;60.5</formula>
    </cfRule>
    <cfRule type="expression" dxfId="2845" priority="3264">
      <formula>E813&lt;85.5</formula>
    </cfRule>
    <cfRule type="expression" dxfId="2844" priority="3265">
      <formula>E813&gt;85.5</formula>
    </cfRule>
  </conditionalFormatting>
  <conditionalFormatting sqref="E815">
    <cfRule type="expression" dxfId="2843" priority="3249">
      <formula>E815="**"</formula>
    </cfRule>
    <cfRule type="expression" dxfId="2842" priority="3250">
      <formula>E815=""</formula>
    </cfRule>
    <cfRule type="expression" dxfId="2841" priority="3251">
      <formula>E815&lt;44.5</formula>
    </cfRule>
    <cfRule type="expression" dxfId="2840" priority="3252">
      <formula>E815&lt;60.5</formula>
    </cfRule>
    <cfRule type="expression" dxfId="2839" priority="3253">
      <formula>E815&lt;85.5</formula>
    </cfRule>
    <cfRule type="expression" dxfId="2838" priority="3254">
      <formula>E815&gt;85.5</formula>
    </cfRule>
  </conditionalFormatting>
  <conditionalFormatting sqref="F811">
    <cfRule type="expression" dxfId="2837" priority="3242">
      <formula>F811="**"</formula>
    </cfRule>
    <cfRule type="expression" dxfId="2836" priority="3243">
      <formula>F811=""</formula>
    </cfRule>
    <cfRule type="expression" dxfId="2835" priority="3244">
      <formula>F811&lt;44.5</formula>
    </cfRule>
    <cfRule type="expression" dxfId="2834" priority="3245">
      <formula>F811&lt;60.5</formula>
    </cfRule>
    <cfRule type="expression" dxfId="2833" priority="3246">
      <formula>F811&lt;85.5</formula>
    </cfRule>
    <cfRule type="expression" dxfId="2832" priority="3247">
      <formula>F811&gt;85.5</formula>
    </cfRule>
  </conditionalFormatting>
  <conditionalFormatting sqref="F811:F813 F815">
    <cfRule type="expression" dxfId="2831" priority="3217">
      <formula>F$810=""</formula>
    </cfRule>
  </conditionalFormatting>
  <conditionalFormatting sqref="F812">
    <cfRule type="expression" dxfId="2830" priority="3235">
      <formula>F812="**"</formula>
    </cfRule>
    <cfRule type="expression" dxfId="2829" priority="3236">
      <formula>F812=""</formula>
    </cfRule>
    <cfRule type="expression" dxfId="2828" priority="3237">
      <formula>F812&lt;44.5</formula>
    </cfRule>
    <cfRule type="expression" dxfId="2827" priority="3238">
      <formula>F812&lt;60.5</formula>
    </cfRule>
    <cfRule type="expression" dxfId="2826" priority="3239">
      <formula>F812&lt;85.5</formula>
    </cfRule>
    <cfRule type="expression" dxfId="2825" priority="3241">
      <formula>F812&gt;85.5</formula>
    </cfRule>
  </conditionalFormatting>
  <conditionalFormatting sqref="F813">
    <cfRule type="expression" dxfId="2824" priority="3229">
      <formula>F813="**"</formula>
    </cfRule>
    <cfRule type="expression" dxfId="2823" priority="3230">
      <formula>F813=""</formula>
    </cfRule>
    <cfRule type="expression" dxfId="2822" priority="3231">
      <formula>F813&lt;44.5</formula>
    </cfRule>
    <cfRule type="expression" dxfId="2821" priority="3232">
      <formula>F813&lt;60.5</formula>
    </cfRule>
    <cfRule type="expression" dxfId="2820" priority="3233">
      <formula>F813&lt;85.5</formula>
    </cfRule>
    <cfRule type="expression" dxfId="2819" priority="3234">
      <formula>F813&gt;85.5</formula>
    </cfRule>
  </conditionalFormatting>
  <conditionalFormatting sqref="F815">
    <cfRule type="expression" dxfId="2818" priority="3218">
      <formula>F815="**"</formula>
    </cfRule>
    <cfRule type="expression" dxfId="2817" priority="3219">
      <formula>F815=""</formula>
    </cfRule>
    <cfRule type="expression" dxfId="2816" priority="3220">
      <formula>F815&lt;44.5</formula>
    </cfRule>
    <cfRule type="expression" dxfId="2815" priority="3221">
      <formula>F815&lt;60.5</formula>
    </cfRule>
    <cfRule type="expression" dxfId="2814" priority="3222">
      <formula>F815&lt;85.5</formula>
    </cfRule>
    <cfRule type="expression" dxfId="2813" priority="3223">
      <formula>F815&gt;85.5</formula>
    </cfRule>
  </conditionalFormatting>
  <conditionalFormatting sqref="G811">
    <cfRule type="expression" dxfId="2812" priority="3211">
      <formula>G811="**"</formula>
    </cfRule>
    <cfRule type="expression" dxfId="2811" priority="3212">
      <formula>G811=""</formula>
    </cfRule>
    <cfRule type="expression" dxfId="2810" priority="3213">
      <formula>G811&lt;44.5</formula>
    </cfRule>
    <cfRule type="expression" dxfId="2809" priority="3214">
      <formula>G811&lt;60.5</formula>
    </cfRule>
    <cfRule type="expression" dxfId="2808" priority="3215">
      <formula>G811&lt;85.5</formula>
    </cfRule>
    <cfRule type="expression" dxfId="2807" priority="3216">
      <formula>G811&gt;85.5</formula>
    </cfRule>
  </conditionalFormatting>
  <conditionalFormatting sqref="G811:G813 G815">
    <cfRule type="expression" dxfId="2806" priority="3186">
      <formula>G$810=""</formula>
    </cfRule>
  </conditionalFormatting>
  <conditionalFormatting sqref="G812">
    <cfRule type="expression" dxfId="2805" priority="3204">
      <formula>G812="**"</formula>
    </cfRule>
    <cfRule type="expression" dxfId="2804" priority="3205">
      <formula>G812=""</formula>
    </cfRule>
    <cfRule type="expression" dxfId="2803" priority="3206">
      <formula>G812&lt;44.5</formula>
    </cfRule>
    <cfRule type="expression" dxfId="2802" priority="3207">
      <formula>G812&lt;60.5</formula>
    </cfRule>
    <cfRule type="expression" dxfId="2801" priority="3208">
      <formula>G812&lt;85.5</formula>
    </cfRule>
    <cfRule type="expression" dxfId="2800" priority="3210">
      <formula>G812&gt;85.5</formula>
    </cfRule>
  </conditionalFormatting>
  <conditionalFormatting sqref="G813">
    <cfRule type="expression" dxfId="2799" priority="3198">
      <formula>G813="**"</formula>
    </cfRule>
    <cfRule type="expression" dxfId="2798" priority="3199">
      <formula>G813=""</formula>
    </cfRule>
    <cfRule type="expression" dxfId="2797" priority="3200">
      <formula>G813&lt;44.5</formula>
    </cfRule>
    <cfRule type="expression" dxfId="2796" priority="3201">
      <formula>G813&lt;60.5</formula>
    </cfRule>
    <cfRule type="expression" dxfId="2795" priority="3202">
      <formula>G813&lt;85.5</formula>
    </cfRule>
    <cfRule type="expression" dxfId="2794" priority="3203">
      <formula>G813&gt;85.5</formula>
    </cfRule>
  </conditionalFormatting>
  <conditionalFormatting sqref="G815">
    <cfRule type="expression" dxfId="2793" priority="3187">
      <formula>G815="**"</formula>
    </cfRule>
    <cfRule type="expression" dxfId="2792" priority="3188">
      <formula>G815=""</formula>
    </cfRule>
    <cfRule type="expression" dxfId="2791" priority="3189">
      <formula>G815&lt;44.5</formula>
    </cfRule>
    <cfRule type="expression" dxfId="2790" priority="3190">
      <formula>G815&lt;60.5</formula>
    </cfRule>
    <cfRule type="expression" dxfId="2789" priority="3191">
      <formula>G815&lt;85.5</formula>
    </cfRule>
    <cfRule type="expression" dxfId="2788" priority="3192">
      <formula>G815&gt;85.5</formula>
    </cfRule>
  </conditionalFormatting>
  <conditionalFormatting sqref="H811">
    <cfRule type="expression" dxfId="2787" priority="3180">
      <formula>H811="**"</formula>
    </cfRule>
    <cfRule type="expression" dxfId="2786" priority="3181">
      <formula>H811=""</formula>
    </cfRule>
    <cfRule type="expression" dxfId="2785" priority="3182">
      <formula>H811&lt;44.5</formula>
    </cfRule>
    <cfRule type="expression" dxfId="2784" priority="3183">
      <formula>H811&lt;60.5</formula>
    </cfRule>
    <cfRule type="expression" dxfId="2783" priority="3184">
      <formula>H811&lt;85.5</formula>
    </cfRule>
    <cfRule type="expression" dxfId="2782" priority="3185">
      <formula>H811&gt;85.5</formula>
    </cfRule>
  </conditionalFormatting>
  <conditionalFormatting sqref="H811:H813 H815">
    <cfRule type="expression" dxfId="2781" priority="3155">
      <formula>H$810=""</formula>
    </cfRule>
  </conditionalFormatting>
  <conditionalFormatting sqref="H812">
    <cfRule type="expression" dxfId="2780" priority="3173">
      <formula>H812="**"</formula>
    </cfRule>
    <cfRule type="expression" dxfId="2779" priority="3174">
      <formula>H812=""</formula>
    </cfRule>
    <cfRule type="expression" dxfId="2778" priority="3175">
      <formula>H812&lt;44.5</formula>
    </cfRule>
    <cfRule type="expression" dxfId="2777" priority="3176">
      <formula>H812&lt;60.5</formula>
    </cfRule>
    <cfRule type="expression" dxfId="2776" priority="3177">
      <formula>H812&lt;85.5</formula>
    </cfRule>
    <cfRule type="expression" dxfId="2775" priority="3179">
      <formula>H812&gt;85.5</formula>
    </cfRule>
  </conditionalFormatting>
  <conditionalFormatting sqref="H813">
    <cfRule type="expression" dxfId="2774" priority="3167">
      <formula>H813="**"</formula>
    </cfRule>
    <cfRule type="expression" dxfId="2773" priority="3168">
      <formula>H813=""</formula>
    </cfRule>
    <cfRule type="expression" dxfId="2772" priority="3169">
      <formula>H813&lt;44.5</formula>
    </cfRule>
    <cfRule type="expression" dxfId="2771" priority="3170">
      <formula>H813&lt;60.5</formula>
    </cfRule>
    <cfRule type="expression" dxfId="2770" priority="3171">
      <formula>H813&lt;85.5</formula>
    </cfRule>
    <cfRule type="expression" dxfId="2769" priority="3172">
      <formula>H813&gt;85.5</formula>
    </cfRule>
  </conditionalFormatting>
  <conditionalFormatting sqref="H815">
    <cfRule type="expression" dxfId="2768" priority="3156">
      <formula>H815="**"</formula>
    </cfRule>
    <cfRule type="expression" dxfId="2767" priority="3157">
      <formula>H815=""</formula>
    </cfRule>
    <cfRule type="expression" dxfId="2766" priority="3158">
      <formula>H815&lt;44.5</formula>
    </cfRule>
    <cfRule type="expression" dxfId="2765" priority="3159">
      <formula>H815&lt;60.5</formula>
    </cfRule>
    <cfRule type="expression" dxfId="2764" priority="3160">
      <formula>H815&lt;85.5</formula>
    </cfRule>
    <cfRule type="expression" dxfId="2763" priority="3161">
      <formula>H815&gt;85.5</formula>
    </cfRule>
  </conditionalFormatting>
  <conditionalFormatting sqref="I811">
    <cfRule type="expression" dxfId="2762" priority="3149">
      <formula>I811="**"</formula>
    </cfRule>
    <cfRule type="expression" dxfId="2761" priority="3150">
      <formula>I811=""</formula>
    </cfRule>
    <cfRule type="expression" dxfId="2760" priority="3151">
      <formula>I811&lt;44.5</formula>
    </cfRule>
    <cfRule type="expression" dxfId="2759" priority="3152">
      <formula>I811&lt;60.5</formula>
    </cfRule>
    <cfRule type="expression" dxfId="2758" priority="3153">
      <formula>I811&lt;85.5</formula>
    </cfRule>
    <cfRule type="expression" dxfId="2757" priority="3154">
      <formula>I811&gt;85.5</formula>
    </cfRule>
  </conditionalFormatting>
  <conditionalFormatting sqref="I811:I813 I815">
    <cfRule type="expression" dxfId="2756" priority="3124">
      <formula>I$810=""</formula>
    </cfRule>
  </conditionalFormatting>
  <conditionalFormatting sqref="I812">
    <cfRule type="expression" dxfId="2755" priority="3142">
      <formula>I812="**"</formula>
    </cfRule>
    <cfRule type="expression" dxfId="2754" priority="3143">
      <formula>I812=""</formula>
    </cfRule>
    <cfRule type="expression" dxfId="2753" priority="3144">
      <formula>I812&lt;44.5</formula>
    </cfRule>
    <cfRule type="expression" dxfId="2752" priority="3145">
      <formula>I812&lt;60.5</formula>
    </cfRule>
    <cfRule type="expression" dxfId="2751" priority="3146">
      <formula>I812&lt;85.5</formula>
    </cfRule>
    <cfRule type="expression" dxfId="2750" priority="3148">
      <formula>I812&gt;85.5</formula>
    </cfRule>
  </conditionalFormatting>
  <conditionalFormatting sqref="I813">
    <cfRule type="expression" dxfId="2749" priority="3136">
      <formula>I813="**"</formula>
    </cfRule>
    <cfRule type="expression" dxfId="2748" priority="3137">
      <formula>I813=""</formula>
    </cfRule>
    <cfRule type="expression" dxfId="2747" priority="3138">
      <formula>I813&lt;44.5</formula>
    </cfRule>
    <cfRule type="expression" dxfId="2746" priority="3139">
      <formula>I813&lt;60.5</formula>
    </cfRule>
    <cfRule type="expression" dxfId="2745" priority="3140">
      <formula>I813&lt;85.5</formula>
    </cfRule>
    <cfRule type="expression" dxfId="2744" priority="3141">
      <formula>I813&gt;85.5</formula>
    </cfRule>
  </conditionalFormatting>
  <conditionalFormatting sqref="I815">
    <cfRule type="expression" dxfId="2743" priority="3125">
      <formula>I815="**"</formula>
    </cfRule>
    <cfRule type="expression" dxfId="2742" priority="3126">
      <formula>I815=""</formula>
    </cfRule>
    <cfRule type="expression" dxfId="2741" priority="3127">
      <formula>I815&lt;44.5</formula>
    </cfRule>
    <cfRule type="expression" dxfId="2740" priority="3128">
      <formula>I815&lt;60.5</formula>
    </cfRule>
    <cfRule type="expression" dxfId="2739" priority="3129">
      <formula>I815&lt;85.5</formula>
    </cfRule>
    <cfRule type="expression" dxfId="2738" priority="3130">
      <formula>I815&gt;85.5</formula>
    </cfRule>
  </conditionalFormatting>
  <conditionalFormatting sqref="J811">
    <cfRule type="expression" dxfId="2737" priority="3118">
      <formula>J811="**"</formula>
    </cfRule>
    <cfRule type="expression" dxfId="2736" priority="3119">
      <formula>J811=""</formula>
    </cfRule>
    <cfRule type="expression" dxfId="2735" priority="3120">
      <formula>J811&lt;44.5</formula>
    </cfRule>
    <cfRule type="expression" dxfId="2734" priority="3121">
      <formula>J811&lt;60.5</formula>
    </cfRule>
    <cfRule type="expression" dxfId="2733" priority="3122">
      <formula>J811&lt;85.5</formula>
    </cfRule>
    <cfRule type="expression" dxfId="2732" priority="3123">
      <formula>J811&gt;85.5</formula>
    </cfRule>
  </conditionalFormatting>
  <conditionalFormatting sqref="J811:J813 J815">
    <cfRule type="expression" dxfId="2731" priority="3093">
      <formula>J$810=""</formula>
    </cfRule>
  </conditionalFormatting>
  <conditionalFormatting sqref="J812">
    <cfRule type="expression" dxfId="2730" priority="3111">
      <formula>J812="**"</formula>
    </cfRule>
    <cfRule type="expression" dxfId="2729" priority="3112">
      <formula>J812=""</formula>
    </cfRule>
    <cfRule type="expression" dxfId="2728" priority="3113">
      <formula>J812&lt;44.5</formula>
    </cfRule>
    <cfRule type="expression" dxfId="2727" priority="3114">
      <formula>J812&lt;60.5</formula>
    </cfRule>
    <cfRule type="expression" dxfId="2726" priority="3115">
      <formula>J812&lt;85.5</formula>
    </cfRule>
    <cfRule type="expression" dxfId="2725" priority="3117">
      <formula>J812&gt;85.5</formula>
    </cfRule>
  </conditionalFormatting>
  <conditionalFormatting sqref="J813">
    <cfRule type="expression" dxfId="2724" priority="3105">
      <formula>J813="**"</formula>
    </cfRule>
    <cfRule type="expression" dxfId="2723" priority="3106">
      <formula>J813=""</formula>
    </cfRule>
    <cfRule type="expression" dxfId="2722" priority="3107">
      <formula>J813&lt;44.5</formula>
    </cfRule>
    <cfRule type="expression" dxfId="2721" priority="3108">
      <formula>J813&lt;60.5</formula>
    </cfRule>
    <cfRule type="expression" dxfId="2720" priority="3109">
      <formula>J813&lt;85.5</formula>
    </cfRule>
    <cfRule type="expression" dxfId="2719" priority="3110">
      <formula>J813&gt;85.5</formula>
    </cfRule>
  </conditionalFormatting>
  <conditionalFormatting sqref="J815">
    <cfRule type="expression" dxfId="2718" priority="3094">
      <formula>J815="**"</formula>
    </cfRule>
    <cfRule type="expression" dxfId="2717" priority="3095">
      <formula>J815=""</formula>
    </cfRule>
    <cfRule type="expression" dxfId="2716" priority="3096">
      <formula>J815&lt;44.5</formula>
    </cfRule>
    <cfRule type="expression" dxfId="2715" priority="3097">
      <formula>J815&lt;60.5</formula>
    </cfRule>
    <cfRule type="expression" dxfId="2714" priority="3098">
      <formula>J815&lt;85.5</formula>
    </cfRule>
    <cfRule type="expression" dxfId="2713" priority="3099">
      <formula>J815&gt;85.5</formula>
    </cfRule>
  </conditionalFormatting>
  <conditionalFormatting sqref="K811">
    <cfRule type="expression" dxfId="2712" priority="3087">
      <formula>K811="**"</formula>
    </cfRule>
    <cfRule type="expression" dxfId="2711" priority="3088">
      <formula>K811=""</formula>
    </cfRule>
    <cfRule type="expression" dxfId="2710" priority="3089">
      <formula>K811&lt;44.5</formula>
    </cfRule>
    <cfRule type="expression" dxfId="2709" priority="3090">
      <formula>K811&lt;60.5</formula>
    </cfRule>
    <cfRule type="expression" dxfId="2708" priority="3091">
      <formula>K811&lt;85.5</formula>
    </cfRule>
    <cfRule type="expression" dxfId="2707" priority="3092">
      <formula>K811&gt;85.5</formula>
    </cfRule>
  </conditionalFormatting>
  <conditionalFormatting sqref="K811:K813 K815">
    <cfRule type="expression" dxfId="2706" priority="3062">
      <formula>K$810=""</formula>
    </cfRule>
  </conditionalFormatting>
  <conditionalFormatting sqref="K812">
    <cfRule type="expression" dxfId="2705" priority="3080">
      <formula>K812="**"</formula>
    </cfRule>
    <cfRule type="expression" dxfId="2704" priority="3081">
      <formula>K812=""</formula>
    </cfRule>
    <cfRule type="expression" dxfId="2703" priority="3082">
      <formula>K812&lt;44.5</formula>
    </cfRule>
    <cfRule type="expression" dxfId="2702" priority="3083">
      <formula>K812&lt;60.5</formula>
    </cfRule>
    <cfRule type="expression" dxfId="2701" priority="3084">
      <formula>K812&lt;85.5</formula>
    </cfRule>
    <cfRule type="expression" dxfId="2700" priority="3086">
      <formula>K812&gt;85.5</formula>
    </cfRule>
  </conditionalFormatting>
  <conditionalFormatting sqref="K813">
    <cfRule type="expression" dxfId="2699" priority="3074">
      <formula>K813="**"</formula>
    </cfRule>
    <cfRule type="expression" dxfId="2698" priority="3075">
      <formula>K813=""</formula>
    </cfRule>
    <cfRule type="expression" dxfId="2697" priority="3076">
      <formula>K813&lt;44.5</formula>
    </cfRule>
    <cfRule type="expression" dxfId="2696" priority="3077">
      <formula>K813&lt;60.5</formula>
    </cfRule>
    <cfRule type="expression" dxfId="2695" priority="3078">
      <formula>K813&lt;85.5</formula>
    </cfRule>
    <cfRule type="expression" dxfId="2694" priority="3079">
      <formula>K813&gt;85.5</formula>
    </cfRule>
  </conditionalFormatting>
  <conditionalFormatting sqref="K815">
    <cfRule type="expression" dxfId="2693" priority="3063">
      <formula>K815="**"</formula>
    </cfRule>
    <cfRule type="expression" dxfId="2692" priority="3064">
      <formula>K815=""</formula>
    </cfRule>
    <cfRule type="expression" dxfId="2691" priority="3065">
      <formula>K815&lt;44.5</formula>
    </cfRule>
    <cfRule type="expression" dxfId="2690" priority="3066">
      <formula>K815&lt;60.5</formula>
    </cfRule>
    <cfRule type="expression" dxfId="2689" priority="3067">
      <formula>K815&lt;85.5</formula>
    </cfRule>
    <cfRule type="expression" dxfId="2688" priority="3068">
      <formula>K815&gt;85.5</formula>
    </cfRule>
  </conditionalFormatting>
  <conditionalFormatting sqref="L811">
    <cfRule type="expression" dxfId="2687" priority="3056">
      <formula>L811="**"</formula>
    </cfRule>
    <cfRule type="expression" dxfId="2686" priority="3057">
      <formula>L811=""</formula>
    </cfRule>
    <cfRule type="expression" dxfId="2685" priority="3058">
      <formula>L811&lt;44.5</formula>
    </cfRule>
    <cfRule type="expression" dxfId="2684" priority="3059">
      <formula>L811&lt;60.5</formula>
    </cfRule>
    <cfRule type="expression" dxfId="2683" priority="3060">
      <formula>L811&lt;85.5</formula>
    </cfRule>
    <cfRule type="expression" dxfId="2682" priority="3061">
      <formula>L811&gt;85.5</formula>
    </cfRule>
  </conditionalFormatting>
  <conditionalFormatting sqref="L811:L813 L815">
    <cfRule type="expression" dxfId="2681" priority="3031">
      <formula>L$810=""</formula>
    </cfRule>
  </conditionalFormatting>
  <conditionalFormatting sqref="L812">
    <cfRule type="expression" dxfId="2680" priority="3049">
      <formula>L812="**"</formula>
    </cfRule>
    <cfRule type="expression" dxfId="2679" priority="3050">
      <formula>L812=""</formula>
    </cfRule>
    <cfRule type="expression" dxfId="2678" priority="3051">
      <formula>L812&lt;44.5</formula>
    </cfRule>
    <cfRule type="expression" dxfId="2677" priority="3052">
      <formula>L812&lt;60.5</formula>
    </cfRule>
    <cfRule type="expression" dxfId="2676" priority="3053">
      <formula>L812&lt;85.5</formula>
    </cfRule>
    <cfRule type="expression" dxfId="2675" priority="3055">
      <formula>L812&gt;85.5</formula>
    </cfRule>
  </conditionalFormatting>
  <conditionalFormatting sqref="L813">
    <cfRule type="expression" dxfId="2674" priority="3043">
      <formula>L813="**"</formula>
    </cfRule>
    <cfRule type="expression" dxfId="2673" priority="3044">
      <formula>L813=""</formula>
    </cfRule>
    <cfRule type="expression" dxfId="2672" priority="3045">
      <formula>L813&lt;44.5</formula>
    </cfRule>
    <cfRule type="expression" dxfId="2671" priority="3046">
      <formula>L813&lt;60.5</formula>
    </cfRule>
    <cfRule type="expression" dxfId="2670" priority="3047">
      <formula>L813&lt;85.5</formula>
    </cfRule>
    <cfRule type="expression" dxfId="2669" priority="3048">
      <formula>L813&gt;85.5</formula>
    </cfRule>
  </conditionalFormatting>
  <conditionalFormatting sqref="L815">
    <cfRule type="expression" dxfId="2668" priority="3032">
      <formula>L815="**"</formula>
    </cfRule>
    <cfRule type="expression" dxfId="2667" priority="3033">
      <formula>L815=""</formula>
    </cfRule>
    <cfRule type="expression" dxfId="2666" priority="3034">
      <formula>L815&lt;44.5</formula>
    </cfRule>
    <cfRule type="expression" dxfId="2665" priority="3035">
      <formula>L815&lt;60.5</formula>
    </cfRule>
    <cfRule type="expression" dxfId="2664" priority="3036">
      <formula>L815&lt;85.5</formula>
    </cfRule>
    <cfRule type="expression" dxfId="2663" priority="3037">
      <formula>L815&gt;85.5</formula>
    </cfRule>
  </conditionalFormatting>
  <conditionalFormatting sqref="C841">
    <cfRule type="expression" dxfId="2662" priority="3025">
      <formula>C841="**"</formula>
    </cfRule>
    <cfRule type="expression" dxfId="2661" priority="3026">
      <formula>C841=""</formula>
    </cfRule>
    <cfRule type="expression" dxfId="2660" priority="3027">
      <formula>C841&lt;44.5</formula>
    </cfRule>
    <cfRule type="expression" dxfId="2659" priority="3028">
      <formula>C841&lt;60.5</formula>
    </cfRule>
    <cfRule type="expression" dxfId="2658" priority="3029">
      <formula>C841&lt;85.5</formula>
    </cfRule>
    <cfRule type="expression" dxfId="2657" priority="3030">
      <formula>C841&gt;85.5</formula>
    </cfRule>
  </conditionalFormatting>
  <conditionalFormatting sqref="C841:C845">
    <cfRule type="expression" dxfId="2656" priority="3000">
      <formula>C$840=""</formula>
    </cfRule>
  </conditionalFormatting>
  <conditionalFormatting sqref="C842">
    <cfRule type="expression" dxfId="2655" priority="3018">
      <formula>C842="**"</formula>
    </cfRule>
    <cfRule type="expression" dxfId="2654" priority="3019">
      <formula>C842=""</formula>
    </cfRule>
    <cfRule type="expression" dxfId="2653" priority="3020">
      <formula>C842&lt;44.5</formula>
    </cfRule>
    <cfRule type="expression" dxfId="2652" priority="3021">
      <formula>C842&lt;60.5</formula>
    </cfRule>
    <cfRule type="expression" dxfId="2651" priority="3022">
      <formula>C842&lt;85.5</formula>
    </cfRule>
    <cfRule type="expression" dxfId="2650" priority="3024">
      <formula>C842&gt;85.5</formula>
    </cfRule>
  </conditionalFormatting>
  <conditionalFormatting sqref="C843">
    <cfRule type="expression" dxfId="2649" priority="3012">
      <formula>C843="**"</formula>
    </cfRule>
    <cfRule type="expression" dxfId="2648" priority="3013">
      <formula>C843=""</formula>
    </cfRule>
    <cfRule type="expression" dxfId="2647" priority="3014">
      <formula>C843&lt;44.5</formula>
    </cfRule>
    <cfRule type="expression" dxfId="2646" priority="3015">
      <formula>C843&lt;60.5</formula>
    </cfRule>
    <cfRule type="expression" dxfId="2645" priority="3016">
      <formula>C843&lt;85.5</formula>
    </cfRule>
    <cfRule type="expression" dxfId="2644" priority="3017">
      <formula>C843&gt;85.5</formula>
    </cfRule>
  </conditionalFormatting>
  <conditionalFormatting sqref="C844">
    <cfRule type="expression" dxfId="2643" priority="3007">
      <formula>C844="**"</formula>
    </cfRule>
    <cfRule type="expression" dxfId="2642" priority="3008">
      <formula>C844=""</formula>
    </cfRule>
    <cfRule type="expression" dxfId="2641" priority="3009">
      <formula>C844&lt;44.5</formula>
    </cfRule>
    <cfRule type="expression" dxfId="2640" priority="3010">
      <formula>C844&lt;60.5</formula>
    </cfRule>
    <cfRule type="expression" dxfId="2639" priority="3011">
      <formula>C844&lt;85.5</formula>
    </cfRule>
    <cfRule type="expression" dxfId="2638" priority="3023">
      <formula>C844&gt;85.5</formula>
    </cfRule>
  </conditionalFormatting>
  <conditionalFormatting sqref="C845">
    <cfRule type="expression" dxfId="2637" priority="3001">
      <formula>C845="**"</formula>
    </cfRule>
    <cfRule type="expression" dxfId="2636" priority="3002">
      <formula>C845=""</formula>
    </cfRule>
    <cfRule type="expression" dxfId="2635" priority="3003">
      <formula>C845&lt;44.5</formula>
    </cfRule>
    <cfRule type="expression" dxfId="2634" priority="3004">
      <formula>C845&lt;60.5</formula>
    </cfRule>
    <cfRule type="expression" dxfId="2633" priority="3005">
      <formula>C845&lt;85.5</formula>
    </cfRule>
    <cfRule type="expression" dxfId="2632" priority="3006">
      <formula>C845&gt;85.5</formula>
    </cfRule>
  </conditionalFormatting>
  <conditionalFormatting sqref="D841">
    <cfRule type="expression" dxfId="2631" priority="2994">
      <formula>D841="**"</formula>
    </cfRule>
    <cfRule type="expression" dxfId="2630" priority="2995">
      <formula>D841=""</formula>
    </cfRule>
    <cfRule type="expression" dxfId="2629" priority="2996">
      <formula>D841&lt;44.5</formula>
    </cfRule>
    <cfRule type="expression" dxfId="2628" priority="2997">
      <formula>D841&lt;60.5</formula>
    </cfRule>
    <cfRule type="expression" dxfId="2627" priority="2998">
      <formula>D841&lt;85.5</formula>
    </cfRule>
    <cfRule type="expression" dxfId="2626" priority="2999">
      <formula>D841&gt;85.5</formula>
    </cfRule>
  </conditionalFormatting>
  <conditionalFormatting sqref="D841:D843 D845">
    <cfRule type="expression" dxfId="2625" priority="2969">
      <formula>D$840=""</formula>
    </cfRule>
  </conditionalFormatting>
  <conditionalFormatting sqref="D842">
    <cfRule type="expression" dxfId="2624" priority="2987">
      <formula>D842="**"</formula>
    </cfRule>
    <cfRule type="expression" dxfId="2623" priority="2988">
      <formula>D842=""</formula>
    </cfRule>
    <cfRule type="expression" dxfId="2622" priority="2989">
      <formula>D842&lt;44.5</formula>
    </cfRule>
    <cfRule type="expression" dxfId="2621" priority="2990">
      <formula>D842&lt;60.5</formula>
    </cfRule>
    <cfRule type="expression" dxfId="2620" priority="2991">
      <formula>D842&lt;85.5</formula>
    </cfRule>
    <cfRule type="expression" dxfId="2619" priority="2993">
      <formula>D842&gt;85.5</formula>
    </cfRule>
  </conditionalFormatting>
  <conditionalFormatting sqref="D843">
    <cfRule type="expression" dxfId="2618" priority="2981">
      <formula>D843="**"</formula>
    </cfRule>
    <cfRule type="expression" dxfId="2617" priority="2982">
      <formula>D843=""</formula>
    </cfRule>
    <cfRule type="expression" dxfId="2616" priority="2983">
      <formula>D843&lt;44.5</formula>
    </cfRule>
    <cfRule type="expression" dxfId="2615" priority="2984">
      <formula>D843&lt;60.5</formula>
    </cfRule>
    <cfRule type="expression" dxfId="2614" priority="2985">
      <formula>D843&lt;85.5</formula>
    </cfRule>
    <cfRule type="expression" dxfId="2613" priority="2986">
      <formula>D843&gt;85.5</formula>
    </cfRule>
  </conditionalFormatting>
  <conditionalFormatting sqref="D845">
    <cfRule type="expression" dxfId="2612" priority="2970">
      <formula>D845="**"</formula>
    </cfRule>
    <cfRule type="expression" dxfId="2611" priority="2971">
      <formula>D845=""</formula>
    </cfRule>
    <cfRule type="expression" dxfId="2610" priority="2972">
      <formula>D845&lt;44.5</formula>
    </cfRule>
    <cfRule type="expression" dxfId="2609" priority="2973">
      <formula>D845&lt;60.5</formula>
    </cfRule>
    <cfRule type="expression" dxfId="2608" priority="2974">
      <formula>D845&lt;85.5</formula>
    </cfRule>
    <cfRule type="expression" dxfId="2607" priority="2975">
      <formula>D845&gt;85.5</formula>
    </cfRule>
  </conditionalFormatting>
  <conditionalFormatting sqref="E841">
    <cfRule type="expression" dxfId="2606" priority="2963">
      <formula>E841="**"</formula>
    </cfRule>
    <cfRule type="expression" dxfId="2605" priority="2964">
      <formula>E841=""</formula>
    </cfRule>
    <cfRule type="expression" dxfId="2604" priority="2965">
      <formula>E841&lt;44.5</formula>
    </cfRule>
    <cfRule type="expression" dxfId="2603" priority="2966">
      <formula>E841&lt;60.5</formula>
    </cfRule>
    <cfRule type="expression" dxfId="2602" priority="2967">
      <formula>E841&lt;85.5</formula>
    </cfRule>
    <cfRule type="expression" dxfId="2601" priority="2968">
      <formula>E841&gt;85.5</formula>
    </cfRule>
  </conditionalFormatting>
  <conditionalFormatting sqref="E841:E843 E845">
    <cfRule type="expression" dxfId="2600" priority="2938">
      <formula>E$840=""</formula>
    </cfRule>
  </conditionalFormatting>
  <conditionalFormatting sqref="E842">
    <cfRule type="expression" dxfId="2599" priority="2956">
      <formula>E842="**"</formula>
    </cfRule>
    <cfRule type="expression" dxfId="2598" priority="2957">
      <formula>E842=""</formula>
    </cfRule>
    <cfRule type="expression" dxfId="2597" priority="2958">
      <formula>E842&lt;44.5</formula>
    </cfRule>
    <cfRule type="expression" dxfId="2596" priority="2959">
      <formula>E842&lt;60.5</formula>
    </cfRule>
    <cfRule type="expression" dxfId="2595" priority="2960">
      <formula>E842&lt;85.5</formula>
    </cfRule>
    <cfRule type="expression" dxfId="2594" priority="2962">
      <formula>E842&gt;85.5</formula>
    </cfRule>
  </conditionalFormatting>
  <conditionalFormatting sqref="E843">
    <cfRule type="expression" dxfId="2593" priority="2950">
      <formula>E843="**"</formula>
    </cfRule>
    <cfRule type="expression" dxfId="2592" priority="2951">
      <formula>E843=""</formula>
    </cfRule>
    <cfRule type="expression" dxfId="2591" priority="2952">
      <formula>E843&lt;44.5</formula>
    </cfRule>
    <cfRule type="expression" dxfId="2590" priority="2953">
      <formula>E843&lt;60.5</formula>
    </cfRule>
    <cfRule type="expression" dxfId="2589" priority="2954">
      <formula>E843&lt;85.5</formula>
    </cfRule>
    <cfRule type="expression" dxfId="2588" priority="2955">
      <formula>E843&gt;85.5</formula>
    </cfRule>
  </conditionalFormatting>
  <conditionalFormatting sqref="E845">
    <cfRule type="expression" dxfId="2587" priority="2939">
      <formula>E845="**"</formula>
    </cfRule>
    <cfRule type="expression" dxfId="2586" priority="2940">
      <formula>E845=""</formula>
    </cfRule>
    <cfRule type="expression" dxfId="2585" priority="2941">
      <formula>E845&lt;44.5</formula>
    </cfRule>
    <cfRule type="expression" dxfId="2584" priority="2942">
      <formula>E845&lt;60.5</formula>
    </cfRule>
    <cfRule type="expression" dxfId="2583" priority="2943">
      <formula>E845&lt;85.5</formula>
    </cfRule>
    <cfRule type="expression" dxfId="2582" priority="2944">
      <formula>E845&gt;85.5</formula>
    </cfRule>
  </conditionalFormatting>
  <conditionalFormatting sqref="F841">
    <cfRule type="expression" dxfId="2581" priority="2932">
      <formula>F841="**"</formula>
    </cfRule>
    <cfRule type="expression" dxfId="2580" priority="2933">
      <formula>F841=""</formula>
    </cfRule>
    <cfRule type="expression" dxfId="2579" priority="2934">
      <formula>F841&lt;44.5</formula>
    </cfRule>
    <cfRule type="expression" dxfId="2578" priority="2935">
      <formula>F841&lt;60.5</formula>
    </cfRule>
    <cfRule type="expression" dxfId="2577" priority="2936">
      <formula>F841&lt;85.5</formula>
    </cfRule>
    <cfRule type="expression" dxfId="2576" priority="2937">
      <formula>F841&gt;85.5</formula>
    </cfRule>
  </conditionalFormatting>
  <conditionalFormatting sqref="F841:F843 F845">
    <cfRule type="expression" dxfId="2575" priority="2907">
      <formula>F$840=""</formula>
    </cfRule>
  </conditionalFormatting>
  <conditionalFormatting sqref="F842">
    <cfRule type="expression" dxfId="2574" priority="2925">
      <formula>F842="**"</formula>
    </cfRule>
    <cfRule type="expression" dxfId="2573" priority="2926">
      <formula>F842=""</formula>
    </cfRule>
    <cfRule type="expression" dxfId="2572" priority="2927">
      <formula>F842&lt;44.5</formula>
    </cfRule>
    <cfRule type="expression" dxfId="2571" priority="2928">
      <formula>F842&lt;60.5</formula>
    </cfRule>
    <cfRule type="expression" dxfId="2570" priority="2929">
      <formula>F842&lt;85.5</formula>
    </cfRule>
    <cfRule type="expression" dxfId="2569" priority="2931">
      <formula>F842&gt;85.5</formula>
    </cfRule>
  </conditionalFormatting>
  <conditionalFormatting sqref="F843">
    <cfRule type="expression" dxfId="2568" priority="2919">
      <formula>F843="**"</formula>
    </cfRule>
    <cfRule type="expression" dxfId="2567" priority="2920">
      <formula>F843=""</formula>
    </cfRule>
    <cfRule type="expression" dxfId="2566" priority="2921">
      <formula>F843&lt;44.5</formula>
    </cfRule>
    <cfRule type="expression" dxfId="2565" priority="2922">
      <formula>F843&lt;60.5</formula>
    </cfRule>
    <cfRule type="expression" dxfId="2564" priority="2923">
      <formula>F843&lt;85.5</formula>
    </cfRule>
    <cfRule type="expression" dxfId="2563" priority="2924">
      <formula>F843&gt;85.5</formula>
    </cfRule>
  </conditionalFormatting>
  <conditionalFormatting sqref="F845">
    <cfRule type="expression" dxfId="2562" priority="2908">
      <formula>F845="**"</formula>
    </cfRule>
    <cfRule type="expression" dxfId="2561" priority="2909">
      <formula>F845=""</formula>
    </cfRule>
    <cfRule type="expression" dxfId="2560" priority="2910">
      <formula>F845&lt;44.5</formula>
    </cfRule>
    <cfRule type="expression" dxfId="2559" priority="2911">
      <formula>F845&lt;60.5</formula>
    </cfRule>
    <cfRule type="expression" dxfId="2558" priority="2912">
      <formula>F845&lt;85.5</formula>
    </cfRule>
    <cfRule type="expression" dxfId="2557" priority="2913">
      <formula>F845&gt;85.5</formula>
    </cfRule>
  </conditionalFormatting>
  <conditionalFormatting sqref="G841">
    <cfRule type="expression" dxfId="2556" priority="2901">
      <formula>G841="**"</formula>
    </cfRule>
    <cfRule type="expression" dxfId="2555" priority="2902">
      <formula>G841=""</formula>
    </cfRule>
    <cfRule type="expression" dxfId="2554" priority="2903">
      <formula>G841&lt;44.5</formula>
    </cfRule>
    <cfRule type="expression" dxfId="2553" priority="2904">
      <formula>G841&lt;60.5</formula>
    </cfRule>
    <cfRule type="expression" dxfId="2552" priority="2905">
      <formula>G841&lt;85.5</formula>
    </cfRule>
    <cfRule type="expression" dxfId="2551" priority="2906">
      <formula>G841&gt;85.5</formula>
    </cfRule>
  </conditionalFormatting>
  <conditionalFormatting sqref="G841:G843 G845">
    <cfRule type="expression" dxfId="2550" priority="2876">
      <formula>G$840=""</formula>
    </cfRule>
  </conditionalFormatting>
  <conditionalFormatting sqref="G842">
    <cfRule type="expression" dxfId="2549" priority="2894">
      <formula>G842="**"</formula>
    </cfRule>
    <cfRule type="expression" dxfId="2548" priority="2895">
      <formula>G842=""</formula>
    </cfRule>
    <cfRule type="expression" dxfId="2547" priority="2896">
      <formula>G842&lt;44.5</formula>
    </cfRule>
    <cfRule type="expression" dxfId="2546" priority="2897">
      <formula>G842&lt;60.5</formula>
    </cfRule>
    <cfRule type="expression" dxfId="2545" priority="2898">
      <formula>G842&lt;85.5</formula>
    </cfRule>
    <cfRule type="expression" dxfId="2544" priority="2900">
      <formula>G842&gt;85.5</formula>
    </cfRule>
  </conditionalFormatting>
  <conditionalFormatting sqref="G843">
    <cfRule type="expression" dxfId="2543" priority="2888">
      <formula>G843="**"</formula>
    </cfRule>
    <cfRule type="expression" dxfId="2542" priority="2889">
      <formula>G843=""</formula>
    </cfRule>
    <cfRule type="expression" dxfId="2541" priority="2890">
      <formula>G843&lt;44.5</formula>
    </cfRule>
    <cfRule type="expression" dxfId="2540" priority="2891">
      <formula>G843&lt;60.5</formula>
    </cfRule>
    <cfRule type="expression" dxfId="2539" priority="2892">
      <formula>G843&lt;85.5</formula>
    </cfRule>
    <cfRule type="expression" dxfId="2538" priority="2893">
      <formula>G843&gt;85.5</formula>
    </cfRule>
  </conditionalFormatting>
  <conditionalFormatting sqref="G845">
    <cfRule type="expression" dxfId="2537" priority="2877">
      <formula>G845="**"</formula>
    </cfRule>
    <cfRule type="expression" dxfId="2536" priority="2878">
      <formula>G845=""</formula>
    </cfRule>
    <cfRule type="expression" dxfId="2535" priority="2879">
      <formula>G845&lt;44.5</formula>
    </cfRule>
    <cfRule type="expression" dxfId="2534" priority="2880">
      <formula>G845&lt;60.5</formula>
    </cfRule>
    <cfRule type="expression" dxfId="2533" priority="2881">
      <formula>G845&lt;85.5</formula>
    </cfRule>
    <cfRule type="expression" dxfId="2532" priority="2882">
      <formula>G845&gt;85.5</formula>
    </cfRule>
  </conditionalFormatting>
  <conditionalFormatting sqref="H841">
    <cfRule type="expression" dxfId="2531" priority="2870">
      <formula>H841="**"</formula>
    </cfRule>
    <cfRule type="expression" dxfId="2530" priority="2871">
      <formula>H841=""</formula>
    </cfRule>
    <cfRule type="expression" dxfId="2529" priority="2872">
      <formula>H841&lt;44.5</formula>
    </cfRule>
    <cfRule type="expression" dxfId="2528" priority="2873">
      <formula>H841&lt;60.5</formula>
    </cfRule>
    <cfRule type="expression" dxfId="2527" priority="2874">
      <formula>H841&lt;85.5</formula>
    </cfRule>
    <cfRule type="expression" dxfId="2526" priority="2875">
      <formula>H841&gt;85.5</formula>
    </cfRule>
  </conditionalFormatting>
  <conditionalFormatting sqref="H841:H843 H845">
    <cfRule type="expression" dxfId="2525" priority="2845">
      <formula>H$840=""</formula>
    </cfRule>
  </conditionalFormatting>
  <conditionalFormatting sqref="H842">
    <cfRule type="expression" dxfId="2524" priority="2863">
      <formula>H842="**"</formula>
    </cfRule>
    <cfRule type="expression" dxfId="2523" priority="2864">
      <formula>H842=""</formula>
    </cfRule>
    <cfRule type="expression" dxfId="2522" priority="2865">
      <formula>H842&lt;44.5</formula>
    </cfRule>
    <cfRule type="expression" dxfId="2521" priority="2866">
      <formula>H842&lt;60.5</formula>
    </cfRule>
    <cfRule type="expression" dxfId="2520" priority="2867">
      <formula>H842&lt;85.5</formula>
    </cfRule>
    <cfRule type="expression" dxfId="2519" priority="2869">
      <formula>H842&gt;85.5</formula>
    </cfRule>
  </conditionalFormatting>
  <conditionalFormatting sqref="H843">
    <cfRule type="expression" dxfId="2518" priority="2857">
      <formula>H843="**"</formula>
    </cfRule>
    <cfRule type="expression" dxfId="2517" priority="2858">
      <formula>H843=""</formula>
    </cfRule>
    <cfRule type="expression" dxfId="2516" priority="2859">
      <formula>H843&lt;44.5</formula>
    </cfRule>
    <cfRule type="expression" dxfId="2515" priority="2860">
      <formula>H843&lt;60.5</formula>
    </cfRule>
    <cfRule type="expression" dxfId="2514" priority="2861">
      <formula>H843&lt;85.5</formula>
    </cfRule>
    <cfRule type="expression" dxfId="2513" priority="2862">
      <formula>H843&gt;85.5</formula>
    </cfRule>
  </conditionalFormatting>
  <conditionalFormatting sqref="H845">
    <cfRule type="expression" dxfId="2512" priority="2846">
      <formula>H845="**"</formula>
    </cfRule>
    <cfRule type="expression" dxfId="2511" priority="2847">
      <formula>H845=""</formula>
    </cfRule>
    <cfRule type="expression" dxfId="2510" priority="2848">
      <formula>H845&lt;44.5</formula>
    </cfRule>
    <cfRule type="expression" dxfId="2509" priority="2849">
      <formula>H845&lt;60.5</formula>
    </cfRule>
    <cfRule type="expression" dxfId="2508" priority="2850">
      <formula>H845&lt;85.5</formula>
    </cfRule>
    <cfRule type="expression" dxfId="2507" priority="2851">
      <formula>H845&gt;85.5</formula>
    </cfRule>
  </conditionalFormatting>
  <conditionalFormatting sqref="I841">
    <cfRule type="expression" dxfId="2506" priority="2839">
      <formula>I841="**"</formula>
    </cfRule>
    <cfRule type="expression" dxfId="2505" priority="2840">
      <formula>I841=""</formula>
    </cfRule>
    <cfRule type="expression" dxfId="2504" priority="2841">
      <formula>I841&lt;44.5</formula>
    </cfRule>
    <cfRule type="expression" dxfId="2503" priority="2842">
      <formula>I841&lt;60.5</formula>
    </cfRule>
    <cfRule type="expression" dxfId="2502" priority="2843">
      <formula>I841&lt;85.5</formula>
    </cfRule>
    <cfRule type="expression" dxfId="2501" priority="2844">
      <formula>I841&gt;85.5</formula>
    </cfRule>
  </conditionalFormatting>
  <conditionalFormatting sqref="I841:I843 I845">
    <cfRule type="expression" dxfId="2500" priority="2814">
      <formula>I$840=""</formula>
    </cfRule>
  </conditionalFormatting>
  <conditionalFormatting sqref="I842">
    <cfRule type="expression" dxfId="2499" priority="2832">
      <formula>I842="**"</formula>
    </cfRule>
    <cfRule type="expression" dxfId="2498" priority="2833">
      <formula>I842=""</formula>
    </cfRule>
    <cfRule type="expression" dxfId="2497" priority="2834">
      <formula>I842&lt;44.5</formula>
    </cfRule>
    <cfRule type="expression" dxfId="2496" priority="2835">
      <formula>I842&lt;60.5</formula>
    </cfRule>
    <cfRule type="expression" dxfId="2495" priority="2836">
      <formula>I842&lt;85.5</formula>
    </cfRule>
    <cfRule type="expression" dxfId="2494" priority="2838">
      <formula>I842&gt;85.5</formula>
    </cfRule>
  </conditionalFormatting>
  <conditionalFormatting sqref="I843">
    <cfRule type="expression" dxfId="2493" priority="2826">
      <formula>I843="**"</formula>
    </cfRule>
    <cfRule type="expression" dxfId="2492" priority="2827">
      <formula>I843=""</formula>
    </cfRule>
    <cfRule type="expression" dxfId="2491" priority="2828">
      <formula>I843&lt;44.5</formula>
    </cfRule>
    <cfRule type="expression" dxfId="2490" priority="2829">
      <formula>I843&lt;60.5</formula>
    </cfRule>
    <cfRule type="expression" dxfId="2489" priority="2830">
      <formula>I843&lt;85.5</formula>
    </cfRule>
    <cfRule type="expression" dxfId="2488" priority="2831">
      <formula>I843&gt;85.5</formula>
    </cfRule>
  </conditionalFormatting>
  <conditionalFormatting sqref="I845">
    <cfRule type="expression" dxfId="2487" priority="2815">
      <formula>I845="**"</formula>
    </cfRule>
    <cfRule type="expression" dxfId="2486" priority="2816">
      <formula>I845=""</formula>
    </cfRule>
    <cfRule type="expression" dxfId="2485" priority="2817">
      <formula>I845&lt;44.5</formula>
    </cfRule>
    <cfRule type="expression" dxfId="2484" priority="2818">
      <formula>I845&lt;60.5</formula>
    </cfRule>
    <cfRule type="expression" dxfId="2483" priority="2819">
      <formula>I845&lt;85.5</formula>
    </cfRule>
    <cfRule type="expression" dxfId="2482" priority="2820">
      <formula>I845&gt;85.5</formula>
    </cfRule>
  </conditionalFormatting>
  <conditionalFormatting sqref="J841">
    <cfRule type="expression" dxfId="2481" priority="2808">
      <formula>J841="**"</formula>
    </cfRule>
    <cfRule type="expression" dxfId="2480" priority="2809">
      <formula>J841=""</formula>
    </cfRule>
    <cfRule type="expression" dxfId="2479" priority="2810">
      <formula>J841&lt;44.5</formula>
    </cfRule>
    <cfRule type="expression" dxfId="2478" priority="2811">
      <formula>J841&lt;60.5</formula>
    </cfRule>
    <cfRule type="expression" dxfId="2477" priority="2812">
      <formula>J841&lt;85.5</formula>
    </cfRule>
    <cfRule type="expression" dxfId="2476" priority="2813">
      <formula>J841&gt;85.5</formula>
    </cfRule>
  </conditionalFormatting>
  <conditionalFormatting sqref="J841:J843 J845">
    <cfRule type="expression" dxfId="2475" priority="2783">
      <formula>J$840=""</formula>
    </cfRule>
  </conditionalFormatting>
  <conditionalFormatting sqref="J842">
    <cfRule type="expression" dxfId="2474" priority="2801">
      <formula>J842="**"</formula>
    </cfRule>
    <cfRule type="expression" dxfId="2473" priority="2802">
      <formula>J842=""</formula>
    </cfRule>
    <cfRule type="expression" dxfId="2472" priority="2803">
      <formula>J842&lt;44.5</formula>
    </cfRule>
    <cfRule type="expression" dxfId="2471" priority="2804">
      <formula>J842&lt;60.5</formula>
    </cfRule>
    <cfRule type="expression" dxfId="2470" priority="2805">
      <formula>J842&lt;85.5</formula>
    </cfRule>
    <cfRule type="expression" dxfId="2469" priority="2807">
      <formula>J842&gt;85.5</formula>
    </cfRule>
  </conditionalFormatting>
  <conditionalFormatting sqref="J843">
    <cfRule type="expression" dxfId="2468" priority="2795">
      <formula>J843="**"</formula>
    </cfRule>
    <cfRule type="expression" dxfId="2467" priority="2796">
      <formula>J843=""</formula>
    </cfRule>
    <cfRule type="expression" dxfId="2466" priority="2797">
      <formula>J843&lt;44.5</formula>
    </cfRule>
    <cfRule type="expression" dxfId="2465" priority="2798">
      <formula>J843&lt;60.5</formula>
    </cfRule>
    <cfRule type="expression" dxfId="2464" priority="2799">
      <formula>J843&lt;85.5</formula>
    </cfRule>
    <cfRule type="expression" dxfId="2463" priority="2800">
      <formula>J843&gt;85.5</formula>
    </cfRule>
  </conditionalFormatting>
  <conditionalFormatting sqref="J845">
    <cfRule type="expression" dxfId="2462" priority="2784">
      <formula>J845="**"</formula>
    </cfRule>
    <cfRule type="expression" dxfId="2461" priority="2785">
      <formula>J845=""</formula>
    </cfRule>
    <cfRule type="expression" dxfId="2460" priority="2786">
      <formula>J845&lt;44.5</formula>
    </cfRule>
    <cfRule type="expression" dxfId="2459" priority="2787">
      <formula>J845&lt;60.5</formula>
    </cfRule>
    <cfRule type="expression" dxfId="2458" priority="2788">
      <formula>J845&lt;85.5</formula>
    </cfRule>
    <cfRule type="expression" dxfId="2457" priority="2789">
      <formula>J845&gt;85.5</formula>
    </cfRule>
  </conditionalFormatting>
  <conditionalFormatting sqref="K841">
    <cfRule type="expression" dxfId="2456" priority="2777">
      <formula>K841="**"</formula>
    </cfRule>
    <cfRule type="expression" dxfId="2455" priority="2778">
      <formula>K841=""</formula>
    </cfRule>
    <cfRule type="expression" dxfId="2454" priority="2779">
      <formula>K841&lt;44.5</formula>
    </cfRule>
    <cfRule type="expression" dxfId="2453" priority="2780">
      <formula>K841&lt;60.5</formula>
    </cfRule>
    <cfRule type="expression" dxfId="2452" priority="2781">
      <formula>K841&lt;85.5</formula>
    </cfRule>
    <cfRule type="expression" dxfId="2451" priority="2782">
      <formula>K841&gt;85.5</formula>
    </cfRule>
  </conditionalFormatting>
  <conditionalFormatting sqref="K841:K843 K845">
    <cfRule type="expression" dxfId="2450" priority="2752">
      <formula>K$840=""</formula>
    </cfRule>
  </conditionalFormatting>
  <conditionalFormatting sqref="K842">
    <cfRule type="expression" dxfId="2449" priority="2770">
      <formula>K842="**"</formula>
    </cfRule>
    <cfRule type="expression" dxfId="2448" priority="2771">
      <formula>K842=""</formula>
    </cfRule>
    <cfRule type="expression" dxfId="2447" priority="2772">
      <formula>K842&lt;44.5</formula>
    </cfRule>
    <cfRule type="expression" dxfId="2446" priority="2773">
      <formula>K842&lt;60.5</formula>
    </cfRule>
    <cfRule type="expression" dxfId="2445" priority="2774">
      <formula>K842&lt;85.5</formula>
    </cfRule>
    <cfRule type="expression" dxfId="2444" priority="2776">
      <formula>K842&gt;85.5</formula>
    </cfRule>
  </conditionalFormatting>
  <conditionalFormatting sqref="K843">
    <cfRule type="expression" dxfId="2443" priority="2764">
      <formula>K843="**"</formula>
    </cfRule>
    <cfRule type="expression" dxfId="2442" priority="2765">
      <formula>K843=""</formula>
    </cfRule>
    <cfRule type="expression" dxfId="2441" priority="2766">
      <formula>K843&lt;44.5</formula>
    </cfRule>
    <cfRule type="expression" dxfId="2440" priority="2767">
      <formula>K843&lt;60.5</formula>
    </cfRule>
    <cfRule type="expression" dxfId="2439" priority="2768">
      <formula>K843&lt;85.5</formula>
    </cfRule>
    <cfRule type="expression" dxfId="2438" priority="2769">
      <formula>K843&gt;85.5</formula>
    </cfRule>
  </conditionalFormatting>
  <conditionalFormatting sqref="K845">
    <cfRule type="expression" dxfId="2437" priority="2753">
      <formula>K845="**"</formula>
    </cfRule>
    <cfRule type="expression" dxfId="2436" priority="2754">
      <formula>K845=""</formula>
    </cfRule>
    <cfRule type="expression" dxfId="2435" priority="2755">
      <formula>K845&lt;44.5</formula>
    </cfRule>
    <cfRule type="expression" dxfId="2434" priority="2756">
      <formula>K845&lt;60.5</formula>
    </cfRule>
    <cfRule type="expression" dxfId="2433" priority="2757">
      <formula>K845&lt;85.5</formula>
    </cfRule>
    <cfRule type="expression" dxfId="2432" priority="2758">
      <formula>K845&gt;85.5</formula>
    </cfRule>
  </conditionalFormatting>
  <conditionalFormatting sqref="L841">
    <cfRule type="expression" dxfId="2431" priority="2746">
      <formula>L841="**"</formula>
    </cfRule>
    <cfRule type="expression" dxfId="2430" priority="2747">
      <formula>L841=""</formula>
    </cfRule>
    <cfRule type="expression" dxfId="2429" priority="2748">
      <formula>L841&lt;44.5</formula>
    </cfRule>
    <cfRule type="expression" dxfId="2428" priority="2749">
      <formula>L841&lt;60.5</formula>
    </cfRule>
    <cfRule type="expression" dxfId="2427" priority="2750">
      <formula>L841&lt;85.5</formula>
    </cfRule>
    <cfRule type="expression" dxfId="2426" priority="2751">
      <formula>L841&gt;85.5</formula>
    </cfRule>
  </conditionalFormatting>
  <conditionalFormatting sqref="L841:L843 L845">
    <cfRule type="expression" dxfId="2425" priority="2721">
      <formula>L$840=""</formula>
    </cfRule>
  </conditionalFormatting>
  <conditionalFormatting sqref="L842">
    <cfRule type="expression" dxfId="2424" priority="2739">
      <formula>L842="**"</formula>
    </cfRule>
    <cfRule type="expression" dxfId="2423" priority="2740">
      <formula>L842=""</formula>
    </cfRule>
    <cfRule type="expression" dxfId="2422" priority="2741">
      <formula>L842&lt;44.5</formula>
    </cfRule>
    <cfRule type="expression" dxfId="2421" priority="2742">
      <formula>L842&lt;60.5</formula>
    </cfRule>
    <cfRule type="expression" dxfId="2420" priority="2743">
      <formula>L842&lt;85.5</formula>
    </cfRule>
    <cfRule type="expression" dxfId="2419" priority="2745">
      <formula>L842&gt;85.5</formula>
    </cfRule>
  </conditionalFormatting>
  <conditionalFormatting sqref="L843">
    <cfRule type="expression" dxfId="2418" priority="2733">
      <formula>L843="**"</formula>
    </cfRule>
    <cfRule type="expression" dxfId="2417" priority="2734">
      <formula>L843=""</formula>
    </cfRule>
    <cfRule type="expression" dxfId="2416" priority="2735">
      <formula>L843&lt;44.5</formula>
    </cfRule>
    <cfRule type="expression" dxfId="2415" priority="2736">
      <formula>L843&lt;60.5</formula>
    </cfRule>
    <cfRule type="expression" dxfId="2414" priority="2737">
      <formula>L843&lt;85.5</formula>
    </cfRule>
    <cfRule type="expression" dxfId="2413" priority="2738">
      <formula>L843&gt;85.5</formula>
    </cfRule>
  </conditionalFormatting>
  <conditionalFormatting sqref="L845">
    <cfRule type="expression" dxfId="2412" priority="2722">
      <formula>L845="**"</formula>
    </cfRule>
    <cfRule type="expression" dxfId="2411" priority="2723">
      <formula>L845=""</formula>
    </cfRule>
    <cfRule type="expression" dxfId="2410" priority="2724">
      <formula>L845&lt;44.5</formula>
    </cfRule>
    <cfRule type="expression" dxfId="2409" priority="2725">
      <formula>L845&lt;60.5</formula>
    </cfRule>
    <cfRule type="expression" dxfId="2408" priority="2726">
      <formula>L845&lt;85.5</formula>
    </cfRule>
    <cfRule type="expression" dxfId="2407" priority="2727">
      <formula>L845&gt;85.5</formula>
    </cfRule>
  </conditionalFormatting>
  <conditionalFormatting sqref="C871">
    <cfRule type="expression" dxfId="2406" priority="2715">
      <formula>C871="**"</formula>
    </cfRule>
    <cfRule type="expression" dxfId="2405" priority="2716">
      <formula>C871=""</formula>
    </cfRule>
    <cfRule type="expression" dxfId="2404" priority="2717">
      <formula>C871&lt;44.5</formula>
    </cfRule>
    <cfRule type="expression" dxfId="2403" priority="2718">
      <formula>C871&lt;60.5</formula>
    </cfRule>
    <cfRule type="expression" dxfId="2402" priority="2719">
      <formula>C871&lt;85.5</formula>
    </cfRule>
    <cfRule type="expression" dxfId="2401" priority="2720">
      <formula>C871&gt;85.5</formula>
    </cfRule>
  </conditionalFormatting>
  <conditionalFormatting sqref="C871:C875">
    <cfRule type="expression" dxfId="2400" priority="2690">
      <formula>C$870=""</formula>
    </cfRule>
  </conditionalFormatting>
  <conditionalFormatting sqref="C872">
    <cfRule type="expression" dxfId="2399" priority="2708">
      <formula>C872="**"</formula>
    </cfRule>
    <cfRule type="expression" dxfId="2398" priority="2709">
      <formula>C872=""</formula>
    </cfRule>
    <cfRule type="expression" dxfId="2397" priority="2710">
      <formula>C872&lt;44.5</formula>
    </cfRule>
    <cfRule type="expression" dxfId="2396" priority="2711">
      <formula>C872&lt;60.5</formula>
    </cfRule>
    <cfRule type="expression" dxfId="2395" priority="2712">
      <formula>C872&lt;85.5</formula>
    </cfRule>
    <cfRule type="expression" dxfId="2394" priority="2714">
      <formula>C872&gt;85.5</formula>
    </cfRule>
  </conditionalFormatting>
  <conditionalFormatting sqref="C873">
    <cfRule type="expression" dxfId="2393" priority="2702">
      <formula>C873="**"</formula>
    </cfRule>
    <cfRule type="expression" dxfId="2392" priority="2703">
      <formula>C873=""</formula>
    </cfRule>
    <cfRule type="expression" dxfId="2391" priority="2704">
      <formula>C873&lt;44.5</formula>
    </cfRule>
    <cfRule type="expression" dxfId="2390" priority="2705">
      <formula>C873&lt;60.5</formula>
    </cfRule>
    <cfRule type="expression" dxfId="2389" priority="2706">
      <formula>C873&lt;85.5</formula>
    </cfRule>
    <cfRule type="expression" dxfId="2388" priority="2707">
      <formula>C873&gt;85.5</formula>
    </cfRule>
  </conditionalFormatting>
  <conditionalFormatting sqref="C874">
    <cfRule type="expression" dxfId="2387" priority="2697">
      <formula>C874="**"</formula>
    </cfRule>
    <cfRule type="expression" dxfId="2386" priority="2698">
      <formula>C874=""</formula>
    </cfRule>
    <cfRule type="expression" dxfId="2385" priority="2699">
      <formula>C874&lt;44.5</formula>
    </cfRule>
    <cfRule type="expression" dxfId="2384" priority="2700">
      <formula>C874&lt;60.5</formula>
    </cfRule>
    <cfRule type="expression" dxfId="2383" priority="2701">
      <formula>C874&lt;85.5</formula>
    </cfRule>
    <cfRule type="expression" dxfId="2382" priority="2713">
      <formula>C874&gt;85.5</formula>
    </cfRule>
  </conditionalFormatting>
  <conditionalFormatting sqref="C875">
    <cfRule type="expression" dxfId="2381" priority="2691">
      <formula>C875="**"</formula>
    </cfRule>
    <cfRule type="expression" dxfId="2380" priority="2692">
      <formula>C875=""</formula>
    </cfRule>
    <cfRule type="expression" dxfId="2379" priority="2693">
      <formula>C875&lt;44.5</formula>
    </cfRule>
    <cfRule type="expression" dxfId="2378" priority="2694">
      <formula>C875&lt;60.5</formula>
    </cfRule>
    <cfRule type="expression" dxfId="2377" priority="2695">
      <formula>C875&lt;85.5</formula>
    </cfRule>
    <cfRule type="expression" dxfId="2376" priority="2696">
      <formula>C875&gt;85.5</formula>
    </cfRule>
  </conditionalFormatting>
  <conditionalFormatting sqref="D871">
    <cfRule type="expression" dxfId="2375" priority="2684">
      <formula>D871="**"</formula>
    </cfRule>
    <cfRule type="expression" dxfId="2374" priority="2685">
      <formula>D871=""</formula>
    </cfRule>
    <cfRule type="expression" dxfId="2373" priority="2686">
      <formula>D871&lt;44.5</formula>
    </cfRule>
    <cfRule type="expression" dxfId="2372" priority="2687">
      <formula>D871&lt;60.5</formula>
    </cfRule>
    <cfRule type="expression" dxfId="2371" priority="2688">
      <formula>D871&lt;85.5</formula>
    </cfRule>
    <cfRule type="expression" dxfId="2370" priority="2689">
      <formula>D871&gt;85.5</formula>
    </cfRule>
  </conditionalFormatting>
  <conditionalFormatting sqref="D871:D873 D875">
    <cfRule type="expression" dxfId="2369" priority="2659">
      <formula>D$870=""</formula>
    </cfRule>
  </conditionalFormatting>
  <conditionalFormatting sqref="D872">
    <cfRule type="expression" dxfId="2368" priority="2677">
      <formula>D872="**"</formula>
    </cfRule>
    <cfRule type="expression" dxfId="2367" priority="2678">
      <formula>D872=""</formula>
    </cfRule>
    <cfRule type="expression" dxfId="2366" priority="2679">
      <formula>D872&lt;44.5</formula>
    </cfRule>
    <cfRule type="expression" dxfId="2365" priority="2680">
      <formula>D872&lt;60.5</formula>
    </cfRule>
    <cfRule type="expression" dxfId="2364" priority="2681">
      <formula>D872&lt;85.5</formula>
    </cfRule>
    <cfRule type="expression" dxfId="2363" priority="2683">
      <formula>D872&gt;85.5</formula>
    </cfRule>
  </conditionalFormatting>
  <conditionalFormatting sqref="D873">
    <cfRule type="expression" dxfId="2362" priority="2671">
      <formula>D873="**"</formula>
    </cfRule>
    <cfRule type="expression" dxfId="2361" priority="2672">
      <formula>D873=""</formula>
    </cfRule>
    <cfRule type="expression" dxfId="2360" priority="2673">
      <formula>D873&lt;44.5</formula>
    </cfRule>
    <cfRule type="expression" dxfId="2359" priority="2674">
      <formula>D873&lt;60.5</formula>
    </cfRule>
    <cfRule type="expression" dxfId="2358" priority="2675">
      <formula>D873&lt;85.5</formula>
    </cfRule>
    <cfRule type="expression" dxfId="2357" priority="2676">
      <formula>D873&gt;85.5</formula>
    </cfRule>
  </conditionalFormatting>
  <conditionalFormatting sqref="D875">
    <cfRule type="expression" dxfId="2356" priority="2660">
      <formula>D875="**"</formula>
    </cfRule>
    <cfRule type="expression" dxfId="2355" priority="2661">
      <formula>D875=""</formula>
    </cfRule>
    <cfRule type="expression" dxfId="2354" priority="2662">
      <formula>D875&lt;44.5</formula>
    </cfRule>
    <cfRule type="expression" dxfId="2353" priority="2663">
      <formula>D875&lt;60.5</formula>
    </cfRule>
    <cfRule type="expression" dxfId="2352" priority="2664">
      <formula>D875&lt;85.5</formula>
    </cfRule>
    <cfRule type="expression" dxfId="2351" priority="2665">
      <formula>D875&gt;85.5</formula>
    </cfRule>
  </conditionalFormatting>
  <conditionalFormatting sqref="E871">
    <cfRule type="expression" dxfId="2350" priority="2653">
      <formula>E871="**"</formula>
    </cfRule>
    <cfRule type="expression" dxfId="2349" priority="2654">
      <formula>E871=""</formula>
    </cfRule>
    <cfRule type="expression" dxfId="2348" priority="2655">
      <formula>E871&lt;44.5</formula>
    </cfRule>
    <cfRule type="expression" dxfId="2347" priority="2656">
      <formula>E871&lt;60.5</formula>
    </cfRule>
    <cfRule type="expression" dxfId="2346" priority="2657">
      <formula>E871&lt;85.5</formula>
    </cfRule>
    <cfRule type="expression" dxfId="2345" priority="2658">
      <formula>E871&gt;85.5</formula>
    </cfRule>
  </conditionalFormatting>
  <conditionalFormatting sqref="E871:E873 E875">
    <cfRule type="expression" dxfId="2344" priority="2628">
      <formula>E$870=""</formula>
    </cfRule>
  </conditionalFormatting>
  <conditionalFormatting sqref="E872">
    <cfRule type="expression" dxfId="2343" priority="2646">
      <formula>E872="**"</formula>
    </cfRule>
    <cfRule type="expression" dxfId="2342" priority="2647">
      <formula>E872=""</formula>
    </cfRule>
    <cfRule type="expression" dxfId="2341" priority="2648">
      <formula>E872&lt;44.5</formula>
    </cfRule>
    <cfRule type="expression" dxfId="2340" priority="2649">
      <formula>E872&lt;60.5</formula>
    </cfRule>
    <cfRule type="expression" dxfId="2339" priority="2650">
      <formula>E872&lt;85.5</formula>
    </cfRule>
    <cfRule type="expression" dxfId="2338" priority="2652">
      <formula>E872&gt;85.5</formula>
    </cfRule>
  </conditionalFormatting>
  <conditionalFormatting sqref="E873">
    <cfRule type="expression" dxfId="2337" priority="2640">
      <formula>E873="**"</formula>
    </cfRule>
    <cfRule type="expression" dxfId="2336" priority="2641">
      <formula>E873=""</formula>
    </cfRule>
    <cfRule type="expression" dxfId="2335" priority="2642">
      <formula>E873&lt;44.5</formula>
    </cfRule>
    <cfRule type="expression" dxfId="2334" priority="2643">
      <formula>E873&lt;60.5</formula>
    </cfRule>
    <cfRule type="expression" dxfId="2333" priority="2644">
      <formula>E873&lt;85.5</formula>
    </cfRule>
    <cfRule type="expression" dxfId="2332" priority="2645">
      <formula>E873&gt;85.5</formula>
    </cfRule>
  </conditionalFormatting>
  <conditionalFormatting sqref="E875">
    <cfRule type="expression" dxfId="2331" priority="2629">
      <formula>E875="**"</formula>
    </cfRule>
    <cfRule type="expression" dxfId="2330" priority="2630">
      <formula>E875=""</formula>
    </cfRule>
    <cfRule type="expression" dxfId="2329" priority="2631">
      <formula>E875&lt;44.5</formula>
    </cfRule>
    <cfRule type="expression" dxfId="2328" priority="2632">
      <formula>E875&lt;60.5</formula>
    </cfRule>
    <cfRule type="expression" dxfId="2327" priority="2633">
      <formula>E875&lt;85.5</formula>
    </cfRule>
    <cfRule type="expression" dxfId="2326" priority="2634">
      <formula>E875&gt;85.5</formula>
    </cfRule>
  </conditionalFormatting>
  <conditionalFormatting sqref="F871">
    <cfRule type="expression" dxfId="2325" priority="2622">
      <formula>F871="**"</formula>
    </cfRule>
    <cfRule type="expression" dxfId="2324" priority="2623">
      <formula>F871=""</formula>
    </cfRule>
    <cfRule type="expression" dxfId="2323" priority="2624">
      <formula>F871&lt;44.5</formula>
    </cfRule>
    <cfRule type="expression" dxfId="2322" priority="2625">
      <formula>F871&lt;60.5</formula>
    </cfRule>
    <cfRule type="expression" dxfId="2321" priority="2626">
      <formula>F871&lt;85.5</formula>
    </cfRule>
    <cfRule type="expression" dxfId="2320" priority="2627">
      <formula>F871&gt;85.5</formula>
    </cfRule>
  </conditionalFormatting>
  <conditionalFormatting sqref="F871:F873 F875">
    <cfRule type="expression" dxfId="2319" priority="2597">
      <formula>F$870=""</formula>
    </cfRule>
  </conditionalFormatting>
  <conditionalFormatting sqref="F872">
    <cfRule type="expression" dxfId="2318" priority="2615">
      <formula>F872="**"</formula>
    </cfRule>
    <cfRule type="expression" dxfId="2317" priority="2616">
      <formula>F872=""</formula>
    </cfRule>
    <cfRule type="expression" dxfId="2316" priority="2617">
      <formula>F872&lt;44.5</formula>
    </cfRule>
    <cfRule type="expression" dxfId="2315" priority="2618">
      <formula>F872&lt;60.5</formula>
    </cfRule>
    <cfRule type="expression" dxfId="2314" priority="2619">
      <formula>F872&lt;85.5</formula>
    </cfRule>
    <cfRule type="expression" dxfId="2313" priority="2621">
      <formula>F872&gt;85.5</formula>
    </cfRule>
  </conditionalFormatting>
  <conditionalFormatting sqref="F873">
    <cfRule type="expression" dxfId="2312" priority="2609">
      <formula>F873="**"</formula>
    </cfRule>
    <cfRule type="expression" dxfId="2311" priority="2610">
      <formula>F873=""</formula>
    </cfRule>
    <cfRule type="expression" dxfId="2310" priority="2611">
      <formula>F873&lt;44.5</formula>
    </cfRule>
    <cfRule type="expression" dxfId="2309" priority="2612">
      <formula>F873&lt;60.5</formula>
    </cfRule>
    <cfRule type="expression" dxfId="2308" priority="2613">
      <formula>F873&lt;85.5</formula>
    </cfRule>
    <cfRule type="expression" dxfId="2307" priority="2614">
      <formula>F873&gt;85.5</formula>
    </cfRule>
  </conditionalFormatting>
  <conditionalFormatting sqref="F875">
    <cfRule type="expression" dxfId="2306" priority="2598">
      <formula>F875="**"</formula>
    </cfRule>
    <cfRule type="expression" dxfId="2305" priority="2599">
      <formula>F875=""</formula>
    </cfRule>
    <cfRule type="expression" dxfId="2304" priority="2600">
      <formula>F875&lt;44.5</formula>
    </cfRule>
    <cfRule type="expression" dxfId="2303" priority="2601">
      <formula>F875&lt;60.5</formula>
    </cfRule>
    <cfRule type="expression" dxfId="2302" priority="2602">
      <formula>F875&lt;85.5</formula>
    </cfRule>
    <cfRule type="expression" dxfId="2301" priority="2603">
      <formula>F875&gt;85.5</formula>
    </cfRule>
  </conditionalFormatting>
  <conditionalFormatting sqref="G871">
    <cfRule type="expression" dxfId="2300" priority="2591">
      <formula>G871="**"</formula>
    </cfRule>
    <cfRule type="expression" dxfId="2299" priority="2592">
      <formula>G871=""</formula>
    </cfRule>
    <cfRule type="expression" dxfId="2298" priority="2593">
      <formula>G871&lt;44.5</formula>
    </cfRule>
    <cfRule type="expression" dxfId="2297" priority="2594">
      <formula>G871&lt;60.5</formula>
    </cfRule>
    <cfRule type="expression" dxfId="2296" priority="2595">
      <formula>G871&lt;85.5</formula>
    </cfRule>
    <cfRule type="expression" dxfId="2295" priority="2596">
      <formula>G871&gt;85.5</formula>
    </cfRule>
  </conditionalFormatting>
  <conditionalFormatting sqref="G871:G873 G875">
    <cfRule type="expression" dxfId="2294" priority="2566">
      <formula>G$870=""</formula>
    </cfRule>
  </conditionalFormatting>
  <conditionalFormatting sqref="G872">
    <cfRule type="expression" dxfId="2293" priority="2584">
      <formula>G872="**"</formula>
    </cfRule>
    <cfRule type="expression" dxfId="2292" priority="2585">
      <formula>G872=""</formula>
    </cfRule>
    <cfRule type="expression" dxfId="2291" priority="2586">
      <formula>G872&lt;44.5</formula>
    </cfRule>
    <cfRule type="expression" dxfId="2290" priority="2587">
      <formula>G872&lt;60.5</formula>
    </cfRule>
    <cfRule type="expression" dxfId="2289" priority="2588">
      <formula>G872&lt;85.5</formula>
    </cfRule>
    <cfRule type="expression" dxfId="2288" priority="2590">
      <formula>G872&gt;85.5</formula>
    </cfRule>
  </conditionalFormatting>
  <conditionalFormatting sqref="G873">
    <cfRule type="expression" dxfId="2287" priority="2578">
      <formula>G873="**"</formula>
    </cfRule>
    <cfRule type="expression" dxfId="2286" priority="2579">
      <formula>G873=""</formula>
    </cfRule>
    <cfRule type="expression" dxfId="2285" priority="2580">
      <formula>G873&lt;44.5</formula>
    </cfRule>
    <cfRule type="expression" dxfId="2284" priority="2581">
      <formula>G873&lt;60.5</formula>
    </cfRule>
    <cfRule type="expression" dxfId="2283" priority="2582">
      <formula>G873&lt;85.5</formula>
    </cfRule>
    <cfRule type="expression" dxfId="2282" priority="2583">
      <formula>G873&gt;85.5</formula>
    </cfRule>
  </conditionalFormatting>
  <conditionalFormatting sqref="G875">
    <cfRule type="expression" dxfId="2281" priority="2567">
      <formula>G875="**"</formula>
    </cfRule>
    <cfRule type="expression" dxfId="2280" priority="2568">
      <formula>G875=""</formula>
    </cfRule>
    <cfRule type="expression" dxfId="2279" priority="2569">
      <formula>G875&lt;44.5</formula>
    </cfRule>
    <cfRule type="expression" dxfId="2278" priority="2570">
      <formula>G875&lt;60.5</formula>
    </cfRule>
    <cfRule type="expression" dxfId="2277" priority="2571">
      <formula>G875&lt;85.5</formula>
    </cfRule>
    <cfRule type="expression" dxfId="2276" priority="2572">
      <formula>G875&gt;85.5</formula>
    </cfRule>
  </conditionalFormatting>
  <conditionalFormatting sqref="H871">
    <cfRule type="expression" dxfId="2275" priority="2560">
      <formula>H871="**"</formula>
    </cfRule>
    <cfRule type="expression" dxfId="2274" priority="2561">
      <formula>H871=""</formula>
    </cfRule>
    <cfRule type="expression" dxfId="2273" priority="2562">
      <formula>H871&lt;44.5</formula>
    </cfRule>
    <cfRule type="expression" dxfId="2272" priority="2563">
      <formula>H871&lt;60.5</formula>
    </cfRule>
    <cfRule type="expression" dxfId="2271" priority="2564">
      <formula>H871&lt;85.5</formula>
    </cfRule>
    <cfRule type="expression" dxfId="2270" priority="2565">
      <formula>H871&gt;85.5</formula>
    </cfRule>
  </conditionalFormatting>
  <conditionalFormatting sqref="H871:H873 H875">
    <cfRule type="expression" dxfId="2269" priority="2535">
      <formula>H$870=""</formula>
    </cfRule>
  </conditionalFormatting>
  <conditionalFormatting sqref="H872">
    <cfRule type="expression" dxfId="2268" priority="2553">
      <formula>H872="**"</formula>
    </cfRule>
    <cfRule type="expression" dxfId="2267" priority="2554">
      <formula>H872=""</formula>
    </cfRule>
    <cfRule type="expression" dxfId="2266" priority="2555">
      <formula>H872&lt;44.5</formula>
    </cfRule>
    <cfRule type="expression" dxfId="2265" priority="2556">
      <formula>H872&lt;60.5</formula>
    </cfRule>
    <cfRule type="expression" dxfId="2264" priority="2557">
      <formula>H872&lt;85.5</formula>
    </cfRule>
    <cfRule type="expression" dxfId="2263" priority="2559">
      <formula>H872&gt;85.5</formula>
    </cfRule>
  </conditionalFormatting>
  <conditionalFormatting sqref="H873">
    <cfRule type="expression" dxfId="2262" priority="2547">
      <formula>H873="**"</formula>
    </cfRule>
    <cfRule type="expression" dxfId="2261" priority="2548">
      <formula>H873=""</formula>
    </cfRule>
    <cfRule type="expression" dxfId="2260" priority="2549">
      <formula>H873&lt;44.5</formula>
    </cfRule>
    <cfRule type="expression" dxfId="2259" priority="2550">
      <formula>H873&lt;60.5</formula>
    </cfRule>
    <cfRule type="expression" dxfId="2258" priority="2551">
      <formula>H873&lt;85.5</formula>
    </cfRule>
    <cfRule type="expression" dxfId="2257" priority="2552">
      <formula>H873&gt;85.5</formula>
    </cfRule>
  </conditionalFormatting>
  <conditionalFormatting sqref="H875">
    <cfRule type="expression" dxfId="2256" priority="2536">
      <formula>H875="**"</formula>
    </cfRule>
    <cfRule type="expression" dxfId="2255" priority="2537">
      <formula>H875=""</formula>
    </cfRule>
    <cfRule type="expression" dxfId="2254" priority="2538">
      <formula>H875&lt;44.5</formula>
    </cfRule>
    <cfRule type="expression" dxfId="2253" priority="2539">
      <formula>H875&lt;60.5</formula>
    </cfRule>
    <cfRule type="expression" dxfId="2252" priority="2540">
      <formula>H875&lt;85.5</formula>
    </cfRule>
    <cfRule type="expression" dxfId="2251" priority="2541">
      <formula>H875&gt;85.5</formula>
    </cfRule>
  </conditionalFormatting>
  <conditionalFormatting sqref="I871">
    <cfRule type="expression" dxfId="2250" priority="2529">
      <formula>I871="**"</formula>
    </cfRule>
    <cfRule type="expression" dxfId="2249" priority="2530">
      <formula>I871=""</formula>
    </cfRule>
    <cfRule type="expression" dxfId="2248" priority="2531">
      <formula>I871&lt;44.5</formula>
    </cfRule>
    <cfRule type="expression" dxfId="2247" priority="2532">
      <formula>I871&lt;60.5</formula>
    </cfRule>
    <cfRule type="expression" dxfId="2246" priority="2533">
      <formula>I871&lt;85.5</formula>
    </cfRule>
    <cfRule type="expression" dxfId="2245" priority="2534">
      <formula>I871&gt;85.5</formula>
    </cfRule>
  </conditionalFormatting>
  <conditionalFormatting sqref="I871:I873 I875">
    <cfRule type="expression" dxfId="2244" priority="2504">
      <formula>I$870=""</formula>
    </cfRule>
  </conditionalFormatting>
  <conditionalFormatting sqref="I872">
    <cfRule type="expression" dxfId="2243" priority="2522">
      <formula>I872="**"</formula>
    </cfRule>
    <cfRule type="expression" dxfId="2242" priority="2523">
      <formula>I872=""</formula>
    </cfRule>
    <cfRule type="expression" dxfId="2241" priority="2524">
      <formula>I872&lt;44.5</formula>
    </cfRule>
    <cfRule type="expression" dxfId="2240" priority="2525">
      <formula>I872&lt;60.5</formula>
    </cfRule>
    <cfRule type="expression" dxfId="2239" priority="2526">
      <formula>I872&lt;85.5</formula>
    </cfRule>
    <cfRule type="expression" dxfId="2238" priority="2528">
      <formula>I872&gt;85.5</formula>
    </cfRule>
  </conditionalFormatting>
  <conditionalFormatting sqref="I873">
    <cfRule type="expression" dxfId="2237" priority="2516">
      <formula>I873="**"</formula>
    </cfRule>
    <cfRule type="expression" dxfId="2236" priority="2517">
      <formula>I873=""</formula>
    </cfRule>
    <cfRule type="expression" dxfId="2235" priority="2518">
      <formula>I873&lt;44.5</formula>
    </cfRule>
    <cfRule type="expression" dxfId="2234" priority="2519">
      <formula>I873&lt;60.5</formula>
    </cfRule>
    <cfRule type="expression" dxfId="2233" priority="2520">
      <formula>I873&lt;85.5</formula>
    </cfRule>
    <cfRule type="expression" dxfId="2232" priority="2521">
      <formula>I873&gt;85.5</formula>
    </cfRule>
  </conditionalFormatting>
  <conditionalFormatting sqref="I875">
    <cfRule type="expression" dxfId="2231" priority="2505">
      <formula>I875="**"</formula>
    </cfRule>
    <cfRule type="expression" dxfId="2230" priority="2506">
      <formula>I875=""</formula>
    </cfRule>
    <cfRule type="expression" dxfId="2229" priority="2507">
      <formula>I875&lt;44.5</formula>
    </cfRule>
    <cfRule type="expression" dxfId="2228" priority="2508">
      <formula>I875&lt;60.5</formula>
    </cfRule>
    <cfRule type="expression" dxfId="2227" priority="2509">
      <formula>I875&lt;85.5</formula>
    </cfRule>
    <cfRule type="expression" dxfId="2226" priority="2510">
      <formula>I875&gt;85.5</formula>
    </cfRule>
  </conditionalFormatting>
  <conditionalFormatting sqref="J871">
    <cfRule type="expression" dxfId="2225" priority="2498">
      <formula>J871="**"</formula>
    </cfRule>
    <cfRule type="expression" dxfId="2224" priority="2499">
      <formula>J871=""</formula>
    </cfRule>
    <cfRule type="expression" dxfId="2223" priority="2500">
      <formula>J871&lt;44.5</formula>
    </cfRule>
    <cfRule type="expression" dxfId="2222" priority="2501">
      <formula>J871&lt;60.5</formula>
    </cfRule>
    <cfRule type="expression" dxfId="2221" priority="2502">
      <formula>J871&lt;85.5</formula>
    </cfRule>
    <cfRule type="expression" dxfId="2220" priority="2503">
      <formula>J871&gt;85.5</formula>
    </cfRule>
  </conditionalFormatting>
  <conditionalFormatting sqref="J871:J873 J875">
    <cfRule type="expression" dxfId="2219" priority="2473">
      <formula>J$870=""</formula>
    </cfRule>
  </conditionalFormatting>
  <conditionalFormatting sqref="J872">
    <cfRule type="expression" dxfId="2218" priority="2491">
      <formula>J872="**"</formula>
    </cfRule>
    <cfRule type="expression" dxfId="2217" priority="2492">
      <formula>J872=""</formula>
    </cfRule>
    <cfRule type="expression" dxfId="2216" priority="2493">
      <formula>J872&lt;44.5</formula>
    </cfRule>
    <cfRule type="expression" dxfId="2215" priority="2494">
      <formula>J872&lt;60.5</formula>
    </cfRule>
    <cfRule type="expression" dxfId="2214" priority="2495">
      <formula>J872&lt;85.5</formula>
    </cfRule>
    <cfRule type="expression" dxfId="2213" priority="2497">
      <formula>J872&gt;85.5</formula>
    </cfRule>
  </conditionalFormatting>
  <conditionalFormatting sqref="J873">
    <cfRule type="expression" dxfId="2212" priority="2485">
      <formula>J873="**"</formula>
    </cfRule>
    <cfRule type="expression" dxfId="2211" priority="2486">
      <formula>J873=""</formula>
    </cfRule>
    <cfRule type="expression" dxfId="2210" priority="2487">
      <formula>J873&lt;44.5</formula>
    </cfRule>
    <cfRule type="expression" dxfId="2209" priority="2488">
      <formula>J873&lt;60.5</formula>
    </cfRule>
    <cfRule type="expression" dxfId="2208" priority="2489">
      <formula>J873&lt;85.5</formula>
    </cfRule>
    <cfRule type="expression" dxfId="2207" priority="2490">
      <formula>J873&gt;85.5</formula>
    </cfRule>
  </conditionalFormatting>
  <conditionalFormatting sqref="J875">
    <cfRule type="expression" dxfId="2206" priority="2474">
      <formula>J875="**"</formula>
    </cfRule>
    <cfRule type="expression" dxfId="2205" priority="2475">
      <formula>J875=""</formula>
    </cfRule>
    <cfRule type="expression" dxfId="2204" priority="2476">
      <formula>J875&lt;44.5</formula>
    </cfRule>
    <cfRule type="expression" dxfId="2203" priority="2477">
      <formula>J875&lt;60.5</formula>
    </cfRule>
    <cfRule type="expression" dxfId="2202" priority="2478">
      <formula>J875&lt;85.5</formula>
    </cfRule>
    <cfRule type="expression" dxfId="2201" priority="2479">
      <formula>J875&gt;85.5</formula>
    </cfRule>
  </conditionalFormatting>
  <conditionalFormatting sqref="K871">
    <cfRule type="expression" dxfId="2200" priority="2467">
      <formula>K871="**"</formula>
    </cfRule>
    <cfRule type="expression" dxfId="2199" priority="2468">
      <formula>K871=""</formula>
    </cfRule>
    <cfRule type="expression" dxfId="2198" priority="2469">
      <formula>K871&lt;44.5</formula>
    </cfRule>
    <cfRule type="expression" dxfId="2197" priority="2470">
      <formula>K871&lt;60.5</formula>
    </cfRule>
    <cfRule type="expression" dxfId="2196" priority="2471">
      <formula>K871&lt;85.5</formula>
    </cfRule>
    <cfRule type="expression" dxfId="2195" priority="2472">
      <formula>K871&gt;85.5</formula>
    </cfRule>
  </conditionalFormatting>
  <conditionalFormatting sqref="K871:K873 K875">
    <cfRule type="expression" dxfId="2194" priority="2442">
      <formula>K$870=""</formula>
    </cfRule>
  </conditionalFormatting>
  <conditionalFormatting sqref="K872">
    <cfRule type="expression" dxfId="2193" priority="2460">
      <formula>K872="**"</formula>
    </cfRule>
    <cfRule type="expression" dxfId="2192" priority="2461">
      <formula>K872=""</formula>
    </cfRule>
    <cfRule type="expression" dxfId="2191" priority="2462">
      <formula>K872&lt;44.5</formula>
    </cfRule>
    <cfRule type="expression" dxfId="2190" priority="2463">
      <formula>K872&lt;60.5</formula>
    </cfRule>
    <cfRule type="expression" dxfId="2189" priority="2464">
      <formula>K872&lt;85.5</formula>
    </cfRule>
    <cfRule type="expression" dxfId="2188" priority="2466">
      <formula>K872&gt;85.5</formula>
    </cfRule>
  </conditionalFormatting>
  <conditionalFormatting sqref="K873">
    <cfRule type="expression" dxfId="2187" priority="2454">
      <formula>K873="**"</formula>
    </cfRule>
    <cfRule type="expression" dxfId="2186" priority="2455">
      <formula>K873=""</formula>
    </cfRule>
    <cfRule type="expression" dxfId="2185" priority="2456">
      <formula>K873&lt;44.5</formula>
    </cfRule>
    <cfRule type="expression" dxfId="2184" priority="2457">
      <formula>K873&lt;60.5</formula>
    </cfRule>
    <cfRule type="expression" dxfId="2183" priority="2458">
      <formula>K873&lt;85.5</formula>
    </cfRule>
    <cfRule type="expression" dxfId="2182" priority="2459">
      <formula>K873&gt;85.5</formula>
    </cfRule>
  </conditionalFormatting>
  <conditionalFormatting sqref="K875">
    <cfRule type="expression" dxfId="2181" priority="2443">
      <formula>K875="**"</formula>
    </cfRule>
    <cfRule type="expression" dxfId="2180" priority="2444">
      <formula>K875=""</formula>
    </cfRule>
    <cfRule type="expression" dxfId="2179" priority="2445">
      <formula>K875&lt;44.5</formula>
    </cfRule>
    <cfRule type="expression" dxfId="2178" priority="2446">
      <formula>K875&lt;60.5</formula>
    </cfRule>
    <cfRule type="expression" dxfId="2177" priority="2447">
      <formula>K875&lt;85.5</formula>
    </cfRule>
    <cfRule type="expression" dxfId="2176" priority="2448">
      <formula>K875&gt;85.5</formula>
    </cfRule>
  </conditionalFormatting>
  <conditionalFormatting sqref="L871">
    <cfRule type="expression" dxfId="2175" priority="2436">
      <formula>L871="**"</formula>
    </cfRule>
    <cfRule type="expression" dxfId="2174" priority="2437">
      <formula>L871=""</formula>
    </cfRule>
    <cfRule type="expression" dxfId="2173" priority="2438">
      <formula>L871&lt;44.5</formula>
    </cfRule>
    <cfRule type="expression" dxfId="2172" priority="2439">
      <formula>L871&lt;60.5</formula>
    </cfRule>
    <cfRule type="expression" dxfId="2171" priority="2440">
      <formula>L871&lt;85.5</formula>
    </cfRule>
    <cfRule type="expression" dxfId="2170" priority="2441">
      <formula>L871&gt;85.5</formula>
    </cfRule>
  </conditionalFormatting>
  <conditionalFormatting sqref="L871:L873 L875">
    <cfRule type="expression" dxfId="2169" priority="2411">
      <formula>L$870=""</formula>
    </cfRule>
  </conditionalFormatting>
  <conditionalFormatting sqref="L872">
    <cfRule type="expression" dxfId="2168" priority="2429">
      <formula>L872="**"</formula>
    </cfRule>
    <cfRule type="expression" dxfId="2167" priority="2430">
      <formula>L872=""</formula>
    </cfRule>
    <cfRule type="expression" dxfId="2166" priority="2431">
      <formula>L872&lt;44.5</formula>
    </cfRule>
    <cfRule type="expression" dxfId="2165" priority="2432">
      <formula>L872&lt;60.5</formula>
    </cfRule>
    <cfRule type="expression" dxfId="2164" priority="2433">
      <formula>L872&lt;85.5</formula>
    </cfRule>
    <cfRule type="expression" dxfId="2163" priority="2435">
      <formula>L872&gt;85.5</formula>
    </cfRule>
  </conditionalFormatting>
  <conditionalFormatting sqref="L873">
    <cfRule type="expression" dxfId="2162" priority="2423">
      <formula>L873="**"</formula>
    </cfRule>
    <cfRule type="expression" dxfId="2161" priority="2424">
      <formula>L873=""</formula>
    </cfRule>
    <cfRule type="expression" dxfId="2160" priority="2425">
      <formula>L873&lt;44.5</formula>
    </cfRule>
    <cfRule type="expression" dxfId="2159" priority="2426">
      <formula>L873&lt;60.5</formula>
    </cfRule>
    <cfRule type="expression" dxfId="2158" priority="2427">
      <formula>L873&lt;85.5</formula>
    </cfRule>
    <cfRule type="expression" dxfId="2157" priority="2428">
      <formula>L873&gt;85.5</formula>
    </cfRule>
  </conditionalFormatting>
  <conditionalFormatting sqref="L875">
    <cfRule type="expression" dxfId="2156" priority="2412">
      <formula>L875="**"</formula>
    </cfRule>
    <cfRule type="expression" dxfId="2155" priority="2413">
      <formula>L875=""</formula>
    </cfRule>
    <cfRule type="expression" dxfId="2154" priority="2414">
      <formula>L875&lt;44.5</formula>
    </cfRule>
    <cfRule type="expression" dxfId="2153" priority="2415">
      <formula>L875&lt;60.5</formula>
    </cfRule>
    <cfRule type="expression" dxfId="2152" priority="2416">
      <formula>L875&lt;85.5</formula>
    </cfRule>
    <cfRule type="expression" dxfId="2151" priority="2417">
      <formula>L875&gt;85.5</formula>
    </cfRule>
  </conditionalFormatting>
  <conditionalFormatting sqref="H901">
    <cfRule type="expression" dxfId="2150" priority="2250">
      <formula>H901="**"</formula>
    </cfRule>
    <cfRule type="expression" dxfId="2149" priority="2251">
      <formula>H901=""</formula>
    </cfRule>
    <cfRule type="expression" dxfId="2148" priority="2252">
      <formula>H901&lt;44.5</formula>
    </cfRule>
    <cfRule type="expression" dxfId="2147" priority="2253">
      <formula>H901&lt;60.5</formula>
    </cfRule>
    <cfRule type="expression" dxfId="2146" priority="2254">
      <formula>H901&lt;85.5</formula>
    </cfRule>
    <cfRule type="expression" dxfId="2145" priority="2255">
      <formula>H901&gt;85.5</formula>
    </cfRule>
  </conditionalFormatting>
  <conditionalFormatting sqref="H901:H903 H905">
    <cfRule type="expression" dxfId="2144" priority="2225">
      <formula>H$900=""</formula>
    </cfRule>
  </conditionalFormatting>
  <conditionalFormatting sqref="H902">
    <cfRule type="expression" dxfId="2143" priority="2243">
      <formula>H902="**"</formula>
    </cfRule>
    <cfRule type="expression" dxfId="2142" priority="2244">
      <formula>H902=""</formula>
    </cfRule>
    <cfRule type="expression" dxfId="2141" priority="2245">
      <formula>H902&lt;44.5</formula>
    </cfRule>
    <cfRule type="expression" dxfId="2140" priority="2246">
      <formula>H902&lt;60.5</formula>
    </cfRule>
    <cfRule type="expression" dxfId="2139" priority="2247">
      <formula>H902&lt;85.5</formula>
    </cfRule>
    <cfRule type="expression" dxfId="2138" priority="2249">
      <formula>H902&gt;85.5</formula>
    </cfRule>
  </conditionalFormatting>
  <conditionalFormatting sqref="H903">
    <cfRule type="expression" dxfId="2137" priority="2237">
      <formula>H903="**"</formula>
    </cfRule>
    <cfRule type="expression" dxfId="2136" priority="2238">
      <formula>H903=""</formula>
    </cfRule>
    <cfRule type="expression" dxfId="2135" priority="2239">
      <formula>H903&lt;44.5</formula>
    </cfRule>
    <cfRule type="expression" dxfId="2134" priority="2240">
      <formula>H903&lt;60.5</formula>
    </cfRule>
    <cfRule type="expression" dxfId="2133" priority="2241">
      <formula>H903&lt;85.5</formula>
    </cfRule>
    <cfRule type="expression" dxfId="2132" priority="2242">
      <formula>H903&gt;85.5</formula>
    </cfRule>
  </conditionalFormatting>
  <conditionalFormatting sqref="H905">
    <cfRule type="expression" dxfId="2131" priority="2226">
      <formula>H905="**"</formula>
    </cfRule>
    <cfRule type="expression" dxfId="2130" priority="2227">
      <formula>H905=""</formula>
    </cfRule>
    <cfRule type="expression" dxfId="2129" priority="2228">
      <formula>H905&lt;44.5</formula>
    </cfRule>
    <cfRule type="expression" dxfId="2128" priority="2229">
      <formula>H905&lt;60.5</formula>
    </cfRule>
    <cfRule type="expression" dxfId="2127" priority="2230">
      <formula>H905&lt;85.5</formula>
    </cfRule>
    <cfRule type="expression" dxfId="2126" priority="2231">
      <formula>H905&gt;85.5</formula>
    </cfRule>
  </conditionalFormatting>
  <conditionalFormatting sqref="I901">
    <cfRule type="expression" dxfId="2125" priority="2219">
      <formula>I901="**"</formula>
    </cfRule>
    <cfRule type="expression" dxfId="2124" priority="2220">
      <formula>I901=""</formula>
    </cfRule>
    <cfRule type="expression" dxfId="2123" priority="2221">
      <formula>I901&lt;44.5</formula>
    </cfRule>
    <cfRule type="expression" dxfId="2122" priority="2222">
      <formula>I901&lt;60.5</formula>
    </cfRule>
    <cfRule type="expression" dxfId="2121" priority="2223">
      <formula>I901&lt;85.5</formula>
    </cfRule>
    <cfRule type="expression" dxfId="2120" priority="2224">
      <formula>I901&gt;85.5</formula>
    </cfRule>
  </conditionalFormatting>
  <conditionalFormatting sqref="I901:I903 I905">
    <cfRule type="expression" dxfId="2119" priority="2194">
      <formula>I$900=""</formula>
    </cfRule>
  </conditionalFormatting>
  <conditionalFormatting sqref="I902">
    <cfRule type="expression" dxfId="2118" priority="2212">
      <formula>I902="**"</formula>
    </cfRule>
    <cfRule type="expression" dxfId="2117" priority="2213">
      <formula>I902=""</formula>
    </cfRule>
    <cfRule type="expression" dxfId="2116" priority="2214">
      <formula>I902&lt;44.5</formula>
    </cfRule>
    <cfRule type="expression" dxfId="2115" priority="2215">
      <formula>I902&lt;60.5</formula>
    </cfRule>
    <cfRule type="expression" dxfId="2114" priority="2216">
      <formula>I902&lt;85.5</formula>
    </cfRule>
    <cfRule type="expression" dxfId="2113" priority="2218">
      <formula>I902&gt;85.5</formula>
    </cfRule>
  </conditionalFormatting>
  <conditionalFormatting sqref="I903">
    <cfRule type="expression" dxfId="2112" priority="2206">
      <formula>I903="**"</formula>
    </cfRule>
    <cfRule type="expression" dxfId="2111" priority="2207">
      <formula>I903=""</formula>
    </cfRule>
    <cfRule type="expression" dxfId="2110" priority="2208">
      <formula>I903&lt;44.5</formula>
    </cfRule>
    <cfRule type="expression" dxfId="2109" priority="2209">
      <formula>I903&lt;60.5</formula>
    </cfRule>
    <cfRule type="expression" dxfId="2108" priority="2210">
      <formula>I903&lt;85.5</formula>
    </cfRule>
    <cfRule type="expression" dxfId="2107" priority="2211">
      <formula>I903&gt;85.5</formula>
    </cfRule>
  </conditionalFormatting>
  <conditionalFormatting sqref="I905">
    <cfRule type="expression" dxfId="2106" priority="2195">
      <formula>I905="**"</formula>
    </cfRule>
    <cfRule type="expression" dxfId="2105" priority="2196">
      <formula>I905=""</formula>
    </cfRule>
    <cfRule type="expression" dxfId="2104" priority="2197">
      <formula>I905&lt;44.5</formula>
    </cfRule>
    <cfRule type="expression" dxfId="2103" priority="2198">
      <formula>I905&lt;60.5</formula>
    </cfRule>
    <cfRule type="expression" dxfId="2102" priority="2199">
      <formula>I905&lt;85.5</formula>
    </cfRule>
    <cfRule type="expression" dxfId="2101" priority="2200">
      <formula>I905&gt;85.5</formula>
    </cfRule>
  </conditionalFormatting>
  <conditionalFormatting sqref="J901">
    <cfRule type="expression" dxfId="2100" priority="2188">
      <formula>J901="**"</formula>
    </cfRule>
    <cfRule type="expression" dxfId="2099" priority="2189">
      <formula>J901=""</formula>
    </cfRule>
    <cfRule type="expression" dxfId="2098" priority="2190">
      <formula>J901&lt;44.5</formula>
    </cfRule>
    <cfRule type="expression" dxfId="2097" priority="2191">
      <formula>J901&lt;60.5</formula>
    </cfRule>
    <cfRule type="expression" dxfId="2096" priority="2192">
      <formula>J901&lt;85.5</formula>
    </cfRule>
    <cfRule type="expression" dxfId="2095" priority="2193">
      <formula>J901&gt;85.5</formula>
    </cfRule>
  </conditionalFormatting>
  <conditionalFormatting sqref="J901:J903 J905">
    <cfRule type="expression" dxfId="2094" priority="2163">
      <formula>J$900=""</formula>
    </cfRule>
  </conditionalFormatting>
  <conditionalFormatting sqref="J902">
    <cfRule type="expression" dxfId="2093" priority="2181">
      <formula>J902="**"</formula>
    </cfRule>
    <cfRule type="expression" dxfId="2092" priority="2182">
      <formula>J902=""</formula>
    </cfRule>
    <cfRule type="expression" dxfId="2091" priority="2183">
      <formula>J902&lt;44.5</formula>
    </cfRule>
    <cfRule type="expression" dxfId="2090" priority="2184">
      <formula>J902&lt;60.5</formula>
    </cfRule>
    <cfRule type="expression" dxfId="2089" priority="2185">
      <formula>J902&lt;85.5</formula>
    </cfRule>
    <cfRule type="expression" dxfId="2088" priority="2187">
      <formula>J902&gt;85.5</formula>
    </cfRule>
  </conditionalFormatting>
  <conditionalFormatting sqref="J903">
    <cfRule type="expression" dxfId="2087" priority="2175">
      <formula>J903="**"</formula>
    </cfRule>
    <cfRule type="expression" dxfId="2086" priority="2176">
      <formula>J903=""</formula>
    </cfRule>
    <cfRule type="expression" dxfId="2085" priority="2177">
      <formula>J903&lt;44.5</formula>
    </cfRule>
    <cfRule type="expression" dxfId="2084" priority="2178">
      <formula>J903&lt;60.5</formula>
    </cfRule>
    <cfRule type="expression" dxfId="2083" priority="2179">
      <formula>J903&lt;85.5</formula>
    </cfRule>
    <cfRule type="expression" dxfId="2082" priority="2180">
      <formula>J903&gt;85.5</formula>
    </cfRule>
  </conditionalFormatting>
  <conditionalFormatting sqref="J905">
    <cfRule type="expression" dxfId="2081" priority="2164">
      <formula>J905="**"</formula>
    </cfRule>
    <cfRule type="expression" dxfId="2080" priority="2165">
      <formula>J905=""</formula>
    </cfRule>
    <cfRule type="expression" dxfId="2079" priority="2166">
      <formula>J905&lt;44.5</formula>
    </cfRule>
    <cfRule type="expression" dxfId="2078" priority="2167">
      <formula>J905&lt;60.5</formula>
    </cfRule>
    <cfRule type="expression" dxfId="2077" priority="2168">
      <formula>J905&lt;85.5</formula>
    </cfRule>
    <cfRule type="expression" dxfId="2076" priority="2169">
      <formula>J905&gt;85.5</formula>
    </cfRule>
  </conditionalFormatting>
  <conditionalFormatting sqref="K901">
    <cfRule type="expression" dxfId="2075" priority="2157">
      <formula>K901="**"</formula>
    </cfRule>
    <cfRule type="expression" dxfId="2074" priority="2158">
      <formula>K901=""</formula>
    </cfRule>
    <cfRule type="expression" dxfId="2073" priority="2159">
      <formula>K901&lt;44.5</formula>
    </cfRule>
    <cfRule type="expression" dxfId="2072" priority="2160">
      <formula>K901&lt;60.5</formula>
    </cfRule>
    <cfRule type="expression" dxfId="2071" priority="2161">
      <formula>K901&lt;85.5</formula>
    </cfRule>
    <cfRule type="expression" dxfId="2070" priority="2162">
      <formula>K901&gt;85.5</formula>
    </cfRule>
  </conditionalFormatting>
  <conditionalFormatting sqref="K901:K903 K905">
    <cfRule type="expression" dxfId="2069" priority="2132">
      <formula>K$900=""</formula>
    </cfRule>
  </conditionalFormatting>
  <conditionalFormatting sqref="K902">
    <cfRule type="expression" dxfId="2068" priority="2150">
      <formula>K902="**"</formula>
    </cfRule>
    <cfRule type="expression" dxfId="2067" priority="2151">
      <formula>K902=""</formula>
    </cfRule>
    <cfRule type="expression" dxfId="2066" priority="2152">
      <formula>K902&lt;44.5</formula>
    </cfRule>
    <cfRule type="expression" dxfId="2065" priority="2153">
      <formula>K902&lt;60.5</formula>
    </cfRule>
    <cfRule type="expression" dxfId="2064" priority="2154">
      <formula>K902&lt;85.5</formula>
    </cfRule>
    <cfRule type="expression" dxfId="2063" priority="2156">
      <formula>K902&gt;85.5</formula>
    </cfRule>
  </conditionalFormatting>
  <conditionalFormatting sqref="K903">
    <cfRule type="expression" dxfId="2062" priority="2144">
      <formula>K903="**"</formula>
    </cfRule>
    <cfRule type="expression" dxfId="2061" priority="2145">
      <formula>K903=""</formula>
    </cfRule>
    <cfRule type="expression" dxfId="2060" priority="2146">
      <formula>K903&lt;44.5</formula>
    </cfRule>
    <cfRule type="expression" dxfId="2059" priority="2147">
      <formula>K903&lt;60.5</formula>
    </cfRule>
    <cfRule type="expression" dxfId="2058" priority="2148">
      <formula>K903&lt;85.5</formula>
    </cfRule>
    <cfRule type="expression" dxfId="2057" priority="2149">
      <formula>K903&gt;85.5</formula>
    </cfRule>
  </conditionalFormatting>
  <conditionalFormatting sqref="K905">
    <cfRule type="expression" dxfId="2056" priority="2133">
      <formula>K905="**"</formula>
    </cfRule>
    <cfRule type="expression" dxfId="2055" priority="2134">
      <formula>K905=""</formula>
    </cfRule>
    <cfRule type="expression" dxfId="2054" priority="2135">
      <formula>K905&lt;44.5</formula>
    </cfRule>
    <cfRule type="expression" dxfId="2053" priority="2136">
      <formula>K905&lt;60.5</formula>
    </cfRule>
    <cfRule type="expression" dxfId="2052" priority="2137">
      <formula>K905&lt;85.5</formula>
    </cfRule>
    <cfRule type="expression" dxfId="2051" priority="2138">
      <formula>K905&gt;85.5</formula>
    </cfRule>
  </conditionalFormatting>
  <conditionalFormatting sqref="L901">
    <cfRule type="expression" dxfId="2050" priority="2126">
      <formula>L901="**"</formula>
    </cfRule>
    <cfRule type="expression" dxfId="2049" priority="2127">
      <formula>L901=""</formula>
    </cfRule>
    <cfRule type="expression" dxfId="2048" priority="2128">
      <formula>L901&lt;44.5</formula>
    </cfRule>
    <cfRule type="expression" dxfId="2047" priority="2129">
      <formula>L901&lt;60.5</formula>
    </cfRule>
    <cfRule type="expression" dxfId="2046" priority="2130">
      <formula>L901&lt;85.5</formula>
    </cfRule>
    <cfRule type="expression" dxfId="2045" priority="2131">
      <formula>L901&gt;85.5</formula>
    </cfRule>
  </conditionalFormatting>
  <conditionalFormatting sqref="L901:L903 L905">
    <cfRule type="expression" dxfId="2044" priority="2101">
      <formula>L$900=""</formula>
    </cfRule>
  </conditionalFormatting>
  <conditionalFormatting sqref="L902">
    <cfRule type="expression" dxfId="2043" priority="2119">
      <formula>L902="**"</formula>
    </cfRule>
    <cfRule type="expression" dxfId="2042" priority="2120">
      <formula>L902=""</formula>
    </cfRule>
    <cfRule type="expression" dxfId="2041" priority="2121">
      <formula>L902&lt;44.5</formula>
    </cfRule>
    <cfRule type="expression" dxfId="2040" priority="2122">
      <formula>L902&lt;60.5</formula>
    </cfRule>
    <cfRule type="expression" dxfId="2039" priority="2123">
      <formula>L902&lt;85.5</formula>
    </cfRule>
    <cfRule type="expression" dxfId="2038" priority="2125">
      <formula>L902&gt;85.5</formula>
    </cfRule>
  </conditionalFormatting>
  <conditionalFormatting sqref="L903">
    <cfRule type="expression" dxfId="2037" priority="2113">
      <formula>L903="**"</formula>
    </cfRule>
    <cfRule type="expression" dxfId="2036" priority="2114">
      <formula>L903=""</formula>
    </cfRule>
    <cfRule type="expression" dxfId="2035" priority="2115">
      <formula>L903&lt;44.5</formula>
    </cfRule>
    <cfRule type="expression" dxfId="2034" priority="2116">
      <formula>L903&lt;60.5</formula>
    </cfRule>
    <cfRule type="expression" dxfId="2033" priority="2117">
      <formula>L903&lt;85.5</formula>
    </cfRule>
    <cfRule type="expression" dxfId="2032" priority="2118">
      <formula>L903&gt;85.5</formula>
    </cfRule>
  </conditionalFormatting>
  <conditionalFormatting sqref="L905">
    <cfRule type="expression" dxfId="2031" priority="2102">
      <formula>L905="**"</formula>
    </cfRule>
    <cfRule type="expression" dxfId="2030" priority="2103">
      <formula>L905=""</formula>
    </cfRule>
    <cfRule type="expression" dxfId="2029" priority="2104">
      <formula>L905&lt;44.5</formula>
    </cfRule>
    <cfRule type="expression" dxfId="2028" priority="2105">
      <formula>L905&lt;60.5</formula>
    </cfRule>
    <cfRule type="expression" dxfId="2027" priority="2106">
      <formula>L905&lt;85.5</formula>
    </cfRule>
    <cfRule type="expression" dxfId="2026" priority="2107">
      <formula>L905&gt;85.5</formula>
    </cfRule>
  </conditionalFormatting>
  <conditionalFormatting sqref="D34">
    <cfRule type="expression" dxfId="2025" priority="2094">
      <formula>D$30=""</formula>
    </cfRule>
  </conditionalFormatting>
  <conditionalFormatting sqref="D34">
    <cfRule type="expression" dxfId="2024" priority="2095">
      <formula>D34="**"</formula>
    </cfRule>
    <cfRule type="expression" dxfId="2023" priority="2096">
      <formula>D34=""</formula>
    </cfRule>
    <cfRule type="expression" dxfId="2022" priority="2097">
      <formula>D34&lt;44.5</formula>
    </cfRule>
    <cfRule type="expression" dxfId="2021" priority="2098">
      <formula>D34&lt;60.5</formula>
    </cfRule>
    <cfRule type="expression" dxfId="2020" priority="2099">
      <formula>D34&lt;85.5</formula>
    </cfRule>
    <cfRule type="expression" dxfId="2019" priority="2100">
      <formula>D34&gt;85.5</formula>
    </cfRule>
  </conditionalFormatting>
  <conditionalFormatting sqref="E34">
    <cfRule type="expression" dxfId="2018" priority="2087">
      <formula>E$30=""</formula>
    </cfRule>
  </conditionalFormatting>
  <conditionalFormatting sqref="E34">
    <cfRule type="expression" dxfId="2017" priority="2088">
      <formula>E34="**"</formula>
    </cfRule>
    <cfRule type="expression" dxfId="2016" priority="2089">
      <formula>E34=""</formula>
    </cfRule>
    <cfRule type="expression" dxfId="2015" priority="2090">
      <formula>E34&lt;44.5</formula>
    </cfRule>
    <cfRule type="expression" dxfId="2014" priority="2091">
      <formula>E34&lt;60.5</formula>
    </cfRule>
    <cfRule type="expression" dxfId="2013" priority="2092">
      <formula>E34&lt;85.5</formula>
    </cfRule>
    <cfRule type="expression" dxfId="2012" priority="2093">
      <formula>E34&gt;85.5</formula>
    </cfRule>
  </conditionalFormatting>
  <conditionalFormatting sqref="F34">
    <cfRule type="expression" dxfId="2011" priority="2080">
      <formula>F$30=""</formula>
    </cfRule>
  </conditionalFormatting>
  <conditionalFormatting sqref="F34">
    <cfRule type="expression" dxfId="2010" priority="2081">
      <formula>F34="**"</formula>
    </cfRule>
    <cfRule type="expression" dxfId="2009" priority="2082">
      <formula>F34=""</formula>
    </cfRule>
    <cfRule type="expression" dxfId="2008" priority="2083">
      <formula>F34&lt;44.5</formula>
    </cfRule>
    <cfRule type="expression" dxfId="2007" priority="2084">
      <formula>F34&lt;60.5</formula>
    </cfRule>
    <cfRule type="expression" dxfId="2006" priority="2085">
      <formula>F34&lt;85.5</formula>
    </cfRule>
    <cfRule type="expression" dxfId="2005" priority="2086">
      <formula>F34&gt;85.5</formula>
    </cfRule>
  </conditionalFormatting>
  <conditionalFormatting sqref="G34">
    <cfRule type="expression" dxfId="2004" priority="2073">
      <formula>G$30=""</formula>
    </cfRule>
  </conditionalFormatting>
  <conditionalFormatting sqref="G34">
    <cfRule type="expression" dxfId="2003" priority="2074">
      <formula>G34="**"</formula>
    </cfRule>
    <cfRule type="expression" dxfId="2002" priority="2075">
      <formula>G34=""</formula>
    </cfRule>
    <cfRule type="expression" dxfId="2001" priority="2076">
      <formula>G34&lt;44.5</formula>
    </cfRule>
    <cfRule type="expression" dxfId="2000" priority="2077">
      <formula>G34&lt;60.5</formula>
    </cfRule>
    <cfRule type="expression" dxfId="1999" priority="2078">
      <formula>G34&lt;85.5</formula>
    </cfRule>
    <cfRule type="expression" dxfId="1998" priority="2079">
      <formula>G34&gt;85.5</formula>
    </cfRule>
  </conditionalFormatting>
  <conditionalFormatting sqref="H34">
    <cfRule type="expression" dxfId="1997" priority="2066">
      <formula>H$30=""</formula>
    </cfRule>
  </conditionalFormatting>
  <conditionalFormatting sqref="H34">
    <cfRule type="expression" dxfId="1996" priority="2067">
      <formula>H34="**"</formula>
    </cfRule>
    <cfRule type="expression" dxfId="1995" priority="2068">
      <formula>H34=""</formula>
    </cfRule>
    <cfRule type="expression" dxfId="1994" priority="2069">
      <formula>H34&lt;44.5</formula>
    </cfRule>
    <cfRule type="expression" dxfId="1993" priority="2070">
      <formula>H34&lt;60.5</formula>
    </cfRule>
    <cfRule type="expression" dxfId="1992" priority="2071">
      <formula>H34&lt;85.5</formula>
    </cfRule>
    <cfRule type="expression" dxfId="1991" priority="2072">
      <formula>H34&gt;85.5</formula>
    </cfRule>
  </conditionalFormatting>
  <conditionalFormatting sqref="I34">
    <cfRule type="expression" dxfId="1990" priority="2059">
      <formula>I$30=""</formula>
    </cfRule>
  </conditionalFormatting>
  <conditionalFormatting sqref="I34">
    <cfRule type="expression" dxfId="1989" priority="2060">
      <formula>I34="**"</formula>
    </cfRule>
    <cfRule type="expression" dxfId="1988" priority="2061">
      <formula>I34=""</formula>
    </cfRule>
    <cfRule type="expression" dxfId="1987" priority="2062">
      <formula>I34&lt;44.5</formula>
    </cfRule>
    <cfRule type="expression" dxfId="1986" priority="2063">
      <formula>I34&lt;60.5</formula>
    </cfRule>
    <cfRule type="expression" dxfId="1985" priority="2064">
      <formula>I34&lt;85.5</formula>
    </cfRule>
    <cfRule type="expression" dxfId="1984" priority="2065">
      <formula>I34&gt;85.5</formula>
    </cfRule>
  </conditionalFormatting>
  <conditionalFormatting sqref="J34">
    <cfRule type="expression" dxfId="1983" priority="2052">
      <formula>J$30=""</formula>
    </cfRule>
  </conditionalFormatting>
  <conditionalFormatting sqref="J34">
    <cfRule type="expression" dxfId="1982" priority="2053">
      <formula>J34="**"</formula>
    </cfRule>
    <cfRule type="expression" dxfId="1981" priority="2054">
      <formula>J34=""</formula>
    </cfRule>
    <cfRule type="expression" dxfId="1980" priority="2055">
      <formula>J34&lt;44.5</formula>
    </cfRule>
    <cfRule type="expression" dxfId="1979" priority="2056">
      <formula>J34&lt;60.5</formula>
    </cfRule>
    <cfRule type="expression" dxfId="1978" priority="2057">
      <formula>J34&lt;85.5</formula>
    </cfRule>
    <cfRule type="expression" dxfId="1977" priority="2058">
      <formula>J34&gt;85.5</formula>
    </cfRule>
  </conditionalFormatting>
  <conditionalFormatting sqref="K34">
    <cfRule type="expression" dxfId="1976" priority="2045">
      <formula>K$30=""</formula>
    </cfRule>
  </conditionalFormatting>
  <conditionalFormatting sqref="K34">
    <cfRule type="expression" dxfId="1975" priority="2046">
      <formula>K34="**"</formula>
    </cfRule>
    <cfRule type="expression" dxfId="1974" priority="2047">
      <formula>K34=""</formula>
    </cfRule>
    <cfRule type="expression" dxfId="1973" priority="2048">
      <formula>K34&lt;44.5</formula>
    </cfRule>
    <cfRule type="expression" dxfId="1972" priority="2049">
      <formula>K34&lt;60.5</formula>
    </cfRule>
    <cfRule type="expression" dxfId="1971" priority="2050">
      <formula>K34&lt;85.5</formula>
    </cfRule>
    <cfRule type="expression" dxfId="1970" priority="2051">
      <formula>K34&gt;85.5</formula>
    </cfRule>
  </conditionalFormatting>
  <conditionalFormatting sqref="L34">
    <cfRule type="expression" dxfId="1969" priority="2038">
      <formula>L$30=""</formula>
    </cfRule>
  </conditionalFormatting>
  <conditionalFormatting sqref="L34">
    <cfRule type="expression" dxfId="1968" priority="2039">
      <formula>L34="**"</formula>
    </cfRule>
    <cfRule type="expression" dxfId="1967" priority="2040">
      <formula>L34=""</formula>
    </cfRule>
    <cfRule type="expression" dxfId="1966" priority="2041">
      <formula>L34&lt;44.5</formula>
    </cfRule>
    <cfRule type="expression" dxfId="1965" priority="2042">
      <formula>L34&lt;60.5</formula>
    </cfRule>
    <cfRule type="expression" dxfId="1964" priority="2043">
      <formula>L34&lt;85.5</formula>
    </cfRule>
    <cfRule type="expression" dxfId="1963" priority="2044">
      <formula>L34&gt;85.5</formula>
    </cfRule>
  </conditionalFormatting>
  <conditionalFormatting sqref="D64">
    <cfRule type="expression" dxfId="1962" priority="2031">
      <formula>D$60=""</formula>
    </cfRule>
  </conditionalFormatting>
  <conditionalFormatting sqref="D64">
    <cfRule type="expression" dxfId="1961" priority="2032">
      <formula>D64="**"</formula>
    </cfRule>
    <cfRule type="expression" dxfId="1960" priority="2033">
      <formula>D64=""</formula>
    </cfRule>
    <cfRule type="expression" dxfId="1959" priority="2034">
      <formula>D64&lt;44.5</formula>
    </cfRule>
    <cfRule type="expression" dxfId="1958" priority="2035">
      <formula>D64&lt;60.5</formula>
    </cfRule>
    <cfRule type="expression" dxfId="1957" priority="2036">
      <formula>D64&lt;85.5</formula>
    </cfRule>
    <cfRule type="expression" dxfId="1956" priority="2037">
      <formula>D64&gt;85.5</formula>
    </cfRule>
  </conditionalFormatting>
  <conditionalFormatting sqref="E64">
    <cfRule type="expression" dxfId="1955" priority="2024">
      <formula>E$60=""</formula>
    </cfRule>
  </conditionalFormatting>
  <conditionalFormatting sqref="E64">
    <cfRule type="expression" dxfId="1954" priority="2025">
      <formula>E64="**"</formula>
    </cfRule>
    <cfRule type="expression" dxfId="1953" priority="2026">
      <formula>E64=""</formula>
    </cfRule>
    <cfRule type="expression" dxfId="1952" priority="2027">
      <formula>E64&lt;44.5</formula>
    </cfRule>
    <cfRule type="expression" dxfId="1951" priority="2028">
      <formula>E64&lt;60.5</formula>
    </cfRule>
    <cfRule type="expression" dxfId="1950" priority="2029">
      <formula>E64&lt;85.5</formula>
    </cfRule>
    <cfRule type="expression" dxfId="1949" priority="2030">
      <formula>E64&gt;85.5</formula>
    </cfRule>
  </conditionalFormatting>
  <conditionalFormatting sqref="F64">
    <cfRule type="expression" dxfId="1948" priority="2017">
      <formula>F$60=""</formula>
    </cfRule>
  </conditionalFormatting>
  <conditionalFormatting sqref="F64">
    <cfRule type="expression" dxfId="1947" priority="2018">
      <formula>F64="**"</formula>
    </cfRule>
    <cfRule type="expression" dxfId="1946" priority="2019">
      <formula>F64=""</formula>
    </cfRule>
    <cfRule type="expression" dxfId="1945" priority="2020">
      <formula>F64&lt;44.5</formula>
    </cfRule>
    <cfRule type="expression" dxfId="1944" priority="2021">
      <formula>F64&lt;60.5</formula>
    </cfRule>
    <cfRule type="expression" dxfId="1943" priority="2022">
      <formula>F64&lt;85.5</formula>
    </cfRule>
    <cfRule type="expression" dxfId="1942" priority="2023">
      <formula>F64&gt;85.5</formula>
    </cfRule>
  </conditionalFormatting>
  <conditionalFormatting sqref="G64">
    <cfRule type="expression" dxfId="1941" priority="2010">
      <formula>G$60=""</formula>
    </cfRule>
  </conditionalFormatting>
  <conditionalFormatting sqref="G64">
    <cfRule type="expression" dxfId="1940" priority="2011">
      <formula>G64="**"</formula>
    </cfRule>
    <cfRule type="expression" dxfId="1939" priority="2012">
      <formula>G64=""</formula>
    </cfRule>
    <cfRule type="expression" dxfId="1938" priority="2013">
      <formula>G64&lt;44.5</formula>
    </cfRule>
    <cfRule type="expression" dxfId="1937" priority="2014">
      <formula>G64&lt;60.5</formula>
    </cfRule>
    <cfRule type="expression" dxfId="1936" priority="2015">
      <formula>G64&lt;85.5</formula>
    </cfRule>
    <cfRule type="expression" dxfId="1935" priority="2016">
      <formula>G64&gt;85.5</formula>
    </cfRule>
  </conditionalFormatting>
  <conditionalFormatting sqref="H64">
    <cfRule type="expression" dxfId="1934" priority="2003">
      <formula>H$60=""</formula>
    </cfRule>
  </conditionalFormatting>
  <conditionalFormatting sqref="H64">
    <cfRule type="expression" dxfId="1933" priority="2004">
      <formula>H64="**"</formula>
    </cfRule>
    <cfRule type="expression" dxfId="1932" priority="2005">
      <formula>H64=""</formula>
    </cfRule>
    <cfRule type="expression" dxfId="1931" priority="2006">
      <formula>H64&lt;44.5</formula>
    </cfRule>
    <cfRule type="expression" dxfId="1930" priority="2007">
      <formula>H64&lt;60.5</formula>
    </cfRule>
    <cfRule type="expression" dxfId="1929" priority="2008">
      <formula>H64&lt;85.5</formula>
    </cfRule>
    <cfRule type="expression" dxfId="1928" priority="2009">
      <formula>H64&gt;85.5</formula>
    </cfRule>
  </conditionalFormatting>
  <conditionalFormatting sqref="I64">
    <cfRule type="expression" dxfId="1927" priority="1996">
      <formula>I$60=""</formula>
    </cfRule>
  </conditionalFormatting>
  <conditionalFormatting sqref="I64">
    <cfRule type="expression" dxfId="1926" priority="1997">
      <formula>I64="**"</formula>
    </cfRule>
    <cfRule type="expression" dxfId="1925" priority="1998">
      <formula>I64=""</formula>
    </cfRule>
    <cfRule type="expression" dxfId="1924" priority="1999">
      <formula>I64&lt;44.5</formula>
    </cfRule>
    <cfRule type="expression" dxfId="1923" priority="2000">
      <formula>I64&lt;60.5</formula>
    </cfRule>
    <cfRule type="expression" dxfId="1922" priority="2001">
      <formula>I64&lt;85.5</formula>
    </cfRule>
    <cfRule type="expression" dxfId="1921" priority="2002">
      <formula>I64&gt;85.5</formula>
    </cfRule>
  </conditionalFormatting>
  <conditionalFormatting sqref="J64">
    <cfRule type="expression" dxfId="1920" priority="1989">
      <formula>J$60=""</formula>
    </cfRule>
  </conditionalFormatting>
  <conditionalFormatting sqref="J64">
    <cfRule type="expression" dxfId="1919" priority="1990">
      <formula>J64="**"</formula>
    </cfRule>
    <cfRule type="expression" dxfId="1918" priority="1991">
      <formula>J64=""</formula>
    </cfRule>
    <cfRule type="expression" dxfId="1917" priority="1992">
      <formula>J64&lt;44.5</formula>
    </cfRule>
    <cfRule type="expression" dxfId="1916" priority="1993">
      <formula>J64&lt;60.5</formula>
    </cfRule>
    <cfRule type="expression" dxfId="1915" priority="1994">
      <formula>J64&lt;85.5</formula>
    </cfRule>
    <cfRule type="expression" dxfId="1914" priority="1995">
      <formula>J64&gt;85.5</formula>
    </cfRule>
  </conditionalFormatting>
  <conditionalFormatting sqref="K64">
    <cfRule type="expression" dxfId="1913" priority="1982">
      <formula>K$60=""</formula>
    </cfRule>
  </conditionalFormatting>
  <conditionalFormatting sqref="K64">
    <cfRule type="expression" dxfId="1912" priority="1983">
      <formula>K64="**"</formula>
    </cfRule>
    <cfRule type="expression" dxfId="1911" priority="1984">
      <formula>K64=""</formula>
    </cfRule>
    <cfRule type="expression" dxfId="1910" priority="1985">
      <formula>K64&lt;44.5</formula>
    </cfRule>
    <cfRule type="expression" dxfId="1909" priority="1986">
      <formula>K64&lt;60.5</formula>
    </cfRule>
    <cfRule type="expression" dxfId="1908" priority="1987">
      <formula>K64&lt;85.5</formula>
    </cfRule>
    <cfRule type="expression" dxfId="1907" priority="1988">
      <formula>K64&gt;85.5</formula>
    </cfRule>
  </conditionalFormatting>
  <conditionalFormatting sqref="D94">
    <cfRule type="expression" dxfId="1906" priority="1975">
      <formula>D$90=""</formula>
    </cfRule>
  </conditionalFormatting>
  <conditionalFormatting sqref="D94">
    <cfRule type="expression" dxfId="1905" priority="1976">
      <formula>D94="**"</formula>
    </cfRule>
    <cfRule type="expression" dxfId="1904" priority="1977">
      <formula>D94=""</formula>
    </cfRule>
    <cfRule type="expression" dxfId="1903" priority="1978">
      <formula>D94&lt;44.5</formula>
    </cfRule>
    <cfRule type="expression" dxfId="1902" priority="1979">
      <formula>D94&lt;60.5</formula>
    </cfRule>
    <cfRule type="expression" dxfId="1901" priority="1980">
      <formula>D94&lt;85.5</formula>
    </cfRule>
    <cfRule type="expression" dxfId="1900" priority="1981">
      <formula>D94&gt;85.5</formula>
    </cfRule>
  </conditionalFormatting>
  <conditionalFormatting sqref="E94">
    <cfRule type="expression" dxfId="1899" priority="1968">
      <formula>E$90=""</formula>
    </cfRule>
  </conditionalFormatting>
  <conditionalFormatting sqref="E94">
    <cfRule type="expression" dxfId="1898" priority="1969">
      <formula>E94="**"</formula>
    </cfRule>
    <cfRule type="expression" dxfId="1897" priority="1970">
      <formula>E94=""</formula>
    </cfRule>
    <cfRule type="expression" dxfId="1896" priority="1971">
      <formula>E94&lt;44.5</formula>
    </cfRule>
    <cfRule type="expression" dxfId="1895" priority="1972">
      <formula>E94&lt;60.5</formula>
    </cfRule>
    <cfRule type="expression" dxfId="1894" priority="1973">
      <formula>E94&lt;85.5</formula>
    </cfRule>
    <cfRule type="expression" dxfId="1893" priority="1974">
      <formula>E94&gt;85.5</formula>
    </cfRule>
  </conditionalFormatting>
  <conditionalFormatting sqref="F94">
    <cfRule type="expression" dxfId="1892" priority="1961">
      <formula>F$90=""</formula>
    </cfRule>
  </conditionalFormatting>
  <conditionalFormatting sqref="F94">
    <cfRule type="expression" dxfId="1891" priority="1962">
      <formula>F94="**"</formula>
    </cfRule>
    <cfRule type="expression" dxfId="1890" priority="1963">
      <formula>F94=""</formula>
    </cfRule>
    <cfRule type="expression" dxfId="1889" priority="1964">
      <formula>F94&lt;44.5</formula>
    </cfRule>
    <cfRule type="expression" dxfId="1888" priority="1965">
      <formula>F94&lt;60.5</formula>
    </cfRule>
    <cfRule type="expression" dxfId="1887" priority="1966">
      <formula>F94&lt;85.5</formula>
    </cfRule>
    <cfRule type="expression" dxfId="1886" priority="1967">
      <formula>F94&gt;85.5</formula>
    </cfRule>
  </conditionalFormatting>
  <conditionalFormatting sqref="G94">
    <cfRule type="expression" dxfId="1885" priority="1954">
      <formula>G$90=""</formula>
    </cfRule>
  </conditionalFormatting>
  <conditionalFormatting sqref="G94">
    <cfRule type="expression" dxfId="1884" priority="1955">
      <formula>G94="**"</formula>
    </cfRule>
    <cfRule type="expression" dxfId="1883" priority="1956">
      <formula>G94=""</formula>
    </cfRule>
    <cfRule type="expression" dxfId="1882" priority="1957">
      <formula>G94&lt;44.5</formula>
    </cfRule>
    <cfRule type="expression" dxfId="1881" priority="1958">
      <formula>G94&lt;60.5</formula>
    </cfRule>
    <cfRule type="expression" dxfId="1880" priority="1959">
      <formula>G94&lt;85.5</formula>
    </cfRule>
    <cfRule type="expression" dxfId="1879" priority="1960">
      <formula>G94&gt;85.5</formula>
    </cfRule>
  </conditionalFormatting>
  <conditionalFormatting sqref="H94">
    <cfRule type="expression" dxfId="1878" priority="1947">
      <formula>H$90=""</formula>
    </cfRule>
  </conditionalFormatting>
  <conditionalFormatting sqref="H94">
    <cfRule type="expression" dxfId="1877" priority="1948">
      <formula>H94="**"</formula>
    </cfRule>
    <cfRule type="expression" dxfId="1876" priority="1949">
      <formula>H94=""</formula>
    </cfRule>
    <cfRule type="expression" dxfId="1875" priority="1950">
      <formula>H94&lt;44.5</formula>
    </cfRule>
    <cfRule type="expression" dxfId="1874" priority="1951">
      <formula>H94&lt;60.5</formula>
    </cfRule>
    <cfRule type="expression" dxfId="1873" priority="1952">
      <formula>H94&lt;85.5</formula>
    </cfRule>
    <cfRule type="expression" dxfId="1872" priority="1953">
      <formula>H94&gt;85.5</formula>
    </cfRule>
  </conditionalFormatting>
  <conditionalFormatting sqref="I94">
    <cfRule type="expression" dxfId="1871" priority="1940">
      <formula>I$90=""</formula>
    </cfRule>
  </conditionalFormatting>
  <conditionalFormatting sqref="I94">
    <cfRule type="expression" dxfId="1870" priority="1941">
      <formula>I94="**"</formula>
    </cfRule>
    <cfRule type="expression" dxfId="1869" priority="1942">
      <formula>I94=""</formula>
    </cfRule>
    <cfRule type="expression" dxfId="1868" priority="1943">
      <formula>I94&lt;44.5</formula>
    </cfRule>
    <cfRule type="expression" dxfId="1867" priority="1944">
      <formula>I94&lt;60.5</formula>
    </cfRule>
    <cfRule type="expression" dxfId="1866" priority="1945">
      <formula>I94&lt;85.5</formula>
    </cfRule>
    <cfRule type="expression" dxfId="1865" priority="1946">
      <formula>I94&gt;85.5</formula>
    </cfRule>
  </conditionalFormatting>
  <conditionalFormatting sqref="J94">
    <cfRule type="expression" dxfId="1864" priority="1933">
      <formula>J$90=""</formula>
    </cfRule>
  </conditionalFormatting>
  <conditionalFormatting sqref="J94">
    <cfRule type="expression" dxfId="1863" priority="1934">
      <formula>J94="**"</formula>
    </cfRule>
    <cfRule type="expression" dxfId="1862" priority="1935">
      <formula>J94=""</formula>
    </cfRule>
    <cfRule type="expression" dxfId="1861" priority="1936">
      <formula>J94&lt;44.5</formula>
    </cfRule>
    <cfRule type="expression" dxfId="1860" priority="1937">
      <formula>J94&lt;60.5</formula>
    </cfRule>
    <cfRule type="expression" dxfId="1859" priority="1938">
      <formula>J94&lt;85.5</formula>
    </cfRule>
    <cfRule type="expression" dxfId="1858" priority="1939">
      <formula>J94&gt;85.5</formula>
    </cfRule>
  </conditionalFormatting>
  <conditionalFormatting sqref="K94">
    <cfRule type="expression" dxfId="1857" priority="1926">
      <formula>K$90=""</formula>
    </cfRule>
  </conditionalFormatting>
  <conditionalFormatting sqref="K94">
    <cfRule type="expression" dxfId="1856" priority="1927">
      <formula>K94="**"</formula>
    </cfRule>
    <cfRule type="expression" dxfId="1855" priority="1928">
      <formula>K94=""</formula>
    </cfRule>
    <cfRule type="expression" dxfId="1854" priority="1929">
      <formula>K94&lt;44.5</formula>
    </cfRule>
    <cfRule type="expression" dxfId="1853" priority="1930">
      <formula>K94&lt;60.5</formula>
    </cfRule>
    <cfRule type="expression" dxfId="1852" priority="1931">
      <formula>K94&lt;85.5</formula>
    </cfRule>
    <cfRule type="expression" dxfId="1851" priority="1932">
      <formula>K94&gt;85.5</formula>
    </cfRule>
  </conditionalFormatting>
  <conditionalFormatting sqref="L94">
    <cfRule type="expression" dxfId="1850" priority="1919">
      <formula>L$90=""</formula>
    </cfRule>
  </conditionalFormatting>
  <conditionalFormatting sqref="L94">
    <cfRule type="expression" dxfId="1849" priority="1920">
      <formula>L94="**"</formula>
    </cfRule>
    <cfRule type="expression" dxfId="1848" priority="1921">
      <formula>L94=""</formula>
    </cfRule>
    <cfRule type="expression" dxfId="1847" priority="1922">
      <formula>L94&lt;44.5</formula>
    </cfRule>
    <cfRule type="expression" dxfId="1846" priority="1923">
      <formula>L94&lt;60.5</formula>
    </cfRule>
    <cfRule type="expression" dxfId="1845" priority="1924">
      <formula>L94&lt;85.5</formula>
    </cfRule>
    <cfRule type="expression" dxfId="1844" priority="1925">
      <formula>L94&gt;85.5</formula>
    </cfRule>
  </conditionalFormatting>
  <conditionalFormatting sqref="D124">
    <cfRule type="expression" dxfId="1843" priority="1912">
      <formula>D$120=""</formula>
    </cfRule>
  </conditionalFormatting>
  <conditionalFormatting sqref="D124">
    <cfRule type="expression" dxfId="1842" priority="1913">
      <formula>D124="**"</formula>
    </cfRule>
    <cfRule type="expression" dxfId="1841" priority="1914">
      <formula>D124=""</formula>
    </cfRule>
    <cfRule type="expression" dxfId="1840" priority="1915">
      <formula>D124&lt;44.5</formula>
    </cfRule>
    <cfRule type="expression" dxfId="1839" priority="1916">
      <formula>D124&lt;60.5</formula>
    </cfRule>
    <cfRule type="expression" dxfId="1838" priority="1917">
      <formula>D124&lt;85.5</formula>
    </cfRule>
    <cfRule type="expression" dxfId="1837" priority="1918">
      <formula>D124&gt;85.5</formula>
    </cfRule>
  </conditionalFormatting>
  <conditionalFormatting sqref="E124">
    <cfRule type="expression" dxfId="1836" priority="1905">
      <formula>E$120=""</formula>
    </cfRule>
  </conditionalFormatting>
  <conditionalFormatting sqref="E124">
    <cfRule type="expression" dxfId="1835" priority="1906">
      <formula>E124="**"</formula>
    </cfRule>
    <cfRule type="expression" dxfId="1834" priority="1907">
      <formula>E124=""</formula>
    </cfRule>
    <cfRule type="expression" dxfId="1833" priority="1908">
      <formula>E124&lt;44.5</formula>
    </cfRule>
    <cfRule type="expression" dxfId="1832" priority="1909">
      <formula>E124&lt;60.5</formula>
    </cfRule>
    <cfRule type="expression" dxfId="1831" priority="1910">
      <formula>E124&lt;85.5</formula>
    </cfRule>
    <cfRule type="expression" dxfId="1830" priority="1911">
      <formula>E124&gt;85.5</formula>
    </cfRule>
  </conditionalFormatting>
  <conditionalFormatting sqref="F124">
    <cfRule type="expression" dxfId="1829" priority="1898">
      <formula>F$120=""</formula>
    </cfRule>
  </conditionalFormatting>
  <conditionalFormatting sqref="F124">
    <cfRule type="expression" dxfId="1828" priority="1899">
      <formula>F124="**"</formula>
    </cfRule>
    <cfRule type="expression" dxfId="1827" priority="1900">
      <formula>F124=""</formula>
    </cfRule>
    <cfRule type="expression" dxfId="1826" priority="1901">
      <formula>F124&lt;44.5</formula>
    </cfRule>
    <cfRule type="expression" dxfId="1825" priority="1902">
      <formula>F124&lt;60.5</formula>
    </cfRule>
    <cfRule type="expression" dxfId="1824" priority="1903">
      <formula>F124&lt;85.5</formula>
    </cfRule>
    <cfRule type="expression" dxfId="1823" priority="1904">
      <formula>F124&gt;85.5</formula>
    </cfRule>
  </conditionalFormatting>
  <conditionalFormatting sqref="G124">
    <cfRule type="expression" dxfId="1822" priority="1891">
      <formula>G$120=""</formula>
    </cfRule>
  </conditionalFormatting>
  <conditionalFormatting sqref="G124">
    <cfRule type="expression" dxfId="1821" priority="1892">
      <formula>G124="**"</formula>
    </cfRule>
    <cfRule type="expression" dxfId="1820" priority="1893">
      <formula>G124=""</formula>
    </cfRule>
    <cfRule type="expression" dxfId="1819" priority="1894">
      <formula>G124&lt;44.5</formula>
    </cfRule>
    <cfRule type="expression" dxfId="1818" priority="1895">
      <formula>G124&lt;60.5</formula>
    </cfRule>
    <cfRule type="expression" dxfId="1817" priority="1896">
      <formula>G124&lt;85.5</formula>
    </cfRule>
    <cfRule type="expression" dxfId="1816" priority="1897">
      <formula>G124&gt;85.5</formula>
    </cfRule>
  </conditionalFormatting>
  <conditionalFormatting sqref="H124">
    <cfRule type="expression" dxfId="1815" priority="1884">
      <formula>H$120=""</formula>
    </cfRule>
  </conditionalFormatting>
  <conditionalFormatting sqref="H124">
    <cfRule type="expression" dxfId="1814" priority="1885">
      <formula>H124="**"</formula>
    </cfRule>
    <cfRule type="expression" dxfId="1813" priority="1886">
      <formula>H124=""</formula>
    </cfRule>
    <cfRule type="expression" dxfId="1812" priority="1887">
      <formula>H124&lt;44.5</formula>
    </cfRule>
    <cfRule type="expression" dxfId="1811" priority="1888">
      <formula>H124&lt;60.5</formula>
    </cfRule>
    <cfRule type="expression" dxfId="1810" priority="1889">
      <formula>H124&lt;85.5</formula>
    </cfRule>
    <cfRule type="expression" dxfId="1809" priority="1890">
      <formula>H124&gt;85.5</formula>
    </cfRule>
  </conditionalFormatting>
  <conditionalFormatting sqref="I124">
    <cfRule type="expression" dxfId="1808" priority="1877">
      <formula>I$120=""</formula>
    </cfRule>
  </conditionalFormatting>
  <conditionalFormatting sqref="I124">
    <cfRule type="expression" dxfId="1807" priority="1878">
      <formula>I124="**"</formula>
    </cfRule>
    <cfRule type="expression" dxfId="1806" priority="1879">
      <formula>I124=""</formula>
    </cfRule>
    <cfRule type="expression" dxfId="1805" priority="1880">
      <formula>I124&lt;44.5</formula>
    </cfRule>
    <cfRule type="expression" dxfId="1804" priority="1881">
      <formula>I124&lt;60.5</formula>
    </cfRule>
    <cfRule type="expression" dxfId="1803" priority="1882">
      <formula>I124&lt;85.5</formula>
    </cfRule>
    <cfRule type="expression" dxfId="1802" priority="1883">
      <formula>I124&gt;85.5</formula>
    </cfRule>
  </conditionalFormatting>
  <conditionalFormatting sqref="J124">
    <cfRule type="expression" dxfId="1801" priority="1870">
      <formula>J$120=""</formula>
    </cfRule>
  </conditionalFormatting>
  <conditionalFormatting sqref="J124">
    <cfRule type="expression" dxfId="1800" priority="1871">
      <formula>J124="**"</formula>
    </cfRule>
    <cfRule type="expression" dxfId="1799" priority="1872">
      <formula>J124=""</formula>
    </cfRule>
    <cfRule type="expression" dxfId="1798" priority="1873">
      <formula>J124&lt;44.5</formula>
    </cfRule>
    <cfRule type="expression" dxfId="1797" priority="1874">
      <formula>J124&lt;60.5</formula>
    </cfRule>
    <cfRule type="expression" dxfId="1796" priority="1875">
      <formula>J124&lt;85.5</formula>
    </cfRule>
    <cfRule type="expression" dxfId="1795" priority="1876">
      <formula>J124&gt;85.5</formula>
    </cfRule>
  </conditionalFormatting>
  <conditionalFormatting sqref="K124">
    <cfRule type="expression" dxfId="1794" priority="1863">
      <formula>K$120=""</formula>
    </cfRule>
  </conditionalFormatting>
  <conditionalFormatting sqref="K124">
    <cfRule type="expression" dxfId="1793" priority="1864">
      <formula>K124="**"</formula>
    </cfRule>
    <cfRule type="expression" dxfId="1792" priority="1865">
      <formula>K124=""</formula>
    </cfRule>
    <cfRule type="expression" dxfId="1791" priority="1866">
      <formula>K124&lt;44.5</formula>
    </cfRule>
    <cfRule type="expression" dxfId="1790" priority="1867">
      <formula>K124&lt;60.5</formula>
    </cfRule>
    <cfRule type="expression" dxfId="1789" priority="1868">
      <formula>K124&lt;85.5</formula>
    </cfRule>
    <cfRule type="expression" dxfId="1788" priority="1869">
      <formula>K124&gt;85.5</formula>
    </cfRule>
  </conditionalFormatting>
  <conditionalFormatting sqref="L124">
    <cfRule type="expression" dxfId="1787" priority="1856">
      <formula>L$120=""</formula>
    </cfRule>
  </conditionalFormatting>
  <conditionalFormatting sqref="L124">
    <cfRule type="expression" dxfId="1786" priority="1857">
      <formula>L124="**"</formula>
    </cfRule>
    <cfRule type="expression" dxfId="1785" priority="1858">
      <formula>L124=""</formula>
    </cfRule>
    <cfRule type="expression" dxfId="1784" priority="1859">
      <formula>L124&lt;44.5</formula>
    </cfRule>
    <cfRule type="expression" dxfId="1783" priority="1860">
      <formula>L124&lt;60.5</formula>
    </cfRule>
    <cfRule type="expression" dxfId="1782" priority="1861">
      <formula>L124&lt;85.5</formula>
    </cfRule>
    <cfRule type="expression" dxfId="1781" priority="1862">
      <formula>L124&gt;85.5</formula>
    </cfRule>
  </conditionalFormatting>
  <conditionalFormatting sqref="D154">
    <cfRule type="expression" dxfId="1780" priority="1849">
      <formula>D$150=""</formula>
    </cfRule>
  </conditionalFormatting>
  <conditionalFormatting sqref="D154">
    <cfRule type="expression" dxfId="1779" priority="1850">
      <formula>D154="**"</formula>
    </cfRule>
    <cfRule type="expression" dxfId="1778" priority="1851">
      <formula>D154=""</formula>
    </cfRule>
    <cfRule type="expression" dxfId="1777" priority="1852">
      <formula>D154&lt;44.5</formula>
    </cfRule>
    <cfRule type="expression" dxfId="1776" priority="1853">
      <formula>D154&lt;60.5</formula>
    </cfRule>
    <cfRule type="expression" dxfId="1775" priority="1854">
      <formula>D154&lt;85.5</formula>
    </cfRule>
    <cfRule type="expression" dxfId="1774" priority="1855">
      <formula>D154&gt;85.5</formula>
    </cfRule>
  </conditionalFormatting>
  <conditionalFormatting sqref="E154">
    <cfRule type="expression" dxfId="1773" priority="1842">
      <formula>E$150=""</formula>
    </cfRule>
  </conditionalFormatting>
  <conditionalFormatting sqref="E154">
    <cfRule type="expression" dxfId="1772" priority="1843">
      <formula>E154="**"</formula>
    </cfRule>
    <cfRule type="expression" dxfId="1771" priority="1844">
      <formula>E154=""</formula>
    </cfRule>
    <cfRule type="expression" dxfId="1770" priority="1845">
      <formula>E154&lt;44.5</formula>
    </cfRule>
    <cfRule type="expression" dxfId="1769" priority="1846">
      <formula>E154&lt;60.5</formula>
    </cfRule>
    <cfRule type="expression" dxfId="1768" priority="1847">
      <formula>E154&lt;85.5</formula>
    </cfRule>
    <cfRule type="expression" dxfId="1767" priority="1848">
      <formula>E154&gt;85.5</formula>
    </cfRule>
  </conditionalFormatting>
  <conditionalFormatting sqref="F154">
    <cfRule type="expression" dxfId="1766" priority="1835">
      <formula>F$150=""</formula>
    </cfRule>
  </conditionalFormatting>
  <conditionalFormatting sqref="F154">
    <cfRule type="expression" dxfId="1765" priority="1836">
      <formula>F154="**"</formula>
    </cfRule>
    <cfRule type="expression" dxfId="1764" priority="1837">
      <formula>F154=""</formula>
    </cfRule>
    <cfRule type="expression" dxfId="1763" priority="1838">
      <formula>F154&lt;44.5</formula>
    </cfRule>
    <cfRule type="expression" dxfId="1762" priority="1839">
      <formula>F154&lt;60.5</formula>
    </cfRule>
    <cfRule type="expression" dxfId="1761" priority="1840">
      <formula>F154&lt;85.5</formula>
    </cfRule>
    <cfRule type="expression" dxfId="1760" priority="1841">
      <formula>F154&gt;85.5</formula>
    </cfRule>
  </conditionalFormatting>
  <conditionalFormatting sqref="G154">
    <cfRule type="expression" dxfId="1759" priority="1828">
      <formula>G$150=""</formula>
    </cfRule>
  </conditionalFormatting>
  <conditionalFormatting sqref="G154">
    <cfRule type="expression" dxfId="1758" priority="1829">
      <formula>G154="**"</formula>
    </cfRule>
    <cfRule type="expression" dxfId="1757" priority="1830">
      <formula>G154=""</formula>
    </cfRule>
    <cfRule type="expression" dxfId="1756" priority="1831">
      <formula>G154&lt;44.5</formula>
    </cfRule>
    <cfRule type="expression" dxfId="1755" priority="1832">
      <formula>G154&lt;60.5</formula>
    </cfRule>
    <cfRule type="expression" dxfId="1754" priority="1833">
      <formula>G154&lt;85.5</formula>
    </cfRule>
    <cfRule type="expression" dxfId="1753" priority="1834">
      <formula>G154&gt;85.5</formula>
    </cfRule>
  </conditionalFormatting>
  <conditionalFormatting sqref="H154">
    <cfRule type="expression" dxfId="1752" priority="1821">
      <formula>H$150=""</formula>
    </cfRule>
  </conditionalFormatting>
  <conditionalFormatting sqref="H154">
    <cfRule type="expression" dxfId="1751" priority="1822">
      <formula>H154="**"</formula>
    </cfRule>
    <cfRule type="expression" dxfId="1750" priority="1823">
      <formula>H154=""</formula>
    </cfRule>
    <cfRule type="expression" dxfId="1749" priority="1824">
      <formula>H154&lt;44.5</formula>
    </cfRule>
    <cfRule type="expression" dxfId="1748" priority="1825">
      <formula>H154&lt;60.5</formula>
    </cfRule>
    <cfRule type="expression" dxfId="1747" priority="1826">
      <formula>H154&lt;85.5</formula>
    </cfRule>
    <cfRule type="expression" dxfId="1746" priority="1827">
      <formula>H154&gt;85.5</formula>
    </cfRule>
  </conditionalFormatting>
  <conditionalFormatting sqref="I154">
    <cfRule type="expression" dxfId="1745" priority="1814">
      <formula>I$150=""</formula>
    </cfRule>
  </conditionalFormatting>
  <conditionalFormatting sqref="I154">
    <cfRule type="expression" dxfId="1744" priority="1815">
      <formula>I154="**"</formula>
    </cfRule>
    <cfRule type="expression" dxfId="1743" priority="1816">
      <formula>I154=""</formula>
    </cfRule>
    <cfRule type="expression" dxfId="1742" priority="1817">
      <formula>I154&lt;44.5</formula>
    </cfRule>
    <cfRule type="expression" dxfId="1741" priority="1818">
      <formula>I154&lt;60.5</formula>
    </cfRule>
    <cfRule type="expression" dxfId="1740" priority="1819">
      <formula>I154&lt;85.5</formula>
    </cfRule>
    <cfRule type="expression" dxfId="1739" priority="1820">
      <formula>I154&gt;85.5</formula>
    </cfRule>
  </conditionalFormatting>
  <conditionalFormatting sqref="J154">
    <cfRule type="expression" dxfId="1738" priority="1807">
      <formula>J$150=""</formula>
    </cfRule>
  </conditionalFormatting>
  <conditionalFormatting sqref="J154">
    <cfRule type="expression" dxfId="1737" priority="1808">
      <formula>J154="**"</formula>
    </cfRule>
    <cfRule type="expression" dxfId="1736" priority="1809">
      <formula>J154=""</formula>
    </cfRule>
    <cfRule type="expression" dxfId="1735" priority="1810">
      <formula>J154&lt;44.5</formula>
    </cfRule>
    <cfRule type="expression" dxfId="1734" priority="1811">
      <formula>J154&lt;60.5</formula>
    </cfRule>
    <cfRule type="expression" dxfId="1733" priority="1812">
      <formula>J154&lt;85.5</formula>
    </cfRule>
    <cfRule type="expression" dxfId="1732" priority="1813">
      <formula>J154&gt;85.5</formula>
    </cfRule>
  </conditionalFormatting>
  <conditionalFormatting sqref="K154">
    <cfRule type="expression" dxfId="1731" priority="1800">
      <formula>K$150=""</formula>
    </cfRule>
  </conditionalFormatting>
  <conditionalFormatting sqref="K154">
    <cfRule type="expression" dxfId="1730" priority="1801">
      <formula>K154="**"</formula>
    </cfRule>
    <cfRule type="expression" dxfId="1729" priority="1802">
      <formula>K154=""</formula>
    </cfRule>
    <cfRule type="expression" dxfId="1728" priority="1803">
      <formula>K154&lt;44.5</formula>
    </cfRule>
    <cfRule type="expression" dxfId="1727" priority="1804">
      <formula>K154&lt;60.5</formula>
    </cfRule>
    <cfRule type="expression" dxfId="1726" priority="1805">
      <formula>K154&lt;85.5</formula>
    </cfRule>
    <cfRule type="expression" dxfId="1725" priority="1806">
      <formula>K154&gt;85.5</formula>
    </cfRule>
  </conditionalFormatting>
  <conditionalFormatting sqref="L154">
    <cfRule type="expression" dxfId="1724" priority="1793">
      <formula>L$150=""</formula>
    </cfRule>
  </conditionalFormatting>
  <conditionalFormatting sqref="L154">
    <cfRule type="expression" dxfId="1723" priority="1794">
      <formula>L154="**"</formula>
    </cfRule>
    <cfRule type="expression" dxfId="1722" priority="1795">
      <formula>L154=""</formula>
    </cfRule>
    <cfRule type="expression" dxfId="1721" priority="1796">
      <formula>L154&lt;44.5</formula>
    </cfRule>
    <cfRule type="expression" dxfId="1720" priority="1797">
      <formula>L154&lt;60.5</formula>
    </cfRule>
    <cfRule type="expression" dxfId="1719" priority="1798">
      <formula>L154&lt;85.5</formula>
    </cfRule>
    <cfRule type="expression" dxfId="1718" priority="1799">
      <formula>L154&gt;85.5</formula>
    </cfRule>
  </conditionalFormatting>
  <conditionalFormatting sqref="D184">
    <cfRule type="expression" dxfId="1717" priority="1786">
      <formula>D$180=""</formula>
    </cfRule>
  </conditionalFormatting>
  <conditionalFormatting sqref="D184">
    <cfRule type="expression" dxfId="1716" priority="1787">
      <formula>D184="**"</formula>
    </cfRule>
    <cfRule type="expression" dxfId="1715" priority="1788">
      <formula>D184=""</formula>
    </cfRule>
    <cfRule type="expression" dxfId="1714" priority="1789">
      <formula>D184&lt;44.5</formula>
    </cfRule>
    <cfRule type="expression" dxfId="1713" priority="1790">
      <formula>D184&lt;60.5</formula>
    </cfRule>
    <cfRule type="expression" dxfId="1712" priority="1791">
      <formula>D184&lt;85.5</formula>
    </cfRule>
    <cfRule type="expression" dxfId="1711" priority="1792">
      <formula>D184&gt;85.5</formula>
    </cfRule>
  </conditionalFormatting>
  <conditionalFormatting sqref="E184">
    <cfRule type="expression" dxfId="1710" priority="1779">
      <formula>E$180=""</formula>
    </cfRule>
  </conditionalFormatting>
  <conditionalFormatting sqref="E184">
    <cfRule type="expression" dxfId="1709" priority="1780">
      <formula>E184="**"</formula>
    </cfRule>
    <cfRule type="expression" dxfId="1708" priority="1781">
      <formula>E184=""</formula>
    </cfRule>
    <cfRule type="expression" dxfId="1707" priority="1782">
      <formula>E184&lt;44.5</formula>
    </cfRule>
    <cfRule type="expression" dxfId="1706" priority="1783">
      <formula>E184&lt;60.5</formula>
    </cfRule>
    <cfRule type="expression" dxfId="1705" priority="1784">
      <formula>E184&lt;85.5</formula>
    </cfRule>
    <cfRule type="expression" dxfId="1704" priority="1785">
      <formula>E184&gt;85.5</formula>
    </cfRule>
  </conditionalFormatting>
  <conditionalFormatting sqref="F184">
    <cfRule type="expression" dxfId="1703" priority="1772">
      <formula>F$180=""</formula>
    </cfRule>
  </conditionalFormatting>
  <conditionalFormatting sqref="F184">
    <cfRule type="expression" dxfId="1702" priority="1773">
      <formula>F184="**"</formula>
    </cfRule>
    <cfRule type="expression" dxfId="1701" priority="1774">
      <formula>F184=""</formula>
    </cfRule>
    <cfRule type="expression" dxfId="1700" priority="1775">
      <formula>F184&lt;44.5</formula>
    </cfRule>
    <cfRule type="expression" dxfId="1699" priority="1776">
      <formula>F184&lt;60.5</formula>
    </cfRule>
    <cfRule type="expression" dxfId="1698" priority="1777">
      <formula>F184&lt;85.5</formula>
    </cfRule>
    <cfRule type="expression" dxfId="1697" priority="1778">
      <formula>F184&gt;85.5</formula>
    </cfRule>
  </conditionalFormatting>
  <conditionalFormatting sqref="G184">
    <cfRule type="expression" dxfId="1696" priority="1765">
      <formula>G$180=""</formula>
    </cfRule>
  </conditionalFormatting>
  <conditionalFormatting sqref="G184">
    <cfRule type="expression" dxfId="1695" priority="1766">
      <formula>G184="**"</formula>
    </cfRule>
    <cfRule type="expression" dxfId="1694" priority="1767">
      <formula>G184=""</formula>
    </cfRule>
    <cfRule type="expression" dxfId="1693" priority="1768">
      <formula>G184&lt;44.5</formula>
    </cfRule>
    <cfRule type="expression" dxfId="1692" priority="1769">
      <formula>G184&lt;60.5</formula>
    </cfRule>
    <cfRule type="expression" dxfId="1691" priority="1770">
      <formula>G184&lt;85.5</formula>
    </cfRule>
    <cfRule type="expression" dxfId="1690" priority="1771">
      <formula>G184&gt;85.5</formula>
    </cfRule>
  </conditionalFormatting>
  <conditionalFormatting sqref="H184">
    <cfRule type="expression" dxfId="1689" priority="1758">
      <formula>H$180=""</formula>
    </cfRule>
  </conditionalFormatting>
  <conditionalFormatting sqref="H184">
    <cfRule type="expression" dxfId="1688" priority="1759">
      <formula>H184="**"</formula>
    </cfRule>
    <cfRule type="expression" dxfId="1687" priority="1760">
      <formula>H184=""</formula>
    </cfRule>
    <cfRule type="expression" dxfId="1686" priority="1761">
      <formula>H184&lt;44.5</formula>
    </cfRule>
    <cfRule type="expression" dxfId="1685" priority="1762">
      <formula>H184&lt;60.5</formula>
    </cfRule>
    <cfRule type="expression" dxfId="1684" priority="1763">
      <formula>H184&lt;85.5</formula>
    </cfRule>
    <cfRule type="expression" dxfId="1683" priority="1764">
      <formula>H184&gt;85.5</formula>
    </cfRule>
  </conditionalFormatting>
  <conditionalFormatting sqref="I184">
    <cfRule type="expression" dxfId="1682" priority="1751">
      <formula>I$180=""</formula>
    </cfRule>
  </conditionalFormatting>
  <conditionalFormatting sqref="I184">
    <cfRule type="expression" dxfId="1681" priority="1752">
      <formula>I184="**"</formula>
    </cfRule>
    <cfRule type="expression" dxfId="1680" priority="1753">
      <formula>I184=""</formula>
    </cfRule>
    <cfRule type="expression" dxfId="1679" priority="1754">
      <formula>I184&lt;44.5</formula>
    </cfRule>
    <cfRule type="expression" dxfId="1678" priority="1755">
      <formula>I184&lt;60.5</formula>
    </cfRule>
    <cfRule type="expression" dxfId="1677" priority="1756">
      <formula>I184&lt;85.5</formula>
    </cfRule>
    <cfRule type="expression" dxfId="1676" priority="1757">
      <formula>I184&gt;85.5</formula>
    </cfRule>
  </conditionalFormatting>
  <conditionalFormatting sqref="J184">
    <cfRule type="expression" dxfId="1675" priority="1744">
      <formula>J$180=""</formula>
    </cfRule>
  </conditionalFormatting>
  <conditionalFormatting sqref="J184">
    <cfRule type="expression" dxfId="1674" priority="1745">
      <formula>J184="**"</formula>
    </cfRule>
    <cfRule type="expression" dxfId="1673" priority="1746">
      <formula>J184=""</formula>
    </cfRule>
    <cfRule type="expression" dxfId="1672" priority="1747">
      <formula>J184&lt;44.5</formula>
    </cfRule>
    <cfRule type="expression" dxfId="1671" priority="1748">
      <formula>J184&lt;60.5</formula>
    </cfRule>
    <cfRule type="expression" dxfId="1670" priority="1749">
      <formula>J184&lt;85.5</formula>
    </cfRule>
    <cfRule type="expression" dxfId="1669" priority="1750">
      <formula>J184&gt;85.5</formula>
    </cfRule>
  </conditionalFormatting>
  <conditionalFormatting sqref="K184">
    <cfRule type="expression" dxfId="1668" priority="1737">
      <formula>K$180=""</formula>
    </cfRule>
  </conditionalFormatting>
  <conditionalFormatting sqref="K184">
    <cfRule type="expression" dxfId="1667" priority="1738">
      <formula>K184="**"</formula>
    </cfRule>
    <cfRule type="expression" dxfId="1666" priority="1739">
      <formula>K184=""</formula>
    </cfRule>
    <cfRule type="expression" dxfId="1665" priority="1740">
      <formula>K184&lt;44.5</formula>
    </cfRule>
    <cfRule type="expression" dxfId="1664" priority="1741">
      <formula>K184&lt;60.5</formula>
    </cfRule>
    <cfRule type="expression" dxfId="1663" priority="1742">
      <formula>K184&lt;85.5</formula>
    </cfRule>
    <cfRule type="expression" dxfId="1662" priority="1743">
      <formula>K184&gt;85.5</formula>
    </cfRule>
  </conditionalFormatting>
  <conditionalFormatting sqref="L184">
    <cfRule type="expression" dxfId="1661" priority="1730">
      <formula>L$180=""</formula>
    </cfRule>
  </conditionalFormatting>
  <conditionalFormatting sqref="L184">
    <cfRule type="expression" dxfId="1660" priority="1731">
      <formula>L184="**"</formula>
    </cfRule>
    <cfRule type="expression" dxfId="1659" priority="1732">
      <formula>L184=""</formula>
    </cfRule>
    <cfRule type="expression" dxfId="1658" priority="1733">
      <formula>L184&lt;44.5</formula>
    </cfRule>
    <cfRule type="expression" dxfId="1657" priority="1734">
      <formula>L184&lt;60.5</formula>
    </cfRule>
    <cfRule type="expression" dxfId="1656" priority="1735">
      <formula>L184&lt;85.5</formula>
    </cfRule>
    <cfRule type="expression" dxfId="1655" priority="1736">
      <formula>L184&gt;85.5</formula>
    </cfRule>
  </conditionalFormatting>
  <conditionalFormatting sqref="D214">
    <cfRule type="expression" dxfId="1654" priority="1723">
      <formula>D$210=""</formula>
    </cfRule>
  </conditionalFormatting>
  <conditionalFormatting sqref="D214">
    <cfRule type="expression" dxfId="1653" priority="1724">
      <formula>D214="**"</formula>
    </cfRule>
    <cfRule type="expression" dxfId="1652" priority="1725">
      <formula>D214=""</formula>
    </cfRule>
    <cfRule type="expression" dxfId="1651" priority="1726">
      <formula>D214&lt;44.5</formula>
    </cfRule>
    <cfRule type="expression" dxfId="1650" priority="1727">
      <formula>D214&lt;60.5</formula>
    </cfRule>
    <cfRule type="expression" dxfId="1649" priority="1728">
      <formula>D214&lt;85.5</formula>
    </cfRule>
    <cfRule type="expression" dxfId="1648" priority="1729">
      <formula>D214&gt;85.5</formula>
    </cfRule>
  </conditionalFormatting>
  <conditionalFormatting sqref="E214">
    <cfRule type="expression" dxfId="1647" priority="1716">
      <formula>E$210=""</formula>
    </cfRule>
  </conditionalFormatting>
  <conditionalFormatting sqref="E214">
    <cfRule type="expression" dxfId="1646" priority="1717">
      <formula>E214="**"</formula>
    </cfRule>
    <cfRule type="expression" dxfId="1645" priority="1718">
      <formula>E214=""</formula>
    </cfRule>
    <cfRule type="expression" dxfId="1644" priority="1719">
      <formula>E214&lt;44.5</formula>
    </cfRule>
    <cfRule type="expression" dxfId="1643" priority="1720">
      <formula>E214&lt;60.5</formula>
    </cfRule>
    <cfRule type="expression" dxfId="1642" priority="1721">
      <formula>E214&lt;85.5</formula>
    </cfRule>
    <cfRule type="expression" dxfId="1641" priority="1722">
      <formula>E214&gt;85.5</formula>
    </cfRule>
  </conditionalFormatting>
  <conditionalFormatting sqref="F214">
    <cfRule type="expression" dxfId="1640" priority="1709">
      <formula>F$210=""</formula>
    </cfRule>
  </conditionalFormatting>
  <conditionalFormatting sqref="F214">
    <cfRule type="expression" dxfId="1639" priority="1710">
      <formula>F214="**"</formula>
    </cfRule>
    <cfRule type="expression" dxfId="1638" priority="1711">
      <formula>F214=""</formula>
    </cfRule>
    <cfRule type="expression" dxfId="1637" priority="1712">
      <formula>F214&lt;44.5</formula>
    </cfRule>
    <cfRule type="expression" dxfId="1636" priority="1713">
      <formula>F214&lt;60.5</formula>
    </cfRule>
    <cfRule type="expression" dxfId="1635" priority="1714">
      <formula>F214&lt;85.5</formula>
    </cfRule>
    <cfRule type="expression" dxfId="1634" priority="1715">
      <formula>F214&gt;85.5</formula>
    </cfRule>
  </conditionalFormatting>
  <conditionalFormatting sqref="G214">
    <cfRule type="expression" dxfId="1633" priority="1702">
      <formula>G$210=""</formula>
    </cfRule>
  </conditionalFormatting>
  <conditionalFormatting sqref="G214">
    <cfRule type="expression" dxfId="1632" priority="1703">
      <formula>G214="**"</formula>
    </cfRule>
    <cfRule type="expression" dxfId="1631" priority="1704">
      <formula>G214=""</formula>
    </cfRule>
    <cfRule type="expression" dxfId="1630" priority="1705">
      <formula>G214&lt;44.5</formula>
    </cfRule>
    <cfRule type="expression" dxfId="1629" priority="1706">
      <formula>G214&lt;60.5</formula>
    </cfRule>
    <cfRule type="expression" dxfId="1628" priority="1707">
      <formula>G214&lt;85.5</formula>
    </cfRule>
    <cfRule type="expression" dxfId="1627" priority="1708">
      <formula>G214&gt;85.5</formula>
    </cfRule>
  </conditionalFormatting>
  <conditionalFormatting sqref="H214">
    <cfRule type="expression" dxfId="1626" priority="1695">
      <formula>H$210=""</formula>
    </cfRule>
  </conditionalFormatting>
  <conditionalFormatting sqref="H214">
    <cfRule type="expression" dxfId="1625" priority="1696">
      <formula>H214="**"</formula>
    </cfRule>
    <cfRule type="expression" dxfId="1624" priority="1697">
      <formula>H214=""</formula>
    </cfRule>
    <cfRule type="expression" dxfId="1623" priority="1698">
      <formula>H214&lt;44.5</formula>
    </cfRule>
    <cfRule type="expression" dxfId="1622" priority="1699">
      <formula>H214&lt;60.5</formula>
    </cfRule>
    <cfRule type="expression" dxfId="1621" priority="1700">
      <formula>H214&lt;85.5</formula>
    </cfRule>
    <cfRule type="expression" dxfId="1620" priority="1701">
      <formula>H214&gt;85.5</formula>
    </cfRule>
  </conditionalFormatting>
  <conditionalFormatting sqref="I214">
    <cfRule type="expression" dxfId="1619" priority="1688">
      <formula>I$210=""</formula>
    </cfRule>
  </conditionalFormatting>
  <conditionalFormatting sqref="I214">
    <cfRule type="expression" dxfId="1618" priority="1689">
      <formula>I214="**"</formula>
    </cfRule>
    <cfRule type="expression" dxfId="1617" priority="1690">
      <formula>I214=""</formula>
    </cfRule>
    <cfRule type="expression" dxfId="1616" priority="1691">
      <formula>I214&lt;44.5</formula>
    </cfRule>
    <cfRule type="expression" dxfId="1615" priority="1692">
      <formula>I214&lt;60.5</formula>
    </cfRule>
    <cfRule type="expression" dxfId="1614" priority="1693">
      <formula>I214&lt;85.5</formula>
    </cfRule>
    <cfRule type="expression" dxfId="1613" priority="1694">
      <formula>I214&gt;85.5</formula>
    </cfRule>
  </conditionalFormatting>
  <conditionalFormatting sqref="J214">
    <cfRule type="expression" dxfId="1612" priority="1681">
      <formula>J$210=""</formula>
    </cfRule>
  </conditionalFormatting>
  <conditionalFormatting sqref="J214">
    <cfRule type="expression" dxfId="1611" priority="1682">
      <formula>J214="**"</formula>
    </cfRule>
    <cfRule type="expression" dxfId="1610" priority="1683">
      <formula>J214=""</formula>
    </cfRule>
    <cfRule type="expression" dxfId="1609" priority="1684">
      <formula>J214&lt;44.5</formula>
    </cfRule>
    <cfRule type="expression" dxfId="1608" priority="1685">
      <formula>J214&lt;60.5</formula>
    </cfRule>
    <cfRule type="expression" dxfId="1607" priority="1686">
      <formula>J214&lt;85.5</formula>
    </cfRule>
    <cfRule type="expression" dxfId="1606" priority="1687">
      <formula>J214&gt;85.5</formula>
    </cfRule>
  </conditionalFormatting>
  <conditionalFormatting sqref="K214">
    <cfRule type="expression" dxfId="1605" priority="1674">
      <formula>K$210=""</formula>
    </cfRule>
  </conditionalFormatting>
  <conditionalFormatting sqref="K214">
    <cfRule type="expression" dxfId="1604" priority="1675">
      <formula>K214="**"</formula>
    </cfRule>
    <cfRule type="expression" dxfId="1603" priority="1676">
      <formula>K214=""</formula>
    </cfRule>
    <cfRule type="expression" dxfId="1602" priority="1677">
      <formula>K214&lt;44.5</formula>
    </cfRule>
    <cfRule type="expression" dxfId="1601" priority="1678">
      <formula>K214&lt;60.5</formula>
    </cfRule>
    <cfRule type="expression" dxfId="1600" priority="1679">
      <formula>K214&lt;85.5</formula>
    </cfRule>
    <cfRule type="expression" dxfId="1599" priority="1680">
      <formula>K214&gt;85.5</formula>
    </cfRule>
  </conditionalFormatting>
  <conditionalFormatting sqref="L214">
    <cfRule type="expression" dxfId="1598" priority="1667">
      <formula>L$210=""</formula>
    </cfRule>
  </conditionalFormatting>
  <conditionalFormatting sqref="L214">
    <cfRule type="expression" dxfId="1597" priority="1668">
      <formula>L214="**"</formula>
    </cfRule>
    <cfRule type="expression" dxfId="1596" priority="1669">
      <formula>L214=""</formula>
    </cfRule>
    <cfRule type="expression" dxfId="1595" priority="1670">
      <formula>L214&lt;44.5</formula>
    </cfRule>
    <cfRule type="expression" dxfId="1594" priority="1671">
      <formula>L214&lt;60.5</formula>
    </cfRule>
    <cfRule type="expression" dxfId="1593" priority="1672">
      <formula>L214&lt;85.5</formula>
    </cfRule>
    <cfRule type="expression" dxfId="1592" priority="1673">
      <formula>L214&gt;85.5</formula>
    </cfRule>
  </conditionalFormatting>
  <conditionalFormatting sqref="D244">
    <cfRule type="expression" dxfId="1591" priority="1660">
      <formula>D$240=""</formula>
    </cfRule>
  </conditionalFormatting>
  <conditionalFormatting sqref="D244">
    <cfRule type="expression" dxfId="1590" priority="1661">
      <formula>D244="**"</formula>
    </cfRule>
    <cfRule type="expression" dxfId="1589" priority="1662">
      <formula>D244=""</formula>
    </cfRule>
    <cfRule type="expression" dxfId="1588" priority="1663">
      <formula>D244&lt;44.5</formula>
    </cfRule>
    <cfRule type="expression" dxfId="1587" priority="1664">
      <formula>D244&lt;60.5</formula>
    </cfRule>
    <cfRule type="expression" dxfId="1586" priority="1665">
      <formula>D244&lt;85.5</formula>
    </cfRule>
    <cfRule type="expression" dxfId="1585" priority="1666">
      <formula>D244&gt;85.5</formula>
    </cfRule>
  </conditionalFormatting>
  <conditionalFormatting sqref="E244">
    <cfRule type="expression" dxfId="1584" priority="1653">
      <formula>E$240=""</formula>
    </cfRule>
  </conditionalFormatting>
  <conditionalFormatting sqref="E244">
    <cfRule type="expression" dxfId="1583" priority="1654">
      <formula>E244="**"</formula>
    </cfRule>
    <cfRule type="expression" dxfId="1582" priority="1655">
      <formula>E244=""</formula>
    </cfRule>
    <cfRule type="expression" dxfId="1581" priority="1656">
      <formula>E244&lt;44.5</formula>
    </cfRule>
    <cfRule type="expression" dxfId="1580" priority="1657">
      <formula>E244&lt;60.5</formula>
    </cfRule>
    <cfRule type="expression" dxfId="1579" priority="1658">
      <formula>E244&lt;85.5</formula>
    </cfRule>
    <cfRule type="expression" dxfId="1578" priority="1659">
      <formula>E244&gt;85.5</formula>
    </cfRule>
  </conditionalFormatting>
  <conditionalFormatting sqref="F244">
    <cfRule type="expression" dxfId="1577" priority="1646">
      <formula>F$240=""</formula>
    </cfRule>
  </conditionalFormatting>
  <conditionalFormatting sqref="F244">
    <cfRule type="expression" dxfId="1576" priority="1647">
      <formula>F244="**"</formula>
    </cfRule>
    <cfRule type="expression" dxfId="1575" priority="1648">
      <formula>F244=""</formula>
    </cfRule>
    <cfRule type="expression" dxfId="1574" priority="1649">
      <formula>F244&lt;44.5</formula>
    </cfRule>
    <cfRule type="expression" dxfId="1573" priority="1650">
      <formula>F244&lt;60.5</formula>
    </cfRule>
    <cfRule type="expression" dxfId="1572" priority="1651">
      <formula>F244&lt;85.5</formula>
    </cfRule>
    <cfRule type="expression" dxfId="1571" priority="1652">
      <formula>F244&gt;85.5</formula>
    </cfRule>
  </conditionalFormatting>
  <conditionalFormatting sqref="G244">
    <cfRule type="expression" dxfId="1570" priority="1639">
      <formula>G$240=""</formula>
    </cfRule>
  </conditionalFormatting>
  <conditionalFormatting sqref="G244">
    <cfRule type="expression" dxfId="1569" priority="1640">
      <formula>G244="**"</formula>
    </cfRule>
    <cfRule type="expression" dxfId="1568" priority="1641">
      <formula>G244=""</formula>
    </cfRule>
    <cfRule type="expression" dxfId="1567" priority="1642">
      <formula>G244&lt;44.5</formula>
    </cfRule>
    <cfRule type="expression" dxfId="1566" priority="1643">
      <formula>G244&lt;60.5</formula>
    </cfRule>
    <cfRule type="expression" dxfId="1565" priority="1644">
      <formula>G244&lt;85.5</formula>
    </cfRule>
    <cfRule type="expression" dxfId="1564" priority="1645">
      <formula>G244&gt;85.5</formula>
    </cfRule>
  </conditionalFormatting>
  <conditionalFormatting sqref="H244">
    <cfRule type="expression" dxfId="1563" priority="1632">
      <formula>H$240=""</formula>
    </cfRule>
  </conditionalFormatting>
  <conditionalFormatting sqref="H244">
    <cfRule type="expression" dxfId="1562" priority="1633">
      <formula>H244="**"</formula>
    </cfRule>
    <cfRule type="expression" dxfId="1561" priority="1634">
      <formula>H244=""</formula>
    </cfRule>
    <cfRule type="expression" dxfId="1560" priority="1635">
      <formula>H244&lt;44.5</formula>
    </cfRule>
    <cfRule type="expression" dxfId="1559" priority="1636">
      <formula>H244&lt;60.5</formula>
    </cfRule>
    <cfRule type="expression" dxfId="1558" priority="1637">
      <formula>H244&lt;85.5</formula>
    </cfRule>
    <cfRule type="expression" dxfId="1557" priority="1638">
      <formula>H244&gt;85.5</formula>
    </cfRule>
  </conditionalFormatting>
  <conditionalFormatting sqref="I244">
    <cfRule type="expression" dxfId="1556" priority="1625">
      <formula>I$240=""</formula>
    </cfRule>
  </conditionalFormatting>
  <conditionalFormatting sqref="I244">
    <cfRule type="expression" dxfId="1555" priority="1626">
      <formula>I244="**"</formula>
    </cfRule>
    <cfRule type="expression" dxfId="1554" priority="1627">
      <formula>I244=""</formula>
    </cfRule>
    <cfRule type="expression" dxfId="1553" priority="1628">
      <formula>I244&lt;44.5</formula>
    </cfRule>
    <cfRule type="expression" dxfId="1552" priority="1629">
      <formula>I244&lt;60.5</formula>
    </cfRule>
    <cfRule type="expression" dxfId="1551" priority="1630">
      <formula>I244&lt;85.5</formula>
    </cfRule>
    <cfRule type="expression" dxfId="1550" priority="1631">
      <formula>I244&gt;85.5</formula>
    </cfRule>
  </conditionalFormatting>
  <conditionalFormatting sqref="J244">
    <cfRule type="expression" dxfId="1549" priority="1618">
      <formula>J$240=""</formula>
    </cfRule>
  </conditionalFormatting>
  <conditionalFormatting sqref="J244">
    <cfRule type="expression" dxfId="1548" priority="1619">
      <formula>J244="**"</formula>
    </cfRule>
    <cfRule type="expression" dxfId="1547" priority="1620">
      <formula>J244=""</formula>
    </cfRule>
    <cfRule type="expression" dxfId="1546" priority="1621">
      <formula>J244&lt;44.5</formula>
    </cfRule>
    <cfRule type="expression" dxfId="1545" priority="1622">
      <formula>J244&lt;60.5</formula>
    </cfRule>
    <cfRule type="expression" dxfId="1544" priority="1623">
      <formula>J244&lt;85.5</formula>
    </cfRule>
    <cfRule type="expression" dxfId="1543" priority="1624">
      <formula>J244&gt;85.5</formula>
    </cfRule>
  </conditionalFormatting>
  <conditionalFormatting sqref="K244">
    <cfRule type="expression" dxfId="1542" priority="1611">
      <formula>K$240=""</formula>
    </cfRule>
  </conditionalFormatting>
  <conditionalFormatting sqref="K244">
    <cfRule type="expression" dxfId="1541" priority="1612">
      <formula>K244="**"</formula>
    </cfRule>
    <cfRule type="expression" dxfId="1540" priority="1613">
      <formula>K244=""</formula>
    </cfRule>
    <cfRule type="expression" dxfId="1539" priority="1614">
      <formula>K244&lt;44.5</formula>
    </cfRule>
    <cfRule type="expression" dxfId="1538" priority="1615">
      <formula>K244&lt;60.5</formula>
    </cfRule>
    <cfRule type="expression" dxfId="1537" priority="1616">
      <formula>K244&lt;85.5</formula>
    </cfRule>
    <cfRule type="expression" dxfId="1536" priority="1617">
      <formula>K244&gt;85.5</formula>
    </cfRule>
  </conditionalFormatting>
  <conditionalFormatting sqref="L244">
    <cfRule type="expression" dxfId="1535" priority="1604">
      <formula>L$240=""</formula>
    </cfRule>
  </conditionalFormatting>
  <conditionalFormatting sqref="L244">
    <cfRule type="expression" dxfId="1534" priority="1605">
      <formula>L244="**"</formula>
    </cfRule>
    <cfRule type="expression" dxfId="1533" priority="1606">
      <formula>L244=""</formula>
    </cfRule>
    <cfRule type="expression" dxfId="1532" priority="1607">
      <formula>L244&lt;44.5</formula>
    </cfRule>
    <cfRule type="expression" dxfId="1531" priority="1608">
      <formula>L244&lt;60.5</formula>
    </cfRule>
    <cfRule type="expression" dxfId="1530" priority="1609">
      <formula>L244&lt;85.5</formula>
    </cfRule>
    <cfRule type="expression" dxfId="1529" priority="1610">
      <formula>L244&gt;85.5</formula>
    </cfRule>
  </conditionalFormatting>
  <conditionalFormatting sqref="D274">
    <cfRule type="expression" dxfId="1528" priority="1597">
      <formula>D$270=""</formula>
    </cfRule>
  </conditionalFormatting>
  <conditionalFormatting sqref="D274">
    <cfRule type="expression" dxfId="1527" priority="1598">
      <formula>D274="**"</formula>
    </cfRule>
    <cfRule type="expression" dxfId="1526" priority="1599">
      <formula>D274=""</formula>
    </cfRule>
    <cfRule type="expression" dxfId="1525" priority="1600">
      <formula>D274&lt;44.5</formula>
    </cfRule>
    <cfRule type="expression" dxfId="1524" priority="1601">
      <formula>D274&lt;60.5</formula>
    </cfRule>
    <cfRule type="expression" dxfId="1523" priority="1602">
      <formula>D274&lt;85.5</formula>
    </cfRule>
    <cfRule type="expression" dxfId="1522" priority="1603">
      <formula>D274&gt;85.5</formula>
    </cfRule>
  </conditionalFormatting>
  <conditionalFormatting sqref="E274">
    <cfRule type="expression" dxfId="1521" priority="1590">
      <formula>E$270=""</formula>
    </cfRule>
  </conditionalFormatting>
  <conditionalFormatting sqref="E274">
    <cfRule type="expression" dxfId="1520" priority="1591">
      <formula>E274="**"</formula>
    </cfRule>
    <cfRule type="expression" dxfId="1519" priority="1592">
      <formula>E274=""</formula>
    </cfRule>
    <cfRule type="expression" dxfId="1518" priority="1593">
      <formula>E274&lt;44.5</formula>
    </cfRule>
    <cfRule type="expression" dxfId="1517" priority="1594">
      <formula>E274&lt;60.5</formula>
    </cfRule>
    <cfRule type="expression" dxfId="1516" priority="1595">
      <formula>E274&lt;85.5</formula>
    </cfRule>
    <cfRule type="expression" dxfId="1515" priority="1596">
      <formula>E274&gt;85.5</formula>
    </cfRule>
  </conditionalFormatting>
  <conditionalFormatting sqref="F274">
    <cfRule type="expression" dxfId="1514" priority="1583">
      <formula>F$270=""</formula>
    </cfRule>
  </conditionalFormatting>
  <conditionalFormatting sqref="F274">
    <cfRule type="expression" dxfId="1513" priority="1584">
      <formula>F274="**"</formula>
    </cfRule>
    <cfRule type="expression" dxfId="1512" priority="1585">
      <formula>F274=""</formula>
    </cfRule>
    <cfRule type="expression" dxfId="1511" priority="1586">
      <formula>F274&lt;44.5</formula>
    </cfRule>
    <cfRule type="expression" dxfId="1510" priority="1587">
      <formula>F274&lt;60.5</formula>
    </cfRule>
    <cfRule type="expression" dxfId="1509" priority="1588">
      <formula>F274&lt;85.5</formula>
    </cfRule>
    <cfRule type="expression" dxfId="1508" priority="1589">
      <formula>F274&gt;85.5</formula>
    </cfRule>
  </conditionalFormatting>
  <conditionalFormatting sqref="G274">
    <cfRule type="expression" dxfId="1507" priority="1576">
      <formula>G$270=""</formula>
    </cfRule>
  </conditionalFormatting>
  <conditionalFormatting sqref="G274">
    <cfRule type="expression" dxfId="1506" priority="1577">
      <formula>G274="**"</formula>
    </cfRule>
    <cfRule type="expression" dxfId="1505" priority="1578">
      <formula>G274=""</formula>
    </cfRule>
    <cfRule type="expression" dxfId="1504" priority="1579">
      <formula>G274&lt;44.5</formula>
    </cfRule>
    <cfRule type="expression" dxfId="1503" priority="1580">
      <formula>G274&lt;60.5</formula>
    </cfRule>
    <cfRule type="expression" dxfId="1502" priority="1581">
      <formula>G274&lt;85.5</formula>
    </cfRule>
    <cfRule type="expression" dxfId="1501" priority="1582">
      <formula>G274&gt;85.5</formula>
    </cfRule>
  </conditionalFormatting>
  <conditionalFormatting sqref="H274">
    <cfRule type="expression" dxfId="1500" priority="1569">
      <formula>H$270=""</formula>
    </cfRule>
  </conditionalFormatting>
  <conditionalFormatting sqref="H274">
    <cfRule type="expression" dxfId="1499" priority="1570">
      <formula>H274="**"</formula>
    </cfRule>
    <cfRule type="expression" dxfId="1498" priority="1571">
      <formula>H274=""</formula>
    </cfRule>
    <cfRule type="expression" dxfId="1497" priority="1572">
      <formula>H274&lt;44.5</formula>
    </cfRule>
    <cfRule type="expression" dxfId="1496" priority="1573">
      <formula>H274&lt;60.5</formula>
    </cfRule>
    <cfRule type="expression" dxfId="1495" priority="1574">
      <formula>H274&lt;85.5</formula>
    </cfRule>
    <cfRule type="expression" dxfId="1494" priority="1575">
      <formula>H274&gt;85.5</formula>
    </cfRule>
  </conditionalFormatting>
  <conditionalFormatting sqref="I274">
    <cfRule type="expression" dxfId="1493" priority="1562">
      <formula>I$270=""</formula>
    </cfRule>
  </conditionalFormatting>
  <conditionalFormatting sqref="I274">
    <cfRule type="expression" dxfId="1492" priority="1563">
      <formula>I274="**"</formula>
    </cfRule>
    <cfRule type="expression" dxfId="1491" priority="1564">
      <formula>I274=""</formula>
    </cfRule>
    <cfRule type="expression" dxfId="1490" priority="1565">
      <formula>I274&lt;44.5</formula>
    </cfRule>
    <cfRule type="expression" dxfId="1489" priority="1566">
      <formula>I274&lt;60.5</formula>
    </cfRule>
    <cfRule type="expression" dxfId="1488" priority="1567">
      <formula>I274&lt;85.5</formula>
    </cfRule>
    <cfRule type="expression" dxfId="1487" priority="1568">
      <formula>I274&gt;85.5</formula>
    </cfRule>
  </conditionalFormatting>
  <conditionalFormatting sqref="J274">
    <cfRule type="expression" dxfId="1486" priority="1555">
      <formula>J$270=""</formula>
    </cfRule>
  </conditionalFormatting>
  <conditionalFormatting sqref="J274">
    <cfRule type="expression" dxfId="1485" priority="1556">
      <formula>J274="**"</formula>
    </cfRule>
    <cfRule type="expression" dxfId="1484" priority="1557">
      <formula>J274=""</formula>
    </cfRule>
    <cfRule type="expression" dxfId="1483" priority="1558">
      <formula>J274&lt;44.5</formula>
    </cfRule>
    <cfRule type="expression" dxfId="1482" priority="1559">
      <formula>J274&lt;60.5</formula>
    </cfRule>
    <cfRule type="expression" dxfId="1481" priority="1560">
      <formula>J274&lt;85.5</formula>
    </cfRule>
    <cfRule type="expression" dxfId="1480" priority="1561">
      <formula>J274&gt;85.5</formula>
    </cfRule>
  </conditionalFormatting>
  <conditionalFormatting sqref="K274">
    <cfRule type="expression" dxfId="1479" priority="1548">
      <formula>K$270=""</formula>
    </cfRule>
  </conditionalFormatting>
  <conditionalFormatting sqref="K274">
    <cfRule type="expression" dxfId="1478" priority="1549">
      <formula>K274="**"</formula>
    </cfRule>
    <cfRule type="expression" dxfId="1477" priority="1550">
      <formula>K274=""</formula>
    </cfRule>
    <cfRule type="expression" dxfId="1476" priority="1551">
      <formula>K274&lt;44.5</formula>
    </cfRule>
    <cfRule type="expression" dxfId="1475" priority="1552">
      <formula>K274&lt;60.5</formula>
    </cfRule>
    <cfRule type="expression" dxfId="1474" priority="1553">
      <formula>K274&lt;85.5</formula>
    </cfRule>
    <cfRule type="expression" dxfId="1473" priority="1554">
      <formula>K274&gt;85.5</formula>
    </cfRule>
  </conditionalFormatting>
  <conditionalFormatting sqref="L274">
    <cfRule type="expression" dxfId="1472" priority="1541">
      <formula>L$270=""</formula>
    </cfRule>
  </conditionalFormatting>
  <conditionalFormatting sqref="L274">
    <cfRule type="expression" dxfId="1471" priority="1542">
      <formula>L274="**"</formula>
    </cfRule>
    <cfRule type="expression" dxfId="1470" priority="1543">
      <formula>L274=""</formula>
    </cfRule>
    <cfRule type="expression" dxfId="1469" priority="1544">
      <formula>L274&lt;44.5</formula>
    </cfRule>
    <cfRule type="expression" dxfId="1468" priority="1545">
      <formula>L274&lt;60.5</formula>
    </cfRule>
    <cfRule type="expression" dxfId="1467" priority="1546">
      <formula>L274&lt;85.5</formula>
    </cfRule>
    <cfRule type="expression" dxfId="1466" priority="1547">
      <formula>L274&gt;85.5</formula>
    </cfRule>
  </conditionalFormatting>
  <conditionalFormatting sqref="D304">
    <cfRule type="expression" dxfId="1465" priority="1534">
      <formula>D$300=""</formula>
    </cfRule>
  </conditionalFormatting>
  <conditionalFormatting sqref="D304">
    <cfRule type="expression" dxfId="1464" priority="1535">
      <formula>D304="**"</formula>
    </cfRule>
    <cfRule type="expression" dxfId="1463" priority="1536">
      <formula>D304=""</formula>
    </cfRule>
    <cfRule type="expression" dxfId="1462" priority="1537">
      <formula>D304&lt;44.5</formula>
    </cfRule>
    <cfRule type="expression" dxfId="1461" priority="1538">
      <formula>D304&lt;60.5</formula>
    </cfRule>
    <cfRule type="expression" dxfId="1460" priority="1539">
      <formula>D304&lt;85.5</formula>
    </cfRule>
    <cfRule type="expression" dxfId="1459" priority="1540">
      <formula>D304&gt;85.5</formula>
    </cfRule>
  </conditionalFormatting>
  <conditionalFormatting sqref="E304">
    <cfRule type="expression" dxfId="1458" priority="1527">
      <formula>E$300=""</formula>
    </cfRule>
  </conditionalFormatting>
  <conditionalFormatting sqref="E304">
    <cfRule type="expression" dxfId="1457" priority="1528">
      <formula>E304="**"</formula>
    </cfRule>
    <cfRule type="expression" dxfId="1456" priority="1529">
      <formula>E304=""</formula>
    </cfRule>
    <cfRule type="expression" dxfId="1455" priority="1530">
      <formula>E304&lt;44.5</formula>
    </cfRule>
    <cfRule type="expression" dxfId="1454" priority="1531">
      <formula>E304&lt;60.5</formula>
    </cfRule>
    <cfRule type="expression" dxfId="1453" priority="1532">
      <formula>E304&lt;85.5</formula>
    </cfRule>
    <cfRule type="expression" dxfId="1452" priority="1533">
      <formula>E304&gt;85.5</formula>
    </cfRule>
  </conditionalFormatting>
  <conditionalFormatting sqref="F304">
    <cfRule type="expression" dxfId="1451" priority="1520">
      <formula>F$300=""</formula>
    </cfRule>
  </conditionalFormatting>
  <conditionalFormatting sqref="F304">
    <cfRule type="expression" dxfId="1450" priority="1521">
      <formula>F304="**"</formula>
    </cfRule>
    <cfRule type="expression" dxfId="1449" priority="1522">
      <formula>F304=""</formula>
    </cfRule>
    <cfRule type="expression" dxfId="1448" priority="1523">
      <formula>F304&lt;44.5</formula>
    </cfRule>
    <cfRule type="expression" dxfId="1447" priority="1524">
      <formula>F304&lt;60.5</formula>
    </cfRule>
    <cfRule type="expression" dxfId="1446" priority="1525">
      <formula>F304&lt;85.5</formula>
    </cfRule>
    <cfRule type="expression" dxfId="1445" priority="1526">
      <formula>F304&gt;85.5</formula>
    </cfRule>
  </conditionalFormatting>
  <conditionalFormatting sqref="G304">
    <cfRule type="expression" dxfId="1444" priority="1513">
      <formula>G$300=""</formula>
    </cfRule>
  </conditionalFormatting>
  <conditionalFormatting sqref="G304">
    <cfRule type="expression" dxfId="1443" priority="1514">
      <formula>G304="**"</formula>
    </cfRule>
    <cfRule type="expression" dxfId="1442" priority="1515">
      <formula>G304=""</formula>
    </cfRule>
    <cfRule type="expression" dxfId="1441" priority="1516">
      <formula>G304&lt;44.5</formula>
    </cfRule>
    <cfRule type="expression" dxfId="1440" priority="1517">
      <formula>G304&lt;60.5</formula>
    </cfRule>
    <cfRule type="expression" dxfId="1439" priority="1518">
      <formula>G304&lt;85.5</formula>
    </cfRule>
    <cfRule type="expression" dxfId="1438" priority="1519">
      <formula>G304&gt;85.5</formula>
    </cfRule>
  </conditionalFormatting>
  <conditionalFormatting sqref="H304">
    <cfRule type="expression" dxfId="1437" priority="1506">
      <formula>H$300=""</formula>
    </cfRule>
  </conditionalFormatting>
  <conditionalFormatting sqref="H304">
    <cfRule type="expression" dxfId="1436" priority="1507">
      <formula>H304="**"</formula>
    </cfRule>
    <cfRule type="expression" dxfId="1435" priority="1508">
      <formula>H304=""</formula>
    </cfRule>
    <cfRule type="expression" dxfId="1434" priority="1509">
      <formula>H304&lt;44.5</formula>
    </cfRule>
    <cfRule type="expression" dxfId="1433" priority="1510">
      <formula>H304&lt;60.5</formula>
    </cfRule>
    <cfRule type="expression" dxfId="1432" priority="1511">
      <formula>H304&lt;85.5</formula>
    </cfRule>
    <cfRule type="expression" dxfId="1431" priority="1512">
      <formula>H304&gt;85.5</formula>
    </cfRule>
  </conditionalFormatting>
  <conditionalFormatting sqref="I304">
    <cfRule type="expression" dxfId="1430" priority="1499">
      <formula>I$300=""</formula>
    </cfRule>
  </conditionalFormatting>
  <conditionalFormatting sqref="I304">
    <cfRule type="expression" dxfId="1429" priority="1500">
      <formula>I304="**"</formula>
    </cfRule>
    <cfRule type="expression" dxfId="1428" priority="1501">
      <formula>I304=""</formula>
    </cfRule>
    <cfRule type="expression" dxfId="1427" priority="1502">
      <formula>I304&lt;44.5</formula>
    </cfRule>
    <cfRule type="expression" dxfId="1426" priority="1503">
      <formula>I304&lt;60.5</formula>
    </cfRule>
    <cfRule type="expression" dxfId="1425" priority="1504">
      <formula>I304&lt;85.5</formula>
    </cfRule>
    <cfRule type="expression" dxfId="1424" priority="1505">
      <formula>I304&gt;85.5</formula>
    </cfRule>
  </conditionalFormatting>
  <conditionalFormatting sqref="J304">
    <cfRule type="expression" dxfId="1423" priority="1492">
      <formula>J$300=""</formula>
    </cfRule>
  </conditionalFormatting>
  <conditionalFormatting sqref="J304">
    <cfRule type="expression" dxfId="1422" priority="1493">
      <formula>J304="**"</formula>
    </cfRule>
    <cfRule type="expression" dxfId="1421" priority="1494">
      <formula>J304=""</formula>
    </cfRule>
    <cfRule type="expression" dxfId="1420" priority="1495">
      <formula>J304&lt;44.5</formula>
    </cfRule>
    <cfRule type="expression" dxfId="1419" priority="1496">
      <formula>J304&lt;60.5</formula>
    </cfRule>
    <cfRule type="expression" dxfId="1418" priority="1497">
      <formula>J304&lt;85.5</formula>
    </cfRule>
    <cfRule type="expression" dxfId="1417" priority="1498">
      <formula>J304&gt;85.5</formula>
    </cfRule>
  </conditionalFormatting>
  <conditionalFormatting sqref="K304">
    <cfRule type="expression" dxfId="1416" priority="1485">
      <formula>K$300=""</formula>
    </cfRule>
  </conditionalFormatting>
  <conditionalFormatting sqref="K304">
    <cfRule type="expression" dxfId="1415" priority="1486">
      <formula>K304="**"</formula>
    </cfRule>
    <cfRule type="expression" dxfId="1414" priority="1487">
      <formula>K304=""</formula>
    </cfRule>
    <cfRule type="expression" dxfId="1413" priority="1488">
      <formula>K304&lt;44.5</formula>
    </cfRule>
    <cfRule type="expression" dxfId="1412" priority="1489">
      <formula>K304&lt;60.5</formula>
    </cfRule>
    <cfRule type="expression" dxfId="1411" priority="1490">
      <formula>K304&lt;85.5</formula>
    </cfRule>
    <cfRule type="expression" dxfId="1410" priority="1491">
      <formula>K304&gt;85.5</formula>
    </cfRule>
  </conditionalFormatting>
  <conditionalFormatting sqref="L304">
    <cfRule type="expression" dxfId="1409" priority="1478">
      <formula>L$300=""</formula>
    </cfRule>
  </conditionalFormatting>
  <conditionalFormatting sqref="L304">
    <cfRule type="expression" dxfId="1408" priority="1479">
      <formula>L304="**"</formula>
    </cfRule>
    <cfRule type="expression" dxfId="1407" priority="1480">
      <formula>L304=""</formula>
    </cfRule>
    <cfRule type="expression" dxfId="1406" priority="1481">
      <formula>L304&lt;44.5</formula>
    </cfRule>
    <cfRule type="expression" dxfId="1405" priority="1482">
      <formula>L304&lt;60.5</formula>
    </cfRule>
    <cfRule type="expression" dxfId="1404" priority="1483">
      <formula>L304&lt;85.5</formula>
    </cfRule>
    <cfRule type="expression" dxfId="1403" priority="1484">
      <formula>L304&gt;85.5</formula>
    </cfRule>
  </conditionalFormatting>
  <conditionalFormatting sqref="D334">
    <cfRule type="expression" dxfId="1402" priority="1443">
      <formula>D$330=""</formula>
    </cfRule>
  </conditionalFormatting>
  <conditionalFormatting sqref="D334">
    <cfRule type="expression" dxfId="1401" priority="1444">
      <formula>D334="**"</formula>
    </cfRule>
    <cfRule type="expression" dxfId="1400" priority="1445">
      <formula>D334=""</formula>
    </cfRule>
    <cfRule type="expression" dxfId="1399" priority="1446">
      <formula>D334&lt;44.5</formula>
    </cfRule>
    <cfRule type="expression" dxfId="1398" priority="1447">
      <formula>D334&lt;60.5</formula>
    </cfRule>
    <cfRule type="expression" dxfId="1397" priority="1448">
      <formula>D334&lt;85.5</formula>
    </cfRule>
    <cfRule type="expression" dxfId="1396" priority="1449">
      <formula>D334&gt;85.5</formula>
    </cfRule>
  </conditionalFormatting>
  <conditionalFormatting sqref="E334">
    <cfRule type="expression" dxfId="1395" priority="1436">
      <formula>E$330=""</formula>
    </cfRule>
  </conditionalFormatting>
  <conditionalFormatting sqref="E334">
    <cfRule type="expression" dxfId="1394" priority="1437">
      <formula>E334="**"</formula>
    </cfRule>
    <cfRule type="expression" dxfId="1393" priority="1438">
      <formula>E334=""</formula>
    </cfRule>
    <cfRule type="expression" dxfId="1392" priority="1439">
      <formula>E334&lt;44.5</formula>
    </cfRule>
    <cfRule type="expression" dxfId="1391" priority="1440">
      <formula>E334&lt;60.5</formula>
    </cfRule>
    <cfRule type="expression" dxfId="1390" priority="1441">
      <formula>E334&lt;85.5</formula>
    </cfRule>
    <cfRule type="expression" dxfId="1389" priority="1442">
      <formula>E334&gt;85.5</formula>
    </cfRule>
  </conditionalFormatting>
  <conditionalFormatting sqref="F334">
    <cfRule type="expression" dxfId="1388" priority="1429">
      <formula>F$330=""</formula>
    </cfRule>
  </conditionalFormatting>
  <conditionalFormatting sqref="F334">
    <cfRule type="expression" dxfId="1387" priority="1430">
      <formula>F334="**"</formula>
    </cfRule>
    <cfRule type="expression" dxfId="1386" priority="1431">
      <formula>F334=""</formula>
    </cfRule>
    <cfRule type="expression" dxfId="1385" priority="1432">
      <formula>F334&lt;44.5</formula>
    </cfRule>
    <cfRule type="expression" dxfId="1384" priority="1433">
      <formula>F334&lt;60.5</formula>
    </cfRule>
    <cfRule type="expression" dxfId="1383" priority="1434">
      <formula>F334&lt;85.5</formula>
    </cfRule>
    <cfRule type="expression" dxfId="1382" priority="1435">
      <formula>F334&gt;85.5</formula>
    </cfRule>
  </conditionalFormatting>
  <conditionalFormatting sqref="G334">
    <cfRule type="expression" dxfId="1381" priority="1422">
      <formula>G$330=""</formula>
    </cfRule>
  </conditionalFormatting>
  <conditionalFormatting sqref="G334">
    <cfRule type="expression" dxfId="1380" priority="1423">
      <formula>G334="**"</formula>
    </cfRule>
    <cfRule type="expression" dxfId="1379" priority="1424">
      <formula>G334=""</formula>
    </cfRule>
    <cfRule type="expression" dxfId="1378" priority="1425">
      <formula>G334&lt;44.5</formula>
    </cfRule>
    <cfRule type="expression" dxfId="1377" priority="1426">
      <formula>G334&lt;60.5</formula>
    </cfRule>
    <cfRule type="expression" dxfId="1376" priority="1427">
      <formula>G334&lt;85.5</formula>
    </cfRule>
    <cfRule type="expression" dxfId="1375" priority="1428">
      <formula>G334&gt;85.5</formula>
    </cfRule>
  </conditionalFormatting>
  <conditionalFormatting sqref="H334">
    <cfRule type="expression" dxfId="1374" priority="1415">
      <formula>H$330=""</formula>
    </cfRule>
  </conditionalFormatting>
  <conditionalFormatting sqref="H334">
    <cfRule type="expression" dxfId="1373" priority="1416">
      <formula>H334="**"</formula>
    </cfRule>
    <cfRule type="expression" dxfId="1372" priority="1417">
      <formula>H334=""</formula>
    </cfRule>
    <cfRule type="expression" dxfId="1371" priority="1418">
      <formula>H334&lt;44.5</formula>
    </cfRule>
    <cfRule type="expression" dxfId="1370" priority="1419">
      <formula>H334&lt;60.5</formula>
    </cfRule>
    <cfRule type="expression" dxfId="1369" priority="1420">
      <formula>H334&lt;85.5</formula>
    </cfRule>
    <cfRule type="expression" dxfId="1368" priority="1421">
      <formula>H334&gt;85.5</formula>
    </cfRule>
  </conditionalFormatting>
  <conditionalFormatting sqref="I334">
    <cfRule type="expression" dxfId="1367" priority="1408">
      <formula>I$330=""</formula>
    </cfRule>
  </conditionalFormatting>
  <conditionalFormatting sqref="I334">
    <cfRule type="expression" dxfId="1366" priority="1409">
      <formula>I334="**"</formula>
    </cfRule>
    <cfRule type="expression" dxfId="1365" priority="1410">
      <formula>I334=""</formula>
    </cfRule>
    <cfRule type="expression" dxfId="1364" priority="1411">
      <formula>I334&lt;44.5</formula>
    </cfRule>
    <cfRule type="expression" dxfId="1363" priority="1412">
      <formula>I334&lt;60.5</formula>
    </cfRule>
    <cfRule type="expression" dxfId="1362" priority="1413">
      <formula>I334&lt;85.5</formula>
    </cfRule>
    <cfRule type="expression" dxfId="1361" priority="1414">
      <formula>I334&gt;85.5</formula>
    </cfRule>
  </conditionalFormatting>
  <conditionalFormatting sqref="J334">
    <cfRule type="expression" dxfId="1360" priority="1401">
      <formula>J$330=""</formula>
    </cfRule>
  </conditionalFormatting>
  <conditionalFormatting sqref="J334">
    <cfRule type="expression" dxfId="1359" priority="1402">
      <formula>J334="**"</formula>
    </cfRule>
    <cfRule type="expression" dxfId="1358" priority="1403">
      <formula>J334=""</formula>
    </cfRule>
    <cfRule type="expression" dxfId="1357" priority="1404">
      <formula>J334&lt;44.5</formula>
    </cfRule>
    <cfRule type="expression" dxfId="1356" priority="1405">
      <formula>J334&lt;60.5</formula>
    </cfRule>
    <cfRule type="expression" dxfId="1355" priority="1406">
      <formula>J334&lt;85.5</formula>
    </cfRule>
    <cfRule type="expression" dxfId="1354" priority="1407">
      <formula>J334&gt;85.5</formula>
    </cfRule>
  </conditionalFormatting>
  <conditionalFormatting sqref="K334">
    <cfRule type="expression" dxfId="1353" priority="1394">
      <formula>K$330=""</formula>
    </cfRule>
  </conditionalFormatting>
  <conditionalFormatting sqref="K334">
    <cfRule type="expression" dxfId="1352" priority="1395">
      <formula>K334="**"</formula>
    </cfRule>
    <cfRule type="expression" dxfId="1351" priority="1396">
      <formula>K334=""</formula>
    </cfRule>
    <cfRule type="expression" dxfId="1350" priority="1397">
      <formula>K334&lt;44.5</formula>
    </cfRule>
    <cfRule type="expression" dxfId="1349" priority="1398">
      <formula>K334&lt;60.5</formula>
    </cfRule>
    <cfRule type="expression" dxfId="1348" priority="1399">
      <formula>K334&lt;85.5</formula>
    </cfRule>
    <cfRule type="expression" dxfId="1347" priority="1400">
      <formula>K334&gt;85.5</formula>
    </cfRule>
  </conditionalFormatting>
  <conditionalFormatting sqref="L334">
    <cfRule type="expression" dxfId="1346" priority="1387">
      <formula>L$330=""</formula>
    </cfRule>
  </conditionalFormatting>
  <conditionalFormatting sqref="L334">
    <cfRule type="expression" dxfId="1345" priority="1388">
      <formula>L334="**"</formula>
    </cfRule>
    <cfRule type="expression" dxfId="1344" priority="1389">
      <formula>L334=""</formula>
    </cfRule>
    <cfRule type="expression" dxfId="1343" priority="1390">
      <formula>L334&lt;44.5</formula>
    </cfRule>
    <cfRule type="expression" dxfId="1342" priority="1391">
      <formula>L334&lt;60.5</formula>
    </cfRule>
    <cfRule type="expression" dxfId="1341" priority="1392">
      <formula>L334&lt;85.5</formula>
    </cfRule>
    <cfRule type="expression" dxfId="1340" priority="1393">
      <formula>L334&gt;85.5</formula>
    </cfRule>
  </conditionalFormatting>
  <conditionalFormatting sqref="D364">
    <cfRule type="expression" dxfId="1339" priority="1380">
      <formula>D$360=""</formula>
    </cfRule>
  </conditionalFormatting>
  <conditionalFormatting sqref="D364">
    <cfRule type="expression" dxfId="1338" priority="1381">
      <formula>D364="**"</formula>
    </cfRule>
    <cfRule type="expression" dxfId="1337" priority="1382">
      <formula>D364=""</formula>
    </cfRule>
    <cfRule type="expression" dxfId="1336" priority="1383">
      <formula>D364&lt;44.5</formula>
    </cfRule>
    <cfRule type="expression" dxfId="1335" priority="1384">
      <formula>D364&lt;60.5</formula>
    </cfRule>
    <cfRule type="expression" dxfId="1334" priority="1385">
      <formula>D364&lt;85.5</formula>
    </cfRule>
    <cfRule type="expression" dxfId="1333" priority="1386">
      <formula>D364&gt;85.5</formula>
    </cfRule>
  </conditionalFormatting>
  <conditionalFormatting sqref="E364">
    <cfRule type="expression" dxfId="1332" priority="1373">
      <formula>E$360=""</formula>
    </cfRule>
  </conditionalFormatting>
  <conditionalFormatting sqref="E364">
    <cfRule type="expression" dxfId="1331" priority="1374">
      <formula>E364="**"</formula>
    </cfRule>
    <cfRule type="expression" dxfId="1330" priority="1375">
      <formula>E364=""</formula>
    </cfRule>
    <cfRule type="expression" dxfId="1329" priority="1376">
      <formula>E364&lt;44.5</formula>
    </cfRule>
    <cfRule type="expression" dxfId="1328" priority="1377">
      <formula>E364&lt;60.5</formula>
    </cfRule>
    <cfRule type="expression" dxfId="1327" priority="1378">
      <formula>E364&lt;85.5</formula>
    </cfRule>
    <cfRule type="expression" dxfId="1326" priority="1379">
      <formula>E364&gt;85.5</formula>
    </cfRule>
  </conditionalFormatting>
  <conditionalFormatting sqref="F364">
    <cfRule type="expression" dxfId="1325" priority="1366">
      <formula>F$360=""</formula>
    </cfRule>
  </conditionalFormatting>
  <conditionalFormatting sqref="F364">
    <cfRule type="expression" dxfId="1324" priority="1367">
      <formula>F364="**"</formula>
    </cfRule>
    <cfRule type="expression" dxfId="1323" priority="1368">
      <formula>F364=""</formula>
    </cfRule>
    <cfRule type="expression" dxfId="1322" priority="1369">
      <formula>F364&lt;44.5</formula>
    </cfRule>
    <cfRule type="expression" dxfId="1321" priority="1370">
      <formula>F364&lt;60.5</formula>
    </cfRule>
    <cfRule type="expression" dxfId="1320" priority="1371">
      <formula>F364&lt;85.5</formula>
    </cfRule>
    <cfRule type="expression" dxfId="1319" priority="1372">
      <formula>F364&gt;85.5</formula>
    </cfRule>
  </conditionalFormatting>
  <conditionalFormatting sqref="G364">
    <cfRule type="expression" dxfId="1318" priority="1359">
      <formula>G$360=""</formula>
    </cfRule>
  </conditionalFormatting>
  <conditionalFormatting sqref="G364">
    <cfRule type="expression" dxfId="1317" priority="1360">
      <formula>G364="**"</formula>
    </cfRule>
    <cfRule type="expression" dxfId="1316" priority="1361">
      <formula>G364=""</formula>
    </cfRule>
    <cfRule type="expression" dxfId="1315" priority="1362">
      <formula>G364&lt;44.5</formula>
    </cfRule>
    <cfRule type="expression" dxfId="1314" priority="1363">
      <formula>G364&lt;60.5</formula>
    </cfRule>
    <cfRule type="expression" dxfId="1313" priority="1364">
      <formula>G364&lt;85.5</formula>
    </cfRule>
    <cfRule type="expression" dxfId="1312" priority="1365">
      <formula>G364&gt;85.5</formula>
    </cfRule>
  </conditionalFormatting>
  <conditionalFormatting sqref="H364">
    <cfRule type="expression" dxfId="1311" priority="1352">
      <formula>H$360=""</formula>
    </cfRule>
  </conditionalFormatting>
  <conditionalFormatting sqref="H364">
    <cfRule type="expression" dxfId="1310" priority="1353">
      <formula>H364="**"</formula>
    </cfRule>
    <cfRule type="expression" dxfId="1309" priority="1354">
      <formula>H364=""</formula>
    </cfRule>
    <cfRule type="expression" dxfId="1308" priority="1355">
      <formula>H364&lt;44.5</formula>
    </cfRule>
    <cfRule type="expression" dxfId="1307" priority="1356">
      <formula>H364&lt;60.5</formula>
    </cfRule>
    <cfRule type="expression" dxfId="1306" priority="1357">
      <formula>H364&lt;85.5</formula>
    </cfRule>
    <cfRule type="expression" dxfId="1305" priority="1358">
      <formula>H364&gt;85.5</formula>
    </cfRule>
  </conditionalFormatting>
  <conditionalFormatting sqref="I364">
    <cfRule type="expression" dxfId="1304" priority="1345">
      <formula>I$360=""</formula>
    </cfRule>
  </conditionalFormatting>
  <conditionalFormatting sqref="I364">
    <cfRule type="expression" dxfId="1303" priority="1346">
      <formula>I364="**"</formula>
    </cfRule>
    <cfRule type="expression" dxfId="1302" priority="1347">
      <formula>I364=""</formula>
    </cfRule>
    <cfRule type="expression" dxfId="1301" priority="1348">
      <formula>I364&lt;44.5</formula>
    </cfRule>
    <cfRule type="expression" dxfId="1300" priority="1349">
      <formula>I364&lt;60.5</formula>
    </cfRule>
    <cfRule type="expression" dxfId="1299" priority="1350">
      <formula>I364&lt;85.5</formula>
    </cfRule>
    <cfRule type="expression" dxfId="1298" priority="1351">
      <formula>I364&gt;85.5</formula>
    </cfRule>
  </conditionalFormatting>
  <conditionalFormatting sqref="J364">
    <cfRule type="expression" dxfId="1297" priority="1338">
      <formula>J$360=""</formula>
    </cfRule>
  </conditionalFormatting>
  <conditionalFormatting sqref="J364">
    <cfRule type="expression" dxfId="1296" priority="1339">
      <formula>J364="**"</formula>
    </cfRule>
    <cfRule type="expression" dxfId="1295" priority="1340">
      <formula>J364=""</formula>
    </cfRule>
    <cfRule type="expression" dxfId="1294" priority="1341">
      <formula>J364&lt;44.5</formula>
    </cfRule>
    <cfRule type="expression" dxfId="1293" priority="1342">
      <formula>J364&lt;60.5</formula>
    </cfRule>
    <cfRule type="expression" dxfId="1292" priority="1343">
      <formula>J364&lt;85.5</formula>
    </cfRule>
    <cfRule type="expression" dxfId="1291" priority="1344">
      <formula>J364&gt;85.5</formula>
    </cfRule>
  </conditionalFormatting>
  <conditionalFormatting sqref="K364">
    <cfRule type="expression" dxfId="1290" priority="1331">
      <formula>K$360=""</formula>
    </cfRule>
  </conditionalFormatting>
  <conditionalFormatting sqref="K364">
    <cfRule type="expression" dxfId="1289" priority="1332">
      <formula>K364="**"</formula>
    </cfRule>
    <cfRule type="expression" dxfId="1288" priority="1333">
      <formula>K364=""</formula>
    </cfRule>
    <cfRule type="expression" dxfId="1287" priority="1334">
      <formula>K364&lt;44.5</formula>
    </cfRule>
    <cfRule type="expression" dxfId="1286" priority="1335">
      <formula>K364&lt;60.5</formula>
    </cfRule>
    <cfRule type="expression" dxfId="1285" priority="1336">
      <formula>K364&lt;85.5</formula>
    </cfRule>
    <cfRule type="expression" dxfId="1284" priority="1337">
      <formula>K364&gt;85.5</formula>
    </cfRule>
  </conditionalFormatting>
  <conditionalFormatting sqref="L364">
    <cfRule type="expression" dxfId="1283" priority="1324">
      <formula>L$360=""</formula>
    </cfRule>
  </conditionalFormatting>
  <conditionalFormatting sqref="L364">
    <cfRule type="expression" dxfId="1282" priority="1325">
      <formula>L364="**"</formula>
    </cfRule>
    <cfRule type="expression" dxfId="1281" priority="1326">
      <formula>L364=""</formula>
    </cfRule>
    <cfRule type="expression" dxfId="1280" priority="1327">
      <formula>L364&lt;44.5</formula>
    </cfRule>
    <cfRule type="expression" dxfId="1279" priority="1328">
      <formula>L364&lt;60.5</formula>
    </cfRule>
    <cfRule type="expression" dxfId="1278" priority="1329">
      <formula>L364&lt;85.5</formula>
    </cfRule>
    <cfRule type="expression" dxfId="1277" priority="1330">
      <formula>L364&gt;85.5</formula>
    </cfRule>
  </conditionalFormatting>
  <conditionalFormatting sqref="D394">
    <cfRule type="expression" dxfId="1276" priority="1317">
      <formula>D$390=""</formula>
    </cfRule>
  </conditionalFormatting>
  <conditionalFormatting sqref="D394">
    <cfRule type="expression" dxfId="1275" priority="1318">
      <formula>D394="**"</formula>
    </cfRule>
    <cfRule type="expression" dxfId="1274" priority="1319">
      <formula>D394=""</formula>
    </cfRule>
    <cfRule type="expression" dxfId="1273" priority="1320">
      <formula>D394&lt;44.5</formula>
    </cfRule>
    <cfRule type="expression" dxfId="1272" priority="1321">
      <formula>D394&lt;60.5</formula>
    </cfRule>
    <cfRule type="expression" dxfId="1271" priority="1322">
      <formula>D394&lt;85.5</formula>
    </cfRule>
    <cfRule type="expression" dxfId="1270" priority="1323">
      <formula>D394&gt;85.5</formula>
    </cfRule>
  </conditionalFormatting>
  <conditionalFormatting sqref="E394">
    <cfRule type="expression" dxfId="1269" priority="1310">
      <formula>E$390=""</formula>
    </cfRule>
  </conditionalFormatting>
  <conditionalFormatting sqref="E394">
    <cfRule type="expression" dxfId="1268" priority="1311">
      <formula>E394="**"</formula>
    </cfRule>
    <cfRule type="expression" dxfId="1267" priority="1312">
      <formula>E394=""</formula>
    </cfRule>
    <cfRule type="expression" dxfId="1266" priority="1313">
      <formula>E394&lt;44.5</formula>
    </cfRule>
    <cfRule type="expression" dxfId="1265" priority="1314">
      <formula>E394&lt;60.5</formula>
    </cfRule>
    <cfRule type="expression" dxfId="1264" priority="1315">
      <formula>E394&lt;85.5</formula>
    </cfRule>
    <cfRule type="expression" dxfId="1263" priority="1316">
      <formula>E394&gt;85.5</formula>
    </cfRule>
  </conditionalFormatting>
  <conditionalFormatting sqref="F394">
    <cfRule type="expression" dxfId="1262" priority="1303">
      <formula>F$390=""</formula>
    </cfRule>
  </conditionalFormatting>
  <conditionalFormatting sqref="F394">
    <cfRule type="expression" dxfId="1261" priority="1304">
      <formula>F394="**"</formula>
    </cfRule>
    <cfRule type="expression" dxfId="1260" priority="1305">
      <formula>F394=""</formula>
    </cfRule>
    <cfRule type="expression" dxfId="1259" priority="1306">
      <formula>F394&lt;44.5</formula>
    </cfRule>
    <cfRule type="expression" dxfId="1258" priority="1307">
      <formula>F394&lt;60.5</formula>
    </cfRule>
    <cfRule type="expression" dxfId="1257" priority="1308">
      <formula>F394&lt;85.5</formula>
    </cfRule>
    <cfRule type="expression" dxfId="1256" priority="1309">
      <formula>F394&gt;85.5</formula>
    </cfRule>
  </conditionalFormatting>
  <conditionalFormatting sqref="G394">
    <cfRule type="expression" dxfId="1255" priority="1296">
      <formula>G$390=""</formula>
    </cfRule>
  </conditionalFormatting>
  <conditionalFormatting sqref="G394">
    <cfRule type="expression" dxfId="1254" priority="1297">
      <formula>G394="**"</formula>
    </cfRule>
    <cfRule type="expression" dxfId="1253" priority="1298">
      <formula>G394=""</formula>
    </cfRule>
    <cfRule type="expression" dxfId="1252" priority="1299">
      <formula>G394&lt;44.5</formula>
    </cfRule>
    <cfRule type="expression" dxfId="1251" priority="1300">
      <formula>G394&lt;60.5</formula>
    </cfRule>
    <cfRule type="expression" dxfId="1250" priority="1301">
      <formula>G394&lt;85.5</formula>
    </cfRule>
    <cfRule type="expression" dxfId="1249" priority="1302">
      <formula>G394&gt;85.5</formula>
    </cfRule>
  </conditionalFormatting>
  <conditionalFormatting sqref="H394">
    <cfRule type="expression" dxfId="1248" priority="1289">
      <formula>H$390=""</formula>
    </cfRule>
  </conditionalFormatting>
  <conditionalFormatting sqref="H394">
    <cfRule type="expression" dxfId="1247" priority="1290">
      <formula>H394="**"</formula>
    </cfRule>
    <cfRule type="expression" dxfId="1246" priority="1291">
      <formula>H394=""</formula>
    </cfRule>
    <cfRule type="expression" dxfId="1245" priority="1292">
      <formula>H394&lt;44.5</formula>
    </cfRule>
    <cfRule type="expression" dxfId="1244" priority="1293">
      <formula>H394&lt;60.5</formula>
    </cfRule>
    <cfRule type="expression" dxfId="1243" priority="1294">
      <formula>H394&lt;85.5</formula>
    </cfRule>
    <cfRule type="expression" dxfId="1242" priority="1295">
      <formula>H394&gt;85.5</formula>
    </cfRule>
  </conditionalFormatting>
  <conditionalFormatting sqref="I394">
    <cfRule type="expression" dxfId="1241" priority="1282">
      <formula>I$390=""</formula>
    </cfRule>
  </conditionalFormatting>
  <conditionalFormatting sqref="I394">
    <cfRule type="expression" dxfId="1240" priority="1283">
      <formula>I394="**"</formula>
    </cfRule>
    <cfRule type="expression" dxfId="1239" priority="1284">
      <formula>I394=""</formula>
    </cfRule>
    <cfRule type="expression" dxfId="1238" priority="1285">
      <formula>I394&lt;44.5</formula>
    </cfRule>
    <cfRule type="expression" dxfId="1237" priority="1286">
      <formula>I394&lt;60.5</formula>
    </cfRule>
    <cfRule type="expression" dxfId="1236" priority="1287">
      <formula>I394&lt;85.5</formula>
    </cfRule>
    <cfRule type="expression" dxfId="1235" priority="1288">
      <formula>I394&gt;85.5</formula>
    </cfRule>
  </conditionalFormatting>
  <conditionalFormatting sqref="J394">
    <cfRule type="expression" dxfId="1234" priority="1275">
      <formula>J$390=""</formula>
    </cfRule>
  </conditionalFormatting>
  <conditionalFormatting sqref="J394">
    <cfRule type="expression" dxfId="1233" priority="1276">
      <formula>J394="**"</formula>
    </cfRule>
    <cfRule type="expression" dxfId="1232" priority="1277">
      <formula>J394=""</formula>
    </cfRule>
    <cfRule type="expression" dxfId="1231" priority="1278">
      <formula>J394&lt;44.5</formula>
    </cfRule>
    <cfRule type="expression" dxfId="1230" priority="1279">
      <formula>J394&lt;60.5</formula>
    </cfRule>
    <cfRule type="expression" dxfId="1229" priority="1280">
      <formula>J394&lt;85.5</formula>
    </cfRule>
    <cfRule type="expression" dxfId="1228" priority="1281">
      <formula>J394&gt;85.5</formula>
    </cfRule>
  </conditionalFormatting>
  <conditionalFormatting sqref="K394">
    <cfRule type="expression" dxfId="1227" priority="1268">
      <formula>K$390=""</formula>
    </cfRule>
  </conditionalFormatting>
  <conditionalFormatting sqref="K394">
    <cfRule type="expression" dxfId="1226" priority="1269">
      <formula>K394="**"</formula>
    </cfRule>
    <cfRule type="expression" dxfId="1225" priority="1270">
      <formula>K394=""</formula>
    </cfRule>
    <cfRule type="expression" dxfId="1224" priority="1271">
      <formula>K394&lt;44.5</formula>
    </cfRule>
    <cfRule type="expression" dxfId="1223" priority="1272">
      <formula>K394&lt;60.5</formula>
    </cfRule>
    <cfRule type="expression" dxfId="1222" priority="1273">
      <formula>K394&lt;85.5</formula>
    </cfRule>
    <cfRule type="expression" dxfId="1221" priority="1274">
      <formula>K394&gt;85.5</formula>
    </cfRule>
  </conditionalFormatting>
  <conditionalFormatting sqref="L394">
    <cfRule type="expression" dxfId="1220" priority="1261">
      <formula>L$390=""</formula>
    </cfRule>
  </conditionalFormatting>
  <conditionalFormatting sqref="L394">
    <cfRule type="expression" dxfId="1219" priority="1262">
      <formula>L394="**"</formula>
    </cfRule>
    <cfRule type="expression" dxfId="1218" priority="1263">
      <formula>L394=""</formula>
    </cfRule>
    <cfRule type="expression" dxfId="1217" priority="1264">
      <formula>L394&lt;44.5</formula>
    </cfRule>
    <cfRule type="expression" dxfId="1216" priority="1265">
      <formula>L394&lt;60.5</formula>
    </cfRule>
    <cfRule type="expression" dxfId="1215" priority="1266">
      <formula>L394&lt;85.5</formula>
    </cfRule>
    <cfRule type="expression" dxfId="1214" priority="1267">
      <formula>L394&gt;85.5</formula>
    </cfRule>
  </conditionalFormatting>
  <conditionalFormatting sqref="D424">
    <cfRule type="expression" dxfId="1213" priority="1254">
      <formula>D$420=""</formula>
    </cfRule>
  </conditionalFormatting>
  <conditionalFormatting sqref="D424">
    <cfRule type="expression" dxfId="1212" priority="1255">
      <formula>D424="**"</formula>
    </cfRule>
    <cfRule type="expression" dxfId="1211" priority="1256">
      <formula>D424=""</formula>
    </cfRule>
    <cfRule type="expression" dxfId="1210" priority="1257">
      <formula>D424&lt;44.5</formula>
    </cfRule>
    <cfRule type="expression" dxfId="1209" priority="1258">
      <formula>D424&lt;60.5</formula>
    </cfRule>
    <cfRule type="expression" dxfId="1208" priority="1259">
      <formula>D424&lt;85.5</formula>
    </cfRule>
    <cfRule type="expression" dxfId="1207" priority="1260">
      <formula>D424&gt;85.5</formula>
    </cfRule>
  </conditionalFormatting>
  <conditionalFormatting sqref="E424">
    <cfRule type="expression" dxfId="1206" priority="1247">
      <formula>E$420=""</formula>
    </cfRule>
  </conditionalFormatting>
  <conditionalFormatting sqref="E424">
    <cfRule type="expression" dxfId="1205" priority="1248">
      <formula>E424="**"</formula>
    </cfRule>
    <cfRule type="expression" dxfId="1204" priority="1249">
      <formula>E424=""</formula>
    </cfRule>
    <cfRule type="expression" dxfId="1203" priority="1250">
      <formula>E424&lt;44.5</formula>
    </cfRule>
    <cfRule type="expression" dxfId="1202" priority="1251">
      <formula>E424&lt;60.5</formula>
    </cfRule>
    <cfRule type="expression" dxfId="1201" priority="1252">
      <formula>E424&lt;85.5</formula>
    </cfRule>
    <cfRule type="expression" dxfId="1200" priority="1253">
      <formula>E424&gt;85.5</formula>
    </cfRule>
  </conditionalFormatting>
  <conditionalFormatting sqref="F424">
    <cfRule type="expression" dxfId="1199" priority="1240">
      <formula>F$420=""</formula>
    </cfRule>
  </conditionalFormatting>
  <conditionalFormatting sqref="F424">
    <cfRule type="expression" dxfId="1198" priority="1241">
      <formula>F424="**"</formula>
    </cfRule>
    <cfRule type="expression" dxfId="1197" priority="1242">
      <formula>F424=""</formula>
    </cfRule>
    <cfRule type="expression" dxfId="1196" priority="1243">
      <formula>F424&lt;44.5</formula>
    </cfRule>
    <cfRule type="expression" dxfId="1195" priority="1244">
      <formula>F424&lt;60.5</formula>
    </cfRule>
    <cfRule type="expression" dxfId="1194" priority="1245">
      <formula>F424&lt;85.5</formula>
    </cfRule>
    <cfRule type="expression" dxfId="1193" priority="1246">
      <formula>F424&gt;85.5</formula>
    </cfRule>
  </conditionalFormatting>
  <conditionalFormatting sqref="G424">
    <cfRule type="expression" dxfId="1192" priority="1233">
      <formula>G$420=""</formula>
    </cfRule>
  </conditionalFormatting>
  <conditionalFormatting sqref="G424">
    <cfRule type="expression" dxfId="1191" priority="1234">
      <formula>G424="**"</formula>
    </cfRule>
    <cfRule type="expression" dxfId="1190" priority="1235">
      <formula>G424=""</formula>
    </cfRule>
    <cfRule type="expression" dxfId="1189" priority="1236">
      <formula>G424&lt;44.5</formula>
    </cfRule>
    <cfRule type="expression" dxfId="1188" priority="1237">
      <formula>G424&lt;60.5</formula>
    </cfRule>
    <cfRule type="expression" dxfId="1187" priority="1238">
      <formula>G424&lt;85.5</formula>
    </cfRule>
    <cfRule type="expression" dxfId="1186" priority="1239">
      <formula>G424&gt;85.5</formula>
    </cfRule>
  </conditionalFormatting>
  <conditionalFormatting sqref="H424">
    <cfRule type="expression" dxfId="1185" priority="1226">
      <formula>H$420=""</formula>
    </cfRule>
  </conditionalFormatting>
  <conditionalFormatting sqref="H424">
    <cfRule type="expression" dxfId="1184" priority="1227">
      <formula>H424="**"</formula>
    </cfRule>
    <cfRule type="expression" dxfId="1183" priority="1228">
      <formula>H424=""</formula>
    </cfRule>
    <cfRule type="expression" dxfId="1182" priority="1229">
      <formula>H424&lt;44.5</formula>
    </cfRule>
    <cfRule type="expression" dxfId="1181" priority="1230">
      <formula>H424&lt;60.5</formula>
    </cfRule>
    <cfRule type="expression" dxfId="1180" priority="1231">
      <formula>H424&lt;85.5</formula>
    </cfRule>
    <cfRule type="expression" dxfId="1179" priority="1232">
      <formula>H424&gt;85.5</formula>
    </cfRule>
  </conditionalFormatting>
  <conditionalFormatting sqref="I424">
    <cfRule type="expression" dxfId="1178" priority="1219">
      <formula>I$420=""</formula>
    </cfRule>
  </conditionalFormatting>
  <conditionalFormatting sqref="I424">
    <cfRule type="expression" dxfId="1177" priority="1220">
      <formula>I424="**"</formula>
    </cfRule>
    <cfRule type="expression" dxfId="1176" priority="1221">
      <formula>I424=""</formula>
    </cfRule>
    <cfRule type="expression" dxfId="1175" priority="1222">
      <formula>I424&lt;44.5</formula>
    </cfRule>
    <cfRule type="expression" dxfId="1174" priority="1223">
      <formula>I424&lt;60.5</formula>
    </cfRule>
    <cfRule type="expression" dxfId="1173" priority="1224">
      <formula>I424&lt;85.5</formula>
    </cfRule>
    <cfRule type="expression" dxfId="1172" priority="1225">
      <formula>I424&gt;85.5</formula>
    </cfRule>
  </conditionalFormatting>
  <conditionalFormatting sqref="J424">
    <cfRule type="expression" dxfId="1171" priority="1212">
      <formula>J$420=""</formula>
    </cfRule>
  </conditionalFormatting>
  <conditionalFormatting sqref="J424">
    <cfRule type="expression" dxfId="1170" priority="1213">
      <formula>J424="**"</formula>
    </cfRule>
    <cfRule type="expression" dxfId="1169" priority="1214">
      <formula>J424=""</formula>
    </cfRule>
    <cfRule type="expression" dxfId="1168" priority="1215">
      <formula>J424&lt;44.5</formula>
    </cfRule>
    <cfRule type="expression" dxfId="1167" priority="1216">
      <formula>J424&lt;60.5</formula>
    </cfRule>
    <cfRule type="expression" dxfId="1166" priority="1217">
      <formula>J424&lt;85.5</formula>
    </cfRule>
    <cfRule type="expression" dxfId="1165" priority="1218">
      <formula>J424&gt;85.5</formula>
    </cfRule>
  </conditionalFormatting>
  <conditionalFormatting sqref="K424">
    <cfRule type="expression" dxfId="1164" priority="1205">
      <formula>K$420=""</formula>
    </cfRule>
  </conditionalFormatting>
  <conditionalFormatting sqref="K424">
    <cfRule type="expression" dxfId="1163" priority="1206">
      <formula>K424="**"</formula>
    </cfRule>
    <cfRule type="expression" dxfId="1162" priority="1207">
      <formula>K424=""</formula>
    </cfRule>
    <cfRule type="expression" dxfId="1161" priority="1208">
      <formula>K424&lt;44.5</formula>
    </cfRule>
    <cfRule type="expression" dxfId="1160" priority="1209">
      <formula>K424&lt;60.5</formula>
    </cfRule>
    <cfRule type="expression" dxfId="1159" priority="1210">
      <formula>K424&lt;85.5</formula>
    </cfRule>
    <cfRule type="expression" dxfId="1158" priority="1211">
      <formula>K424&gt;85.5</formula>
    </cfRule>
  </conditionalFormatting>
  <conditionalFormatting sqref="L424">
    <cfRule type="expression" dxfId="1157" priority="1198">
      <formula>L$420=""</formula>
    </cfRule>
  </conditionalFormatting>
  <conditionalFormatting sqref="L424">
    <cfRule type="expression" dxfId="1156" priority="1199">
      <formula>L424="**"</formula>
    </cfRule>
    <cfRule type="expression" dxfId="1155" priority="1200">
      <formula>L424=""</formula>
    </cfRule>
    <cfRule type="expression" dxfId="1154" priority="1201">
      <formula>L424&lt;44.5</formula>
    </cfRule>
    <cfRule type="expression" dxfId="1153" priority="1202">
      <formula>L424&lt;60.5</formula>
    </cfRule>
    <cfRule type="expression" dxfId="1152" priority="1203">
      <formula>L424&lt;85.5</formula>
    </cfRule>
    <cfRule type="expression" dxfId="1151" priority="1204">
      <formula>L424&gt;85.5</formula>
    </cfRule>
  </conditionalFormatting>
  <conditionalFormatting sqref="D454">
    <cfRule type="expression" dxfId="1150" priority="1191">
      <formula>D$450=""</formula>
    </cfRule>
  </conditionalFormatting>
  <conditionalFormatting sqref="D454">
    <cfRule type="expression" dxfId="1149" priority="1192">
      <formula>D454="**"</formula>
    </cfRule>
    <cfRule type="expression" dxfId="1148" priority="1193">
      <formula>D454=""</formula>
    </cfRule>
    <cfRule type="expression" dxfId="1147" priority="1194">
      <formula>D454&lt;44.5</formula>
    </cfRule>
    <cfRule type="expression" dxfId="1146" priority="1195">
      <formula>D454&lt;60.5</formula>
    </cfRule>
    <cfRule type="expression" dxfId="1145" priority="1196">
      <formula>D454&lt;85.5</formula>
    </cfRule>
    <cfRule type="expression" dxfId="1144" priority="1197">
      <formula>D454&gt;85.5</formula>
    </cfRule>
  </conditionalFormatting>
  <conditionalFormatting sqref="E454">
    <cfRule type="expression" dxfId="1143" priority="1184">
      <formula>E$450=""</formula>
    </cfRule>
  </conditionalFormatting>
  <conditionalFormatting sqref="E454">
    <cfRule type="expression" dxfId="1142" priority="1185">
      <formula>E454="**"</formula>
    </cfRule>
    <cfRule type="expression" dxfId="1141" priority="1186">
      <formula>E454=""</formula>
    </cfRule>
    <cfRule type="expression" dxfId="1140" priority="1187">
      <formula>E454&lt;44.5</formula>
    </cfRule>
    <cfRule type="expression" dxfId="1139" priority="1188">
      <formula>E454&lt;60.5</formula>
    </cfRule>
    <cfRule type="expression" dxfId="1138" priority="1189">
      <formula>E454&lt;85.5</formula>
    </cfRule>
    <cfRule type="expression" dxfId="1137" priority="1190">
      <formula>E454&gt;85.5</formula>
    </cfRule>
  </conditionalFormatting>
  <conditionalFormatting sqref="F454">
    <cfRule type="expression" dxfId="1136" priority="1177">
      <formula>F$450=""</formula>
    </cfRule>
  </conditionalFormatting>
  <conditionalFormatting sqref="F454">
    <cfRule type="expression" dxfId="1135" priority="1178">
      <formula>F454="**"</formula>
    </cfRule>
    <cfRule type="expression" dxfId="1134" priority="1179">
      <formula>F454=""</formula>
    </cfRule>
    <cfRule type="expression" dxfId="1133" priority="1180">
      <formula>F454&lt;44.5</formula>
    </cfRule>
    <cfRule type="expression" dxfId="1132" priority="1181">
      <formula>F454&lt;60.5</formula>
    </cfRule>
    <cfRule type="expression" dxfId="1131" priority="1182">
      <formula>F454&lt;85.5</formula>
    </cfRule>
    <cfRule type="expression" dxfId="1130" priority="1183">
      <formula>F454&gt;85.5</formula>
    </cfRule>
  </conditionalFormatting>
  <conditionalFormatting sqref="G454">
    <cfRule type="expression" dxfId="1129" priority="1170">
      <formula>G$450=""</formula>
    </cfRule>
  </conditionalFormatting>
  <conditionalFormatting sqref="G454">
    <cfRule type="expression" dxfId="1128" priority="1171">
      <formula>G454="**"</formula>
    </cfRule>
    <cfRule type="expression" dxfId="1127" priority="1172">
      <formula>G454=""</formula>
    </cfRule>
    <cfRule type="expression" dxfId="1126" priority="1173">
      <formula>G454&lt;44.5</formula>
    </cfRule>
    <cfRule type="expression" dxfId="1125" priority="1174">
      <formula>G454&lt;60.5</formula>
    </cfRule>
    <cfRule type="expression" dxfId="1124" priority="1175">
      <formula>G454&lt;85.5</formula>
    </cfRule>
    <cfRule type="expression" dxfId="1123" priority="1176">
      <formula>G454&gt;85.5</formula>
    </cfRule>
  </conditionalFormatting>
  <conditionalFormatting sqref="H454">
    <cfRule type="expression" dxfId="1122" priority="1163">
      <formula>H$450=""</formula>
    </cfRule>
  </conditionalFormatting>
  <conditionalFormatting sqref="H454">
    <cfRule type="expression" dxfId="1121" priority="1164">
      <formula>H454="**"</formula>
    </cfRule>
    <cfRule type="expression" dxfId="1120" priority="1165">
      <formula>H454=""</formula>
    </cfRule>
    <cfRule type="expression" dxfId="1119" priority="1166">
      <formula>H454&lt;44.5</formula>
    </cfRule>
    <cfRule type="expression" dxfId="1118" priority="1167">
      <formula>H454&lt;60.5</formula>
    </cfRule>
    <cfRule type="expression" dxfId="1117" priority="1168">
      <formula>H454&lt;85.5</formula>
    </cfRule>
    <cfRule type="expression" dxfId="1116" priority="1169">
      <formula>H454&gt;85.5</formula>
    </cfRule>
  </conditionalFormatting>
  <conditionalFormatting sqref="I454">
    <cfRule type="expression" dxfId="1115" priority="1156">
      <formula>I$450=""</formula>
    </cfRule>
  </conditionalFormatting>
  <conditionalFormatting sqref="I454">
    <cfRule type="expression" dxfId="1114" priority="1157">
      <formula>I454="**"</formula>
    </cfRule>
    <cfRule type="expression" dxfId="1113" priority="1158">
      <formula>I454=""</formula>
    </cfRule>
    <cfRule type="expression" dxfId="1112" priority="1159">
      <formula>I454&lt;44.5</formula>
    </cfRule>
    <cfRule type="expression" dxfId="1111" priority="1160">
      <formula>I454&lt;60.5</formula>
    </cfRule>
    <cfRule type="expression" dxfId="1110" priority="1161">
      <formula>I454&lt;85.5</formula>
    </cfRule>
    <cfRule type="expression" dxfId="1109" priority="1162">
      <formula>I454&gt;85.5</formula>
    </cfRule>
  </conditionalFormatting>
  <conditionalFormatting sqref="J454">
    <cfRule type="expression" dxfId="1108" priority="1135">
      <formula>J$450=""</formula>
    </cfRule>
  </conditionalFormatting>
  <conditionalFormatting sqref="J454">
    <cfRule type="expression" dxfId="1107" priority="1136">
      <formula>J454="**"</formula>
    </cfRule>
    <cfRule type="expression" dxfId="1106" priority="1137">
      <formula>J454=""</formula>
    </cfRule>
    <cfRule type="expression" dxfId="1105" priority="1138">
      <formula>J454&lt;44.5</formula>
    </cfRule>
    <cfRule type="expression" dxfId="1104" priority="1139">
      <formula>J454&lt;60.5</formula>
    </cfRule>
    <cfRule type="expression" dxfId="1103" priority="1140">
      <formula>J454&lt;85.5</formula>
    </cfRule>
    <cfRule type="expression" dxfId="1102" priority="1141">
      <formula>J454&gt;85.5</formula>
    </cfRule>
  </conditionalFormatting>
  <conditionalFormatting sqref="K454">
    <cfRule type="expression" dxfId="1101" priority="1128">
      <formula>K$450=""</formula>
    </cfRule>
  </conditionalFormatting>
  <conditionalFormatting sqref="K454">
    <cfRule type="expression" dxfId="1100" priority="1129">
      <formula>K454="**"</formula>
    </cfRule>
    <cfRule type="expression" dxfId="1099" priority="1130">
      <formula>K454=""</formula>
    </cfRule>
    <cfRule type="expression" dxfId="1098" priority="1131">
      <formula>K454&lt;44.5</formula>
    </cfRule>
    <cfRule type="expression" dxfId="1097" priority="1132">
      <formula>K454&lt;60.5</formula>
    </cfRule>
    <cfRule type="expression" dxfId="1096" priority="1133">
      <formula>K454&lt;85.5</formula>
    </cfRule>
    <cfRule type="expression" dxfId="1095" priority="1134">
      <formula>K454&gt;85.5</formula>
    </cfRule>
  </conditionalFormatting>
  <conditionalFormatting sqref="L454">
    <cfRule type="expression" dxfId="1094" priority="1121">
      <formula>L$450=""</formula>
    </cfRule>
  </conditionalFormatting>
  <conditionalFormatting sqref="L454">
    <cfRule type="expression" dxfId="1093" priority="1122">
      <formula>L454="**"</formula>
    </cfRule>
    <cfRule type="expression" dxfId="1092" priority="1123">
      <formula>L454=""</formula>
    </cfRule>
    <cfRule type="expression" dxfId="1091" priority="1124">
      <formula>L454&lt;44.5</formula>
    </cfRule>
    <cfRule type="expression" dxfId="1090" priority="1125">
      <formula>L454&lt;60.5</formula>
    </cfRule>
    <cfRule type="expression" dxfId="1089" priority="1126">
      <formula>L454&lt;85.5</formula>
    </cfRule>
    <cfRule type="expression" dxfId="1088" priority="1127">
      <formula>L454&gt;85.5</formula>
    </cfRule>
  </conditionalFormatting>
  <conditionalFormatting sqref="D484">
    <cfRule type="expression" dxfId="1087" priority="1114">
      <formula>D$480=""</formula>
    </cfRule>
  </conditionalFormatting>
  <conditionalFormatting sqref="D484">
    <cfRule type="expression" dxfId="1086" priority="1115">
      <formula>D484="**"</formula>
    </cfRule>
    <cfRule type="expression" dxfId="1085" priority="1116">
      <formula>D484=""</formula>
    </cfRule>
    <cfRule type="expression" dxfId="1084" priority="1117">
      <formula>D484&lt;44.5</formula>
    </cfRule>
    <cfRule type="expression" dxfId="1083" priority="1118">
      <formula>D484&lt;60.5</formula>
    </cfRule>
    <cfRule type="expression" dxfId="1082" priority="1119">
      <formula>D484&lt;85.5</formula>
    </cfRule>
    <cfRule type="expression" dxfId="1081" priority="1120">
      <formula>D484&gt;85.5</formula>
    </cfRule>
  </conditionalFormatting>
  <conditionalFormatting sqref="E484">
    <cfRule type="expression" dxfId="1080" priority="1107">
      <formula>E$480=""</formula>
    </cfRule>
  </conditionalFormatting>
  <conditionalFormatting sqref="E484">
    <cfRule type="expression" dxfId="1079" priority="1108">
      <formula>E484="**"</formula>
    </cfRule>
    <cfRule type="expression" dxfId="1078" priority="1109">
      <formula>E484=""</formula>
    </cfRule>
    <cfRule type="expression" dxfId="1077" priority="1110">
      <formula>E484&lt;44.5</formula>
    </cfRule>
    <cfRule type="expression" dxfId="1076" priority="1111">
      <formula>E484&lt;60.5</formula>
    </cfRule>
    <cfRule type="expression" dxfId="1075" priority="1112">
      <formula>E484&lt;85.5</formula>
    </cfRule>
    <cfRule type="expression" dxfId="1074" priority="1113">
      <formula>E484&gt;85.5</formula>
    </cfRule>
  </conditionalFormatting>
  <conditionalFormatting sqref="F484">
    <cfRule type="expression" dxfId="1073" priority="1100">
      <formula>F$480=""</formula>
    </cfRule>
  </conditionalFormatting>
  <conditionalFormatting sqref="F484">
    <cfRule type="expression" dxfId="1072" priority="1101">
      <formula>F484="**"</formula>
    </cfRule>
    <cfRule type="expression" dxfId="1071" priority="1102">
      <formula>F484=""</formula>
    </cfRule>
    <cfRule type="expression" dxfId="1070" priority="1103">
      <formula>F484&lt;44.5</formula>
    </cfRule>
    <cfRule type="expression" dxfId="1069" priority="1104">
      <formula>F484&lt;60.5</formula>
    </cfRule>
    <cfRule type="expression" dxfId="1068" priority="1105">
      <formula>F484&lt;85.5</formula>
    </cfRule>
    <cfRule type="expression" dxfId="1067" priority="1106">
      <formula>F484&gt;85.5</formula>
    </cfRule>
  </conditionalFormatting>
  <conditionalFormatting sqref="G484">
    <cfRule type="expression" dxfId="1066" priority="1093">
      <formula>G$480=""</formula>
    </cfRule>
  </conditionalFormatting>
  <conditionalFormatting sqref="G484">
    <cfRule type="expression" dxfId="1065" priority="1094">
      <formula>G484="**"</formula>
    </cfRule>
    <cfRule type="expression" dxfId="1064" priority="1095">
      <formula>G484=""</formula>
    </cfRule>
    <cfRule type="expression" dxfId="1063" priority="1096">
      <formula>G484&lt;44.5</formula>
    </cfRule>
    <cfRule type="expression" dxfId="1062" priority="1097">
      <formula>G484&lt;60.5</formula>
    </cfRule>
    <cfRule type="expression" dxfId="1061" priority="1098">
      <formula>G484&lt;85.5</formula>
    </cfRule>
    <cfRule type="expression" dxfId="1060" priority="1099">
      <formula>G484&gt;85.5</formula>
    </cfRule>
  </conditionalFormatting>
  <conditionalFormatting sqref="H484">
    <cfRule type="expression" dxfId="1059" priority="1086">
      <formula>H$480=""</formula>
    </cfRule>
  </conditionalFormatting>
  <conditionalFormatting sqref="H484">
    <cfRule type="expression" dxfId="1058" priority="1087">
      <formula>H484="**"</formula>
    </cfRule>
    <cfRule type="expression" dxfId="1057" priority="1088">
      <formula>H484=""</formula>
    </cfRule>
    <cfRule type="expression" dxfId="1056" priority="1089">
      <formula>H484&lt;44.5</formula>
    </cfRule>
    <cfRule type="expression" dxfId="1055" priority="1090">
      <formula>H484&lt;60.5</formula>
    </cfRule>
    <cfRule type="expression" dxfId="1054" priority="1091">
      <formula>H484&lt;85.5</formula>
    </cfRule>
    <cfRule type="expression" dxfId="1053" priority="1092">
      <formula>H484&gt;85.5</formula>
    </cfRule>
  </conditionalFormatting>
  <conditionalFormatting sqref="I484">
    <cfRule type="expression" dxfId="1052" priority="1079">
      <formula>I$480=""</formula>
    </cfRule>
  </conditionalFormatting>
  <conditionalFormatting sqref="I484">
    <cfRule type="expression" dxfId="1051" priority="1080">
      <formula>I484="**"</formula>
    </cfRule>
    <cfRule type="expression" dxfId="1050" priority="1081">
      <formula>I484=""</formula>
    </cfRule>
    <cfRule type="expression" dxfId="1049" priority="1082">
      <formula>I484&lt;44.5</formula>
    </cfRule>
    <cfRule type="expression" dxfId="1048" priority="1083">
      <formula>I484&lt;60.5</formula>
    </cfRule>
    <cfRule type="expression" dxfId="1047" priority="1084">
      <formula>I484&lt;85.5</formula>
    </cfRule>
    <cfRule type="expression" dxfId="1046" priority="1085">
      <formula>I484&gt;85.5</formula>
    </cfRule>
  </conditionalFormatting>
  <conditionalFormatting sqref="J484">
    <cfRule type="expression" dxfId="1045" priority="1072">
      <formula>J$480=""</formula>
    </cfRule>
  </conditionalFormatting>
  <conditionalFormatting sqref="J484">
    <cfRule type="expression" dxfId="1044" priority="1073">
      <formula>J484="**"</formula>
    </cfRule>
    <cfRule type="expression" dxfId="1043" priority="1074">
      <formula>J484=""</formula>
    </cfRule>
    <cfRule type="expression" dxfId="1042" priority="1075">
      <formula>J484&lt;44.5</formula>
    </cfRule>
    <cfRule type="expression" dxfId="1041" priority="1076">
      <formula>J484&lt;60.5</formula>
    </cfRule>
    <cfRule type="expression" dxfId="1040" priority="1077">
      <formula>J484&lt;85.5</formula>
    </cfRule>
    <cfRule type="expression" dxfId="1039" priority="1078">
      <formula>J484&gt;85.5</formula>
    </cfRule>
  </conditionalFormatting>
  <conditionalFormatting sqref="K484">
    <cfRule type="expression" dxfId="1038" priority="1065">
      <formula>K$480=""</formula>
    </cfRule>
  </conditionalFormatting>
  <conditionalFormatting sqref="K484">
    <cfRule type="expression" dxfId="1037" priority="1066">
      <formula>K484="**"</formula>
    </cfRule>
    <cfRule type="expression" dxfId="1036" priority="1067">
      <formula>K484=""</formula>
    </cfRule>
    <cfRule type="expression" dxfId="1035" priority="1068">
      <formula>K484&lt;44.5</formula>
    </cfRule>
    <cfRule type="expression" dxfId="1034" priority="1069">
      <formula>K484&lt;60.5</formula>
    </cfRule>
    <cfRule type="expression" dxfId="1033" priority="1070">
      <formula>K484&lt;85.5</formula>
    </cfRule>
    <cfRule type="expression" dxfId="1032" priority="1071">
      <formula>K484&gt;85.5</formula>
    </cfRule>
  </conditionalFormatting>
  <conditionalFormatting sqref="L484">
    <cfRule type="expression" dxfId="1031" priority="1058">
      <formula>L$480=""</formula>
    </cfRule>
  </conditionalFormatting>
  <conditionalFormatting sqref="L484">
    <cfRule type="expression" dxfId="1030" priority="1059">
      <formula>L484="**"</formula>
    </cfRule>
    <cfRule type="expression" dxfId="1029" priority="1060">
      <formula>L484=""</formula>
    </cfRule>
    <cfRule type="expression" dxfId="1028" priority="1061">
      <formula>L484&lt;44.5</formula>
    </cfRule>
    <cfRule type="expression" dxfId="1027" priority="1062">
      <formula>L484&lt;60.5</formula>
    </cfRule>
    <cfRule type="expression" dxfId="1026" priority="1063">
      <formula>L484&lt;85.5</formula>
    </cfRule>
    <cfRule type="expression" dxfId="1025" priority="1064">
      <formula>L484&gt;85.5</formula>
    </cfRule>
  </conditionalFormatting>
  <conditionalFormatting sqref="D514">
    <cfRule type="expression" dxfId="1024" priority="1044">
      <formula>D$510=""</formula>
    </cfRule>
  </conditionalFormatting>
  <conditionalFormatting sqref="D514">
    <cfRule type="expression" dxfId="1023" priority="1045">
      <formula>D514="**"</formula>
    </cfRule>
    <cfRule type="expression" dxfId="1022" priority="1046">
      <formula>D514=""</formula>
    </cfRule>
    <cfRule type="expression" dxfId="1021" priority="1047">
      <formula>D514&lt;44.5</formula>
    </cfRule>
    <cfRule type="expression" dxfId="1020" priority="1048">
      <formula>D514&lt;60.5</formula>
    </cfRule>
    <cfRule type="expression" dxfId="1019" priority="1049">
      <formula>D514&lt;85.5</formula>
    </cfRule>
    <cfRule type="expression" dxfId="1018" priority="1050">
      <formula>D514&gt;85.5</formula>
    </cfRule>
  </conditionalFormatting>
  <conditionalFormatting sqref="E514">
    <cfRule type="expression" dxfId="1017" priority="1037">
      <formula>E$510=""</formula>
    </cfRule>
  </conditionalFormatting>
  <conditionalFormatting sqref="E514">
    <cfRule type="expression" dxfId="1016" priority="1038">
      <formula>E514="**"</formula>
    </cfRule>
    <cfRule type="expression" dxfId="1015" priority="1039">
      <formula>E514=""</formula>
    </cfRule>
    <cfRule type="expression" dxfId="1014" priority="1040">
      <formula>E514&lt;44.5</formula>
    </cfRule>
    <cfRule type="expression" dxfId="1013" priority="1041">
      <formula>E514&lt;60.5</formula>
    </cfRule>
    <cfRule type="expression" dxfId="1012" priority="1042">
      <formula>E514&lt;85.5</formula>
    </cfRule>
    <cfRule type="expression" dxfId="1011" priority="1043">
      <formula>E514&gt;85.5</formula>
    </cfRule>
  </conditionalFormatting>
  <conditionalFormatting sqref="F514">
    <cfRule type="expression" dxfId="1010" priority="1030">
      <formula>F$510=""</formula>
    </cfRule>
  </conditionalFormatting>
  <conditionalFormatting sqref="F514">
    <cfRule type="expression" dxfId="1009" priority="1031">
      <formula>F514="**"</formula>
    </cfRule>
    <cfRule type="expression" dxfId="1008" priority="1032">
      <formula>F514=""</formula>
    </cfRule>
    <cfRule type="expression" dxfId="1007" priority="1033">
      <formula>F514&lt;44.5</formula>
    </cfRule>
    <cfRule type="expression" dxfId="1006" priority="1034">
      <formula>F514&lt;60.5</formula>
    </cfRule>
    <cfRule type="expression" dxfId="1005" priority="1035">
      <formula>F514&lt;85.5</formula>
    </cfRule>
    <cfRule type="expression" dxfId="1004" priority="1036">
      <formula>F514&gt;85.5</formula>
    </cfRule>
  </conditionalFormatting>
  <conditionalFormatting sqref="G514">
    <cfRule type="expression" dxfId="1003" priority="1023">
      <formula>G$510=""</formula>
    </cfRule>
  </conditionalFormatting>
  <conditionalFormatting sqref="G514">
    <cfRule type="expression" dxfId="1002" priority="1024">
      <formula>G514="**"</formula>
    </cfRule>
    <cfRule type="expression" dxfId="1001" priority="1025">
      <formula>G514=""</formula>
    </cfRule>
    <cfRule type="expression" dxfId="1000" priority="1026">
      <formula>G514&lt;44.5</formula>
    </cfRule>
    <cfRule type="expression" dxfId="999" priority="1027">
      <formula>G514&lt;60.5</formula>
    </cfRule>
    <cfRule type="expression" dxfId="998" priority="1028">
      <formula>G514&lt;85.5</formula>
    </cfRule>
    <cfRule type="expression" dxfId="997" priority="1029">
      <formula>G514&gt;85.5</formula>
    </cfRule>
  </conditionalFormatting>
  <conditionalFormatting sqref="H514">
    <cfRule type="expression" dxfId="996" priority="1016">
      <formula>H$510=""</formula>
    </cfRule>
  </conditionalFormatting>
  <conditionalFormatting sqref="H514">
    <cfRule type="expression" dxfId="995" priority="1017">
      <formula>H514="**"</formula>
    </cfRule>
    <cfRule type="expression" dxfId="994" priority="1018">
      <formula>H514=""</formula>
    </cfRule>
    <cfRule type="expression" dxfId="993" priority="1019">
      <formula>H514&lt;44.5</formula>
    </cfRule>
    <cfRule type="expression" dxfId="992" priority="1020">
      <formula>H514&lt;60.5</formula>
    </cfRule>
    <cfRule type="expression" dxfId="991" priority="1021">
      <formula>H514&lt;85.5</formula>
    </cfRule>
    <cfRule type="expression" dxfId="990" priority="1022">
      <formula>H514&gt;85.5</formula>
    </cfRule>
  </conditionalFormatting>
  <conditionalFormatting sqref="I514">
    <cfRule type="expression" dxfId="989" priority="1009">
      <formula>I$510=""</formula>
    </cfRule>
  </conditionalFormatting>
  <conditionalFormatting sqref="I514">
    <cfRule type="expression" dxfId="988" priority="1010">
      <formula>I514="**"</formula>
    </cfRule>
    <cfRule type="expression" dxfId="987" priority="1011">
      <formula>I514=""</formula>
    </cfRule>
    <cfRule type="expression" dxfId="986" priority="1012">
      <formula>I514&lt;44.5</formula>
    </cfRule>
    <cfRule type="expression" dxfId="985" priority="1013">
      <formula>I514&lt;60.5</formula>
    </cfRule>
    <cfRule type="expression" dxfId="984" priority="1014">
      <formula>I514&lt;85.5</formula>
    </cfRule>
    <cfRule type="expression" dxfId="983" priority="1015">
      <formula>I514&gt;85.5</formula>
    </cfRule>
  </conditionalFormatting>
  <conditionalFormatting sqref="J514">
    <cfRule type="expression" dxfId="982" priority="1002">
      <formula>J$510=""</formula>
    </cfRule>
  </conditionalFormatting>
  <conditionalFormatting sqref="J514">
    <cfRule type="expression" dxfId="981" priority="1003">
      <formula>J514="**"</formula>
    </cfRule>
    <cfRule type="expression" dxfId="980" priority="1004">
      <formula>J514=""</formula>
    </cfRule>
    <cfRule type="expression" dxfId="979" priority="1005">
      <formula>J514&lt;44.5</formula>
    </cfRule>
    <cfRule type="expression" dxfId="978" priority="1006">
      <formula>J514&lt;60.5</formula>
    </cfRule>
    <cfRule type="expression" dxfId="977" priority="1007">
      <formula>J514&lt;85.5</formula>
    </cfRule>
    <cfRule type="expression" dxfId="976" priority="1008">
      <formula>J514&gt;85.5</formula>
    </cfRule>
  </conditionalFormatting>
  <conditionalFormatting sqref="K514">
    <cfRule type="expression" dxfId="975" priority="995">
      <formula>K$510=""</formula>
    </cfRule>
  </conditionalFormatting>
  <conditionalFormatting sqref="K514">
    <cfRule type="expression" dxfId="974" priority="996">
      <formula>K514="**"</formula>
    </cfRule>
    <cfRule type="expression" dxfId="973" priority="997">
      <formula>K514=""</formula>
    </cfRule>
    <cfRule type="expression" dxfId="972" priority="998">
      <formula>K514&lt;44.5</formula>
    </cfRule>
    <cfRule type="expression" dxfId="971" priority="999">
      <formula>K514&lt;60.5</formula>
    </cfRule>
    <cfRule type="expression" dxfId="970" priority="1000">
      <formula>K514&lt;85.5</formula>
    </cfRule>
    <cfRule type="expression" dxfId="969" priority="1001">
      <formula>K514&gt;85.5</formula>
    </cfRule>
  </conditionalFormatting>
  <conditionalFormatting sqref="L514">
    <cfRule type="expression" dxfId="968" priority="988">
      <formula>L$510=""</formula>
    </cfRule>
  </conditionalFormatting>
  <conditionalFormatting sqref="L514">
    <cfRule type="expression" dxfId="967" priority="989">
      <formula>L514="**"</formula>
    </cfRule>
    <cfRule type="expression" dxfId="966" priority="990">
      <formula>L514=""</formula>
    </cfRule>
    <cfRule type="expression" dxfId="965" priority="991">
      <formula>L514&lt;44.5</formula>
    </cfRule>
    <cfRule type="expression" dxfId="964" priority="992">
      <formula>L514&lt;60.5</formula>
    </cfRule>
    <cfRule type="expression" dxfId="963" priority="993">
      <formula>L514&lt;85.5</formula>
    </cfRule>
    <cfRule type="expression" dxfId="962" priority="994">
      <formula>L514&gt;85.5</formula>
    </cfRule>
  </conditionalFormatting>
  <conditionalFormatting sqref="D544">
    <cfRule type="expression" dxfId="961" priority="981">
      <formula>D$540=""</formula>
    </cfRule>
  </conditionalFormatting>
  <conditionalFormatting sqref="D544">
    <cfRule type="expression" dxfId="960" priority="982">
      <formula>D544="**"</formula>
    </cfRule>
    <cfRule type="expression" dxfId="959" priority="983">
      <formula>D544=""</formula>
    </cfRule>
    <cfRule type="expression" dxfId="958" priority="984">
      <formula>D544&lt;44.5</formula>
    </cfRule>
    <cfRule type="expression" dxfId="957" priority="985">
      <formula>D544&lt;60.5</formula>
    </cfRule>
    <cfRule type="expression" dxfId="956" priority="986">
      <formula>D544&lt;85.5</formula>
    </cfRule>
    <cfRule type="expression" dxfId="955" priority="987">
      <formula>D544&gt;85.5</formula>
    </cfRule>
  </conditionalFormatting>
  <conditionalFormatting sqref="E544">
    <cfRule type="expression" dxfId="954" priority="974">
      <formula>E$540=""</formula>
    </cfRule>
  </conditionalFormatting>
  <conditionalFormatting sqref="E544">
    <cfRule type="expression" dxfId="953" priority="975">
      <formula>E544="**"</formula>
    </cfRule>
    <cfRule type="expression" dxfId="952" priority="976">
      <formula>E544=""</formula>
    </cfRule>
    <cfRule type="expression" dxfId="951" priority="977">
      <formula>E544&lt;44.5</formula>
    </cfRule>
    <cfRule type="expression" dxfId="950" priority="978">
      <formula>E544&lt;60.5</formula>
    </cfRule>
    <cfRule type="expression" dxfId="949" priority="979">
      <formula>E544&lt;85.5</formula>
    </cfRule>
    <cfRule type="expression" dxfId="948" priority="980">
      <formula>E544&gt;85.5</formula>
    </cfRule>
  </conditionalFormatting>
  <conditionalFormatting sqref="F544">
    <cfRule type="expression" dxfId="947" priority="967">
      <formula>F$540=""</formula>
    </cfRule>
  </conditionalFormatting>
  <conditionalFormatting sqref="F544">
    <cfRule type="expression" dxfId="946" priority="968">
      <formula>F544="**"</formula>
    </cfRule>
    <cfRule type="expression" dxfId="945" priority="969">
      <formula>F544=""</formula>
    </cfRule>
    <cfRule type="expression" dxfId="944" priority="970">
      <formula>F544&lt;44.5</formula>
    </cfRule>
    <cfRule type="expression" dxfId="943" priority="971">
      <formula>F544&lt;60.5</formula>
    </cfRule>
    <cfRule type="expression" dxfId="942" priority="972">
      <formula>F544&lt;85.5</formula>
    </cfRule>
    <cfRule type="expression" dxfId="941" priority="973">
      <formula>F544&gt;85.5</formula>
    </cfRule>
  </conditionalFormatting>
  <conditionalFormatting sqref="G544">
    <cfRule type="expression" dxfId="940" priority="960">
      <formula>G$540=""</formula>
    </cfRule>
  </conditionalFormatting>
  <conditionalFormatting sqref="G544">
    <cfRule type="expression" dxfId="939" priority="961">
      <formula>G544="**"</formula>
    </cfRule>
    <cfRule type="expression" dxfId="938" priority="962">
      <formula>G544=""</formula>
    </cfRule>
    <cfRule type="expression" dxfId="937" priority="963">
      <formula>G544&lt;44.5</formula>
    </cfRule>
    <cfRule type="expression" dxfId="936" priority="964">
      <formula>G544&lt;60.5</formula>
    </cfRule>
    <cfRule type="expression" dxfId="935" priority="965">
      <formula>G544&lt;85.5</formula>
    </cfRule>
    <cfRule type="expression" dxfId="934" priority="966">
      <formula>G544&gt;85.5</formula>
    </cfRule>
  </conditionalFormatting>
  <conditionalFormatting sqref="H544">
    <cfRule type="expression" dxfId="933" priority="953">
      <formula>H$540=""</formula>
    </cfRule>
  </conditionalFormatting>
  <conditionalFormatting sqref="H544">
    <cfRule type="expression" dxfId="932" priority="954">
      <formula>H544="**"</formula>
    </cfRule>
    <cfRule type="expression" dxfId="931" priority="955">
      <formula>H544=""</formula>
    </cfRule>
    <cfRule type="expression" dxfId="930" priority="956">
      <formula>H544&lt;44.5</formula>
    </cfRule>
    <cfRule type="expression" dxfId="929" priority="957">
      <formula>H544&lt;60.5</formula>
    </cfRule>
    <cfRule type="expression" dxfId="928" priority="958">
      <formula>H544&lt;85.5</formula>
    </cfRule>
    <cfRule type="expression" dxfId="927" priority="959">
      <formula>H544&gt;85.5</formula>
    </cfRule>
  </conditionalFormatting>
  <conditionalFormatting sqref="I544">
    <cfRule type="expression" dxfId="926" priority="946">
      <formula>I$540=""</formula>
    </cfRule>
  </conditionalFormatting>
  <conditionalFormatting sqref="I544">
    <cfRule type="expression" dxfId="925" priority="947">
      <formula>I544="**"</formula>
    </cfRule>
    <cfRule type="expression" dxfId="924" priority="948">
      <formula>I544=""</formula>
    </cfRule>
    <cfRule type="expression" dxfId="923" priority="949">
      <formula>I544&lt;44.5</formula>
    </cfRule>
    <cfRule type="expression" dxfId="922" priority="950">
      <formula>I544&lt;60.5</formula>
    </cfRule>
    <cfRule type="expression" dxfId="921" priority="951">
      <formula>I544&lt;85.5</formula>
    </cfRule>
    <cfRule type="expression" dxfId="920" priority="952">
      <formula>I544&gt;85.5</formula>
    </cfRule>
  </conditionalFormatting>
  <conditionalFormatting sqref="J544">
    <cfRule type="expression" dxfId="919" priority="939">
      <formula>J$540=""</formula>
    </cfRule>
  </conditionalFormatting>
  <conditionalFormatting sqref="J544">
    <cfRule type="expression" dxfId="918" priority="940">
      <formula>J544="**"</formula>
    </cfRule>
    <cfRule type="expression" dxfId="917" priority="941">
      <formula>J544=""</formula>
    </cfRule>
    <cfRule type="expression" dxfId="916" priority="942">
      <formula>J544&lt;44.5</formula>
    </cfRule>
    <cfRule type="expression" dxfId="915" priority="943">
      <formula>J544&lt;60.5</formula>
    </cfRule>
    <cfRule type="expression" dxfId="914" priority="944">
      <formula>J544&lt;85.5</formula>
    </cfRule>
    <cfRule type="expression" dxfId="913" priority="945">
      <formula>J544&gt;85.5</formula>
    </cfRule>
  </conditionalFormatting>
  <conditionalFormatting sqref="K544">
    <cfRule type="expression" dxfId="912" priority="932">
      <formula>K$540=""</formula>
    </cfRule>
  </conditionalFormatting>
  <conditionalFormatting sqref="K544">
    <cfRule type="expression" dxfId="911" priority="933">
      <formula>K544="**"</formula>
    </cfRule>
    <cfRule type="expression" dxfId="910" priority="934">
      <formula>K544=""</formula>
    </cfRule>
    <cfRule type="expression" dxfId="909" priority="935">
      <formula>K544&lt;44.5</formula>
    </cfRule>
    <cfRule type="expression" dxfId="908" priority="936">
      <formula>K544&lt;60.5</formula>
    </cfRule>
    <cfRule type="expression" dxfId="907" priority="937">
      <formula>K544&lt;85.5</formula>
    </cfRule>
    <cfRule type="expression" dxfId="906" priority="938">
      <formula>K544&gt;85.5</formula>
    </cfRule>
  </conditionalFormatting>
  <conditionalFormatting sqref="D574">
    <cfRule type="expression" dxfId="905" priority="925">
      <formula>D$570=""</formula>
    </cfRule>
  </conditionalFormatting>
  <conditionalFormatting sqref="D574">
    <cfRule type="expression" dxfId="904" priority="926">
      <formula>D574="**"</formula>
    </cfRule>
    <cfRule type="expression" dxfId="903" priority="927">
      <formula>D574=""</formula>
    </cfRule>
    <cfRule type="expression" dxfId="902" priority="928">
      <formula>D574&lt;44.5</formula>
    </cfRule>
    <cfRule type="expression" dxfId="901" priority="929">
      <formula>D574&lt;60.5</formula>
    </cfRule>
    <cfRule type="expression" dxfId="900" priority="930">
      <formula>D574&lt;85.5</formula>
    </cfRule>
    <cfRule type="expression" dxfId="899" priority="931">
      <formula>D574&gt;85.5</formula>
    </cfRule>
  </conditionalFormatting>
  <conditionalFormatting sqref="E574">
    <cfRule type="expression" dxfId="898" priority="918">
      <formula>E$570=""</formula>
    </cfRule>
  </conditionalFormatting>
  <conditionalFormatting sqref="E574">
    <cfRule type="expression" dxfId="897" priority="919">
      <formula>E574="**"</formula>
    </cfRule>
    <cfRule type="expression" dxfId="896" priority="920">
      <formula>E574=""</formula>
    </cfRule>
    <cfRule type="expression" dxfId="895" priority="921">
      <formula>E574&lt;44.5</formula>
    </cfRule>
    <cfRule type="expression" dxfId="894" priority="922">
      <formula>E574&lt;60.5</formula>
    </cfRule>
    <cfRule type="expression" dxfId="893" priority="923">
      <formula>E574&lt;85.5</formula>
    </cfRule>
    <cfRule type="expression" dxfId="892" priority="924">
      <formula>E574&gt;85.5</formula>
    </cfRule>
  </conditionalFormatting>
  <conditionalFormatting sqref="F574">
    <cfRule type="expression" dxfId="891" priority="911">
      <formula>F$570=""</formula>
    </cfRule>
  </conditionalFormatting>
  <conditionalFormatting sqref="F574">
    <cfRule type="expression" dxfId="890" priority="912">
      <formula>F574="**"</formula>
    </cfRule>
    <cfRule type="expression" dxfId="889" priority="913">
      <formula>F574=""</formula>
    </cfRule>
    <cfRule type="expression" dxfId="888" priority="914">
      <formula>F574&lt;44.5</formula>
    </cfRule>
    <cfRule type="expression" dxfId="887" priority="915">
      <formula>F574&lt;60.5</formula>
    </cfRule>
    <cfRule type="expression" dxfId="886" priority="916">
      <formula>F574&lt;85.5</formula>
    </cfRule>
    <cfRule type="expression" dxfId="885" priority="917">
      <formula>F574&gt;85.5</formula>
    </cfRule>
  </conditionalFormatting>
  <conditionalFormatting sqref="G574">
    <cfRule type="expression" dxfId="884" priority="904">
      <formula>G$570=""</formula>
    </cfRule>
  </conditionalFormatting>
  <conditionalFormatting sqref="G574">
    <cfRule type="expression" dxfId="883" priority="905">
      <formula>G574="**"</formula>
    </cfRule>
    <cfRule type="expression" dxfId="882" priority="906">
      <formula>G574=""</formula>
    </cfRule>
    <cfRule type="expression" dxfId="881" priority="907">
      <formula>G574&lt;44.5</formula>
    </cfRule>
    <cfRule type="expression" dxfId="880" priority="908">
      <formula>G574&lt;60.5</formula>
    </cfRule>
    <cfRule type="expression" dxfId="879" priority="909">
      <formula>G574&lt;85.5</formula>
    </cfRule>
    <cfRule type="expression" dxfId="878" priority="910">
      <formula>G574&gt;85.5</formula>
    </cfRule>
  </conditionalFormatting>
  <conditionalFormatting sqref="H574">
    <cfRule type="expression" dxfId="877" priority="897">
      <formula>H$570=""</formula>
    </cfRule>
  </conditionalFormatting>
  <conditionalFormatting sqref="H574">
    <cfRule type="expression" dxfId="876" priority="898">
      <formula>H574="**"</formula>
    </cfRule>
    <cfRule type="expression" dxfId="875" priority="899">
      <formula>H574=""</formula>
    </cfRule>
    <cfRule type="expression" dxfId="874" priority="900">
      <formula>H574&lt;44.5</formula>
    </cfRule>
    <cfRule type="expression" dxfId="873" priority="901">
      <formula>H574&lt;60.5</formula>
    </cfRule>
    <cfRule type="expression" dxfId="872" priority="902">
      <formula>H574&lt;85.5</formula>
    </cfRule>
    <cfRule type="expression" dxfId="871" priority="903">
      <formula>H574&gt;85.5</formula>
    </cfRule>
  </conditionalFormatting>
  <conditionalFormatting sqref="I574">
    <cfRule type="expression" dxfId="870" priority="890">
      <formula>I$570=""</formula>
    </cfRule>
  </conditionalFormatting>
  <conditionalFormatting sqref="I574">
    <cfRule type="expression" dxfId="869" priority="891">
      <formula>I574="**"</formula>
    </cfRule>
    <cfRule type="expression" dxfId="868" priority="892">
      <formula>I574=""</formula>
    </cfRule>
    <cfRule type="expression" dxfId="867" priority="893">
      <formula>I574&lt;44.5</formula>
    </cfRule>
    <cfRule type="expression" dxfId="866" priority="894">
      <formula>I574&lt;60.5</formula>
    </cfRule>
    <cfRule type="expression" dxfId="865" priority="895">
      <formula>I574&lt;85.5</formula>
    </cfRule>
    <cfRule type="expression" dxfId="864" priority="896">
      <formula>I574&gt;85.5</formula>
    </cfRule>
  </conditionalFormatting>
  <conditionalFormatting sqref="J574">
    <cfRule type="expression" dxfId="863" priority="883">
      <formula>J$570=""</formula>
    </cfRule>
  </conditionalFormatting>
  <conditionalFormatting sqref="J574">
    <cfRule type="expression" dxfId="862" priority="884">
      <formula>J574="**"</formula>
    </cfRule>
    <cfRule type="expression" dxfId="861" priority="885">
      <formula>J574=""</formula>
    </cfRule>
    <cfRule type="expression" dxfId="860" priority="886">
      <formula>J574&lt;44.5</formula>
    </cfRule>
    <cfRule type="expression" dxfId="859" priority="887">
      <formula>J574&lt;60.5</formula>
    </cfRule>
    <cfRule type="expression" dxfId="858" priority="888">
      <formula>J574&lt;85.5</formula>
    </cfRule>
    <cfRule type="expression" dxfId="857" priority="889">
      <formula>J574&gt;85.5</formula>
    </cfRule>
  </conditionalFormatting>
  <conditionalFormatting sqref="K574">
    <cfRule type="expression" dxfId="856" priority="876">
      <formula>K$570=""</formula>
    </cfRule>
  </conditionalFormatting>
  <conditionalFormatting sqref="K574">
    <cfRule type="expression" dxfId="855" priority="877">
      <formula>K574="**"</formula>
    </cfRule>
    <cfRule type="expression" dxfId="854" priority="878">
      <formula>K574=""</formula>
    </cfRule>
    <cfRule type="expression" dxfId="853" priority="879">
      <formula>K574&lt;44.5</formula>
    </cfRule>
    <cfRule type="expression" dxfId="852" priority="880">
      <formula>K574&lt;60.5</formula>
    </cfRule>
    <cfRule type="expression" dxfId="851" priority="881">
      <formula>K574&lt;85.5</formula>
    </cfRule>
    <cfRule type="expression" dxfId="850" priority="882">
      <formula>K574&gt;85.5</formula>
    </cfRule>
  </conditionalFormatting>
  <conditionalFormatting sqref="L574">
    <cfRule type="expression" dxfId="849" priority="869">
      <formula>L$570=""</formula>
    </cfRule>
  </conditionalFormatting>
  <conditionalFormatting sqref="L574">
    <cfRule type="expression" dxfId="848" priority="870">
      <formula>L574="**"</formula>
    </cfRule>
    <cfRule type="expression" dxfId="847" priority="871">
      <formula>L574=""</formula>
    </cfRule>
    <cfRule type="expression" dxfId="846" priority="872">
      <formula>L574&lt;44.5</formula>
    </cfRule>
    <cfRule type="expression" dxfId="845" priority="873">
      <formula>L574&lt;60.5</formula>
    </cfRule>
    <cfRule type="expression" dxfId="844" priority="874">
      <formula>L574&lt;85.5</formula>
    </cfRule>
    <cfRule type="expression" dxfId="843" priority="875">
      <formula>L574&gt;85.5</formula>
    </cfRule>
  </conditionalFormatting>
  <conditionalFormatting sqref="D604">
    <cfRule type="expression" dxfId="842" priority="862">
      <formula>D$600=""</formula>
    </cfRule>
  </conditionalFormatting>
  <conditionalFormatting sqref="D604">
    <cfRule type="expression" dxfId="841" priority="863">
      <formula>D604="**"</formula>
    </cfRule>
    <cfRule type="expression" dxfId="840" priority="864">
      <formula>D604=""</formula>
    </cfRule>
    <cfRule type="expression" dxfId="839" priority="865">
      <formula>D604&lt;44.5</formula>
    </cfRule>
    <cfRule type="expression" dxfId="838" priority="866">
      <formula>D604&lt;60.5</formula>
    </cfRule>
    <cfRule type="expression" dxfId="837" priority="867">
      <formula>D604&lt;85.5</formula>
    </cfRule>
    <cfRule type="expression" dxfId="836" priority="868">
      <formula>D604&gt;85.5</formula>
    </cfRule>
  </conditionalFormatting>
  <conditionalFormatting sqref="E604">
    <cfRule type="expression" dxfId="835" priority="855">
      <formula>E$600=""</formula>
    </cfRule>
  </conditionalFormatting>
  <conditionalFormatting sqref="E604">
    <cfRule type="expression" dxfId="834" priority="856">
      <formula>E604="**"</formula>
    </cfRule>
    <cfRule type="expression" dxfId="833" priority="857">
      <formula>E604=""</formula>
    </cfRule>
    <cfRule type="expression" dxfId="832" priority="858">
      <formula>E604&lt;44.5</formula>
    </cfRule>
    <cfRule type="expression" dxfId="831" priority="859">
      <formula>E604&lt;60.5</formula>
    </cfRule>
    <cfRule type="expression" dxfId="830" priority="860">
      <formula>E604&lt;85.5</formula>
    </cfRule>
    <cfRule type="expression" dxfId="829" priority="861">
      <formula>E604&gt;85.5</formula>
    </cfRule>
  </conditionalFormatting>
  <conditionalFormatting sqref="F604">
    <cfRule type="expression" dxfId="828" priority="848">
      <formula>F$600=""</formula>
    </cfRule>
  </conditionalFormatting>
  <conditionalFormatting sqref="F604">
    <cfRule type="expression" dxfId="827" priority="849">
      <formula>F604="**"</formula>
    </cfRule>
    <cfRule type="expression" dxfId="826" priority="850">
      <formula>F604=""</formula>
    </cfRule>
    <cfRule type="expression" dxfId="825" priority="851">
      <formula>F604&lt;44.5</formula>
    </cfRule>
    <cfRule type="expression" dxfId="824" priority="852">
      <formula>F604&lt;60.5</formula>
    </cfRule>
    <cfRule type="expression" dxfId="823" priority="853">
      <formula>F604&lt;85.5</formula>
    </cfRule>
    <cfRule type="expression" dxfId="822" priority="854">
      <formula>F604&gt;85.5</formula>
    </cfRule>
  </conditionalFormatting>
  <conditionalFormatting sqref="G604">
    <cfRule type="expression" dxfId="821" priority="841">
      <formula>G$600=""</formula>
    </cfRule>
  </conditionalFormatting>
  <conditionalFormatting sqref="G604">
    <cfRule type="expression" dxfId="820" priority="842">
      <formula>G604="**"</formula>
    </cfRule>
    <cfRule type="expression" dxfId="819" priority="843">
      <formula>G604=""</formula>
    </cfRule>
    <cfRule type="expression" dxfId="818" priority="844">
      <formula>G604&lt;44.5</formula>
    </cfRule>
    <cfRule type="expression" dxfId="817" priority="845">
      <formula>G604&lt;60.5</formula>
    </cfRule>
    <cfRule type="expression" dxfId="816" priority="846">
      <formula>G604&lt;85.5</formula>
    </cfRule>
    <cfRule type="expression" dxfId="815" priority="847">
      <formula>G604&gt;85.5</formula>
    </cfRule>
  </conditionalFormatting>
  <conditionalFormatting sqref="H604">
    <cfRule type="expression" dxfId="814" priority="834">
      <formula>H$600=""</formula>
    </cfRule>
  </conditionalFormatting>
  <conditionalFormatting sqref="H604">
    <cfRule type="expression" dxfId="813" priority="835">
      <formula>H604="**"</formula>
    </cfRule>
    <cfRule type="expression" dxfId="812" priority="836">
      <formula>H604=""</formula>
    </cfRule>
    <cfRule type="expression" dxfId="811" priority="837">
      <formula>H604&lt;44.5</formula>
    </cfRule>
    <cfRule type="expression" dxfId="810" priority="838">
      <formula>H604&lt;60.5</formula>
    </cfRule>
    <cfRule type="expression" dxfId="809" priority="839">
      <formula>H604&lt;85.5</formula>
    </cfRule>
    <cfRule type="expression" dxfId="808" priority="840">
      <formula>H604&gt;85.5</formula>
    </cfRule>
  </conditionalFormatting>
  <conditionalFormatting sqref="I604">
    <cfRule type="expression" dxfId="807" priority="827">
      <formula>I$600=""</formula>
    </cfRule>
  </conditionalFormatting>
  <conditionalFormatting sqref="I604">
    <cfRule type="expression" dxfId="806" priority="828">
      <formula>I604="**"</formula>
    </cfRule>
    <cfRule type="expression" dxfId="805" priority="829">
      <formula>I604=""</formula>
    </cfRule>
    <cfRule type="expression" dxfId="804" priority="830">
      <formula>I604&lt;44.5</formula>
    </cfRule>
    <cfRule type="expression" dxfId="803" priority="831">
      <formula>I604&lt;60.5</formula>
    </cfRule>
    <cfRule type="expression" dxfId="802" priority="832">
      <formula>I604&lt;85.5</formula>
    </cfRule>
    <cfRule type="expression" dxfId="801" priority="833">
      <formula>I604&gt;85.5</formula>
    </cfRule>
  </conditionalFormatting>
  <conditionalFormatting sqref="J604">
    <cfRule type="expression" dxfId="800" priority="820">
      <formula>J$600=""</formula>
    </cfRule>
  </conditionalFormatting>
  <conditionalFormatting sqref="J604">
    <cfRule type="expression" dxfId="799" priority="821">
      <formula>J604="**"</formula>
    </cfRule>
    <cfRule type="expression" dxfId="798" priority="822">
      <formula>J604=""</formula>
    </cfRule>
    <cfRule type="expression" dxfId="797" priority="823">
      <formula>J604&lt;44.5</formula>
    </cfRule>
    <cfRule type="expression" dxfId="796" priority="824">
      <formula>J604&lt;60.5</formula>
    </cfRule>
    <cfRule type="expression" dxfId="795" priority="825">
      <formula>J604&lt;85.5</formula>
    </cfRule>
    <cfRule type="expression" dxfId="794" priority="826">
      <formula>J604&gt;85.5</formula>
    </cfRule>
  </conditionalFormatting>
  <conditionalFormatting sqref="K604">
    <cfRule type="expression" dxfId="793" priority="813">
      <formula>K$600=""</formula>
    </cfRule>
  </conditionalFormatting>
  <conditionalFormatting sqref="K604">
    <cfRule type="expression" dxfId="792" priority="814">
      <formula>K604="**"</formula>
    </cfRule>
    <cfRule type="expression" dxfId="791" priority="815">
      <formula>K604=""</formula>
    </cfRule>
    <cfRule type="expression" dxfId="790" priority="816">
      <formula>K604&lt;44.5</formula>
    </cfRule>
    <cfRule type="expression" dxfId="789" priority="817">
      <formula>K604&lt;60.5</formula>
    </cfRule>
    <cfRule type="expression" dxfId="788" priority="818">
      <formula>K604&lt;85.5</formula>
    </cfRule>
    <cfRule type="expression" dxfId="787" priority="819">
      <formula>K604&gt;85.5</formula>
    </cfRule>
  </conditionalFormatting>
  <conditionalFormatting sqref="L604">
    <cfRule type="expression" dxfId="786" priority="806">
      <formula>L$600=""</formula>
    </cfRule>
  </conditionalFormatting>
  <conditionalFormatting sqref="L604">
    <cfRule type="expression" dxfId="785" priority="807">
      <formula>L604="**"</formula>
    </cfRule>
    <cfRule type="expression" dxfId="784" priority="808">
      <formula>L604=""</formula>
    </cfRule>
    <cfRule type="expression" dxfId="783" priority="809">
      <formula>L604&lt;44.5</formula>
    </cfRule>
    <cfRule type="expression" dxfId="782" priority="810">
      <formula>L604&lt;60.5</formula>
    </cfRule>
    <cfRule type="expression" dxfId="781" priority="811">
      <formula>L604&lt;85.5</formula>
    </cfRule>
    <cfRule type="expression" dxfId="780" priority="812">
      <formula>L604&gt;85.5</formula>
    </cfRule>
  </conditionalFormatting>
  <conditionalFormatting sqref="D634">
    <cfRule type="expression" dxfId="779" priority="799">
      <formula>D$630=""</formula>
    </cfRule>
  </conditionalFormatting>
  <conditionalFormatting sqref="D634">
    <cfRule type="expression" dxfId="778" priority="800">
      <formula>D634="**"</formula>
    </cfRule>
    <cfRule type="expression" dxfId="777" priority="801">
      <formula>D634=""</formula>
    </cfRule>
    <cfRule type="expression" dxfId="776" priority="802">
      <formula>D634&lt;44.5</formula>
    </cfRule>
    <cfRule type="expression" dxfId="775" priority="803">
      <formula>D634&lt;60.5</formula>
    </cfRule>
    <cfRule type="expression" dxfId="774" priority="804">
      <formula>D634&lt;85.5</formula>
    </cfRule>
    <cfRule type="expression" dxfId="773" priority="805">
      <formula>D634&gt;85.5</formula>
    </cfRule>
  </conditionalFormatting>
  <conditionalFormatting sqref="E634">
    <cfRule type="expression" dxfId="772" priority="792">
      <formula>E$630=""</formula>
    </cfRule>
  </conditionalFormatting>
  <conditionalFormatting sqref="E634">
    <cfRule type="expression" dxfId="771" priority="793">
      <formula>E634="**"</formula>
    </cfRule>
    <cfRule type="expression" dxfId="770" priority="794">
      <formula>E634=""</formula>
    </cfRule>
    <cfRule type="expression" dxfId="769" priority="795">
      <formula>E634&lt;44.5</formula>
    </cfRule>
    <cfRule type="expression" dxfId="768" priority="796">
      <formula>E634&lt;60.5</formula>
    </cfRule>
    <cfRule type="expression" dxfId="767" priority="797">
      <formula>E634&lt;85.5</formula>
    </cfRule>
    <cfRule type="expression" dxfId="766" priority="798">
      <formula>E634&gt;85.5</formula>
    </cfRule>
  </conditionalFormatting>
  <conditionalFormatting sqref="F634">
    <cfRule type="expression" dxfId="765" priority="785">
      <formula>F$630=""</formula>
    </cfRule>
  </conditionalFormatting>
  <conditionalFormatting sqref="F634">
    <cfRule type="expression" dxfId="764" priority="786">
      <formula>F634="**"</formula>
    </cfRule>
    <cfRule type="expression" dxfId="763" priority="787">
      <formula>F634=""</formula>
    </cfRule>
    <cfRule type="expression" dxfId="762" priority="788">
      <formula>F634&lt;44.5</formula>
    </cfRule>
    <cfRule type="expression" dxfId="761" priority="789">
      <formula>F634&lt;60.5</formula>
    </cfRule>
    <cfRule type="expression" dxfId="760" priority="790">
      <formula>F634&lt;85.5</formula>
    </cfRule>
    <cfRule type="expression" dxfId="759" priority="791">
      <formula>F634&gt;85.5</formula>
    </cfRule>
  </conditionalFormatting>
  <conditionalFormatting sqref="G634">
    <cfRule type="expression" dxfId="758" priority="778">
      <formula>G$630=""</formula>
    </cfRule>
  </conditionalFormatting>
  <conditionalFormatting sqref="G634">
    <cfRule type="expression" dxfId="757" priority="779">
      <formula>G634="**"</formula>
    </cfRule>
    <cfRule type="expression" dxfId="756" priority="780">
      <formula>G634=""</formula>
    </cfRule>
    <cfRule type="expression" dxfId="755" priority="781">
      <formula>G634&lt;44.5</formula>
    </cfRule>
    <cfRule type="expression" dxfId="754" priority="782">
      <formula>G634&lt;60.5</formula>
    </cfRule>
    <cfRule type="expression" dxfId="753" priority="783">
      <formula>G634&lt;85.5</formula>
    </cfRule>
    <cfRule type="expression" dxfId="752" priority="784">
      <formula>G634&gt;85.5</formula>
    </cfRule>
  </conditionalFormatting>
  <conditionalFormatting sqref="H634">
    <cfRule type="expression" dxfId="751" priority="771">
      <formula>H$630=""</formula>
    </cfRule>
  </conditionalFormatting>
  <conditionalFormatting sqref="H634">
    <cfRule type="expression" dxfId="750" priority="772">
      <formula>H634="**"</formula>
    </cfRule>
    <cfRule type="expression" dxfId="749" priority="773">
      <formula>H634=""</formula>
    </cfRule>
    <cfRule type="expression" dxfId="748" priority="774">
      <formula>H634&lt;44.5</formula>
    </cfRule>
    <cfRule type="expression" dxfId="747" priority="775">
      <formula>H634&lt;60.5</formula>
    </cfRule>
    <cfRule type="expression" dxfId="746" priority="776">
      <formula>H634&lt;85.5</formula>
    </cfRule>
    <cfRule type="expression" dxfId="745" priority="777">
      <formula>H634&gt;85.5</formula>
    </cfRule>
  </conditionalFormatting>
  <conditionalFormatting sqref="I634">
    <cfRule type="expression" dxfId="744" priority="764">
      <formula>I$630=""</formula>
    </cfRule>
  </conditionalFormatting>
  <conditionalFormatting sqref="I634">
    <cfRule type="expression" dxfId="743" priority="765">
      <formula>I634="**"</formula>
    </cfRule>
    <cfRule type="expression" dxfId="742" priority="766">
      <formula>I634=""</formula>
    </cfRule>
    <cfRule type="expression" dxfId="741" priority="767">
      <formula>I634&lt;44.5</formula>
    </cfRule>
    <cfRule type="expression" dxfId="740" priority="768">
      <formula>I634&lt;60.5</formula>
    </cfRule>
    <cfRule type="expression" dxfId="739" priority="769">
      <formula>I634&lt;85.5</formula>
    </cfRule>
    <cfRule type="expression" dxfId="738" priority="770">
      <formula>I634&gt;85.5</formula>
    </cfRule>
  </conditionalFormatting>
  <conditionalFormatting sqref="J634">
    <cfRule type="expression" dxfId="737" priority="757">
      <formula>J$630=""</formula>
    </cfRule>
  </conditionalFormatting>
  <conditionalFormatting sqref="J634">
    <cfRule type="expression" dxfId="736" priority="758">
      <formula>J634="**"</formula>
    </cfRule>
    <cfRule type="expression" dxfId="735" priority="759">
      <formula>J634=""</formula>
    </cfRule>
    <cfRule type="expression" dxfId="734" priority="760">
      <formula>J634&lt;44.5</formula>
    </cfRule>
    <cfRule type="expression" dxfId="733" priority="761">
      <formula>J634&lt;60.5</formula>
    </cfRule>
    <cfRule type="expression" dxfId="732" priority="762">
      <formula>J634&lt;85.5</formula>
    </cfRule>
    <cfRule type="expression" dxfId="731" priority="763">
      <formula>J634&gt;85.5</formula>
    </cfRule>
  </conditionalFormatting>
  <conditionalFormatting sqref="K634">
    <cfRule type="expression" dxfId="730" priority="750">
      <formula>K$630=""</formula>
    </cfRule>
  </conditionalFormatting>
  <conditionalFormatting sqref="K634">
    <cfRule type="expression" dxfId="729" priority="751">
      <formula>K634="**"</formula>
    </cfRule>
    <cfRule type="expression" dxfId="728" priority="752">
      <formula>K634=""</formula>
    </cfRule>
    <cfRule type="expression" dxfId="727" priority="753">
      <formula>K634&lt;44.5</formula>
    </cfRule>
    <cfRule type="expression" dxfId="726" priority="754">
      <formula>K634&lt;60.5</formula>
    </cfRule>
    <cfRule type="expression" dxfId="725" priority="755">
      <formula>K634&lt;85.5</formula>
    </cfRule>
    <cfRule type="expression" dxfId="724" priority="756">
      <formula>K634&gt;85.5</formula>
    </cfRule>
  </conditionalFormatting>
  <conditionalFormatting sqref="L634">
    <cfRule type="expression" dxfId="723" priority="743">
      <formula>L$630=""</formula>
    </cfRule>
  </conditionalFormatting>
  <conditionalFormatting sqref="L634">
    <cfRule type="expression" dxfId="722" priority="744">
      <formula>L634="**"</formula>
    </cfRule>
    <cfRule type="expression" dxfId="721" priority="745">
      <formula>L634=""</formula>
    </cfRule>
    <cfRule type="expression" dxfId="720" priority="746">
      <formula>L634&lt;44.5</formula>
    </cfRule>
    <cfRule type="expression" dxfId="719" priority="747">
      <formula>L634&lt;60.5</formula>
    </cfRule>
    <cfRule type="expression" dxfId="718" priority="748">
      <formula>L634&lt;85.5</formula>
    </cfRule>
    <cfRule type="expression" dxfId="717" priority="749">
      <formula>L634&gt;85.5</formula>
    </cfRule>
  </conditionalFormatting>
  <conditionalFormatting sqref="D664">
    <cfRule type="expression" dxfId="716" priority="736">
      <formula>D$660=""</formula>
    </cfRule>
  </conditionalFormatting>
  <conditionalFormatting sqref="D664">
    <cfRule type="expression" dxfId="715" priority="737">
      <formula>D664="**"</formula>
    </cfRule>
    <cfRule type="expression" dxfId="714" priority="738">
      <formula>D664=""</formula>
    </cfRule>
    <cfRule type="expression" dxfId="713" priority="739">
      <formula>D664&lt;44.5</formula>
    </cfRule>
    <cfRule type="expression" dxfId="712" priority="740">
      <formula>D664&lt;60.5</formula>
    </cfRule>
    <cfRule type="expression" dxfId="711" priority="741">
      <formula>D664&lt;85.5</formula>
    </cfRule>
    <cfRule type="expression" dxfId="710" priority="742">
      <formula>D664&gt;85.5</formula>
    </cfRule>
  </conditionalFormatting>
  <conditionalFormatting sqref="E664">
    <cfRule type="expression" dxfId="709" priority="729">
      <formula>E$660=""</formula>
    </cfRule>
  </conditionalFormatting>
  <conditionalFormatting sqref="E664">
    <cfRule type="expression" dxfId="708" priority="730">
      <formula>E664="**"</formula>
    </cfRule>
    <cfRule type="expression" dxfId="707" priority="731">
      <formula>E664=""</formula>
    </cfRule>
    <cfRule type="expression" dxfId="706" priority="732">
      <formula>E664&lt;44.5</formula>
    </cfRule>
    <cfRule type="expression" dxfId="705" priority="733">
      <formula>E664&lt;60.5</formula>
    </cfRule>
    <cfRule type="expression" dxfId="704" priority="734">
      <formula>E664&lt;85.5</formula>
    </cfRule>
    <cfRule type="expression" dxfId="703" priority="735">
      <formula>E664&gt;85.5</formula>
    </cfRule>
  </conditionalFormatting>
  <conditionalFormatting sqref="F664">
    <cfRule type="expression" dxfId="702" priority="722">
      <formula>F$660=""</formula>
    </cfRule>
  </conditionalFormatting>
  <conditionalFormatting sqref="F664">
    <cfRule type="expression" dxfId="701" priority="723">
      <formula>F664="**"</formula>
    </cfRule>
    <cfRule type="expression" dxfId="700" priority="724">
      <formula>F664=""</formula>
    </cfRule>
    <cfRule type="expression" dxfId="699" priority="725">
      <formula>F664&lt;44.5</formula>
    </cfRule>
    <cfRule type="expression" dxfId="698" priority="726">
      <formula>F664&lt;60.5</formula>
    </cfRule>
    <cfRule type="expression" dxfId="697" priority="727">
      <formula>F664&lt;85.5</formula>
    </cfRule>
    <cfRule type="expression" dxfId="696" priority="728">
      <formula>F664&gt;85.5</formula>
    </cfRule>
  </conditionalFormatting>
  <conditionalFormatting sqref="G664">
    <cfRule type="expression" dxfId="695" priority="715">
      <formula>G$660=""</formula>
    </cfRule>
  </conditionalFormatting>
  <conditionalFormatting sqref="G664">
    <cfRule type="expression" dxfId="694" priority="716">
      <formula>G664="**"</formula>
    </cfRule>
    <cfRule type="expression" dxfId="693" priority="717">
      <formula>G664=""</formula>
    </cfRule>
    <cfRule type="expression" dxfId="692" priority="718">
      <formula>G664&lt;44.5</formula>
    </cfRule>
    <cfRule type="expression" dxfId="691" priority="719">
      <formula>G664&lt;60.5</formula>
    </cfRule>
    <cfRule type="expression" dxfId="690" priority="720">
      <formula>G664&lt;85.5</formula>
    </cfRule>
    <cfRule type="expression" dxfId="689" priority="721">
      <formula>G664&gt;85.5</formula>
    </cfRule>
  </conditionalFormatting>
  <conditionalFormatting sqref="H664">
    <cfRule type="expression" dxfId="688" priority="708">
      <formula>H$660=""</formula>
    </cfRule>
  </conditionalFormatting>
  <conditionalFormatting sqref="H664">
    <cfRule type="expression" dxfId="687" priority="709">
      <formula>H664="**"</formula>
    </cfRule>
    <cfRule type="expression" dxfId="686" priority="710">
      <formula>H664=""</formula>
    </cfRule>
    <cfRule type="expression" dxfId="685" priority="711">
      <formula>H664&lt;44.5</formula>
    </cfRule>
    <cfRule type="expression" dxfId="684" priority="712">
      <formula>H664&lt;60.5</formula>
    </cfRule>
    <cfRule type="expression" dxfId="683" priority="713">
      <formula>H664&lt;85.5</formula>
    </cfRule>
    <cfRule type="expression" dxfId="682" priority="714">
      <formula>H664&gt;85.5</formula>
    </cfRule>
  </conditionalFormatting>
  <conditionalFormatting sqref="I664">
    <cfRule type="expression" dxfId="681" priority="701">
      <formula>I$660=""</formula>
    </cfRule>
  </conditionalFormatting>
  <conditionalFormatting sqref="I664">
    <cfRule type="expression" dxfId="680" priority="702">
      <formula>I664="**"</formula>
    </cfRule>
    <cfRule type="expression" dxfId="679" priority="703">
      <formula>I664=""</formula>
    </cfRule>
    <cfRule type="expression" dxfId="678" priority="704">
      <formula>I664&lt;44.5</formula>
    </cfRule>
    <cfRule type="expression" dxfId="677" priority="705">
      <formula>I664&lt;60.5</formula>
    </cfRule>
    <cfRule type="expression" dxfId="676" priority="706">
      <formula>I664&lt;85.5</formula>
    </cfRule>
    <cfRule type="expression" dxfId="675" priority="707">
      <formula>I664&gt;85.5</formula>
    </cfRule>
  </conditionalFormatting>
  <conditionalFormatting sqref="J664">
    <cfRule type="expression" dxfId="674" priority="694">
      <formula>J$660=""</formula>
    </cfRule>
  </conditionalFormatting>
  <conditionalFormatting sqref="J664">
    <cfRule type="expression" dxfId="673" priority="695">
      <formula>J664="**"</formula>
    </cfRule>
    <cfRule type="expression" dxfId="672" priority="696">
      <formula>J664=""</formula>
    </cfRule>
    <cfRule type="expression" dxfId="671" priority="697">
      <formula>J664&lt;44.5</formula>
    </cfRule>
    <cfRule type="expression" dxfId="670" priority="698">
      <formula>J664&lt;60.5</formula>
    </cfRule>
    <cfRule type="expression" dxfId="669" priority="699">
      <formula>J664&lt;85.5</formula>
    </cfRule>
    <cfRule type="expression" dxfId="668" priority="700">
      <formula>J664&gt;85.5</formula>
    </cfRule>
  </conditionalFormatting>
  <conditionalFormatting sqref="K664">
    <cfRule type="expression" dxfId="667" priority="687">
      <formula>K$660=""</formula>
    </cfRule>
  </conditionalFormatting>
  <conditionalFormatting sqref="K664">
    <cfRule type="expression" dxfId="666" priority="688">
      <formula>K664="**"</formula>
    </cfRule>
    <cfRule type="expression" dxfId="665" priority="689">
      <formula>K664=""</formula>
    </cfRule>
    <cfRule type="expression" dxfId="664" priority="690">
      <formula>K664&lt;44.5</formula>
    </cfRule>
    <cfRule type="expression" dxfId="663" priority="691">
      <formula>K664&lt;60.5</formula>
    </cfRule>
    <cfRule type="expression" dxfId="662" priority="692">
      <formula>K664&lt;85.5</formula>
    </cfRule>
    <cfRule type="expression" dxfId="661" priority="693">
      <formula>K664&gt;85.5</formula>
    </cfRule>
  </conditionalFormatting>
  <conditionalFormatting sqref="L664">
    <cfRule type="expression" dxfId="660" priority="680">
      <formula>L$660=""</formula>
    </cfRule>
  </conditionalFormatting>
  <conditionalFormatting sqref="L664">
    <cfRule type="expression" dxfId="659" priority="681">
      <formula>L664="**"</formula>
    </cfRule>
    <cfRule type="expression" dxfId="658" priority="682">
      <formula>L664=""</formula>
    </cfRule>
    <cfRule type="expression" dxfId="657" priority="683">
      <formula>L664&lt;44.5</formula>
    </cfRule>
    <cfRule type="expression" dxfId="656" priority="684">
      <formula>L664&lt;60.5</formula>
    </cfRule>
    <cfRule type="expression" dxfId="655" priority="685">
      <formula>L664&lt;85.5</formula>
    </cfRule>
    <cfRule type="expression" dxfId="654" priority="686">
      <formula>L664&gt;85.5</formula>
    </cfRule>
  </conditionalFormatting>
  <conditionalFormatting sqref="D694">
    <cfRule type="expression" dxfId="653" priority="673">
      <formula>D$690=""</formula>
    </cfRule>
  </conditionalFormatting>
  <conditionalFormatting sqref="D694">
    <cfRule type="expression" dxfId="652" priority="674">
      <formula>D694="**"</formula>
    </cfRule>
    <cfRule type="expression" dxfId="651" priority="675">
      <formula>D694=""</formula>
    </cfRule>
    <cfRule type="expression" dxfId="650" priority="676">
      <formula>D694&lt;44.5</formula>
    </cfRule>
    <cfRule type="expression" dxfId="649" priority="677">
      <formula>D694&lt;60.5</formula>
    </cfRule>
    <cfRule type="expression" dxfId="648" priority="678">
      <formula>D694&lt;85.5</formula>
    </cfRule>
    <cfRule type="expression" dxfId="647" priority="679">
      <formula>D694&gt;85.5</formula>
    </cfRule>
  </conditionalFormatting>
  <conditionalFormatting sqref="E694">
    <cfRule type="expression" dxfId="646" priority="666">
      <formula>E$690=""</formula>
    </cfRule>
  </conditionalFormatting>
  <conditionalFormatting sqref="E694">
    <cfRule type="expression" dxfId="645" priority="667">
      <formula>E694="**"</formula>
    </cfRule>
    <cfRule type="expression" dxfId="644" priority="668">
      <formula>E694=""</formula>
    </cfRule>
    <cfRule type="expression" dxfId="643" priority="669">
      <formula>E694&lt;44.5</formula>
    </cfRule>
    <cfRule type="expression" dxfId="642" priority="670">
      <formula>E694&lt;60.5</formula>
    </cfRule>
    <cfRule type="expression" dxfId="641" priority="671">
      <formula>E694&lt;85.5</formula>
    </cfRule>
    <cfRule type="expression" dxfId="640" priority="672">
      <formula>E694&gt;85.5</formula>
    </cfRule>
  </conditionalFormatting>
  <conditionalFormatting sqref="F694">
    <cfRule type="expression" dxfId="639" priority="659">
      <formula>F$690=""</formula>
    </cfRule>
  </conditionalFormatting>
  <conditionalFormatting sqref="F694">
    <cfRule type="expression" dxfId="638" priority="660">
      <formula>F694="**"</formula>
    </cfRule>
    <cfRule type="expression" dxfId="637" priority="661">
      <formula>F694=""</formula>
    </cfRule>
    <cfRule type="expression" dxfId="636" priority="662">
      <formula>F694&lt;44.5</formula>
    </cfRule>
    <cfRule type="expression" dxfId="635" priority="663">
      <formula>F694&lt;60.5</formula>
    </cfRule>
    <cfRule type="expression" dxfId="634" priority="664">
      <formula>F694&lt;85.5</formula>
    </cfRule>
    <cfRule type="expression" dxfId="633" priority="665">
      <formula>F694&gt;85.5</formula>
    </cfRule>
  </conditionalFormatting>
  <conditionalFormatting sqref="G694">
    <cfRule type="expression" dxfId="632" priority="652">
      <formula>G$690=""</formula>
    </cfRule>
  </conditionalFormatting>
  <conditionalFormatting sqref="G694">
    <cfRule type="expression" dxfId="631" priority="653">
      <formula>G694="**"</formula>
    </cfRule>
    <cfRule type="expression" dxfId="630" priority="654">
      <formula>G694=""</formula>
    </cfRule>
    <cfRule type="expression" dxfId="629" priority="655">
      <formula>G694&lt;44.5</formula>
    </cfRule>
    <cfRule type="expression" dxfId="628" priority="656">
      <formula>G694&lt;60.5</formula>
    </cfRule>
    <cfRule type="expression" dxfId="627" priority="657">
      <formula>G694&lt;85.5</formula>
    </cfRule>
    <cfRule type="expression" dxfId="626" priority="658">
      <formula>G694&gt;85.5</formula>
    </cfRule>
  </conditionalFormatting>
  <conditionalFormatting sqref="H694">
    <cfRule type="expression" dxfId="625" priority="645">
      <formula>H$690=""</formula>
    </cfRule>
  </conditionalFormatting>
  <conditionalFormatting sqref="H694">
    <cfRule type="expression" dxfId="624" priority="646">
      <formula>H694="**"</formula>
    </cfRule>
    <cfRule type="expression" dxfId="623" priority="647">
      <formula>H694=""</formula>
    </cfRule>
    <cfRule type="expression" dxfId="622" priority="648">
      <formula>H694&lt;44.5</formula>
    </cfRule>
    <cfRule type="expression" dxfId="621" priority="649">
      <formula>H694&lt;60.5</formula>
    </cfRule>
    <cfRule type="expression" dxfId="620" priority="650">
      <formula>H694&lt;85.5</formula>
    </cfRule>
    <cfRule type="expression" dxfId="619" priority="651">
      <formula>H694&gt;85.5</formula>
    </cfRule>
  </conditionalFormatting>
  <conditionalFormatting sqref="I694">
    <cfRule type="expression" dxfId="618" priority="638">
      <formula>I$690=""</formula>
    </cfRule>
  </conditionalFormatting>
  <conditionalFormatting sqref="I694">
    <cfRule type="expression" dxfId="617" priority="639">
      <formula>I694="**"</formula>
    </cfRule>
    <cfRule type="expression" dxfId="616" priority="640">
      <formula>I694=""</formula>
    </cfRule>
    <cfRule type="expression" dxfId="615" priority="641">
      <formula>I694&lt;44.5</formula>
    </cfRule>
    <cfRule type="expression" dxfId="614" priority="642">
      <formula>I694&lt;60.5</formula>
    </cfRule>
    <cfRule type="expression" dxfId="613" priority="643">
      <formula>I694&lt;85.5</formula>
    </cfRule>
    <cfRule type="expression" dxfId="612" priority="644">
      <formula>I694&gt;85.5</formula>
    </cfRule>
  </conditionalFormatting>
  <conditionalFormatting sqref="J694">
    <cfRule type="expression" dxfId="611" priority="631">
      <formula>J$690=""</formula>
    </cfRule>
  </conditionalFormatting>
  <conditionalFormatting sqref="J694">
    <cfRule type="expression" dxfId="610" priority="632">
      <formula>J694="**"</formula>
    </cfRule>
    <cfRule type="expression" dxfId="609" priority="633">
      <formula>J694=""</formula>
    </cfRule>
    <cfRule type="expression" dxfId="608" priority="634">
      <formula>J694&lt;44.5</formula>
    </cfRule>
    <cfRule type="expression" dxfId="607" priority="635">
      <formula>J694&lt;60.5</formula>
    </cfRule>
    <cfRule type="expression" dxfId="606" priority="636">
      <formula>J694&lt;85.5</formula>
    </cfRule>
    <cfRule type="expression" dxfId="605" priority="637">
      <formula>J694&gt;85.5</formula>
    </cfRule>
  </conditionalFormatting>
  <conditionalFormatting sqref="K694">
    <cfRule type="expression" dxfId="604" priority="624">
      <formula>K$690=""</formula>
    </cfRule>
  </conditionalFormatting>
  <conditionalFormatting sqref="K694">
    <cfRule type="expression" dxfId="603" priority="625">
      <formula>K694="**"</formula>
    </cfRule>
    <cfRule type="expression" dxfId="602" priority="626">
      <formula>K694=""</formula>
    </cfRule>
    <cfRule type="expression" dxfId="601" priority="627">
      <formula>K694&lt;44.5</formula>
    </cfRule>
    <cfRule type="expression" dxfId="600" priority="628">
      <formula>K694&lt;60.5</formula>
    </cfRule>
    <cfRule type="expression" dxfId="599" priority="629">
      <formula>K694&lt;85.5</formula>
    </cfRule>
    <cfRule type="expression" dxfId="598" priority="630">
      <formula>K694&gt;85.5</formula>
    </cfRule>
  </conditionalFormatting>
  <conditionalFormatting sqref="L694">
    <cfRule type="expression" dxfId="597" priority="617">
      <formula>L$690=""</formula>
    </cfRule>
  </conditionalFormatting>
  <conditionalFormatting sqref="L694">
    <cfRule type="expression" dxfId="596" priority="618">
      <formula>L694="**"</formula>
    </cfRule>
    <cfRule type="expression" dxfId="595" priority="619">
      <formula>L694=""</formula>
    </cfRule>
    <cfRule type="expression" dxfId="594" priority="620">
      <formula>L694&lt;44.5</formula>
    </cfRule>
    <cfRule type="expression" dxfId="593" priority="621">
      <formula>L694&lt;60.5</formula>
    </cfRule>
    <cfRule type="expression" dxfId="592" priority="622">
      <formula>L694&lt;85.5</formula>
    </cfRule>
    <cfRule type="expression" dxfId="591" priority="623">
      <formula>L694&gt;85.5</formula>
    </cfRule>
  </conditionalFormatting>
  <conditionalFormatting sqref="D724">
    <cfRule type="expression" dxfId="590" priority="610">
      <formula>D$720=""</formula>
    </cfRule>
  </conditionalFormatting>
  <conditionalFormatting sqref="D724">
    <cfRule type="expression" dxfId="589" priority="611">
      <formula>D724="**"</formula>
    </cfRule>
    <cfRule type="expression" dxfId="588" priority="612">
      <formula>D724=""</formula>
    </cfRule>
    <cfRule type="expression" dxfId="587" priority="613">
      <formula>D724&lt;44.5</formula>
    </cfRule>
    <cfRule type="expression" dxfId="586" priority="614">
      <formula>D724&lt;60.5</formula>
    </cfRule>
    <cfRule type="expression" dxfId="585" priority="615">
      <formula>D724&lt;85.5</formula>
    </cfRule>
    <cfRule type="expression" dxfId="584" priority="616">
      <formula>D724&gt;85.5</formula>
    </cfRule>
  </conditionalFormatting>
  <conditionalFormatting sqref="E724">
    <cfRule type="expression" dxfId="583" priority="603">
      <formula>E$720=""</formula>
    </cfRule>
  </conditionalFormatting>
  <conditionalFormatting sqref="E724">
    <cfRule type="expression" dxfId="582" priority="604">
      <formula>E724="**"</formula>
    </cfRule>
    <cfRule type="expression" dxfId="581" priority="605">
      <formula>E724=""</formula>
    </cfRule>
    <cfRule type="expression" dxfId="580" priority="606">
      <formula>E724&lt;44.5</formula>
    </cfRule>
    <cfRule type="expression" dxfId="579" priority="607">
      <formula>E724&lt;60.5</formula>
    </cfRule>
    <cfRule type="expression" dxfId="578" priority="608">
      <formula>E724&lt;85.5</formula>
    </cfRule>
    <cfRule type="expression" dxfId="577" priority="609">
      <formula>E724&gt;85.5</formula>
    </cfRule>
  </conditionalFormatting>
  <conditionalFormatting sqref="F724">
    <cfRule type="expression" dxfId="576" priority="596">
      <formula>F$720=""</formula>
    </cfRule>
  </conditionalFormatting>
  <conditionalFormatting sqref="F724">
    <cfRule type="expression" dxfId="575" priority="597">
      <formula>F724="**"</formula>
    </cfRule>
    <cfRule type="expression" dxfId="574" priority="598">
      <formula>F724=""</formula>
    </cfRule>
    <cfRule type="expression" dxfId="573" priority="599">
      <formula>F724&lt;44.5</formula>
    </cfRule>
    <cfRule type="expression" dxfId="572" priority="600">
      <formula>F724&lt;60.5</formula>
    </cfRule>
    <cfRule type="expression" dxfId="571" priority="601">
      <formula>F724&lt;85.5</formula>
    </cfRule>
    <cfRule type="expression" dxfId="570" priority="602">
      <formula>F724&gt;85.5</formula>
    </cfRule>
  </conditionalFormatting>
  <conditionalFormatting sqref="G724">
    <cfRule type="expression" dxfId="569" priority="589">
      <formula>G$720=""</formula>
    </cfRule>
  </conditionalFormatting>
  <conditionalFormatting sqref="G724">
    <cfRule type="expression" dxfId="568" priority="590">
      <formula>G724="**"</formula>
    </cfRule>
    <cfRule type="expression" dxfId="567" priority="591">
      <formula>G724=""</formula>
    </cfRule>
    <cfRule type="expression" dxfId="566" priority="592">
      <formula>G724&lt;44.5</formula>
    </cfRule>
    <cfRule type="expression" dxfId="565" priority="593">
      <formula>G724&lt;60.5</formula>
    </cfRule>
    <cfRule type="expression" dxfId="564" priority="594">
      <formula>G724&lt;85.5</formula>
    </cfRule>
    <cfRule type="expression" dxfId="563" priority="595">
      <formula>G724&gt;85.5</formula>
    </cfRule>
  </conditionalFormatting>
  <conditionalFormatting sqref="H724">
    <cfRule type="expression" dxfId="562" priority="582">
      <formula>H$720=""</formula>
    </cfRule>
  </conditionalFormatting>
  <conditionalFormatting sqref="H724">
    <cfRule type="expression" dxfId="561" priority="583">
      <formula>H724="**"</formula>
    </cfRule>
    <cfRule type="expression" dxfId="560" priority="584">
      <formula>H724=""</formula>
    </cfRule>
    <cfRule type="expression" dxfId="559" priority="585">
      <formula>H724&lt;44.5</formula>
    </cfRule>
    <cfRule type="expression" dxfId="558" priority="586">
      <formula>H724&lt;60.5</formula>
    </cfRule>
    <cfRule type="expression" dxfId="557" priority="587">
      <formula>H724&lt;85.5</formula>
    </cfRule>
    <cfRule type="expression" dxfId="556" priority="588">
      <formula>H724&gt;85.5</formula>
    </cfRule>
  </conditionalFormatting>
  <conditionalFormatting sqref="I724">
    <cfRule type="expression" dxfId="555" priority="575">
      <formula>I$720=""</formula>
    </cfRule>
  </conditionalFormatting>
  <conditionalFormatting sqref="I724">
    <cfRule type="expression" dxfId="554" priority="576">
      <formula>I724="**"</formula>
    </cfRule>
    <cfRule type="expression" dxfId="553" priority="577">
      <formula>I724=""</formula>
    </cfRule>
    <cfRule type="expression" dxfId="552" priority="578">
      <formula>I724&lt;44.5</formula>
    </cfRule>
    <cfRule type="expression" dxfId="551" priority="579">
      <formula>I724&lt;60.5</formula>
    </cfRule>
    <cfRule type="expression" dxfId="550" priority="580">
      <formula>I724&lt;85.5</formula>
    </cfRule>
    <cfRule type="expression" dxfId="549" priority="581">
      <formula>I724&gt;85.5</formula>
    </cfRule>
  </conditionalFormatting>
  <conditionalFormatting sqref="J724">
    <cfRule type="expression" dxfId="548" priority="568">
      <formula>J$720=""</formula>
    </cfRule>
  </conditionalFormatting>
  <conditionalFormatting sqref="J724">
    <cfRule type="expression" dxfId="547" priority="569">
      <formula>J724="**"</formula>
    </cfRule>
    <cfRule type="expression" dxfId="546" priority="570">
      <formula>J724=""</formula>
    </cfRule>
    <cfRule type="expression" dxfId="545" priority="571">
      <formula>J724&lt;44.5</formula>
    </cfRule>
    <cfRule type="expression" dxfId="544" priority="572">
      <formula>J724&lt;60.5</formula>
    </cfRule>
    <cfRule type="expression" dxfId="543" priority="573">
      <formula>J724&lt;85.5</formula>
    </cfRule>
    <cfRule type="expression" dxfId="542" priority="574">
      <formula>J724&gt;85.5</formula>
    </cfRule>
  </conditionalFormatting>
  <conditionalFormatting sqref="K724">
    <cfRule type="expression" dxfId="541" priority="561">
      <formula>K$720=""</formula>
    </cfRule>
  </conditionalFormatting>
  <conditionalFormatting sqref="K724">
    <cfRule type="expression" dxfId="540" priority="562">
      <formula>K724="**"</formula>
    </cfRule>
    <cfRule type="expression" dxfId="539" priority="563">
      <formula>K724=""</formula>
    </cfRule>
    <cfRule type="expression" dxfId="538" priority="564">
      <formula>K724&lt;44.5</formula>
    </cfRule>
    <cfRule type="expression" dxfId="537" priority="565">
      <formula>K724&lt;60.5</formula>
    </cfRule>
    <cfRule type="expression" dxfId="536" priority="566">
      <formula>K724&lt;85.5</formula>
    </cfRule>
    <cfRule type="expression" dxfId="535" priority="567">
      <formula>K724&gt;85.5</formula>
    </cfRule>
  </conditionalFormatting>
  <conditionalFormatting sqref="L724">
    <cfRule type="expression" dxfId="534" priority="554">
      <formula>L$720=""</formula>
    </cfRule>
  </conditionalFormatting>
  <conditionalFormatting sqref="L724">
    <cfRule type="expression" dxfId="533" priority="555">
      <formula>L724="**"</formula>
    </cfRule>
    <cfRule type="expression" dxfId="532" priority="556">
      <formula>L724=""</formula>
    </cfRule>
    <cfRule type="expression" dxfId="531" priority="557">
      <formula>L724&lt;44.5</formula>
    </cfRule>
    <cfRule type="expression" dxfId="530" priority="558">
      <formula>L724&lt;60.5</formula>
    </cfRule>
    <cfRule type="expression" dxfId="529" priority="559">
      <formula>L724&lt;85.5</formula>
    </cfRule>
    <cfRule type="expression" dxfId="528" priority="560">
      <formula>L724&gt;85.5</formula>
    </cfRule>
  </conditionalFormatting>
  <conditionalFormatting sqref="D754">
    <cfRule type="expression" dxfId="527" priority="547">
      <formula>D$750=""</formula>
    </cfRule>
  </conditionalFormatting>
  <conditionalFormatting sqref="D754">
    <cfRule type="expression" dxfId="526" priority="548">
      <formula>D754="**"</formula>
    </cfRule>
    <cfRule type="expression" dxfId="525" priority="549">
      <formula>D754=""</formula>
    </cfRule>
    <cfRule type="expression" dxfId="524" priority="550">
      <formula>D754&lt;44.5</formula>
    </cfRule>
    <cfRule type="expression" dxfId="523" priority="551">
      <formula>D754&lt;60.5</formula>
    </cfRule>
    <cfRule type="expression" dxfId="522" priority="552">
      <formula>D754&lt;85.5</formula>
    </cfRule>
    <cfRule type="expression" dxfId="521" priority="553">
      <formula>D754&gt;85.5</formula>
    </cfRule>
  </conditionalFormatting>
  <conditionalFormatting sqref="E754">
    <cfRule type="expression" dxfId="520" priority="540">
      <formula>E$750=""</formula>
    </cfRule>
  </conditionalFormatting>
  <conditionalFormatting sqref="E754">
    <cfRule type="expression" dxfId="519" priority="541">
      <formula>E754="**"</formula>
    </cfRule>
    <cfRule type="expression" dxfId="518" priority="542">
      <formula>E754=""</formula>
    </cfRule>
    <cfRule type="expression" dxfId="517" priority="543">
      <formula>E754&lt;44.5</formula>
    </cfRule>
    <cfRule type="expression" dxfId="516" priority="544">
      <formula>E754&lt;60.5</formula>
    </cfRule>
    <cfRule type="expression" dxfId="515" priority="545">
      <formula>E754&lt;85.5</formula>
    </cfRule>
    <cfRule type="expression" dxfId="514" priority="546">
      <formula>E754&gt;85.5</formula>
    </cfRule>
  </conditionalFormatting>
  <conditionalFormatting sqref="F754">
    <cfRule type="expression" dxfId="513" priority="533">
      <formula>F$750=""</formula>
    </cfRule>
  </conditionalFormatting>
  <conditionalFormatting sqref="F754">
    <cfRule type="expression" dxfId="512" priority="534">
      <formula>F754="**"</formula>
    </cfRule>
    <cfRule type="expression" dxfId="511" priority="535">
      <formula>F754=""</formula>
    </cfRule>
    <cfRule type="expression" dxfId="510" priority="536">
      <formula>F754&lt;44.5</formula>
    </cfRule>
    <cfRule type="expression" dxfId="509" priority="537">
      <formula>F754&lt;60.5</formula>
    </cfRule>
    <cfRule type="expression" dxfId="508" priority="538">
      <formula>F754&lt;85.5</formula>
    </cfRule>
    <cfRule type="expression" dxfId="507" priority="539">
      <formula>F754&gt;85.5</formula>
    </cfRule>
  </conditionalFormatting>
  <conditionalFormatting sqref="G754">
    <cfRule type="expression" dxfId="506" priority="526">
      <formula>G$750=""</formula>
    </cfRule>
  </conditionalFormatting>
  <conditionalFormatting sqref="G754">
    <cfRule type="expression" dxfId="505" priority="527">
      <formula>G754="**"</formula>
    </cfRule>
    <cfRule type="expression" dxfId="504" priority="528">
      <formula>G754=""</formula>
    </cfRule>
    <cfRule type="expression" dxfId="503" priority="529">
      <formula>G754&lt;44.5</formula>
    </cfRule>
    <cfRule type="expression" dxfId="502" priority="530">
      <formula>G754&lt;60.5</formula>
    </cfRule>
    <cfRule type="expression" dxfId="501" priority="531">
      <formula>G754&lt;85.5</formula>
    </cfRule>
    <cfRule type="expression" dxfId="500" priority="532">
      <formula>G754&gt;85.5</formula>
    </cfRule>
  </conditionalFormatting>
  <conditionalFormatting sqref="H754">
    <cfRule type="expression" dxfId="499" priority="519">
      <formula>H$750=""</formula>
    </cfRule>
  </conditionalFormatting>
  <conditionalFormatting sqref="H754">
    <cfRule type="expression" dxfId="498" priority="520">
      <formula>H754="**"</formula>
    </cfRule>
    <cfRule type="expression" dxfId="497" priority="521">
      <formula>H754=""</formula>
    </cfRule>
    <cfRule type="expression" dxfId="496" priority="522">
      <formula>H754&lt;44.5</formula>
    </cfRule>
    <cfRule type="expression" dxfId="495" priority="523">
      <formula>H754&lt;60.5</formula>
    </cfRule>
    <cfRule type="expression" dxfId="494" priority="524">
      <formula>H754&lt;85.5</formula>
    </cfRule>
    <cfRule type="expression" dxfId="493" priority="525">
      <formula>H754&gt;85.5</formula>
    </cfRule>
  </conditionalFormatting>
  <conditionalFormatting sqref="I754">
    <cfRule type="expression" dxfId="492" priority="512">
      <formula>I$750=""</formula>
    </cfRule>
  </conditionalFormatting>
  <conditionalFormatting sqref="I754">
    <cfRule type="expression" dxfId="491" priority="513">
      <formula>I754="**"</formula>
    </cfRule>
    <cfRule type="expression" dxfId="490" priority="514">
      <formula>I754=""</formula>
    </cfRule>
    <cfRule type="expression" dxfId="489" priority="515">
      <formula>I754&lt;44.5</formula>
    </cfRule>
    <cfRule type="expression" dxfId="488" priority="516">
      <formula>I754&lt;60.5</formula>
    </cfRule>
    <cfRule type="expression" dxfId="487" priority="517">
      <formula>I754&lt;85.5</formula>
    </cfRule>
    <cfRule type="expression" dxfId="486" priority="518">
      <formula>I754&gt;85.5</formula>
    </cfRule>
  </conditionalFormatting>
  <conditionalFormatting sqref="J754">
    <cfRule type="expression" dxfId="485" priority="505">
      <formula>J$750=""</formula>
    </cfRule>
  </conditionalFormatting>
  <conditionalFormatting sqref="J754">
    <cfRule type="expression" dxfId="484" priority="506">
      <formula>J754="**"</formula>
    </cfRule>
    <cfRule type="expression" dxfId="483" priority="507">
      <formula>J754=""</formula>
    </cfRule>
    <cfRule type="expression" dxfId="482" priority="508">
      <formula>J754&lt;44.5</formula>
    </cfRule>
    <cfRule type="expression" dxfId="481" priority="509">
      <formula>J754&lt;60.5</formula>
    </cfRule>
    <cfRule type="expression" dxfId="480" priority="510">
      <formula>J754&lt;85.5</formula>
    </cfRule>
    <cfRule type="expression" dxfId="479" priority="511">
      <formula>J754&gt;85.5</formula>
    </cfRule>
  </conditionalFormatting>
  <conditionalFormatting sqref="K754">
    <cfRule type="expression" dxfId="478" priority="498">
      <formula>K$750=""</formula>
    </cfRule>
  </conditionalFormatting>
  <conditionalFormatting sqref="K754">
    <cfRule type="expression" dxfId="477" priority="499">
      <formula>K754="**"</formula>
    </cfRule>
    <cfRule type="expression" dxfId="476" priority="500">
      <formula>K754=""</formula>
    </cfRule>
    <cfRule type="expression" dxfId="475" priority="501">
      <formula>K754&lt;44.5</formula>
    </cfRule>
    <cfRule type="expression" dxfId="474" priority="502">
      <formula>K754&lt;60.5</formula>
    </cfRule>
    <cfRule type="expression" dxfId="473" priority="503">
      <formula>K754&lt;85.5</formula>
    </cfRule>
    <cfRule type="expression" dxfId="472" priority="504">
      <formula>K754&gt;85.5</formula>
    </cfRule>
  </conditionalFormatting>
  <conditionalFormatting sqref="L754">
    <cfRule type="expression" dxfId="471" priority="491">
      <formula>L$750=""</formula>
    </cfRule>
  </conditionalFormatting>
  <conditionalFormatting sqref="L754">
    <cfRule type="expression" dxfId="470" priority="492">
      <formula>L754="**"</formula>
    </cfRule>
    <cfRule type="expression" dxfId="469" priority="493">
      <formula>L754=""</formula>
    </cfRule>
    <cfRule type="expression" dxfId="468" priority="494">
      <formula>L754&lt;44.5</formula>
    </cfRule>
    <cfRule type="expression" dxfId="467" priority="495">
      <formula>L754&lt;60.5</formula>
    </cfRule>
    <cfRule type="expression" dxfId="466" priority="496">
      <formula>L754&lt;85.5</formula>
    </cfRule>
    <cfRule type="expression" dxfId="465" priority="497">
      <formula>L754&gt;85.5</formula>
    </cfRule>
  </conditionalFormatting>
  <conditionalFormatting sqref="D784">
    <cfRule type="expression" dxfId="464" priority="484">
      <formula>D$780=""</formula>
    </cfRule>
  </conditionalFormatting>
  <conditionalFormatting sqref="D784">
    <cfRule type="expression" dxfId="463" priority="485">
      <formula>D784="**"</formula>
    </cfRule>
    <cfRule type="expression" dxfId="462" priority="486">
      <formula>D784=""</formula>
    </cfRule>
    <cfRule type="expression" dxfId="461" priority="487">
      <formula>D784&lt;44.5</formula>
    </cfRule>
    <cfRule type="expression" dxfId="460" priority="488">
      <formula>D784&lt;60.5</formula>
    </cfRule>
    <cfRule type="expression" dxfId="459" priority="489">
      <formula>D784&lt;85.5</formula>
    </cfRule>
    <cfRule type="expression" dxfId="458" priority="490">
      <formula>D784&gt;85.5</formula>
    </cfRule>
  </conditionalFormatting>
  <conditionalFormatting sqref="E784">
    <cfRule type="expression" dxfId="457" priority="477">
      <formula>E$780=""</formula>
    </cfRule>
  </conditionalFormatting>
  <conditionalFormatting sqref="E784">
    <cfRule type="expression" dxfId="456" priority="478">
      <formula>E784="**"</formula>
    </cfRule>
    <cfRule type="expression" dxfId="455" priority="479">
      <formula>E784=""</formula>
    </cfRule>
    <cfRule type="expression" dxfId="454" priority="480">
      <formula>E784&lt;44.5</formula>
    </cfRule>
    <cfRule type="expression" dxfId="453" priority="481">
      <formula>E784&lt;60.5</formula>
    </cfRule>
    <cfRule type="expression" dxfId="452" priority="482">
      <formula>E784&lt;85.5</formula>
    </cfRule>
    <cfRule type="expression" dxfId="451" priority="483">
      <formula>E784&gt;85.5</formula>
    </cfRule>
  </conditionalFormatting>
  <conditionalFormatting sqref="F784">
    <cfRule type="expression" dxfId="450" priority="470">
      <formula>F$780=""</formula>
    </cfRule>
  </conditionalFormatting>
  <conditionalFormatting sqref="F784">
    <cfRule type="expression" dxfId="449" priority="471">
      <formula>F784="**"</formula>
    </cfRule>
    <cfRule type="expression" dxfId="448" priority="472">
      <formula>F784=""</formula>
    </cfRule>
    <cfRule type="expression" dxfId="447" priority="473">
      <formula>F784&lt;44.5</formula>
    </cfRule>
    <cfRule type="expression" dxfId="446" priority="474">
      <formula>F784&lt;60.5</formula>
    </cfRule>
    <cfRule type="expression" dxfId="445" priority="475">
      <formula>F784&lt;85.5</formula>
    </cfRule>
    <cfRule type="expression" dxfId="444" priority="476">
      <formula>F784&gt;85.5</formula>
    </cfRule>
  </conditionalFormatting>
  <conditionalFormatting sqref="G784">
    <cfRule type="expression" dxfId="443" priority="463">
      <formula>G$780=""</formula>
    </cfRule>
  </conditionalFormatting>
  <conditionalFormatting sqref="G784">
    <cfRule type="expression" dxfId="442" priority="464">
      <formula>G784="**"</formula>
    </cfRule>
    <cfRule type="expression" dxfId="441" priority="465">
      <formula>G784=""</formula>
    </cfRule>
    <cfRule type="expression" dxfId="440" priority="466">
      <formula>G784&lt;44.5</formula>
    </cfRule>
    <cfRule type="expression" dxfId="439" priority="467">
      <formula>G784&lt;60.5</formula>
    </cfRule>
    <cfRule type="expression" dxfId="438" priority="468">
      <formula>G784&lt;85.5</formula>
    </cfRule>
    <cfRule type="expression" dxfId="437" priority="469">
      <formula>G784&gt;85.5</formula>
    </cfRule>
  </conditionalFormatting>
  <conditionalFormatting sqref="H784">
    <cfRule type="expression" dxfId="436" priority="456">
      <formula>H$780=""</formula>
    </cfRule>
  </conditionalFormatting>
  <conditionalFormatting sqref="H784">
    <cfRule type="expression" dxfId="435" priority="457">
      <formula>H784="**"</formula>
    </cfRule>
    <cfRule type="expression" dxfId="434" priority="458">
      <formula>H784=""</formula>
    </cfRule>
    <cfRule type="expression" dxfId="433" priority="459">
      <formula>H784&lt;44.5</formula>
    </cfRule>
    <cfRule type="expression" dxfId="432" priority="460">
      <formula>H784&lt;60.5</formula>
    </cfRule>
    <cfRule type="expression" dxfId="431" priority="461">
      <formula>H784&lt;85.5</formula>
    </cfRule>
    <cfRule type="expression" dxfId="430" priority="462">
      <formula>H784&gt;85.5</formula>
    </cfRule>
  </conditionalFormatting>
  <conditionalFormatting sqref="I784">
    <cfRule type="expression" dxfId="429" priority="449">
      <formula>I$780=""</formula>
    </cfRule>
  </conditionalFormatting>
  <conditionalFormatting sqref="I784">
    <cfRule type="expression" dxfId="428" priority="450">
      <formula>I784="**"</formula>
    </cfRule>
    <cfRule type="expression" dxfId="427" priority="451">
      <formula>I784=""</formula>
    </cfRule>
    <cfRule type="expression" dxfId="426" priority="452">
      <formula>I784&lt;44.5</formula>
    </cfRule>
    <cfRule type="expression" dxfId="425" priority="453">
      <formula>I784&lt;60.5</formula>
    </cfRule>
    <cfRule type="expression" dxfId="424" priority="454">
      <formula>I784&lt;85.5</formula>
    </cfRule>
    <cfRule type="expression" dxfId="423" priority="455">
      <formula>I784&gt;85.5</formula>
    </cfRule>
  </conditionalFormatting>
  <conditionalFormatting sqref="J784">
    <cfRule type="expression" dxfId="422" priority="442">
      <formula>J$780=""</formula>
    </cfRule>
  </conditionalFormatting>
  <conditionalFormatting sqref="J784">
    <cfRule type="expression" dxfId="421" priority="443">
      <formula>J784="**"</formula>
    </cfRule>
    <cfRule type="expression" dxfId="420" priority="444">
      <formula>J784=""</formula>
    </cfRule>
    <cfRule type="expression" dxfId="419" priority="445">
      <formula>J784&lt;44.5</formula>
    </cfRule>
    <cfRule type="expression" dxfId="418" priority="446">
      <formula>J784&lt;60.5</formula>
    </cfRule>
    <cfRule type="expression" dxfId="417" priority="447">
      <formula>J784&lt;85.5</formula>
    </cfRule>
    <cfRule type="expression" dxfId="416" priority="448">
      <formula>J784&gt;85.5</formula>
    </cfRule>
  </conditionalFormatting>
  <conditionalFormatting sqref="K784">
    <cfRule type="expression" dxfId="415" priority="435">
      <formula>K$780=""</formula>
    </cfRule>
  </conditionalFormatting>
  <conditionalFormatting sqref="K784">
    <cfRule type="expression" dxfId="414" priority="436">
      <formula>K784="**"</formula>
    </cfRule>
    <cfRule type="expression" dxfId="413" priority="437">
      <formula>K784=""</formula>
    </cfRule>
    <cfRule type="expression" dxfId="412" priority="438">
      <formula>K784&lt;44.5</formula>
    </cfRule>
    <cfRule type="expression" dxfId="411" priority="439">
      <formula>K784&lt;60.5</formula>
    </cfRule>
    <cfRule type="expression" dxfId="410" priority="440">
      <formula>K784&lt;85.5</formula>
    </cfRule>
    <cfRule type="expression" dxfId="409" priority="441">
      <formula>K784&gt;85.5</formula>
    </cfRule>
  </conditionalFormatting>
  <conditionalFormatting sqref="L784">
    <cfRule type="expression" dxfId="408" priority="428">
      <formula>L$780=""</formula>
    </cfRule>
  </conditionalFormatting>
  <conditionalFormatting sqref="L784">
    <cfRule type="expression" dxfId="407" priority="429">
      <formula>L784="**"</formula>
    </cfRule>
    <cfRule type="expression" dxfId="406" priority="430">
      <formula>L784=""</formula>
    </cfRule>
    <cfRule type="expression" dxfId="405" priority="431">
      <formula>L784&lt;44.5</formula>
    </cfRule>
    <cfRule type="expression" dxfId="404" priority="432">
      <formula>L784&lt;60.5</formula>
    </cfRule>
    <cfRule type="expression" dxfId="403" priority="433">
      <formula>L784&lt;85.5</formula>
    </cfRule>
    <cfRule type="expression" dxfId="402" priority="434">
      <formula>L784&gt;85.5</formula>
    </cfRule>
  </conditionalFormatting>
  <conditionalFormatting sqref="D814">
    <cfRule type="expression" dxfId="401" priority="421">
      <formula>D$810=""</formula>
    </cfRule>
  </conditionalFormatting>
  <conditionalFormatting sqref="D814">
    <cfRule type="expression" dxfId="400" priority="422">
      <formula>D814="**"</formula>
    </cfRule>
    <cfRule type="expression" dxfId="399" priority="423">
      <formula>D814=""</formula>
    </cfRule>
    <cfRule type="expression" dxfId="398" priority="424">
      <formula>D814&lt;44.5</formula>
    </cfRule>
    <cfRule type="expression" dxfId="397" priority="425">
      <formula>D814&lt;60.5</formula>
    </cfRule>
    <cfRule type="expression" dxfId="396" priority="426">
      <formula>D814&lt;85.5</formula>
    </cfRule>
    <cfRule type="expression" dxfId="395" priority="427">
      <formula>D814&gt;85.5</formula>
    </cfRule>
  </conditionalFormatting>
  <conditionalFormatting sqref="E814">
    <cfRule type="expression" dxfId="394" priority="414">
      <formula>E$810=""</formula>
    </cfRule>
  </conditionalFormatting>
  <conditionalFormatting sqref="E814">
    <cfRule type="expression" dxfId="393" priority="415">
      <formula>E814="**"</formula>
    </cfRule>
    <cfRule type="expression" dxfId="392" priority="416">
      <formula>E814=""</formula>
    </cfRule>
    <cfRule type="expression" dxfId="391" priority="417">
      <formula>E814&lt;44.5</formula>
    </cfRule>
    <cfRule type="expression" dxfId="390" priority="418">
      <formula>E814&lt;60.5</formula>
    </cfRule>
    <cfRule type="expression" dxfId="389" priority="419">
      <formula>E814&lt;85.5</formula>
    </cfRule>
    <cfRule type="expression" dxfId="388" priority="420">
      <formula>E814&gt;85.5</formula>
    </cfRule>
  </conditionalFormatting>
  <conditionalFormatting sqref="F814">
    <cfRule type="expression" dxfId="387" priority="407">
      <formula>F$810=""</formula>
    </cfRule>
  </conditionalFormatting>
  <conditionalFormatting sqref="F814">
    <cfRule type="expression" dxfId="386" priority="408">
      <formula>F814="**"</formula>
    </cfRule>
    <cfRule type="expression" dxfId="385" priority="409">
      <formula>F814=""</formula>
    </cfRule>
    <cfRule type="expression" dxfId="384" priority="410">
      <formula>F814&lt;44.5</formula>
    </cfRule>
    <cfRule type="expression" dxfId="383" priority="411">
      <formula>F814&lt;60.5</formula>
    </cfRule>
    <cfRule type="expression" dxfId="382" priority="412">
      <formula>F814&lt;85.5</formula>
    </cfRule>
    <cfRule type="expression" dxfId="381" priority="413">
      <formula>F814&gt;85.5</formula>
    </cfRule>
  </conditionalFormatting>
  <conditionalFormatting sqref="G814">
    <cfRule type="expression" dxfId="380" priority="400">
      <formula>G$810=""</formula>
    </cfRule>
  </conditionalFormatting>
  <conditionalFormatting sqref="G814">
    <cfRule type="expression" dxfId="379" priority="401">
      <formula>G814="**"</formula>
    </cfRule>
    <cfRule type="expression" dxfId="378" priority="402">
      <formula>G814=""</formula>
    </cfRule>
    <cfRule type="expression" dxfId="377" priority="403">
      <formula>G814&lt;44.5</formula>
    </cfRule>
    <cfRule type="expression" dxfId="376" priority="404">
      <formula>G814&lt;60.5</formula>
    </cfRule>
    <cfRule type="expression" dxfId="375" priority="405">
      <formula>G814&lt;85.5</formula>
    </cfRule>
    <cfRule type="expression" dxfId="374" priority="406">
      <formula>G814&gt;85.5</formula>
    </cfRule>
  </conditionalFormatting>
  <conditionalFormatting sqref="H814">
    <cfRule type="expression" dxfId="373" priority="393">
      <formula>H$810=""</formula>
    </cfRule>
  </conditionalFormatting>
  <conditionalFormatting sqref="H814">
    <cfRule type="expression" dxfId="372" priority="394">
      <formula>H814="**"</formula>
    </cfRule>
    <cfRule type="expression" dxfId="371" priority="395">
      <formula>H814=""</formula>
    </cfRule>
    <cfRule type="expression" dxfId="370" priority="396">
      <formula>H814&lt;44.5</formula>
    </cfRule>
    <cfRule type="expression" dxfId="369" priority="397">
      <formula>H814&lt;60.5</formula>
    </cfRule>
    <cfRule type="expression" dxfId="368" priority="398">
      <formula>H814&lt;85.5</formula>
    </cfRule>
    <cfRule type="expression" dxfId="367" priority="399">
      <formula>H814&gt;85.5</formula>
    </cfRule>
  </conditionalFormatting>
  <conditionalFormatting sqref="I814">
    <cfRule type="expression" dxfId="366" priority="386">
      <formula>I$810=""</formula>
    </cfRule>
  </conditionalFormatting>
  <conditionalFormatting sqref="I814">
    <cfRule type="expression" dxfId="365" priority="387">
      <formula>I814="**"</formula>
    </cfRule>
    <cfRule type="expression" dxfId="364" priority="388">
      <formula>I814=""</formula>
    </cfRule>
    <cfRule type="expression" dxfId="363" priority="389">
      <formula>I814&lt;44.5</formula>
    </cfRule>
    <cfRule type="expression" dxfId="362" priority="390">
      <formula>I814&lt;60.5</formula>
    </cfRule>
    <cfRule type="expression" dxfId="361" priority="391">
      <formula>I814&lt;85.5</formula>
    </cfRule>
    <cfRule type="expression" dxfId="360" priority="392">
      <formula>I814&gt;85.5</formula>
    </cfRule>
  </conditionalFormatting>
  <conditionalFormatting sqref="J814">
    <cfRule type="expression" dxfId="359" priority="379">
      <formula>J$810=""</formula>
    </cfRule>
  </conditionalFormatting>
  <conditionalFormatting sqref="J814">
    <cfRule type="expression" dxfId="358" priority="380">
      <formula>J814="**"</formula>
    </cfRule>
    <cfRule type="expression" dxfId="357" priority="381">
      <formula>J814=""</formula>
    </cfRule>
    <cfRule type="expression" dxfId="356" priority="382">
      <formula>J814&lt;44.5</formula>
    </cfRule>
    <cfRule type="expression" dxfId="355" priority="383">
      <formula>J814&lt;60.5</formula>
    </cfRule>
    <cfRule type="expression" dxfId="354" priority="384">
      <formula>J814&lt;85.5</formula>
    </cfRule>
    <cfRule type="expression" dxfId="353" priority="385">
      <formula>J814&gt;85.5</formula>
    </cfRule>
  </conditionalFormatting>
  <conditionalFormatting sqref="K814">
    <cfRule type="expression" dxfId="352" priority="372">
      <formula>K$810=""</formula>
    </cfRule>
  </conditionalFormatting>
  <conditionalFormatting sqref="K814">
    <cfRule type="expression" dxfId="351" priority="373">
      <formula>K814="**"</formula>
    </cfRule>
    <cfRule type="expression" dxfId="350" priority="374">
      <formula>K814=""</formula>
    </cfRule>
    <cfRule type="expression" dxfId="349" priority="375">
      <formula>K814&lt;44.5</formula>
    </cfRule>
    <cfRule type="expression" dxfId="348" priority="376">
      <formula>K814&lt;60.5</formula>
    </cfRule>
    <cfRule type="expression" dxfId="347" priority="377">
      <formula>K814&lt;85.5</formula>
    </cfRule>
    <cfRule type="expression" dxfId="346" priority="378">
      <formula>K814&gt;85.5</formula>
    </cfRule>
  </conditionalFormatting>
  <conditionalFormatting sqref="L814">
    <cfRule type="expression" dxfId="345" priority="365">
      <formula>L$810=""</formula>
    </cfRule>
  </conditionalFormatting>
  <conditionalFormatting sqref="L814">
    <cfRule type="expression" dxfId="344" priority="366">
      <formula>L814="**"</formula>
    </cfRule>
    <cfRule type="expression" dxfId="343" priority="367">
      <formula>L814=""</formula>
    </cfRule>
    <cfRule type="expression" dxfId="342" priority="368">
      <formula>L814&lt;44.5</formula>
    </cfRule>
    <cfRule type="expression" dxfId="341" priority="369">
      <formula>L814&lt;60.5</formula>
    </cfRule>
    <cfRule type="expression" dxfId="340" priority="370">
      <formula>L814&lt;85.5</formula>
    </cfRule>
    <cfRule type="expression" dxfId="339" priority="371">
      <formula>L814&gt;85.5</formula>
    </cfRule>
  </conditionalFormatting>
  <conditionalFormatting sqref="D844">
    <cfRule type="expression" dxfId="338" priority="358">
      <formula>D$840=""</formula>
    </cfRule>
  </conditionalFormatting>
  <conditionalFormatting sqref="D844">
    <cfRule type="expression" dxfId="337" priority="359">
      <formula>D844="**"</formula>
    </cfRule>
    <cfRule type="expression" dxfId="336" priority="360">
      <formula>D844=""</formula>
    </cfRule>
    <cfRule type="expression" dxfId="335" priority="361">
      <formula>D844&lt;44.5</formula>
    </cfRule>
    <cfRule type="expression" dxfId="334" priority="362">
      <formula>D844&lt;60.5</formula>
    </cfRule>
    <cfRule type="expression" dxfId="333" priority="363">
      <formula>D844&lt;85.5</formula>
    </cfRule>
    <cfRule type="expression" dxfId="332" priority="364">
      <formula>D844&gt;85.5</formula>
    </cfRule>
  </conditionalFormatting>
  <conditionalFormatting sqref="E844">
    <cfRule type="expression" dxfId="331" priority="351">
      <formula>E$840=""</formula>
    </cfRule>
  </conditionalFormatting>
  <conditionalFormatting sqref="E844">
    <cfRule type="expression" dxfId="330" priority="352">
      <formula>E844="**"</formula>
    </cfRule>
    <cfRule type="expression" dxfId="329" priority="353">
      <formula>E844=""</formula>
    </cfRule>
    <cfRule type="expression" dxfId="328" priority="354">
      <formula>E844&lt;44.5</formula>
    </cfRule>
    <cfRule type="expression" dxfId="327" priority="355">
      <formula>E844&lt;60.5</formula>
    </cfRule>
    <cfRule type="expression" dxfId="326" priority="356">
      <formula>E844&lt;85.5</formula>
    </cfRule>
    <cfRule type="expression" dxfId="325" priority="357">
      <formula>E844&gt;85.5</formula>
    </cfRule>
  </conditionalFormatting>
  <conditionalFormatting sqref="F844">
    <cfRule type="expression" dxfId="324" priority="344">
      <formula>F$840=""</formula>
    </cfRule>
  </conditionalFormatting>
  <conditionalFormatting sqref="F844">
    <cfRule type="expression" dxfId="323" priority="345">
      <formula>F844="**"</formula>
    </cfRule>
    <cfRule type="expression" dxfId="322" priority="346">
      <formula>F844=""</formula>
    </cfRule>
    <cfRule type="expression" dxfId="321" priority="347">
      <formula>F844&lt;44.5</formula>
    </cfRule>
    <cfRule type="expression" dxfId="320" priority="348">
      <formula>F844&lt;60.5</formula>
    </cfRule>
    <cfRule type="expression" dxfId="319" priority="349">
      <formula>F844&lt;85.5</formula>
    </cfRule>
    <cfRule type="expression" dxfId="318" priority="350">
      <formula>F844&gt;85.5</formula>
    </cfRule>
  </conditionalFormatting>
  <conditionalFormatting sqref="G844">
    <cfRule type="expression" dxfId="317" priority="337">
      <formula>G$840=""</formula>
    </cfRule>
  </conditionalFormatting>
  <conditionalFormatting sqref="G844">
    <cfRule type="expression" dxfId="316" priority="338">
      <formula>G844="**"</formula>
    </cfRule>
    <cfRule type="expression" dxfId="315" priority="339">
      <formula>G844=""</formula>
    </cfRule>
    <cfRule type="expression" dxfId="314" priority="340">
      <formula>G844&lt;44.5</formula>
    </cfRule>
    <cfRule type="expression" dxfId="313" priority="341">
      <formula>G844&lt;60.5</formula>
    </cfRule>
    <cfRule type="expression" dxfId="312" priority="342">
      <formula>G844&lt;85.5</formula>
    </cfRule>
    <cfRule type="expression" dxfId="311" priority="343">
      <formula>G844&gt;85.5</formula>
    </cfRule>
  </conditionalFormatting>
  <conditionalFormatting sqref="H844">
    <cfRule type="expression" dxfId="310" priority="330">
      <formula>H$840=""</formula>
    </cfRule>
  </conditionalFormatting>
  <conditionalFormatting sqref="H844">
    <cfRule type="expression" dxfId="309" priority="331">
      <formula>H844="**"</formula>
    </cfRule>
    <cfRule type="expression" dxfId="308" priority="332">
      <formula>H844=""</formula>
    </cfRule>
    <cfRule type="expression" dxfId="307" priority="333">
      <formula>H844&lt;44.5</formula>
    </cfRule>
    <cfRule type="expression" dxfId="306" priority="334">
      <formula>H844&lt;60.5</formula>
    </cfRule>
    <cfRule type="expression" dxfId="305" priority="335">
      <formula>H844&lt;85.5</formula>
    </cfRule>
    <cfRule type="expression" dxfId="304" priority="336">
      <formula>H844&gt;85.5</formula>
    </cfRule>
  </conditionalFormatting>
  <conditionalFormatting sqref="I844">
    <cfRule type="expression" dxfId="303" priority="323">
      <formula>I$840=""</formula>
    </cfRule>
  </conditionalFormatting>
  <conditionalFormatting sqref="I844">
    <cfRule type="expression" dxfId="302" priority="324">
      <formula>I844="**"</formula>
    </cfRule>
    <cfRule type="expression" dxfId="301" priority="325">
      <formula>I844=""</formula>
    </cfRule>
    <cfRule type="expression" dxfId="300" priority="326">
      <formula>I844&lt;44.5</formula>
    </cfRule>
    <cfRule type="expression" dxfId="299" priority="327">
      <formula>I844&lt;60.5</formula>
    </cfRule>
    <cfRule type="expression" dxfId="298" priority="328">
      <formula>I844&lt;85.5</formula>
    </cfRule>
    <cfRule type="expression" dxfId="297" priority="329">
      <formula>I844&gt;85.5</formula>
    </cfRule>
  </conditionalFormatting>
  <conditionalFormatting sqref="J844">
    <cfRule type="expression" dxfId="296" priority="316">
      <formula>J$840=""</formula>
    </cfRule>
  </conditionalFormatting>
  <conditionalFormatting sqref="J844">
    <cfRule type="expression" dxfId="295" priority="317">
      <formula>J844="**"</formula>
    </cfRule>
    <cfRule type="expression" dxfId="294" priority="318">
      <formula>J844=""</formula>
    </cfRule>
    <cfRule type="expression" dxfId="293" priority="319">
      <formula>J844&lt;44.5</formula>
    </cfRule>
    <cfRule type="expression" dxfId="292" priority="320">
      <formula>J844&lt;60.5</formula>
    </cfRule>
    <cfRule type="expression" dxfId="291" priority="321">
      <formula>J844&lt;85.5</formula>
    </cfRule>
    <cfRule type="expression" dxfId="290" priority="322">
      <formula>J844&gt;85.5</formula>
    </cfRule>
  </conditionalFormatting>
  <conditionalFormatting sqref="K844">
    <cfRule type="expression" dxfId="289" priority="309">
      <formula>K$840=""</formula>
    </cfRule>
  </conditionalFormatting>
  <conditionalFormatting sqref="K844">
    <cfRule type="expression" dxfId="288" priority="310">
      <formula>K844="**"</formula>
    </cfRule>
    <cfRule type="expression" dxfId="287" priority="311">
      <formula>K844=""</formula>
    </cfRule>
    <cfRule type="expression" dxfId="286" priority="312">
      <formula>K844&lt;44.5</formula>
    </cfRule>
    <cfRule type="expression" dxfId="285" priority="313">
      <formula>K844&lt;60.5</formula>
    </cfRule>
    <cfRule type="expression" dxfId="284" priority="314">
      <formula>K844&lt;85.5</formula>
    </cfRule>
    <cfRule type="expression" dxfId="283" priority="315">
      <formula>K844&gt;85.5</formula>
    </cfRule>
  </conditionalFormatting>
  <conditionalFormatting sqref="L844">
    <cfRule type="expression" dxfId="282" priority="302">
      <formula>L$840=""</formula>
    </cfRule>
  </conditionalFormatting>
  <conditionalFormatting sqref="L844">
    <cfRule type="expression" dxfId="281" priority="303">
      <formula>L844="**"</formula>
    </cfRule>
    <cfRule type="expression" dxfId="280" priority="304">
      <formula>L844=""</formula>
    </cfRule>
    <cfRule type="expression" dxfId="279" priority="305">
      <formula>L844&lt;44.5</formula>
    </cfRule>
    <cfRule type="expression" dxfId="278" priority="306">
      <formula>L844&lt;60.5</formula>
    </cfRule>
    <cfRule type="expression" dxfId="277" priority="307">
      <formula>L844&lt;85.5</formula>
    </cfRule>
    <cfRule type="expression" dxfId="276" priority="308">
      <formula>L844&gt;85.5</formula>
    </cfRule>
  </conditionalFormatting>
  <conditionalFormatting sqref="D874">
    <cfRule type="expression" dxfId="275" priority="295">
      <formula>D$870=""</formula>
    </cfRule>
  </conditionalFormatting>
  <conditionalFormatting sqref="D874">
    <cfRule type="expression" dxfId="274" priority="296">
      <formula>D874="**"</formula>
    </cfRule>
    <cfRule type="expression" dxfId="273" priority="297">
      <formula>D874=""</formula>
    </cfRule>
    <cfRule type="expression" dxfId="272" priority="298">
      <formula>D874&lt;44.5</formula>
    </cfRule>
    <cfRule type="expression" dxfId="271" priority="299">
      <formula>D874&lt;60.5</formula>
    </cfRule>
    <cfRule type="expression" dxfId="270" priority="300">
      <formula>D874&lt;85.5</formula>
    </cfRule>
    <cfRule type="expression" dxfId="269" priority="301">
      <formula>D874&gt;85.5</formula>
    </cfRule>
  </conditionalFormatting>
  <conditionalFormatting sqref="E874">
    <cfRule type="expression" dxfId="268" priority="288">
      <formula>E$870=""</formula>
    </cfRule>
  </conditionalFormatting>
  <conditionalFormatting sqref="E874">
    <cfRule type="expression" dxfId="267" priority="289">
      <formula>E874="**"</formula>
    </cfRule>
    <cfRule type="expression" dxfId="266" priority="290">
      <formula>E874=""</formula>
    </cfRule>
    <cfRule type="expression" dxfId="265" priority="291">
      <formula>E874&lt;44.5</formula>
    </cfRule>
    <cfRule type="expression" dxfId="264" priority="292">
      <formula>E874&lt;60.5</formula>
    </cfRule>
    <cfRule type="expression" dxfId="263" priority="293">
      <formula>E874&lt;85.5</formula>
    </cfRule>
    <cfRule type="expression" dxfId="262" priority="294">
      <formula>E874&gt;85.5</formula>
    </cfRule>
  </conditionalFormatting>
  <conditionalFormatting sqref="F874">
    <cfRule type="expression" dxfId="261" priority="281">
      <formula>F$870=""</formula>
    </cfRule>
  </conditionalFormatting>
  <conditionalFormatting sqref="F874">
    <cfRule type="expression" dxfId="260" priority="282">
      <formula>F874="**"</formula>
    </cfRule>
    <cfRule type="expression" dxfId="259" priority="283">
      <formula>F874=""</formula>
    </cfRule>
    <cfRule type="expression" dxfId="258" priority="284">
      <formula>F874&lt;44.5</formula>
    </cfRule>
    <cfRule type="expression" dxfId="257" priority="285">
      <formula>F874&lt;60.5</formula>
    </cfRule>
    <cfRule type="expression" dxfId="256" priority="286">
      <formula>F874&lt;85.5</formula>
    </cfRule>
    <cfRule type="expression" dxfId="255" priority="287">
      <formula>F874&gt;85.5</formula>
    </cfRule>
  </conditionalFormatting>
  <conditionalFormatting sqref="G874">
    <cfRule type="expression" dxfId="254" priority="274">
      <formula>G$870=""</formula>
    </cfRule>
  </conditionalFormatting>
  <conditionalFormatting sqref="G874">
    <cfRule type="expression" dxfId="253" priority="275">
      <formula>G874="**"</formula>
    </cfRule>
    <cfRule type="expression" dxfId="252" priority="276">
      <formula>G874=""</formula>
    </cfRule>
    <cfRule type="expression" dxfId="251" priority="277">
      <formula>G874&lt;44.5</formula>
    </cfRule>
    <cfRule type="expression" dxfId="250" priority="278">
      <formula>G874&lt;60.5</formula>
    </cfRule>
    <cfRule type="expression" dxfId="249" priority="279">
      <formula>G874&lt;85.5</formula>
    </cfRule>
    <cfRule type="expression" dxfId="248" priority="280">
      <formula>G874&gt;85.5</formula>
    </cfRule>
  </conditionalFormatting>
  <conditionalFormatting sqref="H874">
    <cfRule type="expression" dxfId="247" priority="267">
      <formula>H$870=""</formula>
    </cfRule>
  </conditionalFormatting>
  <conditionalFormatting sqref="H874">
    <cfRule type="expression" dxfId="246" priority="268">
      <formula>H874="**"</formula>
    </cfRule>
    <cfRule type="expression" dxfId="245" priority="269">
      <formula>H874=""</formula>
    </cfRule>
    <cfRule type="expression" dxfId="244" priority="270">
      <formula>H874&lt;44.5</formula>
    </cfRule>
    <cfRule type="expression" dxfId="243" priority="271">
      <formula>H874&lt;60.5</formula>
    </cfRule>
    <cfRule type="expression" dxfId="242" priority="272">
      <formula>H874&lt;85.5</formula>
    </cfRule>
    <cfRule type="expression" dxfId="241" priority="273">
      <formula>H874&gt;85.5</formula>
    </cfRule>
  </conditionalFormatting>
  <conditionalFormatting sqref="I874">
    <cfRule type="expression" dxfId="240" priority="260">
      <formula>I$870=""</formula>
    </cfRule>
  </conditionalFormatting>
  <conditionalFormatting sqref="I874">
    <cfRule type="expression" dxfId="239" priority="261">
      <formula>I874="**"</formula>
    </cfRule>
    <cfRule type="expression" dxfId="238" priority="262">
      <formula>I874=""</formula>
    </cfRule>
    <cfRule type="expression" dxfId="237" priority="263">
      <formula>I874&lt;44.5</formula>
    </cfRule>
    <cfRule type="expression" dxfId="236" priority="264">
      <formula>I874&lt;60.5</formula>
    </cfRule>
    <cfRule type="expression" dxfId="235" priority="265">
      <formula>I874&lt;85.5</formula>
    </cfRule>
    <cfRule type="expression" dxfId="234" priority="266">
      <formula>I874&gt;85.5</formula>
    </cfRule>
  </conditionalFormatting>
  <conditionalFormatting sqref="J874">
    <cfRule type="expression" dxfId="233" priority="253">
      <formula>J$870=""</formula>
    </cfRule>
  </conditionalFormatting>
  <conditionalFormatting sqref="J874">
    <cfRule type="expression" dxfId="232" priority="254">
      <formula>J874="**"</formula>
    </cfRule>
    <cfRule type="expression" dxfId="231" priority="255">
      <formula>J874=""</formula>
    </cfRule>
    <cfRule type="expression" dxfId="230" priority="256">
      <formula>J874&lt;44.5</formula>
    </cfRule>
    <cfRule type="expression" dxfId="229" priority="257">
      <formula>J874&lt;60.5</formula>
    </cfRule>
    <cfRule type="expression" dxfId="228" priority="258">
      <formula>J874&lt;85.5</formula>
    </cfRule>
    <cfRule type="expression" dxfId="227" priority="259">
      <formula>J874&gt;85.5</formula>
    </cfRule>
  </conditionalFormatting>
  <conditionalFormatting sqref="K874">
    <cfRule type="expression" dxfId="226" priority="246">
      <formula>K$870=""</formula>
    </cfRule>
  </conditionalFormatting>
  <conditionalFormatting sqref="K874">
    <cfRule type="expression" dxfId="225" priority="247">
      <formula>K874="**"</formula>
    </cfRule>
    <cfRule type="expression" dxfId="224" priority="248">
      <formula>K874=""</formula>
    </cfRule>
    <cfRule type="expression" dxfId="223" priority="249">
      <formula>K874&lt;44.5</formula>
    </cfRule>
    <cfRule type="expression" dxfId="222" priority="250">
      <formula>K874&lt;60.5</formula>
    </cfRule>
    <cfRule type="expression" dxfId="221" priority="251">
      <formula>K874&lt;85.5</formula>
    </cfRule>
    <cfRule type="expression" dxfId="220" priority="252">
      <formula>K874&gt;85.5</formula>
    </cfRule>
  </conditionalFormatting>
  <conditionalFormatting sqref="L874">
    <cfRule type="expression" dxfId="219" priority="239">
      <formula>L$870=""</formula>
    </cfRule>
  </conditionalFormatting>
  <conditionalFormatting sqref="L874">
    <cfRule type="expression" dxfId="218" priority="240">
      <formula>L874="**"</formula>
    </cfRule>
    <cfRule type="expression" dxfId="217" priority="241">
      <formula>L874=""</formula>
    </cfRule>
    <cfRule type="expression" dxfId="216" priority="242">
      <formula>L874&lt;44.5</formula>
    </cfRule>
    <cfRule type="expression" dxfId="215" priority="243">
      <formula>L874&lt;60.5</formula>
    </cfRule>
    <cfRule type="expression" dxfId="214" priority="244">
      <formula>L874&lt;85.5</formula>
    </cfRule>
    <cfRule type="expression" dxfId="213" priority="245">
      <formula>L874&gt;85.5</formula>
    </cfRule>
  </conditionalFormatting>
  <conditionalFormatting sqref="H904">
    <cfRule type="expression" dxfId="212" priority="204">
      <formula>H$900=""</formula>
    </cfRule>
  </conditionalFormatting>
  <conditionalFormatting sqref="H904">
    <cfRule type="expression" dxfId="211" priority="205">
      <formula>H904="**"</formula>
    </cfRule>
    <cfRule type="expression" dxfId="210" priority="206">
      <formula>H904=""</formula>
    </cfRule>
    <cfRule type="expression" dxfId="209" priority="207">
      <formula>H904&lt;44.5</formula>
    </cfRule>
    <cfRule type="expression" dxfId="208" priority="208">
      <formula>H904&lt;60.5</formula>
    </cfRule>
    <cfRule type="expression" dxfId="207" priority="209">
      <formula>H904&lt;85.5</formula>
    </cfRule>
    <cfRule type="expression" dxfId="206" priority="210">
      <formula>H904&gt;85.5</formula>
    </cfRule>
  </conditionalFormatting>
  <conditionalFormatting sqref="I904">
    <cfRule type="expression" dxfId="205" priority="197">
      <formula>I$900=""</formula>
    </cfRule>
  </conditionalFormatting>
  <conditionalFormatting sqref="I904">
    <cfRule type="expression" dxfId="204" priority="198">
      <formula>I904="**"</formula>
    </cfRule>
    <cfRule type="expression" dxfId="203" priority="199">
      <formula>I904=""</formula>
    </cfRule>
    <cfRule type="expression" dxfId="202" priority="200">
      <formula>I904&lt;44.5</formula>
    </cfRule>
    <cfRule type="expression" dxfId="201" priority="201">
      <formula>I904&lt;60.5</formula>
    </cfRule>
    <cfRule type="expression" dxfId="200" priority="202">
      <formula>I904&lt;85.5</formula>
    </cfRule>
    <cfRule type="expression" dxfId="199" priority="203">
      <formula>I904&gt;85.5</formula>
    </cfRule>
  </conditionalFormatting>
  <conditionalFormatting sqref="J904">
    <cfRule type="expression" dxfId="198" priority="190">
      <formula>J$900=""</formula>
    </cfRule>
  </conditionalFormatting>
  <conditionalFormatting sqref="J904">
    <cfRule type="expression" dxfId="197" priority="191">
      <formula>J904="**"</formula>
    </cfRule>
    <cfRule type="expression" dxfId="196" priority="192">
      <formula>J904=""</formula>
    </cfRule>
    <cfRule type="expression" dxfId="195" priority="193">
      <formula>J904&lt;44.5</formula>
    </cfRule>
    <cfRule type="expression" dxfId="194" priority="194">
      <formula>J904&lt;60.5</formula>
    </cfRule>
    <cfRule type="expression" dxfId="193" priority="195">
      <formula>J904&lt;85.5</formula>
    </cfRule>
    <cfRule type="expression" dxfId="192" priority="196">
      <formula>J904&gt;85.5</formula>
    </cfRule>
  </conditionalFormatting>
  <conditionalFormatting sqref="K904">
    <cfRule type="expression" dxfId="191" priority="183">
      <formula>K$900=""</formula>
    </cfRule>
  </conditionalFormatting>
  <conditionalFormatting sqref="K904">
    <cfRule type="expression" dxfId="190" priority="184">
      <formula>K904="**"</formula>
    </cfRule>
    <cfRule type="expression" dxfId="189" priority="185">
      <formula>K904=""</formula>
    </cfRule>
    <cfRule type="expression" dxfId="188" priority="186">
      <formula>K904&lt;44.5</formula>
    </cfRule>
    <cfRule type="expression" dxfId="187" priority="187">
      <formula>K904&lt;60.5</formula>
    </cfRule>
    <cfRule type="expression" dxfId="186" priority="188">
      <formula>K904&lt;85.5</formula>
    </cfRule>
    <cfRule type="expression" dxfId="185" priority="189">
      <formula>K904&gt;85.5</formula>
    </cfRule>
  </conditionalFormatting>
  <conditionalFormatting sqref="L904">
    <cfRule type="expression" dxfId="184" priority="176">
      <formula>L$900=""</formula>
    </cfRule>
  </conditionalFormatting>
  <conditionalFormatting sqref="L904">
    <cfRule type="expression" dxfId="183" priority="177">
      <formula>L904="**"</formula>
    </cfRule>
    <cfRule type="expression" dxfId="182" priority="178">
      <formula>L904=""</formula>
    </cfRule>
    <cfRule type="expression" dxfId="181" priority="179">
      <formula>L904&lt;44.5</formula>
    </cfRule>
    <cfRule type="expression" dxfId="180" priority="180">
      <formula>L904&lt;60.5</formula>
    </cfRule>
    <cfRule type="expression" dxfId="179" priority="181">
      <formula>L904&lt;85.5</formula>
    </cfRule>
    <cfRule type="expression" dxfId="178" priority="182">
      <formula>L904&gt;85.5</formula>
    </cfRule>
  </conditionalFormatting>
  <conditionalFormatting sqref="M904">
    <cfRule type="expression" dxfId="177" priority="169">
      <formula>M$900=""</formula>
    </cfRule>
  </conditionalFormatting>
  <conditionalFormatting sqref="M904">
    <cfRule type="expression" dxfId="176" priority="170">
      <formula>M904="**"</formula>
    </cfRule>
    <cfRule type="expression" dxfId="175" priority="171">
      <formula>M904=""</formula>
    </cfRule>
    <cfRule type="expression" dxfId="174" priority="172">
      <formula>M904&lt;44.5</formula>
    </cfRule>
    <cfRule type="expression" dxfId="173" priority="173">
      <formula>M904&lt;60.5</formula>
    </cfRule>
    <cfRule type="expression" dxfId="172" priority="174">
      <formula>M904&lt;85.5</formula>
    </cfRule>
    <cfRule type="expression" dxfId="171" priority="175">
      <formula>M904&gt;85.5</formula>
    </cfRule>
  </conditionalFormatting>
  <conditionalFormatting sqref="C901">
    <cfRule type="expression" dxfId="170" priority="162">
      <formula>C901="**"</formula>
    </cfRule>
    <cfRule type="expression" dxfId="169" priority="163">
      <formula>C901=""</formula>
    </cfRule>
    <cfRule type="expression" dxfId="168" priority="164">
      <formula>C901&lt;44.5</formula>
    </cfRule>
    <cfRule type="expression" dxfId="167" priority="165">
      <formula>C901&lt;60.5</formula>
    </cfRule>
    <cfRule type="expression" dxfId="166" priority="166">
      <formula>C901&lt;85.5</formula>
    </cfRule>
    <cfRule type="expression" dxfId="165" priority="167">
      <formula>C901&gt;85.5</formula>
    </cfRule>
  </conditionalFormatting>
  <conditionalFormatting sqref="C901:C903 C905">
    <cfRule type="expression" dxfId="164" priority="143">
      <formula>C$900=""</formula>
    </cfRule>
  </conditionalFormatting>
  <conditionalFormatting sqref="C902">
    <cfRule type="expression" dxfId="163" priority="156">
      <formula>C902="**"</formula>
    </cfRule>
    <cfRule type="expression" dxfId="162" priority="157">
      <formula>C902=""</formula>
    </cfRule>
    <cfRule type="expression" dxfId="161" priority="158">
      <formula>C902&lt;44.5</formula>
    </cfRule>
    <cfRule type="expression" dxfId="160" priority="159">
      <formula>C902&lt;60.5</formula>
    </cfRule>
    <cfRule type="expression" dxfId="159" priority="160">
      <formula>C902&lt;85.5</formula>
    </cfRule>
    <cfRule type="expression" dxfId="158" priority="161">
      <formula>C902&gt;85.5</formula>
    </cfRule>
  </conditionalFormatting>
  <conditionalFormatting sqref="C903">
    <cfRule type="expression" dxfId="157" priority="150">
      <formula>C903="**"</formula>
    </cfRule>
    <cfRule type="expression" dxfId="156" priority="151">
      <formula>C903=""</formula>
    </cfRule>
    <cfRule type="expression" dxfId="155" priority="152">
      <formula>C903&lt;44.5</formula>
    </cfRule>
    <cfRule type="expression" dxfId="154" priority="153">
      <formula>C903&lt;60.5</formula>
    </cfRule>
    <cfRule type="expression" dxfId="153" priority="154">
      <formula>C903&lt;85.5</formula>
    </cfRule>
    <cfRule type="expression" dxfId="152" priority="155">
      <formula>C903&gt;85.5</formula>
    </cfRule>
  </conditionalFormatting>
  <conditionalFormatting sqref="C905">
    <cfRule type="expression" dxfId="151" priority="144">
      <formula>C905="**"</formula>
    </cfRule>
    <cfRule type="expression" dxfId="150" priority="145">
      <formula>C905=""</formula>
    </cfRule>
    <cfRule type="expression" dxfId="149" priority="146">
      <formula>C905&lt;44.5</formula>
    </cfRule>
    <cfRule type="expression" dxfId="148" priority="147">
      <formula>C905&lt;60.5</formula>
    </cfRule>
    <cfRule type="expression" dxfId="147" priority="148">
      <formula>C905&lt;85.5</formula>
    </cfRule>
    <cfRule type="expression" dxfId="146" priority="149">
      <formula>C905&gt;85.5</formula>
    </cfRule>
  </conditionalFormatting>
  <conditionalFormatting sqref="D901">
    <cfRule type="expression" dxfId="145" priority="137">
      <formula>D901="**"</formula>
    </cfRule>
    <cfRule type="expression" dxfId="144" priority="138">
      <formula>D901=""</formula>
    </cfRule>
    <cfRule type="expression" dxfId="143" priority="139">
      <formula>D901&lt;44.5</formula>
    </cfRule>
    <cfRule type="expression" dxfId="142" priority="140">
      <formula>D901&lt;60.5</formula>
    </cfRule>
    <cfRule type="expression" dxfId="141" priority="141">
      <formula>D901&lt;85.5</formula>
    </cfRule>
    <cfRule type="expression" dxfId="140" priority="142">
      <formula>D901&gt;85.5</formula>
    </cfRule>
  </conditionalFormatting>
  <conditionalFormatting sqref="D901:D903 D905">
    <cfRule type="expression" dxfId="139" priority="118">
      <formula>D$900=""</formula>
    </cfRule>
  </conditionalFormatting>
  <conditionalFormatting sqref="D902">
    <cfRule type="expression" dxfId="138" priority="131">
      <formula>D902="**"</formula>
    </cfRule>
    <cfRule type="expression" dxfId="137" priority="132">
      <formula>D902=""</formula>
    </cfRule>
    <cfRule type="expression" dxfId="136" priority="133">
      <formula>D902&lt;44.5</formula>
    </cfRule>
    <cfRule type="expression" dxfId="135" priority="134">
      <formula>D902&lt;60.5</formula>
    </cfRule>
    <cfRule type="expression" dxfId="134" priority="135">
      <formula>D902&lt;85.5</formula>
    </cfRule>
    <cfRule type="expression" dxfId="133" priority="136">
      <formula>D902&gt;85.5</formula>
    </cfRule>
  </conditionalFormatting>
  <conditionalFormatting sqref="D903">
    <cfRule type="expression" dxfId="132" priority="125">
      <formula>D903="**"</formula>
    </cfRule>
    <cfRule type="expression" dxfId="131" priority="126">
      <formula>D903=""</formula>
    </cfRule>
    <cfRule type="expression" dxfId="130" priority="127">
      <formula>D903&lt;44.5</formula>
    </cfRule>
    <cfRule type="expression" dxfId="129" priority="128">
      <formula>D903&lt;60.5</formula>
    </cfRule>
    <cfRule type="expression" dxfId="128" priority="129">
      <formula>D903&lt;85.5</formula>
    </cfRule>
    <cfRule type="expression" dxfId="127" priority="130">
      <formula>D903&gt;85.5</formula>
    </cfRule>
  </conditionalFormatting>
  <conditionalFormatting sqref="D905">
    <cfRule type="expression" dxfId="126" priority="119">
      <formula>D905="**"</formula>
    </cfRule>
    <cfRule type="expression" dxfId="125" priority="120">
      <formula>D905=""</formula>
    </cfRule>
    <cfRule type="expression" dxfId="124" priority="121">
      <formula>D905&lt;44.5</formula>
    </cfRule>
    <cfRule type="expression" dxfId="123" priority="122">
      <formula>D905&lt;60.5</formula>
    </cfRule>
    <cfRule type="expression" dxfId="122" priority="123">
      <formula>D905&lt;85.5</formula>
    </cfRule>
    <cfRule type="expression" dxfId="121" priority="124">
      <formula>D905&gt;85.5</formula>
    </cfRule>
  </conditionalFormatting>
  <conditionalFormatting sqref="E901">
    <cfRule type="expression" dxfId="120" priority="112">
      <formula>E901="**"</formula>
    </cfRule>
    <cfRule type="expression" dxfId="119" priority="113">
      <formula>E901=""</formula>
    </cfRule>
    <cfRule type="expression" dxfId="118" priority="114">
      <formula>E901&lt;44.5</formula>
    </cfRule>
    <cfRule type="expression" dxfId="117" priority="115">
      <formula>E901&lt;60.5</formula>
    </cfRule>
    <cfRule type="expression" dxfId="116" priority="116">
      <formula>E901&lt;85.5</formula>
    </cfRule>
    <cfRule type="expression" dxfId="115" priority="117">
      <formula>E901&gt;85.5</formula>
    </cfRule>
  </conditionalFormatting>
  <conditionalFormatting sqref="E901:E903 E905">
    <cfRule type="expression" dxfId="114" priority="93">
      <formula>E$900=""</formula>
    </cfRule>
  </conditionalFormatting>
  <conditionalFormatting sqref="E902">
    <cfRule type="expression" dxfId="113" priority="106">
      <formula>E902="**"</formula>
    </cfRule>
    <cfRule type="expression" dxfId="112" priority="107">
      <formula>E902=""</formula>
    </cfRule>
    <cfRule type="expression" dxfId="111" priority="108">
      <formula>E902&lt;44.5</formula>
    </cfRule>
    <cfRule type="expression" dxfId="110" priority="109">
      <formula>E902&lt;60.5</formula>
    </cfRule>
    <cfRule type="expression" dxfId="109" priority="110">
      <formula>E902&lt;85.5</formula>
    </cfRule>
    <cfRule type="expression" dxfId="108" priority="111">
      <formula>E902&gt;85.5</formula>
    </cfRule>
  </conditionalFormatting>
  <conditionalFormatting sqref="E903">
    <cfRule type="expression" dxfId="107" priority="100">
      <formula>E903="**"</formula>
    </cfRule>
    <cfRule type="expression" dxfId="106" priority="101">
      <formula>E903=""</formula>
    </cfRule>
    <cfRule type="expression" dxfId="105" priority="102">
      <formula>E903&lt;44.5</formula>
    </cfRule>
    <cfRule type="expression" dxfId="104" priority="103">
      <formula>E903&lt;60.5</formula>
    </cfRule>
    <cfRule type="expression" dxfId="103" priority="104">
      <formula>E903&lt;85.5</formula>
    </cfRule>
    <cfRule type="expression" dxfId="102" priority="105">
      <formula>E903&gt;85.5</formula>
    </cfRule>
  </conditionalFormatting>
  <conditionalFormatting sqref="E905">
    <cfRule type="expression" dxfId="101" priority="94">
      <formula>E905="**"</formula>
    </cfRule>
    <cfRule type="expression" dxfId="100" priority="95">
      <formula>E905=""</formula>
    </cfRule>
    <cfRule type="expression" dxfId="99" priority="96">
      <formula>E905&lt;44.5</formula>
    </cfRule>
    <cfRule type="expression" dxfId="98" priority="97">
      <formula>E905&lt;60.5</formula>
    </cfRule>
    <cfRule type="expression" dxfId="97" priority="98">
      <formula>E905&lt;85.5</formula>
    </cfRule>
    <cfRule type="expression" dxfId="96" priority="99">
      <formula>E905&gt;85.5</formula>
    </cfRule>
  </conditionalFormatting>
  <conditionalFormatting sqref="F901">
    <cfRule type="expression" dxfId="95" priority="87">
      <formula>F901="**"</formula>
    </cfRule>
    <cfRule type="expression" dxfId="94" priority="88">
      <formula>F901=""</formula>
    </cfRule>
    <cfRule type="expression" dxfId="93" priority="89">
      <formula>F901&lt;44.5</formula>
    </cfRule>
    <cfRule type="expression" dxfId="92" priority="90">
      <formula>F901&lt;60.5</formula>
    </cfRule>
    <cfRule type="expression" dxfId="91" priority="91">
      <formula>F901&lt;85.5</formula>
    </cfRule>
    <cfRule type="expression" dxfId="90" priority="92">
      <formula>F901&gt;85.5</formula>
    </cfRule>
  </conditionalFormatting>
  <conditionalFormatting sqref="F901:F903 F905">
    <cfRule type="expression" dxfId="89" priority="68">
      <formula>F$900=""</formula>
    </cfRule>
  </conditionalFormatting>
  <conditionalFormatting sqref="F902">
    <cfRule type="expression" dxfId="88" priority="81">
      <formula>F902="**"</formula>
    </cfRule>
    <cfRule type="expression" dxfId="87" priority="82">
      <formula>F902=""</formula>
    </cfRule>
    <cfRule type="expression" dxfId="86" priority="83">
      <formula>F902&lt;44.5</formula>
    </cfRule>
    <cfRule type="expression" dxfId="85" priority="84">
      <formula>F902&lt;60.5</formula>
    </cfRule>
    <cfRule type="expression" dxfId="84" priority="85">
      <formula>F902&lt;85.5</formula>
    </cfRule>
    <cfRule type="expression" dxfId="83" priority="86">
      <formula>F902&gt;85.5</formula>
    </cfRule>
  </conditionalFormatting>
  <conditionalFormatting sqref="F903">
    <cfRule type="expression" dxfId="82" priority="75">
      <formula>F903="**"</formula>
    </cfRule>
    <cfRule type="expression" dxfId="81" priority="76">
      <formula>F903=""</formula>
    </cfRule>
    <cfRule type="expression" dxfId="80" priority="77">
      <formula>F903&lt;44.5</formula>
    </cfRule>
    <cfRule type="expression" dxfId="79" priority="78">
      <formula>F903&lt;60.5</formula>
    </cfRule>
    <cfRule type="expression" dxfId="78" priority="79">
      <formula>F903&lt;85.5</formula>
    </cfRule>
    <cfRule type="expression" dxfId="77" priority="80">
      <formula>F903&gt;85.5</formula>
    </cfRule>
  </conditionalFormatting>
  <conditionalFormatting sqref="F905">
    <cfRule type="expression" dxfId="76" priority="69">
      <formula>F905="**"</formula>
    </cfRule>
    <cfRule type="expression" dxfId="75" priority="70">
      <formula>F905=""</formula>
    </cfRule>
    <cfRule type="expression" dxfId="74" priority="71">
      <formula>F905&lt;44.5</formula>
    </cfRule>
    <cfRule type="expression" dxfId="73" priority="72">
      <formula>F905&lt;60.5</formula>
    </cfRule>
    <cfRule type="expression" dxfId="72" priority="73">
      <formula>F905&lt;85.5</formula>
    </cfRule>
    <cfRule type="expression" dxfId="71" priority="74">
      <formula>F905&gt;85.5</formula>
    </cfRule>
  </conditionalFormatting>
  <conditionalFormatting sqref="C904">
    <cfRule type="expression" dxfId="70" priority="61">
      <formula>C$900=""</formula>
    </cfRule>
  </conditionalFormatting>
  <conditionalFormatting sqref="C904">
    <cfRule type="expression" dxfId="69" priority="62">
      <formula>C904="**"</formula>
    </cfRule>
    <cfRule type="expression" dxfId="68" priority="63">
      <formula>C904=""</formula>
    </cfRule>
    <cfRule type="expression" dxfId="67" priority="64">
      <formula>C904&lt;44.5</formula>
    </cfRule>
    <cfRule type="expression" dxfId="66" priority="65">
      <formula>C904&lt;60.5</formula>
    </cfRule>
    <cfRule type="expression" dxfId="65" priority="66">
      <formula>C904&lt;85.5</formula>
    </cfRule>
    <cfRule type="expression" dxfId="64" priority="67">
      <formula>C904&gt;85.5</formula>
    </cfRule>
  </conditionalFormatting>
  <conditionalFormatting sqref="D904">
    <cfRule type="expression" dxfId="63" priority="54">
      <formula>D$900=""</formula>
    </cfRule>
  </conditionalFormatting>
  <conditionalFormatting sqref="D904">
    <cfRule type="expression" dxfId="62" priority="55">
      <formula>D904="**"</formula>
    </cfRule>
    <cfRule type="expression" dxfId="61" priority="56">
      <formula>D904=""</formula>
    </cfRule>
    <cfRule type="expression" dxfId="60" priority="57">
      <formula>D904&lt;44.5</formula>
    </cfRule>
    <cfRule type="expression" dxfId="59" priority="58">
      <formula>D904&lt;60.5</formula>
    </cfRule>
    <cfRule type="expression" dxfId="58" priority="59">
      <formula>D904&lt;85.5</formula>
    </cfRule>
    <cfRule type="expression" dxfId="57" priority="60">
      <formula>D904&gt;85.5</formula>
    </cfRule>
  </conditionalFormatting>
  <conditionalFormatting sqref="E904">
    <cfRule type="expression" dxfId="56" priority="47">
      <formula>E$900=""</formula>
    </cfRule>
  </conditionalFormatting>
  <conditionalFormatting sqref="E904">
    <cfRule type="expression" dxfId="55" priority="48">
      <formula>E904="**"</formula>
    </cfRule>
    <cfRule type="expression" dxfId="54" priority="49">
      <formula>E904=""</formula>
    </cfRule>
    <cfRule type="expression" dxfId="53" priority="50">
      <formula>E904&lt;44.5</formula>
    </cfRule>
    <cfRule type="expression" dxfId="52" priority="51">
      <formula>E904&lt;60.5</formula>
    </cfRule>
    <cfRule type="expression" dxfId="51" priority="52">
      <formula>E904&lt;85.5</formula>
    </cfRule>
    <cfRule type="expression" dxfId="50" priority="53">
      <formula>E904&gt;85.5</formula>
    </cfRule>
  </conditionalFormatting>
  <conditionalFormatting sqref="F904">
    <cfRule type="expression" dxfId="49" priority="40">
      <formula>F$900=""</formula>
    </cfRule>
  </conditionalFormatting>
  <conditionalFormatting sqref="F904">
    <cfRule type="expression" dxfId="48" priority="41">
      <formula>F904="**"</formula>
    </cfRule>
    <cfRule type="expression" dxfId="47" priority="42">
      <formula>F904=""</formula>
    </cfRule>
    <cfRule type="expression" dxfId="46" priority="43">
      <formula>F904&lt;44.5</formula>
    </cfRule>
    <cfRule type="expression" dxfId="45" priority="44">
      <formula>F904&lt;60.5</formula>
    </cfRule>
    <cfRule type="expression" dxfId="44" priority="45">
      <formula>F904&lt;85.5</formula>
    </cfRule>
    <cfRule type="expression" dxfId="43" priority="46">
      <formula>F904&gt;85.5</formula>
    </cfRule>
  </conditionalFormatting>
  <conditionalFormatting sqref="G901">
    <cfRule type="expression" dxfId="42" priority="27">
      <formula>G901="**"</formula>
    </cfRule>
    <cfRule type="expression" dxfId="41" priority="28">
      <formula>G901=""</formula>
    </cfRule>
    <cfRule type="expression" dxfId="40" priority="29">
      <formula>G901&lt;44.5</formula>
    </cfRule>
    <cfRule type="expression" dxfId="39" priority="30">
      <formula>G901&lt;60.5</formula>
    </cfRule>
    <cfRule type="expression" dxfId="38" priority="31">
      <formula>G901&lt;85.5</formula>
    </cfRule>
    <cfRule type="expression" dxfId="37" priority="32">
      <formula>G901&gt;85.5</formula>
    </cfRule>
  </conditionalFormatting>
  <conditionalFormatting sqref="G901:G903 G905">
    <cfRule type="expression" dxfId="36" priority="8">
      <formula>G$900=""</formula>
    </cfRule>
  </conditionalFormatting>
  <conditionalFormatting sqref="G902">
    <cfRule type="expression" dxfId="35" priority="21">
      <formula>G902="**"</formula>
    </cfRule>
    <cfRule type="expression" dxfId="34" priority="22">
      <formula>G902=""</formula>
    </cfRule>
    <cfRule type="expression" dxfId="33" priority="23">
      <formula>G902&lt;44.5</formula>
    </cfRule>
    <cfRule type="expression" dxfId="32" priority="24">
      <formula>G902&lt;60.5</formula>
    </cfRule>
    <cfRule type="expression" dxfId="31" priority="25">
      <formula>G902&lt;85.5</formula>
    </cfRule>
    <cfRule type="expression" dxfId="30" priority="26">
      <formula>G902&gt;85.5</formula>
    </cfRule>
  </conditionalFormatting>
  <conditionalFormatting sqref="G903">
    <cfRule type="expression" dxfId="29" priority="15">
      <formula>G903="**"</formula>
    </cfRule>
    <cfRule type="expression" dxfId="28" priority="16">
      <formula>G903=""</formula>
    </cfRule>
    <cfRule type="expression" dxfId="27" priority="17">
      <formula>G903&lt;44.5</formula>
    </cfRule>
    <cfRule type="expression" dxfId="26" priority="18">
      <formula>G903&lt;60.5</formula>
    </cfRule>
    <cfRule type="expression" dxfId="25" priority="19">
      <formula>G903&lt;85.5</formula>
    </cfRule>
    <cfRule type="expression" dxfId="24" priority="20">
      <formula>G903&gt;85.5</formula>
    </cfRule>
  </conditionalFormatting>
  <conditionalFormatting sqref="G905">
    <cfRule type="expression" dxfId="23" priority="9">
      <formula>G905="**"</formula>
    </cfRule>
    <cfRule type="expression" dxfId="22" priority="10">
      <formula>G905=""</formula>
    </cfRule>
    <cfRule type="expression" dxfId="21" priority="11">
      <formula>G905&lt;44.5</formula>
    </cfRule>
    <cfRule type="expression" dxfId="20" priority="12">
      <formula>G905&lt;60.5</formula>
    </cfRule>
    <cfRule type="expression" dxfId="19" priority="13">
      <formula>G905&lt;85.5</formula>
    </cfRule>
    <cfRule type="expression" dxfId="18" priority="14">
      <formula>G905&gt;85.5</formula>
    </cfRule>
  </conditionalFormatting>
  <conditionalFormatting sqref="G904">
    <cfRule type="expression" dxfId="17" priority="1">
      <formula>G$900=""</formula>
    </cfRule>
  </conditionalFormatting>
  <conditionalFormatting sqref="G904">
    <cfRule type="expression" dxfId="16" priority="2">
      <formula>G904="**"</formula>
    </cfRule>
    <cfRule type="expression" dxfId="15" priority="3">
      <formula>G904=""</formula>
    </cfRule>
    <cfRule type="expression" dxfId="14" priority="4">
      <formula>G904&lt;44.5</formula>
    </cfRule>
    <cfRule type="expression" dxfId="13" priority="5">
      <formula>G904&lt;60.5</formula>
    </cfRule>
    <cfRule type="expression" dxfId="12" priority="6">
      <formula>G904&lt;85.5</formula>
    </cfRule>
    <cfRule type="expression" dxfId="11" priority="7">
      <formula>G904&gt;85.5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M693"/>
  <sheetViews>
    <sheetView showGridLines="0" zoomScale="70" zoomScaleNormal="70" workbookViewId="0"/>
  </sheetViews>
  <sheetFormatPr baseColWidth="10" defaultColWidth="11.42578125" defaultRowHeight="15"/>
  <cols>
    <col min="2" max="2" width="37.5703125" style="11" customWidth="1"/>
    <col min="3" max="3" width="41" style="11" customWidth="1"/>
    <col min="4" max="5" width="29.85546875" customWidth="1"/>
    <col min="6" max="6" width="14.42578125" style="11" customWidth="1"/>
    <col min="7" max="7" width="11.42578125" style="1"/>
    <col min="10" max="11" width="35.42578125" style="11" customWidth="1"/>
  </cols>
  <sheetData>
    <row r="1" spans="1:11" ht="15.75" thickBot="1">
      <c r="A1" s="38"/>
      <c r="B1" s="39" t="s">
        <v>165</v>
      </c>
      <c r="C1" s="40" t="s">
        <v>166</v>
      </c>
      <c r="D1" s="41" t="s">
        <v>167</v>
      </c>
      <c r="E1" s="41" t="s">
        <v>182</v>
      </c>
      <c r="F1" s="41"/>
      <c r="G1" s="41"/>
    </row>
    <row r="2" spans="1:11" s="9" customFormat="1" ht="19.5" customHeight="1">
      <c r="A2" s="34" t="s">
        <v>168</v>
      </c>
      <c r="B2" s="35" t="s">
        <v>281</v>
      </c>
      <c r="C2" s="36"/>
      <c r="D2" s="37" t="str">
        <f>"Total Respondentes: "&amp; SUM('TI COPIA'!$J3:$N3)</f>
        <v>Total Respondentes: 546</v>
      </c>
      <c r="E2" s="37"/>
      <c r="F2" s="37" t="s">
        <v>162</v>
      </c>
      <c r="G2" s="37" t="str">
        <f>B2</f>
        <v>Cargo</v>
      </c>
      <c r="J2" s="15"/>
      <c r="K2" s="15"/>
    </row>
    <row r="3" spans="1:11" s="9" customFormat="1" ht="19.5" customHeight="1">
      <c r="A3" s="13" t="s">
        <v>169</v>
      </c>
      <c r="B3" s="12" t="s">
        <v>300</v>
      </c>
      <c r="C3" s="24"/>
      <c r="D3" s="10" t="str">
        <f>"Total Respondentes: "&amp; SUM('TI COPIA'!$P3:$Q3)</f>
        <v>Total Respondentes: 546</v>
      </c>
      <c r="E3" s="10"/>
      <c r="F3" s="10" t="s">
        <v>160</v>
      </c>
      <c r="G3" s="10" t="str">
        <f t="shared" ref="G3:G31" si="0">B3</f>
        <v>Género</v>
      </c>
      <c r="J3" s="15"/>
      <c r="K3" s="15"/>
    </row>
    <row r="4" spans="1:11" s="9" customFormat="1" ht="19.5" customHeight="1">
      <c r="A4" s="13" t="s">
        <v>170</v>
      </c>
      <c r="B4" s="12" t="s">
        <v>299</v>
      </c>
      <c r="C4" s="24"/>
      <c r="D4" s="10" t="str">
        <f>"Total Respondentes: "&amp; SUM('TI COPIA'!$S3:$W3)</f>
        <v>Total Respondentes: 546</v>
      </c>
      <c r="E4" s="10"/>
      <c r="F4" s="10" t="s">
        <v>161</v>
      </c>
      <c r="G4" s="10" t="str">
        <f t="shared" si="0"/>
        <v>Edad</v>
      </c>
      <c r="J4" s="15"/>
      <c r="K4" s="15"/>
    </row>
    <row r="5" spans="1:11" s="9" customFormat="1" ht="19.5" customHeight="1">
      <c r="A5" s="13" t="s">
        <v>171</v>
      </c>
      <c r="B5" s="12" t="s">
        <v>757</v>
      </c>
      <c r="C5" s="24"/>
      <c r="D5" s="10" t="str">
        <f>"Total Respondentes: "&amp; SUM('TI COPIA'!$Y3:$AC3)</f>
        <v>Total Respondentes: 546</v>
      </c>
      <c r="E5" s="10"/>
      <c r="F5" s="10" t="s">
        <v>159</v>
      </c>
      <c r="G5" s="10" t="str">
        <f t="shared" si="0"/>
        <v>Antigüedad en la Empresa</v>
      </c>
      <c r="J5" s="15"/>
      <c r="K5" s="15"/>
    </row>
    <row r="6" spans="1:11" s="9" customFormat="1" ht="19.5" customHeight="1">
      <c r="A6" s="13" t="s">
        <v>172</v>
      </c>
      <c r="B6" s="12" t="s">
        <v>441</v>
      </c>
      <c r="C6" s="24"/>
      <c r="D6" s="10" t="str">
        <f>"Total Respondentes: "&amp; SUM('TI COPIA'!$AE3:$AF3)</f>
        <v>Total Respondentes: 546</v>
      </c>
      <c r="E6" s="10"/>
      <c r="F6" s="10" t="s">
        <v>163</v>
      </c>
      <c r="G6" s="10" t="str">
        <f t="shared" si="0"/>
        <v>Jornada Laboral</v>
      </c>
      <c r="J6" s="15"/>
      <c r="K6" s="15"/>
    </row>
    <row r="7" spans="1:11" s="9" customFormat="1" ht="19.5" customHeight="1">
      <c r="A7" s="13" t="s">
        <v>173</v>
      </c>
      <c r="B7" s="12" t="s">
        <v>815</v>
      </c>
      <c r="C7" s="24"/>
      <c r="D7" s="10" t="str">
        <f>"Total Respondentes: "&amp; SUM('TI COPIA'!$AH3:$AK3)</f>
        <v>Total Respondentes: 512</v>
      </c>
      <c r="E7" s="10"/>
      <c r="F7" s="10" t="s">
        <v>297</v>
      </c>
      <c r="G7" s="10" t="str">
        <f t="shared" si="0"/>
        <v>Cantidad de Reuniones de Feedback en FY16</v>
      </c>
      <c r="J7" s="15"/>
      <c r="K7" s="15"/>
    </row>
    <row r="8" spans="1:11" s="9" customFormat="1" ht="19.5" customHeight="1">
      <c r="A8" s="13" t="s">
        <v>174</v>
      </c>
      <c r="B8" s="12" t="s">
        <v>823</v>
      </c>
      <c r="C8" s="24"/>
      <c r="D8" s="10" t="str">
        <f>"Total Respondentes: "&amp; SUM('TI COPIA'!$AM3:$AS3)</f>
        <v>Total Respondentes: 121</v>
      </c>
      <c r="E8" s="10"/>
      <c r="F8" s="10" t="s">
        <v>449</v>
      </c>
      <c r="G8" s="10" t="str">
        <f t="shared" si="0"/>
        <v>Lob1</v>
      </c>
      <c r="J8" s="15"/>
      <c r="K8" s="15"/>
    </row>
    <row r="9" spans="1:11" s="9" customFormat="1" ht="19.5" customHeight="1">
      <c r="A9" s="13" t="s">
        <v>175</v>
      </c>
      <c r="B9" s="12" t="s">
        <v>827</v>
      </c>
      <c r="C9" s="24"/>
      <c r="D9" s="10" t="str">
        <f>"Total Respondentes: "&amp; SUM('TI COPIA'!$AU3:$BA3)</f>
        <v>Total Respondentes: 253</v>
      </c>
      <c r="E9" s="10"/>
      <c r="F9" s="10" t="s">
        <v>450</v>
      </c>
      <c r="G9" s="10" t="str">
        <f t="shared" si="0"/>
        <v>Lob2</v>
      </c>
      <c r="J9" s="15"/>
      <c r="K9" s="15"/>
    </row>
    <row r="10" spans="1:11" s="9" customFormat="1" ht="19.5" customHeight="1">
      <c r="A10" s="13" t="s">
        <v>176</v>
      </c>
      <c r="B10" s="12" t="s">
        <v>832</v>
      </c>
      <c r="C10" s="24"/>
      <c r="D10" s="10" t="str">
        <f>"Total Respondentes: "&amp; SUM('TI COPIA'!$BC3:$BI3)</f>
        <v>Total Respondentes: 172</v>
      </c>
      <c r="E10" s="10"/>
      <c r="F10" s="10" t="s">
        <v>451</v>
      </c>
      <c r="G10" s="10" t="str">
        <f t="shared" si="0"/>
        <v>Lob3</v>
      </c>
      <c r="J10" s="15"/>
      <c r="K10" s="15"/>
    </row>
    <row r="11" spans="1:11" s="9" customFormat="1" ht="19.5" customHeight="1">
      <c r="A11" s="13" t="s">
        <v>177</v>
      </c>
      <c r="B11" s="12" t="s">
        <v>816</v>
      </c>
      <c r="C11" s="149"/>
      <c r="D11" s="10" t="str">
        <f>"Total Respondentes: "&amp; SUM('TI COPIA'!$BK3:$BL3)</f>
        <v>Total Respondentes: 7</v>
      </c>
      <c r="E11" s="10"/>
      <c r="F11" s="10" t="s">
        <v>452</v>
      </c>
      <c r="G11" s="10" t="str">
        <f t="shared" si="0"/>
        <v>Cloud Services</v>
      </c>
      <c r="J11" s="15"/>
      <c r="K11" s="15"/>
    </row>
    <row r="12" spans="1:11" s="9" customFormat="1" ht="19.5" customHeight="1">
      <c r="A12" s="13" t="s">
        <v>178</v>
      </c>
      <c r="B12" s="12" t="s">
        <v>817</v>
      </c>
      <c r="C12" s="24"/>
      <c r="D12" s="10" t="str">
        <f>"Total Respondentes: "&amp; SUM('TI COPIA'!$BN3:$BQ3)</f>
        <v>Total Respondentes: 6</v>
      </c>
      <c r="E12" s="10"/>
      <c r="F12" s="10" t="s">
        <v>453</v>
      </c>
      <c r="G12" s="10" t="str">
        <f t="shared" si="0"/>
        <v>Development</v>
      </c>
      <c r="J12" s="15"/>
      <c r="K12" s="15"/>
    </row>
    <row r="13" spans="1:11" s="9" customFormat="1" ht="19.5" customHeight="1">
      <c r="A13" s="13" t="s">
        <v>179</v>
      </c>
      <c r="B13" s="12" t="s">
        <v>843</v>
      </c>
      <c r="C13" s="24"/>
      <c r="D13" s="10" t="str">
        <f>"Total Respondentes: "&amp; SUM('TI COPIA'!$BS3:$BV3)</f>
        <v>Total Respondentes: 54</v>
      </c>
      <c r="E13" s="10"/>
      <c r="F13" s="10" t="s">
        <v>454</v>
      </c>
      <c r="G13" s="10" t="str">
        <f t="shared" si="0"/>
        <v>GBU´s/IBU´S</v>
      </c>
      <c r="J13" s="15"/>
      <c r="K13" s="15"/>
    </row>
    <row r="14" spans="1:11" s="9" customFormat="1" ht="19.5" customHeight="1">
      <c r="A14" s="13" t="s">
        <v>180</v>
      </c>
      <c r="B14" s="12" t="s">
        <v>819</v>
      </c>
      <c r="C14" s="24"/>
      <c r="D14" s="10" t="str">
        <f>"Total Respondentes: "&amp; SUM('TI COPIA'!$BX3:$BY3)</f>
        <v>Total Respondentes: 5</v>
      </c>
      <c r="E14" s="10"/>
      <c r="F14" s="10" t="s">
        <v>455</v>
      </c>
      <c r="G14" s="10" t="str">
        <f t="shared" si="0"/>
        <v>Global G&amp;A/Manufacturing (SSC &amp; Others)</v>
      </c>
      <c r="J14" s="15"/>
      <c r="K14" s="15"/>
    </row>
    <row r="15" spans="1:11" s="9" customFormat="1" ht="19.5" customHeight="1">
      <c r="A15" s="13" t="s">
        <v>181</v>
      </c>
      <c r="B15" s="12" t="s">
        <v>820</v>
      </c>
      <c r="C15" s="24"/>
      <c r="D15" s="10" t="str">
        <f>"Total Respondentes: "&amp; SUM('TI COPIA'!$CA3:$CB3)</f>
        <v>Total Respondentes: 5</v>
      </c>
      <c r="E15" s="10"/>
      <c r="F15" s="10" t="s">
        <v>456</v>
      </c>
      <c r="G15" s="10" t="str">
        <f t="shared" si="0"/>
        <v>Global IT</v>
      </c>
      <c r="J15" s="15"/>
      <c r="K15" s="15"/>
    </row>
    <row r="16" spans="1:11" s="9" customFormat="1" ht="19.5" customHeight="1">
      <c r="A16" s="13" t="s">
        <v>226</v>
      </c>
      <c r="B16" s="12" t="s">
        <v>821</v>
      </c>
      <c r="C16" s="24"/>
      <c r="D16" s="10" t="str">
        <f>"Total Respondentes: "&amp; SUM('TI COPIA'!$CD3:$CE3)</f>
        <v>Total Respondentes: 41</v>
      </c>
      <c r="E16" s="10"/>
      <c r="F16" s="10" t="s">
        <v>457</v>
      </c>
      <c r="G16" s="10" t="str">
        <f t="shared" si="0"/>
        <v>Global Sales CEO Office</v>
      </c>
      <c r="J16" s="15"/>
      <c r="K16" s="15"/>
    </row>
    <row r="17" spans="1:11" s="9" customFormat="1" ht="19.5" customHeight="1">
      <c r="A17" s="13" t="s">
        <v>227</v>
      </c>
      <c r="B17" s="12" t="s">
        <v>822</v>
      </c>
      <c r="C17" s="24"/>
      <c r="D17" s="10" t="str">
        <f>"Total Respondentes: "&amp; SUM('TI COPIA'!$CG3:$CH3)</f>
        <v>Total Respondentes: 3</v>
      </c>
      <c r="E17" s="10"/>
      <c r="F17" s="10" t="s">
        <v>458</v>
      </c>
      <c r="G17" s="10" t="str">
        <f t="shared" si="0"/>
        <v>Product Support</v>
      </c>
      <c r="J17" s="15"/>
      <c r="K17" s="15"/>
    </row>
    <row r="18" spans="1:11" s="9" customFormat="1" ht="19.5" customHeight="1">
      <c r="A18" s="13" t="s">
        <v>228</v>
      </c>
      <c r="B18" s="12" t="s">
        <v>824</v>
      </c>
      <c r="C18" s="24"/>
      <c r="D18" s="10" t="str">
        <f>"Total Respondentes: "&amp; SUM('TI COPIA'!$CJ3:$CM3)</f>
        <v>Total Respondentes: 22</v>
      </c>
      <c r="E18" s="10"/>
      <c r="F18" s="10" t="s">
        <v>459</v>
      </c>
      <c r="G18" s="10" t="str">
        <f t="shared" si="0"/>
        <v>Eduardo Lopez´s Org (excl. Consulting)</v>
      </c>
      <c r="J18" s="15"/>
      <c r="K18" s="15"/>
    </row>
    <row r="19" spans="1:11" s="9" customFormat="1" ht="19.5" customHeight="1">
      <c r="A19" s="13" t="s">
        <v>229</v>
      </c>
      <c r="B19" s="12" t="s">
        <v>764</v>
      </c>
      <c r="C19" s="24"/>
      <c r="D19" s="10" t="str">
        <f>"Total Respondentes: "&amp; SUM('TI COPIA'!$CO3:$CQ3)</f>
        <v>Total Respondentes: 157</v>
      </c>
      <c r="E19" s="10"/>
      <c r="F19" s="10" t="s">
        <v>460</v>
      </c>
      <c r="G19" s="10" t="str">
        <f t="shared" si="0"/>
        <v>LAD Consulting</v>
      </c>
      <c r="J19" s="15"/>
      <c r="K19" s="15"/>
    </row>
    <row r="20" spans="1:11" s="9" customFormat="1" ht="19.5" customHeight="1">
      <c r="A20" s="13" t="s">
        <v>230</v>
      </c>
      <c r="B20" s="12" t="s">
        <v>766</v>
      </c>
      <c r="C20" s="24"/>
      <c r="D20" s="10" t="str">
        <f>"Total Respondentes: "&amp; SUM('TI COPIA'!$CS3:$CX3)</f>
        <v>Total Respondentes: 41</v>
      </c>
      <c r="E20" s="10"/>
      <c r="F20" s="10" t="s">
        <v>461</v>
      </c>
      <c r="G20" s="10" t="str">
        <f t="shared" si="0"/>
        <v>LAD Customer Services</v>
      </c>
      <c r="J20" s="15"/>
      <c r="K20" s="15"/>
    </row>
    <row r="21" spans="1:11" s="9" customFormat="1" ht="19.5" customHeight="1">
      <c r="A21" s="13" t="s">
        <v>231</v>
      </c>
      <c r="B21" s="12" t="s">
        <v>825</v>
      </c>
      <c r="C21" s="24"/>
      <c r="D21" s="10" t="str">
        <f>"Total Respondentes: "&amp; SUM('TI COPIA'!$CZ3:$CZ3)</f>
        <v>Total Respondentes: 5</v>
      </c>
      <c r="E21" s="10"/>
      <c r="F21" s="10" t="s">
        <v>462</v>
      </c>
      <c r="G21" s="10" t="str">
        <f t="shared" si="0"/>
        <v>LAD Deal Management</v>
      </c>
      <c r="J21" s="15"/>
      <c r="K21" s="15"/>
    </row>
    <row r="22" spans="1:11" s="9" customFormat="1" ht="19.5" customHeight="1">
      <c r="A22" s="13" t="s">
        <v>285</v>
      </c>
      <c r="B22" s="12" t="s">
        <v>765</v>
      </c>
      <c r="C22" s="24"/>
      <c r="D22" s="10" t="str">
        <f>"Total Respondentes: "&amp; SUM('TI COPIA'!$DB3:$DB3)</f>
        <v>Total Respondentes: 4</v>
      </c>
      <c r="E22" s="10"/>
      <c r="F22" s="10" t="s">
        <v>463</v>
      </c>
      <c r="G22" s="10" t="str">
        <f t="shared" si="0"/>
        <v>LAD Education</v>
      </c>
      <c r="J22" s="15"/>
      <c r="K22" s="15"/>
    </row>
    <row r="23" spans="1:11" s="9" customFormat="1" ht="19.5" customHeight="1">
      <c r="A23" s="13" t="s">
        <v>286</v>
      </c>
      <c r="B23" s="12" t="s">
        <v>782</v>
      </c>
      <c r="C23" s="24"/>
      <c r="D23" s="10" t="str">
        <f>"Total Respondentes: "&amp; SUM('TI COPIA'!$DD3:$DD3)</f>
        <v>Total Respondentes: 7</v>
      </c>
      <c r="E23" s="10"/>
      <c r="F23" s="10" t="s">
        <v>464</v>
      </c>
      <c r="G23" s="10" t="str">
        <f t="shared" si="0"/>
        <v>LAD Facilities</v>
      </c>
      <c r="J23" s="15"/>
      <c r="K23" s="15"/>
    </row>
    <row r="24" spans="1:11" s="9" customFormat="1" ht="19.5" customHeight="1">
      <c r="A24" s="13" t="s">
        <v>287</v>
      </c>
      <c r="B24" s="12" t="s">
        <v>826</v>
      </c>
      <c r="C24" s="24"/>
      <c r="D24" s="10" t="str">
        <f>"Total Respondentes: "&amp; SUM('TI COPIA'!$DF3:$DF3)</f>
        <v>Total Respondentes: 17</v>
      </c>
      <c r="E24" s="10"/>
      <c r="F24" s="10" t="s">
        <v>465</v>
      </c>
      <c r="G24" s="10" t="str">
        <f t="shared" si="0"/>
        <v>LAD Finance &amp; Operations (Cheryl McDowell´s)</v>
      </c>
      <c r="J24" s="15"/>
      <c r="K24" s="15"/>
    </row>
    <row r="25" spans="1:11" s="9" customFormat="1" ht="19.5" customHeight="1">
      <c r="A25" s="13" t="s">
        <v>288</v>
      </c>
      <c r="B25" s="12" t="s">
        <v>783</v>
      </c>
      <c r="C25" s="24"/>
      <c r="D25" s="10" t="str">
        <f>"Total Respondentes: "&amp; SUM('TI COPIA'!$DH3:$DH3)</f>
        <v>Total Respondentes: 5</v>
      </c>
      <c r="E25" s="10"/>
      <c r="F25" s="10" t="s">
        <v>466</v>
      </c>
      <c r="G25" s="10" t="str">
        <f t="shared" si="0"/>
        <v>LAD HR</v>
      </c>
      <c r="J25" s="15"/>
      <c r="K25" s="15"/>
    </row>
    <row r="26" spans="1:11" s="9" customFormat="1" ht="19.5" customHeight="1">
      <c r="A26" s="13" t="s">
        <v>289</v>
      </c>
      <c r="B26" s="12" t="s">
        <v>785</v>
      </c>
      <c r="C26" s="24"/>
      <c r="D26" s="10" t="str">
        <f>"Total Respondentes: "&amp; SUM('TI COPIA'!$DJ3:$DJ3)</f>
        <v>Total Respondentes: 2</v>
      </c>
      <c r="E26" s="10"/>
      <c r="F26" s="10" t="s">
        <v>467</v>
      </c>
      <c r="G26" s="10" t="str">
        <f t="shared" si="0"/>
        <v>LAD Legal</v>
      </c>
      <c r="J26" s="15"/>
      <c r="K26" s="15"/>
    </row>
    <row r="27" spans="1:11" s="9" customFormat="1" ht="19.5" customHeight="1">
      <c r="A27" s="13" t="s">
        <v>290</v>
      </c>
      <c r="B27" s="12" t="s">
        <v>828</v>
      </c>
      <c r="C27" s="24"/>
      <c r="D27" s="10" t="str">
        <f>"Total Respondentes: "&amp; SUM('TI COPIA'!$DL3:$DV3)</f>
        <v>Total Respondentes: 110</v>
      </c>
      <c r="E27" s="10"/>
      <c r="F27" s="10" t="s">
        <v>468</v>
      </c>
      <c r="G27" s="10" t="str">
        <f t="shared" si="0"/>
        <v>LAD Licenses &amp; Systems</v>
      </c>
      <c r="J27" s="15"/>
      <c r="K27" s="15"/>
    </row>
    <row r="28" spans="1:11" s="9" customFormat="1" ht="19.5" customHeight="1">
      <c r="A28" s="13" t="s">
        <v>291</v>
      </c>
      <c r="B28" s="12" t="s">
        <v>786</v>
      </c>
      <c r="C28" s="24"/>
      <c r="D28" s="10" t="str">
        <f>"Total Respondentes: "&amp; SUM('TI COPIA'!$DX3:$DX3)</f>
        <v>Total Respondentes: 2</v>
      </c>
      <c r="E28" s="10"/>
      <c r="F28" s="10" t="s">
        <v>469</v>
      </c>
      <c r="G28" s="10" t="str">
        <f t="shared" si="0"/>
        <v>LAD LMS</v>
      </c>
      <c r="J28" s="15"/>
      <c r="K28" s="15"/>
    </row>
    <row r="29" spans="1:11" s="9" customFormat="1" ht="19.5" customHeight="1">
      <c r="A29" s="13" t="s">
        <v>292</v>
      </c>
      <c r="B29" s="12" t="s">
        <v>829</v>
      </c>
      <c r="C29" s="24"/>
      <c r="D29" s="10" t="str">
        <f>"Total Respondentes: "&amp; SUM('TI COPIA'!$DZ3:$EB3)</f>
        <v>Total Respondentes: 9</v>
      </c>
      <c r="E29" s="10"/>
      <c r="F29" s="10" t="s">
        <v>470</v>
      </c>
      <c r="G29" s="10" t="str">
        <f t="shared" si="0"/>
        <v>LAD Marketing</v>
      </c>
      <c r="J29" s="15"/>
      <c r="K29" s="15"/>
    </row>
    <row r="30" spans="1:11" s="9" customFormat="1" ht="19.5" customHeight="1">
      <c r="A30" s="13" t="s">
        <v>293</v>
      </c>
      <c r="B30" s="12" t="s">
        <v>830</v>
      </c>
      <c r="C30" s="24"/>
      <c r="D30" s="10" t="str">
        <f>"Total Respondentes: "&amp; SUM('TI COPIA'!$ED3:$EE3)</f>
        <v>Total Respondentes: 6</v>
      </c>
      <c r="E30" s="10"/>
      <c r="F30" s="10" t="s">
        <v>471</v>
      </c>
      <c r="G30" s="10" t="str">
        <f t="shared" si="0"/>
        <v>LAD Recruiting</v>
      </c>
      <c r="J30" s="15"/>
      <c r="K30" s="15"/>
    </row>
    <row r="31" spans="1:11" s="9" customFormat="1" ht="19.5" customHeight="1">
      <c r="A31" s="13" t="s">
        <v>294</v>
      </c>
      <c r="B31" s="12" t="s">
        <v>831</v>
      </c>
      <c r="C31" s="24"/>
      <c r="D31" s="10" t="str">
        <f>"Total Respondentes: "&amp; SUM('TI COPIA'!$EG3:$EG3)</f>
        <v>Total Respondentes: 19</v>
      </c>
      <c r="E31" s="10"/>
      <c r="F31" s="10" t="s">
        <v>472</v>
      </c>
      <c r="G31" s="10" t="str">
        <f t="shared" si="0"/>
        <v>LAD Support</v>
      </c>
      <c r="J31" s="15"/>
      <c r="K31" s="15"/>
    </row>
    <row r="32" spans="1:11" s="9" customFormat="1" ht="17.100000000000001" customHeight="1">
      <c r="A32" s="26"/>
      <c r="B32" s="27"/>
      <c r="C32" s="28"/>
      <c r="D32" s="29"/>
      <c r="E32" s="29"/>
      <c r="F32" s="16"/>
      <c r="G32" s="1"/>
      <c r="J32" s="15"/>
      <c r="K32" s="15"/>
    </row>
    <row r="33" spans="1:11" s="9" customFormat="1" ht="17.100000000000001" customHeight="1">
      <c r="A33" s="30"/>
      <c r="B33" s="31"/>
      <c r="C33" s="2"/>
      <c r="D33" s="32"/>
      <c r="E33" s="32"/>
      <c r="F33" s="16"/>
      <c r="G33" s="1"/>
      <c r="J33" s="15"/>
      <c r="K33" s="15"/>
    </row>
    <row r="34" spans="1:11" s="9" customFormat="1" ht="17.100000000000001" customHeight="1">
      <c r="A34" s="30"/>
      <c r="B34" s="11"/>
      <c r="C34" s="11"/>
      <c r="D34"/>
      <c r="E34" s="32"/>
      <c r="F34" s="16"/>
      <c r="G34" s="1"/>
      <c r="J34" s="15"/>
      <c r="K34" s="15"/>
    </row>
    <row r="35" spans="1:11" s="9" customFormat="1" ht="17.100000000000001" customHeight="1">
      <c r="A35" s="30"/>
      <c r="B35" s="11"/>
      <c r="C35" s="11"/>
      <c r="D35"/>
      <c r="E35" s="32"/>
      <c r="F35" s="16"/>
      <c r="G35" s="1"/>
      <c r="J35" s="15"/>
      <c r="K35" s="15"/>
    </row>
    <row r="36" spans="1:11" ht="17.100000000000001" customHeight="1"/>
    <row r="37" spans="1:11" ht="17.100000000000001" customHeight="1"/>
    <row r="38" spans="1:11" ht="17.100000000000001" customHeight="1">
      <c r="A38" s="33"/>
    </row>
    <row r="39" spans="1:11" ht="17.100000000000001" customHeight="1">
      <c r="A39" s="33"/>
    </row>
    <row r="40" spans="1:11" ht="17.100000000000001" customHeight="1">
      <c r="A40" s="33"/>
    </row>
    <row r="41" spans="1:11" ht="17.100000000000001" customHeight="1">
      <c r="A41" s="33"/>
    </row>
    <row r="42" spans="1:11" ht="17.100000000000001" customHeight="1">
      <c r="A42" s="33"/>
    </row>
    <row r="43" spans="1:11" ht="17.100000000000001" customHeight="1">
      <c r="A43" s="33"/>
    </row>
    <row r="44" spans="1:11" ht="17.100000000000001" customHeight="1">
      <c r="A44" s="33"/>
    </row>
    <row r="45" spans="1:11" ht="17.100000000000001" customHeight="1">
      <c r="A45" s="33"/>
    </row>
    <row r="46" spans="1:11" ht="17.100000000000001" customHeight="1">
      <c r="A46" s="33"/>
    </row>
    <row r="47" spans="1:11" ht="17.100000000000001" customHeight="1">
      <c r="A47" s="33"/>
    </row>
    <row r="48" spans="1:11" ht="17.100000000000001" customHeight="1">
      <c r="A48" s="33"/>
    </row>
    <row r="49" spans="1:13" ht="17.100000000000001" customHeight="1">
      <c r="A49" s="33"/>
    </row>
    <row r="50" spans="1:13" ht="17.100000000000001" customHeight="1">
      <c r="A50" s="33"/>
    </row>
    <row r="51" spans="1:13" ht="17.100000000000001" customHeight="1">
      <c r="A51" s="33"/>
      <c r="L51" t="s">
        <v>212</v>
      </c>
    </row>
    <row r="52" spans="1:13" ht="17.100000000000001" customHeight="1">
      <c r="A52" s="33"/>
      <c r="L52" t="s">
        <v>212</v>
      </c>
    </row>
    <row r="53" spans="1:13" ht="17.100000000000001" customHeight="1">
      <c r="A53" s="33"/>
    </row>
    <row r="54" spans="1:13" ht="17.100000000000001" customHeight="1">
      <c r="A54" s="33"/>
    </row>
    <row r="55" spans="1:13" ht="17.100000000000001" customHeight="1">
      <c r="A55" s="33"/>
      <c r="M55" s="11"/>
    </row>
    <row r="56" spans="1:13" ht="17.100000000000001" customHeight="1">
      <c r="A56" s="33"/>
      <c r="M56" s="11"/>
    </row>
    <row r="57" spans="1:13" ht="17.100000000000001" customHeight="1">
      <c r="A57" s="33"/>
      <c r="M57" s="11"/>
    </row>
    <row r="58" spans="1:13" ht="17.100000000000001" customHeight="1">
      <c r="A58" s="33"/>
      <c r="M58" s="11"/>
    </row>
    <row r="59" spans="1:13" ht="17.100000000000001" customHeight="1">
      <c r="A59" s="33"/>
      <c r="M59" s="11"/>
    </row>
    <row r="60" spans="1:13" ht="17.100000000000001" customHeight="1">
      <c r="A60" s="33"/>
      <c r="M60" s="11"/>
    </row>
    <row r="61" spans="1:13" ht="17.100000000000001" customHeight="1">
      <c r="A61" s="33"/>
      <c r="M61" s="11"/>
    </row>
    <row r="62" spans="1:13" ht="17.100000000000001" customHeight="1">
      <c r="A62" s="33"/>
      <c r="M62" s="11"/>
    </row>
    <row r="63" spans="1:13" ht="17.100000000000001" customHeight="1">
      <c r="A63" s="33"/>
      <c r="M63" s="11"/>
    </row>
    <row r="64" spans="1:13" ht="17.100000000000001" customHeight="1">
      <c r="A64" s="33"/>
      <c r="M64" s="11"/>
    </row>
    <row r="65" spans="1:13" ht="17.100000000000001" customHeight="1">
      <c r="A65" s="33"/>
      <c r="M65" s="11"/>
    </row>
    <row r="66" spans="1:13" ht="17.100000000000001" customHeight="1">
      <c r="A66" s="33"/>
      <c r="M66" s="11"/>
    </row>
    <row r="67" spans="1:13" ht="17.100000000000001" customHeight="1">
      <c r="A67" s="33"/>
      <c r="M67" s="11"/>
    </row>
    <row r="68" spans="1:13" ht="17.100000000000001" customHeight="1">
      <c r="A68" s="33"/>
      <c r="M68" s="11"/>
    </row>
    <row r="69" spans="1:13" ht="17.100000000000001" customHeight="1">
      <c r="A69" s="33"/>
      <c r="M69" s="11"/>
    </row>
    <row r="70" spans="1:13" ht="17.100000000000001" customHeight="1">
      <c r="A70" s="33"/>
    </row>
    <row r="71" spans="1:13" ht="17.100000000000001" customHeight="1">
      <c r="A71" s="33"/>
    </row>
    <row r="72" spans="1:13" ht="17.100000000000001" customHeight="1">
      <c r="A72" s="33"/>
    </row>
    <row r="73" spans="1:13" ht="17.100000000000001" customHeight="1">
      <c r="A73" s="33"/>
    </row>
    <row r="74" spans="1:13" ht="17.100000000000001" customHeight="1">
      <c r="A74" s="33"/>
    </row>
    <row r="75" spans="1:13" ht="17.100000000000001" customHeight="1">
      <c r="A75" s="33"/>
      <c r="L75" t="s">
        <v>212</v>
      </c>
    </row>
    <row r="76" spans="1:13" ht="17.100000000000001" customHeight="1">
      <c r="A76" s="33"/>
      <c r="L76" t="s">
        <v>212</v>
      </c>
    </row>
    <row r="77" spans="1:13" ht="17.100000000000001" customHeight="1">
      <c r="A77" s="33"/>
      <c r="L77" t="s">
        <v>212</v>
      </c>
    </row>
    <row r="78" spans="1:13" ht="17.100000000000001" customHeight="1">
      <c r="A78" s="33"/>
      <c r="L78" t="s">
        <v>212</v>
      </c>
    </row>
    <row r="79" spans="1:13" ht="17.100000000000001" customHeight="1">
      <c r="A79" s="33"/>
      <c r="L79" t="s">
        <v>212</v>
      </c>
    </row>
    <row r="80" spans="1:13" ht="17.100000000000001" customHeight="1">
      <c r="A80" s="33"/>
      <c r="L80" t="s">
        <v>212</v>
      </c>
    </row>
    <row r="81" spans="1:12" ht="17.100000000000001" customHeight="1">
      <c r="A81" s="33"/>
      <c r="L81" t="s">
        <v>212</v>
      </c>
    </row>
    <row r="82" spans="1:12" ht="17.100000000000001" customHeight="1">
      <c r="A82" s="33"/>
      <c r="L82" t="s">
        <v>212</v>
      </c>
    </row>
    <row r="83" spans="1:12" ht="17.100000000000001" customHeight="1">
      <c r="A83" s="33"/>
      <c r="L83" t="s">
        <v>212</v>
      </c>
    </row>
    <row r="84" spans="1:12" ht="17.100000000000001" customHeight="1">
      <c r="A84" s="33"/>
      <c r="L84" t="s">
        <v>212</v>
      </c>
    </row>
    <row r="85" spans="1:12" ht="17.100000000000001" customHeight="1">
      <c r="A85" s="33"/>
      <c r="L85" t="s">
        <v>212</v>
      </c>
    </row>
    <row r="86" spans="1:12" ht="17.100000000000001" customHeight="1">
      <c r="A86" s="33"/>
      <c r="L86" t="s">
        <v>212</v>
      </c>
    </row>
    <row r="87" spans="1:12" ht="17.100000000000001" customHeight="1">
      <c r="A87" s="33"/>
      <c r="L87" t="s">
        <v>212</v>
      </c>
    </row>
    <row r="88" spans="1:12" ht="17.100000000000001" customHeight="1">
      <c r="A88" s="33"/>
    </row>
    <row r="89" spans="1:12" ht="17.100000000000001" customHeight="1">
      <c r="A89" s="33"/>
    </row>
    <row r="90" spans="1:12" ht="17.100000000000001" customHeight="1">
      <c r="A90" s="33"/>
    </row>
    <row r="91" spans="1:12" ht="17.100000000000001" customHeight="1">
      <c r="A91" s="33"/>
    </row>
    <row r="92" spans="1:12" ht="17.100000000000001" customHeight="1">
      <c r="A92" s="33"/>
    </row>
    <row r="93" spans="1:12" ht="17.100000000000001" customHeight="1">
      <c r="A93" s="33"/>
    </row>
    <row r="94" spans="1:12" ht="17.100000000000001" customHeight="1">
      <c r="A94" s="33"/>
    </row>
    <row r="95" spans="1:12" ht="17.100000000000001" customHeight="1">
      <c r="A95" s="33"/>
    </row>
    <row r="96" spans="1:12" ht="17.100000000000001" customHeight="1">
      <c r="A96" s="33"/>
    </row>
    <row r="97" spans="1:1" ht="17.100000000000001" customHeight="1">
      <c r="A97" s="33"/>
    </row>
    <row r="98" spans="1:1" ht="17.100000000000001" customHeight="1">
      <c r="A98" s="33"/>
    </row>
    <row r="99" spans="1:1" ht="17.100000000000001" customHeight="1">
      <c r="A99" s="33"/>
    </row>
    <row r="100" spans="1:1" ht="17.100000000000001" customHeight="1">
      <c r="A100" s="33"/>
    </row>
    <row r="101" spans="1:1" ht="17.100000000000001" customHeight="1">
      <c r="A101" s="33"/>
    </row>
    <row r="102" spans="1:1" ht="17.100000000000001" customHeight="1">
      <c r="A102" s="33"/>
    </row>
    <row r="103" spans="1:1" ht="17.100000000000001" customHeight="1">
      <c r="A103" s="33"/>
    </row>
    <row r="104" spans="1:1" ht="17.100000000000001" customHeight="1">
      <c r="A104" s="33"/>
    </row>
    <row r="105" spans="1:1" ht="17.100000000000001" customHeight="1">
      <c r="A105" s="33"/>
    </row>
    <row r="106" spans="1:1" ht="17.100000000000001" customHeight="1">
      <c r="A106" s="33"/>
    </row>
    <row r="107" spans="1:1" ht="17.100000000000001" customHeight="1">
      <c r="A107" s="33"/>
    </row>
    <row r="108" spans="1:1" ht="17.100000000000001" customHeight="1">
      <c r="A108" s="33"/>
    </row>
    <row r="109" spans="1:1" ht="17.100000000000001" customHeight="1">
      <c r="A109" s="33"/>
    </row>
    <row r="110" spans="1:1" ht="17.100000000000001" customHeight="1">
      <c r="A110" s="33"/>
    </row>
    <row r="111" spans="1:1" ht="17.100000000000001" customHeight="1">
      <c r="A111" s="33"/>
    </row>
    <row r="112" spans="1:1" ht="17.100000000000001" customHeight="1">
      <c r="A112" s="33"/>
    </row>
    <row r="113" spans="1:1" ht="17.100000000000001" customHeight="1">
      <c r="A113" s="33"/>
    </row>
    <row r="114" spans="1:1" ht="17.100000000000001" customHeight="1">
      <c r="A114" s="33"/>
    </row>
    <row r="115" spans="1:1" ht="17.100000000000001" customHeight="1">
      <c r="A115" s="33"/>
    </row>
    <row r="116" spans="1:1" ht="17.100000000000001" customHeight="1">
      <c r="A116" s="33"/>
    </row>
    <row r="117" spans="1:1" ht="17.100000000000001" customHeight="1">
      <c r="A117" s="33"/>
    </row>
    <row r="118" spans="1:1" ht="17.100000000000001" customHeight="1">
      <c r="A118" s="33"/>
    </row>
    <row r="119" spans="1:1" ht="17.100000000000001" customHeight="1">
      <c r="A119" s="33"/>
    </row>
    <row r="120" spans="1:1" ht="17.100000000000001" customHeight="1">
      <c r="A120" s="33"/>
    </row>
    <row r="121" spans="1:1" ht="17.100000000000001" customHeight="1">
      <c r="A121" s="33"/>
    </row>
    <row r="122" spans="1:1" ht="17.100000000000001" customHeight="1">
      <c r="A122" s="33"/>
    </row>
    <row r="123" spans="1:1" ht="17.100000000000001" customHeight="1">
      <c r="A123" s="33"/>
    </row>
    <row r="124" spans="1:1" ht="17.100000000000001" customHeight="1">
      <c r="A124" s="33"/>
    </row>
    <row r="125" spans="1:1" ht="17.100000000000001" customHeight="1">
      <c r="A125" s="33"/>
    </row>
    <row r="126" spans="1:1" ht="17.100000000000001" customHeight="1">
      <c r="A126" s="33"/>
    </row>
    <row r="127" spans="1:1" ht="17.100000000000001" customHeight="1">
      <c r="A127" s="33"/>
    </row>
    <row r="128" spans="1:1" ht="17.100000000000001" customHeight="1">
      <c r="A128" s="33"/>
    </row>
    <row r="129" spans="1:1" ht="17.100000000000001" customHeight="1">
      <c r="A129" s="33"/>
    </row>
    <row r="130" spans="1:1" ht="17.100000000000001" customHeight="1">
      <c r="A130" s="33"/>
    </row>
    <row r="131" spans="1:1" ht="17.100000000000001" customHeight="1">
      <c r="A131" s="33"/>
    </row>
    <row r="132" spans="1:1" ht="17.100000000000001" customHeight="1">
      <c r="A132" s="33"/>
    </row>
    <row r="133" spans="1:1" ht="17.100000000000001" customHeight="1">
      <c r="A133" s="33"/>
    </row>
    <row r="134" spans="1:1" ht="17.100000000000001" customHeight="1">
      <c r="A134" s="33"/>
    </row>
    <row r="135" spans="1:1" ht="17.100000000000001" customHeight="1">
      <c r="A135" s="33"/>
    </row>
    <row r="136" spans="1:1" ht="17.100000000000001" customHeight="1">
      <c r="A136" s="33"/>
    </row>
    <row r="137" spans="1:1" ht="17.100000000000001" customHeight="1">
      <c r="A137" s="33"/>
    </row>
    <row r="138" spans="1:1" ht="17.100000000000001" customHeight="1">
      <c r="A138" s="33"/>
    </row>
    <row r="139" spans="1:1" ht="17.100000000000001" customHeight="1">
      <c r="A139" s="33"/>
    </row>
    <row r="140" spans="1:1" ht="17.100000000000001" customHeight="1">
      <c r="A140" s="33"/>
    </row>
    <row r="141" spans="1:1" ht="17.100000000000001" customHeight="1">
      <c r="A141" s="33"/>
    </row>
    <row r="142" spans="1:1" ht="17.100000000000001" customHeight="1">
      <c r="A142" s="33"/>
    </row>
    <row r="143" spans="1:1" ht="17.100000000000001" customHeight="1">
      <c r="A143" s="33"/>
    </row>
    <row r="144" spans="1:1" ht="17.100000000000001" customHeight="1">
      <c r="A144" s="33"/>
    </row>
    <row r="145" spans="1:1" ht="17.100000000000001" customHeight="1">
      <c r="A145" s="33"/>
    </row>
    <row r="146" spans="1:1" ht="17.100000000000001" customHeight="1">
      <c r="A146" s="33"/>
    </row>
    <row r="147" spans="1:1" ht="17.100000000000001" customHeight="1">
      <c r="A147" s="33"/>
    </row>
    <row r="148" spans="1:1" ht="17.100000000000001" customHeight="1">
      <c r="A148" s="33"/>
    </row>
    <row r="149" spans="1:1" ht="17.100000000000001" customHeight="1">
      <c r="A149" s="33"/>
    </row>
    <row r="150" spans="1:1" ht="17.100000000000001" customHeight="1">
      <c r="A150" s="33"/>
    </row>
    <row r="151" spans="1:1" ht="17.100000000000001" customHeight="1">
      <c r="A151" s="33"/>
    </row>
    <row r="152" spans="1:1" ht="17.100000000000001" customHeight="1">
      <c r="A152" s="33"/>
    </row>
    <row r="153" spans="1:1" ht="17.100000000000001" customHeight="1">
      <c r="A153" s="33"/>
    </row>
    <row r="154" spans="1:1" ht="17.100000000000001" customHeight="1">
      <c r="A154" s="33"/>
    </row>
    <row r="155" spans="1:1" ht="17.100000000000001" customHeight="1">
      <c r="A155" s="33"/>
    </row>
    <row r="156" spans="1:1" ht="17.100000000000001" customHeight="1">
      <c r="A156" s="33"/>
    </row>
    <row r="157" spans="1:1" ht="17.100000000000001" customHeight="1">
      <c r="A157" s="33"/>
    </row>
    <row r="158" spans="1:1" ht="17.100000000000001" customHeight="1">
      <c r="A158" s="33"/>
    </row>
    <row r="159" spans="1:1" ht="17.100000000000001" customHeight="1">
      <c r="A159" s="33"/>
    </row>
    <row r="160" spans="1:1" ht="17.100000000000001" customHeight="1">
      <c r="A160" s="33"/>
    </row>
    <row r="161" spans="1:1" ht="17.100000000000001" customHeight="1">
      <c r="A161" s="33"/>
    </row>
    <row r="162" spans="1:1" ht="17.100000000000001" customHeight="1">
      <c r="A162" s="33"/>
    </row>
    <row r="163" spans="1:1" ht="17.100000000000001" customHeight="1">
      <c r="A163" s="33"/>
    </row>
    <row r="164" spans="1:1" ht="17.100000000000001" customHeight="1">
      <c r="A164" s="33"/>
    </row>
    <row r="165" spans="1:1" ht="17.100000000000001" customHeight="1">
      <c r="A165" s="33"/>
    </row>
    <row r="166" spans="1:1" ht="17.100000000000001" customHeight="1">
      <c r="A166" s="33"/>
    </row>
    <row r="167" spans="1:1" ht="17.100000000000001" customHeight="1">
      <c r="A167" s="33"/>
    </row>
    <row r="168" spans="1:1" ht="17.100000000000001" customHeight="1">
      <c r="A168" s="33"/>
    </row>
    <row r="169" spans="1:1" ht="17.100000000000001" customHeight="1">
      <c r="A169" s="33"/>
    </row>
    <row r="170" spans="1:1" ht="17.100000000000001" customHeight="1">
      <c r="A170" s="33"/>
    </row>
    <row r="171" spans="1:1" ht="17.100000000000001" customHeight="1">
      <c r="A171" s="33"/>
    </row>
    <row r="172" spans="1:1" ht="17.100000000000001" customHeight="1">
      <c r="A172" s="33"/>
    </row>
    <row r="173" spans="1:1" ht="17.100000000000001" customHeight="1">
      <c r="A173" s="33"/>
    </row>
    <row r="174" spans="1:1" ht="17.100000000000001" customHeight="1">
      <c r="A174" s="33"/>
    </row>
    <row r="175" spans="1:1" ht="17.100000000000001" customHeight="1">
      <c r="A175" s="33"/>
    </row>
    <row r="176" spans="1:1" ht="17.100000000000001" customHeight="1">
      <c r="A176" s="33"/>
    </row>
    <row r="177" spans="1:1" ht="17.100000000000001" customHeight="1">
      <c r="A177" s="33"/>
    </row>
    <row r="178" spans="1:1" ht="17.100000000000001" customHeight="1">
      <c r="A178" s="33"/>
    </row>
    <row r="179" spans="1:1" ht="17.100000000000001" customHeight="1">
      <c r="A179" s="33"/>
    </row>
    <row r="180" spans="1:1" ht="17.100000000000001" customHeight="1">
      <c r="A180" s="33"/>
    </row>
    <row r="181" spans="1:1" ht="17.100000000000001" customHeight="1">
      <c r="A181" s="33"/>
    </row>
    <row r="182" spans="1:1" ht="17.100000000000001" customHeight="1">
      <c r="A182" s="33"/>
    </row>
    <row r="183" spans="1:1" ht="17.100000000000001" customHeight="1">
      <c r="A183" s="33"/>
    </row>
    <row r="184" spans="1:1" ht="17.100000000000001" customHeight="1">
      <c r="A184" s="33"/>
    </row>
    <row r="185" spans="1:1" ht="17.100000000000001" customHeight="1">
      <c r="A185" s="33"/>
    </row>
    <row r="186" spans="1:1" ht="17.100000000000001" customHeight="1">
      <c r="A186" s="33"/>
    </row>
    <row r="187" spans="1:1" ht="17.100000000000001" customHeight="1">
      <c r="A187" s="33"/>
    </row>
    <row r="188" spans="1:1" ht="17.100000000000001" customHeight="1">
      <c r="A188" s="33"/>
    </row>
    <row r="189" spans="1:1" ht="17.100000000000001" customHeight="1">
      <c r="A189" s="33"/>
    </row>
    <row r="190" spans="1:1" ht="17.100000000000001" customHeight="1">
      <c r="A190" s="33"/>
    </row>
    <row r="191" spans="1:1" ht="17.100000000000001" customHeight="1">
      <c r="A191" s="33"/>
    </row>
    <row r="192" spans="1:1" ht="17.100000000000001" customHeight="1">
      <c r="A192" s="33"/>
    </row>
    <row r="193" spans="1:1" ht="17.100000000000001" customHeight="1">
      <c r="A193" s="33"/>
    </row>
    <row r="194" spans="1:1" ht="17.100000000000001" customHeight="1">
      <c r="A194" s="33"/>
    </row>
    <row r="195" spans="1:1" ht="17.100000000000001" customHeight="1">
      <c r="A195" s="33"/>
    </row>
    <row r="196" spans="1:1" ht="17.100000000000001" customHeight="1">
      <c r="A196" s="33"/>
    </row>
    <row r="197" spans="1:1" ht="17.100000000000001" customHeight="1">
      <c r="A197" s="33"/>
    </row>
    <row r="198" spans="1:1" ht="17.100000000000001" customHeight="1">
      <c r="A198" s="33"/>
    </row>
    <row r="199" spans="1:1" ht="17.100000000000001" customHeight="1">
      <c r="A199" s="33"/>
    </row>
    <row r="200" spans="1:1" ht="17.100000000000001" customHeight="1">
      <c r="A200" s="33"/>
    </row>
    <row r="201" spans="1:1" ht="17.100000000000001" customHeight="1">
      <c r="A201" s="33"/>
    </row>
    <row r="202" spans="1:1" ht="17.100000000000001" customHeight="1">
      <c r="A202" s="33"/>
    </row>
    <row r="203" spans="1:1" ht="17.100000000000001" customHeight="1">
      <c r="A203" s="33"/>
    </row>
    <row r="204" spans="1:1" ht="17.100000000000001" customHeight="1">
      <c r="A204" s="33"/>
    </row>
    <row r="205" spans="1:1" ht="17.100000000000001" customHeight="1">
      <c r="A205" s="33"/>
    </row>
    <row r="206" spans="1:1" ht="17.100000000000001" customHeight="1">
      <c r="A206" s="33"/>
    </row>
    <row r="207" spans="1:1" ht="17.100000000000001" customHeight="1">
      <c r="A207" s="33"/>
    </row>
    <row r="208" spans="1:1" ht="17.100000000000001" customHeight="1">
      <c r="A208" s="33"/>
    </row>
    <row r="209" spans="1:1" ht="17.100000000000001" customHeight="1">
      <c r="A209" s="33"/>
    </row>
    <row r="210" spans="1:1" ht="17.100000000000001" customHeight="1">
      <c r="A210" s="33"/>
    </row>
    <row r="211" spans="1:1" ht="17.100000000000001" customHeight="1">
      <c r="A211" s="33"/>
    </row>
    <row r="212" spans="1:1" ht="17.100000000000001" customHeight="1">
      <c r="A212" s="33"/>
    </row>
    <row r="213" spans="1:1" ht="17.100000000000001" customHeight="1">
      <c r="A213" s="33"/>
    </row>
    <row r="214" spans="1:1" ht="17.100000000000001" customHeight="1">
      <c r="A214" s="33"/>
    </row>
    <row r="215" spans="1:1" ht="17.100000000000001" customHeight="1">
      <c r="A215" s="33"/>
    </row>
    <row r="216" spans="1:1" ht="17.100000000000001" customHeight="1">
      <c r="A216" s="33"/>
    </row>
    <row r="217" spans="1:1" ht="17.100000000000001" customHeight="1">
      <c r="A217" s="33"/>
    </row>
    <row r="218" spans="1:1" ht="17.100000000000001" customHeight="1">
      <c r="A218" s="33"/>
    </row>
    <row r="219" spans="1:1" ht="17.100000000000001" customHeight="1">
      <c r="A219" s="33"/>
    </row>
    <row r="220" spans="1:1" ht="17.100000000000001" customHeight="1">
      <c r="A220" s="33"/>
    </row>
    <row r="221" spans="1:1" ht="17.100000000000001" customHeight="1">
      <c r="A221" s="33"/>
    </row>
    <row r="222" spans="1:1" ht="17.100000000000001" customHeight="1">
      <c r="A222" s="33"/>
    </row>
    <row r="223" spans="1:1" ht="17.100000000000001" customHeight="1">
      <c r="A223" s="33"/>
    </row>
    <row r="224" spans="1:1" ht="17.100000000000001" customHeight="1">
      <c r="A224" s="33"/>
    </row>
    <row r="225" spans="1:1" ht="17.100000000000001" customHeight="1">
      <c r="A225" s="33"/>
    </row>
    <row r="226" spans="1:1" ht="17.100000000000001" customHeight="1">
      <c r="A226" s="33"/>
    </row>
    <row r="227" spans="1:1" ht="17.100000000000001" customHeight="1">
      <c r="A227" s="33"/>
    </row>
    <row r="228" spans="1:1" ht="17.100000000000001" customHeight="1">
      <c r="A228" s="33"/>
    </row>
    <row r="229" spans="1:1" ht="17.100000000000001" customHeight="1">
      <c r="A229" s="33"/>
    </row>
    <row r="230" spans="1:1" ht="17.100000000000001" customHeight="1">
      <c r="A230" s="33"/>
    </row>
    <row r="231" spans="1:1" ht="17.100000000000001" customHeight="1">
      <c r="A231" s="33"/>
    </row>
    <row r="232" spans="1:1" ht="17.100000000000001" customHeight="1">
      <c r="A232" s="33"/>
    </row>
    <row r="233" spans="1:1" ht="17.100000000000001" customHeight="1">
      <c r="A233" s="33"/>
    </row>
    <row r="234" spans="1:1" ht="17.100000000000001" customHeight="1">
      <c r="A234" s="33"/>
    </row>
    <row r="235" spans="1:1" ht="17.100000000000001" customHeight="1">
      <c r="A235" s="33"/>
    </row>
    <row r="236" spans="1:1" ht="17.100000000000001" customHeight="1">
      <c r="A236" s="33"/>
    </row>
    <row r="237" spans="1:1" ht="17.100000000000001" customHeight="1">
      <c r="A237" s="33"/>
    </row>
    <row r="238" spans="1:1" ht="17.100000000000001" customHeight="1">
      <c r="A238" s="33"/>
    </row>
    <row r="239" spans="1:1" ht="17.100000000000001" customHeight="1">
      <c r="A239" s="33"/>
    </row>
    <row r="240" spans="1:1" ht="17.100000000000001" customHeight="1">
      <c r="A240" s="33"/>
    </row>
    <row r="241" spans="1:1" ht="17.100000000000001" customHeight="1">
      <c r="A241" s="33"/>
    </row>
    <row r="242" spans="1:1" ht="17.100000000000001" customHeight="1">
      <c r="A242" s="33"/>
    </row>
    <row r="243" spans="1:1" ht="17.100000000000001" customHeight="1">
      <c r="A243" s="33"/>
    </row>
    <row r="244" spans="1:1" ht="17.100000000000001" customHeight="1">
      <c r="A244" s="33"/>
    </row>
    <row r="245" spans="1:1" ht="17.100000000000001" customHeight="1">
      <c r="A245" s="33"/>
    </row>
    <row r="246" spans="1:1" ht="17.100000000000001" customHeight="1">
      <c r="A246" s="33"/>
    </row>
    <row r="247" spans="1:1" ht="17.100000000000001" customHeight="1">
      <c r="A247" s="33"/>
    </row>
    <row r="248" spans="1:1" ht="17.100000000000001" customHeight="1">
      <c r="A248" s="33"/>
    </row>
    <row r="249" spans="1:1" ht="17.100000000000001" customHeight="1">
      <c r="A249" s="33"/>
    </row>
    <row r="250" spans="1:1" ht="17.100000000000001" customHeight="1">
      <c r="A250" s="33"/>
    </row>
    <row r="251" spans="1:1" ht="17.100000000000001" customHeight="1">
      <c r="A251" s="33"/>
    </row>
    <row r="252" spans="1:1" ht="17.100000000000001" customHeight="1">
      <c r="A252" s="33"/>
    </row>
    <row r="253" spans="1:1" ht="17.100000000000001" customHeight="1">
      <c r="A253" s="33"/>
    </row>
    <row r="254" spans="1:1" ht="17.100000000000001" customHeight="1">
      <c r="A254" s="33"/>
    </row>
    <row r="255" spans="1:1" ht="17.100000000000001" customHeight="1">
      <c r="A255" s="33"/>
    </row>
    <row r="256" spans="1:1" ht="17.100000000000001" customHeight="1">
      <c r="A256" s="33"/>
    </row>
    <row r="257" spans="1:1" ht="17.100000000000001" customHeight="1">
      <c r="A257" s="33"/>
    </row>
    <row r="258" spans="1:1" ht="17.100000000000001" customHeight="1">
      <c r="A258" s="33"/>
    </row>
    <row r="259" spans="1:1" ht="17.100000000000001" customHeight="1">
      <c r="A259" s="33"/>
    </row>
    <row r="260" spans="1:1" ht="17.100000000000001" customHeight="1">
      <c r="A260" s="33"/>
    </row>
    <row r="261" spans="1:1" ht="17.100000000000001" customHeight="1">
      <c r="A261" s="33"/>
    </row>
    <row r="262" spans="1:1" ht="17.100000000000001" customHeight="1">
      <c r="A262" s="33"/>
    </row>
    <row r="263" spans="1:1" ht="17.100000000000001" customHeight="1">
      <c r="A263" s="33"/>
    </row>
    <row r="264" spans="1:1" ht="17.100000000000001" customHeight="1">
      <c r="A264" s="33"/>
    </row>
    <row r="265" spans="1:1" ht="17.100000000000001" customHeight="1">
      <c r="A265" s="33"/>
    </row>
    <row r="266" spans="1:1" ht="17.100000000000001" customHeight="1">
      <c r="A266" s="33"/>
    </row>
    <row r="267" spans="1:1" ht="17.100000000000001" customHeight="1">
      <c r="A267" s="33"/>
    </row>
    <row r="268" spans="1:1" ht="17.100000000000001" customHeight="1">
      <c r="A268" s="33"/>
    </row>
    <row r="269" spans="1:1" ht="17.100000000000001" customHeight="1">
      <c r="A269" s="33"/>
    </row>
    <row r="270" spans="1:1" ht="17.100000000000001" customHeight="1">
      <c r="A270" s="33"/>
    </row>
    <row r="271" spans="1:1" ht="17.100000000000001" customHeight="1">
      <c r="A271" s="33"/>
    </row>
    <row r="272" spans="1:1" ht="17.100000000000001" customHeight="1">
      <c r="A272" s="33"/>
    </row>
    <row r="273" spans="1:1" ht="17.100000000000001" customHeight="1">
      <c r="A273" s="33"/>
    </row>
    <row r="274" spans="1:1" ht="17.100000000000001" customHeight="1">
      <c r="A274" s="33"/>
    </row>
    <row r="275" spans="1:1" ht="17.100000000000001" customHeight="1">
      <c r="A275" s="33"/>
    </row>
    <row r="276" spans="1:1" ht="17.100000000000001" customHeight="1">
      <c r="A276" s="33"/>
    </row>
    <row r="277" spans="1:1" ht="17.100000000000001" customHeight="1">
      <c r="A277" s="33"/>
    </row>
    <row r="278" spans="1:1" ht="17.100000000000001" customHeight="1">
      <c r="A278" s="33"/>
    </row>
    <row r="279" spans="1:1" ht="17.100000000000001" customHeight="1">
      <c r="A279" s="33"/>
    </row>
    <row r="280" spans="1:1" ht="17.100000000000001" customHeight="1">
      <c r="A280" s="33"/>
    </row>
    <row r="281" spans="1:1" ht="17.100000000000001" customHeight="1">
      <c r="A281" s="33"/>
    </row>
    <row r="282" spans="1:1" ht="17.100000000000001" customHeight="1">
      <c r="A282" s="33"/>
    </row>
    <row r="283" spans="1:1" ht="17.100000000000001" customHeight="1">
      <c r="A283" s="33"/>
    </row>
    <row r="284" spans="1:1" ht="17.100000000000001" customHeight="1">
      <c r="A284" s="33"/>
    </row>
    <row r="285" spans="1:1" ht="17.100000000000001" customHeight="1">
      <c r="A285" s="33"/>
    </row>
    <row r="286" spans="1:1" ht="17.100000000000001" customHeight="1">
      <c r="A286" s="33"/>
    </row>
    <row r="287" spans="1:1" ht="17.100000000000001" customHeight="1">
      <c r="A287" s="33"/>
    </row>
    <row r="288" spans="1:1" ht="17.100000000000001" customHeight="1">
      <c r="A288" s="33"/>
    </row>
    <row r="289" spans="1:1" ht="17.100000000000001" customHeight="1">
      <c r="A289" s="33"/>
    </row>
    <row r="290" spans="1:1" ht="17.100000000000001" customHeight="1">
      <c r="A290" s="33"/>
    </row>
    <row r="291" spans="1:1" ht="17.100000000000001" customHeight="1">
      <c r="A291" s="33"/>
    </row>
    <row r="292" spans="1:1" ht="17.100000000000001" customHeight="1">
      <c r="A292" s="33"/>
    </row>
    <row r="293" spans="1:1" ht="17.100000000000001" customHeight="1">
      <c r="A293" s="33"/>
    </row>
    <row r="294" spans="1:1" ht="17.100000000000001" customHeight="1">
      <c r="A294" s="33"/>
    </row>
    <row r="295" spans="1:1" ht="17.100000000000001" customHeight="1">
      <c r="A295" s="33"/>
    </row>
    <row r="296" spans="1:1" ht="17.100000000000001" customHeight="1">
      <c r="A296" s="33"/>
    </row>
    <row r="297" spans="1:1" ht="17.100000000000001" customHeight="1">
      <c r="A297" s="33"/>
    </row>
    <row r="298" spans="1:1" ht="17.100000000000001" customHeight="1">
      <c r="A298" s="33"/>
    </row>
    <row r="299" spans="1:1" ht="17.100000000000001" customHeight="1">
      <c r="A299" s="33"/>
    </row>
    <row r="300" spans="1:1" ht="17.100000000000001" customHeight="1">
      <c r="A300" s="33"/>
    </row>
    <row r="301" spans="1:1" ht="17.100000000000001" customHeight="1">
      <c r="A301" s="33"/>
    </row>
    <row r="302" spans="1:1" ht="17.100000000000001" customHeight="1">
      <c r="A302" s="33"/>
    </row>
    <row r="303" spans="1:1" ht="17.100000000000001" customHeight="1">
      <c r="A303" s="33"/>
    </row>
    <row r="304" spans="1:1" ht="17.100000000000001" customHeight="1">
      <c r="A304" s="33"/>
    </row>
    <row r="305" spans="1:1" ht="17.100000000000001" customHeight="1">
      <c r="A305" s="33"/>
    </row>
    <row r="306" spans="1:1" ht="17.100000000000001" customHeight="1">
      <c r="A306" s="33"/>
    </row>
    <row r="307" spans="1:1" ht="17.100000000000001" customHeight="1">
      <c r="A307" s="33"/>
    </row>
    <row r="308" spans="1:1" ht="17.100000000000001" customHeight="1">
      <c r="A308" s="33"/>
    </row>
    <row r="309" spans="1:1" ht="17.100000000000001" customHeight="1">
      <c r="A309" s="33"/>
    </row>
    <row r="310" spans="1:1" ht="17.100000000000001" customHeight="1">
      <c r="A310" s="33"/>
    </row>
    <row r="311" spans="1:1" ht="17.100000000000001" customHeight="1">
      <c r="A311" s="33"/>
    </row>
    <row r="312" spans="1:1" ht="17.100000000000001" customHeight="1">
      <c r="A312" s="33"/>
    </row>
    <row r="313" spans="1:1" ht="17.100000000000001" customHeight="1">
      <c r="A313" s="33"/>
    </row>
    <row r="314" spans="1:1" ht="17.100000000000001" customHeight="1">
      <c r="A314" s="33"/>
    </row>
    <row r="315" spans="1:1" ht="17.100000000000001" customHeight="1">
      <c r="A315" s="33"/>
    </row>
    <row r="316" spans="1:1" ht="17.100000000000001" customHeight="1">
      <c r="A316" s="33"/>
    </row>
    <row r="317" spans="1:1" ht="17.100000000000001" customHeight="1">
      <c r="A317" s="33"/>
    </row>
    <row r="318" spans="1:1" ht="17.100000000000001" customHeight="1">
      <c r="A318" s="33"/>
    </row>
    <row r="319" spans="1:1" ht="17.100000000000001" customHeight="1">
      <c r="A319" s="33"/>
    </row>
    <row r="320" spans="1:1" ht="17.100000000000001" customHeight="1">
      <c r="A320" s="33"/>
    </row>
    <row r="321" spans="1:1" ht="17.100000000000001" customHeight="1">
      <c r="A321" s="33"/>
    </row>
    <row r="322" spans="1:1" ht="17.100000000000001" customHeight="1">
      <c r="A322" s="33"/>
    </row>
    <row r="323" spans="1:1" ht="17.100000000000001" customHeight="1">
      <c r="A323" s="33"/>
    </row>
    <row r="324" spans="1:1" ht="17.100000000000001" customHeight="1">
      <c r="A324" s="33"/>
    </row>
    <row r="325" spans="1:1" ht="17.100000000000001" customHeight="1">
      <c r="A325" s="33"/>
    </row>
    <row r="326" spans="1:1" ht="17.100000000000001" customHeight="1">
      <c r="A326" s="33"/>
    </row>
    <row r="327" spans="1:1" ht="17.100000000000001" customHeight="1">
      <c r="A327" s="33"/>
    </row>
    <row r="328" spans="1:1" ht="17.100000000000001" customHeight="1">
      <c r="A328" s="33"/>
    </row>
    <row r="329" spans="1:1" ht="17.100000000000001" customHeight="1">
      <c r="A329" s="33"/>
    </row>
    <row r="330" spans="1:1" ht="17.100000000000001" customHeight="1">
      <c r="A330" s="33"/>
    </row>
    <row r="331" spans="1:1" ht="17.100000000000001" customHeight="1">
      <c r="A331" s="33"/>
    </row>
    <row r="332" spans="1:1" ht="17.100000000000001" customHeight="1">
      <c r="A332" s="33"/>
    </row>
    <row r="333" spans="1:1" ht="17.100000000000001" customHeight="1">
      <c r="A333" s="33"/>
    </row>
    <row r="334" spans="1:1" ht="17.100000000000001" customHeight="1">
      <c r="A334" s="33"/>
    </row>
    <row r="335" spans="1:1" ht="17.100000000000001" customHeight="1">
      <c r="A335" s="33"/>
    </row>
    <row r="336" spans="1:1" ht="17.100000000000001" customHeight="1">
      <c r="A336" s="33"/>
    </row>
    <row r="337" spans="1:1" ht="17.100000000000001" customHeight="1">
      <c r="A337" s="33"/>
    </row>
    <row r="338" spans="1:1" ht="17.100000000000001" customHeight="1">
      <c r="A338" s="33"/>
    </row>
    <row r="339" spans="1:1" ht="17.100000000000001" customHeight="1">
      <c r="A339" s="33"/>
    </row>
    <row r="340" spans="1:1" ht="17.100000000000001" customHeight="1">
      <c r="A340" s="33"/>
    </row>
    <row r="341" spans="1:1" ht="17.100000000000001" customHeight="1">
      <c r="A341" s="33"/>
    </row>
    <row r="342" spans="1:1" ht="17.100000000000001" customHeight="1">
      <c r="A342" s="33"/>
    </row>
    <row r="343" spans="1:1" ht="17.100000000000001" customHeight="1">
      <c r="A343" s="33"/>
    </row>
    <row r="344" spans="1:1" ht="17.100000000000001" customHeight="1">
      <c r="A344" s="33"/>
    </row>
    <row r="345" spans="1:1" ht="17.100000000000001" customHeight="1">
      <c r="A345" s="33"/>
    </row>
    <row r="346" spans="1:1" ht="17.100000000000001" customHeight="1">
      <c r="A346" s="33"/>
    </row>
    <row r="347" spans="1:1" ht="17.100000000000001" customHeight="1">
      <c r="A347" s="33"/>
    </row>
    <row r="348" spans="1:1" ht="17.100000000000001" customHeight="1">
      <c r="A348" s="33"/>
    </row>
    <row r="349" spans="1:1" ht="17.100000000000001" customHeight="1">
      <c r="A349" s="33"/>
    </row>
    <row r="350" spans="1:1" ht="17.100000000000001" customHeight="1">
      <c r="A350" s="33"/>
    </row>
    <row r="351" spans="1:1" ht="17.100000000000001" customHeight="1">
      <c r="A351" s="33"/>
    </row>
    <row r="352" spans="1:1" ht="17.100000000000001" customHeight="1">
      <c r="A352" s="33"/>
    </row>
    <row r="353" spans="1:1" ht="17.100000000000001" customHeight="1">
      <c r="A353" s="33"/>
    </row>
    <row r="354" spans="1:1" ht="17.100000000000001" customHeight="1">
      <c r="A354" s="33"/>
    </row>
    <row r="355" spans="1:1" ht="17.100000000000001" customHeight="1">
      <c r="A355" s="33"/>
    </row>
    <row r="356" spans="1:1" ht="17.100000000000001" customHeight="1">
      <c r="A356" s="33"/>
    </row>
    <row r="357" spans="1:1" ht="17.100000000000001" customHeight="1">
      <c r="A357" s="33"/>
    </row>
    <row r="358" spans="1:1" ht="17.100000000000001" customHeight="1">
      <c r="A358" s="33"/>
    </row>
    <row r="359" spans="1:1" ht="17.100000000000001" customHeight="1">
      <c r="A359" s="33"/>
    </row>
    <row r="360" spans="1:1" ht="17.100000000000001" customHeight="1">
      <c r="A360" s="33"/>
    </row>
    <row r="361" spans="1:1" ht="17.100000000000001" customHeight="1">
      <c r="A361" s="33"/>
    </row>
    <row r="362" spans="1:1" ht="17.100000000000001" customHeight="1">
      <c r="A362" s="33"/>
    </row>
    <row r="363" spans="1:1" ht="17.100000000000001" customHeight="1">
      <c r="A363" s="33"/>
    </row>
    <row r="364" spans="1:1" ht="17.100000000000001" customHeight="1">
      <c r="A364" s="33"/>
    </row>
    <row r="365" spans="1:1" ht="17.100000000000001" customHeight="1">
      <c r="A365" s="33"/>
    </row>
    <row r="366" spans="1:1" ht="17.100000000000001" customHeight="1">
      <c r="A366" s="33"/>
    </row>
    <row r="367" spans="1:1" ht="17.100000000000001" customHeight="1">
      <c r="A367" s="33"/>
    </row>
    <row r="368" spans="1:1" ht="17.100000000000001" customHeight="1">
      <c r="A368" s="33"/>
    </row>
    <row r="369" spans="1:1" ht="17.100000000000001" customHeight="1">
      <c r="A369" s="33"/>
    </row>
    <row r="370" spans="1:1" ht="17.100000000000001" customHeight="1">
      <c r="A370" s="33"/>
    </row>
    <row r="371" spans="1:1" ht="17.100000000000001" customHeight="1">
      <c r="A371" s="33"/>
    </row>
    <row r="372" spans="1:1" ht="17.100000000000001" customHeight="1">
      <c r="A372" s="33"/>
    </row>
    <row r="373" spans="1:1" ht="17.100000000000001" customHeight="1">
      <c r="A373" s="33"/>
    </row>
    <row r="374" spans="1:1" ht="17.100000000000001" customHeight="1">
      <c r="A374" s="33"/>
    </row>
    <row r="375" spans="1:1" ht="17.100000000000001" customHeight="1">
      <c r="A375" s="33"/>
    </row>
    <row r="376" spans="1:1" ht="17.100000000000001" customHeight="1">
      <c r="A376" s="33"/>
    </row>
    <row r="377" spans="1:1" ht="17.100000000000001" customHeight="1">
      <c r="A377" s="33"/>
    </row>
    <row r="378" spans="1:1" ht="17.100000000000001" customHeight="1">
      <c r="A378" s="33"/>
    </row>
    <row r="379" spans="1:1" ht="17.100000000000001" customHeight="1">
      <c r="A379" s="33"/>
    </row>
    <row r="380" spans="1:1" ht="17.100000000000001" customHeight="1">
      <c r="A380" s="33"/>
    </row>
    <row r="381" spans="1:1" ht="17.100000000000001" customHeight="1">
      <c r="A381" s="33"/>
    </row>
    <row r="382" spans="1:1" ht="17.100000000000001" customHeight="1">
      <c r="A382" s="33"/>
    </row>
    <row r="383" spans="1:1" ht="17.100000000000001" customHeight="1">
      <c r="A383" s="33"/>
    </row>
    <row r="384" spans="1:1" ht="17.100000000000001" customHeight="1">
      <c r="A384" s="33"/>
    </row>
    <row r="385" spans="1:1" ht="17.100000000000001" customHeight="1">
      <c r="A385" s="33"/>
    </row>
    <row r="386" spans="1:1" ht="17.100000000000001" customHeight="1">
      <c r="A386" s="33"/>
    </row>
    <row r="387" spans="1:1" ht="17.100000000000001" customHeight="1">
      <c r="A387" s="33"/>
    </row>
    <row r="388" spans="1:1" ht="17.100000000000001" customHeight="1">
      <c r="A388" s="33"/>
    </row>
    <row r="389" spans="1:1" ht="17.100000000000001" customHeight="1">
      <c r="A389" s="33"/>
    </row>
    <row r="390" spans="1:1" ht="17.100000000000001" customHeight="1">
      <c r="A390" s="33"/>
    </row>
    <row r="391" spans="1:1" ht="17.100000000000001" customHeight="1">
      <c r="A391" s="33"/>
    </row>
    <row r="392" spans="1:1" ht="17.100000000000001" customHeight="1">
      <c r="A392" s="33"/>
    </row>
    <row r="393" spans="1:1" ht="17.100000000000001" customHeight="1">
      <c r="A393" s="33"/>
    </row>
    <row r="394" spans="1:1" ht="17.100000000000001" customHeight="1">
      <c r="A394" s="33"/>
    </row>
    <row r="395" spans="1:1" ht="17.100000000000001" customHeight="1">
      <c r="A395" s="33"/>
    </row>
    <row r="396" spans="1:1" ht="17.100000000000001" customHeight="1">
      <c r="A396" s="33"/>
    </row>
    <row r="397" spans="1:1" ht="17.100000000000001" customHeight="1">
      <c r="A397" s="33"/>
    </row>
    <row r="398" spans="1:1" ht="17.100000000000001" customHeight="1">
      <c r="A398" s="33"/>
    </row>
    <row r="399" spans="1:1" ht="17.100000000000001" customHeight="1">
      <c r="A399" s="33"/>
    </row>
    <row r="400" spans="1:1" ht="17.100000000000001" customHeight="1">
      <c r="A400" s="33"/>
    </row>
    <row r="401" spans="1:1" ht="17.100000000000001" customHeight="1">
      <c r="A401" s="33"/>
    </row>
    <row r="402" spans="1:1" ht="17.100000000000001" customHeight="1">
      <c r="A402" s="33"/>
    </row>
    <row r="403" spans="1:1" ht="17.100000000000001" customHeight="1">
      <c r="A403" s="33"/>
    </row>
    <row r="404" spans="1:1" ht="17.100000000000001" customHeight="1">
      <c r="A404" s="33"/>
    </row>
    <row r="405" spans="1:1" ht="17.100000000000001" customHeight="1">
      <c r="A405" s="33"/>
    </row>
    <row r="406" spans="1:1" ht="17.100000000000001" customHeight="1">
      <c r="A406" s="33"/>
    </row>
    <row r="407" spans="1:1" ht="17.100000000000001" customHeight="1">
      <c r="A407" s="33"/>
    </row>
    <row r="408" spans="1:1" ht="17.100000000000001" customHeight="1">
      <c r="A408" s="33"/>
    </row>
    <row r="409" spans="1:1" ht="17.100000000000001" customHeight="1">
      <c r="A409" s="33"/>
    </row>
    <row r="410" spans="1:1" ht="17.100000000000001" customHeight="1">
      <c r="A410" s="33"/>
    </row>
    <row r="411" spans="1:1" ht="17.100000000000001" customHeight="1">
      <c r="A411" s="33"/>
    </row>
    <row r="412" spans="1:1" ht="17.100000000000001" customHeight="1">
      <c r="A412" s="33"/>
    </row>
    <row r="413" spans="1:1" ht="17.100000000000001" customHeight="1">
      <c r="A413" s="33"/>
    </row>
    <row r="414" spans="1:1" ht="17.100000000000001" customHeight="1">
      <c r="A414" s="33"/>
    </row>
    <row r="415" spans="1:1" ht="17.100000000000001" customHeight="1">
      <c r="A415" s="33"/>
    </row>
    <row r="416" spans="1:1" ht="17.100000000000001" customHeight="1">
      <c r="A416" s="33"/>
    </row>
    <row r="417" spans="1:1" ht="17.100000000000001" customHeight="1">
      <c r="A417" s="33"/>
    </row>
    <row r="418" spans="1:1" ht="17.100000000000001" customHeight="1">
      <c r="A418" s="33"/>
    </row>
    <row r="419" spans="1:1" ht="17.100000000000001" customHeight="1">
      <c r="A419" s="33"/>
    </row>
    <row r="420" spans="1:1" ht="17.100000000000001" customHeight="1">
      <c r="A420" s="33"/>
    </row>
    <row r="421" spans="1:1" ht="17.100000000000001" customHeight="1">
      <c r="A421" s="33"/>
    </row>
    <row r="422" spans="1:1" ht="17.100000000000001" customHeight="1">
      <c r="A422" s="33"/>
    </row>
    <row r="423" spans="1:1" ht="17.100000000000001" customHeight="1">
      <c r="A423" s="33"/>
    </row>
    <row r="424" spans="1:1" ht="17.100000000000001" customHeight="1">
      <c r="A424" s="33"/>
    </row>
    <row r="425" spans="1:1" ht="17.100000000000001" customHeight="1">
      <c r="A425" s="33"/>
    </row>
    <row r="426" spans="1:1" ht="17.100000000000001" customHeight="1">
      <c r="A426" s="33"/>
    </row>
    <row r="427" spans="1:1" ht="17.100000000000001" customHeight="1">
      <c r="A427" s="33"/>
    </row>
    <row r="428" spans="1:1" ht="17.100000000000001" customHeight="1">
      <c r="A428" s="33"/>
    </row>
    <row r="429" spans="1:1" ht="17.100000000000001" customHeight="1">
      <c r="A429" s="33"/>
    </row>
    <row r="430" spans="1:1" ht="17.100000000000001" customHeight="1">
      <c r="A430" s="33"/>
    </row>
    <row r="431" spans="1:1" ht="17.100000000000001" customHeight="1">
      <c r="A431" s="33"/>
    </row>
    <row r="432" spans="1:1" ht="17.100000000000001" customHeight="1">
      <c r="A432" s="33"/>
    </row>
    <row r="433" spans="1:1" ht="17.100000000000001" customHeight="1">
      <c r="A433" s="33"/>
    </row>
    <row r="434" spans="1:1" ht="17.100000000000001" customHeight="1">
      <c r="A434" s="33"/>
    </row>
    <row r="435" spans="1:1" ht="17.100000000000001" customHeight="1">
      <c r="A435" s="33"/>
    </row>
    <row r="436" spans="1:1" ht="17.100000000000001" customHeight="1">
      <c r="A436" s="33"/>
    </row>
    <row r="437" spans="1:1" ht="17.100000000000001" customHeight="1">
      <c r="A437" s="33"/>
    </row>
    <row r="438" spans="1:1" ht="17.100000000000001" customHeight="1">
      <c r="A438" s="33"/>
    </row>
    <row r="439" spans="1:1" ht="17.100000000000001" customHeight="1">
      <c r="A439" s="33"/>
    </row>
    <row r="440" spans="1:1" ht="17.100000000000001" customHeight="1">
      <c r="A440" s="33"/>
    </row>
    <row r="441" spans="1:1" ht="17.100000000000001" customHeight="1">
      <c r="A441" s="33"/>
    </row>
    <row r="442" spans="1:1" ht="17.100000000000001" customHeight="1">
      <c r="A442" s="33"/>
    </row>
    <row r="443" spans="1:1" ht="17.100000000000001" customHeight="1">
      <c r="A443" s="33"/>
    </row>
    <row r="444" spans="1:1" ht="17.100000000000001" customHeight="1">
      <c r="A444" s="33"/>
    </row>
    <row r="445" spans="1:1" ht="17.100000000000001" customHeight="1">
      <c r="A445" s="33"/>
    </row>
    <row r="446" spans="1:1" ht="17.100000000000001" customHeight="1">
      <c r="A446" s="33"/>
    </row>
    <row r="447" spans="1:1" ht="17.100000000000001" customHeight="1">
      <c r="A447" s="33"/>
    </row>
    <row r="448" spans="1:1" ht="17.100000000000001" customHeight="1">
      <c r="A448" s="33"/>
    </row>
    <row r="449" spans="1:1" ht="17.100000000000001" customHeight="1">
      <c r="A449" s="33"/>
    </row>
    <row r="450" spans="1:1" ht="17.100000000000001" customHeight="1">
      <c r="A450" s="33"/>
    </row>
    <row r="451" spans="1:1" ht="17.100000000000001" customHeight="1">
      <c r="A451" s="33"/>
    </row>
    <row r="452" spans="1:1" ht="17.100000000000001" customHeight="1">
      <c r="A452" s="33"/>
    </row>
    <row r="453" spans="1:1" ht="17.100000000000001" customHeight="1">
      <c r="A453" s="33"/>
    </row>
    <row r="454" spans="1:1" ht="17.100000000000001" customHeight="1">
      <c r="A454" s="33"/>
    </row>
    <row r="455" spans="1:1" ht="17.100000000000001" customHeight="1">
      <c r="A455" s="33"/>
    </row>
    <row r="456" spans="1:1" ht="17.100000000000001" customHeight="1">
      <c r="A456" s="33"/>
    </row>
    <row r="457" spans="1:1" ht="17.100000000000001" customHeight="1">
      <c r="A457" s="33"/>
    </row>
    <row r="458" spans="1:1" ht="17.100000000000001" customHeight="1">
      <c r="A458" s="33"/>
    </row>
    <row r="459" spans="1:1" ht="17.100000000000001" customHeight="1">
      <c r="A459" s="33"/>
    </row>
    <row r="460" spans="1:1" ht="17.100000000000001" customHeight="1">
      <c r="A460" s="33"/>
    </row>
    <row r="461" spans="1:1" ht="17.100000000000001" customHeight="1">
      <c r="A461" s="33"/>
    </row>
    <row r="462" spans="1:1" ht="17.100000000000001" customHeight="1">
      <c r="A462" s="33"/>
    </row>
    <row r="463" spans="1:1" ht="17.100000000000001" customHeight="1">
      <c r="A463" s="33"/>
    </row>
    <row r="464" spans="1:1" ht="17.100000000000001" customHeight="1">
      <c r="A464" s="33"/>
    </row>
    <row r="465" spans="1:1" ht="17.100000000000001" customHeight="1">
      <c r="A465" s="33"/>
    </row>
    <row r="466" spans="1:1" ht="17.100000000000001" customHeight="1">
      <c r="A466" s="33"/>
    </row>
    <row r="467" spans="1:1" ht="17.100000000000001" customHeight="1">
      <c r="A467" s="33"/>
    </row>
    <row r="468" spans="1:1" ht="17.100000000000001" customHeight="1">
      <c r="A468" s="33"/>
    </row>
    <row r="469" spans="1:1" ht="17.100000000000001" customHeight="1">
      <c r="A469" s="33"/>
    </row>
    <row r="470" spans="1:1" ht="17.100000000000001" customHeight="1">
      <c r="A470" s="33"/>
    </row>
    <row r="471" spans="1:1" ht="17.100000000000001" customHeight="1">
      <c r="A471" s="33"/>
    </row>
    <row r="472" spans="1:1" ht="17.100000000000001" customHeight="1">
      <c r="A472" s="33"/>
    </row>
    <row r="473" spans="1:1" ht="17.100000000000001" customHeight="1">
      <c r="A473" s="33"/>
    </row>
    <row r="474" spans="1:1" ht="17.100000000000001" customHeight="1">
      <c r="A474" s="33"/>
    </row>
    <row r="475" spans="1:1" ht="17.100000000000001" customHeight="1">
      <c r="A475" s="33"/>
    </row>
    <row r="476" spans="1:1" ht="17.100000000000001" customHeight="1">
      <c r="A476" s="33"/>
    </row>
    <row r="477" spans="1:1" ht="17.100000000000001" customHeight="1">
      <c r="A477" s="33"/>
    </row>
    <row r="478" spans="1:1" ht="17.100000000000001" customHeight="1">
      <c r="A478" s="33"/>
    </row>
    <row r="479" spans="1:1" ht="17.100000000000001" customHeight="1">
      <c r="A479" s="33"/>
    </row>
    <row r="480" spans="1:1" ht="17.100000000000001" customHeight="1">
      <c r="A480" s="33"/>
    </row>
    <row r="481" spans="1:1" ht="17.100000000000001" customHeight="1">
      <c r="A481" s="33"/>
    </row>
    <row r="482" spans="1:1" ht="17.100000000000001" customHeight="1">
      <c r="A482" s="33"/>
    </row>
    <row r="483" spans="1:1" ht="17.100000000000001" customHeight="1">
      <c r="A483" s="33"/>
    </row>
    <row r="484" spans="1:1" ht="17.100000000000001" customHeight="1">
      <c r="A484" s="33"/>
    </row>
    <row r="485" spans="1:1" ht="17.100000000000001" customHeight="1">
      <c r="A485" s="33"/>
    </row>
    <row r="486" spans="1:1" ht="17.100000000000001" customHeight="1">
      <c r="A486" s="33"/>
    </row>
    <row r="487" spans="1:1" ht="17.100000000000001" customHeight="1">
      <c r="A487" s="33"/>
    </row>
    <row r="488" spans="1:1" ht="17.100000000000001" customHeight="1">
      <c r="A488" s="33"/>
    </row>
    <row r="489" spans="1:1" ht="17.100000000000001" customHeight="1">
      <c r="A489" s="33"/>
    </row>
    <row r="490" spans="1:1" ht="17.100000000000001" customHeight="1">
      <c r="A490" s="33"/>
    </row>
    <row r="491" spans="1:1" ht="17.100000000000001" customHeight="1">
      <c r="A491" s="33"/>
    </row>
    <row r="492" spans="1:1" ht="17.100000000000001" customHeight="1">
      <c r="A492" s="33"/>
    </row>
    <row r="493" spans="1:1" ht="17.100000000000001" customHeight="1">
      <c r="A493" s="33"/>
    </row>
    <row r="494" spans="1:1" ht="17.100000000000001" customHeight="1">
      <c r="A494" s="33"/>
    </row>
    <row r="495" spans="1:1" ht="17.100000000000001" customHeight="1">
      <c r="A495" s="33"/>
    </row>
    <row r="496" spans="1:1" ht="17.100000000000001" customHeight="1">
      <c r="A496" s="33"/>
    </row>
    <row r="497" spans="1:1" ht="17.100000000000001" customHeight="1">
      <c r="A497" s="33"/>
    </row>
    <row r="498" spans="1:1" ht="17.100000000000001" customHeight="1">
      <c r="A498" s="33"/>
    </row>
    <row r="499" spans="1:1" ht="17.100000000000001" customHeight="1">
      <c r="A499" s="33"/>
    </row>
    <row r="500" spans="1:1" ht="17.100000000000001" customHeight="1">
      <c r="A500" s="33"/>
    </row>
    <row r="501" spans="1:1" ht="17.100000000000001" customHeight="1">
      <c r="A501" s="33"/>
    </row>
    <row r="502" spans="1:1" ht="17.100000000000001" customHeight="1">
      <c r="A502" s="33"/>
    </row>
    <row r="503" spans="1:1" ht="17.100000000000001" customHeight="1">
      <c r="A503" s="33"/>
    </row>
    <row r="504" spans="1:1" ht="17.100000000000001" customHeight="1">
      <c r="A504" s="33"/>
    </row>
    <row r="505" spans="1:1" ht="17.100000000000001" customHeight="1">
      <c r="A505" s="33"/>
    </row>
    <row r="506" spans="1:1" ht="17.100000000000001" customHeight="1">
      <c r="A506" s="33"/>
    </row>
    <row r="507" spans="1:1" ht="17.100000000000001" customHeight="1">
      <c r="A507" s="33"/>
    </row>
    <row r="508" spans="1:1" ht="17.100000000000001" customHeight="1">
      <c r="A508" s="33"/>
    </row>
    <row r="509" spans="1:1" ht="17.100000000000001" customHeight="1">
      <c r="A509" s="33"/>
    </row>
    <row r="510" spans="1:1" ht="17.100000000000001" customHeight="1">
      <c r="A510" s="33"/>
    </row>
    <row r="511" spans="1:1" ht="17.100000000000001" customHeight="1">
      <c r="A511" s="33"/>
    </row>
    <row r="512" spans="1:1" ht="17.100000000000001" customHeight="1">
      <c r="A512" s="33"/>
    </row>
    <row r="513" spans="1:1" ht="17.100000000000001" customHeight="1">
      <c r="A513" s="33"/>
    </row>
    <row r="514" spans="1:1" ht="17.100000000000001" customHeight="1">
      <c r="A514" s="33"/>
    </row>
    <row r="515" spans="1:1" ht="17.100000000000001" customHeight="1">
      <c r="A515" s="33"/>
    </row>
    <row r="516" spans="1:1" ht="17.100000000000001" customHeight="1">
      <c r="A516" s="33"/>
    </row>
    <row r="517" spans="1:1" ht="17.100000000000001" customHeight="1">
      <c r="A517" s="33"/>
    </row>
    <row r="518" spans="1:1" ht="17.100000000000001" customHeight="1">
      <c r="A518" s="33"/>
    </row>
    <row r="519" spans="1:1" ht="17.100000000000001" customHeight="1">
      <c r="A519" s="33"/>
    </row>
    <row r="520" spans="1:1" ht="17.100000000000001" customHeight="1">
      <c r="A520" s="33"/>
    </row>
    <row r="521" spans="1:1" ht="17.100000000000001" customHeight="1">
      <c r="A521" s="33"/>
    </row>
    <row r="522" spans="1:1" ht="17.100000000000001" customHeight="1">
      <c r="A522" s="33"/>
    </row>
    <row r="523" spans="1:1" ht="17.100000000000001" customHeight="1">
      <c r="A523" s="33"/>
    </row>
    <row r="524" spans="1:1" ht="17.100000000000001" customHeight="1">
      <c r="A524" s="33"/>
    </row>
    <row r="525" spans="1:1" ht="17.100000000000001" customHeight="1">
      <c r="A525" s="33"/>
    </row>
    <row r="526" spans="1:1" ht="17.100000000000001" customHeight="1">
      <c r="A526" s="33"/>
    </row>
    <row r="527" spans="1:1" ht="17.100000000000001" customHeight="1">
      <c r="A527" s="33"/>
    </row>
    <row r="528" spans="1:1" ht="17.100000000000001" customHeight="1">
      <c r="A528" s="33"/>
    </row>
    <row r="529" spans="1:1" ht="17.100000000000001" customHeight="1">
      <c r="A529" s="33"/>
    </row>
    <row r="530" spans="1:1" ht="17.100000000000001" customHeight="1">
      <c r="A530" s="33"/>
    </row>
    <row r="531" spans="1:1" ht="17.100000000000001" customHeight="1">
      <c r="A531" s="33"/>
    </row>
    <row r="532" spans="1:1" ht="17.100000000000001" customHeight="1">
      <c r="A532" s="33"/>
    </row>
    <row r="533" spans="1:1" ht="17.100000000000001" customHeight="1">
      <c r="A533" s="33"/>
    </row>
    <row r="534" spans="1:1" ht="17.100000000000001" customHeight="1">
      <c r="A534" s="33"/>
    </row>
    <row r="535" spans="1:1" ht="17.100000000000001" customHeight="1">
      <c r="A535" s="33"/>
    </row>
    <row r="536" spans="1:1" ht="17.100000000000001" customHeight="1">
      <c r="A536" s="33"/>
    </row>
    <row r="537" spans="1:1" ht="17.100000000000001" customHeight="1">
      <c r="A537" s="33"/>
    </row>
    <row r="538" spans="1:1" ht="17.100000000000001" customHeight="1">
      <c r="A538" s="33"/>
    </row>
    <row r="539" spans="1:1" ht="17.100000000000001" customHeight="1">
      <c r="A539" s="33"/>
    </row>
    <row r="540" spans="1:1" ht="17.100000000000001" customHeight="1">
      <c r="A540" s="33"/>
    </row>
    <row r="541" spans="1:1" ht="17.100000000000001" customHeight="1">
      <c r="A541" s="33"/>
    </row>
    <row r="542" spans="1:1" ht="17.100000000000001" customHeight="1">
      <c r="A542" s="33"/>
    </row>
    <row r="543" spans="1:1" ht="17.100000000000001" customHeight="1">
      <c r="A543" s="33"/>
    </row>
    <row r="544" spans="1:1" ht="17.100000000000001" customHeight="1">
      <c r="A544" s="33"/>
    </row>
    <row r="545" spans="1:1" ht="17.100000000000001" customHeight="1">
      <c r="A545" s="33"/>
    </row>
    <row r="546" spans="1:1" ht="17.100000000000001" customHeight="1">
      <c r="A546" s="33"/>
    </row>
    <row r="547" spans="1:1" ht="17.100000000000001" customHeight="1">
      <c r="A547" s="33"/>
    </row>
    <row r="548" spans="1:1" ht="17.100000000000001" customHeight="1">
      <c r="A548" s="33"/>
    </row>
    <row r="549" spans="1:1" ht="17.100000000000001" customHeight="1">
      <c r="A549" s="33"/>
    </row>
    <row r="550" spans="1:1" ht="17.100000000000001" customHeight="1">
      <c r="A550" s="33"/>
    </row>
    <row r="551" spans="1:1" ht="17.100000000000001" customHeight="1">
      <c r="A551" s="33"/>
    </row>
    <row r="552" spans="1:1" ht="17.100000000000001" customHeight="1">
      <c r="A552" s="33"/>
    </row>
    <row r="553" spans="1:1" ht="17.100000000000001" customHeight="1">
      <c r="A553" s="33"/>
    </row>
    <row r="554" spans="1:1" ht="17.100000000000001" customHeight="1">
      <c r="A554" s="33"/>
    </row>
    <row r="555" spans="1:1" ht="17.100000000000001" customHeight="1">
      <c r="A555" s="33"/>
    </row>
    <row r="556" spans="1:1" ht="17.100000000000001" customHeight="1">
      <c r="A556" s="33"/>
    </row>
    <row r="557" spans="1:1" ht="17.100000000000001" customHeight="1">
      <c r="A557" s="33"/>
    </row>
    <row r="558" spans="1:1" ht="17.100000000000001" customHeight="1">
      <c r="A558" s="33"/>
    </row>
    <row r="559" spans="1:1" ht="17.100000000000001" customHeight="1">
      <c r="A559" s="33"/>
    </row>
    <row r="560" spans="1:1" ht="17.100000000000001" customHeight="1">
      <c r="A560" s="33"/>
    </row>
    <row r="561" spans="1:1" ht="17.100000000000001" customHeight="1">
      <c r="A561" s="33"/>
    </row>
    <row r="562" spans="1:1" ht="17.100000000000001" customHeight="1">
      <c r="A562" s="33"/>
    </row>
    <row r="563" spans="1:1" ht="17.100000000000001" customHeight="1">
      <c r="A563" s="33"/>
    </row>
    <row r="564" spans="1:1" ht="17.100000000000001" customHeight="1">
      <c r="A564" s="33"/>
    </row>
    <row r="565" spans="1:1" ht="17.100000000000001" customHeight="1">
      <c r="A565" s="33"/>
    </row>
    <row r="566" spans="1:1" ht="17.100000000000001" customHeight="1">
      <c r="A566" s="33"/>
    </row>
    <row r="567" spans="1:1" ht="17.100000000000001" customHeight="1">
      <c r="A567" s="33"/>
    </row>
    <row r="568" spans="1:1" ht="17.100000000000001" customHeight="1">
      <c r="A568" s="33"/>
    </row>
    <row r="569" spans="1:1" ht="17.100000000000001" customHeight="1">
      <c r="A569" s="33"/>
    </row>
    <row r="570" spans="1:1" ht="17.100000000000001" customHeight="1">
      <c r="A570" s="33"/>
    </row>
    <row r="571" spans="1:1" ht="17.100000000000001" customHeight="1">
      <c r="A571" s="33"/>
    </row>
    <row r="572" spans="1:1" ht="17.100000000000001" customHeight="1">
      <c r="A572" s="33"/>
    </row>
    <row r="573" spans="1:1" ht="17.100000000000001" customHeight="1">
      <c r="A573" s="33"/>
    </row>
    <row r="574" spans="1:1" ht="17.100000000000001" customHeight="1">
      <c r="A574" s="33"/>
    </row>
    <row r="575" spans="1:1" ht="17.100000000000001" customHeight="1">
      <c r="A575" s="33"/>
    </row>
    <row r="576" spans="1:1" ht="17.100000000000001" customHeight="1">
      <c r="A576" s="33"/>
    </row>
    <row r="577" spans="1:1" ht="17.100000000000001" customHeight="1">
      <c r="A577" s="33"/>
    </row>
    <row r="578" spans="1:1" ht="17.100000000000001" customHeight="1">
      <c r="A578" s="33"/>
    </row>
    <row r="579" spans="1:1" ht="17.100000000000001" customHeight="1">
      <c r="A579" s="33"/>
    </row>
    <row r="580" spans="1:1" ht="17.100000000000001" customHeight="1">
      <c r="A580" s="33"/>
    </row>
    <row r="581" spans="1:1" ht="17.100000000000001" customHeight="1">
      <c r="A581" s="33"/>
    </row>
    <row r="582" spans="1:1" ht="17.100000000000001" customHeight="1">
      <c r="A582" s="33"/>
    </row>
    <row r="583" spans="1:1" ht="17.100000000000001" customHeight="1">
      <c r="A583" s="33"/>
    </row>
    <row r="584" spans="1:1" ht="17.100000000000001" customHeight="1">
      <c r="A584" s="33"/>
    </row>
    <row r="585" spans="1:1" ht="17.100000000000001" customHeight="1">
      <c r="A585" s="33"/>
    </row>
    <row r="586" spans="1:1" ht="17.100000000000001" customHeight="1">
      <c r="A586" s="33"/>
    </row>
    <row r="587" spans="1:1" ht="17.100000000000001" customHeight="1">
      <c r="A587" s="33"/>
    </row>
    <row r="588" spans="1:1" ht="17.100000000000001" customHeight="1">
      <c r="A588" s="33"/>
    </row>
    <row r="589" spans="1:1" ht="17.100000000000001" customHeight="1">
      <c r="A589" s="33"/>
    </row>
    <row r="590" spans="1:1" ht="17.100000000000001" customHeight="1">
      <c r="A590" s="33"/>
    </row>
    <row r="591" spans="1:1" ht="17.100000000000001" customHeight="1">
      <c r="A591" s="33"/>
    </row>
    <row r="592" spans="1:1" ht="17.100000000000001" customHeight="1">
      <c r="A592" s="33"/>
    </row>
    <row r="593" spans="1:1" ht="17.100000000000001" customHeight="1">
      <c r="A593" s="33"/>
    </row>
    <row r="594" spans="1:1" ht="17.100000000000001" customHeight="1">
      <c r="A594" s="33"/>
    </row>
    <row r="595" spans="1:1" ht="17.100000000000001" customHeight="1">
      <c r="A595" s="33"/>
    </row>
    <row r="596" spans="1:1" ht="17.100000000000001" customHeight="1">
      <c r="A596" s="33"/>
    </row>
    <row r="597" spans="1:1" ht="17.100000000000001" customHeight="1">
      <c r="A597" s="33"/>
    </row>
    <row r="598" spans="1:1" ht="17.100000000000001" customHeight="1">
      <c r="A598" s="33"/>
    </row>
    <row r="599" spans="1:1" ht="17.100000000000001" customHeight="1">
      <c r="A599" s="33"/>
    </row>
    <row r="600" spans="1:1" ht="17.100000000000001" customHeight="1">
      <c r="A600" s="33"/>
    </row>
    <row r="601" spans="1:1" ht="17.100000000000001" customHeight="1">
      <c r="A601" s="33"/>
    </row>
    <row r="602" spans="1:1" ht="17.100000000000001" customHeight="1">
      <c r="A602" s="33"/>
    </row>
    <row r="603" spans="1:1" ht="17.100000000000001" customHeight="1">
      <c r="A603" s="33"/>
    </row>
    <row r="604" spans="1:1" ht="17.100000000000001" customHeight="1">
      <c r="A604" s="33"/>
    </row>
    <row r="605" spans="1:1" ht="17.100000000000001" customHeight="1">
      <c r="A605" s="33"/>
    </row>
    <row r="606" spans="1:1" ht="17.100000000000001" customHeight="1">
      <c r="A606" s="33"/>
    </row>
    <row r="607" spans="1:1" ht="17.100000000000001" customHeight="1">
      <c r="A607" s="33"/>
    </row>
    <row r="608" spans="1:1" ht="17.100000000000001" customHeight="1">
      <c r="A608" s="33"/>
    </row>
    <row r="609" spans="1:1" ht="17.100000000000001" customHeight="1">
      <c r="A609" s="33"/>
    </row>
    <row r="610" spans="1:1" ht="17.100000000000001" customHeight="1">
      <c r="A610" s="33"/>
    </row>
    <row r="611" spans="1:1" ht="17.100000000000001" customHeight="1">
      <c r="A611" s="33"/>
    </row>
    <row r="612" spans="1:1" ht="17.100000000000001" customHeight="1">
      <c r="A612" s="33"/>
    </row>
    <row r="613" spans="1:1" ht="17.100000000000001" customHeight="1">
      <c r="A613" s="33"/>
    </row>
    <row r="614" spans="1:1" ht="17.100000000000001" customHeight="1">
      <c r="A614" s="33"/>
    </row>
    <row r="615" spans="1:1" ht="17.100000000000001" customHeight="1">
      <c r="A615" s="33"/>
    </row>
    <row r="616" spans="1:1" ht="17.100000000000001" customHeight="1">
      <c r="A616" s="33"/>
    </row>
    <row r="617" spans="1:1" ht="17.100000000000001" customHeight="1">
      <c r="A617" s="33"/>
    </row>
    <row r="618" spans="1:1" ht="17.100000000000001" customHeight="1">
      <c r="A618" s="33"/>
    </row>
    <row r="619" spans="1:1" ht="17.100000000000001" customHeight="1">
      <c r="A619" s="33"/>
    </row>
    <row r="620" spans="1:1" ht="17.100000000000001" customHeight="1">
      <c r="A620" s="33"/>
    </row>
    <row r="621" spans="1:1" ht="17.100000000000001" customHeight="1">
      <c r="A621" s="33"/>
    </row>
    <row r="622" spans="1:1" ht="17.100000000000001" customHeight="1">
      <c r="A622" s="33"/>
    </row>
    <row r="623" spans="1:1" ht="17.100000000000001" customHeight="1">
      <c r="A623" s="33"/>
    </row>
    <row r="624" spans="1:1" ht="17.100000000000001" customHeight="1">
      <c r="A624" s="33"/>
    </row>
    <row r="625" spans="1:1" ht="17.100000000000001" customHeight="1">
      <c r="A625" s="33"/>
    </row>
    <row r="626" spans="1:1" ht="17.100000000000001" customHeight="1">
      <c r="A626" s="33"/>
    </row>
    <row r="627" spans="1:1" ht="17.100000000000001" customHeight="1">
      <c r="A627" s="33"/>
    </row>
    <row r="628" spans="1:1" ht="17.100000000000001" customHeight="1">
      <c r="A628" s="33"/>
    </row>
    <row r="629" spans="1:1" ht="17.100000000000001" customHeight="1">
      <c r="A629" s="33"/>
    </row>
    <row r="630" spans="1:1" ht="17.100000000000001" customHeight="1">
      <c r="A630" s="33"/>
    </row>
    <row r="631" spans="1:1" ht="17.100000000000001" customHeight="1">
      <c r="A631" s="33"/>
    </row>
    <row r="632" spans="1:1" ht="17.100000000000001" customHeight="1">
      <c r="A632" s="33"/>
    </row>
    <row r="633" spans="1:1" ht="17.100000000000001" customHeight="1">
      <c r="A633" s="33"/>
    </row>
    <row r="634" spans="1:1" ht="17.100000000000001" customHeight="1">
      <c r="A634" s="33"/>
    </row>
    <row r="635" spans="1:1" ht="17.100000000000001" customHeight="1">
      <c r="A635" s="33"/>
    </row>
    <row r="636" spans="1:1" ht="17.100000000000001" customHeight="1">
      <c r="A636" s="33"/>
    </row>
    <row r="637" spans="1:1" ht="17.100000000000001" customHeight="1">
      <c r="A637" s="33"/>
    </row>
    <row r="638" spans="1:1" ht="17.100000000000001" customHeight="1">
      <c r="A638" s="33"/>
    </row>
    <row r="639" spans="1:1" ht="17.100000000000001" customHeight="1">
      <c r="A639" s="33"/>
    </row>
    <row r="640" spans="1:1" ht="17.100000000000001" customHeight="1">
      <c r="A640" s="33"/>
    </row>
    <row r="641" spans="1:1" ht="17.100000000000001" customHeight="1">
      <c r="A641" s="33"/>
    </row>
    <row r="642" spans="1:1" ht="17.100000000000001" customHeight="1">
      <c r="A642" s="33"/>
    </row>
    <row r="643" spans="1:1" ht="17.100000000000001" customHeight="1">
      <c r="A643" s="33"/>
    </row>
    <row r="644" spans="1:1" ht="17.100000000000001" customHeight="1">
      <c r="A644" s="33"/>
    </row>
    <row r="645" spans="1:1" ht="17.100000000000001" customHeight="1">
      <c r="A645" s="33"/>
    </row>
    <row r="646" spans="1:1" ht="17.100000000000001" customHeight="1">
      <c r="A646" s="33"/>
    </row>
    <row r="647" spans="1:1" ht="17.100000000000001" customHeight="1">
      <c r="A647" s="33"/>
    </row>
    <row r="648" spans="1:1" ht="17.100000000000001" customHeight="1">
      <c r="A648" s="33"/>
    </row>
    <row r="649" spans="1:1" ht="17.100000000000001" customHeight="1">
      <c r="A649" s="33"/>
    </row>
    <row r="650" spans="1:1" ht="17.100000000000001" customHeight="1">
      <c r="A650" s="33"/>
    </row>
    <row r="651" spans="1:1" ht="17.100000000000001" customHeight="1">
      <c r="A651" s="33"/>
    </row>
    <row r="652" spans="1:1" ht="17.100000000000001" customHeight="1">
      <c r="A652" s="33"/>
    </row>
    <row r="653" spans="1:1" ht="17.100000000000001" customHeight="1">
      <c r="A653" s="33"/>
    </row>
    <row r="654" spans="1:1" ht="17.100000000000001" customHeight="1">
      <c r="A654" s="33"/>
    </row>
    <row r="655" spans="1:1" ht="17.100000000000001" customHeight="1">
      <c r="A655" s="33"/>
    </row>
    <row r="656" spans="1:1" ht="17.100000000000001" customHeight="1">
      <c r="A656" s="33"/>
    </row>
    <row r="657" spans="1:1" ht="17.100000000000001" customHeight="1">
      <c r="A657" s="33"/>
    </row>
    <row r="658" spans="1:1" ht="17.100000000000001" customHeight="1">
      <c r="A658" s="33"/>
    </row>
    <row r="659" spans="1:1" ht="17.100000000000001" customHeight="1">
      <c r="A659" s="33"/>
    </row>
    <row r="660" spans="1:1" ht="17.100000000000001" customHeight="1">
      <c r="A660" s="33"/>
    </row>
    <row r="661" spans="1:1" ht="17.100000000000001" customHeight="1">
      <c r="A661" s="33"/>
    </row>
    <row r="662" spans="1:1" ht="17.100000000000001" customHeight="1">
      <c r="A662" s="33"/>
    </row>
    <row r="663" spans="1:1" ht="17.100000000000001" customHeight="1">
      <c r="A663" s="33"/>
    </row>
    <row r="664" spans="1:1" ht="17.100000000000001" customHeight="1">
      <c r="A664" s="33"/>
    </row>
    <row r="665" spans="1:1" ht="17.100000000000001" customHeight="1">
      <c r="A665" s="33"/>
    </row>
    <row r="666" spans="1:1" ht="17.100000000000001" customHeight="1">
      <c r="A666" s="33"/>
    </row>
    <row r="667" spans="1:1" ht="17.100000000000001" customHeight="1">
      <c r="A667" s="33"/>
    </row>
    <row r="668" spans="1:1" ht="17.100000000000001" customHeight="1">
      <c r="A668" s="33"/>
    </row>
    <row r="669" spans="1:1" ht="17.100000000000001" customHeight="1">
      <c r="A669" s="33"/>
    </row>
    <row r="670" spans="1:1" ht="17.100000000000001" customHeight="1">
      <c r="A670" s="33"/>
    </row>
    <row r="671" spans="1:1" ht="17.100000000000001" customHeight="1">
      <c r="A671" s="33"/>
    </row>
    <row r="672" spans="1:1" ht="15.6" customHeight="1">
      <c r="A672" s="33"/>
    </row>
    <row r="673" spans="1:1" ht="15.6" customHeight="1">
      <c r="A673" s="33"/>
    </row>
    <row r="674" spans="1:1" ht="15.6" customHeight="1">
      <c r="A674" s="33"/>
    </row>
    <row r="675" spans="1:1" ht="15.6" customHeight="1">
      <c r="A675" s="33"/>
    </row>
    <row r="676" spans="1:1" ht="15.6" customHeight="1">
      <c r="A676" s="33"/>
    </row>
    <row r="677" spans="1:1" ht="15.6" customHeight="1">
      <c r="A677" s="33"/>
    </row>
    <row r="678" spans="1:1" ht="15.6" customHeight="1">
      <c r="A678" s="33"/>
    </row>
    <row r="679" spans="1:1" ht="15.6" customHeight="1">
      <c r="A679" s="33"/>
    </row>
    <row r="680" spans="1:1" ht="15.6" customHeight="1">
      <c r="A680" s="33"/>
    </row>
    <row r="681" spans="1:1" ht="15.6" customHeight="1">
      <c r="A681" s="33"/>
    </row>
    <row r="682" spans="1:1" ht="15.6" customHeight="1">
      <c r="A682" s="33"/>
    </row>
    <row r="683" spans="1:1" ht="15.6" customHeight="1">
      <c r="A683" s="33"/>
    </row>
    <row r="684" spans="1:1" ht="15.6" customHeight="1">
      <c r="A684" s="33"/>
    </row>
    <row r="685" spans="1:1" ht="15.6" customHeight="1">
      <c r="A685" s="33"/>
    </row>
    <row r="686" spans="1:1" ht="15.6" customHeight="1">
      <c r="A686" s="33"/>
    </row>
    <row r="687" spans="1:1" ht="15.6" customHeight="1">
      <c r="A687" s="33"/>
    </row>
    <row r="688" spans="1:1" ht="15.6" customHeight="1">
      <c r="A688" s="33"/>
    </row>
    <row r="689" spans="1:1" ht="15.6" customHeight="1">
      <c r="A689" s="33"/>
    </row>
    <row r="690" spans="1:1" ht="15.6" customHeight="1">
      <c r="A690" s="33"/>
    </row>
    <row r="691" spans="1:1" ht="15.6" customHeight="1">
      <c r="A691" s="33"/>
    </row>
    <row r="692" spans="1:1" ht="15.6" customHeight="1">
      <c r="A692" s="33"/>
    </row>
    <row r="693" spans="1:1" ht="15.6" customHeight="1">
      <c r="A693" s="3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31</xdr:row>
                    <xdr:rowOff>161925</xdr:rowOff>
                  </from>
                  <to>
                    <xdr:col>5</xdr:col>
                    <xdr:colOff>390525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48"/>
  <sheetViews>
    <sheetView showGridLines="0" topLeftCell="A16" zoomScale="60" zoomScaleNormal="60" workbookViewId="0">
      <selection activeCell="Q48" sqref="A17:Q48"/>
    </sheetView>
  </sheetViews>
  <sheetFormatPr baseColWidth="10" defaultColWidth="11.42578125" defaultRowHeight="15"/>
  <cols>
    <col min="3" max="3" width="4.7109375" customWidth="1"/>
    <col min="4" max="10" width="11.140625" customWidth="1"/>
    <col min="11" max="11" width="5.140625" customWidth="1"/>
    <col min="12" max="15" width="11.140625" customWidth="1"/>
    <col min="16" max="16" width="3" customWidth="1"/>
  </cols>
  <sheetData>
    <row r="1" spans="1:22">
      <c r="A1">
        <v>30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Q1">
        <f>+A1</f>
        <v>30</v>
      </c>
      <c r="R1">
        <f t="shared" ref="R1:V1" si="0">+B1</f>
        <v>1</v>
      </c>
      <c r="S1">
        <f t="shared" si="0"/>
        <v>2</v>
      </c>
      <c r="T1">
        <f t="shared" si="0"/>
        <v>3</v>
      </c>
      <c r="U1">
        <f t="shared" si="0"/>
        <v>4</v>
      </c>
      <c r="V1">
        <f t="shared" si="0"/>
        <v>5</v>
      </c>
    </row>
    <row r="2" spans="1:22">
      <c r="A2" t="s">
        <v>215</v>
      </c>
      <c r="B2" t="str">
        <f>HLOOKUP($A2&amp;B$1,Tabla!$B:$AY,30*$A$1,0)</f>
        <v>El hecho de que puedo armonizar el trabajo con mi vida personal</v>
      </c>
      <c r="C2" t="str">
        <f>HLOOKUP($A2&amp;C$1,Tabla!$B:$AY,30*$A$1,0)</f>
        <v>La remuneración y los beneficios que me brinda la empresa</v>
      </c>
      <c r="D2" t="str">
        <f>HLOOKUP($A2&amp;D$1,Tabla!$B:$AY,30*$A$1,0)</f>
        <v>El saber que el despido es un recurso de última instancia</v>
      </c>
      <c r="E2" t="str">
        <f>HLOOKUP($A2&amp;E$1,Tabla!$B:$AY,30*$A$1,0)</f>
        <v>La oportunidad de crecer y desarrollarme profesional-mente</v>
      </c>
      <c r="F2" t="str">
        <f>HLOOKUP($A2&amp;F$1,Tabla!$B:$AY,30*$A$1,0)</f>
        <v>Otro motivo</v>
      </c>
      <c r="G2">
        <f>HLOOKUP($A2&amp;G$1,Tabla!$B:$AY,30*$A$1,0)</f>
        <v>0</v>
      </c>
      <c r="H2">
        <f>HLOOKUP($A2&amp;H$1,Tabla!$B:$AY,30*$A$1,0)</f>
        <v>0</v>
      </c>
      <c r="I2">
        <f>HLOOKUP($A2&amp;I$1,Tabla!$B:$AY,30*$A$1,0)</f>
        <v>0</v>
      </c>
    </row>
    <row r="3" spans="1:22">
      <c r="A3" t="s">
        <v>215</v>
      </c>
      <c r="B3">
        <f>HLOOKUP($A3&amp;B$1,Tabla!$B:$AY,30*$A$1+9,0)</f>
        <v>138</v>
      </c>
      <c r="C3">
        <f>HLOOKUP($A3&amp;C$1,Tabla!$B:$AY,30*$A$1+9,0)</f>
        <v>43</v>
      </c>
      <c r="D3">
        <f>HLOOKUP($A3&amp;D$1,Tabla!$B:$AY,30*$A$1+9,0)</f>
        <v>10</v>
      </c>
      <c r="E3">
        <f>HLOOKUP($A3&amp;E$1,Tabla!$B:$AY,30*$A$1+9,0)</f>
        <v>266</v>
      </c>
      <c r="F3">
        <f>HLOOKUP($A3&amp;F$1,Tabla!$B:$AY,30*$A$1+9,0)</f>
        <v>56</v>
      </c>
      <c r="G3">
        <f>HLOOKUP($A3&amp;G$1,Tabla!$B:$AY,30*$A$1+9,0)</f>
        <v>0</v>
      </c>
      <c r="H3">
        <f>HLOOKUP($A3&amp;H$1,Tabla!$B:$AY,30*$A$1+9,0)</f>
        <v>0</v>
      </c>
      <c r="I3">
        <f>HLOOKUP($A3&amp;I$1,Tabla!$B:$AY,30*$A$1+9,0)</f>
        <v>0</v>
      </c>
      <c r="Q3" t="str">
        <f>+A3</f>
        <v>a</v>
      </c>
    </row>
    <row r="4" spans="1:22">
      <c r="A4" t="s">
        <v>215</v>
      </c>
      <c r="B4" t="str">
        <f>HLOOKUP($A4&amp;B$1,Tabla!$B:$AY,30*$A$1,0)</f>
        <v>El hecho de que puedo armonizar el trabajo con mi vida personal</v>
      </c>
      <c r="C4" t="str">
        <f>HLOOKUP($A4&amp;C$1,Tabla!$B:$AY,30*$A$1,0)</f>
        <v>La remuneración y los beneficios que me brinda la empresa</v>
      </c>
      <c r="D4" t="str">
        <f>HLOOKUP($A4&amp;D$1,Tabla!$B:$AY,30*$A$1,0)</f>
        <v>El saber que el despido es un recurso de última instancia</v>
      </c>
      <c r="E4" t="str">
        <f>HLOOKUP($A4&amp;E$1,Tabla!$B:$AY,30*$A$1,0)</f>
        <v>La oportunidad de crecer y desarrollarme profesional-mente</v>
      </c>
      <c r="F4" t="str">
        <f>HLOOKUP($A4&amp;F$1,Tabla!$B:$AY,30*$A$1,0)</f>
        <v>Otro motivo</v>
      </c>
      <c r="G4">
        <f>HLOOKUP($A4&amp;G$1,Tabla!$B:$AY,30*$A$1+12,0)</f>
        <v>0</v>
      </c>
      <c r="H4">
        <f>HLOOKUP($A4&amp;H$1,Tabla!$B:$AY,30*$A$1+12,0)</f>
        <v>0</v>
      </c>
      <c r="I4">
        <f>HLOOKUP($A4&amp;I$1,Tabla!$B:$AY,30*$A$1+12,0)</f>
        <v>0</v>
      </c>
    </row>
    <row r="5" spans="1:22">
      <c r="A5" t="s">
        <v>215</v>
      </c>
      <c r="B5">
        <f>HLOOKUP($A5&amp;B$1,Tabla!$B:$AY,30*$A$1+14,0)</f>
        <v>175</v>
      </c>
      <c r="C5">
        <f>HLOOKUP($A5&amp;C$1,Tabla!$B:$AY,30*$A$1+14,0)</f>
        <v>47</v>
      </c>
      <c r="D5">
        <f>HLOOKUP($A5&amp;D$1,Tabla!$B:$AY,30*$A$1+14,0)</f>
        <v>10</v>
      </c>
      <c r="E5">
        <f>HLOOKUP($A5&amp;E$1,Tabla!$B:$AY,30*$A$1+14,0)</f>
        <v>301</v>
      </c>
      <c r="F5">
        <f>HLOOKUP($A5&amp;F$1,Tabla!$B:$AY,30*$A$1+14,0)</f>
        <v>46</v>
      </c>
      <c r="G5">
        <f>HLOOKUP($A5&amp;G$1,Tabla!$B:$AY,30*$A$1+14,0)</f>
        <v>0</v>
      </c>
      <c r="H5">
        <f>HLOOKUP($A5&amp;H$1,Tabla!$B:$AY,30*$A$1+14,0)</f>
        <v>0</v>
      </c>
      <c r="I5">
        <f>HLOOKUP($A5&amp;I$1,Tabla!$B:$AY,30*$A$1+14,0)</f>
        <v>0</v>
      </c>
    </row>
    <row r="6" spans="1:22">
      <c r="A6">
        <f>DetalleDimension!$F$3</f>
        <v>2016</v>
      </c>
      <c r="B6" s="8">
        <f>B3/SUM($B$3:$I$3)*100</f>
        <v>26.900584795321635</v>
      </c>
      <c r="C6" s="8">
        <f t="shared" ref="C6:I6" si="1">C3/SUM($B$3:$I$3)*100</f>
        <v>8.3820662768031191</v>
      </c>
      <c r="D6" s="8">
        <f t="shared" si="1"/>
        <v>1.9493177387914229</v>
      </c>
      <c r="E6" s="8">
        <f t="shared" si="1"/>
        <v>51.851851851851848</v>
      </c>
      <c r="F6" s="8">
        <f t="shared" si="1"/>
        <v>10.916179337231968</v>
      </c>
      <c r="G6" s="8">
        <f t="shared" si="1"/>
        <v>0</v>
      </c>
      <c r="H6" s="8">
        <f t="shared" si="1"/>
        <v>0</v>
      </c>
      <c r="I6" s="8">
        <f t="shared" si="1"/>
        <v>0</v>
      </c>
      <c r="K6" s="8">
        <f>+A6</f>
        <v>2016</v>
      </c>
      <c r="L6" s="421">
        <f>+B6/100</f>
        <v>0.26900584795321636</v>
      </c>
      <c r="M6" s="421">
        <f t="shared" ref="M6:P7" si="2">+C6/100</f>
        <v>8.3820662768031184E-2</v>
      </c>
      <c r="N6" s="421">
        <f t="shared" si="2"/>
        <v>1.9493177387914229E-2</v>
      </c>
      <c r="O6" s="421">
        <f t="shared" si="2"/>
        <v>0.51851851851851849</v>
      </c>
      <c r="P6" s="421">
        <f t="shared" si="2"/>
        <v>0.10916179337231968</v>
      </c>
      <c r="Q6" t="s">
        <v>813</v>
      </c>
      <c r="R6" s="422">
        <f>IF(HLOOKUP($A3&amp;B$1,Tabla!$B:$AY,30*$A$1+6,0)/100=0,"",HLOOKUP($A3&amp;B$1,Tabla!$B:$AY,30*$A$1+6,0)/100)</f>
        <v>0.62</v>
      </c>
      <c r="S6" s="422">
        <f>IF(HLOOKUP($A3&amp;C$1,Tabla!$B:$AY,30*$A$1+6,0)/100=0,"",HLOOKUP($A3&amp;C$1,Tabla!$B:$AY,30*$A$1+6,0)/100)</f>
        <v>0.63</v>
      </c>
      <c r="T6" s="422">
        <f>IF(HLOOKUP($A3&amp;D$1,Tabla!$B:$AY,30*$A$1+6,0)/100=0,"",HLOOKUP($A3&amp;D$1,Tabla!$B:$AY,30*$A$1+6,0)/100)</f>
        <v>0.3</v>
      </c>
      <c r="U6" s="422">
        <f>IF(HLOOKUP($A3&amp;E$1,Tabla!$B:$AY,30*$A$1+6,0)/100=0,"",HLOOKUP($A3&amp;E$1,Tabla!$B:$AY,30*$A$1+6,0)/100)</f>
        <v>0.79</v>
      </c>
      <c r="V6" s="422">
        <f>IF(HLOOKUP($A3&amp;F$1,Tabla!$B:$AY,30*$A$1+6,0)/100=0,"",HLOOKUP($A3&amp;F$1,Tabla!$B:$AY,30*$A$1+6,0)/100)</f>
        <v>0.28999999999999998</v>
      </c>
    </row>
    <row r="7" spans="1:22">
      <c r="A7">
        <f>DetalleDimension!$E$3</f>
        <v>2015</v>
      </c>
      <c r="B7" s="8">
        <f>B5/SUM($B$5:$I$5)*100</f>
        <v>30.224525043177891</v>
      </c>
      <c r="C7" s="8">
        <f t="shared" ref="C7:I7" si="3">C5/SUM($B$5:$I$5)*100</f>
        <v>8.1174438687392065</v>
      </c>
      <c r="D7" s="8">
        <f t="shared" si="3"/>
        <v>1.7271157167530224</v>
      </c>
      <c r="E7" s="8">
        <f t="shared" si="3"/>
        <v>51.986183074265981</v>
      </c>
      <c r="F7" s="8">
        <f t="shared" si="3"/>
        <v>7.9447322970639025</v>
      </c>
      <c r="G7" s="8">
        <f t="shared" si="3"/>
        <v>0</v>
      </c>
      <c r="H7" s="8">
        <f t="shared" si="3"/>
        <v>0</v>
      </c>
      <c r="I7" s="8">
        <f t="shared" si="3"/>
        <v>0</v>
      </c>
      <c r="K7" s="8">
        <f>+A7</f>
        <v>2015</v>
      </c>
      <c r="L7" s="421">
        <f>+B7/100</f>
        <v>0.30224525043177891</v>
      </c>
      <c r="M7" s="421">
        <f t="shared" si="2"/>
        <v>8.1174438687392061E-2</v>
      </c>
      <c r="N7" s="421">
        <f t="shared" si="2"/>
        <v>1.7271157167530225E-2</v>
      </c>
      <c r="O7" s="421">
        <f t="shared" si="2"/>
        <v>0.51986183074265979</v>
      </c>
      <c r="P7" s="421">
        <f t="shared" si="2"/>
        <v>7.9447322970639028E-2</v>
      </c>
      <c r="Q7" t="s">
        <v>814</v>
      </c>
      <c r="R7" s="422">
        <f>IF(HLOOKUP($A3&amp;B$1,Tabla!$B:$AY,30*$A$1+7,0)/100=0,"",HLOOKUP($A3&amp;B$1,Tabla!$B:$AY,30*$A$1+7,0)/100)</f>
        <v>0.66</v>
      </c>
      <c r="S7" s="422">
        <f>HLOOKUP($A3&amp;C$1,Tabla!$B:$AY,30*$A$1+7,0)</f>
        <v>65</v>
      </c>
      <c r="T7" s="422">
        <f>HLOOKUP($A3&amp;D$1,Tabla!$B:$AY,30*$A$1+7,0)</f>
        <v>38</v>
      </c>
      <c r="U7" s="422">
        <f>HLOOKUP($A3&amp;E$1,Tabla!$B:$AY,30*$A$1+7,0)/100</f>
        <v>0.78</v>
      </c>
      <c r="V7" s="422">
        <f>HLOOKUP($A3&amp;F$1,Tabla!$B:$AY,30*$A$1+7,0)/100</f>
        <v>0.41</v>
      </c>
    </row>
    <row r="45" spans="4:12" ht="15.75" thickBot="1"/>
    <row r="46" spans="4:12" ht="19.5" thickTop="1" thickBot="1">
      <c r="K46" s="342"/>
      <c r="L46" s="344" t="str">
        <f>IF(Tabla!A1=1,$A$6,"Círculo exterior - "&amp;$A$6)</f>
        <v>Círculo exterior - 2016</v>
      </c>
    </row>
    <row r="47" spans="4:12" ht="19.5" thickTop="1" thickBot="1">
      <c r="K47" s="343"/>
      <c r="L47" s="344" t="str">
        <f>IF(Tabla!A1=1,"","Círculo interior - "&amp;$A$7)</f>
        <v>Círculo interior - 2015</v>
      </c>
    </row>
    <row r="48" spans="4:12" ht="20.25" thickTop="1">
      <c r="D48" s="163" t="str">
        <f>"Total respondentes: "&amp;SUM($B$3:$F$3)</f>
        <v>Total respondentes: 513</v>
      </c>
    </row>
  </sheetData>
  <pageMargins left="0.7" right="0.7" top="0.75" bottom="0.75" header="0.3" footer="0.3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FDF24E1-245D-4A35-9E14-A5283419B7DC}">
            <xm:f>Tabla!$A$1=1</xm:f>
            <x14:dxf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K47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I46"/>
  <sheetViews>
    <sheetView showGridLines="0" zoomScale="60" zoomScaleNormal="60" workbookViewId="0">
      <selection activeCell="C16" sqref="C16:O48"/>
    </sheetView>
  </sheetViews>
  <sheetFormatPr baseColWidth="10" defaultColWidth="11.42578125" defaultRowHeight="15"/>
  <cols>
    <col min="3" max="3" width="4.7109375" customWidth="1"/>
    <col min="4" max="10" width="11.140625" customWidth="1"/>
    <col min="11" max="11" width="5.140625" customWidth="1"/>
    <col min="12" max="15" width="11.140625" customWidth="1"/>
    <col min="16" max="16" width="3" customWidth="1"/>
  </cols>
  <sheetData>
    <row r="1" spans="1:9">
      <c r="A1" s="23">
        <f>+Motivo!A1+2</f>
        <v>32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>
      <c r="A2" t="s">
        <v>215</v>
      </c>
      <c r="B2">
        <f>HLOOKUP($A2&amp;B$1,Tabla!$B:$AY,30*$A$1,0)</f>
        <v>0</v>
      </c>
      <c r="C2">
        <f>HLOOKUP($A2&amp;C$1,Tabla!$B:$AY,30*$A$1,0)</f>
        <v>0</v>
      </c>
      <c r="D2">
        <f>HLOOKUP($A2&amp;D$1,Tabla!$B:$AY,30*$A$1,0)</f>
        <v>0</v>
      </c>
      <c r="E2">
        <f>HLOOKUP($A2&amp;E$1,Tabla!$B:$AY,30*$A$1,0)</f>
        <v>0</v>
      </c>
      <c r="F2">
        <f>HLOOKUP($A2&amp;F$1,Tabla!$B:$AY,30*$A$1,0)</f>
        <v>0</v>
      </c>
      <c r="G2">
        <f>HLOOKUP($A2&amp;G$1,Tabla!$B:$AY,30*$A$1,0)</f>
        <v>0</v>
      </c>
      <c r="H2">
        <f>HLOOKUP($A2&amp;H$1,Tabla!$B:$AY,30*$A$1,0)</f>
        <v>0</v>
      </c>
      <c r="I2">
        <f>HLOOKUP($A2&amp;I$1,Tabla!$B:$AY,30*$A$1,0)</f>
        <v>0</v>
      </c>
    </row>
    <row r="3" spans="1:9">
      <c r="A3" t="s">
        <v>215</v>
      </c>
      <c r="B3">
        <f>HLOOKUP($A3&amp;B$1,Tabla!$B:$AY,30*$A$1+9,0)</f>
        <v>0</v>
      </c>
      <c r="C3">
        <f>HLOOKUP($A3&amp;C$1,Tabla!$B:$AY,30*$A$1+9,0)</f>
        <v>0</v>
      </c>
      <c r="D3">
        <f>HLOOKUP($A3&amp;D$1,Tabla!$B:$AY,30*$A$1+9,0)</f>
        <v>0</v>
      </c>
      <c r="E3">
        <f>HLOOKUP($A3&amp;E$1,Tabla!$B:$AY,30*$A$1+9,0)</f>
        <v>0</v>
      </c>
      <c r="F3">
        <f>HLOOKUP($A3&amp;F$1,Tabla!$B:$AY,30*$A$1+9,0)</f>
        <v>0</v>
      </c>
      <c r="G3">
        <f>HLOOKUP($A3&amp;G$1,Tabla!$B:$AY,30*$A$1+9,0)</f>
        <v>0</v>
      </c>
      <c r="H3">
        <f>HLOOKUP($A3&amp;H$1,Tabla!$B:$AY,30*$A$1+9,0)</f>
        <v>0</v>
      </c>
      <c r="I3">
        <f>HLOOKUP($A3&amp;I$1,Tabla!$B:$AY,30*$A$1+9,0)</f>
        <v>0</v>
      </c>
    </row>
    <row r="4" spans="1:9">
      <c r="A4" t="s">
        <v>215</v>
      </c>
      <c r="B4">
        <f>HLOOKUP($A4&amp;B$1,Tabla!$B:$AY,30*$A$1,0)</f>
        <v>0</v>
      </c>
      <c r="C4">
        <f>HLOOKUP($A4&amp;C$1,Tabla!$B:$AY,30*$A$1,0)</f>
        <v>0</v>
      </c>
      <c r="D4">
        <f>HLOOKUP($A4&amp;D$1,Tabla!$B:$AY,30*$A$1,0)</f>
        <v>0</v>
      </c>
      <c r="E4">
        <f>HLOOKUP($A4&amp;E$1,Tabla!$B:$AY,30*$A$1,0)</f>
        <v>0</v>
      </c>
      <c r="F4">
        <f>HLOOKUP($A4&amp;F$1,Tabla!$B:$AY,30*$A$1,0)</f>
        <v>0</v>
      </c>
      <c r="G4">
        <f>HLOOKUP($A4&amp;G$1,Tabla!$B:$AY,30*$A$1+12,0)</f>
        <v>0</v>
      </c>
      <c r="H4">
        <f>HLOOKUP($A4&amp;H$1,Tabla!$B:$AY,30*$A$1+12,0)</f>
        <v>0</v>
      </c>
      <c r="I4">
        <f>HLOOKUP($A4&amp;I$1,Tabla!$B:$AY,30*$A$1+12,0)</f>
        <v>0</v>
      </c>
    </row>
    <row r="5" spans="1:9">
      <c r="A5" t="s">
        <v>215</v>
      </c>
      <c r="B5">
        <f>HLOOKUP($A5&amp;B$1,Tabla!$B:$AY,30*$A$1+14,0)</f>
        <v>0</v>
      </c>
      <c r="C5">
        <f>HLOOKUP($A5&amp;C$1,Tabla!$B:$AY,30*$A$1+14,0)</f>
        <v>0</v>
      </c>
      <c r="D5">
        <f>HLOOKUP($A5&amp;D$1,Tabla!$B:$AY,30*$A$1+14,0)</f>
        <v>0</v>
      </c>
      <c r="E5">
        <f>HLOOKUP($A5&amp;E$1,Tabla!$B:$AY,30*$A$1+14,0)</f>
        <v>0</v>
      </c>
      <c r="F5">
        <f>HLOOKUP($A5&amp;F$1,Tabla!$B:$AY,30*$A$1+14,0)</f>
        <v>0</v>
      </c>
      <c r="G5">
        <f>HLOOKUP($A5&amp;G$1,Tabla!$B:$AY,30*$A$1+14,0)</f>
        <v>0</v>
      </c>
      <c r="H5">
        <f>HLOOKUP($A5&amp;H$1,Tabla!$B:$AY,30*$A$1+14,0)</f>
        <v>0</v>
      </c>
      <c r="I5">
        <f>HLOOKUP($A5&amp;I$1,Tabla!$B:$AY,30*$A$1+14,0)</f>
        <v>0</v>
      </c>
    </row>
    <row r="6" spans="1:9">
      <c r="A6">
        <f>DetalleDimension!$F$3</f>
        <v>2016</v>
      </c>
      <c r="B6" s="8" t="e">
        <f>B3/SUM($B$3:$I$3)*100</f>
        <v>#DIV/0!</v>
      </c>
      <c r="C6" s="8" t="e">
        <f t="shared" ref="C6:I6" si="0">C3/SUM($B$3:$I$3)*100</f>
        <v>#DIV/0!</v>
      </c>
      <c r="D6" s="8" t="e">
        <f t="shared" si="0"/>
        <v>#DIV/0!</v>
      </c>
      <c r="E6" s="8" t="e">
        <f t="shared" si="0"/>
        <v>#DIV/0!</v>
      </c>
      <c r="F6" s="8" t="e">
        <f t="shared" si="0"/>
        <v>#DIV/0!</v>
      </c>
      <c r="G6" s="8" t="e">
        <f t="shared" si="0"/>
        <v>#DIV/0!</v>
      </c>
      <c r="H6" s="8" t="e">
        <f t="shared" si="0"/>
        <v>#DIV/0!</v>
      </c>
      <c r="I6" s="8" t="e">
        <f t="shared" si="0"/>
        <v>#DIV/0!</v>
      </c>
    </row>
    <row r="7" spans="1:9" hidden="1">
      <c r="A7">
        <f>DetalleDimension!$E$3</f>
        <v>2015</v>
      </c>
      <c r="B7" s="8" t="e">
        <f>B5/SUM($B$5:$I$5)*100</f>
        <v>#DIV/0!</v>
      </c>
      <c r="C7" s="8" t="e">
        <f t="shared" ref="C7:I7" si="1">C5/SUM($B$5:$I$5)*100</f>
        <v>#DIV/0!</v>
      </c>
      <c r="D7" s="8" t="e">
        <f t="shared" si="1"/>
        <v>#DIV/0!</v>
      </c>
      <c r="E7" s="8" t="e">
        <f t="shared" si="1"/>
        <v>#DIV/0!</v>
      </c>
      <c r="F7" s="8" t="e">
        <f t="shared" si="1"/>
        <v>#DIV/0!</v>
      </c>
      <c r="G7" s="8" t="e">
        <f t="shared" si="1"/>
        <v>#DIV/0!</v>
      </c>
      <c r="H7" s="8" t="e">
        <f t="shared" si="1"/>
        <v>#DIV/0!</v>
      </c>
      <c r="I7" s="8" t="e">
        <f t="shared" si="1"/>
        <v>#DIV/0!</v>
      </c>
    </row>
    <row r="46" spans="4:4" ht="19.5">
      <c r="D46" s="163" t="str">
        <f>"Total respondentes: "&amp;SUM($B$3:$C$3)</f>
        <v>Total respondentes: 0</v>
      </c>
    </row>
  </sheetData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74"/>
  <sheetViews>
    <sheetView zoomScaleNormal="100" workbookViewId="0">
      <pane xSplit="1" ySplit="1" topLeftCell="B6" activePane="bottomRight" state="frozen"/>
      <selection activeCell="A7" sqref="A7"/>
      <selection pane="topRight" activeCell="A7" sqref="A7"/>
      <selection pane="bottomLeft" activeCell="A7" sqref="A7"/>
      <selection pane="bottomRight"/>
    </sheetView>
  </sheetViews>
  <sheetFormatPr baseColWidth="10" defaultColWidth="11.42578125" defaultRowHeight="15" customHeight="1"/>
  <cols>
    <col min="1" max="1" width="12.7109375" style="1" customWidth="1"/>
    <col min="2" max="2" width="72" customWidth="1"/>
    <col min="3" max="3" width="17.42578125" customWidth="1"/>
    <col min="4" max="5" width="11.42578125" style="1"/>
  </cols>
  <sheetData>
    <row r="1" spans="1:9" ht="15.75" thickBot="1">
      <c r="A1" s="3"/>
      <c r="B1" s="4" t="s">
        <v>128</v>
      </c>
      <c r="C1" s="4" t="s">
        <v>129</v>
      </c>
      <c r="D1" s="4" t="s">
        <v>130</v>
      </c>
      <c r="E1" s="4" t="s">
        <v>131</v>
      </c>
      <c r="F1" s="4" t="s">
        <v>133</v>
      </c>
      <c r="G1" s="5" t="s">
        <v>132</v>
      </c>
      <c r="H1" t="s">
        <v>904</v>
      </c>
      <c r="I1">
        <v>32</v>
      </c>
    </row>
    <row r="2" spans="1:9">
      <c r="A2" s="1">
        <v>32</v>
      </c>
      <c r="B2" t="s">
        <v>108</v>
      </c>
      <c r="C2" t="s">
        <v>157</v>
      </c>
      <c r="D2" s="1">
        <v>120</v>
      </c>
      <c r="E2" s="1">
        <v>-155</v>
      </c>
      <c r="H2" s="44" t="s">
        <v>788</v>
      </c>
    </row>
    <row r="3" spans="1:9">
      <c r="A3" s="14">
        <v>33</v>
      </c>
      <c r="B3" t="s">
        <v>407</v>
      </c>
      <c r="C3" s="23" t="s">
        <v>168</v>
      </c>
      <c r="E3" s="1">
        <v>5</v>
      </c>
      <c r="F3" t="s">
        <v>341</v>
      </c>
      <c r="G3" t="str">
        <f>VLOOKUP(C3,Demo!$A$2:$D$31,2,0)</f>
        <v>Cargo</v>
      </c>
      <c r="H3" t="s">
        <v>793</v>
      </c>
    </row>
    <row r="4" spans="1:9">
      <c r="A4" s="14">
        <v>34</v>
      </c>
      <c r="B4" t="s">
        <v>407</v>
      </c>
      <c r="C4" s="23" t="s">
        <v>170</v>
      </c>
      <c r="E4" s="1">
        <v>5</v>
      </c>
      <c r="F4" t="s">
        <v>341</v>
      </c>
      <c r="G4" t="str">
        <f>VLOOKUP(C4,Demo!$A$2:$D$31,2,0)</f>
        <v>Edad</v>
      </c>
    </row>
    <row r="5" spans="1:9">
      <c r="A5" s="14">
        <v>35</v>
      </c>
      <c r="B5" t="s">
        <v>407</v>
      </c>
      <c r="C5" s="23" t="s">
        <v>169</v>
      </c>
      <c r="E5" s="1">
        <v>5</v>
      </c>
      <c r="F5" t="s">
        <v>341</v>
      </c>
      <c r="G5" t="str">
        <f>VLOOKUP(C5,Demo!$A$2:$D$31,2,0)</f>
        <v>Género</v>
      </c>
    </row>
    <row r="6" spans="1:9">
      <c r="A6" s="14">
        <v>36</v>
      </c>
      <c r="B6" t="s">
        <v>407</v>
      </c>
      <c r="C6" s="23" t="s">
        <v>171</v>
      </c>
      <c r="E6" s="1">
        <v>5</v>
      </c>
      <c r="F6" t="s">
        <v>341</v>
      </c>
      <c r="G6" t="str">
        <f>VLOOKUP(C6,Demo!$A$2:$D$31,2,0)</f>
        <v>Antigüedad en la Empresa</v>
      </c>
    </row>
    <row r="7" spans="1:9">
      <c r="A7" s="14">
        <v>37</v>
      </c>
      <c r="B7" t="s">
        <v>407</v>
      </c>
      <c r="C7" s="23" t="s">
        <v>172</v>
      </c>
      <c r="E7" s="1">
        <v>5</v>
      </c>
      <c r="F7" t="s">
        <v>341</v>
      </c>
      <c r="G7" t="str">
        <f>VLOOKUP(C7,Demo!$A$2:$D$31,2,0)</f>
        <v>Jornada Laboral</v>
      </c>
    </row>
    <row r="8" spans="1:9">
      <c r="A8" s="14">
        <v>38</v>
      </c>
      <c r="B8" t="s">
        <v>407</v>
      </c>
      <c r="C8" s="23" t="s">
        <v>173</v>
      </c>
      <c r="E8" s="1">
        <v>5</v>
      </c>
      <c r="F8" t="s">
        <v>341</v>
      </c>
      <c r="G8" t="str">
        <f>VLOOKUP(C8,Demo!$A$2:$D$31,2,0)</f>
        <v>Cantidad de Reuniones de Feedback en FY16</v>
      </c>
    </row>
    <row r="9" spans="1:9">
      <c r="A9" s="14">
        <v>39</v>
      </c>
      <c r="B9" t="s">
        <v>407</v>
      </c>
      <c r="C9" s="23" t="s">
        <v>174</v>
      </c>
      <c r="E9" s="1">
        <v>5</v>
      </c>
      <c r="F9" t="s">
        <v>341</v>
      </c>
      <c r="G9" t="str">
        <f>VLOOKUP(C9,Demo!$A$2:$D$31,2,0)</f>
        <v>Lob1</v>
      </c>
    </row>
    <row r="10" spans="1:9">
      <c r="A10" s="14">
        <v>40</v>
      </c>
      <c r="B10" t="s">
        <v>407</v>
      </c>
      <c r="C10" s="23" t="s">
        <v>175</v>
      </c>
      <c r="E10" s="1">
        <v>5</v>
      </c>
      <c r="F10" t="s">
        <v>341</v>
      </c>
      <c r="G10" t="str">
        <f>VLOOKUP(C10,Demo!$A$2:$D$31,2,0)</f>
        <v>Lob2</v>
      </c>
    </row>
    <row r="11" spans="1:9">
      <c r="A11" s="14">
        <v>41</v>
      </c>
      <c r="B11" t="s">
        <v>407</v>
      </c>
      <c r="C11" s="23" t="s">
        <v>176</v>
      </c>
      <c r="E11" s="1">
        <v>5</v>
      </c>
      <c r="F11" t="s">
        <v>341</v>
      </c>
      <c r="G11" t="str">
        <f>VLOOKUP(C11,Demo!$A$2:$D$31,2,0)</f>
        <v>Lob3</v>
      </c>
    </row>
    <row r="12" spans="1:9">
      <c r="A12" s="14">
        <v>42</v>
      </c>
      <c r="B12" t="s">
        <v>407</v>
      </c>
      <c r="C12" s="23" t="s">
        <v>177</v>
      </c>
      <c r="E12" s="1">
        <v>5</v>
      </c>
      <c r="F12" t="s">
        <v>341</v>
      </c>
      <c r="G12" t="str">
        <f>VLOOKUP(C12,Demo!$A$2:$D$31,2,0)</f>
        <v>Cloud Services</v>
      </c>
    </row>
    <row r="13" spans="1:9">
      <c r="A13" s="14">
        <v>43</v>
      </c>
      <c r="B13" t="s">
        <v>407</v>
      </c>
      <c r="C13" s="23" t="s">
        <v>178</v>
      </c>
      <c r="E13" s="1">
        <v>5</v>
      </c>
      <c r="F13" t="s">
        <v>341</v>
      </c>
      <c r="G13" t="str">
        <f>VLOOKUP(C13,Demo!$A$2:$D$31,2,0)</f>
        <v>Development</v>
      </c>
    </row>
    <row r="14" spans="1:9">
      <c r="A14" s="14">
        <v>44</v>
      </c>
      <c r="B14" t="s">
        <v>407</v>
      </c>
      <c r="C14" s="23" t="s">
        <v>179</v>
      </c>
      <c r="E14" s="1">
        <v>5</v>
      </c>
      <c r="F14" t="s">
        <v>341</v>
      </c>
      <c r="G14" t="str">
        <f>VLOOKUP(C14,Demo!$A$2:$D$31,2,0)</f>
        <v>GBU´s/IBU´S</v>
      </c>
    </row>
    <row r="15" spans="1:9">
      <c r="A15" s="14">
        <v>45</v>
      </c>
      <c r="B15" s="7" t="s">
        <v>109</v>
      </c>
      <c r="C15" s="7"/>
      <c r="D15" s="6"/>
      <c r="E15" s="6"/>
      <c r="F15" s="7"/>
      <c r="G15" s="7"/>
    </row>
    <row r="16" spans="1:9">
      <c r="A16" s="14">
        <v>46</v>
      </c>
      <c r="B16" t="s">
        <v>110</v>
      </c>
      <c r="C16" t="s">
        <v>207</v>
      </c>
      <c r="D16" s="1">
        <v>35</v>
      </c>
      <c r="E16" s="1">
        <v>36</v>
      </c>
    </row>
    <row r="17" spans="1:7">
      <c r="A17" s="14">
        <v>47</v>
      </c>
      <c r="B17" t="s">
        <v>199</v>
      </c>
      <c r="C17" t="s">
        <v>208</v>
      </c>
      <c r="D17" s="1">
        <v>75</v>
      </c>
      <c r="E17" s="1">
        <v>17</v>
      </c>
    </row>
    <row r="18" spans="1:7">
      <c r="A18" s="14">
        <v>48</v>
      </c>
      <c r="B18" t="s">
        <v>198</v>
      </c>
      <c r="C18" t="s">
        <v>203</v>
      </c>
      <c r="D18" s="1">
        <v>45</v>
      </c>
      <c r="E18" s="1">
        <v>-10</v>
      </c>
    </row>
    <row r="19" spans="1:7">
      <c r="A19" s="14">
        <v>49</v>
      </c>
      <c r="B19" t="s">
        <v>197</v>
      </c>
      <c r="C19" t="s">
        <v>204</v>
      </c>
      <c r="D19" s="1">
        <v>52</v>
      </c>
      <c r="E19" s="1">
        <v>8</v>
      </c>
    </row>
    <row r="20" spans="1:7">
      <c r="A20" s="14">
        <v>50</v>
      </c>
      <c r="B20" s="7" t="s">
        <v>193</v>
      </c>
      <c r="C20" s="7"/>
      <c r="D20" s="6"/>
      <c r="E20" s="6"/>
      <c r="F20" s="7"/>
      <c r="G20" s="7"/>
    </row>
    <row r="21" spans="1:7">
      <c r="A21" s="14">
        <v>51</v>
      </c>
      <c r="B21" s="7" t="s">
        <v>194</v>
      </c>
      <c r="C21" s="7"/>
      <c r="D21" s="6"/>
      <c r="E21" s="6"/>
      <c r="F21" s="7"/>
      <c r="G21" s="7" t="s">
        <v>107</v>
      </c>
    </row>
    <row r="22" spans="1:7">
      <c r="A22" s="14">
        <v>52</v>
      </c>
      <c r="B22" s="7" t="s">
        <v>193</v>
      </c>
      <c r="C22" s="7"/>
      <c r="D22" s="6"/>
      <c r="E22" s="6"/>
      <c r="F22" s="7"/>
      <c r="G22" s="7"/>
    </row>
    <row r="23" spans="1:7">
      <c r="A23" s="14">
        <v>53</v>
      </c>
      <c r="B23" s="7" t="s">
        <v>194</v>
      </c>
      <c r="C23" s="7"/>
      <c r="D23" s="6"/>
      <c r="E23" s="6"/>
      <c r="F23" s="7"/>
      <c r="G23" s="7" t="s">
        <v>107</v>
      </c>
    </row>
    <row r="24" spans="1:7">
      <c r="A24" s="14">
        <v>54</v>
      </c>
      <c r="B24" s="7" t="s">
        <v>195</v>
      </c>
      <c r="C24" s="7"/>
      <c r="D24" s="6"/>
      <c r="E24" s="6"/>
      <c r="F24" s="7"/>
      <c r="G24" s="7"/>
    </row>
    <row r="25" spans="1:7">
      <c r="A25" s="14">
        <v>55</v>
      </c>
      <c r="B25" t="s">
        <v>111</v>
      </c>
      <c r="C25" t="s">
        <v>126</v>
      </c>
      <c r="D25" s="1">
        <v>95</v>
      </c>
      <c r="E25" s="1">
        <v>-5</v>
      </c>
      <c r="F25" t="s">
        <v>375</v>
      </c>
      <c r="G25" t="str">
        <f>IF(Tabla!$A$1=0,"Comparación con año anterior y Benchmark","Comparación con Benchmarks")</f>
        <v>Comparación con año anterior y Benchmark</v>
      </c>
    </row>
    <row r="26" spans="1:7">
      <c r="A26" s="14">
        <v>56</v>
      </c>
      <c r="B26" t="s">
        <v>484</v>
      </c>
      <c r="C26" t="s">
        <v>119</v>
      </c>
      <c r="D26" s="1">
        <v>28</v>
      </c>
      <c r="E26" s="1">
        <v>7</v>
      </c>
      <c r="F26" t="s">
        <v>375</v>
      </c>
      <c r="G26" t="str">
        <f>IF(Tabla!$A$1=0,"Comparación con año anterior y Benchmark","Comparación con Benchmarks")</f>
        <v>Comparación con año anterior y Benchmark</v>
      </c>
    </row>
    <row r="27" spans="1:7" ht="15" customHeight="1">
      <c r="A27" s="14">
        <v>57</v>
      </c>
      <c r="B27" t="s">
        <v>112</v>
      </c>
      <c r="C27" t="s">
        <v>127</v>
      </c>
      <c r="D27" s="1">
        <v>95</v>
      </c>
      <c r="E27" s="1">
        <v>-5</v>
      </c>
      <c r="F27" t="s">
        <v>375</v>
      </c>
      <c r="G27" t="str">
        <f>IF(Tabla!$A$1=0,"Comparación con año anterior y Benchmark","Comparación con Benchmarks")</f>
        <v>Comparación con año anterior y Benchmark</v>
      </c>
    </row>
    <row r="28" spans="1:7" ht="15" customHeight="1">
      <c r="A28" s="14">
        <v>58</v>
      </c>
      <c r="B28" t="s">
        <v>484</v>
      </c>
      <c r="C28" t="s">
        <v>120</v>
      </c>
      <c r="D28" s="1">
        <v>30</v>
      </c>
      <c r="E28" s="1">
        <v>7</v>
      </c>
      <c r="F28" t="s">
        <v>375</v>
      </c>
      <c r="G28" t="str">
        <f>IF(Tabla!$A$1=0,"Comparación con año anterior y Benchmark","Comparación con Benchmarks")</f>
        <v>Comparación con año anterior y Benchmark</v>
      </c>
    </row>
    <row r="29" spans="1:7" ht="15" customHeight="1">
      <c r="A29" s="14">
        <v>59</v>
      </c>
      <c r="B29" t="s">
        <v>113</v>
      </c>
      <c r="C29" t="s">
        <v>125</v>
      </c>
      <c r="D29" s="1">
        <v>95</v>
      </c>
      <c r="E29" s="1">
        <v>-5</v>
      </c>
      <c r="F29" t="s">
        <v>375</v>
      </c>
      <c r="G29" t="str">
        <f>IF(Tabla!$A$1=0,"Comparación con año anterior y Benchmark","Comparación con Benchmarks")</f>
        <v>Comparación con año anterior y Benchmark</v>
      </c>
    </row>
    <row r="30" spans="1:7" ht="15" customHeight="1">
      <c r="A30" s="14">
        <v>60</v>
      </c>
      <c r="B30" t="s">
        <v>484</v>
      </c>
      <c r="C30" t="s">
        <v>121</v>
      </c>
      <c r="D30" s="1">
        <v>15</v>
      </c>
      <c r="E30" s="1">
        <v>7</v>
      </c>
      <c r="F30" t="s">
        <v>375</v>
      </c>
      <c r="G30" t="str">
        <f>IF(Tabla!$A$1=0,"Comparación con año anterior y Benchmark","Comparación con Benchmarks")</f>
        <v>Comparación con año anterior y Benchmark</v>
      </c>
    </row>
    <row r="31" spans="1:7" ht="15" customHeight="1">
      <c r="A31" s="14">
        <v>61</v>
      </c>
      <c r="B31" t="s">
        <v>114</v>
      </c>
      <c r="C31" t="s">
        <v>205</v>
      </c>
      <c r="D31" s="1">
        <v>95</v>
      </c>
      <c r="E31" s="1">
        <v>-5</v>
      </c>
      <c r="F31" t="s">
        <v>375</v>
      </c>
      <c r="G31" t="str">
        <f>IF(Tabla!$A$1=0,"Comparación con año anterior y Benchmark","Comparación con Benchmarks")</f>
        <v>Comparación con año anterior y Benchmark</v>
      </c>
    </row>
    <row r="32" spans="1:7" ht="15" customHeight="1">
      <c r="A32" s="14">
        <v>62</v>
      </c>
      <c r="B32" t="s">
        <v>484</v>
      </c>
      <c r="C32" t="s">
        <v>122</v>
      </c>
      <c r="D32" s="1">
        <v>-20</v>
      </c>
      <c r="E32" s="1">
        <v>7</v>
      </c>
      <c r="F32" t="s">
        <v>375</v>
      </c>
      <c r="G32" t="str">
        <f>IF(Tabla!$A$1=0,"Comparación con año anterior y Benchmark","Comparación con Benchmarks")</f>
        <v>Comparación con año anterior y Benchmark</v>
      </c>
    </row>
    <row r="33" spans="1:9" ht="15" customHeight="1">
      <c r="A33" s="14">
        <v>63</v>
      </c>
      <c r="B33" t="s">
        <v>115</v>
      </c>
      <c r="C33" t="s">
        <v>206</v>
      </c>
      <c r="D33" s="1">
        <v>95</v>
      </c>
      <c r="E33" s="1">
        <v>-5</v>
      </c>
      <c r="F33" t="s">
        <v>375</v>
      </c>
      <c r="G33" t="str">
        <f>IF(Tabla!$A$1=0,"Comparación con año anterior y Benchmark","Comparación con Benchmarks")</f>
        <v>Comparación con año anterior y Benchmark</v>
      </c>
    </row>
    <row r="34" spans="1:9" ht="15" customHeight="1">
      <c r="A34" s="14">
        <v>64</v>
      </c>
      <c r="B34" t="s">
        <v>484</v>
      </c>
      <c r="C34" t="s">
        <v>123</v>
      </c>
      <c r="D34" s="1">
        <v>0</v>
      </c>
      <c r="E34" s="1">
        <v>7</v>
      </c>
      <c r="F34" t="s">
        <v>375</v>
      </c>
      <c r="G34" t="str">
        <f>IF(Tabla!$A$1=0,"Comparación con año anterior y Benchmark","Comparación con Benchmarks")</f>
        <v>Comparación con año anterior y Benchmark</v>
      </c>
    </row>
    <row r="35" spans="1:9" ht="15" customHeight="1">
      <c r="A35" s="14">
        <v>65</v>
      </c>
      <c r="B35" t="s">
        <v>116</v>
      </c>
      <c r="C35" t="s">
        <v>124</v>
      </c>
      <c r="D35" s="1">
        <v>47</v>
      </c>
      <c r="E35" s="1">
        <v>98</v>
      </c>
    </row>
    <row r="36" spans="1:9" ht="15" customHeight="1">
      <c r="A36" s="14">
        <v>66</v>
      </c>
      <c r="B36" t="s">
        <v>116</v>
      </c>
      <c r="C36" t="s">
        <v>209</v>
      </c>
      <c r="D36" s="1">
        <v>18</v>
      </c>
      <c r="E36" s="1">
        <v>-30</v>
      </c>
      <c r="F36" t="s">
        <v>609</v>
      </c>
      <c r="G36" s="336">
        <f>ROUND(DetalleDimension!$R$31,0)</f>
        <v>69</v>
      </c>
    </row>
    <row r="37" spans="1:9" ht="15" customHeight="1">
      <c r="A37" s="14">
        <v>67</v>
      </c>
      <c r="B37" s="7" t="s">
        <v>196</v>
      </c>
      <c r="C37" s="7"/>
      <c r="D37" s="6"/>
      <c r="E37" s="6"/>
      <c r="F37" s="7"/>
      <c r="G37" s="7"/>
    </row>
    <row r="38" spans="1:9" ht="15" customHeight="1">
      <c r="A38" s="14">
        <v>68</v>
      </c>
      <c r="B38" t="s">
        <v>117</v>
      </c>
      <c r="C38" t="s">
        <v>210</v>
      </c>
      <c r="D38" s="1">
        <v>25</v>
      </c>
      <c r="E38" s="1">
        <v>-4</v>
      </c>
      <c r="F38" t="s">
        <v>599</v>
      </c>
      <c r="G38" s="336">
        <f>ROUND(DetalleDimension!$R$31,0)</f>
        <v>69</v>
      </c>
    </row>
    <row r="39" spans="1:9" ht="15" customHeight="1">
      <c r="A39" s="14">
        <v>69</v>
      </c>
      <c r="B39" t="s">
        <v>118</v>
      </c>
      <c r="C39" t="s">
        <v>211</v>
      </c>
      <c r="D39" s="1">
        <v>25</v>
      </c>
      <c r="E39" s="1">
        <v>-4</v>
      </c>
      <c r="F39" t="s">
        <v>599</v>
      </c>
      <c r="G39" s="336">
        <f>ROUND(DetalleDimension!$R$31,0)</f>
        <v>69</v>
      </c>
    </row>
    <row r="40" spans="1:9" ht="15" customHeight="1">
      <c r="A40" s="14">
        <v>70</v>
      </c>
      <c r="B40" s="7" t="s">
        <v>202</v>
      </c>
      <c r="C40" s="7"/>
      <c r="D40" s="6"/>
      <c r="E40" s="6"/>
      <c r="F40" s="7"/>
      <c r="G40" s="7"/>
    </row>
    <row r="41" spans="1:9" ht="15" customHeight="1">
      <c r="A41" s="14">
        <v>71</v>
      </c>
      <c r="B41" t="s">
        <v>473</v>
      </c>
      <c r="C41" s="337" t="str">
        <f>VLOOKUP(C3,Demo!$A$2:$F$31,6,0)</f>
        <v>Demo1</v>
      </c>
      <c r="D41" s="1">
        <v>29</v>
      </c>
      <c r="E41" s="1">
        <v>38</v>
      </c>
      <c r="F41" t="s">
        <v>395</v>
      </c>
      <c r="G41" t="str">
        <f>"Resultados por "&amp;VLOOKUP(C41,Demo!$F$2:$G$31,2,0)</f>
        <v>Resultados por Cargo</v>
      </c>
      <c r="I41" t="str">
        <f>IF(Tabla!$A$1=0,"CHIST","SHIST")</f>
        <v>CHIST</v>
      </c>
    </row>
    <row r="42" spans="1:9" ht="15" customHeight="1">
      <c r="A42" s="14">
        <v>72</v>
      </c>
      <c r="B42" t="s">
        <v>474</v>
      </c>
      <c r="C42" s="337" t="str">
        <f>VLOOKUP(C4,Demo!$A$2:$F$31,6,0)</f>
        <v>Demo3</v>
      </c>
      <c r="D42" s="1">
        <v>29</v>
      </c>
      <c r="E42" s="1">
        <v>38</v>
      </c>
      <c r="F42" t="s">
        <v>395</v>
      </c>
      <c r="G42" t="str">
        <f>"Resultados por "&amp;VLOOKUP(C42,Demo!$F$2:$G$31,2,0)</f>
        <v>Resultados por Edad</v>
      </c>
      <c r="I42" t="str">
        <f>IF(Tabla!$A$1=0,"CHIST","SHIST")</f>
        <v>CHIST</v>
      </c>
    </row>
    <row r="43" spans="1:9" ht="15" customHeight="1">
      <c r="A43" s="14">
        <v>73</v>
      </c>
      <c r="B43" t="s">
        <v>475</v>
      </c>
      <c r="C43" s="337" t="str">
        <f>VLOOKUP(C5,Demo!$A$2:$F$31,6,0)</f>
        <v>Demo2</v>
      </c>
      <c r="D43" s="1">
        <v>29</v>
      </c>
      <c r="E43" s="1">
        <v>38</v>
      </c>
      <c r="F43" t="s">
        <v>395</v>
      </c>
      <c r="G43" t="str">
        <f>"Resultados por "&amp;VLOOKUP(C43,Demo!$F$2:$G$31,2,0)</f>
        <v>Resultados por Género</v>
      </c>
      <c r="I43" t="str">
        <f>IF(Tabla!$A$1=0,"CHIST","SHIST")</f>
        <v>CHIST</v>
      </c>
    </row>
    <row r="44" spans="1:9" ht="15" customHeight="1">
      <c r="A44" s="14">
        <v>74</v>
      </c>
      <c r="B44" t="s">
        <v>476</v>
      </c>
      <c r="C44" s="337" t="str">
        <f>VLOOKUP(C6,Demo!$A$2:$F$31,6,0)</f>
        <v>Demo4</v>
      </c>
      <c r="D44" s="1">
        <v>29</v>
      </c>
      <c r="E44" s="1">
        <v>38</v>
      </c>
      <c r="F44" t="s">
        <v>395</v>
      </c>
      <c r="G44" t="str">
        <f>"Resultados por "&amp;VLOOKUP(C44,Demo!$F$2:$G$31,2,0)</f>
        <v>Resultados por Antigüedad en la Empresa</v>
      </c>
      <c r="I44" t="str">
        <f>IF(Tabla!$A$1=0,"CHIST","SHIST")</f>
        <v>CHIST</v>
      </c>
    </row>
    <row r="45" spans="1:9" ht="15" customHeight="1">
      <c r="A45" s="14">
        <v>75</v>
      </c>
      <c r="B45" t="s">
        <v>477</v>
      </c>
      <c r="C45" s="337" t="str">
        <f>VLOOKUP(C7,Demo!$A$2:$F$31,6,0)</f>
        <v>Demo5</v>
      </c>
      <c r="D45" s="1">
        <v>29</v>
      </c>
      <c r="E45" s="1">
        <v>38</v>
      </c>
      <c r="F45" t="s">
        <v>395</v>
      </c>
      <c r="G45" t="str">
        <f>"Resultados por "&amp;VLOOKUP(C45,Demo!$F$2:$G$31,2,0)</f>
        <v>Resultados por Jornada Laboral</v>
      </c>
      <c r="I45" t="str">
        <f>IF(Tabla!$A$1=0,"CHIST","SHIST")</f>
        <v>CHIST</v>
      </c>
    </row>
    <row r="46" spans="1:9" ht="15" customHeight="1">
      <c r="A46" s="14">
        <v>76</v>
      </c>
      <c r="B46" t="s">
        <v>478</v>
      </c>
      <c r="C46" s="337" t="str">
        <f>VLOOKUP(C8,Demo!$A$2:$F$31,6,0)</f>
        <v>Demo6</v>
      </c>
      <c r="D46" s="1">
        <v>29</v>
      </c>
      <c r="E46" s="1">
        <v>38</v>
      </c>
      <c r="F46" t="s">
        <v>395</v>
      </c>
      <c r="G46" t="str">
        <f>"Resultados por "&amp;VLOOKUP(C46,Demo!$F$2:$G$31,2,0)</f>
        <v>Resultados por Cantidad de Reuniones de Feedback en FY16</v>
      </c>
      <c r="I46" t="str">
        <f>IF(Tabla!$A$1=0,"CHIST","SHIST")</f>
        <v>CHIST</v>
      </c>
    </row>
    <row r="47" spans="1:9" ht="15" customHeight="1">
      <c r="A47" s="14">
        <v>77</v>
      </c>
      <c r="B47" t="s">
        <v>479</v>
      </c>
      <c r="C47" s="337" t="str">
        <f>VLOOKUP(C9,Demo!$A$2:$F$31,6,0)</f>
        <v>Demo7</v>
      </c>
      <c r="D47" s="1">
        <v>29</v>
      </c>
      <c r="E47" s="1">
        <v>38</v>
      </c>
      <c r="F47" t="s">
        <v>395</v>
      </c>
      <c r="G47" t="str">
        <f>"Resultados por "&amp;VLOOKUP(C47,Demo!$F$2:$G$31,2,0)</f>
        <v>Resultados por Lob1</v>
      </c>
      <c r="I47" t="str">
        <f>IF(Tabla!$A$1=0,"CHIST","SHIST")</f>
        <v>CHIST</v>
      </c>
    </row>
    <row r="48" spans="1:9" ht="15" customHeight="1">
      <c r="A48" s="14">
        <v>78</v>
      </c>
      <c r="B48" t="s">
        <v>480</v>
      </c>
      <c r="C48" s="337" t="str">
        <f>VLOOKUP(C10,Demo!$A$2:$F$31,6,0)</f>
        <v>Demo8</v>
      </c>
      <c r="D48" s="1">
        <v>29</v>
      </c>
      <c r="E48" s="1">
        <v>38</v>
      </c>
      <c r="F48" t="s">
        <v>395</v>
      </c>
      <c r="G48" t="str">
        <f>"Resultados por "&amp;VLOOKUP(C48,Demo!$F$2:$G$31,2,0)</f>
        <v>Resultados por Lob2</v>
      </c>
      <c r="I48" t="str">
        <f>IF(Tabla!$A$1=0,"CHIST","SHIST")</f>
        <v>CHIST</v>
      </c>
    </row>
    <row r="49" spans="1:9" ht="15" customHeight="1">
      <c r="A49" s="14">
        <v>79</v>
      </c>
      <c r="B49" t="s">
        <v>477</v>
      </c>
      <c r="C49" s="337" t="str">
        <f>VLOOKUP(C11,Demo!$A$2:$F$31,6,0)</f>
        <v>Demo9</v>
      </c>
      <c r="D49" s="1">
        <v>29</v>
      </c>
      <c r="E49" s="1">
        <v>38</v>
      </c>
      <c r="F49" t="s">
        <v>395</v>
      </c>
      <c r="G49" t="str">
        <f>"Resultados por "&amp;VLOOKUP(C49,Demo!$F$2:$G$31,2,0)</f>
        <v>Resultados por Lob3</v>
      </c>
      <c r="I49" t="str">
        <f>IF(Tabla!$A$1=0,"CHIST","SHIST")</f>
        <v>CHIST</v>
      </c>
    </row>
    <row r="50" spans="1:9" ht="15" customHeight="1">
      <c r="A50" s="14">
        <v>80</v>
      </c>
      <c r="B50" t="s">
        <v>478</v>
      </c>
      <c r="C50" s="337" t="str">
        <f>VLOOKUP(C12,Demo!$A$2:$F$31,6,0)</f>
        <v>Demo10</v>
      </c>
      <c r="D50" s="1">
        <v>29</v>
      </c>
      <c r="E50" s="1">
        <v>38</v>
      </c>
      <c r="F50" t="s">
        <v>395</v>
      </c>
      <c r="G50" t="str">
        <f>"Resultados por "&amp;VLOOKUP(C50,Demo!$F$2:$G$31,2,0)</f>
        <v>Resultados por Cloud Services</v>
      </c>
      <c r="I50" t="str">
        <f>IF(Tabla!$A$1=0,"CHIST","SHIST")</f>
        <v>CHIST</v>
      </c>
    </row>
    <row r="51" spans="1:9" ht="15" customHeight="1">
      <c r="A51" s="14">
        <v>81</v>
      </c>
      <c r="B51" t="s">
        <v>479</v>
      </c>
      <c r="C51" s="337" t="str">
        <f>VLOOKUP(C13,Demo!$A$2:$F$31,6,0)</f>
        <v>Demo11</v>
      </c>
      <c r="D51" s="1">
        <v>29</v>
      </c>
      <c r="E51" s="1">
        <v>38</v>
      </c>
      <c r="F51" t="s">
        <v>395</v>
      </c>
      <c r="G51" t="str">
        <f>"Resultados por "&amp;VLOOKUP(C51,Demo!$F$2:$G$31,2,0)</f>
        <v>Resultados por Development</v>
      </c>
      <c r="I51" t="str">
        <f>IF(Tabla!$A$1=0,"CHIST","SHIST")</f>
        <v>CHIST</v>
      </c>
    </row>
    <row r="52" spans="1:9" ht="15" customHeight="1">
      <c r="A52" s="14">
        <v>82</v>
      </c>
      <c r="B52" t="s">
        <v>480</v>
      </c>
      <c r="C52" s="337" t="str">
        <f>VLOOKUP(C14,Demo!$A$2:$F$31,6,0)</f>
        <v>Demo12</v>
      </c>
      <c r="D52" s="1">
        <v>29</v>
      </c>
      <c r="E52" s="1">
        <v>38</v>
      </c>
      <c r="F52" t="s">
        <v>395</v>
      </c>
      <c r="G52" t="str">
        <f>"Resultados por "&amp;VLOOKUP(C52,Demo!$F$2:$G$31,2,0)</f>
        <v>Resultados por GBU´s/IBU´S</v>
      </c>
      <c r="I52" t="str">
        <f>IF(Tabla!$A$1=0,"CHIST","SHIST")</f>
        <v>CHIST</v>
      </c>
    </row>
    <row r="53" spans="1:9" ht="15" customHeight="1">
      <c r="A53" s="14">
        <v>83</v>
      </c>
      <c r="B53" t="s">
        <v>481</v>
      </c>
      <c r="C53" s="335" t="s">
        <v>173</v>
      </c>
      <c r="E53" s="1">
        <v>5</v>
      </c>
      <c r="G53" t="str">
        <f>VLOOKUP(C53,Demo!$A$2:$D$31,2,0)</f>
        <v>Cantidad de Reuniones de Feedback en FY16</v>
      </c>
    </row>
    <row r="54" spans="1:9" ht="15" customHeight="1">
      <c r="A54" s="14">
        <v>84</v>
      </c>
      <c r="B54" t="s">
        <v>482</v>
      </c>
      <c r="C54" s="337" t="str">
        <f>VLOOKUP(C53,Demo!$A$2:$G$31,6,0)</f>
        <v>Demo6</v>
      </c>
      <c r="D54" s="1">
        <v>29</v>
      </c>
      <c r="E54" s="1">
        <v>38</v>
      </c>
      <c r="G54" t="str">
        <f>VLOOKUP(C54,Demo!$F$2:$G$31,2,0)</f>
        <v>Cantidad de Reuniones de Feedback en FY16</v>
      </c>
      <c r="I54" t="str">
        <f>IF(Tabla!$A$1=0,"CHIST","SHIST")</f>
        <v>CHIST</v>
      </c>
    </row>
    <row r="55" spans="1:9" ht="15" customHeight="1">
      <c r="A55" s="14">
        <v>85</v>
      </c>
      <c r="B55" t="s">
        <v>620</v>
      </c>
      <c r="C55" s="335" t="s">
        <v>291</v>
      </c>
      <c r="E55" s="1">
        <v>5</v>
      </c>
      <c r="G55" t="str">
        <f>VLOOKUP(C55,Demo!$A$2:$D$31,2,0)</f>
        <v>LAD LMS</v>
      </c>
    </row>
    <row r="56" spans="1:9" ht="15" customHeight="1">
      <c r="A56" s="14">
        <v>86</v>
      </c>
      <c r="B56" t="s">
        <v>621</v>
      </c>
      <c r="C56" s="337" t="str">
        <f>VLOOKUP(C55,Demo!$A$2:$G$31,6,0)</f>
        <v>Demo27</v>
      </c>
      <c r="D56" s="1">
        <v>29</v>
      </c>
      <c r="E56" s="1">
        <v>38</v>
      </c>
      <c r="G56" t="str">
        <f>VLOOKUP(C56,Demo!$F$2:$G$31,2,0)</f>
        <v>LAD LMS</v>
      </c>
      <c r="I56" t="str">
        <f>IF(Tabla!$A$1=0,"CHIST","SHIST")</f>
        <v>CHIST</v>
      </c>
    </row>
    <row r="57" spans="1:9" ht="15" customHeight="1">
      <c r="A57" s="14">
        <v>87</v>
      </c>
      <c r="B57" t="s">
        <v>201</v>
      </c>
      <c r="C57" s="337" t="s">
        <v>224</v>
      </c>
      <c r="D57" s="1">
        <v>100</v>
      </c>
      <c r="E57" s="1">
        <v>65</v>
      </c>
    </row>
    <row r="58" spans="1:9" ht="15" customHeight="1">
      <c r="A58" s="14">
        <v>88</v>
      </c>
      <c r="B58" t="s">
        <v>200</v>
      </c>
      <c r="C58" s="337" t="s">
        <v>225</v>
      </c>
      <c r="D58" s="1">
        <v>80</v>
      </c>
      <c r="E58" s="1">
        <v>80</v>
      </c>
    </row>
    <row r="59" spans="1:9" ht="15" customHeight="1">
      <c r="A59" s="14">
        <v>89</v>
      </c>
      <c r="B59" t="s">
        <v>565</v>
      </c>
      <c r="C59" s="337" t="s">
        <v>622</v>
      </c>
      <c r="D59" s="1">
        <v>80</v>
      </c>
      <c r="E59" s="1">
        <v>65</v>
      </c>
    </row>
    <row r="60" spans="1:9" ht="15" customHeight="1">
      <c r="A60" s="14">
        <v>90</v>
      </c>
      <c r="B60" s="7" t="s">
        <v>623</v>
      </c>
      <c r="C60" s="7"/>
      <c r="D60" s="6"/>
      <c r="E60" s="6"/>
      <c r="F60" s="7"/>
      <c r="G60" s="7"/>
    </row>
    <row r="61" spans="1:9" ht="15" customHeight="1">
      <c r="A61" s="14">
        <v>91</v>
      </c>
      <c r="B61" t="s">
        <v>624</v>
      </c>
      <c r="C61" s="337"/>
      <c r="D61" s="1">
        <v>15</v>
      </c>
      <c r="E61" s="1">
        <v>7</v>
      </c>
    </row>
    <row r="73" spans="9:10" ht="15" customHeight="1">
      <c r="I73" s="1"/>
      <c r="J73" s="1"/>
    </row>
    <row r="74" spans="9:10" ht="15" customHeight="1">
      <c r="I74" s="1"/>
      <c r="J74" s="1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A99"/>
  <sheetViews>
    <sheetView topLeftCell="A79" workbookViewId="0">
      <selection activeCell="H94" sqref="H94"/>
    </sheetView>
  </sheetViews>
  <sheetFormatPr baseColWidth="10" defaultRowHeight="15"/>
  <sheetData>
    <row r="1" spans="1:27">
      <c r="A1">
        <v>1</v>
      </c>
      <c r="B1" t="s">
        <v>573</v>
      </c>
      <c r="C1" t="s">
        <v>485</v>
      </c>
      <c r="D1" t="s">
        <v>485</v>
      </c>
      <c r="E1" t="s">
        <v>485</v>
      </c>
      <c r="F1" t="s">
        <v>486</v>
      </c>
      <c r="G1" t="s">
        <v>301</v>
      </c>
      <c r="H1" t="s">
        <v>302</v>
      </c>
      <c r="I1" t="s">
        <v>303</v>
      </c>
      <c r="J1" t="s">
        <v>304</v>
      </c>
      <c r="K1" t="s">
        <v>305</v>
      </c>
      <c r="L1" t="s">
        <v>306</v>
      </c>
      <c r="M1" t="s">
        <v>307</v>
      </c>
      <c r="N1" t="s">
        <v>308</v>
      </c>
      <c r="O1" t="s">
        <v>309</v>
      </c>
      <c r="P1" t="s">
        <v>310</v>
      </c>
      <c r="Q1" t="s">
        <v>311</v>
      </c>
      <c r="R1" t="s">
        <v>312</v>
      </c>
      <c r="S1" t="s">
        <v>313</v>
      </c>
      <c r="T1" t="s">
        <v>314</v>
      </c>
      <c r="U1" t="s">
        <v>315</v>
      </c>
      <c r="V1" t="s">
        <v>316</v>
      </c>
      <c r="W1" t="s">
        <v>317</v>
      </c>
      <c r="X1" t="s">
        <v>318</v>
      </c>
    </row>
    <row r="2" spans="1:27">
      <c r="A2">
        <v>2</v>
      </c>
      <c r="B2" t="s">
        <v>327</v>
      </c>
      <c r="C2" t="s">
        <v>487</v>
      </c>
      <c r="D2" t="s">
        <v>320</v>
      </c>
      <c r="E2" t="s">
        <v>487</v>
      </c>
      <c r="F2" t="s">
        <v>320</v>
      </c>
      <c r="G2" t="s">
        <v>487</v>
      </c>
      <c r="H2" t="s">
        <v>320</v>
      </c>
      <c r="I2" t="s">
        <v>487</v>
      </c>
      <c r="J2" t="s">
        <v>320</v>
      </c>
      <c r="K2" t="s">
        <v>487</v>
      </c>
      <c r="L2" t="s">
        <v>320</v>
      </c>
      <c r="M2" t="s">
        <v>487</v>
      </c>
      <c r="N2" t="s">
        <v>320</v>
      </c>
      <c r="O2" t="s">
        <v>487</v>
      </c>
      <c r="P2" t="s">
        <v>320</v>
      </c>
      <c r="Q2" t="s">
        <v>310</v>
      </c>
      <c r="R2" t="s">
        <v>311</v>
      </c>
      <c r="S2" t="s">
        <v>312</v>
      </c>
      <c r="T2" t="s">
        <v>313</v>
      </c>
      <c r="U2" t="s">
        <v>314</v>
      </c>
      <c r="V2" t="s">
        <v>315</v>
      </c>
      <c r="W2" t="s">
        <v>316</v>
      </c>
      <c r="X2" t="s">
        <v>317</v>
      </c>
      <c r="Y2" t="s">
        <v>318</v>
      </c>
      <c r="Z2" t="s">
        <v>312</v>
      </c>
      <c r="AA2" t="s">
        <v>305</v>
      </c>
    </row>
    <row r="3" spans="1:27">
      <c r="A3">
        <v>3</v>
      </c>
      <c r="B3" t="s">
        <v>488</v>
      </c>
      <c r="C3" t="s">
        <v>489</v>
      </c>
      <c r="D3" t="s">
        <v>490</v>
      </c>
      <c r="E3" t="s">
        <v>491</v>
      </c>
      <c r="F3" t="s">
        <v>492</v>
      </c>
      <c r="G3" t="s">
        <v>493</v>
      </c>
      <c r="H3" t="s">
        <v>494</v>
      </c>
      <c r="I3" t="s">
        <v>320</v>
      </c>
      <c r="J3" t="s">
        <v>320</v>
      </c>
      <c r="K3" t="s">
        <v>490</v>
      </c>
      <c r="L3" t="s">
        <v>490</v>
      </c>
      <c r="M3" t="s">
        <v>574</v>
      </c>
      <c r="N3" t="s">
        <v>575</v>
      </c>
    </row>
    <row r="4" spans="1:27">
      <c r="A4">
        <v>4</v>
      </c>
      <c r="B4" t="s">
        <v>327</v>
      </c>
      <c r="C4" t="s">
        <v>301</v>
      </c>
      <c r="D4" t="s">
        <v>303</v>
      </c>
    </row>
    <row r="5" spans="1:27">
      <c r="A5">
        <v>5</v>
      </c>
      <c r="B5" t="s">
        <v>576</v>
      </c>
      <c r="C5" t="s">
        <v>577</v>
      </c>
      <c r="D5" t="s">
        <v>342</v>
      </c>
      <c r="E5" t="s">
        <v>322</v>
      </c>
      <c r="F5" t="s">
        <v>495</v>
      </c>
    </row>
    <row r="6" spans="1:27">
      <c r="A6">
        <v>6</v>
      </c>
      <c r="B6" t="s">
        <v>578</v>
      </c>
      <c r="C6" t="s">
        <v>579</v>
      </c>
      <c r="D6" t="s">
        <v>580</v>
      </c>
      <c r="E6" t="s">
        <v>581</v>
      </c>
      <c r="F6" t="s">
        <v>497</v>
      </c>
      <c r="G6" t="s">
        <v>498</v>
      </c>
      <c r="H6" t="s">
        <v>499</v>
      </c>
      <c r="I6" t="s">
        <v>500</v>
      </c>
      <c r="J6" t="s">
        <v>501</v>
      </c>
      <c r="K6" t="s">
        <v>502</v>
      </c>
      <c r="L6" t="s">
        <v>325</v>
      </c>
      <c r="M6" t="s">
        <v>503</v>
      </c>
      <c r="N6" t="s">
        <v>326</v>
      </c>
      <c r="O6" t="s">
        <v>501</v>
      </c>
      <c r="P6" t="s">
        <v>326</v>
      </c>
    </row>
    <row r="7" spans="1:27">
      <c r="A7">
        <v>7</v>
      </c>
      <c r="B7" t="s">
        <v>327</v>
      </c>
      <c r="C7" t="s">
        <v>309</v>
      </c>
    </row>
    <row r="8" spans="1:27">
      <c r="A8">
        <v>8</v>
      </c>
      <c r="B8" t="s">
        <v>580</v>
      </c>
      <c r="C8" t="s">
        <v>322</v>
      </c>
    </row>
    <row r="9" spans="1:27">
      <c r="A9">
        <v>9</v>
      </c>
      <c r="B9" t="s">
        <v>327</v>
      </c>
      <c r="C9" t="s">
        <v>505</v>
      </c>
      <c r="D9" t="s">
        <v>582</v>
      </c>
      <c r="E9" t="s">
        <v>583</v>
      </c>
    </row>
    <row r="10" spans="1:27">
      <c r="A10">
        <v>10</v>
      </c>
      <c r="B10" t="s">
        <v>327</v>
      </c>
      <c r="C10" t="s">
        <v>505</v>
      </c>
      <c r="D10" t="s">
        <v>584</v>
      </c>
      <c r="E10" t="s">
        <v>585</v>
      </c>
    </row>
    <row r="11" spans="1:27">
      <c r="A11">
        <v>11</v>
      </c>
      <c r="B11" t="s">
        <v>327</v>
      </c>
      <c r="C11" t="s">
        <v>334</v>
      </c>
      <c r="D11" t="s">
        <v>586</v>
      </c>
      <c r="E11" t="s">
        <v>508</v>
      </c>
      <c r="F11" t="s">
        <v>587</v>
      </c>
    </row>
    <row r="12" spans="1:27">
      <c r="A12">
        <v>12</v>
      </c>
      <c r="B12" t="s">
        <v>327</v>
      </c>
      <c r="C12" t="s">
        <v>334</v>
      </c>
      <c r="D12" t="s">
        <v>511</v>
      </c>
      <c r="E12" t="s">
        <v>512</v>
      </c>
      <c r="F12" t="s">
        <v>329</v>
      </c>
      <c r="G12" t="s">
        <v>513</v>
      </c>
      <c r="H12" t="s">
        <v>514</v>
      </c>
      <c r="I12" t="s">
        <v>515</v>
      </c>
      <c r="J12" t="s">
        <v>516</v>
      </c>
      <c r="K12" t="s">
        <v>517</v>
      </c>
      <c r="L12" t="s">
        <v>305</v>
      </c>
      <c r="M12" t="s">
        <v>301</v>
      </c>
      <c r="N12" t="s">
        <v>304</v>
      </c>
      <c r="O12" t="s">
        <v>518</v>
      </c>
      <c r="P12" t="s">
        <v>519</v>
      </c>
      <c r="Q12" t="s">
        <v>307</v>
      </c>
      <c r="R12" t="s">
        <v>306</v>
      </c>
      <c r="S12" t="s">
        <v>508</v>
      </c>
    </row>
    <row r="13" spans="1:27">
      <c r="A13">
        <v>13</v>
      </c>
      <c r="B13" t="s">
        <v>588</v>
      </c>
      <c r="C13" t="s">
        <v>302</v>
      </c>
      <c r="D13" t="s">
        <v>305</v>
      </c>
    </row>
    <row r="14" spans="1:27">
      <c r="A14">
        <v>14</v>
      </c>
      <c r="B14" t="s">
        <v>589</v>
      </c>
      <c r="C14" t="s">
        <v>520</v>
      </c>
      <c r="D14" t="s">
        <v>590</v>
      </c>
      <c r="E14" t="s">
        <v>591</v>
      </c>
    </row>
    <row r="15" spans="1:27">
      <c r="A15">
        <v>15</v>
      </c>
      <c r="B15" t="s">
        <v>588</v>
      </c>
      <c r="C15" t="s">
        <v>306</v>
      </c>
      <c r="D15" t="s">
        <v>304</v>
      </c>
      <c r="E15" t="s">
        <v>408</v>
      </c>
      <c r="G15" t="s">
        <v>185</v>
      </c>
      <c r="H15" t="s">
        <v>164</v>
      </c>
      <c r="K15" t="s">
        <v>409</v>
      </c>
      <c r="L15" t="s">
        <v>410</v>
      </c>
    </row>
    <row r="16" spans="1:27">
      <c r="A16">
        <v>16</v>
      </c>
      <c r="B16" t="s">
        <v>592</v>
      </c>
      <c r="C16" t="s">
        <v>327</v>
      </c>
      <c r="D16" t="s">
        <v>334</v>
      </c>
      <c r="E16" t="s">
        <v>322</v>
      </c>
      <c r="G16" t="s">
        <v>185</v>
      </c>
      <c r="H16" t="s">
        <v>164</v>
      </c>
      <c r="I16" t="s">
        <v>409</v>
      </c>
      <c r="J16" t="s">
        <v>410</v>
      </c>
    </row>
    <row r="17" spans="1:19">
      <c r="A17">
        <v>17</v>
      </c>
      <c r="B17" t="s">
        <v>327</v>
      </c>
      <c r="C17" t="s">
        <v>593</v>
      </c>
      <c r="D17" t="s">
        <v>582</v>
      </c>
      <c r="E17" t="s">
        <v>411</v>
      </c>
      <c r="F17" t="s">
        <v>127</v>
      </c>
      <c r="G17" t="s">
        <v>412</v>
      </c>
      <c r="H17" t="s">
        <v>125</v>
      </c>
      <c r="I17" t="s">
        <v>413</v>
      </c>
      <c r="J17" t="s">
        <v>205</v>
      </c>
      <c r="K17" t="s">
        <v>414</v>
      </c>
      <c r="L17" t="s">
        <v>415</v>
      </c>
    </row>
    <row r="18" spans="1:19">
      <c r="A18">
        <v>18</v>
      </c>
      <c r="B18" t="s">
        <v>588</v>
      </c>
      <c r="C18" t="s">
        <v>307</v>
      </c>
      <c r="F18" t="s">
        <v>126</v>
      </c>
      <c r="G18" t="s">
        <v>127</v>
      </c>
      <c r="H18" t="s">
        <v>125</v>
      </c>
      <c r="I18" t="s">
        <v>205</v>
      </c>
      <c r="J18" t="s">
        <v>415</v>
      </c>
    </row>
    <row r="19" spans="1:19">
      <c r="A19">
        <v>19</v>
      </c>
      <c r="B19" t="s">
        <v>327</v>
      </c>
      <c r="C19" t="s">
        <v>592</v>
      </c>
      <c r="D19" t="s">
        <v>594</v>
      </c>
      <c r="E19" t="s">
        <v>595</v>
      </c>
      <c r="F19" t="s">
        <v>524</v>
      </c>
      <c r="G19" t="s">
        <v>525</v>
      </c>
      <c r="H19" t="s">
        <v>416</v>
      </c>
      <c r="J19" t="s">
        <v>417</v>
      </c>
      <c r="K19" t="s">
        <v>418</v>
      </c>
      <c r="M19" t="s">
        <v>419</v>
      </c>
      <c r="N19" t="s">
        <v>419</v>
      </c>
      <c r="O19" t="s">
        <v>420</v>
      </c>
    </row>
    <row r="20" spans="1:19">
      <c r="A20">
        <v>20</v>
      </c>
      <c r="B20" t="s">
        <v>327</v>
      </c>
      <c r="C20" t="s">
        <v>592</v>
      </c>
      <c r="D20" t="s">
        <v>596</v>
      </c>
      <c r="E20" t="s">
        <v>497</v>
      </c>
      <c r="F20" t="s">
        <v>597</v>
      </c>
      <c r="G20" t="s">
        <v>497</v>
      </c>
      <c r="H20" t="s">
        <v>598</v>
      </c>
      <c r="I20" t="s">
        <v>497</v>
      </c>
      <c r="J20" t="s">
        <v>497</v>
      </c>
      <c r="K20" t="s">
        <v>599</v>
      </c>
      <c r="L20" t="s">
        <v>497</v>
      </c>
      <c r="M20" t="s">
        <v>600</v>
      </c>
      <c r="N20" t="s">
        <v>497</v>
      </c>
      <c r="O20" t="s">
        <v>497</v>
      </c>
      <c r="P20" t="s">
        <v>601</v>
      </c>
      <c r="Q20" t="s">
        <v>497</v>
      </c>
      <c r="R20" t="s">
        <v>497</v>
      </c>
      <c r="S20" t="s">
        <v>497</v>
      </c>
    </row>
    <row r="21" spans="1:19">
      <c r="A21">
        <v>21</v>
      </c>
      <c r="B21" t="s">
        <v>327</v>
      </c>
      <c r="C21" t="s">
        <v>334</v>
      </c>
      <c r="D21" t="s">
        <v>399</v>
      </c>
      <c r="E21" t="s">
        <v>327</v>
      </c>
    </row>
    <row r="22" spans="1:19">
      <c r="A22">
        <v>22</v>
      </c>
      <c r="B22" t="s">
        <v>327</v>
      </c>
      <c r="C22" t="s">
        <v>530</v>
      </c>
      <c r="D22" t="s">
        <v>334</v>
      </c>
      <c r="E22" t="s">
        <v>422</v>
      </c>
      <c r="G22" t="s">
        <v>423</v>
      </c>
      <c r="H22" t="s">
        <v>424</v>
      </c>
      <c r="I22" t="s">
        <v>107</v>
      </c>
    </row>
    <row r="23" spans="1:19">
      <c r="A23">
        <v>23</v>
      </c>
      <c r="B23" t="s">
        <v>327</v>
      </c>
      <c r="C23" t="s">
        <v>530</v>
      </c>
      <c r="D23" t="s">
        <v>334</v>
      </c>
      <c r="E23" t="s">
        <v>595</v>
      </c>
      <c r="F23" t="s">
        <v>524</v>
      </c>
      <c r="G23" t="s">
        <v>525</v>
      </c>
    </row>
    <row r="24" spans="1:19">
      <c r="A24">
        <v>24</v>
      </c>
      <c r="B24" t="s">
        <v>327</v>
      </c>
      <c r="C24" t="s">
        <v>530</v>
      </c>
      <c r="D24" t="s">
        <v>334</v>
      </c>
      <c r="E24" t="s">
        <v>602</v>
      </c>
      <c r="F24" t="s">
        <v>374</v>
      </c>
      <c r="G24" t="s">
        <v>595</v>
      </c>
      <c r="H24" t="s">
        <v>603</v>
      </c>
      <c r="I24" t="s">
        <v>107</v>
      </c>
    </row>
    <row r="25" spans="1:19">
      <c r="A25">
        <v>25</v>
      </c>
      <c r="B25" t="s">
        <v>327</v>
      </c>
      <c r="C25" t="s">
        <v>625</v>
      </c>
      <c r="D25" t="s">
        <v>335</v>
      </c>
      <c r="E25" t="s">
        <v>399</v>
      </c>
      <c r="F25" t="s">
        <v>336</v>
      </c>
      <c r="G25" t="s">
        <v>301</v>
      </c>
      <c r="H25" t="s">
        <v>339</v>
      </c>
    </row>
    <row r="26" spans="1:19">
      <c r="A26">
        <v>26</v>
      </c>
      <c r="B26" t="s">
        <v>327</v>
      </c>
      <c r="C26" t="s">
        <v>625</v>
      </c>
      <c r="D26" t="s">
        <v>322</v>
      </c>
      <c r="E26" t="s">
        <v>399</v>
      </c>
      <c r="G26" t="s">
        <v>428</v>
      </c>
      <c r="H26" t="s">
        <v>424</v>
      </c>
      <c r="I26" t="s">
        <v>107</v>
      </c>
    </row>
    <row r="27" spans="1:19">
      <c r="A27">
        <v>27</v>
      </c>
      <c r="B27" t="s">
        <v>327</v>
      </c>
      <c r="C27" t="s">
        <v>625</v>
      </c>
      <c r="D27" t="s">
        <v>335</v>
      </c>
      <c r="E27" t="s">
        <v>322</v>
      </c>
      <c r="F27" t="s">
        <v>626</v>
      </c>
      <c r="G27" t="s">
        <v>550</v>
      </c>
      <c r="H27" t="s">
        <v>551</v>
      </c>
    </row>
    <row r="28" spans="1:19">
      <c r="A28">
        <v>28</v>
      </c>
      <c r="B28" t="s">
        <v>327</v>
      </c>
      <c r="C28" t="s">
        <v>625</v>
      </c>
      <c r="D28" t="s">
        <v>322</v>
      </c>
      <c r="E28" t="s">
        <v>405</v>
      </c>
      <c r="F28" t="s">
        <v>552</v>
      </c>
      <c r="G28" t="s">
        <v>107</v>
      </c>
      <c r="H28" t="s">
        <v>406</v>
      </c>
      <c r="I28" t="s">
        <v>107</v>
      </c>
    </row>
    <row r="29" spans="1:19">
      <c r="A29">
        <v>29</v>
      </c>
      <c r="B29" t="s">
        <v>327</v>
      </c>
      <c r="C29" t="s">
        <v>309</v>
      </c>
      <c r="D29" t="s">
        <v>306</v>
      </c>
      <c r="E29" t="s">
        <v>426</v>
      </c>
    </row>
    <row r="30" spans="1:19">
      <c r="A30">
        <v>30</v>
      </c>
      <c r="B30" t="s">
        <v>592</v>
      </c>
      <c r="C30" t="s">
        <v>327</v>
      </c>
      <c r="D30" t="s">
        <v>594</v>
      </c>
      <c r="E30" t="s">
        <v>595</v>
      </c>
      <c r="F30" t="s">
        <v>524</v>
      </c>
      <c r="G30" t="s">
        <v>525</v>
      </c>
      <c r="H30" t="s">
        <v>424</v>
      </c>
      <c r="I30" t="s">
        <v>107</v>
      </c>
    </row>
    <row r="31" spans="1:19">
      <c r="A31">
        <v>31</v>
      </c>
      <c r="B31" t="s">
        <v>322</v>
      </c>
      <c r="C31" t="s">
        <v>337</v>
      </c>
      <c r="D31" t="s">
        <v>520</v>
      </c>
      <c r="E31" t="s">
        <v>602</v>
      </c>
      <c r="F31" t="s">
        <v>374</v>
      </c>
      <c r="G31" t="s">
        <v>595</v>
      </c>
      <c r="H31" t="s">
        <v>603</v>
      </c>
    </row>
    <row r="32" spans="1:19">
      <c r="A32">
        <v>32</v>
      </c>
      <c r="B32" t="s">
        <v>341</v>
      </c>
      <c r="C32" t="s">
        <v>604</v>
      </c>
      <c r="D32" t="s">
        <v>301</v>
      </c>
      <c r="E32" t="s">
        <v>339</v>
      </c>
      <c r="F32" t="s">
        <v>605</v>
      </c>
      <c r="G32" t="s">
        <v>301</v>
      </c>
      <c r="H32" t="s">
        <v>339</v>
      </c>
      <c r="I32" t="s">
        <v>125</v>
      </c>
      <c r="J32" t="s">
        <v>205</v>
      </c>
      <c r="K32" t="s">
        <v>415</v>
      </c>
    </row>
    <row r="33" spans="1:17">
      <c r="A33">
        <v>33</v>
      </c>
      <c r="B33" t="s">
        <v>334</v>
      </c>
      <c r="C33" t="s">
        <v>341</v>
      </c>
      <c r="D33" t="s">
        <v>107</v>
      </c>
      <c r="E33" t="s">
        <v>107</v>
      </c>
      <c r="F33" t="s">
        <v>107</v>
      </c>
      <c r="G33" t="s">
        <v>126</v>
      </c>
      <c r="H33" t="s">
        <v>127</v>
      </c>
      <c r="I33" t="s">
        <v>125</v>
      </c>
      <c r="J33" t="s">
        <v>205</v>
      </c>
      <c r="K33" t="s">
        <v>415</v>
      </c>
      <c r="L33" t="s">
        <v>116</v>
      </c>
      <c r="M33" t="s">
        <v>107</v>
      </c>
      <c r="N33" t="s">
        <v>432</v>
      </c>
      <c r="O33" t="s">
        <v>433</v>
      </c>
    </row>
    <row r="34" spans="1:17">
      <c r="A34">
        <v>34</v>
      </c>
      <c r="B34" t="s">
        <v>334</v>
      </c>
      <c r="C34" t="s">
        <v>341</v>
      </c>
      <c r="D34" t="s">
        <v>107</v>
      </c>
      <c r="E34" t="s">
        <v>107</v>
      </c>
    </row>
    <row r="35" spans="1:17">
      <c r="A35">
        <v>35</v>
      </c>
      <c r="B35" t="s">
        <v>334</v>
      </c>
      <c r="C35" t="s">
        <v>341</v>
      </c>
      <c r="D35" t="s">
        <v>107</v>
      </c>
      <c r="E35" t="s">
        <v>117</v>
      </c>
      <c r="F35" t="s">
        <v>434</v>
      </c>
      <c r="G35" t="s">
        <v>107</v>
      </c>
      <c r="H35" t="s">
        <v>435</v>
      </c>
      <c r="I35" t="s">
        <v>436</v>
      </c>
      <c r="J35" t="s">
        <v>437</v>
      </c>
      <c r="K35" t="s">
        <v>107</v>
      </c>
      <c r="L35" t="s">
        <v>432</v>
      </c>
      <c r="M35" t="s">
        <v>433</v>
      </c>
    </row>
    <row r="36" spans="1:17">
      <c r="A36">
        <v>36</v>
      </c>
      <c r="B36" t="s">
        <v>334</v>
      </c>
      <c r="C36" t="s">
        <v>341</v>
      </c>
      <c r="D36" t="s">
        <v>107</v>
      </c>
      <c r="E36" t="s">
        <v>438</v>
      </c>
      <c r="F36" t="s">
        <v>434</v>
      </c>
      <c r="G36" t="s">
        <v>107</v>
      </c>
      <c r="H36" t="s">
        <v>435</v>
      </c>
      <c r="I36" t="s">
        <v>439</v>
      </c>
      <c r="J36" t="s">
        <v>437</v>
      </c>
      <c r="K36" t="s">
        <v>107</v>
      </c>
      <c r="L36" t="s">
        <v>432</v>
      </c>
      <c r="M36" t="s">
        <v>433</v>
      </c>
    </row>
    <row r="37" spans="1:17">
      <c r="A37">
        <v>37</v>
      </c>
      <c r="B37" t="s">
        <v>334</v>
      </c>
      <c r="C37" t="s">
        <v>341</v>
      </c>
      <c r="D37" t="s">
        <v>107</v>
      </c>
    </row>
    <row r="38" spans="1:17">
      <c r="A38">
        <v>38</v>
      </c>
      <c r="B38" t="s">
        <v>334</v>
      </c>
      <c r="C38" t="s">
        <v>341</v>
      </c>
      <c r="D38" t="s">
        <v>308</v>
      </c>
      <c r="E38" t="s">
        <v>309</v>
      </c>
      <c r="F38" t="s">
        <v>440</v>
      </c>
      <c r="G38" t="s">
        <v>249</v>
      </c>
    </row>
    <row r="39" spans="1:17">
      <c r="A39">
        <v>39</v>
      </c>
      <c r="B39" t="s">
        <v>334</v>
      </c>
      <c r="C39" t="s">
        <v>341</v>
      </c>
      <c r="D39" t="s">
        <v>344</v>
      </c>
      <c r="E39" t="s">
        <v>345</v>
      </c>
      <c r="F39" t="s">
        <v>346</v>
      </c>
      <c r="G39" t="s">
        <v>347</v>
      </c>
      <c r="H39" t="s">
        <v>348</v>
      </c>
      <c r="I39" t="s">
        <v>349</v>
      </c>
      <c r="J39" t="s">
        <v>350</v>
      </c>
      <c r="K39" t="s">
        <v>351</v>
      </c>
      <c r="L39" t="s">
        <v>352</v>
      </c>
    </row>
    <row r="40" spans="1:17">
      <c r="A40">
        <v>40</v>
      </c>
      <c r="B40" t="s">
        <v>334</v>
      </c>
      <c r="C40" t="s">
        <v>341</v>
      </c>
      <c r="D40" t="s">
        <v>355</v>
      </c>
      <c r="E40" t="s">
        <v>356</v>
      </c>
      <c r="F40" t="s">
        <v>357</v>
      </c>
      <c r="G40" t="s">
        <v>326</v>
      </c>
      <c r="H40" t="s">
        <v>358</v>
      </c>
      <c r="I40" t="s">
        <v>359</v>
      </c>
      <c r="J40" t="s">
        <v>360</v>
      </c>
      <c r="K40" t="s">
        <v>350</v>
      </c>
    </row>
    <row r="41" spans="1:17">
      <c r="A41">
        <v>41</v>
      </c>
      <c r="B41" t="s">
        <v>334</v>
      </c>
      <c r="C41" t="s">
        <v>341</v>
      </c>
      <c r="D41" t="s">
        <v>339</v>
      </c>
      <c r="E41" t="s">
        <v>361</v>
      </c>
      <c r="F41" t="s">
        <v>339</v>
      </c>
      <c r="G41" t="s">
        <v>361</v>
      </c>
      <c r="H41" t="s">
        <v>339</v>
      </c>
      <c r="I41" t="s">
        <v>361</v>
      </c>
      <c r="J41" t="s">
        <v>339</v>
      </c>
      <c r="K41" t="s">
        <v>361</v>
      </c>
      <c r="L41" t="s">
        <v>339</v>
      </c>
      <c r="M41" t="s">
        <v>362</v>
      </c>
      <c r="N41" t="s">
        <v>363</v>
      </c>
      <c r="O41" t="s">
        <v>357</v>
      </c>
      <c r="P41" t="s">
        <v>364</v>
      </c>
      <c r="Q41" t="s">
        <v>365</v>
      </c>
    </row>
    <row r="42" spans="1:17">
      <c r="A42">
        <v>42</v>
      </c>
      <c r="B42" t="s">
        <v>334</v>
      </c>
      <c r="C42" t="s">
        <v>341</v>
      </c>
      <c r="D42" t="s">
        <v>366</v>
      </c>
      <c r="E42" t="s">
        <v>367</v>
      </c>
      <c r="F42" t="s">
        <v>339</v>
      </c>
      <c r="G42" t="s">
        <v>339</v>
      </c>
      <c r="H42" t="s">
        <v>339</v>
      </c>
      <c r="I42" t="s">
        <v>339</v>
      </c>
      <c r="J42" t="s">
        <v>339</v>
      </c>
      <c r="K42" t="s">
        <v>409</v>
      </c>
      <c r="L42" t="s">
        <v>410</v>
      </c>
    </row>
    <row r="43" spans="1:17">
      <c r="A43">
        <v>43</v>
      </c>
      <c r="B43" t="s">
        <v>334</v>
      </c>
      <c r="C43" t="s">
        <v>341</v>
      </c>
      <c r="D43" t="s">
        <v>368</v>
      </c>
      <c r="E43" t="s">
        <v>335</v>
      </c>
      <c r="F43" t="s">
        <v>337</v>
      </c>
      <c r="G43" t="s">
        <v>606</v>
      </c>
      <c r="H43" t="s">
        <v>372</v>
      </c>
      <c r="I43" t="s">
        <v>371</v>
      </c>
      <c r="J43" t="s">
        <v>372</v>
      </c>
      <c r="K43" t="s">
        <v>584</v>
      </c>
    </row>
    <row r="44" spans="1:17">
      <c r="A44">
        <v>44</v>
      </c>
      <c r="B44" t="s">
        <v>334</v>
      </c>
      <c r="C44" t="s">
        <v>341</v>
      </c>
      <c r="D44" t="s">
        <v>368</v>
      </c>
      <c r="E44" t="s">
        <v>335</v>
      </c>
      <c r="F44" t="s">
        <v>606</v>
      </c>
      <c r="G44" t="s">
        <v>372</v>
      </c>
      <c r="H44" t="s">
        <v>371</v>
      </c>
      <c r="I44" t="s">
        <v>372</v>
      </c>
      <c r="J44" t="s">
        <v>584</v>
      </c>
      <c r="K44" t="s">
        <v>337</v>
      </c>
      <c r="L44" t="s">
        <v>415</v>
      </c>
    </row>
    <row r="45" spans="1:17">
      <c r="A45">
        <v>45</v>
      </c>
      <c r="B45" t="s">
        <v>327</v>
      </c>
      <c r="C45" t="s">
        <v>306</v>
      </c>
      <c r="D45" t="s">
        <v>308</v>
      </c>
      <c r="E45" t="s">
        <v>309</v>
      </c>
      <c r="F45" t="s">
        <v>335</v>
      </c>
      <c r="G45" t="s">
        <v>337</v>
      </c>
      <c r="H45" t="s">
        <v>606</v>
      </c>
      <c r="I45" t="s">
        <v>371</v>
      </c>
      <c r="J45" t="s">
        <v>372</v>
      </c>
      <c r="K45" t="s">
        <v>372</v>
      </c>
      <c r="L45" t="s">
        <v>371</v>
      </c>
      <c r="M45" t="s">
        <v>372</v>
      </c>
      <c r="N45" t="s">
        <v>372</v>
      </c>
      <c r="O45" t="s">
        <v>584</v>
      </c>
    </row>
    <row r="46" spans="1:17">
      <c r="A46">
        <v>46</v>
      </c>
      <c r="B46" t="s">
        <v>342</v>
      </c>
      <c r="C46" t="s">
        <v>343</v>
      </c>
      <c r="D46" t="s">
        <v>344</v>
      </c>
      <c r="E46" t="s">
        <v>345</v>
      </c>
      <c r="F46" t="s">
        <v>346</v>
      </c>
      <c r="G46" t="s">
        <v>347</v>
      </c>
      <c r="H46" t="s">
        <v>348</v>
      </c>
      <c r="I46" t="s">
        <v>349</v>
      </c>
      <c r="J46" t="s">
        <v>350</v>
      </c>
      <c r="K46" t="s">
        <v>351</v>
      </c>
      <c r="L46" t="s">
        <v>352</v>
      </c>
      <c r="M46" t="s">
        <v>372</v>
      </c>
      <c r="N46" t="s">
        <v>337</v>
      </c>
      <c r="O46" t="s">
        <v>598</v>
      </c>
      <c r="P46" t="s">
        <v>107</v>
      </c>
    </row>
    <row r="47" spans="1:17">
      <c r="A47">
        <v>47</v>
      </c>
      <c r="B47" t="s">
        <v>353</v>
      </c>
      <c r="C47" t="s">
        <v>354</v>
      </c>
      <c r="D47" t="s">
        <v>355</v>
      </c>
      <c r="E47" t="s">
        <v>356</v>
      </c>
      <c r="F47" t="s">
        <v>357</v>
      </c>
      <c r="G47" t="s">
        <v>326</v>
      </c>
      <c r="H47" t="s">
        <v>358</v>
      </c>
      <c r="I47" t="s">
        <v>359</v>
      </c>
      <c r="J47" t="s">
        <v>360</v>
      </c>
      <c r="K47" t="s">
        <v>350</v>
      </c>
      <c r="L47" t="s">
        <v>419</v>
      </c>
      <c r="M47" t="s">
        <v>419</v>
      </c>
      <c r="N47" t="s">
        <v>421</v>
      </c>
      <c r="O47" t="s">
        <v>420</v>
      </c>
      <c r="P47" t="s">
        <v>107</v>
      </c>
    </row>
    <row r="48" spans="1:17">
      <c r="A48">
        <v>48</v>
      </c>
      <c r="B48" t="s">
        <v>342</v>
      </c>
      <c r="C48" t="s">
        <v>361</v>
      </c>
      <c r="D48" t="s">
        <v>339</v>
      </c>
      <c r="E48" t="s">
        <v>361</v>
      </c>
      <c r="F48" t="s">
        <v>339</v>
      </c>
      <c r="G48" t="s">
        <v>361</v>
      </c>
      <c r="H48" t="s">
        <v>339</v>
      </c>
      <c r="I48" t="s">
        <v>361</v>
      </c>
      <c r="J48" t="s">
        <v>339</v>
      </c>
      <c r="K48" t="s">
        <v>361</v>
      </c>
      <c r="L48" t="s">
        <v>339</v>
      </c>
      <c r="M48" t="s">
        <v>362</v>
      </c>
      <c r="N48" t="s">
        <v>363</v>
      </c>
      <c r="O48" t="s">
        <v>357</v>
      </c>
      <c r="P48" t="s">
        <v>364</v>
      </c>
      <c r="Q48" t="s">
        <v>365</v>
      </c>
    </row>
    <row r="49" spans="1:20">
      <c r="A49">
        <v>49</v>
      </c>
      <c r="B49" t="s">
        <v>353</v>
      </c>
      <c r="C49" t="s">
        <v>354</v>
      </c>
      <c r="D49" t="s">
        <v>366</v>
      </c>
      <c r="E49" t="s">
        <v>367</v>
      </c>
      <c r="F49" t="s">
        <v>339</v>
      </c>
      <c r="G49" t="s">
        <v>339</v>
      </c>
      <c r="H49" t="s">
        <v>339</v>
      </c>
      <c r="I49" t="s">
        <v>339</v>
      </c>
      <c r="J49" t="s">
        <v>339</v>
      </c>
      <c r="L49" t="s">
        <v>419</v>
      </c>
      <c r="M49" t="s">
        <v>419</v>
      </c>
      <c r="N49" t="s">
        <v>421</v>
      </c>
      <c r="O49" t="s">
        <v>420</v>
      </c>
    </row>
    <row r="50" spans="1:20">
      <c r="A50">
        <v>50</v>
      </c>
      <c r="B50" t="s">
        <v>322</v>
      </c>
      <c r="C50" t="s">
        <v>322</v>
      </c>
      <c r="D50" t="s">
        <v>368</v>
      </c>
      <c r="E50" t="s">
        <v>335</v>
      </c>
      <c r="F50" t="s">
        <v>337</v>
      </c>
      <c r="G50" t="s">
        <v>606</v>
      </c>
      <c r="H50" t="s">
        <v>372</v>
      </c>
      <c r="I50" t="s">
        <v>371</v>
      </c>
      <c r="J50" t="s">
        <v>372</v>
      </c>
      <c r="K50" t="s">
        <v>584</v>
      </c>
    </row>
    <row r="51" spans="1:20">
      <c r="A51">
        <v>51</v>
      </c>
      <c r="B51" t="s">
        <v>322</v>
      </c>
      <c r="C51" t="s">
        <v>322</v>
      </c>
      <c r="D51" t="s">
        <v>368</v>
      </c>
      <c r="E51" t="s">
        <v>335</v>
      </c>
      <c r="F51" t="s">
        <v>606</v>
      </c>
      <c r="G51" t="s">
        <v>372</v>
      </c>
      <c r="H51" t="s">
        <v>371</v>
      </c>
      <c r="I51" t="s">
        <v>372</v>
      </c>
      <c r="J51" t="s">
        <v>584</v>
      </c>
      <c r="K51" t="s">
        <v>337</v>
      </c>
    </row>
    <row r="52" spans="1:20">
      <c r="A52">
        <v>52</v>
      </c>
      <c r="B52" t="s">
        <v>322</v>
      </c>
      <c r="C52" t="s">
        <v>368</v>
      </c>
      <c r="D52" t="s">
        <v>322</v>
      </c>
      <c r="E52" t="s">
        <v>369</v>
      </c>
      <c r="F52" t="s">
        <v>335</v>
      </c>
      <c r="G52" t="s">
        <v>337</v>
      </c>
      <c r="H52" t="s">
        <v>606</v>
      </c>
      <c r="I52" t="s">
        <v>371</v>
      </c>
      <c r="J52" t="s">
        <v>372</v>
      </c>
      <c r="K52" t="s">
        <v>372</v>
      </c>
      <c r="L52" t="s">
        <v>371</v>
      </c>
      <c r="M52" t="s">
        <v>372</v>
      </c>
      <c r="N52" t="s">
        <v>372</v>
      </c>
      <c r="O52" t="s">
        <v>584</v>
      </c>
    </row>
    <row r="53" spans="1:20">
      <c r="A53">
        <v>53</v>
      </c>
      <c r="B53" t="s">
        <v>322</v>
      </c>
      <c r="C53" t="s">
        <v>322</v>
      </c>
      <c r="D53" t="s">
        <v>368</v>
      </c>
      <c r="E53" t="s">
        <v>369</v>
      </c>
      <c r="F53" t="s">
        <v>335</v>
      </c>
      <c r="G53" t="s">
        <v>606</v>
      </c>
      <c r="H53" t="s">
        <v>371</v>
      </c>
      <c r="I53" t="s">
        <v>372</v>
      </c>
      <c r="J53" t="s">
        <v>372</v>
      </c>
      <c r="K53" t="s">
        <v>371</v>
      </c>
      <c r="L53" t="s">
        <v>372</v>
      </c>
      <c r="M53" t="s">
        <v>372</v>
      </c>
      <c r="N53" t="s">
        <v>337</v>
      </c>
      <c r="O53" t="s">
        <v>598</v>
      </c>
    </row>
    <row r="54" spans="1:20">
      <c r="A54">
        <v>54</v>
      </c>
      <c r="B54" t="s">
        <v>327</v>
      </c>
      <c r="C54" t="s">
        <v>309</v>
      </c>
      <c r="D54" t="s">
        <v>309</v>
      </c>
      <c r="E54" t="s">
        <v>306</v>
      </c>
      <c r="F54" t="s">
        <v>322</v>
      </c>
      <c r="G54" t="s">
        <v>374</v>
      </c>
      <c r="H54" t="s">
        <v>375</v>
      </c>
      <c r="I54" t="s">
        <v>320</v>
      </c>
      <c r="J54" t="s">
        <v>381</v>
      </c>
    </row>
    <row r="55" spans="1:20">
      <c r="A55">
        <v>55</v>
      </c>
      <c r="B55" t="s">
        <v>301</v>
      </c>
      <c r="C55" t="s">
        <v>301</v>
      </c>
      <c r="D55" t="s">
        <v>320</v>
      </c>
      <c r="E55" t="s">
        <v>607</v>
      </c>
      <c r="F55" t="s">
        <v>322</v>
      </c>
      <c r="G55" t="s">
        <v>374</v>
      </c>
      <c r="H55" t="s">
        <v>375</v>
      </c>
      <c r="I55" t="s">
        <v>320</v>
      </c>
      <c r="J55" t="s">
        <v>376</v>
      </c>
    </row>
    <row r="56" spans="1:20">
      <c r="A56">
        <v>56</v>
      </c>
      <c r="B56" t="s">
        <v>374</v>
      </c>
      <c r="C56" t="s">
        <v>375</v>
      </c>
      <c r="D56" t="s">
        <v>377</v>
      </c>
      <c r="E56" t="s">
        <v>378</v>
      </c>
      <c r="F56" t="s">
        <v>322</v>
      </c>
      <c r="G56" t="s">
        <v>374</v>
      </c>
      <c r="H56" t="s">
        <v>375</v>
      </c>
      <c r="I56" t="s">
        <v>320</v>
      </c>
      <c r="J56" t="s">
        <v>608</v>
      </c>
    </row>
    <row r="57" spans="1:20">
      <c r="A57">
        <v>57</v>
      </c>
      <c r="B57" t="s">
        <v>301</v>
      </c>
      <c r="C57" t="s">
        <v>301</v>
      </c>
      <c r="D57" t="s">
        <v>320</v>
      </c>
      <c r="E57" t="s">
        <v>607</v>
      </c>
      <c r="F57" t="s">
        <v>322</v>
      </c>
      <c r="G57" t="s">
        <v>374</v>
      </c>
      <c r="H57" t="s">
        <v>375</v>
      </c>
      <c r="I57" t="s">
        <v>320</v>
      </c>
      <c r="J57" t="s">
        <v>379</v>
      </c>
    </row>
    <row r="58" spans="1:20">
      <c r="A58">
        <v>58</v>
      </c>
      <c r="B58" t="s">
        <v>374</v>
      </c>
      <c r="C58" t="s">
        <v>375</v>
      </c>
      <c r="D58" t="s">
        <v>377</v>
      </c>
      <c r="E58" t="s">
        <v>378</v>
      </c>
      <c r="F58" t="s">
        <v>580</v>
      </c>
      <c r="G58" t="s">
        <v>329</v>
      </c>
      <c r="H58" t="s">
        <v>383</v>
      </c>
      <c r="I58" t="s">
        <v>384</v>
      </c>
      <c r="J58" t="s">
        <v>385</v>
      </c>
      <c r="K58" t="s">
        <v>386</v>
      </c>
    </row>
    <row r="59" spans="1:20">
      <c r="A59">
        <v>59</v>
      </c>
      <c r="B59" t="s">
        <v>301</v>
      </c>
      <c r="C59" t="s">
        <v>301</v>
      </c>
      <c r="D59" t="s">
        <v>320</v>
      </c>
      <c r="E59" t="s">
        <v>607</v>
      </c>
      <c r="F59" t="s">
        <v>322</v>
      </c>
      <c r="G59" t="s">
        <v>374</v>
      </c>
      <c r="H59" t="s">
        <v>375</v>
      </c>
      <c r="I59" t="s">
        <v>320</v>
      </c>
      <c r="J59" t="s">
        <v>380</v>
      </c>
      <c r="K59" t="s">
        <v>325</v>
      </c>
      <c r="L59" t="s">
        <v>374</v>
      </c>
      <c r="M59" t="s">
        <v>390</v>
      </c>
      <c r="N59" t="s">
        <v>355</v>
      </c>
      <c r="O59" t="s">
        <v>609</v>
      </c>
    </row>
    <row r="60" spans="1:20">
      <c r="A60">
        <v>60</v>
      </c>
      <c r="B60" t="s">
        <v>374</v>
      </c>
      <c r="C60" t="s">
        <v>375</v>
      </c>
      <c r="D60" t="s">
        <v>377</v>
      </c>
      <c r="E60" t="s">
        <v>378</v>
      </c>
    </row>
    <row r="61" spans="1:20">
      <c r="A61">
        <v>61</v>
      </c>
      <c r="B61" t="s">
        <v>301</v>
      </c>
      <c r="C61" t="s">
        <v>301</v>
      </c>
      <c r="D61" t="s">
        <v>320</v>
      </c>
      <c r="E61" t="s">
        <v>607</v>
      </c>
      <c r="F61" t="s">
        <v>322</v>
      </c>
      <c r="G61" t="s">
        <v>374</v>
      </c>
      <c r="H61" t="s">
        <v>375</v>
      </c>
      <c r="I61" t="s">
        <v>320</v>
      </c>
      <c r="J61" t="s">
        <v>381</v>
      </c>
      <c r="K61" t="s">
        <v>390</v>
      </c>
      <c r="L61" t="s">
        <v>355</v>
      </c>
      <c r="M61" t="s">
        <v>599</v>
      </c>
      <c r="N61" t="s">
        <v>107</v>
      </c>
      <c r="O61" t="s">
        <v>107</v>
      </c>
      <c r="P61" t="s">
        <v>107</v>
      </c>
      <c r="Q61" t="s">
        <v>107</v>
      </c>
      <c r="R61" t="s">
        <v>107</v>
      </c>
      <c r="S61" t="s">
        <v>107</v>
      </c>
      <c r="T61" t="s">
        <v>107</v>
      </c>
    </row>
    <row r="62" spans="1:20">
      <c r="A62">
        <v>62</v>
      </c>
      <c r="B62" t="s">
        <v>374</v>
      </c>
      <c r="C62" t="s">
        <v>375</v>
      </c>
      <c r="D62" t="s">
        <v>377</v>
      </c>
      <c r="E62" t="s">
        <v>378</v>
      </c>
      <c r="F62" t="s">
        <v>337</v>
      </c>
      <c r="G62" t="s">
        <v>604</v>
      </c>
      <c r="H62" t="s">
        <v>611</v>
      </c>
      <c r="I62" t="s">
        <v>612</v>
      </c>
      <c r="J62" t="s">
        <v>597</v>
      </c>
      <c r="K62" t="s">
        <v>390</v>
      </c>
      <c r="L62" t="s">
        <v>355</v>
      </c>
      <c r="M62" t="s">
        <v>599</v>
      </c>
      <c r="N62" t="s">
        <v>432</v>
      </c>
      <c r="O62" t="s">
        <v>433</v>
      </c>
    </row>
    <row r="63" spans="1:20">
      <c r="A63">
        <v>63</v>
      </c>
      <c r="B63" t="s">
        <v>301</v>
      </c>
      <c r="C63" t="s">
        <v>301</v>
      </c>
      <c r="D63" t="s">
        <v>320</v>
      </c>
      <c r="E63" t="s">
        <v>607</v>
      </c>
      <c r="F63" t="s">
        <v>322</v>
      </c>
      <c r="G63" t="s">
        <v>374</v>
      </c>
      <c r="H63" t="s">
        <v>375</v>
      </c>
      <c r="I63" t="s">
        <v>320</v>
      </c>
      <c r="J63" t="s">
        <v>608</v>
      </c>
    </row>
    <row r="64" spans="1:20">
      <c r="A64">
        <v>64</v>
      </c>
      <c r="B64" t="s">
        <v>374</v>
      </c>
      <c r="C64" t="s">
        <v>375</v>
      </c>
      <c r="D64" t="s">
        <v>377</v>
      </c>
      <c r="E64" t="s">
        <v>378</v>
      </c>
      <c r="F64" t="s">
        <v>396</v>
      </c>
      <c r="G64" t="s">
        <v>613</v>
      </c>
      <c r="H64" t="s">
        <v>435</v>
      </c>
      <c r="I64" t="s">
        <v>439</v>
      </c>
      <c r="J64" t="s">
        <v>437</v>
      </c>
      <c r="K64" t="s">
        <v>107</v>
      </c>
      <c r="L64" t="s">
        <v>432</v>
      </c>
      <c r="M64" t="s">
        <v>433</v>
      </c>
    </row>
    <row r="65" spans="1:15">
      <c r="A65">
        <v>65</v>
      </c>
      <c r="B65" t="s">
        <v>301</v>
      </c>
      <c r="C65" t="s">
        <v>301</v>
      </c>
      <c r="D65" t="s">
        <v>320</v>
      </c>
      <c r="E65" t="s">
        <v>320</v>
      </c>
      <c r="F65" t="s">
        <v>580</v>
      </c>
      <c r="G65" t="s">
        <v>329</v>
      </c>
      <c r="H65" t="s">
        <v>383</v>
      </c>
      <c r="I65" t="s">
        <v>384</v>
      </c>
      <c r="J65" t="s">
        <v>385</v>
      </c>
      <c r="K65" t="s">
        <v>386</v>
      </c>
      <c r="L65" t="s">
        <v>432</v>
      </c>
      <c r="M65" t="s">
        <v>433</v>
      </c>
    </row>
    <row r="66" spans="1:15">
      <c r="A66">
        <v>66</v>
      </c>
      <c r="B66" t="s">
        <v>322</v>
      </c>
      <c r="C66" t="s">
        <v>301</v>
      </c>
      <c r="D66" t="s">
        <v>301</v>
      </c>
      <c r="E66" t="s">
        <v>320</v>
      </c>
      <c r="F66" t="s">
        <v>320</v>
      </c>
      <c r="G66" t="s">
        <v>387</v>
      </c>
      <c r="H66" t="s">
        <v>388</v>
      </c>
      <c r="I66" t="s">
        <v>348</v>
      </c>
      <c r="J66" t="s">
        <v>389</v>
      </c>
      <c r="K66" t="s">
        <v>325</v>
      </c>
      <c r="L66" t="s">
        <v>374</v>
      </c>
      <c r="M66" t="s">
        <v>390</v>
      </c>
      <c r="N66" t="s">
        <v>355</v>
      </c>
      <c r="O66" t="s">
        <v>609</v>
      </c>
    </row>
    <row r="67" spans="1:15">
      <c r="A67">
        <v>67</v>
      </c>
      <c r="B67" t="s">
        <v>327</v>
      </c>
      <c r="C67" t="s">
        <v>309</v>
      </c>
      <c r="D67" t="s">
        <v>309</v>
      </c>
      <c r="E67" t="s">
        <v>306</v>
      </c>
      <c r="F67" t="s">
        <v>396</v>
      </c>
      <c r="G67" t="s">
        <v>613</v>
      </c>
    </row>
    <row r="68" spans="1:15">
      <c r="A68">
        <v>68</v>
      </c>
      <c r="B68" t="s">
        <v>322</v>
      </c>
      <c r="C68" t="s">
        <v>610</v>
      </c>
      <c r="D68" t="s">
        <v>320</v>
      </c>
      <c r="E68" t="s">
        <v>392</v>
      </c>
      <c r="F68" t="s">
        <v>337</v>
      </c>
      <c r="G68" t="s">
        <v>604</v>
      </c>
      <c r="H68" t="s">
        <v>611</v>
      </c>
      <c r="I68" t="s">
        <v>612</v>
      </c>
      <c r="J68" t="s">
        <v>597</v>
      </c>
      <c r="K68" t="s">
        <v>390</v>
      </c>
      <c r="L68" t="s">
        <v>355</v>
      </c>
      <c r="M68" t="s">
        <v>599</v>
      </c>
    </row>
    <row r="69" spans="1:15">
      <c r="A69">
        <v>69</v>
      </c>
      <c r="B69" t="s">
        <v>322</v>
      </c>
      <c r="C69" t="s">
        <v>610</v>
      </c>
      <c r="D69" t="s">
        <v>320</v>
      </c>
      <c r="E69" t="s">
        <v>392</v>
      </c>
      <c r="F69" t="s">
        <v>337</v>
      </c>
      <c r="G69" t="s">
        <v>604</v>
      </c>
      <c r="H69" t="s">
        <v>611</v>
      </c>
      <c r="I69" t="s">
        <v>612</v>
      </c>
      <c r="J69" t="s">
        <v>597</v>
      </c>
      <c r="K69" t="s">
        <v>390</v>
      </c>
      <c r="L69" t="s">
        <v>355</v>
      </c>
      <c r="M69" t="s">
        <v>599</v>
      </c>
    </row>
    <row r="70" spans="1:15">
      <c r="A70">
        <v>70</v>
      </c>
      <c r="B70" t="s">
        <v>588</v>
      </c>
      <c r="C70" t="s">
        <v>306</v>
      </c>
      <c r="D70" t="s">
        <v>304</v>
      </c>
      <c r="E70" t="s">
        <v>396</v>
      </c>
      <c r="F70" t="s">
        <v>396</v>
      </c>
      <c r="G70" t="s">
        <v>613</v>
      </c>
    </row>
    <row r="71" spans="1:15">
      <c r="A71">
        <v>71</v>
      </c>
      <c r="B71" t="s">
        <v>301</v>
      </c>
      <c r="C71" t="s">
        <v>395</v>
      </c>
      <c r="D71" t="s">
        <v>320</v>
      </c>
      <c r="E71" t="s">
        <v>396</v>
      </c>
      <c r="F71" t="s">
        <v>396</v>
      </c>
      <c r="G71" t="s">
        <v>613</v>
      </c>
    </row>
    <row r="72" spans="1:15">
      <c r="A72">
        <v>72</v>
      </c>
      <c r="B72" t="s">
        <v>301</v>
      </c>
      <c r="C72" t="s">
        <v>395</v>
      </c>
      <c r="D72" t="s">
        <v>320</v>
      </c>
      <c r="E72" t="s">
        <v>396</v>
      </c>
      <c r="F72" t="s">
        <v>396</v>
      </c>
      <c r="G72" t="s">
        <v>613</v>
      </c>
    </row>
    <row r="73" spans="1:15">
      <c r="A73">
        <v>73</v>
      </c>
      <c r="B73" t="s">
        <v>301</v>
      </c>
      <c r="C73" t="s">
        <v>395</v>
      </c>
      <c r="D73" t="s">
        <v>320</v>
      </c>
      <c r="E73" t="s">
        <v>396</v>
      </c>
      <c r="F73" t="s">
        <v>396</v>
      </c>
      <c r="G73" t="s">
        <v>613</v>
      </c>
    </row>
    <row r="74" spans="1:15">
      <c r="A74">
        <v>74</v>
      </c>
      <c r="B74" t="s">
        <v>301</v>
      </c>
      <c r="C74" t="s">
        <v>395</v>
      </c>
      <c r="D74" t="s">
        <v>320</v>
      </c>
      <c r="E74" t="s">
        <v>396</v>
      </c>
      <c r="F74" t="s">
        <v>396</v>
      </c>
      <c r="G74" t="s">
        <v>613</v>
      </c>
    </row>
    <row r="75" spans="1:15">
      <c r="A75">
        <v>75</v>
      </c>
      <c r="B75" t="s">
        <v>301</v>
      </c>
      <c r="C75" t="s">
        <v>395</v>
      </c>
      <c r="D75" t="s">
        <v>320</v>
      </c>
      <c r="E75" t="s">
        <v>396</v>
      </c>
      <c r="F75" t="s">
        <v>396</v>
      </c>
      <c r="G75" t="s">
        <v>613</v>
      </c>
    </row>
    <row r="76" spans="1:15">
      <c r="A76">
        <v>76</v>
      </c>
      <c r="B76" t="s">
        <v>301</v>
      </c>
      <c r="C76" t="s">
        <v>395</v>
      </c>
      <c r="D76" t="s">
        <v>320</v>
      </c>
      <c r="E76" t="s">
        <v>396</v>
      </c>
      <c r="F76" t="s">
        <v>396</v>
      </c>
      <c r="G76" t="s">
        <v>613</v>
      </c>
    </row>
    <row r="77" spans="1:15">
      <c r="A77">
        <v>77</v>
      </c>
      <c r="B77" t="s">
        <v>301</v>
      </c>
      <c r="C77" t="s">
        <v>395</v>
      </c>
      <c r="D77" t="s">
        <v>320</v>
      </c>
      <c r="E77" t="s">
        <v>396</v>
      </c>
      <c r="F77" t="s">
        <v>396</v>
      </c>
      <c r="G77" t="s">
        <v>613</v>
      </c>
    </row>
    <row r="78" spans="1:15">
      <c r="A78">
        <v>78</v>
      </c>
      <c r="B78" t="s">
        <v>301</v>
      </c>
      <c r="C78" t="s">
        <v>395</v>
      </c>
      <c r="D78" t="s">
        <v>320</v>
      </c>
      <c r="E78" t="s">
        <v>396</v>
      </c>
      <c r="F78" t="s">
        <v>396</v>
      </c>
      <c r="G78" t="s">
        <v>613</v>
      </c>
    </row>
    <row r="79" spans="1:15">
      <c r="A79">
        <v>79</v>
      </c>
      <c r="B79" t="s">
        <v>301</v>
      </c>
      <c r="C79" t="s">
        <v>395</v>
      </c>
      <c r="D79" t="s">
        <v>320</v>
      </c>
      <c r="E79" t="s">
        <v>396</v>
      </c>
      <c r="F79" t="s">
        <v>396</v>
      </c>
      <c r="G79" t="s">
        <v>613</v>
      </c>
    </row>
    <row r="80" spans="1:15">
      <c r="A80">
        <v>80</v>
      </c>
      <c r="B80" t="s">
        <v>301</v>
      </c>
      <c r="C80" t="s">
        <v>395</v>
      </c>
      <c r="D80" t="s">
        <v>320</v>
      </c>
      <c r="E80" t="s">
        <v>396</v>
      </c>
      <c r="F80" t="s">
        <v>396</v>
      </c>
      <c r="G80" t="s">
        <v>613</v>
      </c>
    </row>
    <row r="81" spans="1:23">
      <c r="A81">
        <v>81</v>
      </c>
      <c r="B81" t="s">
        <v>301</v>
      </c>
      <c r="C81" t="s">
        <v>395</v>
      </c>
      <c r="D81" t="s">
        <v>320</v>
      </c>
      <c r="E81" t="s">
        <v>396</v>
      </c>
      <c r="F81" t="s">
        <v>396</v>
      </c>
      <c r="G81" t="s">
        <v>613</v>
      </c>
      <c r="H81" t="s">
        <v>497</v>
      </c>
    </row>
    <row r="82" spans="1:23">
      <c r="A82">
        <v>82</v>
      </c>
      <c r="B82" t="s">
        <v>301</v>
      </c>
      <c r="C82" t="s">
        <v>395</v>
      </c>
      <c r="D82" t="s">
        <v>320</v>
      </c>
      <c r="E82" t="s">
        <v>396</v>
      </c>
      <c r="F82" t="s">
        <v>396</v>
      </c>
      <c r="G82" t="s">
        <v>613</v>
      </c>
    </row>
    <row r="83" spans="1:23">
      <c r="A83">
        <v>83</v>
      </c>
      <c r="B83" t="s">
        <v>334</v>
      </c>
      <c r="C83" t="s">
        <v>341</v>
      </c>
      <c r="D83" t="s">
        <v>306</v>
      </c>
      <c r="E83" t="s">
        <v>309</v>
      </c>
    </row>
    <row r="84" spans="1:23">
      <c r="A84">
        <v>84</v>
      </c>
      <c r="B84" t="s">
        <v>301</v>
      </c>
      <c r="C84" t="s">
        <v>395</v>
      </c>
      <c r="D84" t="s">
        <v>320</v>
      </c>
      <c r="E84" t="s">
        <v>396</v>
      </c>
      <c r="F84" t="s">
        <v>396</v>
      </c>
      <c r="G84" t="s">
        <v>613</v>
      </c>
    </row>
    <row r="85" spans="1:23">
      <c r="A85">
        <v>85</v>
      </c>
      <c r="B85" t="s">
        <v>334</v>
      </c>
      <c r="C85" t="s">
        <v>341</v>
      </c>
    </row>
    <row r="86" spans="1:23">
      <c r="A86">
        <v>86</v>
      </c>
      <c r="B86" t="s">
        <v>301</v>
      </c>
      <c r="C86" t="s">
        <v>395</v>
      </c>
      <c r="D86" t="s">
        <v>320</v>
      </c>
      <c r="E86" t="s">
        <v>396</v>
      </c>
      <c r="F86" t="s">
        <v>396</v>
      </c>
      <c r="G86" t="s">
        <v>613</v>
      </c>
    </row>
    <row r="87" spans="1:23">
      <c r="A87">
        <v>87</v>
      </c>
      <c r="B87" t="s">
        <v>395</v>
      </c>
      <c r="C87" t="s">
        <v>579</v>
      </c>
      <c r="D87" t="s">
        <v>306</v>
      </c>
      <c r="E87" t="s">
        <v>304</v>
      </c>
    </row>
    <row r="88" spans="1:23">
      <c r="A88">
        <v>88</v>
      </c>
      <c r="B88" t="s">
        <v>374</v>
      </c>
      <c r="C88" t="s">
        <v>398</v>
      </c>
      <c r="D88" t="s">
        <v>397</v>
      </c>
    </row>
    <row r="89" spans="1:23">
      <c r="A89">
        <v>89</v>
      </c>
      <c r="B89" t="s">
        <v>614</v>
      </c>
      <c r="C89" t="s">
        <v>615</v>
      </c>
      <c r="D89" t="s">
        <v>354</v>
      </c>
      <c r="E89" t="s">
        <v>327</v>
      </c>
    </row>
    <row r="90" spans="1:23">
      <c r="A90">
        <v>90</v>
      </c>
      <c r="B90" t="s">
        <v>301</v>
      </c>
      <c r="C90" t="s">
        <v>369</v>
      </c>
      <c r="D90" t="s">
        <v>614</v>
      </c>
      <c r="E90" t="s">
        <v>615</v>
      </c>
      <c r="F90" t="s">
        <v>616</v>
      </c>
      <c r="G90" t="s">
        <v>354</v>
      </c>
      <c r="H90" t="s">
        <v>497</v>
      </c>
      <c r="I90" t="s">
        <v>307</v>
      </c>
      <c r="J90" t="s">
        <v>308</v>
      </c>
      <c r="K90" t="s">
        <v>309</v>
      </c>
      <c r="L90" t="s">
        <v>310</v>
      </c>
      <c r="M90" t="s">
        <v>311</v>
      </c>
      <c r="N90" t="s">
        <v>312</v>
      </c>
      <c r="O90" t="s">
        <v>313</v>
      </c>
      <c r="P90" t="s">
        <v>314</v>
      </c>
      <c r="Q90" t="s">
        <v>315</v>
      </c>
      <c r="R90" t="s">
        <v>316</v>
      </c>
      <c r="S90" t="s">
        <v>317</v>
      </c>
      <c r="T90" t="s">
        <v>318</v>
      </c>
      <c r="U90" t="s">
        <v>576</v>
      </c>
      <c r="V90" t="s">
        <v>618</v>
      </c>
      <c r="W90" t="s">
        <v>619</v>
      </c>
    </row>
    <row r="91" spans="1:23">
      <c r="A91">
        <v>91</v>
      </c>
      <c r="B91" t="s">
        <v>617</v>
      </c>
      <c r="C91" t="s">
        <v>354</v>
      </c>
      <c r="D91" t="s">
        <v>341</v>
      </c>
    </row>
    <row r="92" spans="1:23">
      <c r="A92">
        <v>92</v>
      </c>
      <c r="B92" t="s">
        <v>588</v>
      </c>
      <c r="C92" t="s">
        <v>579</v>
      </c>
      <c r="D92" t="s">
        <v>306</v>
      </c>
      <c r="E92" t="s">
        <v>309</v>
      </c>
    </row>
    <row r="93" spans="1:23">
      <c r="A93">
        <v>93</v>
      </c>
      <c r="B93" t="s">
        <v>327</v>
      </c>
      <c r="C93" t="s">
        <v>369</v>
      </c>
    </row>
    <row r="94" spans="1:23">
      <c r="A94">
        <v>94</v>
      </c>
      <c r="B94" t="s">
        <v>327</v>
      </c>
      <c r="C94" t="s">
        <v>369</v>
      </c>
    </row>
    <row r="95" spans="1:23">
      <c r="A95">
        <v>95</v>
      </c>
      <c r="B95" t="s">
        <v>327</v>
      </c>
      <c r="C95" t="s">
        <v>399</v>
      </c>
    </row>
    <row r="96" spans="1:23">
      <c r="A96">
        <v>96</v>
      </c>
      <c r="B96" t="s">
        <v>588</v>
      </c>
      <c r="C96" t="s">
        <v>579</v>
      </c>
      <c r="D96" t="s">
        <v>306</v>
      </c>
      <c r="E96" t="s">
        <v>304</v>
      </c>
    </row>
    <row r="97" spans="1:23">
      <c r="A97">
        <v>97</v>
      </c>
      <c r="B97" t="s">
        <v>327</v>
      </c>
      <c r="C97" t="s">
        <v>322</v>
      </c>
      <c r="D97" t="s">
        <v>397</v>
      </c>
    </row>
    <row r="98" spans="1:23">
      <c r="A98">
        <v>98</v>
      </c>
      <c r="B98" t="s">
        <v>400</v>
      </c>
      <c r="C98" t="s">
        <v>336</v>
      </c>
      <c r="D98" t="s">
        <v>401</v>
      </c>
      <c r="E98" t="s">
        <v>327</v>
      </c>
    </row>
    <row r="99" spans="1:23">
      <c r="A99">
        <v>99</v>
      </c>
      <c r="B99" t="s">
        <v>402</v>
      </c>
      <c r="C99" t="s">
        <v>301</v>
      </c>
      <c r="D99" t="s">
        <v>302</v>
      </c>
      <c r="E99" t="s">
        <v>303</v>
      </c>
      <c r="F99" t="s">
        <v>304</v>
      </c>
      <c r="G99" t="s">
        <v>305</v>
      </c>
      <c r="H99" t="s">
        <v>306</v>
      </c>
      <c r="I99" t="s">
        <v>307</v>
      </c>
      <c r="J99" t="s">
        <v>308</v>
      </c>
      <c r="K99" t="s">
        <v>309</v>
      </c>
      <c r="L99" t="s">
        <v>310</v>
      </c>
      <c r="M99" t="s">
        <v>311</v>
      </c>
      <c r="N99" t="s">
        <v>312</v>
      </c>
      <c r="O99" t="s">
        <v>313</v>
      </c>
      <c r="P99" t="s">
        <v>314</v>
      </c>
      <c r="Q99" t="s">
        <v>315</v>
      </c>
      <c r="R99" t="s">
        <v>316</v>
      </c>
      <c r="S99" t="s">
        <v>317</v>
      </c>
      <c r="T99" t="s">
        <v>318</v>
      </c>
      <c r="U99" t="s">
        <v>576</v>
      </c>
      <c r="V99" t="s">
        <v>618</v>
      </c>
      <c r="W99" t="s">
        <v>619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13" sqref="J13"/>
    </sheetView>
  </sheetViews>
  <sheetFormatPr baseColWidth="10"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A99"/>
  <sheetViews>
    <sheetView topLeftCell="A36" workbookViewId="0">
      <selection activeCell="I53" sqref="I53"/>
    </sheetView>
  </sheetViews>
  <sheetFormatPr baseColWidth="10" defaultRowHeight="15"/>
  <sheetData>
    <row r="1" spans="1:27">
      <c r="A1">
        <v>1</v>
      </c>
      <c r="B1" t="s">
        <v>627</v>
      </c>
      <c r="C1" t="s">
        <v>628</v>
      </c>
      <c r="D1" t="s">
        <v>97</v>
      </c>
      <c r="E1" t="s">
        <v>629</v>
      </c>
      <c r="F1" t="s">
        <v>107</v>
      </c>
      <c r="G1" t="s">
        <v>107</v>
      </c>
      <c r="H1" t="s">
        <v>107</v>
      </c>
      <c r="I1" t="s">
        <v>107</v>
      </c>
      <c r="J1" t="s">
        <v>107</v>
      </c>
      <c r="K1" t="s">
        <v>107</v>
      </c>
      <c r="L1" t="s">
        <v>107</v>
      </c>
      <c r="M1" t="s">
        <v>107</v>
      </c>
      <c r="N1" t="s">
        <v>107</v>
      </c>
      <c r="O1" t="s">
        <v>107</v>
      </c>
      <c r="P1" t="s">
        <v>107</v>
      </c>
      <c r="Q1" t="s">
        <v>107</v>
      </c>
      <c r="R1" t="s">
        <v>107</v>
      </c>
      <c r="S1" t="s">
        <v>107</v>
      </c>
      <c r="T1" t="s">
        <v>107</v>
      </c>
      <c r="U1" t="s">
        <v>107</v>
      </c>
      <c r="V1" t="s">
        <v>107</v>
      </c>
      <c r="W1" t="s">
        <v>107</v>
      </c>
      <c r="X1" t="s">
        <v>107</v>
      </c>
    </row>
    <row r="2" spans="1:27">
      <c r="A2">
        <v>2</v>
      </c>
      <c r="B2" t="s">
        <v>630</v>
      </c>
      <c r="C2" t="s">
        <v>631</v>
      </c>
      <c r="D2" t="s">
        <v>107</v>
      </c>
      <c r="E2" t="s">
        <v>632</v>
      </c>
      <c r="F2" t="s">
        <v>107</v>
      </c>
      <c r="G2" t="s">
        <v>633</v>
      </c>
      <c r="H2" t="s">
        <v>107</v>
      </c>
      <c r="I2" t="s">
        <v>634</v>
      </c>
      <c r="J2" t="s">
        <v>107</v>
      </c>
      <c r="K2" t="s">
        <v>635</v>
      </c>
      <c r="L2" t="s">
        <v>107</v>
      </c>
      <c r="M2" t="s">
        <v>636</v>
      </c>
      <c r="N2" t="s">
        <v>107</v>
      </c>
      <c r="O2" t="s">
        <v>637</v>
      </c>
      <c r="P2" t="s">
        <v>107</v>
      </c>
      <c r="Q2" t="s">
        <v>107</v>
      </c>
      <c r="R2" t="s">
        <v>107</v>
      </c>
      <c r="S2" t="s">
        <v>107</v>
      </c>
      <c r="T2" t="s">
        <v>107</v>
      </c>
      <c r="U2" t="s">
        <v>107</v>
      </c>
      <c r="V2" t="s">
        <v>107</v>
      </c>
      <c r="W2" t="s">
        <v>107</v>
      </c>
      <c r="X2" t="s">
        <v>107</v>
      </c>
      <c r="Y2" t="s">
        <v>107</v>
      </c>
      <c r="Z2" t="s">
        <v>107</v>
      </c>
      <c r="AA2" t="s">
        <v>107</v>
      </c>
    </row>
    <row r="3" spans="1:27">
      <c r="A3">
        <v>3</v>
      </c>
      <c r="B3" t="s">
        <v>638</v>
      </c>
      <c r="C3" t="s">
        <v>489</v>
      </c>
      <c r="D3" t="s">
        <v>639</v>
      </c>
      <c r="E3" t="s">
        <v>640</v>
      </c>
      <c r="F3" t="s">
        <v>492</v>
      </c>
      <c r="G3" t="s">
        <v>641</v>
      </c>
      <c r="H3" t="s">
        <v>642</v>
      </c>
      <c r="I3" t="s">
        <v>107</v>
      </c>
      <c r="J3" t="s">
        <v>107</v>
      </c>
      <c r="K3" t="s">
        <v>643</v>
      </c>
      <c r="L3" t="s">
        <v>644</v>
      </c>
      <c r="M3" t="s">
        <v>107</v>
      </c>
      <c r="N3" t="s">
        <v>107</v>
      </c>
    </row>
    <row r="4" spans="1:27">
      <c r="A4">
        <v>4</v>
      </c>
      <c r="B4" t="s">
        <v>631</v>
      </c>
      <c r="C4" t="s">
        <v>107</v>
      </c>
      <c r="D4" t="s">
        <v>107</v>
      </c>
    </row>
    <row r="5" spans="1:27">
      <c r="A5">
        <v>5</v>
      </c>
      <c r="B5" t="s">
        <v>321</v>
      </c>
      <c r="C5" t="s">
        <v>645</v>
      </c>
      <c r="D5" t="s">
        <v>646</v>
      </c>
      <c r="E5" t="s">
        <v>322</v>
      </c>
      <c r="F5" t="s">
        <v>647</v>
      </c>
    </row>
    <row r="6" spans="1:27">
      <c r="A6">
        <v>6</v>
      </c>
      <c r="B6" t="s">
        <v>496</v>
      </c>
      <c r="C6" t="s">
        <v>648</v>
      </c>
      <c r="D6" t="s">
        <v>649</v>
      </c>
      <c r="E6" t="s">
        <v>650</v>
      </c>
      <c r="F6" t="s">
        <v>651</v>
      </c>
      <c r="G6" t="s">
        <v>652</v>
      </c>
      <c r="H6" t="s">
        <v>653</v>
      </c>
      <c r="I6" t="s">
        <v>500</v>
      </c>
      <c r="J6" t="s">
        <v>501</v>
      </c>
      <c r="K6" t="s">
        <v>502</v>
      </c>
      <c r="L6" t="s">
        <v>654</v>
      </c>
      <c r="M6" t="s">
        <v>655</v>
      </c>
      <c r="N6" t="s">
        <v>656</v>
      </c>
      <c r="O6" t="s">
        <v>501</v>
      </c>
      <c r="P6" t="s">
        <v>657</v>
      </c>
    </row>
    <row r="7" spans="1:27">
      <c r="A7">
        <v>7</v>
      </c>
      <c r="B7" t="s">
        <v>632</v>
      </c>
      <c r="C7" t="s">
        <v>107</v>
      </c>
    </row>
    <row r="8" spans="1:27">
      <c r="A8">
        <v>8</v>
      </c>
      <c r="B8" t="s">
        <v>658</v>
      </c>
      <c r="C8" t="s">
        <v>322</v>
      </c>
    </row>
    <row r="9" spans="1:27">
      <c r="A9">
        <v>9</v>
      </c>
      <c r="B9" t="s">
        <v>659</v>
      </c>
      <c r="C9" t="s">
        <v>632</v>
      </c>
      <c r="D9" t="s">
        <v>504</v>
      </c>
      <c r="E9" t="s">
        <v>660</v>
      </c>
    </row>
    <row r="10" spans="1:27">
      <c r="A10">
        <v>10</v>
      </c>
      <c r="B10" t="s">
        <v>661</v>
      </c>
      <c r="C10" t="s">
        <v>632</v>
      </c>
      <c r="D10" t="s">
        <v>660</v>
      </c>
      <c r="E10" t="s">
        <v>506</v>
      </c>
    </row>
    <row r="11" spans="1:27">
      <c r="A11">
        <v>11</v>
      </c>
      <c r="B11" t="s">
        <v>662</v>
      </c>
      <c r="C11" t="s">
        <v>632</v>
      </c>
      <c r="D11" t="s">
        <v>507</v>
      </c>
      <c r="E11" t="s">
        <v>663</v>
      </c>
      <c r="F11" t="s">
        <v>509</v>
      </c>
      <c r="G11" t="s">
        <v>510</v>
      </c>
    </row>
    <row r="12" spans="1:27">
      <c r="A12">
        <v>12</v>
      </c>
      <c r="B12" t="s">
        <v>664</v>
      </c>
      <c r="C12" t="s">
        <v>632</v>
      </c>
      <c r="D12" t="s">
        <v>107</v>
      </c>
      <c r="E12" t="s">
        <v>665</v>
      </c>
      <c r="F12" t="s">
        <v>666</v>
      </c>
      <c r="G12" t="s">
        <v>667</v>
      </c>
      <c r="H12" t="s">
        <v>1</v>
      </c>
      <c r="I12" t="s">
        <v>668</v>
      </c>
      <c r="J12" t="s">
        <v>669</v>
      </c>
      <c r="K12" t="s">
        <v>540</v>
      </c>
      <c r="L12" t="s">
        <v>107</v>
      </c>
      <c r="M12" t="s">
        <v>107</v>
      </c>
      <c r="N12" t="s">
        <v>107</v>
      </c>
      <c r="O12" t="s">
        <v>670</v>
      </c>
      <c r="P12" t="s">
        <v>671</v>
      </c>
      <c r="Q12" t="s">
        <v>107</v>
      </c>
      <c r="R12" t="s">
        <v>107</v>
      </c>
      <c r="S12" t="s">
        <v>672</v>
      </c>
    </row>
    <row r="13" spans="1:27">
      <c r="A13">
        <v>13</v>
      </c>
      <c r="B13" t="s">
        <v>633</v>
      </c>
      <c r="C13" t="s">
        <v>107</v>
      </c>
      <c r="D13" t="s">
        <v>107</v>
      </c>
    </row>
    <row r="14" spans="1:27">
      <c r="A14">
        <v>14</v>
      </c>
      <c r="B14" t="s">
        <v>633</v>
      </c>
      <c r="C14" t="s">
        <v>673</v>
      </c>
      <c r="D14" t="s">
        <v>674</v>
      </c>
      <c r="E14" t="s">
        <v>521</v>
      </c>
    </row>
    <row r="15" spans="1:27">
      <c r="A15">
        <v>15</v>
      </c>
      <c r="B15" t="s">
        <v>634</v>
      </c>
      <c r="C15" t="s">
        <v>107</v>
      </c>
      <c r="D15" t="s">
        <v>107</v>
      </c>
      <c r="E15" t="s">
        <v>345</v>
      </c>
      <c r="F15" t="s">
        <v>346</v>
      </c>
      <c r="G15" t="s">
        <v>347</v>
      </c>
      <c r="H15" t="s">
        <v>348</v>
      </c>
      <c r="I15" t="s">
        <v>349</v>
      </c>
      <c r="J15" t="s">
        <v>350</v>
      </c>
      <c r="K15" t="s">
        <v>351</v>
      </c>
      <c r="L15" t="s">
        <v>352</v>
      </c>
    </row>
    <row r="16" spans="1:27">
      <c r="A16">
        <v>16</v>
      </c>
      <c r="B16" t="s">
        <v>675</v>
      </c>
      <c r="C16" t="s">
        <v>676</v>
      </c>
      <c r="D16" t="s">
        <v>677</v>
      </c>
      <c r="E16" t="s">
        <v>322</v>
      </c>
      <c r="F16" t="s">
        <v>357</v>
      </c>
      <c r="G16" t="s">
        <v>326</v>
      </c>
      <c r="H16" t="s">
        <v>358</v>
      </c>
      <c r="I16" t="s">
        <v>359</v>
      </c>
      <c r="J16" t="s">
        <v>360</v>
      </c>
      <c r="K16" t="s">
        <v>350</v>
      </c>
    </row>
    <row r="17" spans="1:20">
      <c r="A17">
        <v>17</v>
      </c>
      <c r="B17" t="s">
        <v>678</v>
      </c>
      <c r="C17" t="s">
        <v>679</v>
      </c>
      <c r="D17" t="s">
        <v>504</v>
      </c>
      <c r="E17" t="s">
        <v>361</v>
      </c>
      <c r="F17" t="s">
        <v>339</v>
      </c>
      <c r="G17" t="s">
        <v>361</v>
      </c>
      <c r="H17" t="s">
        <v>339</v>
      </c>
      <c r="I17" t="s">
        <v>361</v>
      </c>
      <c r="J17" t="s">
        <v>339</v>
      </c>
      <c r="K17" t="s">
        <v>361</v>
      </c>
      <c r="L17" t="s">
        <v>339</v>
      </c>
      <c r="M17" t="s">
        <v>362</v>
      </c>
      <c r="N17" t="s">
        <v>363</v>
      </c>
      <c r="O17" t="s">
        <v>357</v>
      </c>
      <c r="P17" t="s">
        <v>364</v>
      </c>
      <c r="Q17" t="s">
        <v>365</v>
      </c>
    </row>
    <row r="18" spans="1:20">
      <c r="A18">
        <v>18</v>
      </c>
      <c r="B18" t="s">
        <v>635</v>
      </c>
      <c r="C18" t="s">
        <v>107</v>
      </c>
      <c r="D18" t="s">
        <v>504</v>
      </c>
      <c r="E18" t="s">
        <v>367</v>
      </c>
      <c r="F18" t="s">
        <v>339</v>
      </c>
      <c r="G18" t="s">
        <v>339</v>
      </c>
      <c r="H18" t="s">
        <v>339</v>
      </c>
      <c r="I18" t="s">
        <v>339</v>
      </c>
      <c r="J18" t="s">
        <v>339</v>
      </c>
    </row>
    <row r="19" spans="1:20">
      <c r="A19">
        <v>19</v>
      </c>
      <c r="B19" t="s">
        <v>680</v>
      </c>
      <c r="C19" t="s">
        <v>681</v>
      </c>
      <c r="D19" t="s">
        <v>682</v>
      </c>
      <c r="E19" t="s">
        <v>683</v>
      </c>
      <c r="F19" t="s">
        <v>524</v>
      </c>
      <c r="G19" t="s">
        <v>525</v>
      </c>
      <c r="H19" t="s">
        <v>370</v>
      </c>
      <c r="I19" t="s">
        <v>371</v>
      </c>
      <c r="J19" t="s">
        <v>372</v>
      </c>
      <c r="K19" t="s">
        <v>372</v>
      </c>
      <c r="L19" t="s">
        <v>371</v>
      </c>
      <c r="M19" t="s">
        <v>372</v>
      </c>
      <c r="N19" t="s">
        <v>372</v>
      </c>
      <c r="O19" t="s">
        <v>328</v>
      </c>
    </row>
    <row r="20" spans="1:20">
      <c r="A20">
        <v>20</v>
      </c>
      <c r="B20" t="s">
        <v>684</v>
      </c>
      <c r="C20" t="s">
        <v>685</v>
      </c>
      <c r="D20" t="s">
        <v>686</v>
      </c>
      <c r="E20" t="s">
        <v>687</v>
      </c>
      <c r="F20" t="s">
        <v>688</v>
      </c>
      <c r="G20" t="s">
        <v>689</v>
      </c>
      <c r="H20" t="s">
        <v>690</v>
      </c>
      <c r="I20" t="s">
        <v>691</v>
      </c>
      <c r="J20" t="s">
        <v>692</v>
      </c>
      <c r="K20" t="s">
        <v>693</v>
      </c>
      <c r="L20" t="s">
        <v>541</v>
      </c>
      <c r="M20" t="s">
        <v>694</v>
      </c>
      <c r="N20" t="s">
        <v>695</v>
      </c>
      <c r="O20" t="s">
        <v>542</v>
      </c>
      <c r="P20" t="s">
        <v>543</v>
      </c>
      <c r="Q20" t="s">
        <v>540</v>
      </c>
      <c r="R20" t="s">
        <v>544</v>
      </c>
      <c r="S20" t="s">
        <v>541</v>
      </c>
    </row>
    <row r="21" spans="1:20">
      <c r="A21">
        <v>21</v>
      </c>
      <c r="B21" t="s">
        <v>696</v>
      </c>
      <c r="C21" t="s">
        <v>697</v>
      </c>
      <c r="D21" t="s">
        <v>529</v>
      </c>
      <c r="E21" t="s">
        <v>497</v>
      </c>
      <c r="F21" t="s">
        <v>331</v>
      </c>
      <c r="G21" t="s">
        <v>497</v>
      </c>
      <c r="H21" t="s">
        <v>332</v>
      </c>
      <c r="I21" t="s">
        <v>497</v>
      </c>
      <c r="J21" t="s">
        <v>497</v>
      </c>
      <c r="K21" t="s">
        <v>333</v>
      </c>
      <c r="L21" t="s">
        <v>497</v>
      </c>
      <c r="M21" t="s">
        <v>526</v>
      </c>
      <c r="N21" t="s">
        <v>497</v>
      </c>
      <c r="O21" t="s">
        <v>497</v>
      </c>
      <c r="P21" t="s">
        <v>527</v>
      </c>
      <c r="Q21" t="s">
        <v>497</v>
      </c>
      <c r="R21" t="s">
        <v>497</v>
      </c>
      <c r="S21" t="s">
        <v>497</v>
      </c>
      <c r="T21" t="s">
        <v>528</v>
      </c>
    </row>
    <row r="22" spans="1:20">
      <c r="A22">
        <v>22</v>
      </c>
      <c r="B22" t="s">
        <v>698</v>
      </c>
      <c r="C22" t="s">
        <v>530</v>
      </c>
      <c r="D22" t="s">
        <v>697</v>
      </c>
      <c r="E22" t="s">
        <v>373</v>
      </c>
      <c r="F22" t="s">
        <v>322</v>
      </c>
      <c r="G22" t="s">
        <v>374</v>
      </c>
      <c r="H22" t="s">
        <v>375</v>
      </c>
      <c r="I22" t="s">
        <v>320</v>
      </c>
      <c r="J22" t="s">
        <v>376</v>
      </c>
    </row>
    <row r="23" spans="1:20">
      <c r="A23">
        <v>23</v>
      </c>
      <c r="B23" t="s">
        <v>699</v>
      </c>
      <c r="C23" t="s">
        <v>530</v>
      </c>
      <c r="D23" t="s">
        <v>697</v>
      </c>
      <c r="E23" t="s">
        <v>378</v>
      </c>
    </row>
    <row r="24" spans="1:20">
      <c r="A24">
        <v>24</v>
      </c>
      <c r="B24" t="s">
        <v>700</v>
      </c>
      <c r="C24" t="s">
        <v>530</v>
      </c>
      <c r="D24" t="s">
        <v>697</v>
      </c>
      <c r="E24" t="s">
        <v>373</v>
      </c>
      <c r="F24" t="s">
        <v>322</v>
      </c>
      <c r="G24" t="s">
        <v>374</v>
      </c>
      <c r="H24" t="s">
        <v>375</v>
      </c>
      <c r="I24" t="s">
        <v>320</v>
      </c>
      <c r="J24" t="s">
        <v>379</v>
      </c>
    </row>
    <row r="25" spans="1:20">
      <c r="A25">
        <v>25</v>
      </c>
      <c r="B25" t="s">
        <v>701</v>
      </c>
      <c r="C25" t="s">
        <v>702</v>
      </c>
      <c r="D25" t="s">
        <v>107</v>
      </c>
      <c r="E25" t="s">
        <v>378</v>
      </c>
    </row>
    <row r="26" spans="1:20">
      <c r="A26">
        <v>26</v>
      </c>
      <c r="B26" t="s">
        <v>701</v>
      </c>
      <c r="C26" t="s">
        <v>702</v>
      </c>
      <c r="D26" t="s">
        <v>522</v>
      </c>
      <c r="E26" t="s">
        <v>523</v>
      </c>
      <c r="F26" t="s">
        <v>524</v>
      </c>
      <c r="G26" t="s">
        <v>525</v>
      </c>
      <c r="H26" t="s">
        <v>375</v>
      </c>
      <c r="I26" t="s">
        <v>320</v>
      </c>
      <c r="J26" t="s">
        <v>380</v>
      </c>
    </row>
    <row r="27" spans="1:20">
      <c r="A27">
        <v>27</v>
      </c>
      <c r="B27" t="s">
        <v>701</v>
      </c>
      <c r="C27" t="s">
        <v>702</v>
      </c>
      <c r="D27" t="s">
        <v>107</v>
      </c>
      <c r="E27" t="s">
        <v>532</v>
      </c>
      <c r="F27" t="s">
        <v>533</v>
      </c>
      <c r="G27" t="s">
        <v>523</v>
      </c>
      <c r="H27" t="s">
        <v>534</v>
      </c>
    </row>
    <row r="28" spans="1:20">
      <c r="A28">
        <v>28</v>
      </c>
      <c r="B28" t="s">
        <v>701</v>
      </c>
      <c r="C28" t="s">
        <v>702</v>
      </c>
      <c r="D28" t="s">
        <v>301</v>
      </c>
      <c r="E28" t="s">
        <v>339</v>
      </c>
      <c r="F28" t="s">
        <v>340</v>
      </c>
      <c r="G28" t="s">
        <v>301</v>
      </c>
      <c r="H28" t="s">
        <v>339</v>
      </c>
      <c r="I28" t="s">
        <v>320</v>
      </c>
      <c r="J28" t="s">
        <v>381</v>
      </c>
    </row>
    <row r="29" spans="1:20">
      <c r="A29">
        <v>29</v>
      </c>
      <c r="B29" t="s">
        <v>627</v>
      </c>
      <c r="C29" t="s">
        <v>107</v>
      </c>
      <c r="D29" t="s">
        <v>107</v>
      </c>
      <c r="E29" t="s">
        <v>531</v>
      </c>
    </row>
    <row r="30" spans="1:20">
      <c r="A30">
        <v>30</v>
      </c>
      <c r="B30" t="s">
        <v>703</v>
      </c>
      <c r="C30" t="s">
        <v>704</v>
      </c>
      <c r="D30" t="s">
        <v>545</v>
      </c>
      <c r="E30" t="s">
        <v>546</v>
      </c>
      <c r="F30" t="s">
        <v>322</v>
      </c>
      <c r="G30" t="s">
        <v>374</v>
      </c>
      <c r="H30" t="s">
        <v>375</v>
      </c>
      <c r="I30" t="s">
        <v>320</v>
      </c>
      <c r="J30" t="s">
        <v>382</v>
      </c>
    </row>
    <row r="31" spans="1:20">
      <c r="A31">
        <v>31</v>
      </c>
      <c r="B31" t="s">
        <v>334</v>
      </c>
      <c r="C31" t="s">
        <v>107</v>
      </c>
      <c r="D31" t="s">
        <v>547</v>
      </c>
      <c r="E31" t="s">
        <v>548</v>
      </c>
      <c r="F31" t="s">
        <v>549</v>
      </c>
      <c r="G31" t="s">
        <v>550</v>
      </c>
      <c r="H31" t="s">
        <v>551</v>
      </c>
    </row>
    <row r="32" spans="1:20">
      <c r="A32">
        <v>32</v>
      </c>
      <c r="B32" t="s">
        <v>108</v>
      </c>
      <c r="C32" t="s">
        <v>705</v>
      </c>
      <c r="D32" t="s">
        <v>107</v>
      </c>
      <c r="E32" t="s">
        <v>405</v>
      </c>
      <c r="F32" t="s">
        <v>552</v>
      </c>
      <c r="G32" t="s">
        <v>107</v>
      </c>
      <c r="H32" t="s">
        <v>406</v>
      </c>
      <c r="I32" t="s">
        <v>384</v>
      </c>
      <c r="J32" t="s">
        <v>385</v>
      </c>
      <c r="K32" t="s">
        <v>386</v>
      </c>
    </row>
    <row r="33" spans="1:17">
      <c r="A33">
        <v>33</v>
      </c>
      <c r="B33" t="s">
        <v>407</v>
      </c>
      <c r="C33" t="s">
        <v>706</v>
      </c>
      <c r="D33" t="s">
        <v>301</v>
      </c>
      <c r="E33" t="s">
        <v>339</v>
      </c>
      <c r="F33" t="s">
        <v>340</v>
      </c>
      <c r="G33" t="s">
        <v>301</v>
      </c>
      <c r="H33" t="s">
        <v>339</v>
      </c>
      <c r="I33" t="s">
        <v>348</v>
      </c>
      <c r="J33" t="s">
        <v>389</v>
      </c>
      <c r="K33" t="s">
        <v>325</v>
      </c>
      <c r="L33" t="s">
        <v>374</v>
      </c>
      <c r="M33" t="s">
        <v>390</v>
      </c>
      <c r="N33" t="s">
        <v>355</v>
      </c>
      <c r="O33" t="s">
        <v>391</v>
      </c>
    </row>
    <row r="34" spans="1:17">
      <c r="A34">
        <v>34</v>
      </c>
      <c r="B34" t="s">
        <v>407</v>
      </c>
      <c r="C34" t="s">
        <v>707</v>
      </c>
      <c r="D34" t="s">
        <v>309</v>
      </c>
      <c r="E34" t="s">
        <v>306</v>
      </c>
    </row>
    <row r="35" spans="1:17">
      <c r="A35">
        <v>35</v>
      </c>
      <c r="B35" t="s">
        <v>407</v>
      </c>
      <c r="C35" t="s">
        <v>707</v>
      </c>
      <c r="D35" t="s">
        <v>320</v>
      </c>
      <c r="E35" t="s">
        <v>392</v>
      </c>
      <c r="F35" t="s">
        <v>337</v>
      </c>
      <c r="G35" t="s">
        <v>338</v>
      </c>
      <c r="H35" t="s">
        <v>393</v>
      </c>
      <c r="I35" t="s">
        <v>394</v>
      </c>
      <c r="J35" t="s">
        <v>331</v>
      </c>
      <c r="K35" t="s">
        <v>390</v>
      </c>
      <c r="L35" t="s">
        <v>355</v>
      </c>
      <c r="M35" t="s">
        <v>333</v>
      </c>
    </row>
    <row r="36" spans="1:17">
      <c r="A36">
        <v>36</v>
      </c>
      <c r="B36" t="s">
        <v>407</v>
      </c>
      <c r="C36" t="s">
        <v>707</v>
      </c>
      <c r="D36" t="s">
        <v>320</v>
      </c>
      <c r="E36" t="s">
        <v>392</v>
      </c>
      <c r="F36" t="s">
        <v>337</v>
      </c>
      <c r="G36" t="s">
        <v>338</v>
      </c>
      <c r="H36" t="s">
        <v>393</v>
      </c>
      <c r="I36" t="s">
        <v>394</v>
      </c>
      <c r="J36" t="s">
        <v>331</v>
      </c>
      <c r="K36" t="s">
        <v>390</v>
      </c>
      <c r="L36" t="s">
        <v>355</v>
      </c>
      <c r="M36" t="s">
        <v>333</v>
      </c>
    </row>
    <row r="37" spans="1:17">
      <c r="A37">
        <v>37</v>
      </c>
      <c r="B37" t="s">
        <v>407</v>
      </c>
      <c r="C37" t="s">
        <v>707</v>
      </c>
      <c r="D37" t="s">
        <v>304</v>
      </c>
    </row>
    <row r="38" spans="1:17">
      <c r="A38">
        <v>38</v>
      </c>
      <c r="B38" t="s">
        <v>407</v>
      </c>
      <c r="C38" t="s">
        <v>707</v>
      </c>
      <c r="D38" t="s">
        <v>322</v>
      </c>
      <c r="E38" t="s">
        <v>320</v>
      </c>
      <c r="F38" t="s">
        <v>396</v>
      </c>
      <c r="G38" t="s">
        <v>396</v>
      </c>
    </row>
    <row r="39" spans="1:17">
      <c r="A39">
        <v>39</v>
      </c>
      <c r="B39" t="s">
        <v>407</v>
      </c>
      <c r="C39" t="s">
        <v>707</v>
      </c>
      <c r="D39" t="s">
        <v>322</v>
      </c>
      <c r="E39" t="s">
        <v>320</v>
      </c>
      <c r="F39" t="s">
        <v>396</v>
      </c>
      <c r="G39" t="s">
        <v>396</v>
      </c>
    </row>
    <row r="40" spans="1:17">
      <c r="A40">
        <v>40</v>
      </c>
      <c r="B40" t="s">
        <v>407</v>
      </c>
      <c r="C40" t="s">
        <v>707</v>
      </c>
      <c r="D40" t="s">
        <v>322</v>
      </c>
      <c r="E40" t="s">
        <v>320</v>
      </c>
      <c r="F40" t="s">
        <v>396</v>
      </c>
      <c r="G40" t="s">
        <v>396</v>
      </c>
    </row>
    <row r="41" spans="1:17">
      <c r="A41">
        <v>41</v>
      </c>
      <c r="B41" t="s">
        <v>407</v>
      </c>
      <c r="C41" t="s">
        <v>707</v>
      </c>
      <c r="D41" t="s">
        <v>308</v>
      </c>
      <c r="E41" t="s">
        <v>309</v>
      </c>
      <c r="F41" t="s">
        <v>396</v>
      </c>
      <c r="G41" t="s">
        <v>396</v>
      </c>
    </row>
    <row r="42" spans="1:17">
      <c r="A42">
        <v>42</v>
      </c>
      <c r="B42" t="s">
        <v>407</v>
      </c>
      <c r="C42" t="s">
        <v>707</v>
      </c>
      <c r="D42" t="s">
        <v>344</v>
      </c>
      <c r="E42" t="s">
        <v>345</v>
      </c>
      <c r="F42" t="s">
        <v>346</v>
      </c>
      <c r="G42" t="s">
        <v>347</v>
      </c>
      <c r="H42" t="s">
        <v>348</v>
      </c>
      <c r="I42" t="s">
        <v>349</v>
      </c>
      <c r="J42" t="s">
        <v>350</v>
      </c>
      <c r="K42" t="s">
        <v>351</v>
      </c>
      <c r="L42" t="s">
        <v>352</v>
      </c>
    </row>
    <row r="43" spans="1:17">
      <c r="A43">
        <v>43</v>
      </c>
      <c r="B43" t="s">
        <v>407</v>
      </c>
      <c r="C43" t="s">
        <v>707</v>
      </c>
      <c r="D43" t="s">
        <v>355</v>
      </c>
      <c r="E43" t="s">
        <v>356</v>
      </c>
      <c r="F43" t="s">
        <v>357</v>
      </c>
      <c r="G43" t="s">
        <v>326</v>
      </c>
      <c r="H43" t="s">
        <v>358</v>
      </c>
      <c r="I43" t="s">
        <v>359</v>
      </c>
      <c r="J43" t="s">
        <v>360</v>
      </c>
      <c r="K43" t="s">
        <v>350</v>
      </c>
    </row>
    <row r="44" spans="1:17">
      <c r="A44">
        <v>44</v>
      </c>
      <c r="B44" t="s">
        <v>407</v>
      </c>
      <c r="C44" t="s">
        <v>707</v>
      </c>
      <c r="D44" t="s">
        <v>339</v>
      </c>
      <c r="E44" t="s">
        <v>361</v>
      </c>
      <c r="F44" t="s">
        <v>339</v>
      </c>
      <c r="G44" t="s">
        <v>361</v>
      </c>
      <c r="H44" t="s">
        <v>339</v>
      </c>
      <c r="I44" t="s">
        <v>361</v>
      </c>
      <c r="J44" t="s">
        <v>339</v>
      </c>
      <c r="K44" t="s">
        <v>361</v>
      </c>
      <c r="L44" t="s">
        <v>339</v>
      </c>
      <c r="M44" t="s">
        <v>362</v>
      </c>
      <c r="N44" t="s">
        <v>363</v>
      </c>
      <c r="O44" t="s">
        <v>357</v>
      </c>
      <c r="P44" t="s">
        <v>364</v>
      </c>
      <c r="Q44" t="s">
        <v>365</v>
      </c>
    </row>
    <row r="45" spans="1:17">
      <c r="A45">
        <v>45</v>
      </c>
      <c r="B45" t="s">
        <v>109</v>
      </c>
      <c r="C45" t="s">
        <v>107</v>
      </c>
      <c r="D45" t="s">
        <v>107</v>
      </c>
      <c r="E45" t="s">
        <v>107</v>
      </c>
      <c r="F45" t="s">
        <v>339</v>
      </c>
      <c r="G45" t="s">
        <v>339</v>
      </c>
      <c r="H45" t="s">
        <v>339</v>
      </c>
      <c r="I45" t="s">
        <v>339</v>
      </c>
      <c r="J45" t="s">
        <v>339</v>
      </c>
    </row>
    <row r="46" spans="1:17">
      <c r="A46">
        <v>46</v>
      </c>
      <c r="B46" t="s">
        <v>708</v>
      </c>
      <c r="C46" t="s">
        <v>709</v>
      </c>
      <c r="D46" t="s">
        <v>186</v>
      </c>
      <c r="E46" t="s">
        <v>408</v>
      </c>
      <c r="F46" t="s">
        <v>337</v>
      </c>
      <c r="G46" t="s">
        <v>185</v>
      </c>
      <c r="H46" t="s">
        <v>164</v>
      </c>
      <c r="I46" t="s">
        <v>371</v>
      </c>
      <c r="J46" t="s">
        <v>372</v>
      </c>
      <c r="K46" t="s">
        <v>409</v>
      </c>
      <c r="L46" t="s">
        <v>410</v>
      </c>
      <c r="M46" t="s">
        <v>372</v>
      </c>
      <c r="N46" t="s">
        <v>372</v>
      </c>
      <c r="O46" t="s">
        <v>328</v>
      </c>
      <c r="P46" t="s">
        <v>538</v>
      </c>
    </row>
    <row r="47" spans="1:17">
      <c r="A47">
        <v>47</v>
      </c>
      <c r="B47" t="s">
        <v>710</v>
      </c>
      <c r="C47" t="s">
        <v>711</v>
      </c>
      <c r="D47" t="s">
        <v>186</v>
      </c>
      <c r="E47" t="s">
        <v>408</v>
      </c>
      <c r="F47" t="s">
        <v>370</v>
      </c>
      <c r="G47" t="s">
        <v>185</v>
      </c>
      <c r="H47" t="s">
        <v>164</v>
      </c>
      <c r="I47" t="s">
        <v>409</v>
      </c>
      <c r="J47" t="s">
        <v>410</v>
      </c>
      <c r="K47" t="s">
        <v>337</v>
      </c>
      <c r="L47" t="s">
        <v>372</v>
      </c>
      <c r="M47" t="s">
        <v>372</v>
      </c>
      <c r="N47" t="s">
        <v>337</v>
      </c>
      <c r="O47" t="s">
        <v>332</v>
      </c>
      <c r="P47" t="s">
        <v>539</v>
      </c>
    </row>
    <row r="48" spans="1:17">
      <c r="A48">
        <v>48</v>
      </c>
      <c r="B48" t="s">
        <v>198</v>
      </c>
      <c r="C48" t="s">
        <v>712</v>
      </c>
      <c r="D48" t="s">
        <v>126</v>
      </c>
      <c r="E48" t="s">
        <v>411</v>
      </c>
      <c r="F48" t="s">
        <v>127</v>
      </c>
      <c r="G48" t="s">
        <v>412</v>
      </c>
      <c r="H48" t="s">
        <v>125</v>
      </c>
      <c r="I48" t="s">
        <v>413</v>
      </c>
      <c r="J48" t="s">
        <v>205</v>
      </c>
      <c r="K48" t="s">
        <v>414</v>
      </c>
      <c r="L48" t="s">
        <v>415</v>
      </c>
      <c r="M48" t="s">
        <v>372</v>
      </c>
      <c r="N48" t="s">
        <v>372</v>
      </c>
      <c r="O48" t="s">
        <v>328</v>
      </c>
    </row>
    <row r="49" spans="1:23">
      <c r="A49">
        <v>49</v>
      </c>
      <c r="B49" t="s">
        <v>713</v>
      </c>
      <c r="C49" t="s">
        <v>198</v>
      </c>
      <c r="D49" t="s">
        <v>368</v>
      </c>
      <c r="E49" t="s">
        <v>369</v>
      </c>
      <c r="F49" t="s">
        <v>126</v>
      </c>
      <c r="G49" t="s">
        <v>127</v>
      </c>
      <c r="H49" t="s">
        <v>125</v>
      </c>
      <c r="I49" t="s">
        <v>205</v>
      </c>
      <c r="J49" t="s">
        <v>415</v>
      </c>
      <c r="K49" t="s">
        <v>371</v>
      </c>
      <c r="L49" t="s">
        <v>372</v>
      </c>
      <c r="M49" t="s">
        <v>372</v>
      </c>
      <c r="N49" t="s">
        <v>337</v>
      </c>
      <c r="O49" t="s">
        <v>332</v>
      </c>
      <c r="P49" t="s">
        <v>364</v>
      </c>
      <c r="Q49" t="s">
        <v>365</v>
      </c>
    </row>
    <row r="50" spans="1:23">
      <c r="A50">
        <v>50</v>
      </c>
      <c r="B50" t="s">
        <v>319</v>
      </c>
      <c r="C50" t="s">
        <v>309</v>
      </c>
      <c r="D50" t="s">
        <v>107</v>
      </c>
      <c r="E50" t="s">
        <v>107</v>
      </c>
      <c r="F50" t="s">
        <v>193</v>
      </c>
      <c r="G50" t="s">
        <v>557</v>
      </c>
      <c r="H50" t="s">
        <v>558</v>
      </c>
      <c r="I50" t="s">
        <v>339</v>
      </c>
      <c r="J50" t="s">
        <v>419</v>
      </c>
      <c r="K50" t="s">
        <v>420</v>
      </c>
    </row>
    <row r="51" spans="1:23">
      <c r="A51">
        <v>51</v>
      </c>
      <c r="B51" t="s">
        <v>301</v>
      </c>
      <c r="C51" t="s">
        <v>301</v>
      </c>
      <c r="D51" t="s">
        <v>107</v>
      </c>
      <c r="E51" t="s">
        <v>107</v>
      </c>
      <c r="F51" t="s">
        <v>557</v>
      </c>
      <c r="G51" t="s">
        <v>558</v>
      </c>
      <c r="H51" t="s">
        <v>375</v>
      </c>
      <c r="I51" t="s">
        <v>419</v>
      </c>
      <c r="J51" t="s">
        <v>420</v>
      </c>
      <c r="K51" t="s">
        <v>421</v>
      </c>
      <c r="L51" t="s">
        <v>371</v>
      </c>
      <c r="M51" t="s">
        <v>372</v>
      </c>
      <c r="N51" t="s">
        <v>372</v>
      </c>
      <c r="O51" t="s">
        <v>328</v>
      </c>
    </row>
    <row r="52" spans="1:23">
      <c r="A52">
        <v>52</v>
      </c>
      <c r="B52" t="s">
        <v>374</v>
      </c>
      <c r="C52" t="s">
        <v>107</v>
      </c>
      <c r="D52" t="s">
        <v>377</v>
      </c>
      <c r="E52" t="s">
        <v>107</v>
      </c>
      <c r="F52" t="s">
        <v>107</v>
      </c>
      <c r="G52" t="s">
        <v>193</v>
      </c>
      <c r="H52" t="s">
        <v>416</v>
      </c>
      <c r="I52" t="s">
        <v>372</v>
      </c>
      <c r="J52" t="s">
        <v>418</v>
      </c>
      <c r="K52" t="s">
        <v>558</v>
      </c>
      <c r="L52" t="s">
        <v>372</v>
      </c>
      <c r="M52" t="s">
        <v>419</v>
      </c>
      <c r="N52" t="s">
        <v>419</v>
      </c>
      <c r="O52" t="s">
        <v>420</v>
      </c>
    </row>
    <row r="53" spans="1:23">
      <c r="A53">
        <v>53</v>
      </c>
      <c r="B53" t="s">
        <v>301</v>
      </c>
      <c r="C53" t="s">
        <v>301</v>
      </c>
      <c r="D53" t="s">
        <v>107</v>
      </c>
      <c r="E53" t="s">
        <v>107</v>
      </c>
      <c r="F53" t="s">
        <v>107</v>
      </c>
      <c r="G53" t="s">
        <v>416</v>
      </c>
      <c r="H53" t="s">
        <v>375</v>
      </c>
      <c r="I53" t="s">
        <v>418</v>
      </c>
      <c r="J53" t="s">
        <v>558</v>
      </c>
      <c r="L53" t="s">
        <v>419</v>
      </c>
      <c r="M53" t="s">
        <v>419</v>
      </c>
      <c r="N53" t="s">
        <v>421</v>
      </c>
      <c r="O53" t="s">
        <v>420</v>
      </c>
    </row>
    <row r="54" spans="1:23">
      <c r="A54">
        <v>54</v>
      </c>
      <c r="B54" t="s">
        <v>195</v>
      </c>
      <c r="C54" t="s">
        <v>107</v>
      </c>
      <c r="D54" t="s">
        <v>107</v>
      </c>
      <c r="E54" t="s">
        <v>107</v>
      </c>
      <c r="F54" t="s">
        <v>322</v>
      </c>
      <c r="G54" t="s">
        <v>374</v>
      </c>
      <c r="H54" t="s">
        <v>375</v>
      </c>
      <c r="I54" t="s">
        <v>320</v>
      </c>
      <c r="J54" t="s">
        <v>376</v>
      </c>
    </row>
    <row r="55" spans="1:23">
      <c r="A55">
        <v>55</v>
      </c>
      <c r="B55" t="s">
        <v>107</v>
      </c>
      <c r="C55" t="s">
        <v>107</v>
      </c>
      <c r="D55" t="s">
        <v>107</v>
      </c>
      <c r="E55" t="s">
        <v>422</v>
      </c>
      <c r="F55" t="s">
        <v>322</v>
      </c>
      <c r="G55" t="s">
        <v>423</v>
      </c>
      <c r="H55" t="s">
        <v>424</v>
      </c>
      <c r="I55" t="s">
        <v>107</v>
      </c>
      <c r="J55" t="s">
        <v>380</v>
      </c>
    </row>
    <row r="56" spans="1:23">
      <c r="A56">
        <v>56</v>
      </c>
      <c r="B56" t="s">
        <v>714</v>
      </c>
      <c r="C56" t="s">
        <v>424</v>
      </c>
      <c r="D56" t="s">
        <v>425</v>
      </c>
      <c r="E56" t="s">
        <v>426</v>
      </c>
      <c r="F56" t="s">
        <v>322</v>
      </c>
      <c r="G56" t="s">
        <v>374</v>
      </c>
      <c r="H56" t="s">
        <v>375</v>
      </c>
      <c r="I56" t="s">
        <v>320</v>
      </c>
      <c r="J56" t="s">
        <v>379</v>
      </c>
    </row>
    <row r="57" spans="1:23">
      <c r="A57">
        <v>57</v>
      </c>
      <c r="B57" t="s">
        <v>107</v>
      </c>
      <c r="C57" t="s">
        <v>107</v>
      </c>
      <c r="D57" t="s">
        <v>107</v>
      </c>
      <c r="E57" t="s">
        <v>715</v>
      </c>
      <c r="F57" t="s">
        <v>322</v>
      </c>
      <c r="G57" t="s">
        <v>427</v>
      </c>
      <c r="H57" t="s">
        <v>424</v>
      </c>
      <c r="I57" t="s">
        <v>107</v>
      </c>
      <c r="J57" t="s">
        <v>381</v>
      </c>
    </row>
    <row r="58" spans="1:23">
      <c r="A58">
        <v>58</v>
      </c>
      <c r="B58" t="s">
        <v>716</v>
      </c>
      <c r="C58" t="s">
        <v>424</v>
      </c>
      <c r="D58" t="s">
        <v>425</v>
      </c>
      <c r="E58" t="s">
        <v>426</v>
      </c>
      <c r="F58" t="s">
        <v>322</v>
      </c>
      <c r="G58" t="s">
        <v>374</v>
      </c>
      <c r="H58" t="s">
        <v>375</v>
      </c>
      <c r="I58" t="s">
        <v>320</v>
      </c>
      <c r="J58" t="s">
        <v>380</v>
      </c>
    </row>
    <row r="59" spans="1:23">
      <c r="A59">
        <v>59</v>
      </c>
      <c r="B59" t="s">
        <v>107</v>
      </c>
      <c r="C59" t="s">
        <v>107</v>
      </c>
      <c r="D59" t="s">
        <v>107</v>
      </c>
      <c r="E59" t="s">
        <v>717</v>
      </c>
      <c r="F59" t="s">
        <v>322</v>
      </c>
      <c r="G59" t="s">
        <v>428</v>
      </c>
      <c r="H59" t="s">
        <v>424</v>
      </c>
      <c r="I59" t="s">
        <v>107</v>
      </c>
      <c r="J59" t="s">
        <v>382</v>
      </c>
    </row>
    <row r="60" spans="1:23">
      <c r="A60">
        <v>60</v>
      </c>
      <c r="B60" t="s">
        <v>718</v>
      </c>
      <c r="C60" t="s">
        <v>424</v>
      </c>
      <c r="D60" t="s">
        <v>425</v>
      </c>
      <c r="E60" t="s">
        <v>426</v>
      </c>
      <c r="F60" t="s">
        <v>322</v>
      </c>
      <c r="G60" t="s">
        <v>374</v>
      </c>
      <c r="H60" t="s">
        <v>375</v>
      </c>
      <c r="I60" t="s">
        <v>320</v>
      </c>
      <c r="J60" t="s">
        <v>381</v>
      </c>
    </row>
    <row r="61" spans="1:23">
      <c r="A61">
        <v>61</v>
      </c>
      <c r="B61" t="s">
        <v>107</v>
      </c>
      <c r="C61" t="s">
        <v>107</v>
      </c>
      <c r="D61" t="s">
        <v>107</v>
      </c>
      <c r="E61" t="s">
        <v>719</v>
      </c>
      <c r="F61" t="s">
        <v>324</v>
      </c>
      <c r="G61" t="s">
        <v>429</v>
      </c>
      <c r="H61" t="s">
        <v>424</v>
      </c>
      <c r="I61" t="s">
        <v>107</v>
      </c>
      <c r="J61" t="s">
        <v>385</v>
      </c>
      <c r="K61" t="s">
        <v>386</v>
      </c>
      <c r="L61" t="s">
        <v>310</v>
      </c>
      <c r="M61" t="s">
        <v>311</v>
      </c>
      <c r="N61" t="s">
        <v>312</v>
      </c>
      <c r="O61" t="s">
        <v>313</v>
      </c>
      <c r="P61" t="s">
        <v>314</v>
      </c>
      <c r="Q61" t="s">
        <v>315</v>
      </c>
      <c r="R61" t="s">
        <v>316</v>
      </c>
      <c r="S61" t="s">
        <v>317</v>
      </c>
      <c r="T61" t="s">
        <v>318</v>
      </c>
      <c r="U61" t="s">
        <v>321</v>
      </c>
      <c r="V61" t="s">
        <v>403</v>
      </c>
      <c r="W61" t="s">
        <v>404</v>
      </c>
    </row>
    <row r="62" spans="1:23">
      <c r="A62">
        <v>62</v>
      </c>
      <c r="B62" t="s">
        <v>720</v>
      </c>
      <c r="C62" t="s">
        <v>424</v>
      </c>
      <c r="D62" t="s">
        <v>425</v>
      </c>
      <c r="E62" t="s">
        <v>426</v>
      </c>
      <c r="F62" t="s">
        <v>320</v>
      </c>
      <c r="G62" t="s">
        <v>387</v>
      </c>
      <c r="H62" t="s">
        <v>388</v>
      </c>
      <c r="I62" t="s">
        <v>348</v>
      </c>
      <c r="J62" t="s">
        <v>389</v>
      </c>
      <c r="K62" t="s">
        <v>325</v>
      </c>
      <c r="L62" t="s">
        <v>374</v>
      </c>
      <c r="M62" t="s">
        <v>390</v>
      </c>
      <c r="N62" t="s">
        <v>355</v>
      </c>
      <c r="O62" t="s">
        <v>391</v>
      </c>
    </row>
    <row r="63" spans="1:23">
      <c r="A63">
        <v>63</v>
      </c>
      <c r="B63" t="s">
        <v>107</v>
      </c>
      <c r="C63" t="s">
        <v>107</v>
      </c>
      <c r="D63" t="s">
        <v>107</v>
      </c>
      <c r="E63" t="s">
        <v>430</v>
      </c>
      <c r="G63" t="s">
        <v>431</v>
      </c>
      <c r="H63" t="s">
        <v>424</v>
      </c>
      <c r="I63" t="s">
        <v>107</v>
      </c>
    </row>
    <row r="64" spans="1:23">
      <c r="A64">
        <v>64</v>
      </c>
      <c r="B64" t="s">
        <v>721</v>
      </c>
      <c r="C64" t="s">
        <v>424</v>
      </c>
      <c r="D64" t="s">
        <v>425</v>
      </c>
      <c r="E64" t="s">
        <v>426</v>
      </c>
      <c r="F64" t="s">
        <v>337</v>
      </c>
      <c r="G64" t="s">
        <v>338</v>
      </c>
      <c r="H64" t="s">
        <v>393</v>
      </c>
      <c r="I64" t="s">
        <v>394</v>
      </c>
      <c r="J64" t="s">
        <v>331</v>
      </c>
      <c r="K64" t="s">
        <v>390</v>
      </c>
      <c r="L64" t="s">
        <v>355</v>
      </c>
      <c r="M64" t="s">
        <v>333</v>
      </c>
    </row>
    <row r="65" spans="1:15">
      <c r="A65">
        <v>65</v>
      </c>
      <c r="B65" t="s">
        <v>107</v>
      </c>
      <c r="C65" t="s">
        <v>107</v>
      </c>
      <c r="D65" t="s">
        <v>107</v>
      </c>
      <c r="E65" t="s">
        <v>107</v>
      </c>
      <c r="F65" t="s">
        <v>116</v>
      </c>
      <c r="G65" t="s">
        <v>126</v>
      </c>
      <c r="H65" t="s">
        <v>127</v>
      </c>
      <c r="I65" t="s">
        <v>125</v>
      </c>
      <c r="J65" t="s">
        <v>205</v>
      </c>
      <c r="K65" t="s">
        <v>415</v>
      </c>
      <c r="L65" t="s">
        <v>355</v>
      </c>
      <c r="M65" t="s">
        <v>333</v>
      </c>
      <c r="N65" t="s">
        <v>355</v>
      </c>
      <c r="O65" t="s">
        <v>391</v>
      </c>
    </row>
    <row r="66" spans="1:15">
      <c r="A66">
        <v>66</v>
      </c>
      <c r="B66" t="s">
        <v>330</v>
      </c>
      <c r="C66" t="s">
        <v>107</v>
      </c>
      <c r="D66" t="s">
        <v>107</v>
      </c>
      <c r="E66" t="s">
        <v>107</v>
      </c>
      <c r="F66" t="s">
        <v>107</v>
      </c>
      <c r="G66" t="s">
        <v>126</v>
      </c>
      <c r="H66" t="s">
        <v>127</v>
      </c>
      <c r="I66" t="s">
        <v>125</v>
      </c>
      <c r="J66" t="s">
        <v>205</v>
      </c>
      <c r="K66" t="s">
        <v>415</v>
      </c>
      <c r="L66" t="s">
        <v>116</v>
      </c>
      <c r="M66" t="s">
        <v>107</v>
      </c>
      <c r="N66" t="s">
        <v>432</v>
      </c>
      <c r="O66" t="s">
        <v>433</v>
      </c>
    </row>
    <row r="67" spans="1:15">
      <c r="A67">
        <v>67</v>
      </c>
      <c r="B67" t="s">
        <v>196</v>
      </c>
      <c r="C67" t="s">
        <v>107</v>
      </c>
      <c r="D67" t="s">
        <v>107</v>
      </c>
      <c r="E67" t="s">
        <v>107</v>
      </c>
      <c r="F67" t="s">
        <v>396</v>
      </c>
      <c r="G67" t="s">
        <v>559</v>
      </c>
      <c r="H67" t="s">
        <v>393</v>
      </c>
      <c r="I67" t="s">
        <v>394</v>
      </c>
      <c r="J67" t="s">
        <v>331</v>
      </c>
      <c r="K67" t="s">
        <v>390</v>
      </c>
      <c r="L67" t="s">
        <v>355</v>
      </c>
      <c r="M67" t="s">
        <v>333</v>
      </c>
    </row>
    <row r="68" spans="1:15">
      <c r="A68">
        <v>68</v>
      </c>
      <c r="B68" t="s">
        <v>301</v>
      </c>
      <c r="C68" t="s">
        <v>107</v>
      </c>
      <c r="D68" t="s">
        <v>107</v>
      </c>
      <c r="E68" t="s">
        <v>117</v>
      </c>
      <c r="F68" t="s">
        <v>434</v>
      </c>
      <c r="G68" t="s">
        <v>107</v>
      </c>
      <c r="H68" t="s">
        <v>435</v>
      </c>
      <c r="I68" t="s">
        <v>722</v>
      </c>
      <c r="J68" t="s">
        <v>437</v>
      </c>
      <c r="K68" t="s">
        <v>107</v>
      </c>
      <c r="L68" t="s">
        <v>432</v>
      </c>
      <c r="M68" t="s">
        <v>433</v>
      </c>
    </row>
    <row r="69" spans="1:15">
      <c r="A69">
        <v>69</v>
      </c>
      <c r="B69" t="s">
        <v>301</v>
      </c>
      <c r="C69" t="s">
        <v>107</v>
      </c>
      <c r="D69" t="s">
        <v>107</v>
      </c>
      <c r="E69" t="s">
        <v>438</v>
      </c>
      <c r="F69" t="s">
        <v>434</v>
      </c>
      <c r="G69" t="s">
        <v>107</v>
      </c>
      <c r="H69" t="s">
        <v>435</v>
      </c>
      <c r="I69" t="s">
        <v>722</v>
      </c>
      <c r="J69" t="s">
        <v>437</v>
      </c>
      <c r="K69" t="s">
        <v>107</v>
      </c>
      <c r="L69" t="s">
        <v>432</v>
      </c>
      <c r="M69" t="s">
        <v>433</v>
      </c>
    </row>
    <row r="70" spans="1:15">
      <c r="A70">
        <v>70</v>
      </c>
      <c r="B70" t="s">
        <v>723</v>
      </c>
      <c r="C70" t="s">
        <v>107</v>
      </c>
      <c r="D70" t="s">
        <v>107</v>
      </c>
      <c r="E70" t="s">
        <v>396</v>
      </c>
      <c r="F70" t="s">
        <v>396</v>
      </c>
      <c r="G70" t="s">
        <v>395</v>
      </c>
    </row>
    <row r="71" spans="1:15">
      <c r="A71">
        <v>71</v>
      </c>
      <c r="B71" t="s">
        <v>107</v>
      </c>
      <c r="C71" t="s">
        <v>474</v>
      </c>
      <c r="D71" t="s">
        <v>107</v>
      </c>
      <c r="E71" t="s">
        <v>440</v>
      </c>
      <c r="F71" t="s">
        <v>249</v>
      </c>
      <c r="G71" t="s">
        <v>553</v>
      </c>
    </row>
    <row r="72" spans="1:15">
      <c r="A72">
        <v>72</v>
      </c>
      <c r="B72" t="s">
        <v>107</v>
      </c>
      <c r="C72" t="s">
        <v>474</v>
      </c>
      <c r="D72" t="s">
        <v>107</v>
      </c>
      <c r="E72" t="s">
        <v>440</v>
      </c>
      <c r="F72" t="s">
        <v>249</v>
      </c>
      <c r="G72" t="s">
        <v>553</v>
      </c>
    </row>
    <row r="73" spans="1:15">
      <c r="A73">
        <v>73</v>
      </c>
      <c r="B73" t="s">
        <v>107</v>
      </c>
      <c r="C73" t="s">
        <v>474</v>
      </c>
      <c r="D73" t="s">
        <v>107</v>
      </c>
      <c r="E73" t="s">
        <v>440</v>
      </c>
      <c r="F73" t="s">
        <v>249</v>
      </c>
      <c r="G73" t="s">
        <v>553</v>
      </c>
    </row>
    <row r="74" spans="1:15">
      <c r="A74">
        <v>74</v>
      </c>
      <c r="B74" t="s">
        <v>107</v>
      </c>
      <c r="C74" t="s">
        <v>474</v>
      </c>
      <c r="D74" t="s">
        <v>107</v>
      </c>
      <c r="E74" t="s">
        <v>440</v>
      </c>
      <c r="F74" t="s">
        <v>249</v>
      </c>
      <c r="G74" t="s">
        <v>553</v>
      </c>
    </row>
    <row r="75" spans="1:15">
      <c r="A75">
        <v>75</v>
      </c>
      <c r="B75" t="s">
        <v>107</v>
      </c>
      <c r="C75" t="s">
        <v>474</v>
      </c>
      <c r="D75" t="s">
        <v>107</v>
      </c>
      <c r="E75" t="s">
        <v>440</v>
      </c>
      <c r="F75" t="s">
        <v>249</v>
      </c>
      <c r="G75" t="s">
        <v>553</v>
      </c>
    </row>
    <row r="76" spans="1:15">
      <c r="A76">
        <v>76</v>
      </c>
      <c r="B76" t="s">
        <v>107</v>
      </c>
      <c r="C76" t="s">
        <v>474</v>
      </c>
      <c r="D76" t="s">
        <v>107</v>
      </c>
      <c r="E76" t="s">
        <v>440</v>
      </c>
      <c r="F76" t="s">
        <v>249</v>
      </c>
      <c r="G76" t="s">
        <v>553</v>
      </c>
    </row>
    <row r="77" spans="1:15">
      <c r="A77">
        <v>77</v>
      </c>
      <c r="B77" t="s">
        <v>107</v>
      </c>
      <c r="C77" t="s">
        <v>474</v>
      </c>
      <c r="D77" t="s">
        <v>107</v>
      </c>
      <c r="E77" t="s">
        <v>440</v>
      </c>
      <c r="F77" t="s">
        <v>249</v>
      </c>
      <c r="G77" t="s">
        <v>553</v>
      </c>
    </row>
    <row r="78" spans="1:15">
      <c r="A78">
        <v>78</v>
      </c>
      <c r="B78" t="s">
        <v>107</v>
      </c>
      <c r="C78" t="s">
        <v>474</v>
      </c>
      <c r="D78" t="s">
        <v>107</v>
      </c>
      <c r="E78" t="s">
        <v>440</v>
      </c>
      <c r="F78" t="s">
        <v>249</v>
      </c>
      <c r="G78" t="s">
        <v>553</v>
      </c>
    </row>
    <row r="79" spans="1:15">
      <c r="A79">
        <v>79</v>
      </c>
      <c r="B79" t="s">
        <v>107</v>
      </c>
      <c r="C79" t="s">
        <v>474</v>
      </c>
      <c r="D79" t="s">
        <v>107</v>
      </c>
      <c r="E79" t="s">
        <v>440</v>
      </c>
      <c r="F79" t="s">
        <v>249</v>
      </c>
      <c r="G79" t="s">
        <v>553</v>
      </c>
    </row>
    <row r="80" spans="1:15">
      <c r="A80">
        <v>80</v>
      </c>
      <c r="B80" t="s">
        <v>107</v>
      </c>
      <c r="C80" t="s">
        <v>474</v>
      </c>
      <c r="D80" t="s">
        <v>107</v>
      </c>
      <c r="E80" t="s">
        <v>440</v>
      </c>
      <c r="F80" t="s">
        <v>249</v>
      </c>
      <c r="G80" t="s">
        <v>553</v>
      </c>
    </row>
    <row r="81" spans="1:23">
      <c r="A81">
        <v>81</v>
      </c>
      <c r="B81" t="s">
        <v>107</v>
      </c>
      <c r="C81" t="s">
        <v>474</v>
      </c>
      <c r="D81" t="s">
        <v>107</v>
      </c>
      <c r="E81" t="s">
        <v>440</v>
      </c>
      <c r="F81" t="s">
        <v>249</v>
      </c>
      <c r="G81" t="s">
        <v>553</v>
      </c>
    </row>
    <row r="82" spans="1:23">
      <c r="A82">
        <v>82</v>
      </c>
      <c r="B82" t="s">
        <v>107</v>
      </c>
      <c r="C82" t="s">
        <v>474</v>
      </c>
      <c r="D82" t="s">
        <v>107</v>
      </c>
      <c r="E82" t="s">
        <v>440</v>
      </c>
      <c r="F82" t="s">
        <v>249</v>
      </c>
      <c r="G82" t="s">
        <v>553</v>
      </c>
    </row>
    <row r="83" spans="1:23">
      <c r="A83">
        <v>83</v>
      </c>
      <c r="B83" t="s">
        <v>407</v>
      </c>
      <c r="C83" t="s">
        <v>724</v>
      </c>
      <c r="D83" t="s">
        <v>306</v>
      </c>
      <c r="E83" t="s">
        <v>309</v>
      </c>
      <c r="F83" t="s">
        <v>396</v>
      </c>
      <c r="G83" t="s">
        <v>395</v>
      </c>
    </row>
    <row r="84" spans="1:23">
      <c r="A84">
        <v>84</v>
      </c>
      <c r="B84" t="s">
        <v>107</v>
      </c>
      <c r="C84" t="s">
        <v>725</v>
      </c>
      <c r="D84" t="s">
        <v>107</v>
      </c>
      <c r="E84" t="s">
        <v>440</v>
      </c>
      <c r="F84" t="s">
        <v>249</v>
      </c>
      <c r="G84" t="s">
        <v>553</v>
      </c>
    </row>
    <row r="85" spans="1:23">
      <c r="A85">
        <v>85</v>
      </c>
      <c r="B85" t="s">
        <v>407</v>
      </c>
      <c r="C85" t="s">
        <v>726</v>
      </c>
    </row>
    <row r="86" spans="1:23">
      <c r="A86">
        <v>86</v>
      </c>
      <c r="B86" t="s">
        <v>107</v>
      </c>
      <c r="C86" t="s">
        <v>727</v>
      </c>
      <c r="D86" t="s">
        <v>107</v>
      </c>
      <c r="E86" t="s">
        <v>440</v>
      </c>
      <c r="F86" t="s">
        <v>249</v>
      </c>
      <c r="G86" t="s">
        <v>164</v>
      </c>
    </row>
    <row r="87" spans="1:23">
      <c r="A87">
        <v>87</v>
      </c>
      <c r="B87" t="s">
        <v>728</v>
      </c>
      <c r="C87" t="s">
        <v>323</v>
      </c>
      <c r="D87" t="s">
        <v>306</v>
      </c>
      <c r="E87" t="s">
        <v>304</v>
      </c>
    </row>
    <row r="88" spans="1:23">
      <c r="A88">
        <v>88</v>
      </c>
      <c r="B88" t="s">
        <v>729</v>
      </c>
      <c r="C88" t="s">
        <v>730</v>
      </c>
      <c r="D88" t="s">
        <v>397</v>
      </c>
    </row>
    <row r="89" spans="1:23">
      <c r="A89">
        <v>89</v>
      </c>
      <c r="B89" t="s">
        <v>565</v>
      </c>
      <c r="C89" t="s">
        <v>336</v>
      </c>
      <c r="D89" t="s">
        <v>731</v>
      </c>
      <c r="E89" t="s">
        <v>327</v>
      </c>
    </row>
    <row r="90" spans="1:23">
      <c r="A90">
        <v>90</v>
      </c>
      <c r="B90" t="s">
        <v>107</v>
      </c>
      <c r="C90" t="s">
        <v>107</v>
      </c>
      <c r="D90" t="s">
        <v>623</v>
      </c>
      <c r="E90" t="s">
        <v>303</v>
      </c>
      <c r="F90" t="s">
        <v>732</v>
      </c>
      <c r="G90" t="s">
        <v>731</v>
      </c>
      <c r="H90" t="s">
        <v>733</v>
      </c>
      <c r="I90" t="s">
        <v>307</v>
      </c>
      <c r="J90" t="s">
        <v>308</v>
      </c>
      <c r="K90" t="s">
        <v>309</v>
      </c>
      <c r="L90" t="s">
        <v>310</v>
      </c>
      <c r="M90" t="s">
        <v>311</v>
      </c>
      <c r="N90" t="s">
        <v>312</v>
      </c>
      <c r="O90" t="s">
        <v>313</v>
      </c>
      <c r="P90" t="s">
        <v>314</v>
      </c>
      <c r="Q90" t="s">
        <v>315</v>
      </c>
      <c r="R90" t="s">
        <v>316</v>
      </c>
      <c r="S90" t="s">
        <v>317</v>
      </c>
      <c r="T90" t="s">
        <v>318</v>
      </c>
      <c r="U90" t="s">
        <v>321</v>
      </c>
      <c r="V90" t="s">
        <v>403</v>
      </c>
      <c r="W90" t="s">
        <v>404</v>
      </c>
    </row>
    <row r="91" spans="1:23">
      <c r="A91">
        <v>91</v>
      </c>
      <c r="B91" t="s">
        <v>734</v>
      </c>
      <c r="C91" t="s">
        <v>731</v>
      </c>
      <c r="D91" t="s">
        <v>735</v>
      </c>
    </row>
    <row r="92" spans="1:23">
      <c r="A92">
        <v>92</v>
      </c>
      <c r="B92" t="s">
        <v>637</v>
      </c>
      <c r="C92" t="s">
        <v>736</v>
      </c>
      <c r="D92" t="s">
        <v>107</v>
      </c>
      <c r="E92" t="s">
        <v>107</v>
      </c>
    </row>
    <row r="93" spans="1:23">
      <c r="A93">
        <v>93</v>
      </c>
      <c r="B93" t="s">
        <v>737</v>
      </c>
      <c r="C93" t="s">
        <v>738</v>
      </c>
      <c r="D93" t="s">
        <v>302</v>
      </c>
      <c r="E93" t="s">
        <v>303</v>
      </c>
      <c r="F93" t="s">
        <v>304</v>
      </c>
      <c r="G93" t="s">
        <v>305</v>
      </c>
      <c r="H93" t="s">
        <v>306</v>
      </c>
      <c r="I93" t="s">
        <v>307</v>
      </c>
      <c r="J93" t="s">
        <v>308</v>
      </c>
      <c r="K93" t="s">
        <v>309</v>
      </c>
      <c r="L93" t="s">
        <v>310</v>
      </c>
      <c r="M93" t="s">
        <v>311</v>
      </c>
      <c r="N93" t="s">
        <v>312</v>
      </c>
      <c r="O93" t="s">
        <v>313</v>
      </c>
      <c r="P93" t="s">
        <v>314</v>
      </c>
      <c r="Q93" t="s">
        <v>315</v>
      </c>
      <c r="R93" t="s">
        <v>316</v>
      </c>
      <c r="S93" t="s">
        <v>317</v>
      </c>
      <c r="T93" t="s">
        <v>318</v>
      </c>
      <c r="U93" t="s">
        <v>321</v>
      </c>
      <c r="V93" t="s">
        <v>403</v>
      </c>
      <c r="W93" t="s">
        <v>404</v>
      </c>
    </row>
    <row r="94" spans="1:23">
      <c r="A94">
        <v>94</v>
      </c>
      <c r="B94" t="s">
        <v>739</v>
      </c>
      <c r="C94" t="s">
        <v>740</v>
      </c>
    </row>
    <row r="95" spans="1:23">
      <c r="A95">
        <v>95</v>
      </c>
      <c r="B95" t="s">
        <v>741</v>
      </c>
    </row>
    <row r="96" spans="1:23">
      <c r="A96">
        <v>96</v>
      </c>
      <c r="B96" t="s">
        <v>742</v>
      </c>
      <c r="C96" t="s">
        <v>743</v>
      </c>
      <c r="D96" t="s">
        <v>107</v>
      </c>
      <c r="E96" t="s">
        <v>107</v>
      </c>
    </row>
    <row r="97" spans="1:20">
      <c r="A97">
        <v>97</v>
      </c>
      <c r="B97" t="s">
        <v>744</v>
      </c>
      <c r="D97" t="s">
        <v>554</v>
      </c>
    </row>
    <row r="98" spans="1:20">
      <c r="A98">
        <v>98</v>
      </c>
      <c r="B98" t="s">
        <v>745</v>
      </c>
      <c r="E98" t="s">
        <v>746</v>
      </c>
    </row>
    <row r="99" spans="1:20">
      <c r="A99">
        <v>99</v>
      </c>
      <c r="B99" t="s">
        <v>747</v>
      </c>
      <c r="C99" t="s">
        <v>107</v>
      </c>
      <c r="D99" t="s">
        <v>107</v>
      </c>
      <c r="E99" t="s">
        <v>107</v>
      </c>
      <c r="F99" t="s">
        <v>107</v>
      </c>
      <c r="G99" t="s">
        <v>107</v>
      </c>
      <c r="H99" t="s">
        <v>107</v>
      </c>
      <c r="I99" t="s">
        <v>107</v>
      </c>
      <c r="J99" t="s">
        <v>107</v>
      </c>
      <c r="K99" t="s">
        <v>107</v>
      </c>
      <c r="L99" t="s">
        <v>107</v>
      </c>
      <c r="M99" t="s">
        <v>107</v>
      </c>
      <c r="N99" t="s">
        <v>107</v>
      </c>
      <c r="O99" t="s">
        <v>107</v>
      </c>
      <c r="P99" t="s">
        <v>107</v>
      </c>
      <c r="Q99" t="s">
        <v>107</v>
      </c>
      <c r="R99" t="s">
        <v>107</v>
      </c>
      <c r="S99" t="s">
        <v>107</v>
      </c>
      <c r="T99" t="s">
        <v>107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"/>
  <sheetViews>
    <sheetView topLeftCell="A7" workbookViewId="0">
      <selection activeCell="G26" sqref="G26"/>
    </sheetView>
  </sheetViews>
  <sheetFormatPr baseColWidth="10" defaultColWidth="11.42578125" defaultRowHeight="12.75"/>
  <cols>
    <col min="1" max="16384" width="11.42578125" style="17"/>
  </cols>
  <sheetData/>
  <pageMargins left="0.75" right="0.75" top="1" bottom="1" header="0" footer="0"/>
  <pageSetup orientation="portrait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H55"/>
  <sheetViews>
    <sheetView topLeftCell="A31" workbookViewId="0">
      <selection activeCell="C42" sqref="C42"/>
    </sheetView>
  </sheetViews>
  <sheetFormatPr baseColWidth="10" defaultColWidth="11.42578125" defaultRowHeight="15"/>
  <cols>
    <col min="1" max="1" width="2.7109375" bestFit="1" customWidth="1"/>
    <col min="2" max="2" width="16.7109375" customWidth="1"/>
    <col min="3" max="3" width="20.7109375" customWidth="1"/>
    <col min="4" max="4" width="15" bestFit="1" customWidth="1"/>
  </cols>
  <sheetData>
    <row r="2" spans="1:4">
      <c r="A2" t="s">
        <v>237</v>
      </c>
      <c r="B2" t="s">
        <v>238</v>
      </c>
    </row>
    <row r="3" spans="1:4">
      <c r="B3" s="42" t="s">
        <v>295</v>
      </c>
    </row>
    <row r="4" spans="1:4">
      <c r="B4" s="42"/>
    </row>
    <row r="5" spans="1:4">
      <c r="A5" t="s">
        <v>239</v>
      </c>
      <c r="B5" t="s">
        <v>240</v>
      </c>
    </row>
    <row r="7" spans="1:4">
      <c r="B7" t="s">
        <v>241</v>
      </c>
    </row>
    <row r="8" spans="1:4">
      <c r="B8" s="128" t="s">
        <v>242</v>
      </c>
      <c r="C8" t="s">
        <v>233</v>
      </c>
      <c r="D8" s="42" t="s">
        <v>243</v>
      </c>
    </row>
    <row r="9" spans="1:4">
      <c r="B9" s="33"/>
      <c r="C9" t="s">
        <v>235</v>
      </c>
      <c r="D9" s="42" t="s">
        <v>243</v>
      </c>
    </row>
    <row r="10" spans="1:4">
      <c r="B10" s="33"/>
      <c r="C10" t="s">
        <v>236</v>
      </c>
      <c r="D10" s="42" t="s">
        <v>243</v>
      </c>
    </row>
    <row r="11" spans="1:4">
      <c r="B11" s="33"/>
    </row>
    <row r="12" spans="1:4">
      <c r="B12" s="128" t="s">
        <v>244</v>
      </c>
      <c r="C12" t="s">
        <v>245</v>
      </c>
      <c r="D12" s="42" t="s">
        <v>246</v>
      </c>
    </row>
    <row r="13" spans="1:4">
      <c r="B13" s="33"/>
      <c r="C13" t="s">
        <v>247</v>
      </c>
      <c r="D13" s="42" t="s">
        <v>246</v>
      </c>
    </row>
    <row r="14" spans="1:4">
      <c r="B14" s="33"/>
      <c r="C14" t="s">
        <v>248</v>
      </c>
      <c r="D14" s="42" t="s">
        <v>246</v>
      </c>
    </row>
    <row r="15" spans="1:4">
      <c r="B15" s="33"/>
    </row>
    <row r="16" spans="1:4">
      <c r="B16" s="128" t="s">
        <v>249</v>
      </c>
      <c r="C16" t="s">
        <v>250</v>
      </c>
    </row>
    <row r="17" spans="2:3">
      <c r="B17" s="33"/>
      <c r="C17" t="s">
        <v>251</v>
      </c>
    </row>
    <row r="18" spans="2:3">
      <c r="B18" s="33"/>
      <c r="C18" t="s">
        <v>252</v>
      </c>
    </row>
    <row r="19" spans="2:3">
      <c r="B19" s="33"/>
      <c r="C19" t="s">
        <v>253</v>
      </c>
    </row>
    <row r="20" spans="2:3">
      <c r="B20" s="33"/>
    </row>
    <row r="21" spans="2:3">
      <c r="B21" s="128" t="s">
        <v>254</v>
      </c>
      <c r="C21" t="s">
        <v>255</v>
      </c>
    </row>
    <row r="22" spans="2:3">
      <c r="B22" s="128" t="s">
        <v>138</v>
      </c>
      <c r="C22" t="s">
        <v>255</v>
      </c>
    </row>
    <row r="23" spans="2:3">
      <c r="B23" s="128" t="s">
        <v>256</v>
      </c>
      <c r="C23" t="s">
        <v>255</v>
      </c>
    </row>
    <row r="24" spans="2:3">
      <c r="B24" s="33"/>
    </row>
    <row r="25" spans="2:3">
      <c r="B25" s="128" t="s">
        <v>257</v>
      </c>
      <c r="C25" t="s">
        <v>258</v>
      </c>
    </row>
    <row r="26" spans="2:3">
      <c r="B26" s="33"/>
      <c r="C26" t="s">
        <v>259</v>
      </c>
    </row>
    <row r="27" spans="2:3">
      <c r="B27" s="33"/>
      <c r="C27" t="s">
        <v>260</v>
      </c>
    </row>
    <row r="28" spans="2:3">
      <c r="B28" s="33"/>
      <c r="C28" t="s">
        <v>261</v>
      </c>
    </row>
    <row r="29" spans="2:3">
      <c r="B29" s="33"/>
      <c r="C29" t="s">
        <v>262</v>
      </c>
    </row>
    <row r="30" spans="2:3">
      <c r="B30" s="33"/>
      <c r="C30" t="s">
        <v>263</v>
      </c>
    </row>
    <row r="31" spans="2:3">
      <c r="B31" s="33"/>
      <c r="C31" t="s">
        <v>264</v>
      </c>
    </row>
    <row r="32" spans="2:3">
      <c r="B32" s="33"/>
    </row>
    <row r="33" spans="2:8">
      <c r="B33" s="128" t="s">
        <v>265</v>
      </c>
      <c r="C33" t="s">
        <v>266</v>
      </c>
    </row>
    <row r="34" spans="2:8">
      <c r="B34" s="33"/>
    </row>
    <row r="35" spans="2:8">
      <c r="B35" s="128" t="s">
        <v>267</v>
      </c>
      <c r="C35" t="s">
        <v>268</v>
      </c>
    </row>
    <row r="36" spans="2:8">
      <c r="B36" s="33"/>
    </row>
    <row r="37" spans="2:8">
      <c r="B37" s="128" t="s">
        <v>269</v>
      </c>
      <c r="C37" t="s">
        <v>270</v>
      </c>
    </row>
    <row r="38" spans="2:8">
      <c r="B38" s="128" t="s">
        <v>271</v>
      </c>
      <c r="C38" t="s">
        <v>270</v>
      </c>
    </row>
    <row r="39" spans="2:8">
      <c r="B39" s="33"/>
    </row>
    <row r="40" spans="2:8">
      <c r="B40" s="128" t="s">
        <v>272</v>
      </c>
      <c r="C40" t="s">
        <v>273</v>
      </c>
    </row>
    <row r="41" spans="2:8">
      <c r="B41" s="33"/>
    </row>
    <row r="42" spans="2:8">
      <c r="B42" s="42" t="s">
        <v>274</v>
      </c>
      <c r="C42" t="s">
        <v>275</v>
      </c>
      <c r="D42" s="7"/>
      <c r="E42" t="s">
        <v>276</v>
      </c>
    </row>
    <row r="43" spans="2:8">
      <c r="C43" t="s">
        <v>277</v>
      </c>
      <c r="E43" s="23"/>
    </row>
    <row r="44" spans="2:8">
      <c r="C44" t="s">
        <v>278</v>
      </c>
    </row>
    <row r="45" spans="2:8">
      <c r="C45" t="s">
        <v>279</v>
      </c>
    </row>
    <row r="46" spans="2:8" ht="15" customHeight="1">
      <c r="B46" s="564">
        <v>44</v>
      </c>
      <c r="C46" s="567" t="s">
        <v>280</v>
      </c>
      <c r="D46" s="568" t="s">
        <v>171</v>
      </c>
      <c r="E46" s="571"/>
      <c r="F46" s="571">
        <v>5</v>
      </c>
      <c r="G46" s="571"/>
      <c r="H46" s="561" t="s">
        <v>281</v>
      </c>
    </row>
    <row r="47" spans="2:8">
      <c r="B47" s="565"/>
      <c r="C47" s="567"/>
      <c r="D47" s="569"/>
      <c r="E47" s="572"/>
      <c r="F47" s="572"/>
      <c r="G47" s="572"/>
      <c r="H47" s="562"/>
    </row>
    <row r="48" spans="2:8">
      <c r="B48" s="566"/>
      <c r="C48" s="567"/>
      <c r="D48" s="570"/>
      <c r="E48" s="573"/>
      <c r="F48" s="573"/>
      <c r="G48" s="573"/>
      <c r="H48" s="563"/>
    </row>
    <row r="51" spans="2:3">
      <c r="C51" s="43" t="s">
        <v>282</v>
      </c>
    </row>
    <row r="54" spans="2:3">
      <c r="B54" t="s">
        <v>283</v>
      </c>
    </row>
    <row r="55" spans="2:3">
      <c r="B55" s="42" t="s">
        <v>284</v>
      </c>
    </row>
  </sheetData>
  <mergeCells count="7">
    <mergeCell ref="H46:H48"/>
    <mergeCell ref="B46:B48"/>
    <mergeCell ref="C46:C48"/>
    <mergeCell ref="D46:D48"/>
    <mergeCell ref="E46:E48"/>
    <mergeCell ref="F46:F48"/>
    <mergeCell ref="G46:G48"/>
  </mergeCell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D5"/>
  <sheetViews>
    <sheetView workbookViewId="0">
      <selection activeCell="D12" sqref="D12"/>
    </sheetView>
  </sheetViews>
  <sheetFormatPr baseColWidth="10" defaultColWidth="11.42578125" defaultRowHeight="12.75"/>
  <cols>
    <col min="1" max="1" width="54.7109375" style="44" customWidth="1"/>
    <col min="2" max="2" width="8.85546875" style="44" bestFit="1" customWidth="1"/>
    <col min="3" max="3" width="11.42578125" style="45"/>
    <col min="4" max="4" width="45.140625" style="44" customWidth="1"/>
    <col min="5" max="256" width="11.42578125" style="44"/>
    <col min="257" max="257" width="51.28515625" style="44" bestFit="1" customWidth="1"/>
    <col min="258" max="512" width="11.42578125" style="44"/>
    <col min="513" max="513" width="51.28515625" style="44" bestFit="1" customWidth="1"/>
    <col min="514" max="768" width="11.42578125" style="44"/>
    <col min="769" max="769" width="51.28515625" style="44" bestFit="1" customWidth="1"/>
    <col min="770" max="1024" width="11.42578125" style="44"/>
    <col min="1025" max="1025" width="51.28515625" style="44" bestFit="1" customWidth="1"/>
    <col min="1026" max="1280" width="11.42578125" style="44"/>
    <col min="1281" max="1281" width="51.28515625" style="44" bestFit="1" customWidth="1"/>
    <col min="1282" max="1536" width="11.42578125" style="44"/>
    <col min="1537" max="1537" width="51.28515625" style="44" bestFit="1" customWidth="1"/>
    <col min="1538" max="1792" width="11.42578125" style="44"/>
    <col min="1793" max="1793" width="51.28515625" style="44" bestFit="1" customWidth="1"/>
    <col min="1794" max="2048" width="11.42578125" style="44"/>
    <col min="2049" max="2049" width="51.28515625" style="44" bestFit="1" customWidth="1"/>
    <col min="2050" max="2304" width="11.42578125" style="44"/>
    <col min="2305" max="2305" width="51.28515625" style="44" bestFit="1" customWidth="1"/>
    <col min="2306" max="2560" width="11.42578125" style="44"/>
    <col min="2561" max="2561" width="51.28515625" style="44" bestFit="1" customWidth="1"/>
    <col min="2562" max="2816" width="11.42578125" style="44"/>
    <col min="2817" max="2817" width="51.28515625" style="44" bestFit="1" customWidth="1"/>
    <col min="2818" max="3072" width="11.42578125" style="44"/>
    <col min="3073" max="3073" width="51.28515625" style="44" bestFit="1" customWidth="1"/>
    <col min="3074" max="3328" width="11.42578125" style="44"/>
    <col min="3329" max="3329" width="51.28515625" style="44" bestFit="1" customWidth="1"/>
    <col min="3330" max="3584" width="11.42578125" style="44"/>
    <col min="3585" max="3585" width="51.28515625" style="44" bestFit="1" customWidth="1"/>
    <col min="3586" max="3840" width="11.42578125" style="44"/>
    <col min="3841" max="3841" width="51.28515625" style="44" bestFit="1" customWidth="1"/>
    <col min="3842" max="4096" width="11.42578125" style="44"/>
    <col min="4097" max="4097" width="51.28515625" style="44" bestFit="1" customWidth="1"/>
    <col min="4098" max="4352" width="11.42578125" style="44"/>
    <col min="4353" max="4353" width="51.28515625" style="44" bestFit="1" customWidth="1"/>
    <col min="4354" max="4608" width="11.42578125" style="44"/>
    <col min="4609" max="4609" width="51.28515625" style="44" bestFit="1" customWidth="1"/>
    <col min="4610" max="4864" width="11.42578125" style="44"/>
    <col min="4865" max="4865" width="51.28515625" style="44" bestFit="1" customWidth="1"/>
    <col min="4866" max="5120" width="11.42578125" style="44"/>
    <col min="5121" max="5121" width="51.28515625" style="44" bestFit="1" customWidth="1"/>
    <col min="5122" max="5376" width="11.42578125" style="44"/>
    <col min="5377" max="5377" width="51.28515625" style="44" bestFit="1" customWidth="1"/>
    <col min="5378" max="5632" width="11.42578125" style="44"/>
    <col min="5633" max="5633" width="51.28515625" style="44" bestFit="1" customWidth="1"/>
    <col min="5634" max="5888" width="11.42578125" style="44"/>
    <col min="5889" max="5889" width="51.28515625" style="44" bestFit="1" customWidth="1"/>
    <col min="5890" max="6144" width="11.42578125" style="44"/>
    <col min="6145" max="6145" width="51.28515625" style="44" bestFit="1" customWidth="1"/>
    <col min="6146" max="6400" width="11.42578125" style="44"/>
    <col min="6401" max="6401" width="51.28515625" style="44" bestFit="1" customWidth="1"/>
    <col min="6402" max="6656" width="11.42578125" style="44"/>
    <col min="6657" max="6657" width="51.28515625" style="44" bestFit="1" customWidth="1"/>
    <col min="6658" max="6912" width="11.42578125" style="44"/>
    <col min="6913" max="6913" width="51.28515625" style="44" bestFit="1" customWidth="1"/>
    <col min="6914" max="7168" width="11.42578125" style="44"/>
    <col min="7169" max="7169" width="51.28515625" style="44" bestFit="1" customWidth="1"/>
    <col min="7170" max="7424" width="11.42578125" style="44"/>
    <col min="7425" max="7425" width="51.28515625" style="44" bestFit="1" customWidth="1"/>
    <col min="7426" max="7680" width="11.42578125" style="44"/>
    <col min="7681" max="7681" width="51.28515625" style="44" bestFit="1" customWidth="1"/>
    <col min="7682" max="7936" width="11.42578125" style="44"/>
    <col min="7937" max="7937" width="51.28515625" style="44" bestFit="1" customWidth="1"/>
    <col min="7938" max="8192" width="11.42578125" style="44"/>
    <col min="8193" max="8193" width="51.28515625" style="44" bestFit="1" customWidth="1"/>
    <col min="8194" max="8448" width="11.42578125" style="44"/>
    <col min="8449" max="8449" width="51.28515625" style="44" bestFit="1" customWidth="1"/>
    <col min="8450" max="8704" width="11.42578125" style="44"/>
    <col min="8705" max="8705" width="51.28515625" style="44" bestFit="1" customWidth="1"/>
    <col min="8706" max="8960" width="11.42578125" style="44"/>
    <col min="8961" max="8961" width="51.28515625" style="44" bestFit="1" customWidth="1"/>
    <col min="8962" max="9216" width="11.42578125" style="44"/>
    <col min="9217" max="9217" width="51.28515625" style="44" bestFit="1" customWidth="1"/>
    <col min="9218" max="9472" width="11.42578125" style="44"/>
    <col min="9473" max="9473" width="51.28515625" style="44" bestFit="1" customWidth="1"/>
    <col min="9474" max="9728" width="11.42578125" style="44"/>
    <col min="9729" max="9729" width="51.28515625" style="44" bestFit="1" customWidth="1"/>
    <col min="9730" max="9984" width="11.42578125" style="44"/>
    <col min="9985" max="9985" width="51.28515625" style="44" bestFit="1" customWidth="1"/>
    <col min="9986" max="10240" width="11.42578125" style="44"/>
    <col min="10241" max="10241" width="51.28515625" style="44" bestFit="1" customWidth="1"/>
    <col min="10242" max="10496" width="11.42578125" style="44"/>
    <col min="10497" max="10497" width="51.28515625" style="44" bestFit="1" customWidth="1"/>
    <col min="10498" max="10752" width="11.42578125" style="44"/>
    <col min="10753" max="10753" width="51.28515625" style="44" bestFit="1" customWidth="1"/>
    <col min="10754" max="11008" width="11.42578125" style="44"/>
    <col min="11009" max="11009" width="51.28515625" style="44" bestFit="1" customWidth="1"/>
    <col min="11010" max="11264" width="11.42578125" style="44"/>
    <col min="11265" max="11265" width="51.28515625" style="44" bestFit="1" customWidth="1"/>
    <col min="11266" max="11520" width="11.42578125" style="44"/>
    <col min="11521" max="11521" width="51.28515625" style="44" bestFit="1" customWidth="1"/>
    <col min="11522" max="11776" width="11.42578125" style="44"/>
    <col min="11777" max="11777" width="51.28515625" style="44" bestFit="1" customWidth="1"/>
    <col min="11778" max="12032" width="11.42578125" style="44"/>
    <col min="12033" max="12033" width="51.28515625" style="44" bestFit="1" customWidth="1"/>
    <col min="12034" max="12288" width="11.42578125" style="44"/>
    <col min="12289" max="12289" width="51.28515625" style="44" bestFit="1" customWidth="1"/>
    <col min="12290" max="12544" width="11.42578125" style="44"/>
    <col min="12545" max="12545" width="51.28515625" style="44" bestFit="1" customWidth="1"/>
    <col min="12546" max="12800" width="11.42578125" style="44"/>
    <col min="12801" max="12801" width="51.28515625" style="44" bestFit="1" customWidth="1"/>
    <col min="12802" max="13056" width="11.42578125" style="44"/>
    <col min="13057" max="13057" width="51.28515625" style="44" bestFit="1" customWidth="1"/>
    <col min="13058" max="13312" width="11.42578125" style="44"/>
    <col min="13313" max="13313" width="51.28515625" style="44" bestFit="1" customWidth="1"/>
    <col min="13314" max="13568" width="11.42578125" style="44"/>
    <col min="13569" max="13569" width="51.28515625" style="44" bestFit="1" customWidth="1"/>
    <col min="13570" max="13824" width="11.42578125" style="44"/>
    <col min="13825" max="13825" width="51.28515625" style="44" bestFit="1" customWidth="1"/>
    <col min="13826" max="14080" width="11.42578125" style="44"/>
    <col min="14081" max="14081" width="51.28515625" style="44" bestFit="1" customWidth="1"/>
    <col min="14082" max="14336" width="11.42578125" style="44"/>
    <col min="14337" max="14337" width="51.28515625" style="44" bestFit="1" customWidth="1"/>
    <col min="14338" max="14592" width="11.42578125" style="44"/>
    <col min="14593" max="14593" width="51.28515625" style="44" bestFit="1" customWidth="1"/>
    <col min="14594" max="14848" width="11.42578125" style="44"/>
    <col min="14849" max="14849" width="51.28515625" style="44" bestFit="1" customWidth="1"/>
    <col min="14850" max="15104" width="11.42578125" style="44"/>
    <col min="15105" max="15105" width="51.28515625" style="44" bestFit="1" customWidth="1"/>
    <col min="15106" max="15360" width="11.42578125" style="44"/>
    <col min="15361" max="15361" width="51.28515625" style="44" bestFit="1" customWidth="1"/>
    <col min="15362" max="15616" width="11.42578125" style="44"/>
    <col min="15617" max="15617" width="51.28515625" style="44" bestFit="1" customWidth="1"/>
    <col min="15618" max="15872" width="11.42578125" style="44"/>
    <col min="15873" max="15873" width="51.28515625" style="44" bestFit="1" customWidth="1"/>
    <col min="15874" max="16128" width="11.42578125" style="44"/>
    <col min="16129" max="16129" width="51.28515625" style="44" bestFit="1" customWidth="1"/>
    <col min="16130" max="16384" width="11.42578125" style="44"/>
  </cols>
  <sheetData>
    <row r="1" spans="1:4">
      <c r="A1" s="44" t="s">
        <v>788</v>
      </c>
      <c r="B1" s="44" t="s">
        <v>535</v>
      </c>
      <c r="C1" s="45">
        <v>29</v>
      </c>
      <c r="D1" s="44" t="s">
        <v>789</v>
      </c>
    </row>
    <row r="2" spans="1:4">
      <c r="A2" s="44" t="s">
        <v>788</v>
      </c>
      <c r="B2" s="44" t="s">
        <v>536</v>
      </c>
      <c r="C2" s="45">
        <v>24</v>
      </c>
      <c r="D2" s="44" t="s">
        <v>790</v>
      </c>
    </row>
    <row r="3" spans="1:4">
      <c r="A3" s="44" t="s">
        <v>788</v>
      </c>
      <c r="B3" s="44" t="s">
        <v>537</v>
      </c>
      <c r="C3" s="45">
        <v>23</v>
      </c>
      <c r="D3" s="44" t="s">
        <v>791</v>
      </c>
    </row>
    <row r="4" spans="1:4">
      <c r="A4" s="44" t="s">
        <v>792</v>
      </c>
      <c r="B4" s="44" t="s">
        <v>296</v>
      </c>
      <c r="C4" s="45">
        <v>28</v>
      </c>
      <c r="D4" s="44" t="s">
        <v>793</v>
      </c>
    </row>
    <row r="5" spans="1:4">
      <c r="A5" s="44" t="s">
        <v>788</v>
      </c>
      <c r="B5" s="44" t="s">
        <v>296</v>
      </c>
      <c r="C5" s="45">
        <v>30</v>
      </c>
      <c r="D5" s="44" t="s">
        <v>793</v>
      </c>
    </row>
  </sheetData>
  <pageMargins left="0.75" right="0.75" top="1" bottom="1" header="0" footer="0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F23"/>
  <sheetViews>
    <sheetView workbookViewId="0">
      <selection activeCell="B6" sqref="B6"/>
    </sheetView>
  </sheetViews>
  <sheetFormatPr baseColWidth="10" defaultRowHeight="15"/>
  <cols>
    <col min="3" max="3" width="3.7109375" customWidth="1"/>
    <col min="4" max="4" width="133.5703125" customWidth="1"/>
    <col min="5" max="6" width="9.7109375" customWidth="1"/>
  </cols>
  <sheetData>
    <row r="3" spans="3:6" ht="32.1" customHeight="1" thickBot="1">
      <c r="C3" s="389" t="s">
        <v>68</v>
      </c>
      <c r="D3" s="390" t="s">
        <v>69</v>
      </c>
      <c r="E3" s="390">
        <v>2015</v>
      </c>
      <c r="F3" s="391" t="s">
        <v>796</v>
      </c>
    </row>
    <row r="4" spans="3:6" ht="32.1" customHeight="1">
      <c r="C4" s="392">
        <v>59</v>
      </c>
      <c r="D4" s="393" t="s">
        <v>797</v>
      </c>
      <c r="E4" s="394">
        <v>73.760000000000005</v>
      </c>
      <c r="F4" s="395" t="s">
        <v>566</v>
      </c>
    </row>
    <row r="5" spans="3:6" ht="32.1" customHeight="1">
      <c r="C5" s="392">
        <v>60</v>
      </c>
      <c r="D5" s="393" t="s">
        <v>798</v>
      </c>
      <c r="E5" s="394">
        <v>80.94</v>
      </c>
      <c r="F5" s="396" t="s">
        <v>566</v>
      </c>
    </row>
    <row r="6" spans="3:6" ht="32.1" customHeight="1">
      <c r="C6" s="392">
        <v>61</v>
      </c>
      <c r="D6" s="393" t="s">
        <v>799</v>
      </c>
      <c r="E6" s="394">
        <v>72.22</v>
      </c>
      <c r="F6" s="396" t="s">
        <v>566</v>
      </c>
    </row>
    <row r="7" spans="3:6" ht="32.1" customHeight="1">
      <c r="C7" s="392">
        <v>62</v>
      </c>
      <c r="D7" s="393" t="s">
        <v>800</v>
      </c>
      <c r="E7" s="394">
        <v>83.47</v>
      </c>
      <c r="F7" s="396" t="s">
        <v>566</v>
      </c>
    </row>
    <row r="8" spans="3:6" ht="32.1" customHeight="1">
      <c r="C8" s="392">
        <v>63</v>
      </c>
      <c r="D8" s="393" t="s">
        <v>801</v>
      </c>
      <c r="E8" s="397">
        <v>86.35</v>
      </c>
      <c r="F8" s="398" t="s">
        <v>566</v>
      </c>
    </row>
    <row r="9" spans="3:6" ht="32.1" customHeight="1">
      <c r="C9" s="392">
        <v>64</v>
      </c>
      <c r="D9" s="393" t="s">
        <v>802</v>
      </c>
      <c r="E9" s="394">
        <v>73.83</v>
      </c>
      <c r="F9" s="396" t="s">
        <v>566</v>
      </c>
    </row>
    <row r="10" spans="3:6" ht="32.1" customHeight="1">
      <c r="C10" s="392">
        <v>65</v>
      </c>
      <c r="D10" s="393" t="s">
        <v>803</v>
      </c>
      <c r="E10" s="394">
        <v>75</v>
      </c>
      <c r="F10" s="396" t="s">
        <v>566</v>
      </c>
    </row>
    <row r="11" spans="3:6" ht="32.1" customHeight="1">
      <c r="C11" s="392">
        <v>66</v>
      </c>
      <c r="D11" s="393" t="s">
        <v>804</v>
      </c>
      <c r="E11" s="394" t="s">
        <v>805</v>
      </c>
      <c r="F11" s="398" t="s">
        <v>566</v>
      </c>
    </row>
    <row r="12" spans="3:6" ht="32.1" customHeight="1">
      <c r="C12" s="392">
        <v>67</v>
      </c>
      <c r="D12" s="393" t="s">
        <v>806</v>
      </c>
      <c r="E12" s="394">
        <v>84.53</v>
      </c>
      <c r="F12" s="396" t="s">
        <v>566</v>
      </c>
    </row>
    <row r="13" spans="3:6" ht="32.1" customHeight="1">
      <c r="C13" s="392">
        <v>68</v>
      </c>
      <c r="D13" s="393" t="s">
        <v>807</v>
      </c>
      <c r="E13" s="394">
        <v>75.209999999999994</v>
      </c>
      <c r="F13" s="398" t="s">
        <v>566</v>
      </c>
    </row>
    <row r="14" spans="3:6" ht="32.1" customHeight="1">
      <c r="C14" s="392">
        <v>69</v>
      </c>
      <c r="D14" s="393" t="s">
        <v>808</v>
      </c>
      <c r="E14" s="394">
        <v>67.040000000000006</v>
      </c>
      <c r="F14" s="396" t="s">
        <v>566</v>
      </c>
    </row>
    <row r="15" spans="3:6" ht="32.1" customHeight="1">
      <c r="C15" s="392">
        <v>70</v>
      </c>
      <c r="D15" s="393" t="s">
        <v>809</v>
      </c>
      <c r="E15" s="394">
        <v>70</v>
      </c>
      <c r="F15" s="396" t="s">
        <v>566</v>
      </c>
    </row>
    <row r="16" spans="3:6" ht="32.1" customHeight="1">
      <c r="C16" s="392">
        <v>71</v>
      </c>
      <c r="D16" s="393" t="s">
        <v>810</v>
      </c>
      <c r="E16" s="394">
        <v>75</v>
      </c>
      <c r="F16" s="396" t="s">
        <v>566</v>
      </c>
    </row>
    <row r="17" spans="3:6" ht="32.1" customHeight="1">
      <c r="C17" s="392">
        <v>72</v>
      </c>
      <c r="D17" s="393" t="s">
        <v>811</v>
      </c>
      <c r="E17" s="394">
        <v>75.069999999999993</v>
      </c>
      <c r="F17" s="396" t="s">
        <v>566</v>
      </c>
    </row>
    <row r="18" spans="3:6" ht="32.1" customHeight="1">
      <c r="C18" s="399">
        <v>73</v>
      </c>
      <c r="D18" s="400" t="s">
        <v>812</v>
      </c>
      <c r="E18" s="401">
        <v>78.92</v>
      </c>
      <c r="F18" s="402" t="s">
        <v>566</v>
      </c>
    </row>
    <row r="19" spans="3:6" ht="32.1" customHeight="1"/>
    <row r="20" spans="3:6" ht="32.1" customHeight="1"/>
    <row r="21" spans="3:6" ht="32.25" customHeight="1"/>
    <row r="22" spans="3:6" ht="32.25" customHeight="1"/>
    <row r="23" spans="3:6" ht="32.25" customHeight="1"/>
  </sheetData>
  <conditionalFormatting sqref="E4:E10">
    <cfRule type="expression" dxfId="9" priority="6">
      <formula>E4=""</formula>
    </cfRule>
    <cfRule type="expression" dxfId="8" priority="8">
      <formula>E4&lt;60.5</formula>
    </cfRule>
    <cfRule type="expression" dxfId="7" priority="9">
      <formula>E4&lt;85.5</formula>
    </cfRule>
    <cfRule type="expression" dxfId="6" priority="10">
      <formula>E4&gt;84.5</formula>
    </cfRule>
  </conditionalFormatting>
  <conditionalFormatting sqref="E4:E10">
    <cfRule type="expression" dxfId="5" priority="7">
      <formula>E4&lt;44.5</formula>
    </cfRule>
  </conditionalFormatting>
  <conditionalFormatting sqref="F4:F10">
    <cfRule type="expression" dxfId="4" priority="1">
      <formula>F4=""</formula>
    </cfRule>
    <cfRule type="expression" dxfId="3" priority="3">
      <formula>F4&lt;60.5</formula>
    </cfRule>
    <cfRule type="expression" dxfId="2" priority="4">
      <formula>F4&lt;85.5</formula>
    </cfRule>
    <cfRule type="expression" dxfId="1" priority="5">
      <formula>F4&gt;84.5</formula>
    </cfRule>
  </conditionalFormatting>
  <conditionalFormatting sqref="F4:F10">
    <cfRule type="expression" dxfId="0" priority="2">
      <formula>F4&lt;44.5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8:Q16"/>
  <sheetViews>
    <sheetView showGridLines="0" workbookViewId="0">
      <selection activeCell="H17" sqref="A1:H17"/>
    </sheetView>
  </sheetViews>
  <sheetFormatPr baseColWidth="10" defaultRowHeight="15"/>
  <cols>
    <col min="2" max="2" width="7.28515625" customWidth="1"/>
    <col min="3" max="3" width="9" customWidth="1"/>
    <col min="4" max="4" width="17.42578125" customWidth="1"/>
    <col min="5" max="5" width="16" customWidth="1"/>
    <col min="6" max="6" width="15.5703125" customWidth="1"/>
    <col min="7" max="7" width="15.140625" customWidth="1"/>
  </cols>
  <sheetData>
    <row r="8" spans="3:17">
      <c r="M8" s="501" t="s">
        <v>555</v>
      </c>
      <c r="N8" s="503"/>
      <c r="O8" s="503"/>
      <c r="P8" s="503"/>
      <c r="Q8" s="502"/>
    </row>
    <row r="9" spans="3:17" ht="61.5">
      <c r="M9" s="320" t="s">
        <v>192</v>
      </c>
      <c r="N9" s="320" t="s">
        <v>189</v>
      </c>
      <c r="O9" s="320" t="s">
        <v>190</v>
      </c>
      <c r="P9" s="320" t="s">
        <v>0</v>
      </c>
      <c r="Q9" s="320" t="s">
        <v>1</v>
      </c>
    </row>
    <row r="10" spans="3:17">
      <c r="M10" s="323">
        <v>138</v>
      </c>
      <c r="N10" s="323">
        <v>43</v>
      </c>
      <c r="O10" s="323">
        <v>10</v>
      </c>
      <c r="P10" s="323">
        <v>266</v>
      </c>
      <c r="Q10" s="323">
        <v>56</v>
      </c>
    </row>
    <row r="12" spans="3:17">
      <c r="M12">
        <f>SUM(M10:Q10)</f>
        <v>513</v>
      </c>
    </row>
    <row r="16" spans="3:17">
      <c r="C16" s="492">
        <f>M10/$M$12</f>
        <v>0.26900584795321636</v>
      </c>
      <c r="D16" s="492">
        <f>N10/$M$12</f>
        <v>8.3820662768031184E-2</v>
      </c>
      <c r="E16" s="492">
        <f>O10/$M$12</f>
        <v>1.9493177387914229E-2</v>
      </c>
      <c r="F16" s="492">
        <f>P10/$M$12</f>
        <v>0.51851851851851849</v>
      </c>
      <c r="G16" s="492">
        <f>Q10/$M$12</f>
        <v>0.10916179337231968</v>
      </c>
    </row>
  </sheetData>
  <mergeCells count="1">
    <mergeCell ref="M8:Q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88</vt:i4>
      </vt:variant>
    </vt:vector>
  </HeadingPairs>
  <TitlesOfParts>
    <vt:vector size="109" baseType="lpstr">
      <vt:lpstr>radar1</vt:lpstr>
      <vt:lpstr>TI COPIA</vt:lpstr>
      <vt:lpstr>Ficha técnica</vt:lpstr>
      <vt:lpstr>DetalleDimension</vt:lpstr>
      <vt:lpstr>Dimensiones</vt:lpstr>
      <vt:lpstr>Confianza</vt:lpstr>
      <vt:lpstr>Sintesis</vt:lpstr>
      <vt:lpstr>Evolucion Sintesis</vt:lpstr>
      <vt:lpstr>Tabla</vt:lpstr>
      <vt:lpstr>Demo</vt:lpstr>
      <vt:lpstr>Motivo</vt:lpstr>
      <vt:lpstr>INVESTIGACION</vt:lpstr>
      <vt:lpstr>Indice</vt:lpstr>
      <vt:lpstr>Indice3</vt:lpstr>
      <vt:lpstr>Hoja1</vt:lpstr>
      <vt:lpstr>Indice2</vt:lpstr>
      <vt:lpstr>Radar</vt:lpstr>
      <vt:lpstr>Instrucciones USO</vt:lpstr>
      <vt:lpstr>Hoja2</vt:lpstr>
      <vt:lpstr>Adicionales</vt:lpstr>
      <vt:lpstr>Hoja3</vt:lpstr>
      <vt:lpstr>Demo!Borrar1</vt:lpstr>
      <vt:lpstr>Camaraderia</vt:lpstr>
      <vt:lpstr>Camaraderia2</vt:lpstr>
      <vt:lpstr>CHIST</vt:lpstr>
      <vt:lpstr>conneg</vt:lpstr>
      <vt:lpstr>ConNEG1</vt:lpstr>
      <vt:lpstr>conpos</vt:lpstr>
      <vt:lpstr>ConPOS1</vt:lpstr>
      <vt:lpstr>Credibilidad</vt:lpstr>
      <vt:lpstr>Credibilidad2</vt:lpstr>
      <vt:lpstr>demo1</vt:lpstr>
      <vt:lpstr>demo10</vt:lpstr>
      <vt:lpstr>demo11</vt:lpstr>
      <vt:lpstr>demo12</vt:lpstr>
      <vt:lpstr>demo13</vt:lpstr>
      <vt:lpstr>demo14</vt:lpstr>
      <vt:lpstr>demo15</vt:lpstr>
      <vt:lpstr>demo16</vt:lpstr>
      <vt:lpstr>demo17</vt:lpstr>
      <vt:lpstr>demo18</vt:lpstr>
      <vt:lpstr>demo19</vt:lpstr>
      <vt:lpstr>demo2</vt:lpstr>
      <vt:lpstr>demo20</vt:lpstr>
      <vt:lpstr>demo21</vt:lpstr>
      <vt:lpstr>demo22</vt:lpstr>
      <vt:lpstr>demo23</vt:lpstr>
      <vt:lpstr>demo24</vt:lpstr>
      <vt:lpstr>demo25</vt:lpstr>
      <vt:lpstr>demo26</vt:lpstr>
      <vt:lpstr>demo27</vt:lpstr>
      <vt:lpstr>demo28</vt:lpstr>
      <vt:lpstr>demo29</vt:lpstr>
      <vt:lpstr>demo3</vt:lpstr>
      <vt:lpstr>demo30</vt:lpstr>
      <vt:lpstr>demo4</vt:lpstr>
      <vt:lpstr>demo5</vt:lpstr>
      <vt:lpstr>demo6</vt:lpstr>
      <vt:lpstr>demo7</vt:lpstr>
      <vt:lpstr>demo8</vt:lpstr>
      <vt:lpstr>demo9</vt:lpstr>
      <vt:lpstr>DemoG1</vt:lpstr>
      <vt:lpstr>DemoG10</vt:lpstr>
      <vt:lpstr>DemoG11</vt:lpstr>
      <vt:lpstr>DemoG12</vt:lpstr>
      <vt:lpstr>DemoG13</vt:lpstr>
      <vt:lpstr>DemoG14</vt:lpstr>
      <vt:lpstr>DemoG15</vt:lpstr>
      <vt:lpstr>DemoG16</vt:lpstr>
      <vt:lpstr>DemoG17</vt:lpstr>
      <vt:lpstr>DemoG18</vt:lpstr>
      <vt:lpstr>DemoG19</vt:lpstr>
      <vt:lpstr>DemoG2</vt:lpstr>
      <vt:lpstr>DemoG20</vt:lpstr>
      <vt:lpstr>DemoG21</vt:lpstr>
      <vt:lpstr>DemoG22</vt:lpstr>
      <vt:lpstr>DemoG23</vt:lpstr>
      <vt:lpstr>DemoG24</vt:lpstr>
      <vt:lpstr>DemoG25</vt:lpstr>
      <vt:lpstr>DemoG26</vt:lpstr>
      <vt:lpstr>DemoG27</vt:lpstr>
      <vt:lpstr>DemoG28</vt:lpstr>
      <vt:lpstr>DemoG29</vt:lpstr>
      <vt:lpstr>DemoG3</vt:lpstr>
      <vt:lpstr>DemoG30</vt:lpstr>
      <vt:lpstr>DemoG4</vt:lpstr>
      <vt:lpstr>DemoG5</vt:lpstr>
      <vt:lpstr>DemoG6</vt:lpstr>
      <vt:lpstr>DemoG7</vt:lpstr>
      <vt:lpstr>DemoG8</vt:lpstr>
      <vt:lpstr>DemoG9</vt:lpstr>
      <vt:lpstr>dimensiones_evol</vt:lpstr>
      <vt:lpstr>dimensiones_ult</vt:lpstr>
      <vt:lpstr>ficha</vt:lpstr>
      <vt:lpstr>gráfico</vt:lpstr>
      <vt:lpstr>grafico2</vt:lpstr>
      <vt:lpstr>Imparcialidad</vt:lpstr>
      <vt:lpstr>Imparcialidad2</vt:lpstr>
      <vt:lpstr>indicadores_globales_evol</vt:lpstr>
      <vt:lpstr>indicadorglobal</vt:lpstr>
      <vt:lpstr>INVESTIGACION</vt:lpstr>
      <vt:lpstr>INVESTIGACION!motivo</vt:lpstr>
      <vt:lpstr>motivo</vt:lpstr>
      <vt:lpstr>Orgullo</vt:lpstr>
      <vt:lpstr>Orgullo2</vt:lpstr>
      <vt:lpstr>radar</vt:lpstr>
      <vt:lpstr>Respeto</vt:lpstr>
      <vt:lpstr>Respeto2</vt:lpstr>
      <vt:lpstr>SHIST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Valentina Perez Aguirre</dc:creator>
  <cp:lastModifiedBy>Adriana Orellana</cp:lastModifiedBy>
  <cp:lastPrinted>2013-08-08T14:17:43Z</cp:lastPrinted>
  <dcterms:created xsi:type="dcterms:W3CDTF">2012-02-16T20:39:03Z</dcterms:created>
  <dcterms:modified xsi:type="dcterms:W3CDTF">2016-11-09T16:27:26Z</dcterms:modified>
</cp:coreProperties>
</file>