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7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drawings/drawing8.xml" ContentType="application/vnd.openxmlformats-officedocument.drawing+xml"/>
  <Override PartName="/xl/ctrlProps/ctrlProp2.xml" ContentType="application/vnd.ms-excel.controlproperties+xml"/>
  <Override PartName="/xl/charts/chart5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5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5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6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6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6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6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6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6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6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6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6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6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7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7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7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7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7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7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7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7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7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7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charts/chart8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ana.orellana\Desktop\ADRIANA\Mejoras ENCON\Francisco-template PPT\11 - onceava macro\"/>
    </mc:Choice>
  </mc:AlternateContent>
  <bookViews>
    <workbookView xWindow="240" yWindow="855" windowWidth="15480" windowHeight="7350" tabRatio="834" firstSheet="4" activeTab="16"/>
  </bookViews>
  <sheets>
    <sheet name="TI COPIA" sheetId="567" r:id="rId1"/>
    <sheet name="Ficha técnica" sheetId="42" r:id="rId2"/>
    <sheet name="DetalleDimension" sheetId="15" r:id="rId3"/>
    <sheet name="Dimensiones" sheetId="33" r:id="rId4"/>
    <sheet name="Confianza" sheetId="91" r:id="rId5"/>
    <sheet name="Sintesis" sheetId="32" r:id="rId6"/>
    <sheet name="Evolucion Sintesis" sheetId="90" r:id="rId7"/>
    <sheet name="Tabla" sheetId="221" r:id="rId8"/>
    <sheet name="Motivo" sheetId="116" r:id="rId9"/>
    <sheet name="Demo" sheetId="222" r:id="rId10"/>
    <sheet name="Indice" sheetId="37" r:id="rId11"/>
    <sheet name="Indice3" sheetId="348" r:id="rId12"/>
    <sheet name="Indice2" sheetId="347" r:id="rId13"/>
    <sheet name="Radar" sheetId="75" state="hidden" r:id="rId14"/>
    <sheet name="Instrucciones USO" sheetId="250" r:id="rId15"/>
    <sheet name="Hoja2" sheetId="251" r:id="rId16"/>
    <sheet name="MiJefe" sheetId="564" r:id="rId17"/>
    <sheet name="Adicionales Cliente" sheetId="565" r:id="rId18"/>
    <sheet name="Investigacion17" sheetId="566" r:id="rId19"/>
  </sheets>
  <functionGroups builtInGroupCount="18"/>
  <externalReferences>
    <externalReference r:id="rId20"/>
  </externalReferences>
  <definedNames>
    <definedName name="_xlnm._FilterDatabase" localSheetId="4" hidden="1">Confianza!$C$2:$H$41</definedName>
    <definedName name="_xlnm._FilterDatabase" localSheetId="18" hidden="1">Investigacion17!$F$2:$G$22</definedName>
    <definedName name="Borrar1" localSheetId="9">Demo!$B$2:$E$31</definedName>
    <definedName name="Camaraderia">Dimensiones!$A$93:$L$115</definedName>
    <definedName name="Camaraderia2">DetalleDimension!$A$58:$H$68</definedName>
    <definedName name="CHIST0">Tabla!$F$3:$G$9</definedName>
    <definedName name="CHIST1">Tabla!$H$3:$I$9</definedName>
    <definedName name="conneg">Confianza!$C$57:$H$66</definedName>
    <definedName name="ConNEG1">Confianza!$C$87:$H$88</definedName>
    <definedName name="conpos">Confianza!$C$45:$H$54</definedName>
    <definedName name="ConPOS1">Confianza!$C$45:$H$54</definedName>
    <definedName name="Credibilidad">Dimensiones!$A$1:$L$23</definedName>
    <definedName name="Credibilidad2">DetalleDimension!$A$3:$H$17</definedName>
    <definedName name="demo1">Tabla!$B$18:$I$35</definedName>
    <definedName name="demo10">Tabla!$B$288:$I$305</definedName>
    <definedName name="demo11">Tabla!$B$318:$I$335</definedName>
    <definedName name="demo12">Tabla!$B$348:$I$365</definedName>
    <definedName name="demo13">Tabla!$B$378:$I$395</definedName>
    <definedName name="demo14">Tabla!$B$408:$I$425</definedName>
    <definedName name="demo15">Tabla!$B$438:$I$455</definedName>
    <definedName name="demo16">Tabla!$B$468:$I$485</definedName>
    <definedName name="demo17">Tabla!$B$498:$I$515</definedName>
    <definedName name="demo18">Tabla!$B$528:$I$545</definedName>
    <definedName name="demo19">Tabla!$B$558:$I$575</definedName>
    <definedName name="demo2">Tabla!$B$48:$I$65</definedName>
    <definedName name="demo20">Tabla!$B$588:$I$605</definedName>
    <definedName name="demo21">Tabla!$B$618:$I$635</definedName>
    <definedName name="demo22">Tabla!$B$648:$I$665</definedName>
    <definedName name="demo23">Tabla!$B$678:$I$695</definedName>
    <definedName name="demo24">Tabla!$B$708:$I$725</definedName>
    <definedName name="demo25">Tabla!$B$738:$I$755</definedName>
    <definedName name="demo26">Tabla!$B$768:$I$785</definedName>
    <definedName name="demo27">Tabla!$B$798:$I$815</definedName>
    <definedName name="demo28">Tabla!$B$828:$I$845</definedName>
    <definedName name="demo29">Tabla!$B$858:$I$875</definedName>
    <definedName name="demo3">Tabla!$B$78:$I$95</definedName>
    <definedName name="demo30">Tabla!$B$888:$I$905</definedName>
    <definedName name="demo4">Tabla!$B$108:$I$125</definedName>
    <definedName name="demo5">Tabla!$B$138:$I$155</definedName>
    <definedName name="demo6">Tabla!$B$168:$I$185</definedName>
    <definedName name="demo7">Tabla!$B$198:$I$215</definedName>
    <definedName name="demo8">Tabla!$B$228:$I$245</definedName>
    <definedName name="demo9">Tabla!$B$258:$I$275</definedName>
    <definedName name="DemoG1">Demo!$B$34:$D$54</definedName>
    <definedName name="DemoG10">Demo!$B$232:$D$252</definedName>
    <definedName name="DemoG11">Demo!$B$254:$D$274</definedName>
    <definedName name="DemoG12">Demo!$B$276:$D$296</definedName>
    <definedName name="DemoG13">Demo!$B$298:$D$318</definedName>
    <definedName name="DemoG14">Demo!$B$320:$D$340</definedName>
    <definedName name="DemoG15">Demo!$B$342:$D$362</definedName>
    <definedName name="DemoG16">Demo!$B$364:$D$384</definedName>
    <definedName name="DemoG17">Demo!$B$386:$D$406</definedName>
    <definedName name="DemoG18">Demo!$B$408:$D$428</definedName>
    <definedName name="DemoG19">Demo!$B$430:$D$450</definedName>
    <definedName name="DemoG2">Demo!$B$56:$D$76</definedName>
    <definedName name="DemoG20">Demo!$B$452:$D$472</definedName>
    <definedName name="DemoG21">Demo!$B$474:$D$494</definedName>
    <definedName name="DemoG22">Demo!$B$496:$D$516</definedName>
    <definedName name="DemoG23">Demo!$B$518:$D$538</definedName>
    <definedName name="DemoG24">Demo!$B$540:$D$560</definedName>
    <definedName name="DemoG25">Demo!$B$562:$D$582</definedName>
    <definedName name="DemoG26">Demo!$B$584:$D$604</definedName>
    <definedName name="DemoG27">Demo!$B$606:$D$626</definedName>
    <definedName name="DemoG28">Demo!$B$628:$D$648</definedName>
    <definedName name="DemoG29">Demo!$B$650:$D$670</definedName>
    <definedName name="DemoG3">Demo!$B$78:$D$98</definedName>
    <definedName name="DemoG30">Demo!$B$672:$D$692</definedName>
    <definedName name="DemoG4">Demo!$B$100:$D$120</definedName>
    <definedName name="DemoG5">Demo!$B$122:$D$142</definedName>
    <definedName name="DemoG6">Demo!$B$144:$D$164</definedName>
    <definedName name="DemoG7">Demo!$B$166:$D$186</definedName>
    <definedName name="DemoG8">Demo!$B$188:$D$208</definedName>
    <definedName name="DemoG9">Demo!$B$210:$D$230</definedName>
    <definedName name="dimensiones_evol">Dimensiones!$B$194:$L$210</definedName>
    <definedName name="dimensiones_ult">Dimensiones!$B$123:$L$157</definedName>
    <definedName name="ficha">'Ficha técnica'!$A$2:$B$8</definedName>
    <definedName name="grafico">Investigacion17!$B$19:$U$50</definedName>
    <definedName name="gráfico">Sintesis!$E$1:$M$15</definedName>
    <definedName name="grafico2">'Evolucion Sintesis'!$A$1:$I$16</definedName>
    <definedName name="Imparcialidad">Dimensiones!$A$47:$L$69</definedName>
    <definedName name="Imparcialidad2">DetalleDimension!$A$34:$H$46</definedName>
    <definedName name="indicadores_globales_evol">Dimensiones!$C$221:$L$235</definedName>
    <definedName name="indicadorglobal">Dimensiones!$B$161:$L$189</definedName>
    <definedName name="INVESTIGACION" localSheetId="17">#REF!</definedName>
    <definedName name="INVESTIGACION">#REF!</definedName>
    <definedName name="motivo">Motivo!$C$16:$O$48</definedName>
    <definedName name="Motivo2">Motivo!$S$67:$W$81</definedName>
    <definedName name="Orgullo">Dimensiones!$A$70:$L$92</definedName>
    <definedName name="Orgullo2">DetalleDimension!$A$48:$H$56</definedName>
    <definedName name="radar" localSheetId="17">#REF!</definedName>
    <definedName name="radar" localSheetId="16">#REF!</definedName>
    <definedName name="radar">#REF!</definedName>
    <definedName name="Respeto">Dimensiones!$A$24:$L$46</definedName>
    <definedName name="Respeto2">DetalleDimension!$A$19:$H$32</definedName>
    <definedName name="SHIST">Tabla!$G$3:$H$7</definedName>
  </definedNames>
  <calcPr calcId="171027"/>
</workbook>
</file>

<file path=xl/calcChain.xml><?xml version="1.0" encoding="utf-8"?>
<calcChain xmlns="http://schemas.openxmlformats.org/spreadsheetml/2006/main">
  <c r="D31" i="222" l="1"/>
  <c r="D30" i="222"/>
  <c r="D29" i="222"/>
  <c r="D28" i="222"/>
  <c r="D27" i="222"/>
  <c r="D26" i="222"/>
  <c r="D25" i="222"/>
  <c r="D24" i="222"/>
  <c r="D23" i="222"/>
  <c r="D22" i="222"/>
  <c r="D21" i="222"/>
  <c r="D20" i="222"/>
  <c r="D19" i="222"/>
  <c r="D18" i="222"/>
  <c r="D17" i="222"/>
  <c r="D16" i="222"/>
  <c r="D15" i="222"/>
  <c r="D14" i="222"/>
  <c r="D13" i="222"/>
  <c r="D12" i="222"/>
  <c r="D11" i="222"/>
  <c r="D10" i="222"/>
  <c r="D9" i="222"/>
  <c r="D8" i="222"/>
  <c r="D7" i="222"/>
  <c r="D6" i="222"/>
  <c r="D5" i="222"/>
  <c r="D4" i="222"/>
  <c r="D3" i="222"/>
  <c r="D2" i="222"/>
  <c r="G4" i="565" l="1"/>
  <c r="G33" i="564"/>
  <c r="G34" i="564"/>
  <c r="G5" i="564"/>
  <c r="G8" i="564"/>
  <c r="G13" i="564"/>
  <c r="G16" i="564"/>
  <c r="G21" i="564"/>
  <c r="G24" i="564"/>
  <c r="G4" i="564"/>
  <c r="G57" i="565"/>
  <c r="G56" i="565"/>
  <c r="G55" i="565"/>
  <c r="G54" i="565"/>
  <c r="G53" i="565"/>
  <c r="G52" i="565"/>
  <c r="G51" i="565"/>
  <c r="G50" i="565"/>
  <c r="G49" i="565"/>
  <c r="G48" i="565"/>
  <c r="G47" i="565"/>
  <c r="G46" i="565"/>
  <c r="G45" i="565"/>
  <c r="G44" i="565"/>
  <c r="G43" i="565"/>
  <c r="G42" i="565"/>
  <c r="G41" i="565"/>
  <c r="G40" i="565"/>
  <c r="G39" i="565"/>
  <c r="G38" i="565"/>
  <c r="G37" i="565"/>
  <c r="G36" i="565"/>
  <c r="G35" i="565"/>
  <c r="G34" i="565"/>
  <c r="G33" i="565"/>
  <c r="G32" i="565"/>
  <c r="G31" i="565"/>
  <c r="G30" i="565"/>
  <c r="G29" i="565"/>
  <c r="G28" i="565"/>
  <c r="G27" i="565"/>
  <c r="G26" i="565"/>
  <c r="G25" i="565"/>
  <c r="G24" i="565"/>
  <c r="G23" i="565"/>
  <c r="G22" i="565"/>
  <c r="G21" i="565"/>
  <c r="G20" i="565"/>
  <c r="G19" i="565"/>
  <c r="G18" i="565"/>
  <c r="G17" i="565"/>
  <c r="G16" i="565"/>
  <c r="G15" i="565"/>
  <c r="G14" i="565"/>
  <c r="G13" i="565"/>
  <c r="G12" i="565"/>
  <c r="G11" i="565"/>
  <c r="G10" i="565"/>
  <c r="G9" i="565"/>
  <c r="G8" i="565"/>
  <c r="G7" i="565"/>
  <c r="G6" i="565"/>
  <c r="G5" i="565"/>
  <c r="F3" i="565"/>
  <c r="E3" i="565"/>
  <c r="G26" i="564" l="1"/>
  <c r="G25" i="564"/>
  <c r="G12" i="564"/>
  <c r="G11" i="564"/>
  <c r="G10" i="564"/>
  <c r="G9" i="564"/>
  <c r="G30" i="564"/>
  <c r="G29" i="564"/>
  <c r="G20" i="564"/>
  <c r="G19" i="564"/>
  <c r="G18" i="564"/>
  <c r="G17" i="564"/>
  <c r="G38" i="564"/>
  <c r="G37" i="564"/>
  <c r="G36" i="564"/>
  <c r="G35" i="564"/>
  <c r="G28" i="564"/>
  <c r="G27" i="564"/>
  <c r="G23" i="564"/>
  <c r="G22" i="564"/>
  <c r="G15" i="564"/>
  <c r="G14" i="564"/>
  <c r="G7" i="564"/>
  <c r="G6" i="564"/>
  <c r="G32" i="564"/>
  <c r="G31" i="564"/>
  <c r="J101" i="221" l="1"/>
  <c r="I101" i="221"/>
  <c r="H101" i="221"/>
  <c r="G101" i="221"/>
  <c r="F101" i="221"/>
  <c r="E101" i="221"/>
  <c r="D101" i="221"/>
  <c r="C101" i="221"/>
  <c r="J100" i="221"/>
  <c r="I100" i="221"/>
  <c r="H100" i="221"/>
  <c r="G100" i="221"/>
  <c r="F100" i="221"/>
  <c r="E100" i="221"/>
  <c r="D100" i="221"/>
  <c r="C100" i="221"/>
  <c r="I56" i="37" l="1"/>
  <c r="C56" i="37"/>
  <c r="G55" i="37"/>
  <c r="I54" i="37"/>
  <c r="A7" i="116" l="1"/>
  <c r="B47" i="116" s="1"/>
  <c r="A6" i="116"/>
  <c r="B48" i="116" s="1"/>
  <c r="N32" i="15" l="1"/>
  <c r="S44" i="15" s="1"/>
  <c r="N31" i="15"/>
  <c r="S43" i="15" s="1"/>
  <c r="N30" i="15"/>
  <c r="S42" i="15" s="1"/>
  <c r="N22" i="15"/>
  <c r="N21" i="15"/>
  <c r="N20" i="15"/>
  <c r="N19" i="15"/>
  <c r="N18" i="15"/>
  <c r="N17" i="15"/>
  <c r="N16" i="15"/>
  <c r="N15" i="15"/>
  <c r="N14" i="15"/>
  <c r="N13" i="15"/>
  <c r="N12" i="15"/>
  <c r="N11" i="15"/>
  <c r="N10" i="15"/>
  <c r="N9" i="15"/>
  <c r="N8" i="15"/>
  <c r="N7" i="15"/>
  <c r="N6" i="15"/>
  <c r="N5" i="15"/>
  <c r="N4" i="15"/>
  <c r="N3" i="15"/>
  <c r="N1" i="15"/>
  <c r="N2" i="15"/>
  <c r="M32" i="15"/>
  <c r="R44" i="15" s="1"/>
  <c r="M31" i="15"/>
  <c r="R43" i="15" s="1"/>
  <c r="M30" i="15"/>
  <c r="R42" i="15" s="1"/>
  <c r="M22" i="15"/>
  <c r="E16" i="90" s="1"/>
  <c r="M21" i="15"/>
  <c r="E15" i="90" s="1"/>
  <c r="M20" i="15"/>
  <c r="E14" i="90" s="1"/>
  <c r="M19" i="15"/>
  <c r="M28" i="15" s="1"/>
  <c r="R39" i="15" s="1"/>
  <c r="M18" i="15"/>
  <c r="E13" i="90" s="1"/>
  <c r="M17" i="15"/>
  <c r="E12" i="90" s="1"/>
  <c r="M16" i="15"/>
  <c r="E11" i="90" s="1"/>
  <c r="M15" i="15"/>
  <c r="M27" i="15" s="1"/>
  <c r="R38" i="15" s="1"/>
  <c r="M14" i="15"/>
  <c r="E10" i="90" s="1"/>
  <c r="M13" i="15"/>
  <c r="E9" i="90" s="1"/>
  <c r="M12" i="15"/>
  <c r="E8" i="90" s="1"/>
  <c r="M11" i="15"/>
  <c r="M26" i="15" s="1"/>
  <c r="R37" i="15" s="1"/>
  <c r="M10" i="15"/>
  <c r="E7" i="90" s="1"/>
  <c r="M9" i="15"/>
  <c r="E6" i="90" s="1"/>
  <c r="M8" i="15"/>
  <c r="E5" i="90" s="1"/>
  <c r="M7" i="15"/>
  <c r="M25" i="15" s="1"/>
  <c r="R36" i="15" s="1"/>
  <c r="M6" i="15"/>
  <c r="E4" i="90" s="1"/>
  <c r="M5" i="15"/>
  <c r="E3" i="90" s="1"/>
  <c r="M4" i="15"/>
  <c r="E2" i="90" s="1"/>
  <c r="M3" i="15"/>
  <c r="M24" i="15" s="1"/>
  <c r="R35" i="15" s="1"/>
  <c r="M2" i="15"/>
  <c r="M1" i="15"/>
  <c r="D16" i="90" l="1"/>
  <c r="D15" i="90"/>
  <c r="D14" i="90"/>
  <c r="D13" i="90"/>
  <c r="D12" i="90"/>
  <c r="D11" i="90"/>
  <c r="D10" i="90"/>
  <c r="D9" i="90"/>
  <c r="D8" i="90"/>
  <c r="D7" i="90"/>
  <c r="D6" i="90"/>
  <c r="D5" i="90"/>
  <c r="D4" i="90"/>
  <c r="D3" i="90"/>
  <c r="D2" i="90"/>
  <c r="S41" i="15"/>
  <c r="D1" i="90"/>
  <c r="R34" i="15"/>
  <c r="E1" i="90"/>
  <c r="N23" i="15"/>
  <c r="R41" i="15"/>
  <c r="M23" i="15"/>
  <c r="M29" i="15"/>
  <c r="S34" i="15"/>
  <c r="I83" i="15"/>
  <c r="I82" i="15"/>
  <c r="I81" i="15"/>
  <c r="I80" i="15"/>
  <c r="I79" i="15"/>
  <c r="I78" i="15"/>
  <c r="I77" i="15"/>
  <c r="I76" i="15"/>
  <c r="I75" i="15"/>
  <c r="I74" i="15"/>
  <c r="I73" i="15"/>
  <c r="I71" i="15"/>
  <c r="I70" i="15"/>
  <c r="I68" i="15"/>
  <c r="I67" i="15"/>
  <c r="I66" i="15"/>
  <c r="I65" i="15"/>
  <c r="I64" i="15"/>
  <c r="I63" i="15"/>
  <c r="I62" i="15"/>
  <c r="I61" i="15"/>
  <c r="I60" i="15"/>
  <c r="I59" i="15"/>
  <c r="I56" i="15"/>
  <c r="I55" i="15"/>
  <c r="I54" i="15"/>
  <c r="I53" i="15"/>
  <c r="I52" i="15"/>
  <c r="I51" i="15"/>
  <c r="I50" i="15"/>
  <c r="I49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4" i="15"/>
  <c r="I52" i="37" l="1"/>
  <c r="I50" i="37"/>
  <c r="I49" i="37"/>
  <c r="I48" i="37"/>
  <c r="I47" i="37"/>
  <c r="I46" i="37"/>
  <c r="I45" i="37"/>
  <c r="I44" i="37"/>
  <c r="I43" i="37"/>
  <c r="I42" i="37"/>
  <c r="I41" i="37"/>
  <c r="I40" i="37"/>
  <c r="I39" i="37"/>
  <c r="G14" i="37" l="1"/>
  <c r="J899" i="221" l="1"/>
  <c r="I899" i="221"/>
  <c r="H899" i="221"/>
  <c r="G899" i="221"/>
  <c r="F899" i="221"/>
  <c r="E899" i="221"/>
  <c r="D899" i="221"/>
  <c r="C899" i="221"/>
  <c r="J869" i="221"/>
  <c r="I869" i="221"/>
  <c r="H869" i="221"/>
  <c r="G869" i="221"/>
  <c r="F869" i="221"/>
  <c r="E869" i="221"/>
  <c r="D869" i="221"/>
  <c r="C869" i="221"/>
  <c r="J839" i="221"/>
  <c r="I839" i="221"/>
  <c r="H839" i="221"/>
  <c r="G839" i="221"/>
  <c r="F839" i="221"/>
  <c r="E839" i="221"/>
  <c r="D839" i="221"/>
  <c r="C839" i="221"/>
  <c r="J809" i="221"/>
  <c r="I809" i="221"/>
  <c r="H809" i="221"/>
  <c r="G809" i="221"/>
  <c r="F809" i="221"/>
  <c r="E809" i="221"/>
  <c r="D809" i="221"/>
  <c r="C809" i="221"/>
  <c r="J779" i="221"/>
  <c r="I779" i="221"/>
  <c r="H779" i="221"/>
  <c r="G779" i="221"/>
  <c r="F779" i="221"/>
  <c r="E779" i="221"/>
  <c r="D779" i="221"/>
  <c r="C779" i="221"/>
  <c r="J749" i="221"/>
  <c r="I749" i="221"/>
  <c r="H749" i="221"/>
  <c r="G749" i="221"/>
  <c r="F749" i="221"/>
  <c r="E749" i="221"/>
  <c r="D749" i="221"/>
  <c r="C749" i="221"/>
  <c r="J719" i="221"/>
  <c r="I719" i="221"/>
  <c r="H719" i="221"/>
  <c r="G719" i="221"/>
  <c r="F719" i="221"/>
  <c r="E719" i="221"/>
  <c r="D719" i="221"/>
  <c r="C719" i="221"/>
  <c r="J689" i="221"/>
  <c r="I689" i="221"/>
  <c r="H689" i="221"/>
  <c r="G689" i="221"/>
  <c r="F689" i="221"/>
  <c r="E689" i="221"/>
  <c r="D689" i="221"/>
  <c r="C689" i="221"/>
  <c r="J659" i="221"/>
  <c r="I659" i="221"/>
  <c r="H659" i="221"/>
  <c r="G659" i="221"/>
  <c r="F659" i="221"/>
  <c r="E659" i="221"/>
  <c r="D659" i="221"/>
  <c r="C659" i="221"/>
  <c r="J629" i="221"/>
  <c r="I629" i="221"/>
  <c r="H629" i="221"/>
  <c r="G629" i="221"/>
  <c r="F629" i="221"/>
  <c r="E629" i="221"/>
  <c r="D629" i="221"/>
  <c r="C629" i="221"/>
  <c r="J599" i="221"/>
  <c r="I599" i="221"/>
  <c r="H599" i="221"/>
  <c r="G599" i="221"/>
  <c r="F599" i="221"/>
  <c r="E599" i="221"/>
  <c r="D599" i="221"/>
  <c r="C599" i="221"/>
  <c r="J569" i="221"/>
  <c r="I569" i="221"/>
  <c r="H569" i="221"/>
  <c r="G569" i="221"/>
  <c r="F569" i="221"/>
  <c r="E569" i="221"/>
  <c r="D569" i="221"/>
  <c r="C569" i="221"/>
  <c r="J539" i="221"/>
  <c r="I539" i="221"/>
  <c r="H539" i="221"/>
  <c r="G539" i="221"/>
  <c r="F539" i="221"/>
  <c r="E539" i="221"/>
  <c r="D539" i="221"/>
  <c r="C539" i="221"/>
  <c r="J509" i="221"/>
  <c r="I509" i="221"/>
  <c r="H509" i="221"/>
  <c r="G509" i="221"/>
  <c r="F509" i="221"/>
  <c r="E509" i="221"/>
  <c r="D509" i="221"/>
  <c r="C509" i="221"/>
  <c r="J479" i="221"/>
  <c r="I479" i="221"/>
  <c r="H479" i="221"/>
  <c r="G479" i="221"/>
  <c r="F479" i="221"/>
  <c r="E479" i="221"/>
  <c r="D479" i="221"/>
  <c r="C479" i="221"/>
  <c r="J449" i="221"/>
  <c r="I449" i="221"/>
  <c r="H449" i="221"/>
  <c r="G449" i="221"/>
  <c r="F449" i="221"/>
  <c r="E449" i="221"/>
  <c r="D449" i="221"/>
  <c r="C449" i="221"/>
  <c r="J419" i="221"/>
  <c r="I419" i="221"/>
  <c r="H419" i="221"/>
  <c r="G419" i="221"/>
  <c r="F419" i="221"/>
  <c r="E419" i="221"/>
  <c r="D419" i="221"/>
  <c r="C419" i="221"/>
  <c r="J389" i="221"/>
  <c r="I389" i="221"/>
  <c r="H389" i="221"/>
  <c r="G389" i="221"/>
  <c r="F389" i="221"/>
  <c r="E389" i="221"/>
  <c r="D389" i="221"/>
  <c r="C389" i="221"/>
  <c r="J359" i="221"/>
  <c r="I359" i="221"/>
  <c r="H359" i="221"/>
  <c r="G359" i="221"/>
  <c r="F359" i="221"/>
  <c r="E359" i="221"/>
  <c r="D359" i="221"/>
  <c r="C359" i="221"/>
  <c r="J329" i="221"/>
  <c r="I329" i="221"/>
  <c r="H329" i="221"/>
  <c r="G329" i="221"/>
  <c r="F329" i="221"/>
  <c r="E329" i="221"/>
  <c r="D329" i="221"/>
  <c r="C329" i="221"/>
  <c r="J299" i="221"/>
  <c r="I299" i="221"/>
  <c r="H299" i="221"/>
  <c r="G299" i="221"/>
  <c r="F299" i="221"/>
  <c r="E299" i="221"/>
  <c r="D299" i="221"/>
  <c r="C299" i="221"/>
  <c r="J269" i="221"/>
  <c r="I269" i="221"/>
  <c r="H269" i="221"/>
  <c r="G269" i="221"/>
  <c r="F269" i="221"/>
  <c r="E269" i="221"/>
  <c r="D269" i="221"/>
  <c r="C269" i="221"/>
  <c r="J239" i="221"/>
  <c r="I239" i="221"/>
  <c r="H239" i="221"/>
  <c r="G239" i="221"/>
  <c r="F239" i="221"/>
  <c r="E239" i="221"/>
  <c r="D239" i="221"/>
  <c r="C239" i="221"/>
  <c r="J209" i="221"/>
  <c r="I209" i="221"/>
  <c r="H209" i="221"/>
  <c r="G209" i="221"/>
  <c r="F209" i="221"/>
  <c r="E209" i="221"/>
  <c r="D209" i="221"/>
  <c r="C209" i="221"/>
  <c r="J179" i="221"/>
  <c r="I179" i="221"/>
  <c r="H179" i="221"/>
  <c r="G179" i="221"/>
  <c r="F179" i="221"/>
  <c r="E179" i="221"/>
  <c r="D179" i="221"/>
  <c r="C179" i="221"/>
  <c r="J149" i="221"/>
  <c r="I149" i="221"/>
  <c r="H149" i="221"/>
  <c r="G149" i="221"/>
  <c r="F149" i="221"/>
  <c r="E149" i="221"/>
  <c r="D149" i="221"/>
  <c r="C149" i="221"/>
  <c r="J119" i="221"/>
  <c r="I119" i="221"/>
  <c r="H119" i="221"/>
  <c r="G119" i="221"/>
  <c r="F119" i="221"/>
  <c r="E119" i="221"/>
  <c r="D119" i="221"/>
  <c r="C119" i="221"/>
  <c r="J89" i="221"/>
  <c r="I89" i="221"/>
  <c r="H89" i="221"/>
  <c r="G89" i="221"/>
  <c r="F89" i="221"/>
  <c r="E89" i="221"/>
  <c r="D89" i="221"/>
  <c r="C89" i="221"/>
  <c r="J59" i="221"/>
  <c r="I59" i="221"/>
  <c r="H59" i="221"/>
  <c r="G59" i="221"/>
  <c r="F59" i="221"/>
  <c r="E59" i="221"/>
  <c r="D59" i="221"/>
  <c r="C59" i="221"/>
  <c r="J29" i="221"/>
  <c r="I29" i="221"/>
  <c r="H29" i="221"/>
  <c r="G29" i="221"/>
  <c r="F29" i="221"/>
  <c r="E29" i="221"/>
  <c r="D29" i="221"/>
  <c r="C29" i="221"/>
  <c r="G40" i="221" l="1"/>
  <c r="G41" i="221"/>
  <c r="J911" i="221" l="1"/>
  <c r="I911" i="221"/>
  <c r="H911" i="221"/>
  <c r="G911" i="221"/>
  <c r="F911" i="221"/>
  <c r="E911" i="221"/>
  <c r="D911" i="221"/>
  <c r="C911" i="221"/>
  <c r="J910" i="221"/>
  <c r="I910" i="221"/>
  <c r="H910" i="221"/>
  <c r="G910" i="221"/>
  <c r="F910" i="221"/>
  <c r="E910" i="221"/>
  <c r="D910" i="221"/>
  <c r="C910" i="221"/>
  <c r="J881" i="221"/>
  <c r="I881" i="221"/>
  <c r="H881" i="221"/>
  <c r="G881" i="221"/>
  <c r="F881" i="221"/>
  <c r="E881" i="221"/>
  <c r="D881" i="221"/>
  <c r="C881" i="221"/>
  <c r="J880" i="221"/>
  <c r="I880" i="221"/>
  <c r="H880" i="221"/>
  <c r="G880" i="221"/>
  <c r="F880" i="221"/>
  <c r="E880" i="221"/>
  <c r="D880" i="221"/>
  <c r="C880" i="221"/>
  <c r="J851" i="221"/>
  <c r="I851" i="221"/>
  <c r="H851" i="221"/>
  <c r="G851" i="221"/>
  <c r="F851" i="221"/>
  <c r="E851" i="221"/>
  <c r="D851" i="221"/>
  <c r="C851" i="221"/>
  <c r="J850" i="221"/>
  <c r="I850" i="221"/>
  <c r="H850" i="221"/>
  <c r="G850" i="221"/>
  <c r="F850" i="221"/>
  <c r="E850" i="221"/>
  <c r="D850" i="221"/>
  <c r="C850" i="221"/>
  <c r="J821" i="221"/>
  <c r="I821" i="221"/>
  <c r="H821" i="221"/>
  <c r="G821" i="221"/>
  <c r="F821" i="221"/>
  <c r="E821" i="221"/>
  <c r="D821" i="221"/>
  <c r="C821" i="221"/>
  <c r="J820" i="221"/>
  <c r="I820" i="221"/>
  <c r="H820" i="221"/>
  <c r="G820" i="221"/>
  <c r="F820" i="221"/>
  <c r="E820" i="221"/>
  <c r="D820" i="221"/>
  <c r="C820" i="221"/>
  <c r="J791" i="221"/>
  <c r="I791" i="221"/>
  <c r="H791" i="221"/>
  <c r="G791" i="221"/>
  <c r="F791" i="221"/>
  <c r="E791" i="221"/>
  <c r="D791" i="221"/>
  <c r="C791" i="221"/>
  <c r="J790" i="221"/>
  <c r="I790" i="221"/>
  <c r="H790" i="221"/>
  <c r="G790" i="221"/>
  <c r="F790" i="221"/>
  <c r="E790" i="221"/>
  <c r="D790" i="221"/>
  <c r="C790" i="221"/>
  <c r="J761" i="221"/>
  <c r="I761" i="221"/>
  <c r="H761" i="221"/>
  <c r="G761" i="221"/>
  <c r="F761" i="221"/>
  <c r="E761" i="221"/>
  <c r="D761" i="221"/>
  <c r="C761" i="221"/>
  <c r="J760" i="221"/>
  <c r="I760" i="221"/>
  <c r="H760" i="221"/>
  <c r="G760" i="221"/>
  <c r="F760" i="221"/>
  <c r="E760" i="221"/>
  <c r="D760" i="221"/>
  <c r="C760" i="221"/>
  <c r="J731" i="221"/>
  <c r="I731" i="221"/>
  <c r="H731" i="221"/>
  <c r="G731" i="221"/>
  <c r="F731" i="221"/>
  <c r="E731" i="221"/>
  <c r="D731" i="221"/>
  <c r="C731" i="221"/>
  <c r="J730" i="221"/>
  <c r="I730" i="221"/>
  <c r="H730" i="221"/>
  <c r="G730" i="221"/>
  <c r="F730" i="221"/>
  <c r="E730" i="221"/>
  <c r="D730" i="221"/>
  <c r="C730" i="221"/>
  <c r="J701" i="221"/>
  <c r="I701" i="221"/>
  <c r="H701" i="221"/>
  <c r="G701" i="221"/>
  <c r="F701" i="221"/>
  <c r="E701" i="221"/>
  <c r="D701" i="221"/>
  <c r="C701" i="221"/>
  <c r="J700" i="221"/>
  <c r="I700" i="221"/>
  <c r="H700" i="221"/>
  <c r="G700" i="221"/>
  <c r="F700" i="221"/>
  <c r="E700" i="221"/>
  <c r="D700" i="221"/>
  <c r="C700" i="221"/>
  <c r="J671" i="221"/>
  <c r="I671" i="221"/>
  <c r="H671" i="221"/>
  <c r="G671" i="221"/>
  <c r="F671" i="221"/>
  <c r="E671" i="221"/>
  <c r="D671" i="221"/>
  <c r="C671" i="221"/>
  <c r="J670" i="221"/>
  <c r="I670" i="221"/>
  <c r="H670" i="221"/>
  <c r="G670" i="221"/>
  <c r="F670" i="221"/>
  <c r="E670" i="221"/>
  <c r="D670" i="221"/>
  <c r="C670" i="221"/>
  <c r="J641" i="221"/>
  <c r="I641" i="221"/>
  <c r="H641" i="221"/>
  <c r="G641" i="221"/>
  <c r="F641" i="221"/>
  <c r="E641" i="221"/>
  <c r="D641" i="221"/>
  <c r="C641" i="221"/>
  <c r="J640" i="221"/>
  <c r="I640" i="221"/>
  <c r="H640" i="221"/>
  <c r="G640" i="221"/>
  <c r="F640" i="221"/>
  <c r="E640" i="221"/>
  <c r="D640" i="221"/>
  <c r="C640" i="221"/>
  <c r="J611" i="221"/>
  <c r="I611" i="221"/>
  <c r="H611" i="221"/>
  <c r="G611" i="221"/>
  <c r="F611" i="221"/>
  <c r="E611" i="221"/>
  <c r="D611" i="221"/>
  <c r="C611" i="221"/>
  <c r="J610" i="221"/>
  <c r="I610" i="221"/>
  <c r="H610" i="221"/>
  <c r="G610" i="221"/>
  <c r="F610" i="221"/>
  <c r="E610" i="221"/>
  <c r="D610" i="221"/>
  <c r="C610" i="221"/>
  <c r="J581" i="221"/>
  <c r="I581" i="221"/>
  <c r="H581" i="221"/>
  <c r="G581" i="221"/>
  <c r="F581" i="221"/>
  <c r="E581" i="221"/>
  <c r="D581" i="221"/>
  <c r="C581" i="221"/>
  <c r="J580" i="221"/>
  <c r="I580" i="221"/>
  <c r="H580" i="221"/>
  <c r="G580" i="221"/>
  <c r="F580" i="221"/>
  <c r="E580" i="221"/>
  <c r="D580" i="221"/>
  <c r="C580" i="221"/>
  <c r="J551" i="221"/>
  <c r="I551" i="221"/>
  <c r="H551" i="221"/>
  <c r="G551" i="221"/>
  <c r="F551" i="221"/>
  <c r="E551" i="221"/>
  <c r="D551" i="221"/>
  <c r="C551" i="221"/>
  <c r="J550" i="221"/>
  <c r="I550" i="221"/>
  <c r="H550" i="221"/>
  <c r="G550" i="221"/>
  <c r="F550" i="221"/>
  <c r="E550" i="221"/>
  <c r="D550" i="221"/>
  <c r="C550" i="221"/>
  <c r="J521" i="221"/>
  <c r="I521" i="221"/>
  <c r="H521" i="221"/>
  <c r="G521" i="221"/>
  <c r="F521" i="221"/>
  <c r="E521" i="221"/>
  <c r="D521" i="221"/>
  <c r="C521" i="221"/>
  <c r="J520" i="221"/>
  <c r="I520" i="221"/>
  <c r="H520" i="221"/>
  <c r="G520" i="221"/>
  <c r="F520" i="221"/>
  <c r="E520" i="221"/>
  <c r="D520" i="221"/>
  <c r="C520" i="221"/>
  <c r="J491" i="221"/>
  <c r="I491" i="221"/>
  <c r="H491" i="221"/>
  <c r="G491" i="221"/>
  <c r="F491" i="221"/>
  <c r="E491" i="221"/>
  <c r="D491" i="221"/>
  <c r="C491" i="221"/>
  <c r="J490" i="221"/>
  <c r="I490" i="221"/>
  <c r="H490" i="221"/>
  <c r="G490" i="221"/>
  <c r="F490" i="221"/>
  <c r="E490" i="221"/>
  <c r="D490" i="221"/>
  <c r="C490" i="221"/>
  <c r="J461" i="221"/>
  <c r="I461" i="221"/>
  <c r="H461" i="221"/>
  <c r="G461" i="221"/>
  <c r="F461" i="221"/>
  <c r="E461" i="221"/>
  <c r="D461" i="221"/>
  <c r="C461" i="221"/>
  <c r="J460" i="221"/>
  <c r="I460" i="221"/>
  <c r="H460" i="221"/>
  <c r="G460" i="221"/>
  <c r="F460" i="221"/>
  <c r="E460" i="221"/>
  <c r="D460" i="221"/>
  <c r="C460" i="221"/>
  <c r="J431" i="221"/>
  <c r="I431" i="221"/>
  <c r="H431" i="221"/>
  <c r="G431" i="221"/>
  <c r="F431" i="221"/>
  <c r="E431" i="221"/>
  <c r="D431" i="221"/>
  <c r="C431" i="221"/>
  <c r="J430" i="221"/>
  <c r="I430" i="221"/>
  <c r="H430" i="221"/>
  <c r="G430" i="221"/>
  <c r="F430" i="221"/>
  <c r="E430" i="221"/>
  <c r="D430" i="221"/>
  <c r="C430" i="221"/>
  <c r="J401" i="221"/>
  <c r="I401" i="221"/>
  <c r="H401" i="221"/>
  <c r="G401" i="221"/>
  <c r="F401" i="221"/>
  <c r="E401" i="221"/>
  <c r="D401" i="221"/>
  <c r="C401" i="221"/>
  <c r="J400" i="221"/>
  <c r="I400" i="221"/>
  <c r="H400" i="221"/>
  <c r="G400" i="221"/>
  <c r="F400" i="221"/>
  <c r="E400" i="221"/>
  <c r="D400" i="221"/>
  <c r="C400" i="221"/>
  <c r="J371" i="221"/>
  <c r="I371" i="221"/>
  <c r="H371" i="221"/>
  <c r="G371" i="221"/>
  <c r="F371" i="221"/>
  <c r="E371" i="221"/>
  <c r="D371" i="221"/>
  <c r="C371" i="221"/>
  <c r="J370" i="221"/>
  <c r="I370" i="221"/>
  <c r="H370" i="221"/>
  <c r="G370" i="221"/>
  <c r="F370" i="221"/>
  <c r="E370" i="221"/>
  <c r="D370" i="221"/>
  <c r="C370" i="221"/>
  <c r="J341" i="221"/>
  <c r="I341" i="221"/>
  <c r="H341" i="221"/>
  <c r="G341" i="221"/>
  <c r="F341" i="221"/>
  <c r="E341" i="221"/>
  <c r="D341" i="221"/>
  <c r="C341" i="221"/>
  <c r="J340" i="221"/>
  <c r="I340" i="221"/>
  <c r="H340" i="221"/>
  <c r="G340" i="221"/>
  <c r="F340" i="221"/>
  <c r="E340" i="221"/>
  <c r="D340" i="221"/>
  <c r="C340" i="221"/>
  <c r="J311" i="221"/>
  <c r="I311" i="221"/>
  <c r="H311" i="221"/>
  <c r="G311" i="221"/>
  <c r="F311" i="221"/>
  <c r="E311" i="221"/>
  <c r="D311" i="221"/>
  <c r="C311" i="221"/>
  <c r="J310" i="221"/>
  <c r="I310" i="221"/>
  <c r="H310" i="221"/>
  <c r="G310" i="221"/>
  <c r="F310" i="221"/>
  <c r="E310" i="221"/>
  <c r="D310" i="221"/>
  <c r="C310" i="221"/>
  <c r="J281" i="221"/>
  <c r="I281" i="221"/>
  <c r="H281" i="221"/>
  <c r="G281" i="221"/>
  <c r="F281" i="221"/>
  <c r="E281" i="221"/>
  <c r="D281" i="221"/>
  <c r="C281" i="221"/>
  <c r="J280" i="221"/>
  <c r="I280" i="221"/>
  <c r="H280" i="221"/>
  <c r="G280" i="221"/>
  <c r="F280" i="221"/>
  <c r="E280" i="221"/>
  <c r="D280" i="221"/>
  <c r="C280" i="221"/>
  <c r="J251" i="221"/>
  <c r="I251" i="221"/>
  <c r="H251" i="221"/>
  <c r="G251" i="221"/>
  <c r="F251" i="221"/>
  <c r="E251" i="221"/>
  <c r="D251" i="221"/>
  <c r="C251" i="221"/>
  <c r="J250" i="221"/>
  <c r="I250" i="221"/>
  <c r="H250" i="221"/>
  <c r="G250" i="221"/>
  <c r="F250" i="221"/>
  <c r="E250" i="221"/>
  <c r="D250" i="221"/>
  <c r="C250" i="221"/>
  <c r="J221" i="221"/>
  <c r="I221" i="221"/>
  <c r="H221" i="221"/>
  <c r="G221" i="221"/>
  <c r="F221" i="221"/>
  <c r="E221" i="221"/>
  <c r="D221" i="221"/>
  <c r="C221" i="221"/>
  <c r="J220" i="221"/>
  <c r="I220" i="221"/>
  <c r="H220" i="221"/>
  <c r="G220" i="221"/>
  <c r="F220" i="221"/>
  <c r="E220" i="221"/>
  <c r="D220" i="221"/>
  <c r="C220" i="221"/>
  <c r="J191" i="221"/>
  <c r="I191" i="221"/>
  <c r="H191" i="221"/>
  <c r="G191" i="221"/>
  <c r="F191" i="221"/>
  <c r="E191" i="221"/>
  <c r="D191" i="221"/>
  <c r="C191" i="221"/>
  <c r="J190" i="221"/>
  <c r="I190" i="221"/>
  <c r="H190" i="221"/>
  <c r="G190" i="221"/>
  <c r="F190" i="221"/>
  <c r="E190" i="221"/>
  <c r="D190" i="221"/>
  <c r="C190" i="221"/>
  <c r="J161" i="221"/>
  <c r="I161" i="221"/>
  <c r="H161" i="221"/>
  <c r="G161" i="221"/>
  <c r="F161" i="221"/>
  <c r="E161" i="221"/>
  <c r="D161" i="221"/>
  <c r="C161" i="221"/>
  <c r="J160" i="221"/>
  <c r="I160" i="221"/>
  <c r="H160" i="221"/>
  <c r="G160" i="221"/>
  <c r="F160" i="221"/>
  <c r="E160" i="221"/>
  <c r="D160" i="221"/>
  <c r="C160" i="221"/>
  <c r="J131" i="221"/>
  <c r="I131" i="221"/>
  <c r="H131" i="221"/>
  <c r="G131" i="221"/>
  <c r="F131" i="221"/>
  <c r="E131" i="221"/>
  <c r="D131" i="221"/>
  <c r="C131" i="221"/>
  <c r="J130" i="221"/>
  <c r="I130" i="221"/>
  <c r="H130" i="221"/>
  <c r="G130" i="221"/>
  <c r="F130" i="221"/>
  <c r="E130" i="221"/>
  <c r="D130" i="221"/>
  <c r="C130" i="221"/>
  <c r="J71" i="221"/>
  <c r="I71" i="221"/>
  <c r="H71" i="221"/>
  <c r="G71" i="221"/>
  <c r="F71" i="221"/>
  <c r="E71" i="221"/>
  <c r="D71" i="221"/>
  <c r="C71" i="221"/>
  <c r="J70" i="221"/>
  <c r="I70" i="221"/>
  <c r="H70" i="221"/>
  <c r="G70" i="221"/>
  <c r="F70" i="221"/>
  <c r="E70" i="221"/>
  <c r="D70" i="221"/>
  <c r="C70" i="221"/>
  <c r="O19" i="15" l="1"/>
  <c r="Q19" i="15" s="1"/>
  <c r="P19" i="15"/>
  <c r="R19" i="15" s="1"/>
  <c r="O15" i="15"/>
  <c r="Q15" i="15" s="1"/>
  <c r="P15" i="15"/>
  <c r="R15" i="15" s="1"/>
  <c r="O11" i="15"/>
  <c r="Q11" i="15" s="1"/>
  <c r="P11" i="15"/>
  <c r="R11" i="15" s="1"/>
  <c r="O7" i="15"/>
  <c r="Q7" i="15" s="1"/>
  <c r="P7" i="15"/>
  <c r="R7" i="15" s="1"/>
  <c r="O3" i="15"/>
  <c r="Q3" i="15" s="1"/>
  <c r="P3" i="15"/>
  <c r="R3" i="15" s="1"/>
  <c r="B14" i="90" l="1"/>
  <c r="F13" i="32"/>
  <c r="B11" i="90"/>
  <c r="F10" i="32"/>
  <c r="B8" i="90"/>
  <c r="F7" i="32"/>
  <c r="B2" i="90"/>
  <c r="F1" i="32"/>
  <c r="F4" i="32"/>
  <c r="B5" i="90"/>
  <c r="B5" i="42" l="1"/>
  <c r="P1" i="15" l="1"/>
  <c r="O1" i="15"/>
  <c r="C52" i="37" l="1"/>
  <c r="G51" i="37"/>
  <c r="C50" i="37"/>
  <c r="C49" i="37"/>
  <c r="C48" i="37"/>
  <c r="C47" i="37"/>
  <c r="C46" i="37"/>
  <c r="C45" i="37"/>
  <c r="C44" i="37"/>
  <c r="C43" i="37"/>
  <c r="C42" i="37"/>
  <c r="C41" i="37"/>
  <c r="C40" i="37"/>
  <c r="C39" i="37"/>
  <c r="G32" i="37"/>
  <c r="G31" i="37"/>
  <c r="G30" i="37"/>
  <c r="G29" i="37"/>
  <c r="G28" i="37"/>
  <c r="G27" i="37"/>
  <c r="G26" i="37"/>
  <c r="G25" i="37"/>
  <c r="G24" i="37"/>
  <c r="G23" i="37"/>
  <c r="G13" i="37"/>
  <c r="G12" i="37"/>
  <c r="G11" i="37"/>
  <c r="G10" i="37"/>
  <c r="G9" i="37"/>
  <c r="G8" i="37"/>
  <c r="G7" i="37"/>
  <c r="G6" i="37"/>
  <c r="G5" i="37"/>
  <c r="G4" i="37"/>
  <c r="G3" i="37"/>
  <c r="P31" i="15" l="1"/>
  <c r="O31" i="15"/>
  <c r="Q43" i="15"/>
  <c r="P43" i="15" s="1"/>
  <c r="O43" i="15" s="1"/>
  <c r="N43" i="15" s="1"/>
  <c r="M43" i="15" s="1"/>
  <c r="Q42" i="15"/>
  <c r="P42" i="15" s="1"/>
  <c r="O42" i="15" s="1"/>
  <c r="N42" i="15" s="1"/>
  <c r="M42" i="15" s="1"/>
  <c r="G37" i="37" l="1"/>
  <c r="G34" i="37"/>
  <c r="G36" i="37"/>
  <c r="O21" i="15"/>
  <c r="O20" i="15"/>
  <c r="O10" i="15"/>
  <c r="O6" i="15"/>
  <c r="O5" i="15"/>
  <c r="O4" i="15"/>
  <c r="P4" i="15"/>
  <c r="P5" i="15"/>
  <c r="P6" i="15"/>
  <c r="F15" i="90" l="1"/>
  <c r="H15" i="90" s="1"/>
  <c r="Q21" i="15"/>
  <c r="F14" i="90"/>
  <c r="H14" i="90" s="1"/>
  <c r="Q20" i="15"/>
  <c r="F7" i="90"/>
  <c r="H7" i="90" s="1"/>
  <c r="Q10" i="15"/>
  <c r="G4" i="90"/>
  <c r="I4" i="90" s="1"/>
  <c r="R6" i="15"/>
  <c r="F4" i="90"/>
  <c r="H4" i="90" s="1"/>
  <c r="Q6" i="15"/>
  <c r="G3" i="90"/>
  <c r="I3" i="90" s="1"/>
  <c r="R5" i="15"/>
  <c r="F3" i="90"/>
  <c r="H3" i="90" s="1"/>
  <c r="Q5" i="15"/>
  <c r="G2" i="90"/>
  <c r="I2" i="90" s="1"/>
  <c r="R4" i="15"/>
  <c r="F2" i="90"/>
  <c r="H2" i="90" s="1"/>
  <c r="Q4" i="15"/>
  <c r="K7" i="116"/>
  <c r="J40" i="221"/>
  <c r="I40" i="221"/>
  <c r="H40" i="221"/>
  <c r="F40" i="221"/>
  <c r="E40" i="221"/>
  <c r="D40" i="221"/>
  <c r="C40" i="221"/>
  <c r="C41" i="221" l="1"/>
  <c r="G31" i="222" l="1"/>
  <c r="G30" i="222"/>
  <c r="G29" i="222"/>
  <c r="G28" i="222"/>
  <c r="G27" i="222"/>
  <c r="G26" i="222"/>
  <c r="G25" i="222"/>
  <c r="G24" i="222"/>
  <c r="G23" i="222"/>
  <c r="G22" i="222"/>
  <c r="G21" i="222"/>
  <c r="G20" i="222"/>
  <c r="G19" i="222"/>
  <c r="G18" i="222"/>
  <c r="G17" i="222"/>
  <c r="G16" i="222"/>
  <c r="G15" i="222"/>
  <c r="G14" i="222"/>
  <c r="G13" i="222"/>
  <c r="G12" i="222"/>
  <c r="G49" i="37" s="1"/>
  <c r="G11" i="222"/>
  <c r="G48" i="37" s="1"/>
  <c r="G10" i="222"/>
  <c r="G47" i="37" s="1"/>
  <c r="G9" i="222"/>
  <c r="G46" i="37" s="1"/>
  <c r="G8" i="222"/>
  <c r="G7" i="222"/>
  <c r="G44" i="37" s="1"/>
  <c r="G6" i="222"/>
  <c r="G43" i="37" s="1"/>
  <c r="G5" i="222"/>
  <c r="G4" i="222"/>
  <c r="G3" i="222"/>
  <c r="G41" i="37" s="1"/>
  <c r="G2" i="222"/>
  <c r="G45" i="37" l="1"/>
  <c r="G56" i="37"/>
  <c r="G40" i="37"/>
  <c r="G42" i="37"/>
  <c r="G39" i="37"/>
  <c r="G50" i="37"/>
  <c r="G52" i="37"/>
  <c r="J41" i="221" l="1"/>
  <c r="I41" i="221"/>
  <c r="H41" i="221"/>
  <c r="F41" i="221"/>
  <c r="E41" i="221"/>
  <c r="D41" i="221"/>
  <c r="A59" i="221" l="1"/>
  <c r="A89" i="221" s="1"/>
  <c r="A119" i="221" s="1"/>
  <c r="A149" i="221" s="1"/>
  <c r="A179" i="221" s="1"/>
  <c r="A209" i="221" s="1"/>
  <c r="A239" i="221" s="1"/>
  <c r="A269" i="221" s="1"/>
  <c r="A299" i="221" s="1"/>
  <c r="A329" i="221" s="1"/>
  <c r="A359" i="221" s="1"/>
  <c r="A389" i="221" s="1"/>
  <c r="A419" i="221" s="1"/>
  <c r="A449" i="221" s="1"/>
  <c r="A479" i="221" s="1"/>
  <c r="A509" i="221" s="1"/>
  <c r="A539" i="221" s="1"/>
  <c r="A569" i="221" s="1"/>
  <c r="A599" i="221" s="1"/>
  <c r="A629" i="221" s="1"/>
  <c r="A659" i="221" s="1"/>
  <c r="A689" i="221" s="1"/>
  <c r="A719" i="221" s="1"/>
  <c r="A749" i="221" s="1"/>
  <c r="A779" i="221" s="1"/>
  <c r="A809" i="221" s="1"/>
  <c r="A839" i="221" s="1"/>
  <c r="A869" i="221" s="1"/>
  <c r="A899" i="221" s="1"/>
  <c r="O9" i="15" l="1"/>
  <c r="O8" i="15"/>
  <c r="F6" i="90" l="1"/>
  <c r="H6" i="90" s="1"/>
  <c r="Q9" i="15"/>
  <c r="F5" i="90"/>
  <c r="H5" i="90" s="1"/>
  <c r="Q8" i="15"/>
  <c r="P8" i="15"/>
  <c r="G5" i="90" l="1"/>
  <c r="I5" i="90" s="1"/>
  <c r="R8" i="15"/>
  <c r="I3" i="91"/>
  <c r="I4" i="91"/>
  <c r="I5" i="91"/>
  <c r="I6" i="91"/>
  <c r="I7" i="91"/>
  <c r="I8" i="91"/>
  <c r="I9" i="91"/>
  <c r="I10" i="91"/>
  <c r="I11" i="91"/>
  <c r="I12" i="91"/>
  <c r="I13" i="91"/>
  <c r="I14" i="91"/>
  <c r="I15" i="91"/>
  <c r="I16" i="91"/>
  <c r="I17" i="91"/>
  <c r="I18" i="91"/>
  <c r="I19" i="91"/>
  <c r="I20" i="91"/>
  <c r="I21" i="91"/>
  <c r="I22" i="91"/>
  <c r="I23" i="91"/>
  <c r="I24" i="91"/>
  <c r="I25" i="91"/>
  <c r="I26" i="91"/>
  <c r="I27" i="91"/>
  <c r="I28" i="91"/>
  <c r="I29" i="91"/>
  <c r="I30" i="91"/>
  <c r="I31" i="91"/>
  <c r="I32" i="91"/>
  <c r="I33" i="91"/>
  <c r="I34" i="91"/>
  <c r="I35" i="91"/>
  <c r="I36" i="91"/>
  <c r="I37" i="91"/>
  <c r="I38" i="91"/>
  <c r="I39" i="91"/>
  <c r="I40" i="91"/>
  <c r="I41" i="91"/>
  <c r="H58" i="15"/>
  <c r="G58" i="15"/>
  <c r="F58" i="15"/>
  <c r="E58" i="15"/>
  <c r="H48" i="15"/>
  <c r="G48" i="15"/>
  <c r="F48" i="15"/>
  <c r="E48" i="15"/>
  <c r="H34" i="15"/>
  <c r="G34" i="15"/>
  <c r="F34" i="15"/>
  <c r="E34" i="15"/>
  <c r="H19" i="15"/>
  <c r="G19" i="15"/>
  <c r="F19" i="15"/>
  <c r="E19" i="15"/>
  <c r="P32" i="15"/>
  <c r="O32" i="15"/>
  <c r="Q44" i="15"/>
  <c r="P44" i="15" s="1"/>
  <c r="O44" i="15" s="1"/>
  <c r="N44" i="15" s="1"/>
  <c r="M44" i="15" s="1"/>
  <c r="P30" i="15"/>
  <c r="O30" i="15"/>
  <c r="A46" i="91"/>
  <c r="A47" i="91" s="1"/>
  <c r="A48" i="91" s="1"/>
  <c r="A49" i="91" s="1"/>
  <c r="A50" i="91" s="1"/>
  <c r="A51" i="91" s="1"/>
  <c r="A52" i="91" s="1"/>
  <c r="A53" i="91" s="1"/>
  <c r="A54" i="91" s="1"/>
  <c r="A58" i="91"/>
  <c r="A59" i="91" s="1"/>
  <c r="A60" i="91" s="1"/>
  <c r="A61" i="91" s="1"/>
  <c r="A62" i="91" s="1"/>
  <c r="A63" i="91" s="1"/>
  <c r="A64" i="91" s="1"/>
  <c r="A65" i="91" s="1"/>
  <c r="A66" i="91" s="1"/>
  <c r="D43" i="91"/>
  <c r="E43" i="91" s="1"/>
  <c r="F43" i="91" s="1"/>
  <c r="G56" i="91"/>
  <c r="P22" i="15"/>
  <c r="O22" i="15"/>
  <c r="P21" i="15"/>
  <c r="P20" i="15"/>
  <c r="P28" i="15"/>
  <c r="O28" i="15"/>
  <c r="N28" i="15"/>
  <c r="P18" i="15"/>
  <c r="O18" i="15"/>
  <c r="P17" i="15"/>
  <c r="O17" i="15"/>
  <c r="P16" i="15"/>
  <c r="O16" i="15"/>
  <c r="P27" i="15"/>
  <c r="O27" i="15"/>
  <c r="N27" i="15"/>
  <c r="P14" i="15"/>
  <c r="O14" i="15"/>
  <c r="P13" i="15"/>
  <c r="O13" i="15"/>
  <c r="P12" i="15"/>
  <c r="O12" i="15"/>
  <c r="P26" i="15"/>
  <c r="O26" i="15"/>
  <c r="N26" i="15"/>
  <c r="S37" i="15" s="1"/>
  <c r="Q37" i="15"/>
  <c r="P37" i="15" s="1"/>
  <c r="O37" i="15" s="1"/>
  <c r="N37" i="15" s="1"/>
  <c r="M37" i="15" s="1"/>
  <c r="P10" i="15"/>
  <c r="P9" i="15"/>
  <c r="P25" i="15"/>
  <c r="O25" i="15"/>
  <c r="N25" i="15"/>
  <c r="S36" i="15" s="1"/>
  <c r="Q36" i="15"/>
  <c r="P36" i="15" s="1"/>
  <c r="O36" i="15" s="1"/>
  <c r="N36" i="15" s="1"/>
  <c r="M36" i="15" s="1"/>
  <c r="P24" i="15"/>
  <c r="O24" i="15"/>
  <c r="N24" i="15"/>
  <c r="P2" i="15"/>
  <c r="O2" i="15"/>
  <c r="I37" i="42"/>
  <c r="F37" i="42"/>
  <c r="I34" i="42"/>
  <c r="F34" i="42"/>
  <c r="E47" i="42" s="1"/>
  <c r="L33" i="42"/>
  <c r="I33" i="42"/>
  <c r="F33" i="42"/>
  <c r="E46" i="42" s="1"/>
  <c r="F30" i="42"/>
  <c r="A6" i="42" s="1"/>
  <c r="I25" i="42"/>
  <c r="F21" i="42"/>
  <c r="F22" i="42" s="1"/>
  <c r="F20" i="42"/>
  <c r="F23" i="42" s="1"/>
  <c r="H2" i="91"/>
  <c r="H56" i="91" s="1"/>
  <c r="G44" i="91"/>
  <c r="P29" i="15" l="1"/>
  <c r="R2" i="15"/>
  <c r="O29" i="15"/>
  <c r="Q2" i="15"/>
  <c r="G16" i="90"/>
  <c r="I16" i="90" s="1"/>
  <c r="R22" i="15"/>
  <c r="F16" i="90"/>
  <c r="H16" i="90" s="1"/>
  <c r="Q22" i="15"/>
  <c r="G15" i="90"/>
  <c r="I15" i="90" s="1"/>
  <c r="R21" i="15"/>
  <c r="G14" i="90"/>
  <c r="I14" i="90" s="1"/>
  <c r="R20" i="15"/>
  <c r="G13" i="90"/>
  <c r="I13" i="90" s="1"/>
  <c r="R18" i="15"/>
  <c r="F13" i="90"/>
  <c r="H13" i="90" s="1"/>
  <c r="Q18" i="15"/>
  <c r="G12" i="90"/>
  <c r="I12" i="90" s="1"/>
  <c r="R17" i="15"/>
  <c r="F12" i="90"/>
  <c r="H12" i="90" s="1"/>
  <c r="Q17" i="15"/>
  <c r="G11" i="90"/>
  <c r="I11" i="90" s="1"/>
  <c r="R16" i="15"/>
  <c r="F11" i="90"/>
  <c r="H11" i="90" s="1"/>
  <c r="Q16" i="15"/>
  <c r="G10" i="90"/>
  <c r="I10" i="90" s="1"/>
  <c r="R14" i="15"/>
  <c r="F10" i="90"/>
  <c r="H10" i="90" s="1"/>
  <c r="Q14" i="15"/>
  <c r="G9" i="90"/>
  <c r="I9" i="90" s="1"/>
  <c r="R13" i="15"/>
  <c r="F9" i="90"/>
  <c r="H9" i="90" s="1"/>
  <c r="Q13" i="15"/>
  <c r="G8" i="90"/>
  <c r="I8" i="90" s="1"/>
  <c r="R12" i="15"/>
  <c r="F8" i="90"/>
  <c r="H8" i="90" s="1"/>
  <c r="Q12" i="15"/>
  <c r="G7" i="90"/>
  <c r="I7" i="90" s="1"/>
  <c r="R10" i="15"/>
  <c r="G6" i="90"/>
  <c r="I6" i="90" s="1"/>
  <c r="R9" i="15"/>
  <c r="I48" i="15"/>
  <c r="I19" i="15"/>
  <c r="Q39" i="15"/>
  <c r="P39" i="15" s="1"/>
  <c r="O39" i="15" s="1"/>
  <c r="N39" i="15" s="1"/>
  <c r="M39" i="15" s="1"/>
  <c r="S39" i="15"/>
  <c r="Q38" i="15"/>
  <c r="P38" i="15" s="1"/>
  <c r="O38" i="15" s="1"/>
  <c r="N38" i="15" s="1"/>
  <c r="M38" i="15" s="1"/>
  <c r="S38" i="15"/>
  <c r="Q35" i="15"/>
  <c r="P35" i="15" s="1"/>
  <c r="O35" i="15" s="1"/>
  <c r="N35" i="15" s="1"/>
  <c r="M35" i="15" s="1"/>
  <c r="S35" i="15"/>
  <c r="I34" i="15"/>
  <c r="I58" i="15"/>
  <c r="R52" i="116"/>
  <c r="R51" i="116"/>
  <c r="K6" i="116"/>
  <c r="Q41" i="15"/>
  <c r="P41" i="15" s="1"/>
  <c r="O41" i="15" s="1"/>
  <c r="N41" i="15" s="1"/>
  <c r="M41" i="15" s="1"/>
  <c r="Q34" i="15"/>
  <c r="P34" i="15" s="1"/>
  <c r="O34" i="15" s="1"/>
  <c r="N34" i="15" s="1"/>
  <c r="M34" i="15" s="1"/>
  <c r="B1" i="221"/>
  <c r="B2" i="221"/>
  <c r="G1" i="90"/>
  <c r="F24" i="42"/>
  <c r="F25" i="42" s="1"/>
  <c r="I38" i="42"/>
  <c r="I39" i="42" s="1"/>
  <c r="I40" i="42" s="1"/>
  <c r="I41" i="42" s="1"/>
  <c r="E48" i="42"/>
  <c r="H44" i="91"/>
  <c r="O23" i="15"/>
  <c r="P23" i="15"/>
  <c r="F38" i="42"/>
  <c r="F39" i="42" s="1"/>
  <c r="F40" i="42" s="1"/>
  <c r="F41" i="42" s="1"/>
  <c r="B6" i="42" s="1"/>
  <c r="F1" i="90"/>
  <c r="A31" i="91"/>
  <c r="A41" i="91"/>
  <c r="B40" i="91"/>
  <c r="B36" i="91"/>
  <c r="A38" i="91"/>
  <c r="A39" i="91"/>
  <c r="B34" i="91"/>
  <c r="A36" i="91"/>
  <c r="B33" i="91"/>
  <c r="B39" i="91"/>
  <c r="B37" i="91"/>
  <c r="A35" i="91"/>
  <c r="B32" i="91"/>
  <c r="A32" i="91"/>
  <c r="B41" i="91"/>
  <c r="A40" i="91"/>
  <c r="B38" i="91"/>
  <c r="A37" i="91"/>
  <c r="B35" i="91"/>
  <c r="A34" i="91"/>
  <c r="B28" i="91"/>
  <c r="B31" i="91"/>
  <c r="A33" i="91"/>
  <c r="B29" i="91"/>
  <c r="A30" i="91"/>
  <c r="A27" i="91"/>
  <c r="A25" i="91"/>
  <c r="B22" i="91"/>
  <c r="B21" i="91"/>
  <c r="A28" i="91"/>
  <c r="B25" i="91"/>
  <c r="B23" i="91"/>
  <c r="A18" i="91"/>
  <c r="B19" i="91"/>
  <c r="A17" i="91"/>
  <c r="B26" i="91"/>
  <c r="A24" i="91"/>
  <c r="B13" i="91"/>
  <c r="B15" i="91"/>
  <c r="A12" i="91"/>
  <c r="B30" i="91"/>
  <c r="A29" i="91"/>
  <c r="B27" i="91"/>
  <c r="A26" i="91"/>
  <c r="B24" i="91"/>
  <c r="A23" i="91"/>
  <c r="A20" i="91"/>
  <c r="A21" i="91"/>
  <c r="B18" i="91"/>
  <c r="B16" i="91"/>
  <c r="A14" i="91"/>
  <c r="A8" i="91"/>
  <c r="A11" i="91"/>
  <c r="B6" i="91"/>
  <c r="A15" i="91"/>
  <c r="B9" i="91"/>
  <c r="B3" i="91"/>
  <c r="A6" i="91"/>
  <c r="A22" i="91"/>
  <c r="B20" i="91"/>
  <c r="A19" i="91"/>
  <c r="B17" i="91"/>
  <c r="A16" i="91"/>
  <c r="B14" i="91"/>
  <c r="B12" i="91"/>
  <c r="B10" i="91"/>
  <c r="A13" i="91"/>
  <c r="B11" i="91"/>
  <c r="A10" i="91"/>
  <c r="B8" i="91"/>
  <c r="A7" i="91"/>
  <c r="B4" i="91"/>
  <c r="A3" i="91"/>
  <c r="A5" i="91"/>
  <c r="A4" i="91"/>
  <c r="A9" i="91"/>
  <c r="B7" i="91"/>
  <c r="B5" i="91"/>
  <c r="N29" i="15"/>
  <c r="I1" i="90" l="1"/>
  <c r="H1" i="90"/>
  <c r="M4" i="221"/>
  <c r="O2" i="221"/>
  <c r="N2" i="221"/>
  <c r="M3" i="221"/>
  <c r="U90" i="116"/>
  <c r="W88" i="116"/>
  <c r="U88" i="116"/>
  <c r="V89" i="116"/>
  <c r="T90" i="116"/>
  <c r="V88" i="116"/>
  <c r="S90" i="116"/>
  <c r="W89" i="116"/>
  <c r="T88" i="116"/>
  <c r="S88" i="116"/>
  <c r="U89" i="116"/>
  <c r="S82" i="116"/>
  <c r="W90" i="116"/>
  <c r="T89" i="116"/>
  <c r="V90" i="116"/>
  <c r="S89" i="116"/>
  <c r="T87" i="116"/>
  <c r="V86" i="116"/>
  <c r="W86" i="116"/>
  <c r="T86" i="116"/>
  <c r="V87" i="116"/>
  <c r="S86" i="116"/>
  <c r="U86" i="116"/>
  <c r="W87" i="116"/>
  <c r="S87" i="116"/>
  <c r="U87" i="116"/>
  <c r="S85" i="116"/>
  <c r="U83" i="116"/>
  <c r="V85" i="116"/>
  <c r="W84" i="116"/>
  <c r="T83" i="116"/>
  <c r="W85" i="116"/>
  <c r="U82" i="116"/>
  <c r="T82" i="116"/>
  <c r="V83" i="116"/>
  <c r="V84" i="116"/>
  <c r="S83" i="116"/>
  <c r="V82" i="116"/>
  <c r="S84" i="116"/>
  <c r="U85" i="116"/>
  <c r="U84" i="116"/>
  <c r="W82" i="116"/>
  <c r="T84" i="116"/>
  <c r="W83" i="116"/>
  <c r="T85" i="116"/>
  <c r="H5" i="116"/>
  <c r="B5" i="116"/>
  <c r="D5" i="116"/>
  <c r="F5" i="116"/>
  <c r="C5" i="116"/>
  <c r="E5" i="116"/>
  <c r="I3" i="116"/>
  <c r="F4" i="116"/>
  <c r="E4" i="116"/>
  <c r="C4" i="116"/>
  <c r="D4" i="116"/>
  <c r="B4" i="116"/>
  <c r="G5" i="116"/>
  <c r="H3" i="116"/>
  <c r="I5" i="116"/>
  <c r="B2" i="116"/>
  <c r="C3" i="116"/>
  <c r="H2" i="116"/>
  <c r="G4" i="116"/>
  <c r="F3" i="116"/>
  <c r="G3" i="116"/>
  <c r="I2" i="116"/>
  <c r="H4" i="116"/>
  <c r="B3" i="116"/>
  <c r="C2" i="116"/>
  <c r="D2" i="116"/>
  <c r="D3" i="116"/>
  <c r="F2" i="116"/>
  <c r="I4" i="116"/>
  <c r="G2" i="116"/>
  <c r="E2" i="116"/>
  <c r="E3" i="116"/>
  <c r="C66" i="91"/>
  <c r="C62" i="91"/>
  <c r="C58" i="91"/>
  <c r="E66" i="91"/>
  <c r="F65" i="91"/>
  <c r="G64" i="91"/>
  <c r="H63" i="91"/>
  <c r="D63" i="91"/>
  <c r="E62" i="91"/>
  <c r="F61" i="91"/>
  <c r="G60" i="91"/>
  <c r="H59" i="91"/>
  <c r="D59" i="91"/>
  <c r="E58" i="91"/>
  <c r="F57" i="91"/>
  <c r="C60" i="91"/>
  <c r="H65" i="91"/>
  <c r="E64" i="91"/>
  <c r="G62" i="91"/>
  <c r="D61" i="91"/>
  <c r="F59" i="91"/>
  <c r="H57" i="91"/>
  <c r="C63" i="91"/>
  <c r="C59" i="91"/>
  <c r="G65" i="91"/>
  <c r="D64" i="91"/>
  <c r="F62" i="91"/>
  <c r="H60" i="91"/>
  <c r="E59" i="91"/>
  <c r="G57" i="91"/>
  <c r="C65" i="91"/>
  <c r="C61" i="91"/>
  <c r="H66" i="91"/>
  <c r="D66" i="91"/>
  <c r="E65" i="91"/>
  <c r="F64" i="91"/>
  <c r="G63" i="91"/>
  <c r="H62" i="91"/>
  <c r="D62" i="91"/>
  <c r="E61" i="91"/>
  <c r="F60" i="91"/>
  <c r="G59" i="91"/>
  <c r="H58" i="91"/>
  <c r="D58" i="91"/>
  <c r="E57" i="91"/>
  <c r="C64" i="91"/>
  <c r="G66" i="91"/>
  <c r="D65" i="91"/>
  <c r="F63" i="91"/>
  <c r="H61" i="91"/>
  <c r="E60" i="91"/>
  <c r="G58" i="91"/>
  <c r="D57" i="91"/>
  <c r="F66" i="91"/>
  <c r="H64" i="91"/>
  <c r="E63" i="91"/>
  <c r="G61" i="91"/>
  <c r="D60" i="91"/>
  <c r="F58" i="91"/>
  <c r="C57" i="91"/>
  <c r="H54" i="91"/>
  <c r="D54" i="91"/>
  <c r="E53" i="91"/>
  <c r="F52" i="91"/>
  <c r="G51" i="91"/>
  <c r="H50" i="91"/>
  <c r="D50" i="91"/>
  <c r="E49" i="91"/>
  <c r="F48" i="91"/>
  <c r="G47" i="91"/>
  <c r="H46" i="91"/>
  <c r="D46" i="91"/>
  <c r="E45" i="91"/>
  <c r="C52" i="91"/>
  <c r="C48" i="91"/>
  <c r="C46" i="91"/>
  <c r="E54" i="91"/>
  <c r="G52" i="91"/>
  <c r="D51" i="91"/>
  <c r="F49" i="91"/>
  <c r="H47" i="91"/>
  <c r="E46" i="91"/>
  <c r="C53" i="91"/>
  <c r="C45" i="91"/>
  <c r="G54" i="91"/>
  <c r="H53" i="91"/>
  <c r="D53" i="91"/>
  <c r="E52" i="91"/>
  <c r="F51" i="91"/>
  <c r="G50" i="91"/>
  <c r="H49" i="91"/>
  <c r="D49" i="91"/>
  <c r="E48" i="91"/>
  <c r="F47" i="91"/>
  <c r="G46" i="91"/>
  <c r="H45" i="91"/>
  <c r="D45" i="91"/>
  <c r="C51" i="91"/>
  <c r="C47" i="91"/>
  <c r="F54" i="91"/>
  <c r="G53" i="91"/>
  <c r="H52" i="91"/>
  <c r="D52" i="91"/>
  <c r="E51" i="91"/>
  <c r="F50" i="91"/>
  <c r="G49" i="91"/>
  <c r="H48" i="91"/>
  <c r="D48" i="91"/>
  <c r="E47" i="91"/>
  <c r="F46" i="91"/>
  <c r="G45" i="91"/>
  <c r="C54" i="91"/>
  <c r="C50" i="91"/>
  <c r="F53" i="91"/>
  <c r="H51" i="91"/>
  <c r="E50" i="91"/>
  <c r="G48" i="91"/>
  <c r="D47" i="91"/>
  <c r="F45" i="91"/>
  <c r="C49" i="91"/>
  <c r="W79" i="116" l="1"/>
  <c r="U79" i="116"/>
  <c r="V79" i="116"/>
  <c r="S79" i="116"/>
  <c r="T79" i="116"/>
  <c r="G48" i="116"/>
  <c r="G47" i="116"/>
  <c r="D7" i="116"/>
  <c r="N7" i="116" s="1"/>
  <c r="D6" i="116"/>
  <c r="N6" i="116" s="1"/>
  <c r="C7" i="116"/>
  <c r="M7" i="116" s="1"/>
  <c r="H6" i="116"/>
  <c r="B7" i="116"/>
  <c r="L7" i="116" s="1"/>
  <c r="I6" i="116"/>
  <c r="H7" i="116"/>
  <c r="E6" i="116"/>
  <c r="O6" i="116" s="1"/>
  <c r="G7" i="116"/>
  <c r="G6" i="116"/>
  <c r="C6" i="116"/>
  <c r="M6" i="116" s="1"/>
  <c r="F7" i="116"/>
  <c r="P7" i="116" s="1"/>
  <c r="F6" i="116"/>
  <c r="P6" i="116" s="1"/>
  <c r="B6" i="116"/>
  <c r="L6" i="116" s="1"/>
  <c r="E7" i="116"/>
  <c r="O7" i="116" s="1"/>
  <c r="I7" i="116"/>
  <c r="W81" i="116"/>
  <c r="S81" i="116"/>
  <c r="V81" i="116"/>
  <c r="T81" i="116"/>
  <c r="U81" i="116"/>
</calcChain>
</file>

<file path=xl/comments1.xml><?xml version="1.0" encoding="utf-8"?>
<comments xmlns="http://schemas.openxmlformats.org/spreadsheetml/2006/main">
  <authors>
    <author>Adriana Orellana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>Adriana Orellana: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20"/>
            <color indexed="81"/>
            <rFont val="Tahoma"/>
            <family val="2"/>
          </rPr>
          <t>se deben colocar sobre la columna del año actual los circulos rojos o verdes en funcion a las diferencias menores a -5 inclusive o mayores 5 inclusive, las diferencias deben tomarse las de la columna G.
Verificar que todas las sentencias esten incluídas y sean las que correspondan con el TI</t>
        </r>
      </text>
    </comment>
  </commentList>
</comments>
</file>

<file path=xl/comments2.xml><?xml version="1.0" encoding="utf-8"?>
<comments xmlns="http://schemas.openxmlformats.org/spreadsheetml/2006/main">
  <authors>
    <author>Adriana Orellana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 xml:space="preserve">Adriana Orellana: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20"/>
            <color indexed="81"/>
            <rFont val="Tahoma"/>
            <family val="2"/>
          </rPr>
          <t>se deben colocar sobre la columna del año actual los circulos rojos o verdes en funcion a las diferencias menores a -5 inclusive o mayores 5 inclusive, las diferencias deben tomarse las de la columna G.
Verificar que todas las sentencias esten incluídas y sean las que correspondan con el TI</t>
        </r>
      </text>
    </comment>
  </commentList>
</comments>
</file>

<file path=xl/sharedStrings.xml><?xml version="1.0" encoding="utf-8"?>
<sst xmlns="http://schemas.openxmlformats.org/spreadsheetml/2006/main" count="3254" uniqueCount="883">
  <si>
    <t>La oportunidad de crecer y desarrollarme profesionalmente</t>
  </si>
  <si>
    <t>Otro motivo</t>
  </si>
  <si>
    <t>Cantidad de Respuestas</t>
  </si>
  <si>
    <t>CREDIBILIDAD</t>
  </si>
  <si>
    <t>Los jefes me mantienen informado acerca de temas y cambios importantes.</t>
  </si>
  <si>
    <t>Los jefes comunican claramente sus expectativas.</t>
  </si>
  <si>
    <t>Puedo hacer cualquier pregunta razonable a los jefes y recibir una respuesta directa.</t>
  </si>
  <si>
    <t>Los jefes son accesibles y es fácil hablar con ellos.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</si>
  <si>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</si>
  <si>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</si>
  <si>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</si>
  <si>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Los jefes confían en que la gente hace un buen trabajo sin tener que supervisarla continuamente.</t>
  </si>
  <si>
    <t>Aquí nos dan la autonomía necesaria para realizar nuestro trabajo en forma adecuada.</t>
  </si>
  <si>
    <t>Los jefes tienen una visión clara de hacia dónde va la organización y cómo lograrlo.</t>
  </si>
  <si>
    <t>Los jefes cumplen con sus promesas.</t>
  </si>
  <si>
    <t>Los jefes hacen lo que dicen.</t>
  </si>
  <si>
    <t>Creo que aquí habría un despido masivo sólo como última opción.</t>
  </si>
  <si>
    <t>Los jefes conducen el negocio honesta y éticamente.</t>
  </si>
  <si>
    <t>RESPETO</t>
  </si>
  <si>
    <t>Me ofrecen capacitación u otras formas de desarrollo para crecer laboralmente.</t>
  </si>
  <si>
    <t>Me dan los recursos y equipos para hacer mi trabajo.</t>
  </si>
  <si>
    <t>Los jefes reconocen el buen trabajo y el esfuerzo extra.</t>
  </si>
  <si>
    <t>Los jefes aceptan que puedan cometerse errores involuntarios al hacer el trabajo.</t>
  </si>
  <si>
    <t>Los jefes incentivan, consideran y responden genuinamente a nuestras ideas y sugerencias.</t>
  </si>
  <si>
    <t>Los jefes involucran a las personas en decisiones que afectan sus actividades o su ambiente de trabajo.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</si>
  <si>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</si>
  <si>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</si>
  <si>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</si>
  <si>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</si>
  <si>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</si>
  <si>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</si>
  <si>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</si>
  <si>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IMPARCIALIDAD</t>
  </si>
  <si>
    <t>Aquí el personal recibe un pago adecuado por su trabajo.</t>
  </si>
  <si>
    <t>Siento que recibo una parte justa de las ganancias de esta organización.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</si>
  <si>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</si>
  <si>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</si>
  <si>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</si>
  <si>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</si>
  <si>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</si>
  <si>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</si>
  <si>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</si>
  <si>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</si>
  <si>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</si>
  <si>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Si soy tratado injustamente, creo que tendré la oportunidad de ser escuchado y de recibir un trato justo.</t>
  </si>
  <si>
    <t>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</si>
  <si>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</si>
  <si>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</si>
  <si>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</si>
  <si>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</si>
  <si>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</si>
  <si>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</si>
  <si>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</si>
  <si>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</si>
  <si>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CAMARADERÍA</t>
  </si>
  <si>
    <t>Puedo ser yo mismo en mi lugar de trabajo.</t>
  </si>
  <si>
    <t>Aquí celebramos acontecimientos especiales.</t>
  </si>
  <si>
    <t>Aquí las personas se preocupan por los demás.</t>
  </si>
  <si>
    <t>Este es un lugar amigable para trabajar.</t>
  </si>
  <si>
    <t>Resulta entretenido trabajar aquí.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</si>
  <si>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</si>
  <si>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</si>
  <si>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</si>
  <si>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</si>
  <si>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</si>
  <si>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Gptw</t>
  </si>
  <si>
    <t>Teniendo en cuenta todo, yo diría que este es un excelente lugar para trabajar.</t>
  </si>
  <si>
    <t>Sub-dimensión</t>
  </si>
  <si>
    <t>Nº</t>
  </si>
  <si>
    <t>Sentencia</t>
  </si>
  <si>
    <t>Comunicación</t>
  </si>
  <si>
    <t>Información</t>
  </si>
  <si>
    <t>Accesibilidad</t>
  </si>
  <si>
    <t>Competencia</t>
  </si>
  <si>
    <t>Coordinación</t>
  </si>
  <si>
    <t>Delegación</t>
  </si>
  <si>
    <t>Visión</t>
  </si>
  <si>
    <t>Integridad</t>
  </si>
  <si>
    <t>Confiabilidad</t>
  </si>
  <si>
    <t>Honestidad</t>
  </si>
  <si>
    <t>Respaldo</t>
  </si>
  <si>
    <t>Valoración Profesional</t>
  </si>
  <si>
    <t>Valoración Personal</t>
  </si>
  <si>
    <t>Participación</t>
  </si>
  <si>
    <t>Involucrar</t>
  </si>
  <si>
    <t>Cuidado de las Personas</t>
  </si>
  <si>
    <t>Ambiente de Trabajo</t>
  </si>
  <si>
    <t>Vida Personal</t>
  </si>
  <si>
    <t>Equidad</t>
  </si>
  <si>
    <t>Remuneración</t>
  </si>
  <si>
    <t>Trato</t>
  </si>
  <si>
    <t>Ausencia de Favoritismo</t>
  </si>
  <si>
    <t>Justicia</t>
  </si>
  <si>
    <t>Discriminación</t>
  </si>
  <si>
    <t>Apelación</t>
  </si>
  <si>
    <t>Trabajo Personal</t>
  </si>
  <si>
    <t>Equipo</t>
  </si>
  <si>
    <t>Empresa</t>
  </si>
  <si>
    <t>Relaciones Interpersonales</t>
  </si>
  <si>
    <t>Hospitalidad</t>
  </si>
  <si>
    <t>Bienestar</t>
  </si>
  <si>
    <t>Bienvenida</t>
  </si>
  <si>
    <t>Sentido de Pertenencia</t>
  </si>
  <si>
    <t>Pregunta General</t>
  </si>
  <si>
    <t>ADICIONAL</t>
  </si>
  <si>
    <t>Dimensión</t>
  </si>
  <si>
    <t>Sub-Dimensión</t>
  </si>
  <si>
    <t/>
  </si>
  <si>
    <t>Ficha técnica</t>
  </si>
  <si>
    <t>Resultados Generales</t>
  </si>
  <si>
    <t>Indicadores globales – Ambiente de trabajo</t>
  </si>
  <si>
    <t>Resultados CONFIANZA – _x000B_Dimensión Credibilidad</t>
  </si>
  <si>
    <t>Resultados CONFIANZA – _x000B_Dimensión Respeto</t>
  </si>
  <si>
    <t>Resultados CONFIANZA – _x000B_Dimensión Imparcialidad</t>
  </si>
  <si>
    <t>Resultados _x000B_Dimensión Orgullo</t>
  </si>
  <si>
    <t>Resultados _x000B_Dimensión Camaradería</t>
  </si>
  <si>
    <t>Síntesis de dimensiones y sub-dimensiones</t>
  </si>
  <si>
    <t>Fortalezas Confianza</t>
  </si>
  <si>
    <t>Oportunidad de Mejora Confianza</t>
  </si>
  <si>
    <t>credibilidad2</t>
  </si>
  <si>
    <t>respeto2</t>
  </si>
  <si>
    <t>imparcialidad2</t>
  </si>
  <si>
    <t>orgullo2</t>
  </si>
  <si>
    <t>camaraderia2</t>
  </si>
  <si>
    <t>gráfico</t>
  </si>
  <si>
    <t>Imparcialidad</t>
  </si>
  <si>
    <t>Credibilidad</t>
  </si>
  <si>
    <t>Respeto</t>
  </si>
  <si>
    <t>Título</t>
  </si>
  <si>
    <t>Referencia</t>
  </si>
  <si>
    <t>Alto</t>
  </si>
  <si>
    <t>Ancho</t>
  </si>
  <si>
    <t>Dato</t>
  </si>
  <si>
    <t>Objeto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</si>
  <si>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</si>
  <si>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</si>
  <si>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</si>
  <si>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</si>
  <si>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</si>
  <si>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</si>
  <si>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</si>
  <si>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</si>
  <si>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</si>
  <si>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</si>
  <si>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</si>
  <si>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</si>
  <si>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Cuadrado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</si>
  <si>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</si>
  <si>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</si>
  <si>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</si>
  <si>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</si>
  <si>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</si>
  <si>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</si>
  <si>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</si>
  <si>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</si>
  <si>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</si>
  <si>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</si>
  <si>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ficha</t>
  </si>
  <si>
    <t>PROM. GENERAL</t>
  </si>
  <si>
    <t>Demo4</t>
  </si>
  <si>
    <t>Demo2</t>
  </si>
  <si>
    <t>Demo3</t>
  </si>
  <si>
    <t>Demo1</t>
  </si>
  <si>
    <t>Demo5</t>
  </si>
  <si>
    <t>Promedio General</t>
  </si>
  <si>
    <t>ACTUAL</t>
  </si>
  <si>
    <t>ANTERIOR</t>
  </si>
  <si>
    <t>Base Actual</t>
  </si>
  <si>
    <t>DemoG1</t>
  </si>
  <si>
    <t>DemoG2</t>
  </si>
  <si>
    <t>DemoG3</t>
  </si>
  <si>
    <t>DemoG4</t>
  </si>
  <si>
    <t>DemoG5</t>
  </si>
  <si>
    <t>DemoG6</t>
  </si>
  <si>
    <t>DemoG7</t>
  </si>
  <si>
    <t>DemoG8</t>
  </si>
  <si>
    <t>DemoG9</t>
  </si>
  <si>
    <t>DemoG10</t>
  </si>
  <si>
    <t>DemoG11</t>
  </si>
  <si>
    <t>DemoG12</t>
  </si>
  <si>
    <t>DemoG13</t>
  </si>
  <si>
    <t>DemoG14</t>
  </si>
  <si>
    <t>CONTROL</t>
  </si>
  <si>
    <t>x</t>
  </si>
  <si>
    <t>Si tiene año de comparación poner "x" --&gt;</t>
  </si>
  <si>
    <t>Percepción General</t>
  </si>
  <si>
    <t>Promedio Confianza</t>
  </si>
  <si>
    <t>La remuneración y los beneficios que me brinda la empresa</t>
  </si>
  <si>
    <t>El saber que el despido es un recurso de última instancia</t>
  </si>
  <si>
    <t>General</t>
  </si>
  <si>
    <t>El hecho de que puedo armonizar el trabajo con mi vida personal</t>
  </si>
  <si>
    <t>“Comente brevemente aquello que considera EXCEPCIONAL_x000D_ de su empresa y que la convierte en un excelente lugar para trabajar”</t>
  </si>
  <si>
    <t>“Comente brevemente aquello que considera que, a su juicio, debería MODIFICARSE_x000D_para hacer de su empresa un lugar aún mejor ”</t>
  </si>
  <si>
    <t>Resultados por Dimensión</t>
  </si>
  <si>
    <t xml:space="preserve">CONFIANZA: Fortalezas y Oportunidades de Mejora </t>
  </si>
  <si>
    <t>Resultados por Dimensiones Evolutivo</t>
  </si>
  <si>
    <t>Resultados por Dimensiones</t>
  </si>
  <si>
    <t>Indicadores globales –Ambiente de trabajo_x000B_Evolución</t>
  </si>
  <si>
    <t>Motivo permanecia</t>
  </si>
  <si>
    <t>Resultados por demografías Resultados 2011</t>
  </si>
  <si>
    <t>dimensiones_ult</t>
  </si>
  <si>
    <t>dimensiones_evol</t>
  </si>
  <si>
    <t>Orgullo</t>
  </si>
  <si>
    <t>Camaraderia</t>
  </si>
  <si>
    <t>indicadorglobal</t>
  </si>
  <si>
    <t>indicadores_globales_evol</t>
  </si>
  <si>
    <t>grafico2</t>
  </si>
  <si>
    <t>conpos</t>
  </si>
  <si>
    <t>conneg</t>
  </si>
  <si>
    <t>VER</t>
  </si>
  <si>
    <t>35 a 44 años</t>
  </si>
  <si>
    <t>&lt;&lt;&lt;&lt;&lt;&lt;&lt;&lt;&lt;&lt;&lt;</t>
  </si>
  <si>
    <t>a</t>
  </si>
  <si>
    <t>a1</t>
  </si>
  <si>
    <t>a2</t>
  </si>
  <si>
    <t>a3</t>
  </si>
  <si>
    <t>a4</t>
  </si>
  <si>
    <t>a5</t>
  </si>
  <si>
    <t>a6</t>
  </si>
  <si>
    <t>a7</t>
  </si>
  <si>
    <t>a8</t>
  </si>
  <si>
    <t>DemoG15</t>
  </si>
  <si>
    <t>DemoG16</t>
  </si>
  <si>
    <t>DemoG17</t>
  </si>
  <si>
    <t>DemoG18</t>
  </si>
  <si>
    <t>DemoG19</t>
  </si>
  <si>
    <t>DemoG20</t>
  </si>
  <si>
    <t>Datos de participación</t>
  </si>
  <si>
    <t>Población encuestada</t>
  </si>
  <si>
    <t>Tasa de Respuesta</t>
  </si>
  <si>
    <t>Cierre de encuesta</t>
  </si>
  <si>
    <t>Tipo de encuesta</t>
  </si>
  <si>
    <t>1)</t>
  </si>
  <si>
    <t>Actualizar los datos con el nuevo TI realizar el siguiente comando.</t>
  </si>
  <si>
    <t>2)</t>
  </si>
  <si>
    <t>Actualizar / controlar los datos en las siguientes solapas.</t>
  </si>
  <si>
    <t>Solapa</t>
  </si>
  <si>
    <t>Ficha Técnica</t>
  </si>
  <si>
    <t>Actualizar datos</t>
  </si>
  <si>
    <t>DetalleDimension</t>
  </si>
  <si>
    <t>Celda F3</t>
  </si>
  <si>
    <t>Actualizar el nombre del rótulo según como quieran que se vea en el informe</t>
  </si>
  <si>
    <t>Celda G3</t>
  </si>
  <si>
    <t>Celda H3</t>
  </si>
  <si>
    <t>Dimensiones</t>
  </si>
  <si>
    <t>En los primeros 7 gráficos controlar que los datos no se superpongan</t>
  </si>
  <si>
    <t>ültimos 2 gráficos ver de actualizar los datos del evolutivo en la solapa anterior "Dimensiones"</t>
  </si>
  <si>
    <t>uno en los siguientes rangos M35:Q39</t>
  </si>
  <si>
    <t>uno en los siguientes rangos M42:Q44</t>
  </si>
  <si>
    <t>Sintesis</t>
  </si>
  <si>
    <t>No hay que controlar</t>
  </si>
  <si>
    <t>Evolución sintesis</t>
  </si>
  <si>
    <t>Tabla</t>
  </si>
  <si>
    <t>Controlar que hayan 7 máximo por tabla</t>
  </si>
  <si>
    <t>Puede haber un total de 20 tablas</t>
  </si>
  <si>
    <t>En el caso que uno necesite realizar más de 20 tablas o bien realizar tablas a medida realizar los siguientes pasos</t>
  </si>
  <si>
    <t>Duplicar la hoja de TI COPIA que se genera al correr el primer comando SHIFT+CTRL+P o bien importar/copiar la hoja del TI dentro de libro "TI - informe (SH).xlsm"</t>
  </si>
  <si>
    <t>Ojo siempre dejar la columna del Total y cada demografía tiene que estar separada por una columna en BLANCO</t>
  </si>
  <si>
    <t xml:space="preserve">Luego seleccionar la hoja del TI copiado o modificado y correr el siguiente comando SHIFT+CTRL+B </t>
  </si>
  <si>
    <t>Lo que hace la macro es copiar la solapa "Demo" y "Tabla" actualiza los datos con del TI que uno seleccionó</t>
  </si>
  <si>
    <t>Demo</t>
  </si>
  <si>
    <t>Chequear que los rótulos de los gráficos del torta no estén superpuestos</t>
  </si>
  <si>
    <t>Motivo</t>
  </si>
  <si>
    <t>Radar</t>
  </si>
  <si>
    <t>NO SE MODIFICAN</t>
  </si>
  <si>
    <t>Hoja2</t>
  </si>
  <si>
    <t>radar1</t>
  </si>
  <si>
    <t>Fijarse que los rectangulos se fijen cerca del gráfico y que coincidan los colores según el área al que correspondan.</t>
  </si>
  <si>
    <t>Indice</t>
  </si>
  <si>
    <t xml:space="preserve">Las filas que figuran en </t>
  </si>
  <si>
    <t>corresponden a los charts / slides de template en powerpoint que NO se modifican</t>
  </si>
  <si>
    <t xml:space="preserve">Actualizar los campos que figuran en </t>
  </si>
  <si>
    <t>Hay que controlar que la palabra coincida con el nombre del título que figura en la celda de al lado</t>
  </si>
  <si>
    <t>ej: en el siguiente ejemplo lo que se modifica es donde dice "DemoG4" se va cambiando el número hasta que coincidan lo que figura en rojo</t>
  </si>
  <si>
    <t>Cargo</t>
  </si>
  <si>
    <t>Importante en la celda C87 tiene que coincidir con el gráfico de torta de Feedback, en la celda de abajo es con la tabla de Feedback</t>
  </si>
  <si>
    <t>Finalizado el control correr la macro  que prepara el .pptx con el siguiente comando</t>
  </si>
  <si>
    <t>SHIFT+CTRL+M</t>
  </si>
  <si>
    <t>DemoG21</t>
  </si>
  <si>
    <t>DemoG22</t>
  </si>
  <si>
    <t>DemoG23</t>
  </si>
  <si>
    <t>DemoG24</t>
  </si>
  <si>
    <t>DemoG25</t>
  </si>
  <si>
    <t>DemoG26</t>
  </si>
  <si>
    <t>DemoG27</t>
  </si>
  <si>
    <t>DemoG28</t>
  </si>
  <si>
    <t>DemoG29</t>
  </si>
  <si>
    <t>DemoG30</t>
  </si>
  <si>
    <t>CTRL+P</t>
  </si>
  <si>
    <t>Argentina</t>
  </si>
  <si>
    <t>Demo6</t>
  </si>
  <si>
    <t>Online</t>
  </si>
  <si>
    <t>Edad</t>
  </si>
  <si>
    <t>Género</t>
  </si>
  <si>
    <t>9 Rectángulo</t>
  </si>
  <si>
    <t>Picture 2</t>
  </si>
  <si>
    <t>TextBox 16</t>
  </si>
  <si>
    <t>1 Título</t>
  </si>
  <si>
    <t>TextBox 6</t>
  </si>
  <si>
    <t>Picture 5</t>
  </si>
  <si>
    <t>Rectangle 4</t>
  </si>
  <si>
    <t>Rectangle 6</t>
  </si>
  <si>
    <t>TextBox 2</t>
  </si>
  <si>
    <t>TextBox 28</t>
  </si>
  <si>
    <t>Rectangle 29</t>
  </si>
  <si>
    <t>Straight Connector 3</t>
  </si>
  <si>
    <t>TextBox 26</t>
  </si>
  <si>
    <t>Straight Connector 13</t>
  </si>
  <si>
    <t>Straight Connector 14</t>
  </si>
  <si>
    <t>Rectangle 15</t>
  </si>
  <si>
    <t>Rectangle 16</t>
  </si>
  <si>
    <t>Subtitle 2</t>
  </si>
  <si>
    <t>31 Rectángulo</t>
  </si>
  <si>
    <t>Straight Connector 30</t>
  </si>
  <si>
    <t>Straight Connector 25</t>
  </si>
  <si>
    <t>Straight Connector 26</t>
  </si>
  <si>
    <t>Rectangle 11</t>
  </si>
  <si>
    <t>Text Box 760</t>
  </si>
  <si>
    <t>Text Box 761</t>
  </si>
  <si>
    <t>TextBox 18</t>
  </si>
  <si>
    <t>TextBox 21</t>
  </si>
  <si>
    <t>TextBox 8</t>
  </si>
  <si>
    <t>Rectangle 13</t>
  </si>
  <si>
    <t>TextBox 3</t>
  </si>
  <si>
    <t>Slide Number Placeholder 3</t>
  </si>
  <si>
    <t>Content Placeholder 2</t>
  </si>
  <si>
    <t>Herramienta</t>
  </si>
  <si>
    <t>Benchmarks</t>
  </si>
  <si>
    <t>Porcentaje de Participación por Demografías</t>
  </si>
  <si>
    <t>Representa el promedio aritmético de las 58 sentencias que conforman el Modelo©.</t>
  </si>
  <si>
    <t>Sentencia 58: “Teniendo en cuenta todo, yo diría que este es un excelente lugar para trabajar”</t>
  </si>
  <si>
    <t>Dimensión que evalúa el Respaldo, la Participación y _x000D_el Cuidado de las personas._x000D_</t>
  </si>
  <si>
    <t>Dimensión que evalúa la _x000D_Equidad, la Ausencia de favoritismo y la Justicia.</t>
  </si>
  <si>
    <t>Expresa la forma en que los empleados se relacionan con su Trabajo, con su Equipo y con la Institución.</t>
  </si>
  <si>
    <t>Evalúa la calidad de las Relaciones Interpersonales, _x000D_la Hospitalidad y el Sentido de pertenencia.</t>
  </si>
  <si>
    <t>Camaradería</t>
  </si>
  <si>
    <t>“Comente brevemente aquello que considera que, a su juicio, debería MODIFICARSE  _x000D_para hacer de su empresa un lugar aún mejor ”</t>
  </si>
  <si>
    <t>La Credibilidad evalúa la medida en que los jefes comunican adecuadamente acerca de los planes de la compañía, cuando son reconocidos por su habilidad para coordinar y delegar las tareas, y cuando su comportamiento demuestra integridad.</t>
  </si>
  <si>
    <t>Indica una diferencia significativa  positiva mayor a los 5 puntos porcentuales respecto al año anterior.</t>
  </si>
  <si>
    <t>Indica una diferencia significativa  negativa mayor a los 5 puntos porcentuales respecto al año anterior.</t>
  </si>
  <si>
    <t>Resultados Confianza - Dimensión Respeto</t>
  </si>
  <si>
    <t>Resultados Confianza - Dimensión Imparcialidad</t>
  </si>
  <si>
    <t>Nota: Se muestran las primeras 10 sentencias con diferencias significativas mayores a los 5 puntos porcentuales respecto al Promedio General.</t>
  </si>
  <si>
    <t>Oportunidades de Mejora Confianza</t>
  </si>
  <si>
    <t>Promedio y Percepción Gral</t>
  </si>
  <si>
    <t>BASE</t>
  </si>
  <si>
    <t>Promedio CREDIBILIDAD</t>
  </si>
  <si>
    <t>Promedio RESPETO</t>
  </si>
  <si>
    <t>Promedio IMPARCIALIDAD</t>
  </si>
  <si>
    <t>Promedio ORGULLO</t>
  </si>
  <si>
    <t>Promedio CAMARADERÍA</t>
  </si>
  <si>
    <t>Demo7</t>
  </si>
  <si>
    <t>Demo8</t>
  </si>
  <si>
    <t>Demo9</t>
  </si>
  <si>
    <t>Demo10</t>
  </si>
  <si>
    <t>Demo11</t>
  </si>
  <si>
    <t>Demo12</t>
  </si>
  <si>
    <t>Demo13</t>
  </si>
  <si>
    <t>Demo14</t>
  </si>
  <si>
    <t>Demo15</t>
  </si>
  <si>
    <t>Demo16</t>
  </si>
  <si>
    <t>Demo17</t>
  </si>
  <si>
    <t>Demo18</t>
  </si>
  <si>
    <t>Demo19</t>
  </si>
  <si>
    <t>Demo20</t>
  </si>
  <si>
    <t>Demo21</t>
  </si>
  <si>
    <t>Demo22</t>
  </si>
  <si>
    <t>Demo23</t>
  </si>
  <si>
    <t>Demo24</t>
  </si>
  <si>
    <t>Demo25</t>
  </si>
  <si>
    <t>Demo26</t>
  </si>
  <si>
    <t>Demo27</t>
  </si>
  <si>
    <t>Demo28</t>
  </si>
  <si>
    <t>Demo29</t>
  </si>
  <si>
    <t>Demo30</t>
  </si>
  <si>
    <t>Resultados por Cargo</t>
  </si>
  <si>
    <t>Resultados por Edad</t>
  </si>
  <si>
    <t>Resultados por Género</t>
  </si>
  <si>
    <t>Resultados por Nivel de Estudios</t>
  </si>
  <si>
    <t>Resultados por Antigüedad</t>
  </si>
  <si>
    <t>Resultados por Localidad</t>
  </si>
  <si>
    <t>Resultados por Gerencias</t>
  </si>
  <si>
    <t>Resultados por Jornada Laboral</t>
  </si>
  <si>
    <t>Porcentaje de Participación por Demografías Cantidad de Reuniones de Devolución (Feedback)</t>
  </si>
  <si>
    <t>Resultados por Cantidad de reuniones de Devolución (Feedback) Evolución Promedio General</t>
  </si>
  <si>
    <t>ETIQUETA</t>
  </si>
  <si>
    <t>Comparación con año anterior y Benchmark</t>
  </si>
  <si>
    <t>6 Rectángulo</t>
  </si>
  <si>
    <t>Title 4</t>
  </si>
  <si>
    <t>Group 7</t>
  </si>
  <si>
    <t>Rectangle 9</t>
  </si>
  <si>
    <t>TextBox 1</t>
  </si>
  <si>
    <t>TextBox 9</t>
  </si>
  <si>
    <t>TextBox 29</t>
  </si>
  <si>
    <t>Straight Connector 7</t>
  </si>
  <si>
    <t>Straight Connector 11</t>
  </si>
  <si>
    <t>Table 14</t>
  </si>
  <si>
    <t>Uruguay</t>
  </si>
  <si>
    <t>Paraguay</t>
  </si>
  <si>
    <t>Bolivia</t>
  </si>
  <si>
    <t>79%</t>
  </si>
  <si>
    <t>95%</t>
  </si>
  <si>
    <t>Tasa de respuesta</t>
  </si>
  <si>
    <t>La encuesta Trust Index© contiene 58 afirmaciones en una escala Likert (1 a 5) que presenta las siguientes opciones:_x000D_</t>
  </si>
  <si>
    <t>Trust Index©: Metodología utilizada</t>
  </si>
  <si>
    <t xml:space="preserve">escala Likert </t>
  </si>
  <si>
    <t>Evolución Promedio General</t>
  </si>
  <si>
    <t>Menos de 25 años</t>
  </si>
  <si>
    <t>25 a 34 años</t>
  </si>
  <si>
    <t>45 a 54 años</t>
  </si>
  <si>
    <t>55 años o más</t>
  </si>
  <si>
    <t>4 Título</t>
  </si>
  <si>
    <t>1 Imagen</t>
  </si>
  <si>
    <t>3 Imagen</t>
  </si>
  <si>
    <t>5 Título</t>
  </si>
  <si>
    <t>2 Marcador de contenido</t>
  </si>
  <si>
    <t>14 CuadroTexto</t>
  </si>
  <si>
    <t>16 CuadroTexto</t>
  </si>
  <si>
    <t>19 CuadroTexto</t>
  </si>
  <si>
    <t>21 CuadroTexto</t>
  </si>
  <si>
    <t>24 CuadroTexto</t>
  </si>
  <si>
    <t>20 Rectángulo</t>
  </si>
  <si>
    <t>15 Marcador de contenido</t>
  </si>
  <si>
    <t>Title 1</t>
  </si>
  <si>
    <t>4 Imagen</t>
  </si>
  <si>
    <t>5 Imagen</t>
  </si>
  <si>
    <t>Subtitle 3</t>
  </si>
  <si>
    <t>Picture 3</t>
  </si>
  <si>
    <t>Informe de Resultados Trust Index©</t>
  </si>
  <si>
    <t>Contenido</t>
  </si>
  <si>
    <t>Nuestro abordaje</t>
  </si>
  <si>
    <t>Benchmark</t>
  </si>
  <si>
    <t>Objetivos del Informe</t>
  </si>
  <si>
    <t>El nivel de confianza y la calidad de las relaciones en la organización</t>
  </si>
  <si>
    <t xml:space="preserve">Las experiencias de los colaboradores en la organización con aquéllas de los Mejores Lugares para Trabajar y con el Mercado </t>
  </si>
  <si>
    <t>Los cambios experimentados en las percepciones de los colaboradores</t>
  </si>
  <si>
    <t>Las diferentes tendencias según los cortes demográficos</t>
  </si>
  <si>
    <t>Presentación de resultados</t>
  </si>
  <si>
    <t>Colaboradores Encuestados</t>
  </si>
  <si>
    <t>Nivel de confianza</t>
  </si>
  <si>
    <t>Margen de error</t>
  </si>
  <si>
    <t>Categoría: Más de 1000 empleados</t>
  </si>
  <si>
    <t>Categoría: 251 a 1000 empleados</t>
  </si>
  <si>
    <t>Categoría: Hasta 250 empleados</t>
  </si>
  <si>
    <t>Características del Benchmark</t>
  </si>
  <si>
    <t>Las Mejores / Mercado</t>
  </si>
  <si>
    <t>Para la elaboración de este informe se considera la siguiente información obtenida a través del formulario Trust Index© que completan los colaboradores:_x000D_</t>
  </si>
  <si>
    <t>Fuentes de Información</t>
  </si>
  <si>
    <t>Indicadores Globales</t>
  </si>
  <si>
    <t>Dimensión que_x000D_evalúa la_x000D_Comunicación,_x000D_Competencia e_x000D_Integridad de _x000D_los jefes.</t>
  </si>
  <si>
    <t xml:space="preserve">Resultados por demografías </t>
  </si>
  <si>
    <t>Cantidad de Reuniones de Devolución (Feedback)</t>
  </si>
  <si>
    <t>Motivo de Permanencia</t>
  </si>
  <si>
    <t>Relación Motivo de Permanencia vs Percepción y Promedio General</t>
  </si>
  <si>
    <t>Interpretando sus resultados</t>
  </si>
  <si>
    <t>Definiendo Acciones</t>
  </si>
  <si>
    <t>Trust Index© : ¿Cómo se interpretan los datos?</t>
  </si>
  <si>
    <t>Listado de Comentarios</t>
  </si>
  <si>
    <t>Conozco y comprendo la Visión y Estrategia de Oracle Latinoamérica.</t>
  </si>
  <si>
    <t>Los Valores de Oracle LAD son la guía de mi comportamiento en el trabajo.</t>
  </si>
  <si>
    <t>Mi jefe y yo hemos acordado mis objetivos alineados con la estrategia de Oracle LAD.</t>
  </si>
  <si>
    <t>Comprendo la contribución de las otras áreas a los objetivos estratégicos de Oracle Latinoamérica.</t>
  </si>
  <si>
    <t>En el área que me desempeño estamos comprometidos con la satisfacción de nuestros clientes.</t>
  </si>
  <si>
    <t>La gerencia me comunicó los resultados de la encuesta anterior.</t>
  </si>
  <si>
    <t>La gerencia me comunicó los planes de acción elaborados para mejorar nuestro ambiente de trabajo basado en el feedback de la encuesta anterior.</t>
  </si>
  <si>
    <t>Nuestra Visión, Valores e Iniciativas Estratégicas están transformando la cultura de Oracle Latinoamérica, convirtiéndola en un mejor lugar para trabajar.</t>
  </si>
  <si>
    <t>Mi jefe contribuye positivamente a que nuestra empresa sea el mejor lugar para trabajar en la Industria de IT.</t>
  </si>
  <si>
    <t>Tengo un "development plan" que ha sido revisado con mi jefe.</t>
  </si>
  <si>
    <t>Informe de Resultados TI 2016 - 10 Mejores.pptx</t>
  </si>
  <si>
    <t>G:\Argentina\Operaciones\Material Campaña 2016\Argentina\Templates</t>
  </si>
  <si>
    <t>Prom. Gral. Cons</t>
  </si>
  <si>
    <t>Percepción Gral.</t>
  </si>
  <si>
    <t>Leyenda:</t>
  </si>
  <si>
    <t>Los valores se muestran sin decimales.</t>
  </si>
  <si>
    <t>Promedio por Dimensión: Representa el porcentaje de respuestas con valores 4 y 5 para el total de preguntas efectivamente respondidas que la componen.</t>
  </si>
  <si>
    <r>
      <t xml:space="preserve">Cambiar el número de Celda A1 hasta que coincida con los datos de </t>
    </r>
    <r>
      <rPr>
        <b/>
        <sz val="11"/>
        <color theme="1"/>
        <rFont val="Arial"/>
        <family val="2"/>
      </rPr>
      <t>Motivo</t>
    </r>
  </si>
  <si>
    <r>
      <t>Porcentaje de Participación por Demografías</t>
    </r>
    <r>
      <rPr>
        <b/>
        <sz val="11"/>
        <color rgb="FFFF0000"/>
        <rFont val="Arial"/>
        <family val="2"/>
      </rPr>
      <t>_x000B_Cargo</t>
    </r>
  </si>
  <si>
    <t>Motivo2</t>
  </si>
  <si>
    <t>C:\Users\Francisco\Dropbox\GPTW\TI</t>
  </si>
  <si>
    <t>Posgrado</t>
  </si>
  <si>
    <t>Zona 5C</t>
  </si>
  <si>
    <t>Zona 5D</t>
  </si>
  <si>
    <t>Zona 5E</t>
  </si>
  <si>
    <t>Promedios</t>
  </si>
  <si>
    <t>100 a 86%</t>
  </si>
  <si>
    <t>60 a 45%</t>
  </si>
  <si>
    <t>85 a 61%</t>
  </si>
  <si>
    <t>44 a 0%</t>
  </si>
  <si>
    <t>PRESENTACIÓN COMERCIAL</t>
  </si>
  <si>
    <t>Copyright ©2017 Great Place to Work®  Institute, Inc. All Rights Reserved.</t>
  </si>
  <si>
    <t>Objetivos_x000D_Benchmark_x000D_Resultados Trust Index©_x000D_Distribución de Respuestas_x000D_Próximos pasos_x000D__x000D__x000D__x000D__x000D_</t>
  </si>
  <si>
    <t>Informe de resultados</t>
  </si>
  <si>
    <t>_x000D__x000D_COMPARAR</t>
  </si>
  <si>
    <t>|  3</t>
  </si>
  <si>
    <t>_x000D__x000D_EVALUAR</t>
  </si>
  <si>
    <t>El nivel de confianza _x000D_y la calidad de las relaciones en la organización</t>
  </si>
  <si>
    <t>Permite comparar las experiencias de los colaboradores en la organización con aquéllas de Las Mejores Empresas para Trabajar_x000D_</t>
  </si>
  <si>
    <t>|  5</t>
  </si>
  <si>
    <t>Mirada interna</t>
  </si>
  <si>
    <t>Mirada externa</t>
  </si>
  <si>
    <t>Permite analizar:_x000D_El nivel de confianza y la calidad de las relaciones en la organización_x000D_Los cambios experimentados en las percepciones de los colaboradores_x000D_Las diferentes tendencias según los cortes demográficos_x000D_</t>
  </si>
  <si>
    <t>172</t>
  </si>
  <si>
    <t>Características del benchmark 2015</t>
  </si>
  <si>
    <t>Las Mejores Empresas para Trabajar en la Argentina 2015_x000D_Cada año Great Place to Work® selecciona a Las Mejores Empresas para Trabajar en más de 45 países alrededor del mundo a través de  un riguroso proceso de evaluación y análisis de las opiniones de los empleados y de la cultura organizacional._x000D_Mercado 2015_x000D_El Mercado abarca la totalidad de las empresas que utilizaron la metodología de Great Place to Work® durante el período 2014-2015 para medir su clima organizacional sin haber alcanzado los estándares de excelencia del Instituto._x000D_</t>
  </si>
  <si>
    <t>|  6</t>
  </si>
  <si>
    <t>Las Mejores Empresas para Trabajar en la Argentina 2015</t>
  </si>
  <si>
    <t>Cantidad de empresas</t>
  </si>
  <si>
    <t>37</t>
  </si>
  <si>
    <t>89.700</t>
  </si>
  <si>
    <t>53.000</t>
  </si>
  <si>
    <t>+/- 1,76</t>
  </si>
  <si>
    <t>+/- 3,10</t>
  </si>
  <si>
    <t>87%</t>
  </si>
  <si>
    <t>Poner datos 2016</t>
  </si>
  <si>
    <t>Ranking 2015</t>
  </si>
  <si>
    <t>|  7</t>
  </si>
  <si>
    <t>Las Mejores Empresas para Trabajar en la Argentina 2015_x000D_</t>
  </si>
  <si>
    <t>TOP5 – Más de 1000 empleados (Excluye Santander Río)</t>
  </si>
  <si>
    <t>Benchmark Personalizado_x000D_</t>
  </si>
  <si>
    <t>|  8</t>
  </si>
  <si>
    <t>|  9</t>
  </si>
  <si>
    <t>|  10</t>
  </si>
  <si>
    <t>|  11</t>
  </si>
  <si>
    <t>|  12</t>
  </si>
  <si>
    <t>|  13</t>
  </si>
  <si>
    <t>Las Mejores / Mercado_x000D_</t>
  </si>
  <si>
    <t>|  14</t>
  </si>
  <si>
    <t>|  15</t>
  </si>
  <si>
    <t>Resultados Trust Index©</t>
  </si>
  <si>
    <t>Información cuantitativa</t>
  </si>
  <si>
    <t>Información cualitativa</t>
  </si>
  <si>
    <t>El formulario recoge información cuantitativa acerca de la percepción de los colaboradores  sobre comportamientos observables en base a las relaciones que se establecen en la organización._x000D_Esta información es analizada y procesada en función de variables previamente determinadas como son las de Cargo, Edad y Antigüedad, entre otras._x000D_</t>
  </si>
  <si>
    <t>Las dos preguntas abiertas que contiene el formulario brindan información cualitativa acerca de los aspectos que los colaboradores consideran excepcionales y aquellos que deberían modificarse en la organización._x000D_Esta información permite obtener un entendimiento más profundo de las temáticas que subyacen en la organización en relación al clima. Se encuentra integrada al análisis a nivel consolidado._x000D__x000D_</t>
  </si>
  <si>
    <t>|  17</t>
  </si>
  <si>
    <t>Para calcular la favorabilidad de cada sentencia, se toman en cuenta las respuestas 4 y 5 que indican “frecuentemente es verdad” y “casi siempre es verdad”, y se computan como proporción del número total de respuestas válidas para esa sentencia, excluyendo las respuestas en blanco. _x000D_El margen de error al que se hace referencia en los resultados está expresado en porcentaje de error para un 95% de confianza estadística. _x000D_Cuando hay menos de 6 respuestas en una demografía NO se muestran los datos para no vulnerar el anonimato._x000D_</t>
  </si>
  <si>
    <t>Casi siempre es falso</t>
  </si>
  <si>
    <t>Frecuentemente es falso</t>
  </si>
  <si>
    <t>A veces es falso/a veces es verdad</t>
  </si>
  <si>
    <t>Frecuentemente es verdad</t>
  </si>
  <si>
    <t>01</t>
  </si>
  <si>
    <t>02</t>
  </si>
  <si>
    <t>03</t>
  </si>
  <si>
    <t>04</t>
  </si>
  <si>
    <t>05</t>
  </si>
  <si>
    <t>Casi siempre es verdad</t>
  </si>
  <si>
    <t>|  18</t>
  </si>
  <si>
    <t xml:space="preserve">Encuesta con 58 sentencias Trust Index©_x000D_2 preguntas abiertas </t>
  </si>
  <si>
    <t>BMK TOP 5 – Personalizado_x000D_Las Mejores Empresas para Trabajar 2015</t>
  </si>
  <si>
    <t>|  19</t>
  </si>
  <si>
    <t>demografía</t>
  </si>
  <si>
    <t>Porcentaje de Participación por Demografías_x000D_</t>
  </si>
  <si>
    <t>|  20</t>
  </si>
  <si>
    <t>|  21</t>
  </si>
  <si>
    <t>|  22</t>
  </si>
  <si>
    <t>|  23</t>
  </si>
  <si>
    <t>|  24</t>
  </si>
  <si>
    <t>|  25</t>
  </si>
  <si>
    <t>|  26</t>
  </si>
  <si>
    <t>|  27</t>
  </si>
  <si>
    <t>|  28</t>
  </si>
  <si>
    <t>|  29</t>
  </si>
  <si>
    <t>|  30</t>
  </si>
  <si>
    <t>|  31</t>
  </si>
  <si>
    <t>Ambiente de trabajo_x000D_</t>
  </si>
  <si>
    <t>|  33</t>
  </si>
  <si>
    <t>Representa el promedio de las dimensiones Credibilidad, Respeto e Imparcialidad.</t>
  </si>
  <si>
    <t>Evolución XXXX- XXXX</t>
  </si>
  <si>
    <t>Indicadores globales_x000D_</t>
  </si>
  <si>
    <t>|  34</t>
  </si>
  <si>
    <t>|  35</t>
  </si>
  <si>
    <t>Evolución 2003-2016</t>
  </si>
  <si>
    <t>Resultados por Dimensiones_x000D_</t>
  </si>
  <si>
    <t>|  36</t>
  </si>
  <si>
    <t>Comentarios de los colaboradores</t>
  </si>
  <si>
    <t>|  37</t>
  </si>
  <si>
    <t xml:space="preserve">220 Comentarios_x000B__x000B_Temas más recurrentes </t>
  </si>
  <si>
    <t>“Comente brevemente aquello que considera EXCEPCIONAL de su empresa _x000D_y que la convierte en un excelente lugar para trabajar”</t>
  </si>
  <si>
    <t>|  38</t>
  </si>
  <si>
    <t xml:space="preserve">240 Comentarios_x000B__x000B_Temas más recurrentes </t>
  </si>
  <si>
    <t>Resultados Confianza - Dimensión Credibilidad</t>
  </si>
  <si>
    <t>|  40</t>
  </si>
  <si>
    <t>Resultados por sentencia - Dimensión Credibilidad</t>
  </si>
  <si>
    <t>|  41</t>
  </si>
  <si>
    <t>|  42</t>
  </si>
  <si>
    <t>Resultados por sentencia - Dimensión Respeto</t>
  </si>
  <si>
    <t>Comparación con año anterior y Benchmark_x000D_</t>
  </si>
  <si>
    <t>|  43</t>
  </si>
  <si>
    <t>|  44</t>
  </si>
  <si>
    <t>Resultados por sentencia - Dimensión Imparcialidad</t>
  </si>
  <si>
    <t>|  45</t>
  </si>
  <si>
    <t>|  46</t>
  </si>
  <si>
    <t>Resultados Dimensión - Orgullo</t>
  </si>
  <si>
    <t>Resultados por sentencia - Dimensión Orgullo</t>
  </si>
  <si>
    <t>|  47</t>
  </si>
  <si>
    <t>|  48</t>
  </si>
  <si>
    <t>Resultados Dimensión - Camaradería</t>
  </si>
  <si>
    <t>Resultados por sentencia - Dimensión Camaradería</t>
  </si>
  <si>
    <t>|  49</t>
  </si>
  <si>
    <t>|  50</t>
  </si>
  <si>
    <t>|  51</t>
  </si>
  <si>
    <t>|  53</t>
  </si>
  <si>
    <t>PROMEDIO GENERAL_x000D_</t>
  </si>
  <si>
    <t>00</t>
  </si>
  <si>
    <t>|  54</t>
  </si>
  <si>
    <t>Resultados por demografía</t>
  </si>
  <si>
    <t>|  56</t>
  </si>
  <si>
    <t>Prom. Gral. 2016</t>
  </si>
  <si>
    <t>Prom. Gral. 2017</t>
  </si>
  <si>
    <t>Prom. Gral. Cons.</t>
  </si>
  <si>
    <t>|  57</t>
  </si>
  <si>
    <t>|  58</t>
  </si>
  <si>
    <t>|  59</t>
  </si>
  <si>
    <t>|  60</t>
  </si>
  <si>
    <t>|  61</t>
  </si>
  <si>
    <t>|  62</t>
  </si>
  <si>
    <t>|  63</t>
  </si>
  <si>
    <t>|  64</t>
  </si>
  <si>
    <t>|  65</t>
  </si>
  <si>
    <t>|  66</t>
  </si>
  <si>
    <t>|  67</t>
  </si>
  <si>
    <t>|  68</t>
  </si>
  <si>
    <t>|  69</t>
  </si>
  <si>
    <t>Investigación</t>
  </si>
  <si>
    <t>|  70</t>
  </si>
  <si>
    <t>|  71</t>
  </si>
  <si>
    <t>|  72</t>
  </si>
  <si>
    <t>|  73</t>
  </si>
  <si>
    <t>% Respuesta</t>
  </si>
  <si>
    <t>|  75</t>
  </si>
  <si>
    <t>Distribución de Respuestas</t>
  </si>
  <si>
    <t>La característica más distintiva de un Excelente Lugar para Trabajar  es  la capacidad de crear, aumentar y difundir constantemente el Nivel de Confianza de la organización _x000D_por medio de las relaciones entre el LÍDER y sus colaboradores</t>
  </si>
  <si>
    <t>Nivel de Confianza_x000D_</t>
  </si>
  <si>
    <t>|  77</t>
  </si>
  <si>
    <t>Percepción colaboradores</t>
  </si>
  <si>
    <t>Políticas y Prácticas de la Organización</t>
  </si>
  <si>
    <t>Líderes</t>
  </si>
  <si>
    <t>El diseño nuevo no es superador del anterior.... _x000D_El verde del texto no corresponde solamente a la parte verde de la imagen,_x000D_Se buscaba esa relación? Los colores creo que no son de la paleta institucional</t>
  </si>
  <si>
    <t>Proceso de transformación</t>
  </si>
  <si>
    <t>_x000D__x000D__x000D__x000D__x000D__x000D_Optimizar el impacto de las personas en el negocio y en los resultados de la organización, acompañando la implementación de los cambios y elaborando modelos de gestión para el óptimo aprovechamiento del talento organizacional._x000D_Brindar soporte para gestionar el capital humano, por medio de herramientas específicas articulando todas las prácticas de recursos humanos con los objetivos del negocio.</t>
  </si>
  <si>
    <t>_x000D__x000D__x000D__x000D__x000D__x000D_Construir una mejor sociedad entre todas las organizaciones, compartiendo las mejores prácticas y conociendo las tendencias de mercado en cuanto a gestión de personas como estrategia institucional._x000D_Celebrar el ser un excelente lugar para trabajar por medio del reconocimiento en los rankings locales, regionales y globales de Great Place to Work.</t>
  </si>
  <si>
    <t>_x000D__x000D__x000D__x000D__x000D__x000D_Iniciar el camino hacia ser un excelente lugar para trabajar, conociendo la percepción de los colaboradores frente al clima organizacional y evaluando el impacto de las políticas y prácticas._x000D_Entender, por medio de valoraciones cualitativas y cuantitativas, hacia dónde hay que dirigir los esfuerzos de acuerdo a las percepciones de colaboradores, las aspiraciones institucionales y el comparativo con Los Mejores Lugares para Trabajar.</t>
  </si>
  <si>
    <t>_x000D__x000D__x000D__x000D__x000D__x000D_Enfocar el recorrido hacia la construcción de una cultura de confianza, elaborando planes de desarrollo que promuevan el compromiso, la productividad y la orientación a resultados._x000D_Ahondar en el análisis identificando fortalezas y oportunidades de mejora para obtener una visión integral del nivel de desarrollo de la cultura y el liderazgo organizacional</t>
  </si>
  <si>
    <t>_x000D__x000D__x000D__x000D__x000D__x000D_Crear experiencias transformadoras propias de un excelente lugar para trabajar, enfocando a la organización, fortaleciendo el liderazgo y formando equipos de alto rendimiento._x000D_Poner en acción la orientación, aprendizaje e implementación de herramientas y técnicas que ayuden a construir una cultura inspiradora y productiva.</t>
  </si>
  <si>
    <t>Estrategia Organizacional</t>
  </si>
  <si>
    <t>Diagnosticar y Comprender</t>
  </si>
  <si>
    <t>Profundizar y Diseñar</t>
  </si>
  <si>
    <t>Desarrollar y Capacitar</t>
  </si>
  <si>
    <t>Aprender y Compartir</t>
  </si>
  <si>
    <t>Proceso de transformación_x000B_Productos y Servicios</t>
  </si>
  <si>
    <t>_x000D__x000D__x000D__x000D__x000D__x000D__x000D__x000D_- Diagnóstico organizacional general (M)_x000D_- Encuadre estratégico (M)_x000D_- Modelo de Negocio (M)_x000D_- Código de valores (M)_x000D_- Competencias (M)_x000D_- Estructura Organizacional (M)_x000D_- People Review (M)_x000D_- Leadership Review (M)_x000D_- Evaluación de Desempeño (M)_x000D_- Feedback múltiple (M)_x000D_Auditoría de proceso de Gestión de Clima_x000D_Informe de Correlación</t>
  </si>
  <si>
    <t>_x000D__x000D__x000D__x000D__x000D__x000D__x000D__x000D_- Trust Index_x000D_ - Focus Groups_x000D_- Evaluación 360º_x000D_- Entrevistas individuales_x000D_- Pulso_x000D_- Módulos de investigación (Prox..)_x000D_- Diagnóstico cultura organizacional (M)_x000D_- Informe de resultados Culture Audit_x000D_- Informe comparativo de Mejores Prácticas_x000D_- Evaluación de  implementación de políticas y prácticas (Prox…)_x000D_- Devolución de Culture Audit (Prox…)_x000D_</t>
  </si>
  <si>
    <t>_x000D__x000D__x000D__x000D__x000D__x000D__x000D__x000D_- Benchmark Report Culture Audit_x000D_- Validación de Focos_x000D_- Action Planning_x000D_- Reunión de acompañamiento_x000D_- Informe de Profundización_x000D_- Planes de Acción Efectivos_x000D_</t>
  </si>
  <si>
    <t>_x000D__x000D__x000D__x000D__x000D__x000D__x000D__x000D_- Taller Journey!_x000D_- Reunión de seguimiento_x000D_- Taller Crando Culturas de Confianza_x000D_- Coaching (M)_x000D_- Taller Enlace Cultural (Prox)_x000D_- Desarrollo de Políticas y Prácticas (Prox…)_x000D_- Charla: Rol del Líder en la Gestión de Clima_x000D_- Paradigmas para la Transformación _x000D_- Talleres por temática – Reconocimiento, Beneficios, Gap Generacional (Prox…)_x000D_-- Talleres por público – Mujeres, Millenials (Prox…)_x000D_</t>
  </si>
  <si>
    <t>_x000D__x000D__x000D__x000D__x000D__x000D__x000D__x000D_- Desayunos_x000D_- Artículos_x000D_- Investigaciones_x000D_- Webinars_x000D_- Evento de Reconocimiento_x000D_- Manual de Políticas y Prácticas_x000D_- Club GPTW (Prox…)</t>
  </si>
  <si>
    <t>Para interpretar sus resultados, recomendamos que relea y analice el material presentado en el siguiente orden: _x000D__x000D_Tasa de respuesta consolidada y por áreas para analizar la participacion de los colaboradores._x000D_Indicadores generales y cuál ha sido la evolución de los mismos. _x000D_Resultados por dimensiones y subdimensiones, poniendo atención a sus fortalezas y oportunidades de mejora así como también a la evolución de estas dimensiones._x000D_Recorra los resultados por los diferentes cortes demográficos y las tendencias que ellos presentan._x000D_Vea los principales motivos por los cuales los colaboradores permanecen en la organización y su relación con la Percepción y el Promedio General._x000D_Repase los temas que presentan  mayor recurrencia entre los comentarios de los colaboradores, y compárelos con las fortalezas y oportunidades de mejora identificadas. _x000D__x000D_</t>
  </si>
  <si>
    <t xml:space="preserve">El análisis de la información presentada, indica sus FORTALEZAS y ÁREAS DE MEJORA en las cuales concentrar sus esfuerzos para la mejora del clima en los próximos meses. </t>
  </si>
  <si>
    <t>|  80</t>
  </si>
  <si>
    <t>La segunda etapa en el ciclo de transformación contempla:_x000D__x000D_Profundizar el grado de análisis y comprensión del diagnóstico Trust Index© mediante la aplicación de herramientas cuantitativas que nos brindan resultados de la distribución de respuestas y del impacto de sentencias en la Percepción General._x000D_Contemplar la necesidad de realizar Grupos Focales para obtener mayor información cualitativa._x000D_Definir los focos de acción que toda la organización deberá trabajar en los próximos meses tendientes a la mejora del clima._x000D_Profundizar el grado de análisis y comprensión del diagnóstico Trust Index© de cada sector mediante reportes específicos que indiquen las principales fortalezas y oportunidades de mejora del sector. _x000D_Definir un plan de acción para cada sector tendiente a la mejora del clima considerando los focos de acción definidos para toda la organización._x000D_Planificar actividades de seguimiento y control de planes de acción y grado de avance._x000D__x000D_</t>
  </si>
  <si>
    <t>Las definiciones presentadas permiten focalizar sus esfuerzos en la mejora del clima generando un impacto positivo en cada sector, y por lo tanto, en  toda la organización.</t>
  </si>
  <si>
    <t>|  81</t>
  </si>
  <si>
    <t>Material Anexo</t>
  </si>
  <si>
    <t>Anexo</t>
  </si>
  <si>
    <t>Cantidad de encuestados</t>
  </si>
  <si>
    <t>Valores en números</t>
  </si>
  <si>
    <t>Valores en porcentajes</t>
  </si>
  <si>
    <t>Demografías</t>
  </si>
  <si>
    <t>Poner imagen del TI (no benchmark)</t>
  </si>
  <si>
    <t>Av. Callao 1046, Piso 2º_x000D_(C1023AAQ) Ciudad de Buenos Aires – Argentina_x000D_Tel./Fax: (54-11) 5235-5066 _x000D_ar_informacion@greatplacetowork.com_x000D_.</t>
  </si>
  <si>
    <t xml:space="preserve">greatplacetowork.com.ar </t>
  </si>
  <si>
    <t>Footer Placeholder 3</t>
  </si>
  <si>
    <t>Straight Connector 10</t>
  </si>
  <si>
    <t>Agrupar 11</t>
  </si>
  <si>
    <t>Footer Placeholder 2</t>
  </si>
  <si>
    <t>Straight Connector 22</t>
  </si>
  <si>
    <t>Straight Connector 16</t>
  </si>
  <si>
    <t>Title 3</t>
  </si>
  <si>
    <t>Subtitle 13</t>
  </si>
  <si>
    <t>Rectangle 10</t>
  </si>
  <si>
    <t>Oval 170</t>
  </si>
  <si>
    <t>Freeform 76</t>
  </si>
  <si>
    <t>Oval 169</t>
  </si>
  <si>
    <t>Freeform 106</t>
  </si>
  <si>
    <t>TextBox 186</t>
  </si>
  <si>
    <t>Freeform 4969</t>
  </si>
  <si>
    <t>Footer Placeholder 14</t>
  </si>
  <si>
    <t>Slide Number Placeholder 15</t>
  </si>
  <si>
    <t>Freeform 124</t>
  </si>
  <si>
    <t>Group 38</t>
  </si>
  <si>
    <t>Freeform 4843</t>
  </si>
  <si>
    <t>Picture 1</t>
  </si>
  <si>
    <t>Footer Placeholder 7</t>
  </si>
  <si>
    <t>Content Placeholder 21</t>
  </si>
  <si>
    <t>Footer Placeholder 4</t>
  </si>
  <si>
    <t>Slide Number Placeholder 12</t>
  </si>
  <si>
    <t>Subtitle 20</t>
  </si>
  <si>
    <t>Text Placeholder 10</t>
  </si>
  <si>
    <t>Text Placeholder 16</t>
  </si>
  <si>
    <t>TextBox 22</t>
  </si>
  <si>
    <t>TextBox 23</t>
  </si>
  <si>
    <t>Slide Number Placeholder 20</t>
  </si>
  <si>
    <t>Slide Number Placeholder 5</t>
  </si>
  <si>
    <t>Picture 6</t>
  </si>
  <si>
    <t>Footer Placeholder 11</t>
  </si>
  <si>
    <t>Slide Number Placeholder 4</t>
  </si>
  <si>
    <t>TextBox 7</t>
  </si>
  <si>
    <t>Imagen 8</t>
  </si>
  <si>
    <t>Imagen 7</t>
  </si>
  <si>
    <t>Imagen 2</t>
  </si>
  <si>
    <t>Imagen 5</t>
  </si>
  <si>
    <t>Rectangle 8</t>
  </si>
  <si>
    <t>Text Placeholder 5</t>
  </si>
  <si>
    <t>Text Placeholder 6</t>
  </si>
  <si>
    <t>Straight Connector 12</t>
  </si>
  <si>
    <t>Slide Number Placeholder 7</t>
  </si>
  <si>
    <t>Subtitle 10</t>
  </si>
  <si>
    <t>Content Placeholder 3</t>
  </si>
  <si>
    <t>Content Placeholder 4</t>
  </si>
  <si>
    <t>Rectangle 27</t>
  </si>
  <si>
    <t>Rectangle 14</t>
  </si>
  <si>
    <t>TextBox 17</t>
  </si>
  <si>
    <t>TextBox 24</t>
  </si>
  <si>
    <t>TextBox 25</t>
  </si>
  <si>
    <t>Subtitle 5</t>
  </si>
  <si>
    <t>Text Placeholder 13</t>
  </si>
  <si>
    <t>Subtitle 4</t>
  </si>
  <si>
    <t>Subtitle 1</t>
  </si>
  <si>
    <t>Footer Placeholder 1</t>
  </si>
  <si>
    <t>Slide Number Placeholder 2</t>
  </si>
  <si>
    <t>TextBox 5</t>
  </si>
  <si>
    <t>Straight Connector 17</t>
  </si>
  <si>
    <t>Straight Connector 18</t>
  </si>
  <si>
    <t>Straight Connector 19</t>
  </si>
  <si>
    <t>Straight Connector 20</t>
  </si>
  <si>
    <t>Group 12</t>
  </si>
  <si>
    <t>Slide Number Placeholder 13</t>
  </si>
  <si>
    <t>2 Tabla</t>
  </si>
  <si>
    <t>Bocadillo: rectángulo con esquinas redondeadas 11</t>
  </si>
  <si>
    <t>Group 18</t>
  </si>
  <si>
    <t>Rectangle 12</t>
  </si>
  <si>
    <t>Group 17</t>
  </si>
  <si>
    <t>Subtitle 6</t>
  </si>
  <si>
    <t>Group 1</t>
  </si>
  <si>
    <t>Table 23</t>
  </si>
  <si>
    <t>TextBox 20</t>
  </si>
  <si>
    <t>Table 22</t>
  </si>
  <si>
    <t>Footer Placeholder 15</t>
  </si>
  <si>
    <t>Slide Number Placeholder 16</t>
  </si>
  <si>
    <t>Footer Placeholder 9</t>
  </si>
  <si>
    <t>Slide Number Placeholder 10</t>
  </si>
  <si>
    <t>Rectangle 100</t>
  </si>
  <si>
    <t>Rectangle 101</t>
  </si>
  <si>
    <t>Straight Connector 103</t>
  </si>
  <si>
    <t>Straight Connector 104</t>
  </si>
  <si>
    <t>Elipse 42</t>
  </si>
  <si>
    <t>CuadroTexto 62</t>
  </si>
  <si>
    <t>Straight Connector 21</t>
  </si>
  <si>
    <t>Footer Placeholder 25</t>
  </si>
  <si>
    <t>Slide Number Placeholder 26</t>
  </si>
  <si>
    <t>Text Placeholder 3</t>
  </si>
  <si>
    <t>Text Placeholder 4</t>
  </si>
  <si>
    <t>Content Placeholder 11</t>
  </si>
  <si>
    <t>Content Placeholder 5</t>
  </si>
  <si>
    <t>Content Placeholder 7</t>
  </si>
  <si>
    <t>Group 40</t>
  </si>
  <si>
    <t>Oval 43</t>
  </si>
  <si>
    <t>Rectangle 44</t>
  </si>
  <si>
    <t>Rectangle 45</t>
  </si>
  <si>
    <t>Freeform 4851</t>
  </si>
  <si>
    <t>Rectangle 47</t>
  </si>
  <si>
    <t>36 Rectángulo</t>
  </si>
  <si>
    <t>Rectangle 18</t>
  </si>
  <si>
    <t>Rectangle 20</t>
  </si>
  <si>
    <t>Rectangle 21</t>
  </si>
  <si>
    <t>Rectangle 22</t>
  </si>
  <si>
    <t>Rectangle 23</t>
  </si>
  <si>
    <t>Rectángulo 18</t>
  </si>
  <si>
    <t>Rectángulo 21</t>
  </si>
  <si>
    <t>Rectángulo 22</t>
  </si>
  <si>
    <t>Rectángulo 23</t>
  </si>
  <si>
    <t>Rectángulo 20</t>
  </si>
  <si>
    <t>Content Placeholder 8</t>
  </si>
  <si>
    <t>Subtitle 12</t>
  </si>
  <si>
    <t>Straight Connector 15</t>
  </si>
  <si>
    <t>Footer Placeholder 17</t>
  </si>
  <si>
    <t>Slide Number Placeholder 18</t>
  </si>
  <si>
    <t>Subtitle 9</t>
  </si>
  <si>
    <t>Footer Placeholder 12</t>
  </si>
  <si>
    <t>Footer Placeholder 5</t>
  </si>
  <si>
    <t>Picture 15</t>
  </si>
  <si>
    <t>Straight Arrow Connector 9</t>
  </si>
  <si>
    <t>Straight Arrow Connector 21</t>
  </si>
  <si>
    <t>Straight Arrow Connector 24</t>
  </si>
  <si>
    <t>Straight Arrow Connector 27</t>
  </si>
  <si>
    <t>Right Brace 28</t>
  </si>
  <si>
    <t>Right Brace 30</t>
  </si>
  <si>
    <t>TextBox 33</t>
  </si>
  <si>
    <t>Text Placeholder 12</t>
  </si>
  <si>
    <t>_x000D__x000D_8</t>
  </si>
  <si>
    <t>Template Argentina.pptx</t>
  </si>
  <si>
    <t>Tamaño</t>
  </si>
  <si>
    <t>**</t>
  </si>
  <si>
    <t>Masculino</t>
  </si>
  <si>
    <t>Femenino</t>
  </si>
  <si>
    <t>Secundario</t>
  </si>
  <si>
    <t>Universitario incompleto / Técnico / Terciario</t>
  </si>
  <si>
    <t>Universitario completo</t>
  </si>
  <si>
    <t>Nivel de Estudios</t>
  </si>
  <si>
    <t>De 3 meses a 1 año</t>
  </si>
  <si>
    <t>2 a 5 años</t>
  </si>
  <si>
    <t>6 a 10 años</t>
  </si>
  <si>
    <t>11 a 15 años</t>
  </si>
  <si>
    <t>16 a 20 años</t>
  </si>
  <si>
    <t>Más de 21 años</t>
  </si>
  <si>
    <t>Antigüedad</t>
  </si>
  <si>
    <t>Operaciones</t>
  </si>
  <si>
    <t>Marketing</t>
  </si>
  <si>
    <t>Más de dos</t>
  </si>
  <si>
    <t>Dos</t>
  </si>
  <si>
    <t>Una</t>
  </si>
  <si>
    <t>Ninguna</t>
  </si>
  <si>
    <t>Indique la cantidad de reuniones que ha tenido con su jefe para conversar sobre su desempeño durante los últimos 12 meses</t>
  </si>
  <si>
    <t>El principal motivo por el que permanezco en esta empresa es</t>
  </si>
  <si>
    <t>Mas de dos</t>
  </si>
  <si>
    <t>Resultados por Area1</t>
  </si>
  <si>
    <t>Resultados por Area2</t>
  </si>
  <si>
    <t>Resultados por Area3</t>
  </si>
  <si>
    <t>Primario o inferior</t>
  </si>
  <si>
    <t>Director/VP</t>
  </si>
  <si>
    <t>Líder de área o proceso</t>
  </si>
  <si>
    <t>Gerente con gente a cargo</t>
  </si>
  <si>
    <t>Profesional Senior</t>
  </si>
  <si>
    <t>Profesional Junior o SemiSenior</t>
  </si>
  <si>
    <t>Jornada Completa</t>
  </si>
  <si>
    <t>Jornada Parcial</t>
  </si>
  <si>
    <t>Jornada Laboral</t>
  </si>
  <si>
    <t>Consultoría</t>
  </si>
  <si>
    <t>Educación</t>
  </si>
  <si>
    <t>Ventas</t>
  </si>
  <si>
    <t>Preventas</t>
  </si>
  <si>
    <t>Staff</t>
  </si>
  <si>
    <t>Soporte</t>
  </si>
  <si>
    <t>Solution Delivery Center</t>
  </si>
  <si>
    <t>Global Finance Shared Services Organization</t>
  </si>
  <si>
    <t>Área</t>
  </si>
  <si>
    <t>Área1</t>
  </si>
  <si>
    <t>Área2</t>
  </si>
  <si>
    <t>Año 2017</t>
  </si>
  <si>
    <t>TI Consolidado SAP 2017</t>
  </si>
  <si>
    <t>BMK Mejores Argentina 2016</t>
  </si>
  <si>
    <t>Mercado 2016</t>
  </si>
  <si>
    <t>Dif. 2017 - 2016</t>
  </si>
  <si>
    <t>Dif. 2017 - BMK Mejores Argentina 2016</t>
  </si>
  <si>
    <t>Dif. 2017 - Mercado</t>
  </si>
  <si>
    <r>
      <t xml:space="preserve">CopyRight </t>
    </r>
    <r>
      <rPr>
        <b/>
        <vertAlign val="superscript"/>
        <sz val="8"/>
        <color rgb="FF800000"/>
        <rFont val="Arial"/>
        <family val="2"/>
      </rPr>
      <t>©</t>
    </r>
    <r>
      <rPr>
        <b/>
        <sz val="8"/>
        <color rgb="FF800000"/>
        <rFont val="Arial"/>
        <family val="2"/>
      </rPr>
      <t xml:space="preserve"> 2017 Great Place to Work </t>
    </r>
    <r>
      <rPr>
        <b/>
        <vertAlign val="superscript"/>
        <sz val="8"/>
        <color rgb="FF800000"/>
        <rFont val="Arial"/>
        <family val="2"/>
      </rPr>
      <t>®</t>
    </r>
    <r>
      <rPr>
        <b/>
        <sz val="8"/>
        <color rgb="FF800000"/>
        <rFont val="Arial"/>
        <family val="2"/>
      </rPr>
      <t xml:space="preserve"> Institute Inc.</t>
    </r>
  </si>
  <si>
    <t>Global Field Shared Service Organization</t>
  </si>
  <si>
    <t>Circulo Exterior</t>
  </si>
  <si>
    <t>Circulo Interior</t>
  </si>
  <si>
    <t>Ordenar de mayor a menor por %</t>
  </si>
  <si>
    <t>Atributos</t>
  </si>
  <si>
    <t>%</t>
  </si>
  <si>
    <t>Horario flexible (márgenes flexibles de entrada y salida, trabajo remoto o home office, etc)</t>
  </si>
  <si>
    <t>Horario reducido (como por ejemplo el viernes corto)</t>
  </si>
  <si>
    <t>Vacaciones pagas, más allá de lo estipulado por ley</t>
  </si>
  <si>
    <t>Oferta de hábitos saludables (menú saludable, frutas, etc)</t>
  </si>
  <si>
    <t>Vacaciones extra sin goce de sueldo</t>
  </si>
  <si>
    <t>Período sabático con mantenimiento del puesto de trabajo</t>
  </si>
  <si>
    <t>Servicio o reintegro por guardería</t>
  </si>
  <si>
    <t>Licencia por maternidad/paternidad con goce de sueldo más allá de lo estipulado por ley</t>
  </si>
  <si>
    <t>Espacios de recreación (sala de juegos, metegol, etc)</t>
  </si>
  <si>
    <t>Gimnasio en el lugar de trabajo o descuento en gimnasio</t>
  </si>
  <si>
    <t>Otros</t>
  </si>
  <si>
    <t>Espacios de relajación (masajes, siestario, reiki, etc)</t>
  </si>
  <si>
    <t>Servicios en el lugar de trabajo (cajero, tintorería, peluquería, etc)</t>
  </si>
  <si>
    <t>Servicios médicos en el lugar de trabajo (atención médica, exámenes de salud, vacunación, etc)</t>
  </si>
  <si>
    <t xml:space="preserve">Porcentaje de Participación por Demografías Equilibrio Vida Laboral y Personal </t>
  </si>
  <si>
    <t>Resultados por Equilibrio Vida Laboral y Personal  Promedio General</t>
  </si>
  <si>
    <t xml:space="preserve">Equilibrio Vida Laboral y Personal </t>
  </si>
  <si>
    <t>Template Uruguay.pptx</t>
  </si>
  <si>
    <t>C:\Users\adriana.orellana\Desktop\ADRIANA\Mejoras ENCON\Francisco-template PPT\11 - onceava macro</t>
  </si>
  <si>
    <t>Template Paraguay.pptx</t>
  </si>
  <si>
    <t>Template Bolivia.pptx</t>
  </si>
  <si>
    <t>Informe de Resultados TI 2017.pptx</t>
  </si>
  <si>
    <t>G:\Argentina\Operaciones\Material Campaña 2017\Argentina\Templates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</si>
</sst>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\ _€_-;\-* #,##0.00\ _€_-;_-* &quot;-&quot;??\ _€_-;_-@_-"/>
    <numFmt numFmtId="164" formatCode="0.00000"/>
    <numFmt numFmtId="165" formatCode="0.000"/>
    <numFmt numFmtId="166" formatCode="_-* #,##0.00_-;\-* #,##0.00_-;_-* &quot;-&quot;??_-;_-@_-"/>
    <numFmt numFmtId="167" formatCode="&quot;R$ &quot;#,##0_);\(&quot;R$ &quot;#,##0\)"/>
    <numFmt numFmtId="168" formatCode="0.0%"/>
    <numFmt numFmtId="169" formatCode="dd\ mmmm\ yy"/>
  </numFmts>
  <fonts count="1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18"/>
      <name val="Futura XBlk BT"/>
      <family val="2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5"/>
      <color rgb="FFC00000"/>
      <name val="Arial"/>
      <family val="2"/>
    </font>
    <font>
      <sz val="11"/>
      <color rgb="FFFF0000"/>
      <name val="Arial"/>
      <family val="2"/>
    </font>
    <font>
      <sz val="14"/>
      <name val="Arial"/>
      <family val="2"/>
    </font>
    <font>
      <b/>
      <i/>
      <sz val="18"/>
      <name val="Arial"/>
      <family val="2"/>
    </font>
    <font>
      <b/>
      <sz val="10"/>
      <name val="Arial"/>
      <family val="2"/>
    </font>
    <font>
      <sz val="15"/>
      <color indexed="20"/>
      <name val="Arial"/>
      <family val="2"/>
    </font>
    <font>
      <b/>
      <sz val="10"/>
      <color indexed="20"/>
      <name val="Arial"/>
      <family val="2"/>
    </font>
    <font>
      <sz val="10"/>
      <color theme="1"/>
      <name val="Arial"/>
      <family val="2"/>
    </font>
    <font>
      <sz val="18"/>
      <color theme="0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b/>
      <sz val="14"/>
      <color rgb="FF7F7F7F"/>
      <name val="Arial"/>
      <family val="2"/>
    </font>
    <font>
      <b/>
      <sz val="12"/>
      <color theme="0"/>
      <name val="Arial"/>
      <family val="2"/>
    </font>
    <font>
      <b/>
      <sz val="12"/>
      <color rgb="FFFDB533"/>
      <name val="Arial"/>
      <family val="2"/>
    </font>
    <font>
      <sz val="10"/>
      <color rgb="FF000000"/>
      <name val="Arial"/>
      <family val="2"/>
    </font>
    <font>
      <sz val="12"/>
      <color rgb="FF3D3D3D"/>
      <name val="Arial"/>
      <family val="2"/>
    </font>
    <font>
      <sz val="13"/>
      <color theme="1"/>
      <name val="Arial"/>
      <family val="2"/>
    </font>
    <font>
      <b/>
      <sz val="10"/>
      <color rgb="FF3D3D3D"/>
      <name val="Arial"/>
      <family val="2"/>
    </font>
    <font>
      <sz val="11"/>
      <color theme="0"/>
      <name val="Arial"/>
      <family val="2"/>
    </font>
    <font>
      <b/>
      <sz val="13"/>
      <color rgb="FF000000"/>
      <name val="Arial"/>
      <family val="2"/>
    </font>
    <font>
      <b/>
      <sz val="12"/>
      <color rgb="FFE17B82"/>
      <name val="Arial"/>
      <family val="2"/>
    </font>
    <font>
      <sz val="10"/>
      <color rgb="FF3D3D3D"/>
      <name val="Arial"/>
      <family val="2"/>
    </font>
    <font>
      <b/>
      <sz val="12"/>
      <color rgb="FF005172"/>
      <name val="Arial"/>
      <family val="2"/>
    </font>
    <font>
      <sz val="11"/>
      <name val="Arial"/>
      <family val="2"/>
    </font>
    <font>
      <b/>
      <sz val="12"/>
      <color rgb="FFD789B0"/>
      <name val="Arial"/>
      <family val="2"/>
    </font>
    <font>
      <b/>
      <sz val="11"/>
      <color rgb="FFE19909"/>
      <name val="Arial"/>
      <family val="2"/>
    </font>
    <font>
      <sz val="10"/>
      <color theme="1" tint="0.14999847407452621"/>
      <name val="Arial"/>
      <family val="2"/>
    </font>
    <font>
      <b/>
      <sz val="11"/>
      <color rgb="FFAA272F"/>
      <name val="Arial"/>
      <family val="2"/>
    </font>
    <font>
      <b/>
      <sz val="11"/>
      <color rgb="FF005172"/>
      <name val="Arial"/>
      <family val="2"/>
    </font>
    <font>
      <b/>
      <sz val="10"/>
      <color rgb="FF005172"/>
      <name val="Arial"/>
      <family val="2"/>
    </font>
    <font>
      <sz val="10"/>
      <color rgb="FF005172"/>
      <name val="Arial"/>
      <family val="2"/>
    </font>
    <font>
      <sz val="12"/>
      <color rgb="FF005172"/>
      <name val="Arial"/>
      <family val="2"/>
    </font>
    <font>
      <sz val="12"/>
      <name val="Arial"/>
      <family val="2"/>
    </font>
    <font>
      <sz val="9"/>
      <color rgb="FF005172"/>
      <name val="Arial"/>
      <family val="2"/>
    </font>
    <font>
      <sz val="9"/>
      <name val="Arial"/>
      <family val="2"/>
    </font>
    <font>
      <sz val="20"/>
      <name val="Arial"/>
      <family val="2"/>
    </font>
    <font>
      <b/>
      <sz val="22"/>
      <color rgb="FFFDB533"/>
      <name val="Arial"/>
      <family val="2"/>
    </font>
    <font>
      <b/>
      <sz val="40"/>
      <color rgb="FFFDB533"/>
      <name val="Arial"/>
      <family val="2"/>
    </font>
    <font>
      <sz val="14"/>
      <color rgb="FFFDB533"/>
      <name val="Arial"/>
      <family val="2"/>
    </font>
    <font>
      <b/>
      <sz val="22"/>
      <color rgb="FFAA272F"/>
      <name val="Arial"/>
      <family val="2"/>
    </font>
    <font>
      <b/>
      <sz val="40"/>
      <color rgb="FFAA272F"/>
      <name val="Arial"/>
      <family val="2"/>
    </font>
    <font>
      <sz val="14"/>
      <color rgb="FFAA272F"/>
      <name val="Arial"/>
      <family val="2"/>
    </font>
    <font>
      <b/>
      <sz val="22"/>
      <color rgb="FF005172"/>
      <name val="Arial"/>
      <family val="2"/>
    </font>
    <font>
      <b/>
      <sz val="40"/>
      <color rgb="FF005172"/>
      <name val="Arial"/>
      <family val="2"/>
    </font>
    <font>
      <sz val="14"/>
      <color rgb="FF005172"/>
      <name val="Arial"/>
      <family val="2"/>
    </font>
    <font>
      <b/>
      <sz val="20"/>
      <name val="Arial"/>
      <family val="2"/>
    </font>
    <font>
      <b/>
      <sz val="22"/>
      <color rgb="FF658D1B"/>
      <name val="Arial"/>
      <family val="2"/>
    </font>
    <font>
      <b/>
      <sz val="40"/>
      <color rgb="FF658D1B"/>
      <name val="Arial"/>
      <family val="2"/>
    </font>
    <font>
      <sz val="14"/>
      <color rgb="FF658D1B"/>
      <name val="Arial"/>
      <family val="2"/>
    </font>
    <font>
      <b/>
      <sz val="22"/>
      <color rgb="FF612141"/>
      <name val="Arial"/>
      <family val="2"/>
    </font>
    <font>
      <b/>
      <sz val="40"/>
      <color rgb="FF612141"/>
      <name val="Arial"/>
      <family val="2"/>
    </font>
    <font>
      <sz val="14"/>
      <color rgb="FF612141"/>
      <name val="Arial"/>
      <family val="2"/>
    </font>
    <font>
      <sz val="22"/>
      <color theme="1"/>
      <name val="Arial"/>
      <family val="2"/>
    </font>
    <font>
      <sz val="40"/>
      <color theme="1"/>
      <name val="Arial"/>
      <family val="2"/>
    </font>
    <font>
      <sz val="14"/>
      <color theme="1"/>
      <name val="Arial"/>
      <family val="2"/>
    </font>
    <font>
      <b/>
      <sz val="13"/>
      <color theme="0" tint="-0.499984740745262"/>
      <name val="Arial"/>
      <family val="2"/>
    </font>
    <font>
      <b/>
      <sz val="12"/>
      <color theme="0" tint="-0.499984740745262"/>
      <name val="Arial"/>
      <family val="2"/>
    </font>
    <font>
      <b/>
      <sz val="24"/>
      <color rgb="FFFDB533"/>
      <name val="Arial"/>
      <family val="2"/>
    </font>
    <font>
      <b/>
      <sz val="14"/>
      <color rgb="FFFDB515"/>
      <name val="Arial"/>
      <family val="2"/>
    </font>
    <font>
      <sz val="14"/>
      <color theme="1" tint="0.249977111117893"/>
      <name val="Arial"/>
      <family val="2"/>
    </font>
    <font>
      <b/>
      <sz val="24"/>
      <color rgb="FFAA272F"/>
      <name val="Arial"/>
      <family val="2"/>
    </font>
    <font>
      <b/>
      <sz val="14"/>
      <color rgb="FFBD1933"/>
      <name val="Arial"/>
      <family val="2"/>
    </font>
    <font>
      <b/>
      <sz val="24"/>
      <color rgb="FF005172"/>
      <name val="Arial"/>
      <family val="2"/>
    </font>
    <font>
      <b/>
      <sz val="14"/>
      <color rgb="FF005172"/>
      <name val="Arial"/>
      <family val="2"/>
    </font>
    <font>
      <b/>
      <sz val="24"/>
      <color rgb="FF658D1B"/>
      <name val="Arial"/>
      <family val="2"/>
    </font>
    <font>
      <b/>
      <sz val="14"/>
      <color rgb="FF658D1B"/>
      <name val="Arial"/>
      <family val="2"/>
    </font>
    <font>
      <b/>
      <sz val="24"/>
      <color rgb="FF612141"/>
      <name val="Arial"/>
      <family val="2"/>
    </font>
    <font>
      <b/>
      <sz val="14"/>
      <color rgb="FF612141"/>
      <name val="Arial"/>
      <family val="2"/>
    </font>
    <font>
      <sz val="8"/>
      <color theme="0"/>
      <name val="Arial"/>
      <family val="2"/>
    </font>
    <font>
      <b/>
      <sz val="10.5"/>
      <color theme="1"/>
      <name val="Arial"/>
      <family val="2"/>
    </font>
    <font>
      <sz val="12"/>
      <color theme="1" tint="0.34998626667073579"/>
      <name val="Arial"/>
      <family val="2"/>
    </font>
    <font>
      <sz val="10.5"/>
      <color theme="1"/>
      <name val="Arial"/>
      <family val="2"/>
    </font>
    <font>
      <b/>
      <sz val="10.5"/>
      <color rgb="FF000000"/>
      <name val="Arial"/>
      <family val="2"/>
    </font>
    <font>
      <b/>
      <sz val="14.5"/>
      <color rgb="FFFDB533"/>
      <name val="Arial"/>
      <family val="2"/>
    </font>
    <font>
      <sz val="14.5"/>
      <color theme="1" tint="0.34998626667073579"/>
      <name val="Arial"/>
      <family val="2"/>
    </font>
    <font>
      <b/>
      <sz val="14.5"/>
      <color rgb="FFBD1933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0.5"/>
      <color rgb="FF424142"/>
      <name val="Arial"/>
      <family val="2"/>
    </font>
    <font>
      <b/>
      <sz val="10.5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1"/>
      <color rgb="FF000000"/>
      <name val="Calibri"/>
      <family val="2"/>
      <scheme val="minor"/>
    </font>
    <font>
      <b/>
      <sz val="16"/>
      <color rgb="FF7A7A7A"/>
      <name val="Arial"/>
      <family val="1"/>
    </font>
    <font>
      <b/>
      <sz val="8"/>
      <color rgb="FF800000"/>
      <name val="Arial"/>
      <family val="2"/>
    </font>
    <font>
      <b/>
      <vertAlign val="superscript"/>
      <sz val="8"/>
      <color rgb="FF800000"/>
      <name val="Arial"/>
      <family val="2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2"/>
      <name val="Arial"/>
      <family val="2"/>
    </font>
    <font>
      <sz val="12"/>
      <color theme="0" tint="-0.499984740745262"/>
      <name val="Arial"/>
      <family val="2"/>
    </font>
    <font>
      <b/>
      <sz val="8"/>
      <color theme="1"/>
      <name val="Arial"/>
      <family val="1"/>
    </font>
    <font>
      <sz val="8"/>
      <color rgb="FF000000"/>
      <name val="Verdana"/>
      <family val="2"/>
    </font>
    <font>
      <sz val="5"/>
      <color rgb="FF000000"/>
      <name val="Verdana"/>
      <family val="2"/>
    </font>
    <font>
      <i/>
      <sz val="14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20"/>
      <color indexed="81"/>
      <name val="Tahoma"/>
      <family val="2"/>
    </font>
    <font>
      <i/>
      <sz val="11"/>
      <color rgb="FFFF0000"/>
      <name val="Calibri"/>
      <family val="2"/>
      <scheme val="minor"/>
    </font>
  </fonts>
  <fills count="7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61214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E48F"/>
        <bgColor indexed="64"/>
      </patternFill>
    </fill>
    <fill>
      <patternFill patternType="solid">
        <fgColor rgb="FFE69298"/>
        <bgColor indexed="64"/>
      </patternFill>
    </fill>
    <fill>
      <patternFill patternType="solid">
        <fgColor rgb="FF009FDE"/>
        <bgColor indexed="64"/>
      </patternFill>
    </fill>
    <fill>
      <patternFill patternType="solid">
        <fgColor rgb="FFBDE575"/>
        <bgColor indexed="64"/>
      </patternFill>
    </fill>
    <fill>
      <patternFill patternType="solid">
        <fgColor rgb="FFC34D8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D1934"/>
        <bgColor indexed="64"/>
      </patternFill>
    </fill>
    <fill>
      <patternFill patternType="solid">
        <fgColor rgb="FFE7476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0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/>
      <bottom/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 style="thin">
        <color rgb="FF808080"/>
      </left>
      <right/>
      <top/>
      <bottom style="thin">
        <color rgb="FF80808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theme="1" tint="0.499984740745262"/>
      </bottom>
      <diagonal/>
    </border>
    <border>
      <left/>
      <right style="thin">
        <color rgb="FF808080"/>
      </right>
      <top style="thin">
        <color rgb="FF808080"/>
      </top>
      <bottom style="thin">
        <color theme="1" tint="0.4999847407452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/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rgb="FF808080"/>
      </left>
      <right/>
      <top style="thin">
        <color rgb="FF808080"/>
      </top>
      <bottom style="thin">
        <color rgb="FF808080"/>
      </bottom>
      <diagonal/>
    </border>
    <border>
      <left style="medium">
        <color rgb="FF808080"/>
      </left>
      <right/>
      <top/>
      <bottom style="thin">
        <color rgb="FF808080"/>
      </bottom>
      <diagonal/>
    </border>
    <border>
      <left style="medium">
        <color rgb="FF808080"/>
      </left>
      <right/>
      <top style="thin">
        <color rgb="FF808080"/>
      </top>
      <bottom style="medium">
        <color rgb="FF808080"/>
      </bottom>
      <diagonal/>
    </border>
    <border>
      <left/>
      <right/>
      <top style="thin">
        <color rgb="FF808080"/>
      </top>
      <bottom style="medium">
        <color rgb="FF808080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 style="medium">
        <color rgb="FFA6A6A6"/>
      </top>
      <bottom/>
      <diagonal/>
    </border>
    <border>
      <left/>
      <right/>
      <top/>
      <bottom style="medium">
        <color rgb="FFA6A6A6"/>
      </bottom>
      <diagonal/>
    </border>
    <border>
      <left/>
      <right/>
      <top style="medium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medium">
        <color rgb="FFA6A6A6"/>
      </bottom>
      <diagonal/>
    </border>
    <border>
      <left style="medium">
        <color theme="0"/>
      </left>
      <right/>
      <top style="medium">
        <color rgb="FFA6A6A6"/>
      </top>
      <bottom/>
      <diagonal/>
    </border>
    <border>
      <left style="medium">
        <color theme="0"/>
      </left>
      <right/>
      <top/>
      <bottom style="medium">
        <color rgb="FFA6A6A6"/>
      </bottom>
      <diagonal/>
    </border>
    <border>
      <left/>
      <right/>
      <top style="thin">
        <color theme="0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theme="0"/>
      </bottom>
      <diagonal/>
    </border>
    <border>
      <left/>
      <right/>
      <top style="thin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 style="thin">
        <color rgb="FFAA272F"/>
      </top>
      <bottom/>
      <diagonal/>
    </border>
    <border>
      <left/>
      <right/>
      <top/>
      <bottom style="thin">
        <color rgb="FF005172"/>
      </bottom>
      <diagonal/>
    </border>
    <border>
      <left/>
      <right/>
      <top style="thin">
        <color rgb="FF658D1B"/>
      </top>
      <bottom/>
      <diagonal/>
    </border>
    <border>
      <left/>
      <right/>
      <top/>
      <bottom style="thin">
        <color rgb="FF612141"/>
      </bottom>
      <diagonal/>
    </border>
    <border>
      <left/>
      <right/>
      <top style="thin">
        <color rgb="FFFDB533"/>
      </top>
      <bottom/>
      <diagonal/>
    </border>
    <border>
      <left/>
      <right/>
      <top/>
      <bottom style="thin">
        <color rgb="FFAA272F"/>
      </bottom>
      <diagonal/>
    </border>
    <border>
      <left/>
      <right/>
      <top style="thin">
        <color rgb="FF612141"/>
      </top>
      <bottom/>
      <diagonal/>
    </border>
    <border>
      <left/>
      <right/>
      <top/>
      <bottom style="thin">
        <color rgb="FF61201B"/>
      </bottom>
      <diagonal/>
    </border>
    <border>
      <left/>
      <right/>
      <top style="thin">
        <color rgb="FFFFC000"/>
      </top>
      <bottom/>
      <diagonal/>
    </border>
    <border>
      <left/>
      <right/>
      <top style="thin">
        <color rgb="FF005172"/>
      </top>
      <bottom/>
      <diagonal/>
    </border>
    <border>
      <left/>
      <right/>
      <top/>
      <bottom style="thin">
        <color rgb="FF658D1B"/>
      </bottom>
      <diagonal/>
    </border>
    <border>
      <left/>
      <right style="medium">
        <color rgb="FF808080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medium">
        <color rgb="FF808080"/>
      </bottom>
      <diagonal/>
    </border>
    <border>
      <left/>
      <right style="medium">
        <color rgb="FF808080"/>
      </right>
      <top style="thin">
        <color rgb="FFA6A6A6"/>
      </top>
      <bottom style="medium">
        <color rgb="FF808080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ck">
        <color theme="0"/>
      </right>
      <top/>
      <bottom/>
      <diagonal/>
    </border>
  </borders>
  <cellStyleXfs count="5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0" fontId="18" fillId="0" borderId="0"/>
    <xf numFmtId="0" fontId="18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0" fontId="2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3" fillId="0" borderId="0"/>
  </cellStyleXfs>
  <cellXfs count="55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18" fillId="0" borderId="0" xfId="44"/>
    <xf numFmtId="0" fontId="27" fillId="0" borderId="0" xfId="0" applyFont="1"/>
    <xf numFmtId="0" fontId="28" fillId="64" borderId="0" xfId="0" applyFont="1" applyFill="1" applyAlignment="1">
      <alignment horizontal="left" vertical="center" wrapText="1" readingOrder="1"/>
    </xf>
    <xf numFmtId="0" fontId="28" fillId="64" borderId="0" xfId="0" applyFont="1" applyFill="1" applyAlignment="1">
      <alignment horizontal="center" vertical="center" wrapText="1" readingOrder="1"/>
    </xf>
    <xf numFmtId="0" fontId="29" fillId="0" borderId="0" xfId="0" applyFont="1" applyAlignment="1">
      <alignment vertical="center"/>
    </xf>
    <xf numFmtId="0" fontId="30" fillId="0" borderId="72" xfId="0" applyFont="1" applyBorder="1" applyAlignment="1">
      <alignment horizontal="left" vertical="center" wrapText="1" readingOrder="1"/>
    </xf>
    <xf numFmtId="0" fontId="30" fillId="0" borderId="72" xfId="0" applyFont="1" applyBorder="1" applyAlignment="1">
      <alignment horizontal="center" vertical="center" wrapText="1" readingOrder="1"/>
    </xf>
    <xf numFmtId="0" fontId="30" fillId="0" borderId="73" xfId="0" applyFont="1" applyBorder="1" applyAlignment="1">
      <alignment horizontal="left" vertical="center" wrapText="1" readingOrder="1"/>
    </xf>
    <xf numFmtId="0" fontId="30" fillId="0" borderId="73" xfId="0" applyFont="1" applyBorder="1" applyAlignment="1">
      <alignment horizontal="center" vertical="center" wrapText="1" readingOrder="1"/>
    </xf>
    <xf numFmtId="9" fontId="30" fillId="0" borderId="73" xfId="54" applyFont="1" applyBorder="1" applyAlignment="1">
      <alignment horizontal="center" vertical="center" wrapText="1" readingOrder="1"/>
    </xf>
    <xf numFmtId="0" fontId="30" fillId="0" borderId="74" xfId="0" applyFont="1" applyBorder="1" applyAlignment="1">
      <alignment horizontal="left" vertical="center" wrapText="1" readingOrder="1"/>
    </xf>
    <xf numFmtId="0" fontId="27" fillId="0" borderId="0" xfId="0" applyFont="1" applyAlignment="1">
      <alignment horizontal="center" vertical="center"/>
    </xf>
    <xf numFmtId="0" fontId="31" fillId="0" borderId="0" xfId="0" applyFont="1"/>
    <xf numFmtId="0" fontId="27" fillId="0" borderId="38" xfId="0" applyFont="1" applyBorder="1"/>
    <xf numFmtId="0" fontId="27" fillId="0" borderId="38" xfId="0" applyFont="1" applyBorder="1" applyAlignment="1">
      <alignment horizontal="right"/>
    </xf>
    <xf numFmtId="9" fontId="27" fillId="0" borderId="38" xfId="0" applyNumberFormat="1" applyFont="1" applyBorder="1" applyAlignment="1">
      <alignment horizontal="right"/>
    </xf>
    <xf numFmtId="9" fontId="27" fillId="0" borderId="38" xfId="0" applyNumberFormat="1" applyFont="1" applyBorder="1"/>
    <xf numFmtId="0" fontId="32" fillId="0" borderId="38" xfId="0" applyFont="1" applyBorder="1"/>
    <xf numFmtId="164" fontId="27" fillId="0" borderId="38" xfId="0" applyNumberFormat="1" applyFont="1" applyBorder="1"/>
    <xf numFmtId="0" fontId="32" fillId="36" borderId="38" xfId="0" applyFont="1" applyFill="1" applyBorder="1"/>
    <xf numFmtId="1" fontId="32" fillId="36" borderId="38" xfId="0" applyNumberFormat="1" applyFont="1" applyFill="1" applyBorder="1"/>
    <xf numFmtId="0" fontId="27" fillId="36" borderId="32" xfId="0" applyFont="1" applyFill="1" applyBorder="1"/>
    <xf numFmtId="1" fontId="27" fillId="36" borderId="34" xfId="0" applyNumberFormat="1" applyFont="1" applyFill="1" applyBorder="1"/>
    <xf numFmtId="0" fontId="27" fillId="0" borderId="0" xfId="0" applyFont="1" applyAlignment="1">
      <alignment horizontal="center"/>
    </xf>
    <xf numFmtId="165" fontId="27" fillId="36" borderId="34" xfId="0" applyNumberFormat="1" applyFont="1" applyFill="1" applyBorder="1"/>
    <xf numFmtId="10" fontId="32" fillId="36" borderId="38" xfId="0" applyNumberFormat="1" applyFont="1" applyFill="1" applyBorder="1"/>
    <xf numFmtId="0" fontId="33" fillId="46" borderId="28" xfId="0" applyFont="1" applyFill="1" applyBorder="1" applyAlignment="1">
      <alignment horizontal="center"/>
    </xf>
    <xf numFmtId="0" fontId="27" fillId="0" borderId="39" xfId="0" applyFont="1" applyBorder="1" applyAlignment="1">
      <alignment horizontal="center"/>
    </xf>
    <xf numFmtId="1" fontId="34" fillId="0" borderId="31" xfId="0" applyNumberFormat="1" applyFont="1" applyBorder="1" applyAlignment="1">
      <alignment horizontal="center"/>
    </xf>
    <xf numFmtId="0" fontId="36" fillId="47" borderId="42" xfId="0" applyFont="1" applyFill="1" applyBorder="1" applyAlignment="1">
      <alignment horizontal="center" vertical="center" wrapText="1"/>
    </xf>
    <xf numFmtId="0" fontId="27" fillId="0" borderId="0" xfId="0" applyFont="1" applyAlignment="1">
      <alignment vertical="center"/>
    </xf>
    <xf numFmtId="0" fontId="37" fillId="38" borderId="0" xfId="0" applyFont="1" applyFill="1" applyAlignment="1">
      <alignment horizontal="center" vertical="center"/>
    </xf>
    <xf numFmtId="0" fontId="27" fillId="0" borderId="0" xfId="0" applyFont="1" applyAlignment="1" applyProtection="1">
      <alignment vertical="center"/>
    </xf>
    <xf numFmtId="0" fontId="27" fillId="0" borderId="0" xfId="0" applyFont="1" applyAlignment="1" applyProtection="1">
      <alignment horizontal="center" vertical="center"/>
    </xf>
    <xf numFmtId="0" fontId="38" fillId="34" borderId="14" xfId="0" applyFont="1" applyFill="1" applyBorder="1" applyAlignment="1">
      <alignment horizontal="left" vertical="center"/>
    </xf>
    <xf numFmtId="0" fontId="38" fillId="34" borderId="14" xfId="0" applyFont="1" applyFill="1" applyBorder="1" applyAlignment="1">
      <alignment vertical="center"/>
    </xf>
    <xf numFmtId="0" fontId="38" fillId="34" borderId="0" xfId="0" applyFont="1" applyFill="1" applyBorder="1" applyAlignment="1">
      <alignment vertical="center"/>
    </xf>
    <xf numFmtId="0" fontId="27" fillId="0" borderId="0" xfId="0" applyFont="1" applyAlignment="1">
      <alignment vertical="center" wrapText="1"/>
    </xf>
    <xf numFmtId="0" fontId="27" fillId="0" borderId="0" xfId="0" applyFont="1" applyAlignment="1" applyProtection="1">
      <alignment vertical="center" wrapText="1"/>
    </xf>
    <xf numFmtId="0" fontId="27" fillId="0" borderId="0" xfId="0" applyFont="1" applyAlignment="1" applyProtection="1">
      <alignment horizontal="center" vertical="center" wrapText="1"/>
    </xf>
    <xf numFmtId="0" fontId="39" fillId="64" borderId="79" xfId="0" applyFont="1" applyFill="1" applyBorder="1" applyAlignment="1">
      <alignment horizontal="left" vertical="center"/>
    </xf>
    <xf numFmtId="0" fontId="39" fillId="64" borderId="79" xfId="0" applyFont="1" applyFill="1" applyBorder="1" applyAlignment="1">
      <alignment horizontal="center" vertical="center"/>
    </xf>
    <xf numFmtId="0" fontId="39" fillId="64" borderId="79" xfId="0" applyFont="1" applyFill="1" applyBorder="1" applyAlignment="1">
      <alignment horizontal="center" vertical="center" wrapText="1"/>
    </xf>
    <xf numFmtId="0" fontId="27" fillId="40" borderId="23" xfId="0" applyFont="1" applyFill="1" applyBorder="1" applyAlignment="1" applyProtection="1">
      <alignment vertical="center"/>
    </xf>
    <xf numFmtId="1" fontId="27" fillId="40" borderId="24" xfId="0" applyNumberFormat="1" applyFont="1" applyFill="1" applyBorder="1" applyAlignment="1" applyProtection="1">
      <alignment horizontal="center" vertical="center"/>
    </xf>
    <xf numFmtId="1" fontId="27" fillId="0" borderId="0" xfId="0" applyNumberFormat="1" applyFont="1" applyAlignment="1">
      <alignment vertical="center"/>
    </xf>
    <xf numFmtId="0" fontId="42" fillId="0" borderId="77" xfId="0" applyFont="1" applyFill="1" applyBorder="1" applyAlignment="1">
      <alignment horizontal="center" vertical="center" wrapText="1"/>
    </xf>
    <xf numFmtId="0" fontId="43" fillId="0" borderId="77" xfId="0" applyFont="1" applyFill="1" applyBorder="1" applyAlignment="1">
      <alignment horizontal="left" vertical="center" wrapText="1"/>
    </xf>
    <xf numFmtId="1" fontId="44" fillId="59" borderId="77" xfId="0" applyNumberFormat="1" applyFont="1" applyFill="1" applyBorder="1" applyAlignment="1">
      <alignment horizontal="center" vertical="center"/>
    </xf>
    <xf numFmtId="1" fontId="27" fillId="0" borderId="0" xfId="0" applyNumberFormat="1" applyFont="1" applyAlignment="1">
      <alignment horizontal="center" vertical="center"/>
    </xf>
    <xf numFmtId="0" fontId="27" fillId="0" borderId="50" xfId="0" applyFont="1" applyBorder="1" applyAlignment="1">
      <alignment vertical="center"/>
    </xf>
    <xf numFmtId="0" fontId="27" fillId="0" borderId="51" xfId="0" applyFont="1" applyBorder="1" applyAlignment="1">
      <alignment vertical="center"/>
    </xf>
    <xf numFmtId="0" fontId="27" fillId="48" borderId="49" xfId="0" applyFont="1" applyFill="1" applyBorder="1" applyAlignment="1" applyProtection="1">
      <alignment vertical="center"/>
    </xf>
    <xf numFmtId="1" fontId="27" fillId="48" borderId="22" xfId="0" applyNumberFormat="1" applyFont="1" applyFill="1" applyBorder="1" applyAlignment="1" applyProtection="1">
      <alignment horizontal="center" vertical="center"/>
    </xf>
    <xf numFmtId="0" fontId="42" fillId="0" borderId="78" xfId="0" applyFont="1" applyFill="1" applyBorder="1" applyAlignment="1">
      <alignment horizontal="center" vertical="center" wrapText="1"/>
    </xf>
    <xf numFmtId="0" fontId="43" fillId="0" borderId="78" xfId="0" applyFont="1" applyFill="1" applyBorder="1" applyAlignment="1">
      <alignment horizontal="left" vertical="center" wrapText="1"/>
    </xf>
    <xf numFmtId="1" fontId="44" fillId="59" borderId="78" xfId="0" applyNumberFormat="1" applyFont="1" applyFill="1" applyBorder="1" applyAlignment="1">
      <alignment horizontal="center" vertical="center"/>
    </xf>
    <xf numFmtId="0" fontId="45" fillId="33" borderId="0" xfId="0" applyFont="1" applyFill="1" applyBorder="1" applyAlignment="1">
      <alignment horizontal="center" vertical="center"/>
    </xf>
    <xf numFmtId="0" fontId="27" fillId="48" borderId="18" xfId="0" applyFont="1" applyFill="1" applyBorder="1" applyAlignment="1" applyProtection="1">
      <alignment vertical="center"/>
    </xf>
    <xf numFmtId="1" fontId="27" fillId="48" borderId="17" xfId="0" applyNumberFormat="1" applyFont="1" applyFill="1" applyBorder="1" applyAlignment="1" applyProtection="1">
      <alignment horizontal="center" vertical="center"/>
    </xf>
    <xf numFmtId="0" fontId="27" fillId="48" borderId="25" xfId="0" applyFont="1" applyFill="1" applyBorder="1" applyAlignment="1" applyProtection="1">
      <alignment vertical="center"/>
    </xf>
    <xf numFmtId="1" fontId="27" fillId="48" borderId="26" xfId="0" applyNumberFormat="1" applyFont="1" applyFill="1" applyBorder="1" applyAlignment="1" applyProtection="1">
      <alignment horizontal="center" vertical="center"/>
    </xf>
    <xf numFmtId="0" fontId="46" fillId="41" borderId="23" xfId="0" applyFont="1" applyFill="1" applyBorder="1" applyAlignment="1" applyProtection="1">
      <alignment vertical="center"/>
    </xf>
    <xf numFmtId="1" fontId="46" fillId="41" borderId="24" xfId="0" applyNumberFormat="1" applyFont="1" applyFill="1" applyBorder="1" applyAlignment="1" applyProtection="1">
      <alignment horizontal="center" vertical="center"/>
    </xf>
    <xf numFmtId="0" fontId="27" fillId="49" borderId="18" xfId="0" applyFont="1" applyFill="1" applyBorder="1" applyAlignment="1" applyProtection="1">
      <alignment vertical="center"/>
    </xf>
    <xf numFmtId="1" fontId="27" fillId="49" borderId="22" xfId="0" applyNumberFormat="1" applyFont="1" applyFill="1" applyBorder="1" applyAlignment="1" applyProtection="1">
      <alignment horizontal="center" vertical="center"/>
    </xf>
    <xf numFmtId="1" fontId="27" fillId="49" borderId="17" xfId="0" applyNumberFormat="1" applyFont="1" applyFill="1" applyBorder="1" applyAlignment="1" applyProtection="1">
      <alignment horizontal="center" vertical="center"/>
    </xf>
    <xf numFmtId="0" fontId="27" fillId="49" borderId="25" xfId="0" applyFont="1" applyFill="1" applyBorder="1" applyAlignment="1" applyProtection="1">
      <alignment vertical="center"/>
    </xf>
    <xf numFmtId="1" fontId="27" fillId="49" borderId="26" xfId="0" applyNumberFormat="1" applyFont="1" applyFill="1" applyBorder="1" applyAlignment="1" applyProtection="1">
      <alignment horizontal="center" vertical="center"/>
    </xf>
    <xf numFmtId="0" fontId="46" fillId="42" borderId="23" xfId="0" applyFont="1" applyFill="1" applyBorder="1" applyAlignment="1" applyProtection="1">
      <alignment vertical="center"/>
    </xf>
    <xf numFmtId="1" fontId="46" fillId="42" borderId="24" xfId="0" applyNumberFormat="1" applyFont="1" applyFill="1" applyBorder="1" applyAlignment="1" applyProtection="1">
      <alignment horizontal="center" vertical="center"/>
    </xf>
    <xf numFmtId="0" fontId="27" fillId="50" borderId="21" xfId="0" applyFont="1" applyFill="1" applyBorder="1" applyAlignment="1" applyProtection="1">
      <alignment vertical="center"/>
    </xf>
    <xf numFmtId="1" fontId="27" fillId="50" borderId="22" xfId="0" applyNumberFormat="1" applyFont="1" applyFill="1" applyBorder="1" applyAlignment="1" applyProtection="1">
      <alignment horizontal="center" vertical="center"/>
    </xf>
    <xf numFmtId="0" fontId="41" fillId="0" borderId="78" xfId="0" applyFont="1" applyFill="1" applyBorder="1" applyAlignment="1">
      <alignment horizontal="center" vertical="center" wrapText="1"/>
    </xf>
    <xf numFmtId="0" fontId="27" fillId="50" borderId="18" xfId="0" applyFont="1" applyFill="1" applyBorder="1" applyAlignment="1" applyProtection="1">
      <alignment vertical="center"/>
    </xf>
    <xf numFmtId="1" fontId="27" fillId="50" borderId="17" xfId="0" applyNumberFormat="1" applyFont="1" applyFill="1" applyBorder="1" applyAlignment="1" applyProtection="1">
      <alignment horizontal="center" vertical="center"/>
    </xf>
    <xf numFmtId="0" fontId="27" fillId="50" borderId="25" xfId="0" applyFont="1" applyFill="1" applyBorder="1" applyAlignment="1" applyProtection="1">
      <alignment vertical="center"/>
    </xf>
    <xf numFmtId="1" fontId="27" fillId="50" borderId="26" xfId="0" applyNumberFormat="1" applyFont="1" applyFill="1" applyBorder="1" applyAlignment="1" applyProtection="1">
      <alignment horizontal="center" vertical="center"/>
    </xf>
    <xf numFmtId="0" fontId="27" fillId="43" borderId="23" xfId="0" applyFont="1" applyFill="1" applyBorder="1" applyAlignment="1" applyProtection="1">
      <alignment vertical="center"/>
    </xf>
    <xf numFmtId="1" fontId="27" fillId="43" borderId="24" xfId="0" applyNumberFormat="1" applyFont="1" applyFill="1" applyBorder="1" applyAlignment="1" applyProtection="1">
      <alignment horizontal="center" vertical="center"/>
    </xf>
    <xf numFmtId="0" fontId="27" fillId="51" borderId="21" xfId="0" applyFont="1" applyFill="1" applyBorder="1" applyAlignment="1" applyProtection="1">
      <alignment vertical="center"/>
    </xf>
    <xf numFmtId="1" fontId="27" fillId="51" borderId="22" xfId="0" applyNumberFormat="1" applyFont="1" applyFill="1" applyBorder="1" applyAlignment="1" applyProtection="1">
      <alignment horizontal="center" vertical="center"/>
    </xf>
    <xf numFmtId="0" fontId="41" fillId="0" borderId="79" xfId="0" applyFont="1" applyFill="1" applyBorder="1" applyAlignment="1">
      <alignment horizontal="center" vertical="center" wrapText="1"/>
    </xf>
    <xf numFmtId="0" fontId="42" fillId="0" borderId="79" xfId="0" applyFont="1" applyFill="1" applyBorder="1" applyAlignment="1">
      <alignment horizontal="center" vertical="center" wrapText="1"/>
    </xf>
    <xf numFmtId="0" fontId="43" fillId="0" borderId="79" xfId="0" applyFont="1" applyFill="1" applyBorder="1" applyAlignment="1">
      <alignment horizontal="left" vertical="center" wrapText="1"/>
    </xf>
    <xf numFmtId="1" fontId="44" fillId="59" borderId="79" xfId="0" applyNumberFormat="1" applyFont="1" applyFill="1" applyBorder="1" applyAlignment="1">
      <alignment horizontal="center" vertical="center"/>
    </xf>
    <xf numFmtId="0" fontId="27" fillId="51" borderId="18" xfId="0" applyFont="1" applyFill="1" applyBorder="1" applyAlignment="1" applyProtection="1">
      <alignment vertical="center"/>
    </xf>
    <xf numFmtId="1" fontId="27" fillId="51" borderId="17" xfId="0" applyNumberFormat="1" applyFont="1" applyFill="1" applyBorder="1" applyAlignment="1" applyProtection="1">
      <alignment horizontal="center" vertical="center"/>
    </xf>
    <xf numFmtId="0" fontId="38" fillId="34" borderId="0" xfId="0" applyFont="1" applyFill="1" applyBorder="1" applyAlignment="1">
      <alignment horizontal="center" vertical="center"/>
    </xf>
    <xf numFmtId="1" fontId="47" fillId="34" borderId="0" xfId="0" applyNumberFormat="1" applyFont="1" applyFill="1" applyBorder="1" applyAlignment="1">
      <alignment horizontal="center" vertical="center"/>
    </xf>
    <xf numFmtId="0" fontId="27" fillId="51" borderId="25" xfId="0" applyFont="1" applyFill="1" applyBorder="1" applyAlignment="1" applyProtection="1">
      <alignment vertical="center"/>
    </xf>
    <xf numFmtId="1" fontId="27" fillId="51" borderId="26" xfId="0" applyNumberFormat="1" applyFont="1" applyFill="1" applyBorder="1" applyAlignment="1" applyProtection="1">
      <alignment horizontal="center" vertical="center"/>
    </xf>
    <xf numFmtId="0" fontId="46" fillId="44" borderId="23" xfId="0" applyFont="1" applyFill="1" applyBorder="1" applyAlignment="1" applyProtection="1">
      <alignment vertical="center"/>
    </xf>
    <xf numFmtId="1" fontId="46" fillId="44" borderId="24" xfId="0" applyNumberFormat="1" applyFont="1" applyFill="1" applyBorder="1" applyAlignment="1" applyProtection="1">
      <alignment horizontal="center" vertical="center"/>
    </xf>
    <xf numFmtId="0" fontId="49" fillId="0" borderId="77" xfId="0" applyFont="1" applyFill="1" applyBorder="1" applyAlignment="1">
      <alignment horizontal="center" vertical="center" wrapText="1"/>
    </xf>
    <xf numFmtId="1" fontId="44" fillId="58" borderId="77" xfId="0" applyNumberFormat="1" applyFont="1" applyFill="1" applyBorder="1" applyAlignment="1">
      <alignment horizontal="center" vertical="center"/>
    </xf>
    <xf numFmtId="0" fontId="27" fillId="52" borderId="21" xfId="0" applyFont="1" applyFill="1" applyBorder="1" applyAlignment="1" applyProtection="1">
      <alignment vertical="center"/>
    </xf>
    <xf numFmtId="1" fontId="27" fillId="52" borderId="22" xfId="0" applyNumberFormat="1" applyFont="1" applyFill="1" applyBorder="1" applyAlignment="1" applyProtection="1">
      <alignment horizontal="center" vertical="center"/>
    </xf>
    <xf numFmtId="0" fontId="49" fillId="0" borderId="78" xfId="0" applyFont="1" applyFill="1" applyBorder="1" applyAlignment="1">
      <alignment horizontal="center" vertical="center" wrapText="1"/>
    </xf>
    <xf numFmtId="1" fontId="44" fillId="58" borderId="78" xfId="0" applyNumberFormat="1" applyFont="1" applyFill="1" applyBorder="1" applyAlignment="1">
      <alignment horizontal="center" vertical="center"/>
    </xf>
    <xf numFmtId="0" fontId="27" fillId="52" borderId="18" xfId="0" applyFont="1" applyFill="1" applyBorder="1" applyAlignment="1" applyProtection="1">
      <alignment vertical="center"/>
    </xf>
    <xf numFmtId="1" fontId="27" fillId="52" borderId="17" xfId="0" applyNumberFormat="1" applyFont="1" applyFill="1" applyBorder="1" applyAlignment="1" applyProtection="1">
      <alignment horizontal="center" vertical="center"/>
    </xf>
    <xf numFmtId="0" fontId="27" fillId="52" borderId="19" xfId="0" applyFont="1" applyFill="1" applyBorder="1" applyAlignment="1" applyProtection="1">
      <alignment vertical="center"/>
    </xf>
    <xf numFmtId="1" fontId="27" fillId="52" borderId="20" xfId="0" applyNumberFormat="1" applyFont="1" applyFill="1" applyBorder="1" applyAlignment="1" applyProtection="1">
      <alignment horizontal="center" vertical="center"/>
    </xf>
    <xf numFmtId="1" fontId="27" fillId="0" borderId="0" xfId="0" applyNumberFormat="1" applyFont="1" applyAlignment="1" applyProtection="1">
      <alignment horizontal="center" vertical="center" wrapText="1"/>
    </xf>
    <xf numFmtId="0" fontId="27" fillId="0" borderId="32" xfId="0" applyFont="1" applyBorder="1" applyAlignment="1" applyProtection="1">
      <alignment vertical="center"/>
    </xf>
    <xf numFmtId="1" fontId="27" fillId="0" borderId="33" xfId="0" applyNumberFormat="1" applyFont="1" applyFill="1" applyBorder="1" applyAlignment="1" applyProtection="1">
      <alignment horizontal="center" vertical="center"/>
    </xf>
    <xf numFmtId="0" fontId="27" fillId="0" borderId="29" xfId="0" applyFont="1" applyBorder="1" applyAlignment="1" applyProtection="1">
      <alignment vertical="center"/>
    </xf>
    <xf numFmtId="1" fontId="27" fillId="0" borderId="33" xfId="0" applyNumberFormat="1" applyFont="1" applyBorder="1" applyAlignment="1" applyProtection="1">
      <alignment horizontal="center" vertical="center"/>
    </xf>
    <xf numFmtId="0" fontId="49" fillId="0" borderId="79" xfId="0" applyFont="1" applyFill="1" applyBorder="1" applyAlignment="1">
      <alignment horizontal="center" vertical="center" wrapText="1"/>
    </xf>
    <xf numFmtId="1" fontId="44" fillId="58" borderId="79" xfId="0" applyNumberFormat="1" applyFont="1" applyFill="1" applyBorder="1" applyAlignment="1">
      <alignment horizontal="center" vertical="center"/>
    </xf>
    <xf numFmtId="1" fontId="27" fillId="0" borderId="30" xfId="0" applyNumberFormat="1" applyFont="1" applyBorder="1" applyAlignment="1" applyProtection="1">
      <alignment horizontal="center" vertical="center"/>
    </xf>
    <xf numFmtId="0" fontId="38" fillId="34" borderId="0" xfId="0" applyFont="1" applyFill="1" applyBorder="1" applyAlignment="1">
      <alignment horizontal="left" vertical="center"/>
    </xf>
    <xf numFmtId="1" fontId="27" fillId="0" borderId="0" xfId="0" applyNumberFormat="1" applyFont="1" applyAlignment="1" applyProtection="1">
      <alignment vertical="center"/>
    </xf>
    <xf numFmtId="1" fontId="27" fillId="0" borderId="0" xfId="0" applyNumberFormat="1" applyFont="1" applyAlignment="1" applyProtection="1">
      <alignment horizontal="center" vertical="center"/>
    </xf>
    <xf numFmtId="0" fontId="27" fillId="0" borderId="47" xfId="0" applyFont="1" applyBorder="1" applyAlignment="1" applyProtection="1">
      <alignment vertical="center"/>
    </xf>
    <xf numFmtId="1" fontId="27" fillId="0" borderId="27" xfId="0" applyNumberFormat="1" applyFont="1" applyBorder="1" applyAlignment="1" applyProtection="1">
      <alignment horizontal="center" vertical="center"/>
    </xf>
    <xf numFmtId="1" fontId="27" fillId="0" borderId="28" xfId="0" applyNumberFormat="1" applyFont="1" applyBorder="1" applyAlignment="1" applyProtection="1">
      <alignment horizontal="center" vertical="center" wrapText="1"/>
    </xf>
    <xf numFmtId="0" fontId="27" fillId="40" borderId="32" xfId="0" applyFont="1" applyFill="1" applyBorder="1" applyAlignment="1" applyProtection="1">
      <alignment vertical="center"/>
    </xf>
    <xf numFmtId="1" fontId="27" fillId="40" borderId="33" xfId="0" applyNumberFormat="1" applyFont="1" applyFill="1" applyBorder="1" applyAlignment="1" applyProtection="1">
      <alignment horizontal="center" vertical="center"/>
    </xf>
    <xf numFmtId="1" fontId="27" fillId="40" borderId="34" xfId="0" applyNumberFormat="1" applyFont="1" applyFill="1" applyBorder="1" applyAlignment="1" applyProtection="1">
      <alignment horizontal="center" vertical="center"/>
    </xf>
    <xf numFmtId="0" fontId="46" fillId="41" borderId="32" xfId="0" applyFont="1" applyFill="1" applyBorder="1" applyAlignment="1" applyProtection="1">
      <alignment vertical="center"/>
    </xf>
    <xf numFmtId="1" fontId="46" fillId="41" borderId="33" xfId="0" applyNumberFormat="1" applyFont="1" applyFill="1" applyBorder="1" applyAlignment="1" applyProtection="1">
      <alignment horizontal="center" vertical="center"/>
    </xf>
    <xf numFmtId="1" fontId="46" fillId="41" borderId="34" xfId="0" applyNumberFormat="1" applyFont="1" applyFill="1" applyBorder="1" applyAlignment="1" applyProtection="1">
      <alignment horizontal="center" vertical="center"/>
    </xf>
    <xf numFmtId="0" fontId="46" fillId="42" borderId="32" xfId="0" applyFont="1" applyFill="1" applyBorder="1" applyAlignment="1" applyProtection="1">
      <alignment vertical="center"/>
    </xf>
    <xf numFmtId="1" fontId="46" fillId="42" borderId="33" xfId="0" applyNumberFormat="1" applyFont="1" applyFill="1" applyBorder="1" applyAlignment="1" applyProtection="1">
      <alignment horizontal="center" vertical="center"/>
    </xf>
    <xf numFmtId="1" fontId="46" fillId="42" borderId="34" xfId="0" applyNumberFormat="1" applyFont="1" applyFill="1" applyBorder="1" applyAlignment="1" applyProtection="1">
      <alignment horizontal="center" vertical="center"/>
    </xf>
    <xf numFmtId="0" fontId="27" fillId="43" borderId="32" xfId="0" applyFont="1" applyFill="1" applyBorder="1" applyAlignment="1" applyProtection="1">
      <alignment vertical="center"/>
    </xf>
    <xf numFmtId="1" fontId="27" fillId="43" borderId="33" xfId="0" applyNumberFormat="1" applyFont="1" applyFill="1" applyBorder="1" applyAlignment="1" applyProtection="1">
      <alignment horizontal="center" vertical="center"/>
    </xf>
    <xf numFmtId="1" fontId="27" fillId="43" borderId="34" xfId="0" applyNumberFormat="1" applyFont="1" applyFill="1" applyBorder="1" applyAlignment="1" applyProtection="1">
      <alignment horizontal="center" vertical="center"/>
    </xf>
    <xf numFmtId="0" fontId="46" fillId="44" borderId="32" xfId="0" applyFont="1" applyFill="1" applyBorder="1" applyAlignment="1" applyProtection="1">
      <alignment vertical="center"/>
    </xf>
    <xf numFmtId="1" fontId="46" fillId="44" borderId="33" xfId="0" applyNumberFormat="1" applyFont="1" applyFill="1" applyBorder="1" applyAlignment="1" applyProtection="1">
      <alignment horizontal="center" vertical="center"/>
    </xf>
    <xf numFmtId="1" fontId="46" fillId="44" borderId="34" xfId="0" applyNumberFormat="1" applyFont="1" applyFill="1" applyBorder="1" applyAlignment="1" applyProtection="1">
      <alignment horizontal="center" vertical="center"/>
    </xf>
    <xf numFmtId="0" fontId="27" fillId="0" borderId="48" xfId="0" applyFont="1" applyBorder="1" applyAlignment="1" applyProtection="1">
      <alignment vertical="center"/>
    </xf>
    <xf numFmtId="1" fontId="27" fillId="0" borderId="0" xfId="0" applyNumberFormat="1" applyFont="1" applyBorder="1" applyAlignment="1" applyProtection="1">
      <alignment horizontal="center" vertical="center"/>
    </xf>
    <xf numFmtId="1" fontId="27" fillId="0" borderId="0" xfId="0" applyNumberFormat="1" applyFont="1" applyBorder="1" applyAlignment="1">
      <alignment horizontal="center" vertical="center"/>
    </xf>
    <xf numFmtId="1" fontId="27" fillId="0" borderId="39" xfId="0" applyNumberFormat="1" applyFont="1" applyBorder="1" applyAlignment="1">
      <alignment horizontal="center" vertical="center"/>
    </xf>
    <xf numFmtId="1" fontId="27" fillId="0" borderId="34" xfId="0" applyNumberFormat="1" applyFont="1" applyBorder="1" applyAlignment="1" applyProtection="1">
      <alignment horizontal="center" vertical="center" wrapText="1"/>
    </xf>
    <xf numFmtId="1" fontId="51" fillId="37" borderId="34" xfId="0" applyNumberFormat="1" applyFont="1" applyFill="1" applyBorder="1" applyAlignment="1" applyProtection="1">
      <alignment horizontal="center" vertical="center"/>
    </xf>
    <xf numFmtId="1" fontId="51" fillId="37" borderId="31" xfId="0" applyNumberFormat="1" applyFont="1" applyFill="1" applyBorder="1" applyAlignment="1" applyProtection="1">
      <alignment horizontal="center" vertical="center"/>
    </xf>
    <xf numFmtId="0" fontId="50" fillId="0" borderId="79" xfId="0" applyFont="1" applyFill="1" applyBorder="1" applyAlignment="1">
      <alignment horizontal="center" vertical="center" wrapText="1"/>
    </xf>
    <xf numFmtId="0" fontId="38" fillId="34" borderId="10" xfId="0" applyFont="1" applyFill="1" applyBorder="1" applyAlignment="1">
      <alignment horizontal="left" vertical="center"/>
    </xf>
    <xf numFmtId="0" fontId="47" fillId="34" borderId="0" xfId="0" applyFont="1" applyFill="1" applyBorder="1" applyAlignment="1">
      <alignment horizontal="center" vertical="center"/>
    </xf>
    <xf numFmtId="0" fontId="38" fillId="37" borderId="14" xfId="0" applyFont="1" applyFill="1" applyBorder="1" applyAlignment="1">
      <alignment horizontal="center" vertical="center"/>
    </xf>
    <xf numFmtId="0" fontId="47" fillId="37" borderId="14" xfId="0" applyFont="1" applyFill="1" applyBorder="1" applyAlignment="1">
      <alignment horizontal="center" vertical="center" wrapText="1"/>
    </xf>
    <xf numFmtId="0" fontId="47" fillId="37" borderId="52" xfId="0" applyFont="1" applyFill="1" applyBorder="1" applyAlignment="1">
      <alignment horizontal="center" vertical="center" wrapText="1"/>
    </xf>
    <xf numFmtId="0" fontId="47" fillId="37" borderId="53" xfId="0" applyFont="1" applyFill="1" applyBorder="1" applyAlignment="1">
      <alignment horizontal="center" vertical="center" wrapText="1"/>
    </xf>
    <xf numFmtId="0" fontId="49" fillId="37" borderId="11" xfId="0" applyFont="1" applyFill="1" applyBorder="1" applyAlignment="1">
      <alignment horizontal="center" vertical="center" wrapText="1"/>
    </xf>
    <xf numFmtId="0" fontId="49" fillId="37" borderId="11" xfId="0" applyFont="1" applyFill="1" applyBorder="1" applyAlignment="1">
      <alignment horizontal="left" vertical="center" wrapText="1"/>
    </xf>
    <xf numFmtId="0" fontId="38" fillId="34" borderId="14" xfId="0" applyFont="1" applyFill="1" applyBorder="1" applyAlignment="1">
      <alignment horizontal="center" vertical="center"/>
    </xf>
    <xf numFmtId="0" fontId="47" fillId="34" borderId="14" xfId="0" applyFont="1" applyFill="1" applyBorder="1" applyAlignment="1">
      <alignment horizontal="center" vertical="center"/>
    </xf>
    <xf numFmtId="0" fontId="49" fillId="37" borderId="69" xfId="0" applyFont="1" applyFill="1" applyBorder="1" applyAlignment="1">
      <alignment horizontal="center" vertical="center" wrapText="1"/>
    </xf>
    <xf numFmtId="0" fontId="43" fillId="37" borderId="13" xfId="0" applyFont="1" applyFill="1" applyBorder="1" applyAlignment="1">
      <alignment horizontal="left" vertical="center" wrapText="1"/>
    </xf>
    <xf numFmtId="1" fontId="44" fillId="58" borderId="85" xfId="0" applyNumberFormat="1" applyFont="1" applyFill="1" applyBorder="1" applyAlignment="1">
      <alignment horizontal="center" vertical="center"/>
    </xf>
    <xf numFmtId="1" fontId="44" fillId="58" borderId="97" xfId="0" applyNumberFormat="1" applyFont="1" applyFill="1" applyBorder="1" applyAlignment="1">
      <alignment horizontal="center" vertical="center"/>
    </xf>
    <xf numFmtId="0" fontId="49" fillId="37" borderId="68" xfId="0" applyFont="1" applyFill="1" applyBorder="1" applyAlignment="1">
      <alignment horizontal="center" vertical="center" wrapText="1"/>
    </xf>
    <xf numFmtId="0" fontId="43" fillId="37" borderId="11" xfId="0" applyFont="1" applyFill="1" applyBorder="1" applyAlignment="1">
      <alignment horizontal="left" vertical="center" wrapText="1"/>
    </xf>
    <xf numFmtId="0" fontId="49" fillId="37" borderId="70" xfId="0" applyFont="1" applyFill="1" applyBorder="1" applyAlignment="1">
      <alignment horizontal="center" vertical="center" wrapText="1"/>
    </xf>
    <xf numFmtId="0" fontId="43" fillId="37" borderId="71" xfId="0" applyFont="1" applyFill="1" applyBorder="1" applyAlignment="1">
      <alignment horizontal="left" vertical="center" wrapText="1"/>
    </xf>
    <xf numFmtId="1" fontId="44" fillId="58" borderId="98" xfId="0" applyNumberFormat="1" applyFont="1" applyFill="1" applyBorder="1" applyAlignment="1">
      <alignment horizontal="center" vertical="center"/>
    </xf>
    <xf numFmtId="1" fontId="44" fillId="58" borderId="99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vertical="center" textRotation="90"/>
    </xf>
    <xf numFmtId="0" fontId="27" fillId="0" borderId="0" xfId="0" applyFont="1" applyBorder="1"/>
    <xf numFmtId="0" fontId="27" fillId="0" borderId="0" xfId="0" applyFont="1" applyFill="1" applyBorder="1"/>
    <xf numFmtId="0" fontId="27" fillId="37" borderId="0" xfId="0" applyFont="1" applyFill="1" applyBorder="1"/>
    <xf numFmtId="0" fontId="27" fillId="0" borderId="0" xfId="0" applyFont="1" applyFill="1"/>
    <xf numFmtId="0" fontId="27" fillId="39" borderId="0" xfId="0" applyFont="1" applyFill="1" applyBorder="1" applyAlignment="1">
      <alignment horizontal="center"/>
    </xf>
    <xf numFmtId="0" fontId="38" fillId="53" borderId="44" xfId="0" applyFont="1" applyFill="1" applyBorder="1" applyAlignment="1">
      <alignment horizontal="left" vertical="center" wrapText="1"/>
    </xf>
    <xf numFmtId="0" fontId="38" fillId="53" borderId="45" xfId="0" applyFont="1" applyFill="1" applyBorder="1" applyAlignment="1">
      <alignment horizontal="left" vertical="center" wrapText="1"/>
    </xf>
    <xf numFmtId="0" fontId="38" fillId="53" borderId="45" xfId="0" applyFont="1" applyFill="1" applyBorder="1" applyAlignment="1">
      <alignment horizontal="center" vertical="center" wrapText="1"/>
    </xf>
    <xf numFmtId="0" fontId="38" fillId="53" borderId="46" xfId="0" applyFont="1" applyFill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/>
    </xf>
    <xf numFmtId="0" fontId="53" fillId="37" borderId="0" xfId="0" applyFont="1" applyFill="1" applyBorder="1" applyAlignment="1" applyProtection="1">
      <alignment vertical="center"/>
    </xf>
    <xf numFmtId="0" fontId="54" fillId="37" borderId="0" xfId="0" applyFont="1" applyFill="1" applyBorder="1" applyAlignment="1">
      <alignment horizontal="center" vertical="center" wrapText="1"/>
    </xf>
    <xf numFmtId="0" fontId="54" fillId="37" borderId="0" xfId="0" applyFont="1" applyFill="1" applyBorder="1" applyAlignment="1">
      <alignment horizontal="left" vertical="center" wrapText="1"/>
    </xf>
    <xf numFmtId="0" fontId="18" fillId="37" borderId="0" xfId="0" applyFont="1" applyFill="1" applyBorder="1" applyAlignment="1">
      <alignment horizontal="center" vertical="center"/>
    </xf>
    <xf numFmtId="0" fontId="18" fillId="37" borderId="0" xfId="0" applyFont="1" applyFill="1" applyBorder="1" applyAlignment="1">
      <alignment horizontal="center" vertical="center" wrapText="1"/>
    </xf>
    <xf numFmtId="1" fontId="27" fillId="0" borderId="0" xfId="0" applyNumberFormat="1" applyFont="1"/>
    <xf numFmtId="0" fontId="55" fillId="37" borderId="0" xfId="0" applyFont="1" applyFill="1" applyBorder="1" applyAlignment="1" applyProtection="1">
      <alignment vertical="center"/>
    </xf>
    <xf numFmtId="0" fontId="18" fillId="0" borderId="0" xfId="0" applyFont="1" applyFill="1" applyBorder="1" applyAlignment="1">
      <alignment horizontal="center" vertical="center"/>
    </xf>
    <xf numFmtId="0" fontId="56" fillId="37" borderId="0" xfId="0" applyFont="1" applyFill="1" applyBorder="1" applyAlignment="1" applyProtection="1">
      <alignment vertical="center"/>
    </xf>
    <xf numFmtId="0" fontId="57" fillId="37" borderId="0" xfId="0" applyFont="1" applyFill="1" applyBorder="1" applyAlignment="1">
      <alignment horizontal="left" vertical="center" wrapText="1"/>
    </xf>
    <xf numFmtId="0" fontId="58" fillId="37" borderId="0" xfId="0" applyFont="1" applyFill="1" applyBorder="1" applyAlignment="1">
      <alignment horizontal="left" vertical="center" wrapText="1"/>
    </xf>
    <xf numFmtId="0" fontId="38" fillId="0" borderId="14" xfId="0" applyFont="1" applyFill="1" applyBorder="1" applyAlignment="1">
      <alignment horizontal="center" vertical="center" wrapText="1"/>
    </xf>
    <xf numFmtId="0" fontId="59" fillId="0" borderId="60" xfId="0" applyFont="1" applyFill="1" applyBorder="1" applyAlignment="1">
      <alignment horizontal="left" vertical="center" wrapText="1"/>
    </xf>
    <xf numFmtId="0" fontId="60" fillId="0" borderId="60" xfId="0" applyFont="1" applyFill="1" applyBorder="1" applyAlignment="1">
      <alignment horizontal="left" vertical="center" wrapText="1"/>
    </xf>
    <xf numFmtId="0" fontId="61" fillId="0" borderId="0" xfId="0" applyFont="1" applyFill="1" applyBorder="1" applyAlignment="1">
      <alignment horizontal="left" vertical="center" wrapText="1"/>
    </xf>
    <xf numFmtId="0" fontId="62" fillId="0" borderId="0" xfId="0" applyFont="1" applyFill="1" applyBorder="1" applyAlignment="1">
      <alignment horizontal="left" vertical="center" wrapText="1"/>
    </xf>
    <xf numFmtId="1" fontId="61" fillId="0" borderId="0" xfId="0" applyNumberFormat="1" applyFont="1" applyFill="1" applyBorder="1" applyAlignment="1">
      <alignment horizontal="center" vertical="center"/>
    </xf>
    <xf numFmtId="1" fontId="61" fillId="0" borderId="0" xfId="0" applyNumberFormat="1" applyFont="1" applyFill="1" applyBorder="1" applyAlignment="1">
      <alignment horizontal="center" vertical="center" wrapText="1"/>
    </xf>
    <xf numFmtId="1" fontId="38" fillId="0" borderId="14" xfId="0" applyNumberFormat="1" applyFont="1" applyFill="1" applyBorder="1" applyAlignment="1">
      <alignment horizontal="center" vertical="center" wrapText="1"/>
    </xf>
    <xf numFmtId="0" fontId="27" fillId="0" borderId="0" xfId="0" applyFont="1" applyFill="1" applyAlignment="1"/>
    <xf numFmtId="0" fontId="63" fillId="0" borderId="0" xfId="0" applyFont="1" applyFill="1" applyAlignment="1"/>
    <xf numFmtId="0" fontId="66" fillId="59" borderId="90" xfId="0" applyFont="1" applyFill="1" applyBorder="1" applyAlignment="1">
      <alignment horizontal="right"/>
    </xf>
    <xf numFmtId="0" fontId="27" fillId="59" borderId="90" xfId="0" applyFont="1" applyFill="1" applyBorder="1"/>
    <xf numFmtId="0" fontId="66" fillId="59" borderId="0" xfId="0" applyFont="1" applyFill="1" applyBorder="1" applyAlignment="1">
      <alignment horizontal="right" vertical="center"/>
    </xf>
    <xf numFmtId="0" fontId="27" fillId="59" borderId="0" xfId="0" applyFont="1" applyFill="1" applyBorder="1"/>
    <xf numFmtId="0" fontId="63" fillId="0" borderId="0" xfId="0" applyFont="1" applyFill="1" applyAlignment="1">
      <alignment horizontal="center" vertical="center"/>
    </xf>
    <xf numFmtId="0" fontId="66" fillId="59" borderId="91" xfId="0" applyFont="1" applyFill="1" applyBorder="1" applyAlignment="1">
      <alignment horizontal="right" vertical="top"/>
    </xf>
    <xf numFmtId="0" fontId="27" fillId="59" borderId="91" xfId="0" applyFont="1" applyFill="1" applyBorder="1"/>
    <xf numFmtId="0" fontId="60" fillId="0" borderId="0" xfId="0" applyFont="1" applyFill="1" applyAlignment="1">
      <alignment horizontal="center" vertical="center"/>
    </xf>
    <xf numFmtId="0" fontId="69" fillId="59" borderId="86" xfId="0" applyFont="1" applyFill="1" applyBorder="1" applyAlignment="1">
      <alignment horizontal="right"/>
    </xf>
    <xf numFmtId="0" fontId="27" fillId="59" borderId="86" xfId="0" applyFont="1" applyFill="1" applyBorder="1"/>
    <xf numFmtId="0" fontId="69" fillId="59" borderId="0" xfId="0" applyFont="1" applyFill="1" applyBorder="1" applyAlignment="1">
      <alignment horizontal="right" vertical="center"/>
    </xf>
    <xf numFmtId="0" fontId="69" fillId="59" borderId="87" xfId="0" applyFont="1" applyFill="1" applyBorder="1" applyAlignment="1">
      <alignment horizontal="right" vertical="top"/>
    </xf>
    <xf numFmtId="0" fontId="27" fillId="59" borderId="87" xfId="0" applyFont="1" applyFill="1" applyBorder="1"/>
    <xf numFmtId="0" fontId="72" fillId="59" borderId="0" xfId="0" applyFont="1" applyFill="1" applyAlignment="1">
      <alignment horizontal="right"/>
    </xf>
    <xf numFmtId="0" fontId="27" fillId="59" borderId="0" xfId="0" applyFont="1" applyFill="1"/>
    <xf numFmtId="0" fontId="73" fillId="0" borderId="0" xfId="0" applyFont="1" applyFill="1" applyAlignment="1">
      <alignment horizontal="center" vertical="center"/>
    </xf>
    <xf numFmtId="0" fontId="72" fillId="59" borderId="0" xfId="0" applyFont="1" applyFill="1" applyAlignment="1">
      <alignment horizontal="right" vertical="center"/>
    </xf>
    <xf numFmtId="0" fontId="72" fillId="59" borderId="0" xfId="0" applyFont="1" applyFill="1" applyAlignment="1">
      <alignment horizontal="right" vertical="top"/>
    </xf>
    <xf numFmtId="0" fontId="76" fillId="59" borderId="88" xfId="0" applyFont="1" applyFill="1" applyBorder="1" applyAlignment="1">
      <alignment horizontal="right"/>
    </xf>
    <xf numFmtId="0" fontId="27" fillId="59" borderId="88" xfId="0" applyFont="1" applyFill="1" applyBorder="1"/>
    <xf numFmtId="0" fontId="76" fillId="59" borderId="0" xfId="0" applyFont="1" applyFill="1" applyBorder="1" applyAlignment="1">
      <alignment horizontal="right" vertical="center"/>
    </xf>
    <xf numFmtId="0" fontId="76" fillId="59" borderId="89" xfId="0" applyFont="1" applyFill="1" applyBorder="1" applyAlignment="1">
      <alignment horizontal="right" vertical="top"/>
    </xf>
    <xf numFmtId="0" fontId="27" fillId="59" borderId="89" xfId="0" applyFont="1" applyFill="1" applyBorder="1"/>
    <xf numFmtId="0" fontId="79" fillId="59" borderId="92" xfId="0" applyFont="1" applyFill="1" applyBorder="1" applyAlignment="1">
      <alignment horizontal="right"/>
    </xf>
    <xf numFmtId="0" fontId="27" fillId="59" borderId="92" xfId="0" applyFont="1" applyFill="1" applyBorder="1"/>
    <xf numFmtId="0" fontId="79" fillId="59" borderId="0" xfId="0" applyFont="1" applyFill="1" applyBorder="1" applyAlignment="1">
      <alignment horizontal="right" vertical="center"/>
    </xf>
    <xf numFmtId="0" fontId="79" fillId="59" borderId="93" xfId="0" applyFont="1" applyFill="1" applyBorder="1" applyAlignment="1">
      <alignment horizontal="right" vertical="top"/>
    </xf>
    <xf numFmtId="0" fontId="27" fillId="59" borderId="93" xfId="0" applyFont="1" applyFill="1" applyBorder="1"/>
    <xf numFmtId="0" fontId="80" fillId="0" borderId="0" xfId="0" applyFont="1" applyFill="1" applyAlignment="1">
      <alignment horizontal="left" indent="2"/>
    </xf>
    <xf numFmtId="0" fontId="81" fillId="0" borderId="0" xfId="0" applyFont="1" applyFill="1"/>
    <xf numFmtId="0" fontId="82" fillId="0" borderId="0" xfId="0" applyFont="1" applyFill="1" applyAlignment="1">
      <alignment horizontal="right" vertical="center"/>
    </xf>
    <xf numFmtId="0" fontId="80" fillId="0" borderId="0" xfId="0" applyFont="1" applyFill="1" applyAlignment="1">
      <alignment horizontal="left" wrapText="1" indent="2"/>
    </xf>
    <xf numFmtId="0" fontId="81" fillId="0" borderId="0" xfId="0" applyFont="1" applyFill="1" applyAlignment="1">
      <alignment wrapText="1"/>
    </xf>
    <xf numFmtId="0" fontId="83" fillId="59" borderId="0" xfId="0" applyFont="1" applyFill="1" applyAlignment="1">
      <alignment horizontal="left" vertical="center"/>
    </xf>
    <xf numFmtId="0" fontId="83" fillId="59" borderId="0" xfId="0" applyFont="1" applyFill="1" applyAlignment="1">
      <alignment vertical="center"/>
    </xf>
    <xf numFmtId="0" fontId="83" fillId="59" borderId="0" xfId="0" applyFont="1" applyFill="1" applyBorder="1" applyAlignment="1">
      <alignment horizontal="left" vertical="center" wrapText="1"/>
    </xf>
    <xf numFmtId="0" fontId="83" fillId="59" borderId="0" xfId="0" applyFont="1" applyFill="1" applyBorder="1" applyAlignment="1">
      <alignment horizontal="center" vertical="center" wrapText="1"/>
    </xf>
    <xf numFmtId="0" fontId="84" fillId="0" borderId="0" xfId="0" applyFont="1" applyFill="1" applyAlignment="1">
      <alignment vertical="center"/>
    </xf>
    <xf numFmtId="0" fontId="86" fillId="0" borderId="94" xfId="0" applyFont="1" applyFill="1" applyBorder="1" applyAlignment="1">
      <alignment horizontal="left" vertical="center" wrapText="1"/>
    </xf>
    <xf numFmtId="0" fontId="87" fillId="0" borderId="94" xfId="0" applyFont="1" applyFill="1" applyBorder="1" applyAlignment="1">
      <alignment horizontal="center" vertical="center" wrapText="1"/>
    </xf>
    <xf numFmtId="0" fontId="86" fillId="0" borderId="101" xfId="0" applyFont="1" applyFill="1" applyBorder="1" applyAlignment="1">
      <alignment horizontal="left" vertical="center" wrapText="1"/>
    </xf>
    <xf numFmtId="0" fontId="87" fillId="0" borderId="101" xfId="0" applyFont="1" applyFill="1" applyBorder="1" applyAlignment="1">
      <alignment horizontal="center" vertical="center" wrapText="1"/>
    </xf>
    <xf numFmtId="0" fontId="86" fillId="0" borderId="91" xfId="0" applyFont="1" applyFill="1" applyBorder="1" applyAlignment="1">
      <alignment horizontal="left" vertical="center" wrapText="1"/>
    </xf>
    <xf numFmtId="0" fontId="87" fillId="0" borderId="91" xfId="0" applyFont="1" applyFill="1" applyBorder="1" applyAlignment="1">
      <alignment horizontal="center" vertical="center" wrapText="1"/>
    </xf>
    <xf numFmtId="0" fontId="89" fillId="59" borderId="0" xfId="0" applyFont="1" applyFill="1" applyBorder="1" applyAlignment="1">
      <alignment horizontal="left" vertical="center" wrapText="1"/>
    </xf>
    <xf numFmtId="0" fontId="87" fillId="59" borderId="0" xfId="0" applyFont="1" applyFill="1" applyBorder="1" applyAlignment="1">
      <alignment horizontal="center" vertical="center" wrapText="1"/>
    </xf>
    <xf numFmtId="0" fontId="27" fillId="0" borderId="0" xfId="0" applyFont="1" applyFill="1" applyAlignment="1">
      <alignment wrapText="1"/>
    </xf>
    <xf numFmtId="0" fontId="89" fillId="59" borderId="101" xfId="0" applyFont="1" applyFill="1" applyBorder="1" applyAlignment="1">
      <alignment horizontal="left" vertical="center" wrapText="1"/>
    </xf>
    <xf numFmtId="0" fontId="87" fillId="59" borderId="101" xfId="0" applyFont="1" applyFill="1" applyBorder="1" applyAlignment="1">
      <alignment horizontal="center" vertical="center" wrapText="1"/>
    </xf>
    <xf numFmtId="0" fontId="91" fillId="0" borderId="95" xfId="0" applyFont="1" applyFill="1" applyBorder="1" applyAlignment="1">
      <alignment horizontal="left" vertical="center" wrapText="1"/>
    </xf>
    <xf numFmtId="0" fontId="87" fillId="0" borderId="95" xfId="0" applyFont="1" applyFill="1" applyBorder="1" applyAlignment="1">
      <alignment horizontal="center" vertical="center" wrapText="1"/>
    </xf>
    <xf numFmtId="0" fontId="91" fillId="0" borderId="101" xfId="0" applyFont="1" applyFill="1" applyBorder="1" applyAlignment="1">
      <alignment horizontal="left" vertical="center" wrapText="1"/>
    </xf>
    <xf numFmtId="0" fontId="91" fillId="0" borderId="96" xfId="0" applyFont="1" applyFill="1" applyBorder="1" applyAlignment="1">
      <alignment horizontal="left" vertical="center" wrapText="1"/>
    </xf>
    <xf numFmtId="0" fontId="87" fillId="0" borderId="96" xfId="0" applyFont="1" applyFill="1" applyBorder="1" applyAlignment="1">
      <alignment horizontal="center" vertical="center" wrapText="1"/>
    </xf>
    <xf numFmtId="0" fontId="93" fillId="59" borderId="0" xfId="0" applyFont="1" applyFill="1" applyBorder="1" applyAlignment="1">
      <alignment horizontal="left" vertical="center" wrapText="1"/>
    </xf>
    <xf numFmtId="0" fontId="93" fillId="59" borderId="101" xfId="0" applyFont="1" applyFill="1" applyBorder="1" applyAlignment="1">
      <alignment horizontal="left" vertical="center" wrapText="1"/>
    </xf>
    <xf numFmtId="0" fontId="95" fillId="0" borderId="92" xfId="0" applyFont="1" applyFill="1" applyBorder="1" applyAlignment="1">
      <alignment horizontal="left" vertical="center" wrapText="1"/>
    </xf>
    <xf numFmtId="0" fontId="87" fillId="0" borderId="92" xfId="0" applyFont="1" applyFill="1" applyBorder="1" applyAlignment="1">
      <alignment horizontal="center" vertical="center" wrapText="1"/>
    </xf>
    <xf numFmtId="0" fontId="95" fillId="0" borderId="101" xfId="0" applyFont="1" applyFill="1" applyBorder="1" applyAlignment="1">
      <alignment horizontal="left" vertical="center" wrapText="1"/>
    </xf>
    <xf numFmtId="0" fontId="95" fillId="0" borderId="93" xfId="0" applyFont="1" applyFill="1" applyBorder="1" applyAlignment="1">
      <alignment horizontal="left" vertical="center" wrapText="1"/>
    </xf>
    <xf numFmtId="0" fontId="87" fillId="0" borderId="93" xfId="0" applyFont="1" applyFill="1" applyBorder="1" applyAlignment="1">
      <alignment horizontal="center" vertical="center" wrapText="1"/>
    </xf>
    <xf numFmtId="0" fontId="27" fillId="0" borderId="0" xfId="0" applyFont="1" applyFill="1" applyAlignment="1">
      <alignment horizontal="center" wrapText="1"/>
    </xf>
    <xf numFmtId="0" fontId="46" fillId="0" borderId="0" xfId="0" applyFont="1" applyFill="1" applyBorder="1" applyAlignment="1">
      <alignment horizontal="center" wrapText="1"/>
    </xf>
    <xf numFmtId="0" fontId="27" fillId="0" borderId="0" xfId="0" applyFont="1" applyFill="1" applyBorder="1" applyAlignment="1">
      <alignment horizontal="center" wrapText="1"/>
    </xf>
    <xf numFmtId="0" fontId="27" fillId="0" borderId="0" xfId="0" applyFont="1" applyFill="1" applyAlignment="1">
      <alignment horizontal="center"/>
    </xf>
    <xf numFmtId="0" fontId="46" fillId="0" borderId="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Font="1" applyFill="1" applyBorder="1" applyAlignment="1"/>
    <xf numFmtId="0" fontId="27" fillId="0" borderId="0" xfId="0" applyFont="1" applyFill="1" applyAlignment="1">
      <alignment horizontal="left"/>
    </xf>
    <xf numFmtId="9" fontId="46" fillId="0" borderId="0" xfId="0" applyNumberFormat="1" applyFont="1" applyFill="1" applyBorder="1" applyAlignment="1">
      <alignment horizontal="center"/>
    </xf>
    <xf numFmtId="0" fontId="26" fillId="0" borderId="0" xfId="0" applyFont="1" applyFill="1" applyAlignment="1">
      <alignment horizontal="left" vertical="center" wrapText="1"/>
    </xf>
    <xf numFmtId="0" fontId="26" fillId="0" borderId="0" xfId="0" applyFont="1" applyFill="1" applyAlignment="1">
      <alignment horizontal="right" vertical="center" wrapText="1"/>
    </xf>
    <xf numFmtId="0" fontId="35" fillId="0" borderId="0" xfId="0" applyFont="1" applyFill="1" applyAlignment="1">
      <alignment horizontal="left"/>
    </xf>
    <xf numFmtId="0" fontId="97" fillId="0" borderId="0" xfId="0" applyFont="1" applyFill="1"/>
    <xf numFmtId="0" fontId="98" fillId="0" borderId="0" xfId="0" applyFont="1" applyFill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35" fillId="0" borderId="0" xfId="0" applyFont="1" applyFill="1" applyBorder="1"/>
    <xf numFmtId="0" fontId="35" fillId="0" borderId="0" xfId="0" applyFont="1" applyFill="1" applyBorder="1" applyAlignment="1"/>
    <xf numFmtId="0" fontId="99" fillId="0" borderId="0" xfId="0" applyFont="1" applyFill="1" applyAlignment="1">
      <alignment horizontal="left" vertical="center" wrapText="1"/>
    </xf>
    <xf numFmtId="0" fontId="100" fillId="0" borderId="0" xfId="0" applyFont="1" applyFill="1" applyAlignment="1">
      <alignment horizontal="right" vertical="center" wrapText="1"/>
    </xf>
    <xf numFmtId="0" fontId="39" fillId="0" borderId="0" xfId="0" applyFont="1" applyFill="1" applyAlignment="1">
      <alignment horizontal="center" vertical="center" wrapText="1"/>
    </xf>
    <xf numFmtId="0" fontId="97" fillId="0" borderId="0" xfId="0" applyFont="1" applyFill="1" applyBorder="1" applyAlignment="1">
      <alignment horizontal="center" vertical="center" wrapText="1"/>
    </xf>
    <xf numFmtId="0" fontId="99" fillId="0" borderId="0" xfId="0" applyFont="1" applyFill="1" applyBorder="1" applyAlignment="1">
      <alignment vertical="center" wrapText="1"/>
    </xf>
    <xf numFmtId="0" fontId="99" fillId="0" borderId="0" xfId="0" applyFont="1" applyFill="1" applyBorder="1" applyAlignment="1">
      <alignment vertical="center"/>
    </xf>
    <xf numFmtId="0" fontId="101" fillId="0" borderId="100" xfId="0" applyFont="1" applyBorder="1" applyAlignment="1">
      <alignment horizontal="left" vertical="center" wrapText="1" indent="1" readingOrder="1"/>
    </xf>
    <xf numFmtId="0" fontId="102" fillId="0" borderId="100" xfId="0" applyFont="1" applyFill="1" applyBorder="1" applyAlignment="1">
      <alignment horizontal="center" vertical="center"/>
    </xf>
    <xf numFmtId="1" fontId="51" fillId="0" borderId="0" xfId="0" applyNumberFormat="1" applyFont="1" applyFill="1" applyBorder="1" applyAlignment="1">
      <alignment horizontal="center" vertical="center" wrapText="1"/>
    </xf>
    <xf numFmtId="0" fontId="103" fillId="0" borderId="100" xfId="0" applyFont="1" applyBorder="1" applyAlignment="1">
      <alignment horizontal="left" vertical="center" wrapText="1" indent="1" readingOrder="1"/>
    </xf>
    <xf numFmtId="1" fontId="51" fillId="0" borderId="0" xfId="0" applyNumberFormat="1" applyFont="1" applyFill="1" applyBorder="1" applyAlignment="1">
      <alignment horizontal="center" vertical="center"/>
    </xf>
    <xf numFmtId="0" fontId="104" fillId="0" borderId="100" xfId="0" applyFont="1" applyBorder="1" applyAlignment="1">
      <alignment horizontal="left" vertical="center" wrapText="1" indent="1" readingOrder="1"/>
    </xf>
    <xf numFmtId="0" fontId="105" fillId="0" borderId="100" xfId="0" applyFont="1" applyBorder="1" applyAlignment="1">
      <alignment horizontal="left" vertical="center" wrapText="1" indent="1" readingOrder="1"/>
    </xf>
    <xf numFmtId="0" fontId="51" fillId="0" borderId="0" xfId="0" applyFont="1" applyFill="1" applyBorder="1" applyAlignment="1">
      <alignment horizontal="center" vertical="center"/>
    </xf>
    <xf numFmtId="0" fontId="106" fillId="0" borderId="100" xfId="0" applyFont="1" applyBorder="1" applyAlignment="1">
      <alignment horizontal="left" vertical="center" wrapText="1" indent="1" readingOrder="1"/>
    </xf>
    <xf numFmtId="0" fontId="107" fillId="0" borderId="0" xfId="0" applyFont="1" applyFill="1" applyBorder="1" applyAlignment="1">
      <alignment horizontal="left" vertical="center"/>
    </xf>
    <xf numFmtId="1" fontId="18" fillId="0" borderId="0" xfId="0" applyNumberFormat="1" applyFont="1" applyFill="1" applyBorder="1" applyAlignment="1">
      <alignment horizontal="center" vertical="center"/>
    </xf>
    <xf numFmtId="3" fontId="27" fillId="0" borderId="0" xfId="0" applyNumberFormat="1" applyFont="1" applyFill="1" applyBorder="1" applyAlignment="1"/>
    <xf numFmtId="0" fontId="108" fillId="0" borderId="47" xfId="0" applyFont="1" applyFill="1" applyBorder="1" applyAlignment="1">
      <alignment horizontal="left" vertical="center"/>
    </xf>
    <xf numFmtId="1" fontId="27" fillId="0" borderId="27" xfId="0" applyNumberFormat="1" applyFont="1" applyFill="1" applyBorder="1" applyAlignment="1">
      <alignment horizontal="center" wrapText="1"/>
    </xf>
    <xf numFmtId="0" fontId="100" fillId="0" borderId="29" xfId="0" applyFont="1" applyFill="1" applyBorder="1" applyAlignment="1">
      <alignment horizontal="left"/>
    </xf>
    <xf numFmtId="1" fontId="27" fillId="0" borderId="30" xfId="0" applyNumberFormat="1" applyFont="1" applyFill="1" applyBorder="1" applyAlignment="1">
      <alignment horizontal="center" wrapText="1"/>
    </xf>
    <xf numFmtId="0" fontId="97" fillId="0" borderId="0" xfId="0" applyFont="1" applyFill="1" applyAlignment="1">
      <alignment horizontal="left"/>
    </xf>
    <xf numFmtId="0" fontId="51" fillId="0" borderId="0" xfId="0" applyFont="1" applyFill="1" applyBorder="1" applyAlignment="1">
      <alignment horizontal="center" vertical="center" wrapText="1"/>
    </xf>
    <xf numFmtId="3" fontId="18" fillId="0" borderId="0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/>
    </xf>
    <xf numFmtId="0" fontId="109" fillId="0" borderId="0" xfId="0" applyFont="1" applyFill="1" applyBorder="1" applyAlignment="1">
      <alignment horizontal="center" vertical="top" wrapText="1"/>
    </xf>
    <xf numFmtId="0" fontId="97" fillId="0" borderId="0" xfId="0" applyFont="1" applyFill="1" applyBorder="1"/>
    <xf numFmtId="0" fontId="35" fillId="0" borderId="0" xfId="0" applyFont="1" applyFill="1"/>
    <xf numFmtId="0" fontId="99" fillId="0" borderId="0" xfId="0" applyFont="1" applyFill="1" applyAlignment="1">
      <alignment vertical="center" wrapText="1"/>
    </xf>
    <xf numFmtId="3" fontId="27" fillId="0" borderId="0" xfId="0" applyNumberFormat="1" applyFont="1" applyFill="1" applyAlignment="1"/>
    <xf numFmtId="0" fontId="35" fillId="0" borderId="0" xfId="0" applyFont="1" applyFill="1" applyBorder="1" applyAlignment="1">
      <alignment horizontal="left"/>
    </xf>
    <xf numFmtId="0" fontId="99" fillId="0" borderId="0" xfId="0" applyFont="1" applyFill="1" applyBorder="1" applyAlignment="1">
      <alignment horizontal="left" vertical="center" wrapText="1"/>
    </xf>
    <xf numFmtId="0" fontId="100" fillId="0" borderId="0" xfId="0" applyFont="1" applyFill="1" applyBorder="1" applyAlignment="1">
      <alignment horizontal="right" vertical="center" wrapText="1"/>
    </xf>
    <xf numFmtId="0" fontId="99" fillId="0" borderId="0" xfId="0" applyFont="1" applyFill="1" applyBorder="1" applyAlignment="1">
      <alignment horizontal="center" vertical="center" wrapText="1"/>
    </xf>
    <xf numFmtId="0" fontId="100" fillId="0" borderId="0" xfId="0" applyFont="1" applyFill="1" applyBorder="1" applyAlignment="1">
      <alignment horizontal="right"/>
    </xf>
    <xf numFmtId="0" fontId="35" fillId="0" borderId="0" xfId="0" applyFont="1" applyFill="1" applyAlignment="1"/>
    <xf numFmtId="0" fontId="99" fillId="0" borderId="0" xfId="0" applyFont="1" applyFill="1" applyAlignment="1">
      <alignment vertical="center"/>
    </xf>
    <xf numFmtId="0" fontId="35" fillId="0" borderId="0" xfId="0" applyFont="1" applyFill="1" applyBorder="1" applyAlignment="1">
      <alignment horizontal="center" wrapText="1"/>
    </xf>
    <xf numFmtId="3" fontId="27" fillId="0" borderId="0" xfId="0" applyNumberFormat="1" applyFont="1" applyFill="1" applyBorder="1" applyAlignment="1">
      <alignment horizontal="center"/>
    </xf>
    <xf numFmtId="3" fontId="27" fillId="0" borderId="0" xfId="0" applyNumberFormat="1" applyFont="1" applyFill="1" applyBorder="1"/>
    <xf numFmtId="3" fontId="27" fillId="0" borderId="0" xfId="0" applyNumberFormat="1" applyFont="1" applyFill="1"/>
    <xf numFmtId="0" fontId="27" fillId="40" borderId="35" xfId="0" applyFont="1" applyFill="1" applyBorder="1" applyAlignment="1">
      <alignment horizontal="center" vertical="center" wrapText="1"/>
    </xf>
    <xf numFmtId="0" fontId="27" fillId="40" borderId="36" xfId="0" applyFont="1" applyFill="1" applyBorder="1" applyAlignment="1">
      <alignment horizontal="center" vertical="center"/>
    </xf>
    <xf numFmtId="0" fontId="27" fillId="40" borderId="37" xfId="0" applyFont="1" applyFill="1" applyBorder="1" applyAlignment="1">
      <alignment horizontal="center" vertical="center"/>
    </xf>
    <xf numFmtId="0" fontId="27" fillId="40" borderId="37" xfId="0" applyFont="1" applyFill="1" applyBorder="1" applyAlignment="1">
      <alignment horizontal="center" vertical="center" wrapText="1"/>
    </xf>
    <xf numFmtId="0" fontId="27" fillId="0" borderId="54" xfId="0" applyFont="1" applyBorder="1" applyAlignment="1">
      <alignment horizontal="left" vertical="center" wrapText="1"/>
    </xf>
    <xf numFmtId="0" fontId="27" fillId="0" borderId="55" xfId="0" applyFont="1" applyBorder="1" applyAlignment="1">
      <alignment horizontal="left" vertical="center"/>
    </xf>
    <xf numFmtId="0" fontId="27" fillId="0" borderId="56" xfId="0" applyFont="1" applyBorder="1" applyAlignment="1">
      <alignment vertical="center"/>
    </xf>
    <xf numFmtId="0" fontId="27" fillId="0" borderId="56" xfId="0" applyFont="1" applyBorder="1" applyAlignment="1">
      <alignment horizontal="center" vertical="center" wrapText="1"/>
    </xf>
    <xf numFmtId="0" fontId="27" fillId="0" borderId="40" xfId="0" applyFont="1" applyBorder="1" applyAlignment="1">
      <alignment horizontal="left" vertical="center" wrapText="1"/>
    </xf>
    <xf numFmtId="0" fontId="27" fillId="0" borderId="38" xfId="0" applyFont="1" applyBorder="1" applyAlignment="1">
      <alignment horizontal="left" vertical="center"/>
    </xf>
    <xf numFmtId="0" fontId="27" fillId="0" borderId="41" xfId="0" applyFont="1" applyBorder="1" applyAlignment="1">
      <alignment vertical="center"/>
    </xf>
    <xf numFmtId="0" fontId="27" fillId="0" borderId="41" xfId="0" applyFont="1" applyBorder="1" applyAlignment="1">
      <alignment horizontal="center" vertical="center" wrapText="1"/>
    </xf>
    <xf numFmtId="0" fontId="27" fillId="0" borderId="0" xfId="0" applyFont="1" applyAlignment="1">
      <alignment horizontal="right" vertical="center" wrapText="1"/>
    </xf>
    <xf numFmtId="0" fontId="27" fillId="0" borderId="43" xfId="0" applyFont="1" applyBorder="1" applyAlignment="1">
      <alignment horizontal="left" vertical="center" wrapText="1"/>
    </xf>
    <xf numFmtId="0" fontId="27" fillId="0" borderId="43" xfId="0" applyFont="1" applyBorder="1" applyAlignment="1">
      <alignment horizontal="left" vertical="center"/>
    </xf>
    <xf numFmtId="0" fontId="27" fillId="0" borderId="43" xfId="0" applyFont="1" applyBorder="1" applyAlignment="1">
      <alignment vertical="center"/>
    </xf>
    <xf numFmtId="0" fontId="27" fillId="0" borderId="43" xfId="0" applyFont="1" applyBorder="1" applyAlignment="1">
      <alignment horizontal="center" vertical="center" wrapText="1"/>
    </xf>
    <xf numFmtId="0" fontId="27" fillId="0" borderId="0" xfId="0" applyFont="1" applyAlignment="1">
      <alignment horizontal="left" vertical="center"/>
    </xf>
    <xf numFmtId="0" fontId="27" fillId="0" borderId="0" xfId="0" applyFont="1" applyBorder="1" applyAlignment="1">
      <alignment horizontal="left" vertical="center" wrapText="1"/>
    </xf>
    <xf numFmtId="0" fontId="27" fillId="0" borderId="0" xfId="0" applyFont="1" applyBorder="1" applyAlignment="1">
      <alignment horizontal="left" vertical="center"/>
    </xf>
    <xf numFmtId="0" fontId="27" fillId="0" borderId="0" xfId="0" applyFont="1" applyBorder="1" applyAlignment="1">
      <alignment vertical="center"/>
    </xf>
    <xf numFmtId="0" fontId="27" fillId="0" borderId="0" xfId="0" applyFont="1" applyBorder="1" applyAlignment="1">
      <alignment horizontal="center" vertical="center" wrapText="1"/>
    </xf>
    <xf numFmtId="0" fontId="27" fillId="0" borderId="0" xfId="0" applyFont="1" applyAlignment="1">
      <alignment horizontal="left"/>
    </xf>
    <xf numFmtId="9" fontId="27" fillId="0" borderId="0" xfId="54" applyNumberFormat="1" applyFont="1"/>
    <xf numFmtId="0" fontId="27" fillId="56" borderId="0" xfId="0" applyFont="1" applyFill="1"/>
    <xf numFmtId="0" fontId="27" fillId="45" borderId="35" xfId="0" applyFont="1" applyFill="1" applyBorder="1" applyAlignment="1">
      <alignment horizontal="center" vertical="center" wrapText="1"/>
    </xf>
    <xf numFmtId="0" fontId="27" fillId="45" borderId="36" xfId="0" applyFont="1" applyFill="1" applyBorder="1" applyAlignment="1">
      <alignment horizontal="center" vertical="center"/>
    </xf>
    <xf numFmtId="0" fontId="27" fillId="45" borderId="37" xfId="0" applyFont="1" applyFill="1" applyBorder="1" applyAlignment="1">
      <alignment horizontal="center" vertical="center"/>
    </xf>
    <xf numFmtId="0" fontId="18" fillId="0" borderId="0" xfId="49" applyFont="1"/>
    <xf numFmtId="0" fontId="27" fillId="38" borderId="0" xfId="0" applyFont="1" applyFill="1"/>
    <xf numFmtId="0" fontId="27" fillId="38" borderId="0" xfId="0" applyFont="1" applyFill="1" applyAlignment="1">
      <alignment horizontal="center"/>
    </xf>
    <xf numFmtId="1" fontId="27" fillId="0" borderId="0" xfId="0" applyNumberFormat="1" applyFont="1" applyAlignment="1">
      <alignment horizontal="center"/>
    </xf>
    <xf numFmtId="0" fontId="27" fillId="63" borderId="0" xfId="0" applyFont="1" applyFill="1"/>
    <xf numFmtId="0" fontId="110" fillId="62" borderId="0" xfId="0" applyFont="1" applyFill="1"/>
    <xf numFmtId="0" fontId="111" fillId="0" borderId="0" xfId="0" applyFont="1"/>
    <xf numFmtId="0" fontId="111" fillId="0" borderId="0" xfId="0" applyFont="1" applyFill="1"/>
    <xf numFmtId="0" fontId="112" fillId="0" borderId="0" xfId="0" applyFont="1"/>
    <xf numFmtId="0" fontId="18" fillId="0" borderId="0" xfId="49" applyFont="1" applyAlignment="1">
      <alignment horizontal="center"/>
    </xf>
    <xf numFmtId="0" fontId="50" fillId="0" borderId="60" xfId="0" applyFont="1" applyFill="1" applyBorder="1" applyAlignment="1">
      <alignment horizontal="left" vertical="center" wrapText="1"/>
    </xf>
    <xf numFmtId="1" fontId="60" fillId="0" borderId="60" xfId="0" applyNumberFormat="1" applyFont="1" applyFill="1" applyBorder="1" applyAlignment="1">
      <alignment horizontal="center" vertical="center"/>
    </xf>
    <xf numFmtId="1" fontId="60" fillId="0" borderId="60" xfId="0" applyNumberFormat="1" applyFont="1" applyFill="1" applyBorder="1" applyAlignment="1">
      <alignment horizontal="center" vertical="center" wrapText="1"/>
    </xf>
    <xf numFmtId="0" fontId="27" fillId="0" borderId="0" xfId="0" applyFont="1" applyBorder="1" applyAlignment="1">
      <alignment horizontal="left"/>
    </xf>
    <xf numFmtId="168" fontId="39" fillId="0" borderId="0" xfId="54" applyNumberFormat="1" applyFont="1" applyFill="1" applyAlignment="1">
      <alignment horizontal="center" vertical="center" wrapText="1"/>
    </xf>
    <xf numFmtId="0" fontId="96" fillId="0" borderId="0" xfId="0" applyFont="1" applyFill="1" applyBorder="1" applyAlignment="1">
      <alignment vertical="center" wrapText="1"/>
    </xf>
    <xf numFmtId="0" fontId="26" fillId="0" borderId="0" xfId="0" applyFont="1" applyFill="1" applyBorder="1" applyAlignment="1">
      <alignment vertical="center" wrapText="1"/>
    </xf>
    <xf numFmtId="0" fontId="26" fillId="0" borderId="0" xfId="0" applyFont="1" applyFill="1" applyBorder="1" applyAlignment="1">
      <alignment horizontal="left" vertical="center" wrapText="1"/>
    </xf>
    <xf numFmtId="0" fontId="26" fillId="0" borderId="0" xfId="0" applyFont="1" applyFill="1" applyBorder="1" applyAlignment="1">
      <alignment horizontal="right" vertical="center" wrapText="1"/>
    </xf>
    <xf numFmtId="0" fontId="98" fillId="0" borderId="0" xfId="0" applyFont="1" applyFill="1" applyBorder="1" applyAlignment="1">
      <alignment horizontal="center"/>
    </xf>
    <xf numFmtId="0" fontId="39" fillId="0" borderId="0" xfId="0" applyFont="1" applyFill="1" applyBorder="1" applyAlignment="1">
      <alignment horizontal="center" vertical="center" wrapText="1"/>
    </xf>
    <xf numFmtId="168" fontId="39" fillId="0" borderId="0" xfId="54" applyNumberFormat="1" applyFont="1" applyFill="1" applyBorder="1" applyAlignment="1">
      <alignment horizontal="center" vertical="center" wrapText="1"/>
    </xf>
    <xf numFmtId="0" fontId="108" fillId="0" borderId="0" xfId="0" applyFont="1" applyFill="1" applyBorder="1" applyAlignment="1">
      <alignment horizontal="left" vertical="center"/>
    </xf>
    <xf numFmtId="1" fontId="27" fillId="0" borderId="0" xfId="0" applyNumberFormat="1" applyFont="1" applyFill="1" applyBorder="1" applyAlignment="1">
      <alignment horizontal="center" wrapText="1"/>
    </xf>
    <xf numFmtId="0" fontId="100" fillId="0" borderId="0" xfId="0" applyFont="1" applyFill="1" applyBorder="1" applyAlignment="1">
      <alignment horizontal="left"/>
    </xf>
    <xf numFmtId="0" fontId="97" fillId="0" borderId="0" xfId="0" applyFont="1" applyFill="1" applyBorder="1" applyAlignment="1">
      <alignment horizontal="left"/>
    </xf>
    <xf numFmtId="0" fontId="18" fillId="66" borderId="0" xfId="49" applyFont="1" applyFill="1"/>
    <xf numFmtId="0" fontId="18" fillId="66" borderId="0" xfId="49" applyFont="1" applyFill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118" fillId="0" borderId="0" xfId="0" applyFont="1" applyFill="1" applyAlignment="1">
      <alignment vertical="center" wrapText="1"/>
    </xf>
    <xf numFmtId="9" fontId="51" fillId="0" borderId="0" xfId="0" applyNumberFormat="1" applyFont="1" applyFill="1" applyBorder="1" applyAlignment="1">
      <alignment horizontal="center"/>
    </xf>
    <xf numFmtId="169" fontId="119" fillId="0" borderId="74" xfId="0" applyNumberFormat="1" applyFont="1" applyBorder="1" applyAlignment="1">
      <alignment horizontal="center" vertical="center" wrapText="1" readingOrder="1"/>
    </xf>
    <xf numFmtId="0" fontId="27" fillId="67" borderId="67" xfId="0" applyFont="1" applyFill="1" applyBorder="1"/>
    <xf numFmtId="0" fontId="27" fillId="68" borderId="67" xfId="0" applyFont="1" applyFill="1" applyBorder="1"/>
    <xf numFmtId="1" fontId="87" fillId="0" borderId="94" xfId="0" applyNumberFormat="1" applyFont="1" applyFill="1" applyBorder="1" applyAlignment="1">
      <alignment horizontal="center" vertical="center" wrapText="1"/>
    </xf>
    <xf numFmtId="1" fontId="87" fillId="0" borderId="101" xfId="0" applyNumberFormat="1" applyFont="1" applyFill="1" applyBorder="1" applyAlignment="1">
      <alignment horizontal="center" vertical="center" wrapText="1"/>
    </xf>
    <xf numFmtId="1" fontId="87" fillId="0" borderId="91" xfId="0" applyNumberFormat="1" applyFont="1" applyFill="1" applyBorder="1" applyAlignment="1">
      <alignment horizontal="center" vertical="center" wrapText="1"/>
    </xf>
    <xf numFmtId="1" fontId="87" fillId="59" borderId="0" xfId="0" applyNumberFormat="1" applyFont="1" applyFill="1" applyBorder="1" applyAlignment="1">
      <alignment horizontal="center" vertical="center" wrapText="1"/>
    </xf>
    <xf numFmtId="1" fontId="87" fillId="59" borderId="101" xfId="0" applyNumberFormat="1" applyFont="1" applyFill="1" applyBorder="1" applyAlignment="1">
      <alignment horizontal="center" vertical="center" wrapText="1"/>
    </xf>
    <xf numFmtId="1" fontId="87" fillId="0" borderId="95" xfId="0" applyNumberFormat="1" applyFont="1" applyFill="1" applyBorder="1" applyAlignment="1">
      <alignment horizontal="center" vertical="center" wrapText="1"/>
    </xf>
    <xf numFmtId="1" fontId="87" fillId="0" borderId="96" xfId="0" applyNumberFormat="1" applyFont="1" applyFill="1" applyBorder="1" applyAlignment="1">
      <alignment horizontal="center" vertical="center" wrapText="1"/>
    </xf>
    <xf numFmtId="1" fontId="87" fillId="0" borderId="92" xfId="0" applyNumberFormat="1" applyFont="1" applyFill="1" applyBorder="1" applyAlignment="1">
      <alignment horizontal="center" vertical="center" wrapText="1"/>
    </xf>
    <xf numFmtId="1" fontId="87" fillId="0" borderId="93" xfId="0" applyNumberFormat="1" applyFont="1" applyFill="1" applyBorder="1" applyAlignment="1">
      <alignment horizontal="center" vertical="center" wrapText="1"/>
    </xf>
    <xf numFmtId="0" fontId="120" fillId="0" borderId="0" xfId="0" applyFont="1"/>
    <xf numFmtId="0" fontId="121" fillId="33" borderId="0" xfId="0" applyFont="1" applyFill="1" applyAlignment="1">
      <alignment horizontal="right" vertical="center" wrapText="1"/>
    </xf>
    <xf numFmtId="0" fontId="122" fillId="69" borderId="10" xfId="0" applyFont="1" applyFill="1" applyBorder="1" applyAlignment="1">
      <alignment vertical="center" wrapText="1"/>
    </xf>
    <xf numFmtId="0" fontId="22" fillId="0" borderId="63" xfId="0" applyFont="1" applyBorder="1" applyAlignment="1">
      <alignment horizontal="center" vertical="center" textRotation="90" wrapText="1"/>
    </xf>
    <xf numFmtId="0" fontId="23" fillId="34" borderId="11" xfId="0" applyFont="1" applyFill="1" applyBorder="1" applyAlignment="1">
      <alignment horizontal="right" vertical="center"/>
    </xf>
    <xf numFmtId="0" fontId="24" fillId="34" borderId="61" xfId="0" applyFont="1" applyFill="1" applyBorder="1" applyAlignment="1">
      <alignment horizontal="right" vertical="center"/>
    </xf>
    <xf numFmtId="0" fontId="24" fillId="34" borderId="63" xfId="0" applyFont="1" applyFill="1" applyBorder="1" applyAlignment="1">
      <alignment horizontal="center" vertical="center" wrapText="1"/>
    </xf>
    <xf numFmtId="0" fontId="123" fillId="33" borderId="10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25" fillId="0" borderId="63" xfId="0" applyFont="1" applyBorder="1" applyAlignment="1">
      <alignment horizontal="center" vertical="center" wrapText="1"/>
    </xf>
    <xf numFmtId="0" fontId="25" fillId="0" borderId="63" xfId="0" applyFont="1" applyBorder="1" applyAlignment="1">
      <alignment horizontal="left"/>
    </xf>
    <xf numFmtId="1" fontId="24" fillId="33" borderId="63" xfId="0" applyNumberFormat="1" applyFont="1" applyFill="1" applyBorder="1" applyAlignment="1">
      <alignment horizontal="center" vertical="center"/>
    </xf>
    <xf numFmtId="1" fontId="24" fillId="34" borderId="63" xfId="0" applyNumberFormat="1" applyFont="1" applyFill="1" applyBorder="1" applyAlignment="1">
      <alignment horizontal="center" vertical="center"/>
    </xf>
    <xf numFmtId="1" fontId="24" fillId="0" borderId="63" xfId="0" applyNumberFormat="1" applyFont="1" applyFill="1" applyBorder="1" applyAlignment="1">
      <alignment horizontal="center" vertical="center"/>
    </xf>
    <xf numFmtId="1" fontId="24" fillId="57" borderId="63" xfId="0" applyNumberFormat="1" applyFont="1" applyFill="1" applyBorder="1" applyAlignment="1">
      <alignment horizontal="center" vertical="center"/>
    </xf>
    <xf numFmtId="1" fontId="24" fillId="61" borderId="63" xfId="0" applyNumberFormat="1" applyFont="1" applyFill="1" applyBorder="1" applyAlignment="1">
      <alignment horizontal="center" vertical="center"/>
    </xf>
    <xf numFmtId="1" fontId="24" fillId="60" borderId="63" xfId="0" applyNumberFormat="1" applyFont="1" applyFill="1" applyBorder="1" applyAlignment="1">
      <alignment horizontal="center" vertical="center" wrapText="1"/>
    </xf>
    <xf numFmtId="0" fontId="24" fillId="60" borderId="63" xfId="0" applyFont="1" applyFill="1" applyBorder="1" applyAlignment="1">
      <alignment horizontal="center" vertical="center" wrapText="1"/>
    </xf>
    <xf numFmtId="0" fontId="121" fillId="34" borderId="64" xfId="0" applyFont="1" applyFill="1" applyBorder="1" applyAlignment="1">
      <alignment horizontal="center" vertical="center" wrapText="1"/>
    </xf>
    <xf numFmtId="0" fontId="117" fillId="0" borderId="102" xfId="0" applyFont="1" applyBorder="1" applyAlignment="1">
      <alignment wrapText="1"/>
    </xf>
    <xf numFmtId="0" fontId="115" fillId="0" borderId="102" xfId="0" applyFont="1" applyBorder="1" applyAlignment="1">
      <alignment horizontal="left" vertical="center"/>
    </xf>
    <xf numFmtId="0" fontId="25" fillId="0" borderId="102" xfId="0" applyFont="1" applyBorder="1" applyAlignment="1">
      <alignment horizontal="left" vertical="center"/>
    </xf>
    <xf numFmtId="0" fontId="24" fillId="0" borderId="102" xfId="0" applyFont="1" applyBorder="1" applyAlignment="1">
      <alignment horizontal="left"/>
    </xf>
    <xf numFmtId="0" fontId="124" fillId="0" borderId="0" xfId="0" applyFont="1" applyAlignment="1">
      <alignment vertical="center"/>
    </xf>
    <xf numFmtId="0" fontId="18" fillId="70" borderId="0" xfId="49" applyFont="1" applyFill="1"/>
    <xf numFmtId="0" fontId="18" fillId="70" borderId="0" xfId="49" applyFont="1" applyFill="1" applyAlignment="1">
      <alignment horizontal="center"/>
    </xf>
    <xf numFmtId="0" fontId="0" fillId="0" borderId="0" xfId="0" applyAlignment="1">
      <alignment horizontal="center"/>
    </xf>
    <xf numFmtId="0" fontId="25" fillId="0" borderId="0" xfId="0" applyFont="1" applyBorder="1" applyAlignment="1">
      <alignment horizontal="left"/>
    </xf>
    <xf numFmtId="1" fontId="24" fillId="33" borderId="0" xfId="0" applyNumberFormat="1" applyFont="1" applyFill="1" applyBorder="1" applyAlignment="1">
      <alignment horizontal="center" vertical="center"/>
    </xf>
    <xf numFmtId="0" fontId="18" fillId="56" borderId="0" xfId="49" applyFont="1" applyFill="1"/>
    <xf numFmtId="0" fontId="18" fillId="56" borderId="0" xfId="49" applyFont="1" applyFill="1" applyAlignment="1">
      <alignment horizontal="center"/>
    </xf>
    <xf numFmtId="0" fontId="18" fillId="71" borderId="0" xfId="49" applyFont="1" applyFill="1"/>
    <xf numFmtId="0" fontId="18" fillId="71" borderId="0" xfId="49" applyFont="1" applyFill="1" applyAlignment="1">
      <alignment horizontal="center"/>
    </xf>
    <xf numFmtId="0" fontId="25" fillId="60" borderId="12" xfId="0" applyFont="1" applyFill="1" applyBorder="1" applyAlignment="1">
      <alignment horizontal="right" vertical="center" wrapText="1"/>
    </xf>
    <xf numFmtId="0" fontId="25" fillId="60" borderId="11" xfId="0" applyFont="1" applyFill="1" applyBorder="1" applyAlignment="1">
      <alignment horizontal="right" vertical="center" wrapText="1"/>
    </xf>
    <xf numFmtId="0" fontId="25" fillId="60" borderId="61" xfId="0" applyFont="1" applyFill="1" applyBorder="1" applyAlignment="1">
      <alignment horizontal="right" vertical="center" wrapText="1"/>
    </xf>
    <xf numFmtId="0" fontId="121" fillId="34" borderId="64" xfId="0" applyFont="1" applyFill="1" applyBorder="1" applyAlignment="1">
      <alignment horizontal="center" vertical="center" textRotation="90" wrapText="1"/>
    </xf>
    <xf numFmtId="0" fontId="121" fillId="34" borderId="65" xfId="0" applyFont="1" applyFill="1" applyBorder="1" applyAlignment="1">
      <alignment horizontal="center" vertical="center" textRotation="90" wrapText="1"/>
    </xf>
    <xf numFmtId="0" fontId="121" fillId="34" borderId="66" xfId="0" applyFont="1" applyFill="1" applyBorder="1" applyAlignment="1">
      <alignment horizontal="center" vertical="center" textRotation="90" wrapText="1"/>
    </xf>
    <xf numFmtId="0" fontId="121" fillId="34" borderId="12" xfId="0" applyFont="1" applyFill="1" applyBorder="1" applyAlignment="1">
      <alignment horizontal="center" vertical="center" wrapText="1"/>
    </xf>
    <xf numFmtId="0" fontId="121" fillId="34" borderId="11" xfId="0" applyFont="1" applyFill="1" applyBorder="1" applyAlignment="1">
      <alignment horizontal="center" vertical="center" wrapText="1"/>
    </xf>
    <xf numFmtId="0" fontId="121" fillId="34" borderId="61" xfId="0" applyFont="1" applyFill="1" applyBorder="1" applyAlignment="1">
      <alignment horizontal="center" vertical="center" wrapText="1"/>
    </xf>
    <xf numFmtId="0" fontId="114" fillId="33" borderId="13" xfId="0" applyFont="1" applyFill="1" applyBorder="1" applyAlignment="1">
      <alignment horizontal="left" vertical="center" wrapText="1"/>
    </xf>
    <xf numFmtId="0" fontId="114" fillId="33" borderId="62" xfId="0" applyFont="1" applyFill="1" applyBorder="1" applyAlignment="1">
      <alignment horizontal="left" vertical="center" wrapText="1"/>
    </xf>
    <xf numFmtId="0" fontId="121" fillId="33" borderId="0" xfId="0" applyFont="1" applyFill="1" applyAlignment="1">
      <alignment horizontal="left" vertical="center" wrapText="1"/>
    </xf>
    <xf numFmtId="0" fontId="32" fillId="35" borderId="38" xfId="0" applyFont="1" applyFill="1" applyBorder="1" applyAlignment="1">
      <alignment horizontal="left"/>
    </xf>
    <xf numFmtId="0" fontId="27" fillId="35" borderId="38" xfId="0" applyFont="1" applyFill="1" applyBorder="1" applyAlignment="1">
      <alignment horizontal="center"/>
    </xf>
    <xf numFmtId="0" fontId="35" fillId="0" borderId="13" xfId="0" applyFont="1" applyBorder="1" applyAlignment="1">
      <alignment horizontal="center" vertical="center" wrapText="1"/>
    </xf>
    <xf numFmtId="0" fontId="38" fillId="37" borderId="12" xfId="0" applyFont="1" applyFill="1" applyBorder="1" applyAlignment="1">
      <alignment horizontal="center" vertical="center" wrapText="1"/>
    </xf>
    <xf numFmtId="0" fontId="38" fillId="37" borderId="11" xfId="0" applyFont="1" applyFill="1" applyBorder="1" applyAlignment="1">
      <alignment horizontal="center" vertical="center" wrapText="1"/>
    </xf>
    <xf numFmtId="0" fontId="38" fillId="37" borderId="15" xfId="0" applyFont="1" applyFill="1" applyBorder="1" applyAlignment="1">
      <alignment horizontal="center" vertical="center" wrapText="1"/>
    </xf>
    <xf numFmtId="0" fontId="38" fillId="37" borderId="14" xfId="0" applyFont="1" applyFill="1" applyBorder="1" applyAlignment="1">
      <alignment horizontal="center" vertical="center" wrapText="1"/>
    </xf>
    <xf numFmtId="0" fontId="38" fillId="37" borderId="16" xfId="0" applyFont="1" applyFill="1" applyBorder="1" applyAlignment="1">
      <alignment horizontal="center" vertical="center" wrapText="1"/>
    </xf>
    <xf numFmtId="0" fontId="38" fillId="37" borderId="13" xfId="0" applyFont="1" applyFill="1" applyBorder="1" applyAlignment="1">
      <alignment horizontal="center" vertical="center" wrapText="1"/>
    </xf>
    <xf numFmtId="0" fontId="40" fillId="55" borderId="0" xfId="0" applyFont="1" applyFill="1" applyBorder="1" applyAlignment="1">
      <alignment horizontal="center" vertical="center" wrapText="1"/>
    </xf>
    <xf numFmtId="0" fontId="40" fillId="55" borderId="76" xfId="0" applyFont="1" applyFill="1" applyBorder="1" applyAlignment="1">
      <alignment horizontal="center" vertical="center" wrapText="1"/>
    </xf>
    <xf numFmtId="0" fontId="40" fillId="43" borderId="80" xfId="0" applyFont="1" applyFill="1" applyBorder="1" applyAlignment="1">
      <alignment horizontal="center" vertical="center" wrapText="1"/>
    </xf>
    <xf numFmtId="0" fontId="40" fillId="43" borderId="75" xfId="0" applyFont="1" applyFill="1" applyBorder="1" applyAlignment="1">
      <alignment horizontal="center" vertical="center" wrapText="1"/>
    </xf>
    <xf numFmtId="0" fontId="40" fillId="43" borderId="59" xfId="0" applyFont="1" applyFill="1" applyBorder="1" applyAlignment="1">
      <alignment horizontal="center" vertical="center" wrapText="1"/>
    </xf>
    <xf numFmtId="0" fontId="40" fillId="43" borderId="0" xfId="0" applyFont="1" applyFill="1" applyBorder="1" applyAlignment="1">
      <alignment horizontal="center" vertical="center" wrapText="1"/>
    </xf>
    <xf numFmtId="0" fontId="40" fillId="43" borderId="82" xfId="0" applyFont="1" applyFill="1" applyBorder="1" applyAlignment="1">
      <alignment horizontal="center" vertical="center" wrapText="1"/>
    </xf>
    <xf numFmtId="0" fontId="40" fillId="43" borderId="83" xfId="0" applyFont="1" applyFill="1" applyBorder="1" applyAlignment="1">
      <alignment horizontal="center" vertical="center" wrapText="1"/>
    </xf>
    <xf numFmtId="0" fontId="40" fillId="43" borderId="81" xfId="0" applyFont="1" applyFill="1" applyBorder="1" applyAlignment="1">
      <alignment horizontal="center" vertical="center" wrapText="1"/>
    </xf>
    <xf numFmtId="0" fontId="40" fillId="43" borderId="76" xfId="0" applyFont="1" applyFill="1" applyBorder="1" applyAlignment="1">
      <alignment horizontal="center" vertical="center" wrapText="1"/>
    </xf>
    <xf numFmtId="0" fontId="40" fillId="55" borderId="75" xfId="0" applyFont="1" applyFill="1" applyBorder="1" applyAlignment="1">
      <alignment horizontal="center" vertical="center" wrapText="1"/>
    </xf>
    <xf numFmtId="0" fontId="40" fillId="55" borderId="82" xfId="0" applyFont="1" applyFill="1" applyBorder="1" applyAlignment="1">
      <alignment horizontal="center" vertical="center" textRotation="90" wrapText="1"/>
    </xf>
    <xf numFmtId="0" fontId="40" fillId="55" borderId="78" xfId="0" applyFont="1" applyFill="1" applyBorder="1" applyAlignment="1">
      <alignment horizontal="center" vertical="center" textRotation="90" wrapText="1"/>
    </xf>
    <xf numFmtId="0" fontId="40" fillId="55" borderId="83" xfId="0" applyFont="1" applyFill="1" applyBorder="1" applyAlignment="1">
      <alignment horizontal="center" vertical="center" textRotation="90" wrapText="1"/>
    </xf>
    <xf numFmtId="0" fontId="52" fillId="0" borderId="82" xfId="0" applyFont="1" applyFill="1" applyBorder="1" applyAlignment="1">
      <alignment horizontal="center" vertical="center" wrapText="1"/>
    </xf>
    <xf numFmtId="0" fontId="52" fillId="0" borderId="78" xfId="0" applyFont="1" applyFill="1" applyBorder="1" applyAlignment="1">
      <alignment horizontal="center" vertical="center" wrapText="1"/>
    </xf>
    <xf numFmtId="0" fontId="52" fillId="0" borderId="83" xfId="0" applyFont="1" applyFill="1" applyBorder="1" applyAlignment="1">
      <alignment horizontal="center" vertical="center" wrapText="1"/>
    </xf>
    <xf numFmtId="0" fontId="40" fillId="42" borderId="85" xfId="0" applyFont="1" applyFill="1" applyBorder="1" applyAlignment="1">
      <alignment horizontal="center" vertical="center" textRotation="90" wrapText="1"/>
    </xf>
    <xf numFmtId="0" fontId="40" fillId="42" borderId="78" xfId="0" applyFont="1" applyFill="1" applyBorder="1" applyAlignment="1">
      <alignment horizontal="center" vertical="center" textRotation="90" wrapText="1"/>
    </xf>
    <xf numFmtId="0" fontId="40" fillId="42" borderId="79" xfId="0" applyFont="1" applyFill="1" applyBorder="1" applyAlignment="1">
      <alignment horizontal="center" vertical="center" textRotation="90" wrapText="1"/>
    </xf>
    <xf numFmtId="0" fontId="50" fillId="0" borderId="85" xfId="0" applyFont="1" applyFill="1" applyBorder="1" applyAlignment="1">
      <alignment horizontal="center" vertical="center" wrapText="1"/>
    </xf>
    <xf numFmtId="0" fontId="50" fillId="0" borderId="78" xfId="0" applyFont="1" applyFill="1" applyBorder="1" applyAlignment="1">
      <alignment horizontal="center" vertical="center" wrapText="1"/>
    </xf>
    <xf numFmtId="0" fontId="40" fillId="54" borderId="82" xfId="0" applyFont="1" applyFill="1" applyBorder="1" applyAlignment="1">
      <alignment horizontal="center" vertical="center" textRotation="90" wrapText="1"/>
    </xf>
    <xf numFmtId="0" fontId="40" fillId="54" borderId="83" xfId="0" applyFont="1" applyFill="1" applyBorder="1" applyAlignment="1">
      <alignment horizontal="center" vertical="center" textRotation="90" wrapText="1"/>
    </xf>
    <xf numFmtId="0" fontId="48" fillId="0" borderId="78" xfId="0" applyFont="1" applyFill="1" applyBorder="1" applyAlignment="1">
      <alignment horizontal="center" vertical="center" wrapText="1"/>
    </xf>
    <xf numFmtId="0" fontId="40" fillId="54" borderId="0" xfId="0" applyFont="1" applyFill="1" applyBorder="1" applyAlignment="1">
      <alignment horizontal="center" vertical="center" textRotation="90" wrapText="1"/>
    </xf>
    <xf numFmtId="0" fontId="40" fillId="54" borderId="76" xfId="0" applyFont="1" applyFill="1" applyBorder="1" applyAlignment="1">
      <alignment horizontal="center" vertical="center" textRotation="90" wrapText="1"/>
    </xf>
    <xf numFmtId="0" fontId="48" fillId="0" borderId="79" xfId="0" applyFont="1" applyFill="1" applyBorder="1" applyAlignment="1">
      <alignment horizontal="center" vertical="center" wrapText="1"/>
    </xf>
    <xf numFmtId="0" fontId="40" fillId="42" borderId="77" xfId="0" applyFont="1" applyFill="1" applyBorder="1" applyAlignment="1">
      <alignment horizontal="center" vertical="center" textRotation="90" wrapText="1"/>
    </xf>
    <xf numFmtId="0" fontId="40" fillId="42" borderId="84" xfId="0" applyFont="1" applyFill="1" applyBorder="1" applyAlignment="1">
      <alignment horizontal="center" vertical="center" textRotation="90" wrapText="1"/>
    </xf>
    <xf numFmtId="0" fontId="50" fillId="0" borderId="77" xfId="0" applyFont="1" applyFill="1" applyBorder="1" applyAlignment="1">
      <alignment horizontal="center" vertical="center" wrapText="1"/>
    </xf>
    <xf numFmtId="0" fontId="50" fillId="0" borderId="84" xfId="0" applyFont="1" applyFill="1" applyBorder="1" applyAlignment="1">
      <alignment horizontal="center" vertical="center" wrapText="1"/>
    </xf>
    <xf numFmtId="0" fontId="40" fillId="42" borderId="82" xfId="0" applyFont="1" applyFill="1" applyBorder="1" applyAlignment="1">
      <alignment horizontal="center" vertical="center" wrapText="1"/>
    </xf>
    <xf numFmtId="0" fontId="40" fillId="42" borderId="78" xfId="0" applyFont="1" applyFill="1" applyBorder="1" applyAlignment="1">
      <alignment horizontal="center" vertical="center" wrapText="1"/>
    </xf>
    <xf numFmtId="0" fontId="40" fillId="42" borderId="83" xfId="0" applyFont="1" applyFill="1" applyBorder="1" applyAlignment="1">
      <alignment horizontal="center" vertical="center" wrapText="1"/>
    </xf>
    <xf numFmtId="0" fontId="40" fillId="65" borderId="0" xfId="0" applyFont="1" applyFill="1" applyBorder="1" applyAlignment="1">
      <alignment horizontal="center" vertical="center" textRotation="90" wrapText="1"/>
    </xf>
    <xf numFmtId="0" fontId="40" fillId="65" borderId="76" xfId="0" applyFont="1" applyFill="1" applyBorder="1" applyAlignment="1">
      <alignment horizontal="center" vertical="center" textRotation="90" wrapText="1"/>
    </xf>
    <xf numFmtId="0" fontId="41" fillId="0" borderId="78" xfId="0" applyFont="1" applyFill="1" applyBorder="1" applyAlignment="1">
      <alignment horizontal="center" vertical="center" wrapText="1"/>
    </xf>
    <xf numFmtId="0" fontId="40" fillId="54" borderId="75" xfId="0" applyFont="1" applyFill="1" applyBorder="1" applyAlignment="1">
      <alignment horizontal="center" vertical="center" textRotation="90" wrapText="1"/>
    </xf>
    <xf numFmtId="0" fontId="48" fillId="0" borderId="77" xfId="0" applyFont="1" applyFill="1" applyBorder="1" applyAlignment="1">
      <alignment horizontal="center" vertical="center" wrapText="1"/>
    </xf>
    <xf numFmtId="0" fontId="40" fillId="65" borderId="82" xfId="0" applyFont="1" applyFill="1" applyBorder="1" applyAlignment="1">
      <alignment horizontal="center" vertical="center" textRotation="90" wrapText="1"/>
    </xf>
    <xf numFmtId="0" fontId="40" fillId="65" borderId="78" xfId="0" applyFont="1" applyFill="1" applyBorder="1" applyAlignment="1">
      <alignment horizontal="center" vertical="center" textRotation="90" wrapText="1"/>
    </xf>
    <xf numFmtId="0" fontId="40" fillId="65" borderId="83" xfId="0" applyFont="1" applyFill="1" applyBorder="1" applyAlignment="1">
      <alignment horizontal="center" vertical="center" textRotation="90" wrapText="1"/>
    </xf>
    <xf numFmtId="0" fontId="40" fillId="65" borderId="80" xfId="0" applyFont="1" applyFill="1" applyBorder="1" applyAlignment="1">
      <alignment horizontal="center" vertical="center" textRotation="90" wrapText="1"/>
    </xf>
    <xf numFmtId="0" fontId="40" fillId="65" borderId="59" xfId="0" applyFont="1" applyFill="1" applyBorder="1" applyAlignment="1">
      <alignment horizontal="center" vertical="center" textRotation="90" wrapText="1"/>
    </xf>
    <xf numFmtId="0" fontId="41" fillId="0" borderId="77" xfId="0" applyFont="1" applyFill="1" applyBorder="1" applyAlignment="1">
      <alignment horizontal="center" vertical="center" wrapText="1"/>
    </xf>
    <xf numFmtId="1" fontId="65" fillId="59" borderId="90" xfId="0" applyNumberFormat="1" applyFont="1" applyFill="1" applyBorder="1" applyAlignment="1">
      <alignment horizontal="center" vertical="center"/>
    </xf>
    <xf numFmtId="0" fontId="65" fillId="59" borderId="0" xfId="0" applyFont="1" applyFill="1" applyBorder="1" applyAlignment="1">
      <alignment horizontal="center" vertical="center"/>
    </xf>
    <xf numFmtId="0" fontId="65" fillId="59" borderId="91" xfId="0" applyFont="1" applyFill="1" applyBorder="1" applyAlignment="1">
      <alignment horizontal="center" vertical="center"/>
    </xf>
    <xf numFmtId="1" fontId="68" fillId="59" borderId="86" xfId="0" applyNumberFormat="1" applyFont="1" applyFill="1" applyBorder="1" applyAlignment="1">
      <alignment horizontal="center" vertical="center"/>
    </xf>
    <xf numFmtId="0" fontId="68" fillId="59" borderId="0" xfId="0" applyFont="1" applyFill="1" applyBorder="1" applyAlignment="1">
      <alignment horizontal="center" vertical="center"/>
    </xf>
    <xf numFmtId="0" fontId="68" fillId="59" borderId="87" xfId="0" applyFont="1" applyFill="1" applyBorder="1" applyAlignment="1">
      <alignment horizontal="center" vertical="center"/>
    </xf>
    <xf numFmtId="1" fontId="71" fillId="59" borderId="0" xfId="0" applyNumberFormat="1" applyFont="1" applyFill="1" applyAlignment="1">
      <alignment horizontal="center" vertical="center"/>
    </xf>
    <xf numFmtId="0" fontId="71" fillId="59" borderId="0" xfId="0" applyFont="1" applyFill="1" applyAlignment="1">
      <alignment horizontal="center" vertical="center"/>
    </xf>
    <xf numFmtId="1" fontId="75" fillId="59" borderId="88" xfId="0" applyNumberFormat="1" applyFont="1" applyFill="1" applyBorder="1" applyAlignment="1">
      <alignment horizontal="center" vertical="center"/>
    </xf>
    <xf numFmtId="0" fontId="75" fillId="59" borderId="0" xfId="0" applyFont="1" applyFill="1" applyBorder="1" applyAlignment="1">
      <alignment horizontal="center" vertical="center"/>
    </xf>
    <xf numFmtId="0" fontId="75" fillId="59" borderId="89" xfId="0" applyFont="1" applyFill="1" applyBorder="1" applyAlignment="1">
      <alignment horizontal="center" vertical="center"/>
    </xf>
    <xf numFmtId="1" fontId="78" fillId="59" borderId="92" xfId="0" applyNumberFormat="1" applyFont="1" applyFill="1" applyBorder="1" applyAlignment="1">
      <alignment horizontal="center" vertical="center"/>
    </xf>
    <xf numFmtId="0" fontId="78" fillId="59" borderId="0" xfId="0" applyFont="1" applyFill="1" applyBorder="1" applyAlignment="1">
      <alignment horizontal="center" vertical="center"/>
    </xf>
    <xf numFmtId="0" fontId="78" fillId="59" borderId="93" xfId="0" applyFont="1" applyFill="1" applyBorder="1" applyAlignment="1">
      <alignment horizontal="center" vertical="center"/>
    </xf>
    <xf numFmtId="1" fontId="64" fillId="59" borderId="90" xfId="0" applyNumberFormat="1" applyFont="1" applyFill="1" applyBorder="1" applyAlignment="1">
      <alignment horizontal="left" vertical="center" indent="2"/>
    </xf>
    <xf numFmtId="0" fontId="64" fillId="59" borderId="0" xfId="0" applyFont="1" applyFill="1" applyBorder="1" applyAlignment="1">
      <alignment horizontal="left" vertical="center" indent="2"/>
    </xf>
    <xf numFmtId="0" fontId="64" fillId="59" borderId="91" xfId="0" applyFont="1" applyFill="1" applyBorder="1" applyAlignment="1">
      <alignment horizontal="left" vertical="center" indent="2"/>
    </xf>
    <xf numFmtId="1" fontId="67" fillId="59" borderId="86" xfId="0" applyNumberFormat="1" applyFont="1" applyFill="1" applyBorder="1" applyAlignment="1">
      <alignment horizontal="left" vertical="center" indent="2"/>
    </xf>
    <xf numFmtId="0" fontId="67" fillId="59" borderId="0" xfId="0" applyFont="1" applyFill="1" applyBorder="1" applyAlignment="1">
      <alignment horizontal="left" vertical="center" indent="2"/>
    </xf>
    <xf numFmtId="0" fontId="67" fillId="59" borderId="87" xfId="0" applyFont="1" applyFill="1" applyBorder="1" applyAlignment="1">
      <alignment horizontal="left" vertical="center" indent="2"/>
    </xf>
    <xf numFmtId="1" fontId="70" fillId="59" borderId="0" xfId="0" applyNumberFormat="1" applyFont="1" applyFill="1" applyAlignment="1">
      <alignment horizontal="left" vertical="center" indent="2"/>
    </xf>
    <xf numFmtId="0" fontId="70" fillId="59" borderId="0" xfId="0" applyFont="1" applyFill="1" applyAlignment="1">
      <alignment horizontal="left" vertical="center" indent="2"/>
    </xf>
    <xf numFmtId="1" fontId="74" fillId="59" borderId="88" xfId="0" applyNumberFormat="1" applyFont="1" applyFill="1" applyBorder="1" applyAlignment="1">
      <alignment horizontal="left" vertical="center" indent="2"/>
    </xf>
    <xf numFmtId="0" fontId="74" fillId="59" borderId="0" xfId="0" applyFont="1" applyFill="1" applyBorder="1" applyAlignment="1">
      <alignment horizontal="left" vertical="center" indent="2"/>
    </xf>
    <xf numFmtId="0" fontId="74" fillId="59" borderId="89" xfId="0" applyFont="1" applyFill="1" applyBorder="1" applyAlignment="1">
      <alignment horizontal="left" vertical="center" indent="2"/>
    </xf>
    <xf numFmtId="1" fontId="77" fillId="59" borderId="92" xfId="0" applyNumberFormat="1" applyFont="1" applyFill="1" applyBorder="1" applyAlignment="1">
      <alignment horizontal="left" vertical="center" indent="2"/>
    </xf>
    <xf numFmtId="0" fontId="77" fillId="59" borderId="0" xfId="0" applyFont="1" applyFill="1" applyBorder="1" applyAlignment="1">
      <alignment horizontal="left" vertical="center" indent="2"/>
    </xf>
    <xf numFmtId="0" fontId="77" fillId="59" borderId="93" xfId="0" applyFont="1" applyFill="1" applyBorder="1" applyAlignment="1">
      <alignment horizontal="left" vertical="center" indent="2"/>
    </xf>
    <xf numFmtId="1" fontId="65" fillId="0" borderId="94" xfId="0" applyNumberFormat="1" applyFont="1" applyFill="1" applyBorder="1" applyAlignment="1">
      <alignment horizontal="center" vertical="center"/>
    </xf>
    <xf numFmtId="0" fontId="65" fillId="0" borderId="0" xfId="0" applyFont="1" applyFill="1" applyBorder="1" applyAlignment="1">
      <alignment horizontal="center" vertical="center"/>
    </xf>
    <xf numFmtId="0" fontId="65" fillId="0" borderId="91" xfId="0" applyFont="1" applyFill="1" applyBorder="1" applyAlignment="1">
      <alignment horizontal="center" vertical="center"/>
    </xf>
    <xf numFmtId="1" fontId="68" fillId="59" borderId="0" xfId="0" applyNumberFormat="1" applyFont="1" applyFill="1" applyBorder="1" applyAlignment="1">
      <alignment horizontal="center" vertical="center"/>
    </xf>
    <xf numFmtId="1" fontId="71" fillId="0" borderId="95" xfId="0" applyNumberFormat="1" applyFont="1" applyFill="1" applyBorder="1" applyAlignment="1">
      <alignment horizontal="center" vertical="center"/>
    </xf>
    <xf numFmtId="0" fontId="71" fillId="0" borderId="0" xfId="0" applyFont="1" applyFill="1" applyBorder="1" applyAlignment="1">
      <alignment horizontal="center" vertical="center"/>
    </xf>
    <xf numFmtId="0" fontId="71" fillId="0" borderId="96" xfId="0" applyFont="1" applyFill="1" applyBorder="1" applyAlignment="1">
      <alignment horizontal="center" vertical="center"/>
    </xf>
    <xf numFmtId="1" fontId="75" fillId="59" borderId="0" xfId="0" applyNumberFormat="1" applyFont="1" applyFill="1" applyBorder="1" applyAlignment="1">
      <alignment horizontal="center" vertical="center"/>
    </xf>
    <xf numFmtId="1" fontId="78" fillId="0" borderId="92" xfId="0" applyNumberFormat="1" applyFont="1" applyFill="1" applyBorder="1" applyAlignment="1">
      <alignment horizontal="center" vertical="center"/>
    </xf>
    <xf numFmtId="0" fontId="78" fillId="0" borderId="0" xfId="0" applyFont="1" applyFill="1" applyBorder="1" applyAlignment="1">
      <alignment horizontal="center" vertical="center"/>
    </xf>
    <xf numFmtId="0" fontId="78" fillId="0" borderId="93" xfId="0" applyFont="1" applyFill="1" applyBorder="1" applyAlignment="1">
      <alignment horizontal="center" vertical="center"/>
    </xf>
    <xf numFmtId="1" fontId="85" fillId="0" borderId="94" xfId="0" applyNumberFormat="1" applyFont="1" applyFill="1" applyBorder="1" applyAlignment="1">
      <alignment horizontal="left" vertical="center" indent="2"/>
    </xf>
    <xf numFmtId="0" fontId="85" fillId="0" borderId="0" xfId="0" applyFont="1" applyFill="1" applyBorder="1" applyAlignment="1">
      <alignment horizontal="left" vertical="center" indent="2"/>
    </xf>
    <xf numFmtId="0" fontId="85" fillId="0" borderId="91" xfId="0" applyFont="1" applyFill="1" applyBorder="1" applyAlignment="1">
      <alignment horizontal="left" vertical="center" indent="2"/>
    </xf>
    <xf numFmtId="1" fontId="88" fillId="59" borderId="0" xfId="0" applyNumberFormat="1" applyFont="1" applyFill="1" applyBorder="1" applyAlignment="1">
      <alignment horizontal="left" vertical="center" indent="2"/>
    </xf>
    <xf numFmtId="0" fontId="88" fillId="59" borderId="0" xfId="0" applyFont="1" applyFill="1" applyBorder="1" applyAlignment="1">
      <alignment horizontal="left" vertical="center" indent="2"/>
    </xf>
    <xf numFmtId="1" fontId="90" fillId="0" borderId="95" xfId="0" applyNumberFormat="1" applyFont="1" applyFill="1" applyBorder="1" applyAlignment="1">
      <alignment horizontal="left" vertical="center" indent="2"/>
    </xf>
    <xf numFmtId="0" fontId="90" fillId="0" borderId="0" xfId="0" applyFont="1" applyFill="1" applyBorder="1" applyAlignment="1">
      <alignment horizontal="left" vertical="center" indent="2"/>
    </xf>
    <xf numFmtId="0" fontId="90" fillId="0" borderId="96" xfId="0" applyFont="1" applyFill="1" applyBorder="1" applyAlignment="1">
      <alignment horizontal="left" vertical="center" indent="2"/>
    </xf>
    <xf numFmtId="1" fontId="92" fillId="59" borderId="0" xfId="0" applyNumberFormat="1" applyFont="1" applyFill="1" applyBorder="1" applyAlignment="1">
      <alignment horizontal="left" vertical="center" indent="2"/>
    </xf>
    <xf numFmtId="0" fontId="92" fillId="59" borderId="0" xfId="0" applyFont="1" applyFill="1" applyBorder="1" applyAlignment="1">
      <alignment horizontal="left" vertical="center" indent="2"/>
    </xf>
    <xf numFmtId="1" fontId="94" fillId="0" borderId="92" xfId="0" applyNumberFormat="1" applyFont="1" applyFill="1" applyBorder="1" applyAlignment="1">
      <alignment horizontal="left" vertical="center" indent="2"/>
    </xf>
    <xf numFmtId="0" fontId="94" fillId="0" borderId="0" xfId="0" applyFont="1" applyFill="1" applyBorder="1" applyAlignment="1">
      <alignment horizontal="left" vertical="center" indent="2"/>
    </xf>
    <xf numFmtId="0" fontId="94" fillId="0" borderId="93" xfId="0" applyFont="1" applyFill="1" applyBorder="1" applyAlignment="1">
      <alignment horizontal="left" vertical="center" indent="2"/>
    </xf>
    <xf numFmtId="0" fontId="82" fillId="0" borderId="0" xfId="0" applyFont="1" applyAlignment="1">
      <alignment horizontal="right" vertical="center"/>
    </xf>
    <xf numFmtId="0" fontId="82" fillId="0" borderId="103" xfId="0" applyFont="1" applyBorder="1" applyAlignment="1">
      <alignment horizontal="right" vertical="center"/>
    </xf>
    <xf numFmtId="0" fontId="112" fillId="0" borderId="57" xfId="0" applyFont="1" applyBorder="1" applyAlignment="1">
      <alignment horizontal="center" vertical="center" wrapText="1"/>
    </xf>
    <xf numFmtId="0" fontId="112" fillId="0" borderId="58" xfId="0" applyFont="1" applyBorder="1" applyAlignment="1">
      <alignment horizontal="center" vertical="center" wrapText="1"/>
    </xf>
    <xf numFmtId="0" fontId="112" fillId="0" borderId="55" xfId="0" applyFont="1" applyBorder="1" applyAlignment="1">
      <alignment horizontal="center" vertical="center" wrapText="1"/>
    </xf>
    <xf numFmtId="0" fontId="27" fillId="0" borderId="57" xfId="0" applyFont="1" applyBorder="1" applyAlignment="1">
      <alignment horizontal="center" vertical="center"/>
    </xf>
    <xf numFmtId="0" fontId="27" fillId="0" borderId="58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38" xfId="0" applyFont="1" applyBorder="1" applyAlignment="1">
      <alignment horizontal="center" wrapText="1"/>
    </xf>
    <xf numFmtId="0" fontId="27" fillId="56" borderId="57" xfId="0" applyFont="1" applyFill="1" applyBorder="1" applyAlignment="1">
      <alignment horizontal="center" vertical="center" wrapText="1"/>
    </xf>
    <xf numFmtId="0" fontId="27" fillId="56" borderId="58" xfId="0" applyFont="1" applyFill="1" applyBorder="1" applyAlignment="1">
      <alignment horizontal="center" vertical="center" wrapText="1"/>
    </xf>
    <xf numFmtId="0" fontId="27" fillId="56" borderId="55" xfId="0" applyFont="1" applyFill="1" applyBorder="1" applyAlignment="1">
      <alignment horizontal="center" vertical="center" wrapText="1"/>
    </xf>
    <xf numFmtId="0" fontId="27" fillId="0" borderId="57" xfId="0" applyFont="1" applyBorder="1" applyAlignment="1">
      <alignment horizontal="center" vertical="center" wrapText="1"/>
    </xf>
    <xf numFmtId="0" fontId="27" fillId="0" borderId="58" xfId="0" applyFont="1" applyBorder="1" applyAlignment="1">
      <alignment horizontal="center" vertical="center" wrapText="1"/>
    </xf>
    <xf numFmtId="0" fontId="27" fillId="0" borderId="55" xfId="0" applyFont="1" applyBorder="1" applyAlignment="1">
      <alignment horizontal="center" vertical="center" wrapText="1"/>
    </xf>
    <xf numFmtId="0" fontId="128" fillId="0" borderId="0" xfId="0" applyFont="1" applyAlignment="1">
      <alignment horizontal="center" wrapText="1"/>
    </xf>
  </cellXfs>
  <cellStyles count="56">
    <cellStyle name="% 2" xfId="45"/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d-back" xfId="5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Millares 2" xfId="46"/>
    <cellStyle name="Millares 3" xfId="52"/>
    <cellStyle name="Millares 4" xfId="53"/>
    <cellStyle name="Neutral" xfId="8" builtinId="28" customBuiltin="1"/>
    <cellStyle name="Normal" xfId="0" builtinId="0"/>
    <cellStyle name="Normal 1" xfId="47"/>
    <cellStyle name="Normal 1 2" xfId="48"/>
    <cellStyle name="Normal 2" xfId="42"/>
    <cellStyle name="Normal 2 2" xfId="49"/>
    <cellStyle name="Normal 3" xfId="44"/>
    <cellStyle name="Normal 3 2" xfId="50"/>
    <cellStyle name="Normal 4" xfId="55"/>
    <cellStyle name="Notas" xfId="15" builtinId="10" customBuiltin="1"/>
    <cellStyle name="Porcentaje" xfId="54" builtinId="5"/>
    <cellStyle name="Porcentaje 2" xfId="43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375"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5AB822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5AB822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5AB822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5AB822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color auto="1"/>
      </font>
      <fill>
        <patternFill>
          <bgColor rgb="FFCCFFC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CC99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bottom style="thin">
          <color theme="0" tint="-0.499984740745262"/>
        </bottom>
        <vertical/>
        <horizontal/>
      </border>
    </dxf>
    <dxf>
      <border>
        <bottom style="thin">
          <color theme="0" tint="-0.499984740745262"/>
        </bottom>
      </border>
    </dxf>
    <dxf>
      <border>
        <top style="thin">
          <color rgb="FF005172"/>
        </top>
        <vertical/>
        <horizontal/>
      </border>
    </dxf>
    <dxf>
      <border>
        <top style="thin">
          <color rgb="FFAA272F"/>
        </top>
        <vertical/>
        <horizontal/>
      </border>
    </dxf>
    <dxf>
      <border>
        <top style="thin">
          <color rgb="FFFDB533"/>
        </top>
        <vertical/>
        <horizontal/>
      </border>
    </dxf>
    <dxf>
      <font>
        <color rgb="FFF0AA00"/>
      </font>
      <border>
        <top style="thin">
          <color rgb="FFFDB533"/>
        </top>
      </border>
    </dxf>
    <dxf>
      <font>
        <color rgb="FFAA272F"/>
      </font>
    </dxf>
    <dxf>
      <font>
        <color rgb="FF005172"/>
      </font>
      <border>
        <top style="thin">
          <color rgb="FF005172"/>
        </top>
      </border>
    </dxf>
    <dxf>
      <font>
        <color rgb="FFAA272F"/>
      </font>
      <border>
        <top style="thin">
          <color rgb="FFAA272F"/>
        </top>
      </border>
    </dxf>
    <dxf>
      <font>
        <color rgb="FFF0AA00"/>
      </font>
      <border>
        <top style="thin">
          <color rgb="FFFDB533"/>
        </top>
      </border>
    </dxf>
    <dxf>
      <border>
        <bottom style="thin">
          <color theme="0" tint="-0.499984740745262"/>
        </bottom>
        <vertical/>
        <horizontal/>
      </border>
    </dxf>
    <dxf>
      <border>
        <bottom style="thin">
          <color theme="0" tint="-0.499984740745262"/>
        </bottom>
      </border>
    </dxf>
    <dxf>
      <border>
        <top style="thin">
          <color rgb="FF005172"/>
        </top>
        <vertical/>
        <horizontal/>
      </border>
    </dxf>
    <dxf>
      <border>
        <top style="thin">
          <color rgb="FFAA272F"/>
        </top>
        <vertical/>
        <horizontal/>
      </border>
    </dxf>
    <dxf>
      <border>
        <top style="thin">
          <color rgb="FFFDB533"/>
        </top>
        <vertical/>
        <horizontal/>
      </border>
    </dxf>
    <dxf>
      <font>
        <color rgb="FFF0AA00"/>
      </font>
      <border>
        <top style="thin">
          <color rgb="FFFDB533"/>
        </top>
      </border>
    </dxf>
    <dxf>
      <font>
        <color rgb="FFAA272F"/>
      </font>
    </dxf>
    <dxf>
      <font>
        <color rgb="FF005172"/>
      </font>
      <border>
        <top style="thin">
          <color rgb="FF005172"/>
        </top>
      </border>
    </dxf>
    <dxf>
      <font>
        <color rgb="FFAA272F"/>
      </font>
      <border>
        <top style="thin">
          <color rgb="FFAA272F"/>
        </top>
      </border>
    </dxf>
    <dxf>
      <font>
        <color rgb="FFF0AA00"/>
      </font>
      <border>
        <top style="thin">
          <color rgb="FFFDB533"/>
        </top>
      </border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5AB822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BD1933"/>
      <color rgb="FF006086"/>
      <color rgb="FFE74762"/>
      <color rgb="FFBD1934"/>
      <color rgb="FF7489B5"/>
      <color rgb="FF71699A"/>
      <color rgb="FF835376"/>
      <color rgb="FFBD195A"/>
      <color rgb="FF868686"/>
      <color rgb="FF6121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7161826924352198"/>
          <c:y val="6.9565217391304349E-2"/>
          <c:w val="0.57902757230374868"/>
          <c:h val="0.612379778614629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868686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DetalleDimension!$L$4:$L$6</c:f>
              <c:strCache>
                <c:ptCount val="3"/>
                <c:pt idx="0">
                  <c:v>Comunicación</c:v>
                </c:pt>
                <c:pt idx="1">
                  <c:v>Competencia</c:v>
                </c:pt>
                <c:pt idx="2">
                  <c:v>Integridad</c:v>
                </c:pt>
              </c:strCache>
            </c:strRef>
          </c:cat>
          <c:val>
            <c:numRef>
              <c:f>DetalleDimension!$M$4:$M$6</c:f>
              <c:numCache>
                <c:formatCode>0</c:formatCode>
                <c:ptCount val="3"/>
                <c:pt idx="0">
                  <c:v>79</c:v>
                </c:pt>
                <c:pt idx="1">
                  <c:v>79</c:v>
                </c:pt>
                <c:pt idx="2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F5-4E33-8018-A6DA08A9863B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rgbClr val="FDB533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DetalleDimension!$L$4:$L$6</c:f>
              <c:strCache>
                <c:ptCount val="3"/>
                <c:pt idx="0">
                  <c:v>Comunicación</c:v>
                </c:pt>
                <c:pt idx="1">
                  <c:v>Competencia</c:v>
                </c:pt>
                <c:pt idx="2">
                  <c:v>Integridad</c:v>
                </c:pt>
              </c:strCache>
            </c:strRef>
          </c:cat>
          <c:val>
            <c:numRef>
              <c:f>DetalleDimension!$N$4:$N$6</c:f>
              <c:numCache>
                <c:formatCode>0</c:formatCode>
                <c:ptCount val="3"/>
                <c:pt idx="0">
                  <c:v>83</c:v>
                </c:pt>
                <c:pt idx="1">
                  <c:v>83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F5-4E33-8018-A6DA08A986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8"/>
        <c:overlap val="-25"/>
        <c:axId val="1087150688"/>
        <c:axId val="1087152320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Mejores Argentina 2016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  <a:effectLst/>
          </c:spPr>
          <c:marker>
            <c:symbol val="circle"/>
            <c:size val="18"/>
            <c:spPr>
              <a:solidFill>
                <a:schemeClr val="bg1">
                  <a:lumMod val="95000"/>
                </a:schemeClr>
              </a:solidFill>
              <a:ln w="63500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rgbClr val="C00000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DetalleDimension!$L$4:$L$6</c:f>
              <c:strCache>
                <c:ptCount val="3"/>
                <c:pt idx="0">
                  <c:v>Comunicación</c:v>
                </c:pt>
                <c:pt idx="1">
                  <c:v>Competencia</c:v>
                </c:pt>
                <c:pt idx="2">
                  <c:v>Integridad</c:v>
                </c:pt>
              </c:strCache>
            </c:strRef>
          </c:cat>
          <c:val>
            <c:numRef>
              <c:f>DetalleDimension!$O$4:$O$6</c:f>
              <c:numCache>
                <c:formatCode>0</c:formatCode>
                <c:ptCount val="3"/>
                <c:pt idx="0">
                  <c:v>78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F5-4E33-8018-A6DA08A9863B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Mercado 2016</c:v>
                </c:pt>
              </c:strCache>
            </c:strRef>
          </c:tx>
          <c:spPr>
            <a:ln w="38100">
              <a:solidFill>
                <a:srgbClr val="292B30"/>
              </a:solidFill>
              <a:prstDash val="sysDash"/>
            </a:ln>
          </c:spPr>
          <c:marker>
            <c:symbol val="circle"/>
            <c:size val="18"/>
            <c:spPr>
              <a:solidFill>
                <a:schemeClr val="bg1"/>
              </a:solidFill>
              <a:ln w="63500">
                <a:solidFill>
                  <a:srgbClr val="292B3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DetalleDimension!$L$4:$L$6</c:f>
              <c:strCache>
                <c:ptCount val="3"/>
                <c:pt idx="0">
                  <c:v>Comunicación</c:v>
                </c:pt>
                <c:pt idx="1">
                  <c:v>Competencia</c:v>
                </c:pt>
                <c:pt idx="2">
                  <c:v>Integridad</c:v>
                </c:pt>
              </c:strCache>
            </c:strRef>
          </c:cat>
          <c:val>
            <c:numRef>
              <c:f>DetalleDimension!$P$4:$P$6</c:f>
              <c:numCache>
                <c:formatCode>0</c:formatCode>
                <c:ptCount val="3"/>
                <c:pt idx="0">
                  <c:v>62</c:v>
                </c:pt>
                <c:pt idx="1">
                  <c:v>61</c:v>
                </c:pt>
                <c:pt idx="2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F5-4E33-8018-A6DA08A98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7150688"/>
        <c:axId val="1087152320"/>
      </c:lineChart>
      <c:catAx>
        <c:axId val="10871506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 anchor="t" anchorCtr="0"/>
          <a:lstStyle/>
          <a:p>
            <a:pPr>
              <a:defRPr sz="1900" b="0">
                <a:solidFill>
                  <a:srgbClr val="40404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s-ES"/>
          </a:p>
        </c:txPr>
        <c:crossAx val="1087152320"/>
        <c:crosses val="autoZero"/>
        <c:auto val="1"/>
        <c:lblAlgn val="ctr"/>
        <c:lblOffset val="0"/>
        <c:noMultiLvlLbl val="0"/>
      </c:catAx>
      <c:valAx>
        <c:axId val="1087152320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1087150688"/>
        <c:crosses val="autoZero"/>
        <c:crossBetween val="between"/>
      </c:valAx>
      <c:spPr>
        <a:noFill/>
        <a:ln>
          <a:noFill/>
          <a:prstDash val="dashDot"/>
        </a:ln>
      </c:spPr>
    </c:plotArea>
    <c:legend>
      <c:legendPos val="b"/>
      <c:layout>
        <c:manualLayout>
          <c:xMode val="edge"/>
          <c:yMode val="edge"/>
          <c:x val="0"/>
          <c:y val="0.92475042793563844"/>
          <c:w val="0.50393681206390772"/>
          <c:h val="7.2913368477392451E-2"/>
        </c:manualLayout>
      </c:layout>
      <c:overlay val="0"/>
      <c:txPr>
        <a:bodyPr/>
        <a:lstStyle/>
        <a:p>
          <a:pPr>
            <a:defRPr sz="1200" b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6.550144295087737E-2"/>
          <c:w val="1"/>
          <c:h val="0.595667648235785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DetalleDimension!$M$23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868686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0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DetalleDimension!$L$30:$L$32</c:f>
              <c:strCache>
                <c:ptCount val="3"/>
                <c:pt idx="0">
                  <c:v>Promedio Confianza</c:v>
                </c:pt>
                <c:pt idx="1">
                  <c:v>Promedio General</c:v>
                </c:pt>
                <c:pt idx="2">
                  <c:v>Percepción General</c:v>
                </c:pt>
              </c:strCache>
            </c:strRef>
          </c:cat>
          <c:val>
            <c:numRef>
              <c:f>DetalleDimension!$M$30:$M$32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80.900000000000006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4D-48C0-9550-061BB48F562A}"/>
            </c:ext>
          </c:extLst>
        </c:ser>
        <c:ser>
          <c:idx val="1"/>
          <c:order val="1"/>
          <c:tx>
            <c:strRef>
              <c:f>DetalleDimension!$N$23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rgbClr val="A5002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matte"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2-704D-48C0-9550-061BB48F562A}"/>
              </c:ext>
            </c:extLst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4-704D-48C0-9550-061BB48F562A}"/>
              </c:ext>
            </c:extLst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6-704D-48C0-9550-061BB48F562A}"/>
              </c:ext>
            </c:extLst>
          </c:dPt>
          <c:dLbls>
            <c:dLbl>
              <c:idx val="0"/>
              <c:spPr>
                <a:noFill/>
              </c:spPr>
              <c:txPr>
                <a:bodyPr/>
                <a:lstStyle/>
                <a:p>
                  <a:pPr>
                    <a:defRPr sz="2200" b="0">
                      <a:solidFill>
                        <a:schemeClr val="bg1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04D-48C0-9550-061BB48F56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0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DetalleDimension!$L$30:$L$32</c:f>
              <c:strCache>
                <c:ptCount val="3"/>
                <c:pt idx="0">
                  <c:v>Promedio Confianza</c:v>
                </c:pt>
                <c:pt idx="1">
                  <c:v>Promedio General</c:v>
                </c:pt>
                <c:pt idx="2">
                  <c:v>Percepción General</c:v>
                </c:pt>
              </c:strCache>
            </c:strRef>
          </c:cat>
          <c:val>
            <c:numRef>
              <c:f>DetalleDimension!$N$30:$N$32</c:f>
              <c:numCache>
                <c:formatCode>0</c:formatCode>
                <c:ptCount val="3"/>
                <c:pt idx="0">
                  <c:v>82</c:v>
                </c:pt>
                <c:pt idx="1">
                  <c:v>83</c:v>
                </c:pt>
                <c:pt idx="2">
                  <c:v>89.41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04D-48C0-9550-061BB48F562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8"/>
        <c:overlap val="-25"/>
        <c:axId val="1087155040"/>
        <c:axId val="1087159392"/>
      </c:barChart>
      <c:lineChart>
        <c:grouping val="standard"/>
        <c:varyColors val="0"/>
        <c:ser>
          <c:idx val="2"/>
          <c:order val="2"/>
          <c:tx>
            <c:strRef>
              <c:f>DetalleDimension!$O$29</c:f>
              <c:strCache>
                <c:ptCount val="1"/>
                <c:pt idx="0">
                  <c:v>BMK Mejores Argentina 2016</c:v>
                </c:pt>
              </c:strCache>
            </c:strRef>
          </c:tx>
          <c:spPr>
            <a:ln w="38100">
              <a:solidFill>
                <a:srgbClr val="C00000"/>
              </a:solidFill>
            </a:ln>
            <a:effectLst/>
          </c:spPr>
          <c:marker>
            <c:symbol val="circle"/>
            <c:size val="16"/>
            <c:spPr>
              <a:solidFill>
                <a:schemeClr val="bg1">
                  <a:lumMod val="95000"/>
                </a:schemeClr>
              </a:solidFill>
              <a:ln w="50800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rgbClr val="C00000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DetalleDimension!$L$15:$L$18</c:f>
              <c:strCache>
                <c:ptCount val="4"/>
                <c:pt idx="0">
                  <c:v>Orgullo</c:v>
                </c:pt>
                <c:pt idx="1">
                  <c:v>Trabajo Personal</c:v>
                </c:pt>
                <c:pt idx="2">
                  <c:v>Equipo</c:v>
                </c:pt>
                <c:pt idx="3">
                  <c:v>Empresa</c:v>
                </c:pt>
              </c:strCache>
            </c:strRef>
          </c:cat>
          <c:val>
            <c:numRef>
              <c:f>DetalleDimension!$O$30:$O$32</c:f>
              <c:numCache>
                <c:formatCode>0</c:formatCode>
                <c:ptCount val="3"/>
                <c:pt idx="0">
                  <c:v>77</c:v>
                </c:pt>
                <c:pt idx="1">
                  <c:v>79</c:v>
                </c:pt>
                <c:pt idx="2">
                  <c:v>81.900000000000006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04D-48C0-9550-061BB48F562A}"/>
            </c:ext>
          </c:extLst>
        </c:ser>
        <c:ser>
          <c:idx val="3"/>
          <c:order val="3"/>
          <c:tx>
            <c:strRef>
              <c:f>DetalleDimension!$P$29</c:f>
              <c:strCache>
                <c:ptCount val="1"/>
                <c:pt idx="0">
                  <c:v>Mercado 2016</c:v>
                </c:pt>
              </c:strCache>
            </c:strRef>
          </c:tx>
          <c:spPr>
            <a:ln w="38100">
              <a:solidFill>
                <a:srgbClr val="292B30"/>
              </a:solidFill>
              <a:prstDash val="sysDash"/>
            </a:ln>
          </c:spPr>
          <c:marker>
            <c:symbol val="circle"/>
            <c:size val="16"/>
            <c:spPr>
              <a:solidFill>
                <a:schemeClr val="bg1">
                  <a:lumMod val="95000"/>
                </a:schemeClr>
              </a:solidFill>
              <a:ln w="50800">
                <a:solidFill>
                  <a:srgbClr val="292B3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DetalleDimension!$P$30:$P$32</c:f>
              <c:numCache>
                <c:formatCode>0</c:formatCode>
                <c:ptCount val="3"/>
                <c:pt idx="0">
                  <c:v>60</c:v>
                </c:pt>
                <c:pt idx="1">
                  <c:v>62</c:v>
                </c:pt>
                <c:pt idx="2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04D-48C0-9550-061BB48F562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87155040"/>
        <c:axId val="1087159392"/>
      </c:lineChart>
      <c:catAx>
        <c:axId val="1087155040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1087159392"/>
        <c:crosses val="autoZero"/>
        <c:auto val="1"/>
        <c:lblAlgn val="ctr"/>
        <c:lblOffset val="0"/>
        <c:noMultiLvlLbl val="0"/>
      </c:catAx>
      <c:valAx>
        <c:axId val="1087159392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1087155040"/>
        <c:crosses val="autoZero"/>
        <c:crossBetween val="between"/>
      </c:valAx>
      <c:spPr>
        <a:noFill/>
        <a:ln>
          <a:noFill/>
        </a:ln>
      </c:spPr>
    </c:plotArea>
    <c:legend>
      <c:legendPos val="b"/>
      <c:overlay val="0"/>
      <c:txPr>
        <a:bodyPr/>
        <a:lstStyle/>
        <a:p>
          <a:pPr>
            <a:defRPr sz="11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727012216824297E-2"/>
          <c:y val="6.892403565160575E-2"/>
          <c:w val="0.98727298030128152"/>
          <c:h val="0.539912247114748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DetalleDimension!$M$23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868686"/>
            </a:solidFill>
            <a:ln>
              <a:noFill/>
            </a:ln>
            <a:effectLst/>
            <a:scene3d>
              <a:camera prst="orthographicFront"/>
              <a:lightRig rig="twoPt" dir="t"/>
            </a:scene3d>
            <a:sp3d prstMaterial="matte">
              <a:bevelB w="165100" prst="coolSlant"/>
            </a:sp3d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2C16-4274-BA9C-01B5C3B6A84F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2C16-4274-BA9C-01B5C3B6A84F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2C16-4274-BA9C-01B5C3B6A84F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2C16-4274-BA9C-01B5C3B6A8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0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DetalleDimension!$L$24:$L$28</c:f>
              <c:strCache>
                <c:ptCount val="5"/>
                <c:pt idx="0">
                  <c:v>CREDIBILIDAD</c:v>
                </c:pt>
                <c:pt idx="1">
                  <c:v>RESPETO</c:v>
                </c:pt>
                <c:pt idx="2">
                  <c:v>IMPARCIALIDAD</c:v>
                </c:pt>
                <c:pt idx="3">
                  <c:v>ORGULLO</c:v>
                </c:pt>
                <c:pt idx="4">
                  <c:v>CAMARADERÍA</c:v>
                </c:pt>
              </c:strCache>
            </c:strRef>
          </c:cat>
          <c:val>
            <c:numRef>
              <c:f>DetalleDimension!$M$24:$M$28</c:f>
              <c:numCache>
                <c:formatCode>0</c:formatCode>
                <c:ptCount val="5"/>
                <c:pt idx="0">
                  <c:v>78</c:v>
                </c:pt>
                <c:pt idx="1">
                  <c:v>80</c:v>
                </c:pt>
                <c:pt idx="2">
                  <c:v>73</c:v>
                </c:pt>
                <c:pt idx="3">
                  <c:v>76</c:v>
                </c:pt>
                <c:pt idx="4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A6-4FAD-97A1-6397766E0EDC}"/>
            </c:ext>
          </c:extLst>
        </c:ser>
        <c:ser>
          <c:idx val="1"/>
          <c:order val="1"/>
          <c:tx>
            <c:strRef>
              <c:f>DetalleDimension!$N$23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rgbClr val="868686"/>
            </a:solidFill>
            <a:ln>
              <a:noFill/>
            </a:ln>
            <a:effectLst/>
            <a:scene3d>
              <a:camera prst="orthographicFront"/>
              <a:lightRig rig="twoPt" dir="t"/>
            </a:scene3d>
            <a:sp3d prstMaterial="matte"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  <a:scene3d>
                <a:camera prst="orthographicFront"/>
                <a:lightRig rig="two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2-1BA6-4FAD-97A1-6397766E0EDC}"/>
              </c:ext>
            </c:extLst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  <a:scene3d>
                <a:camera prst="orthographicFront"/>
                <a:lightRig rig="two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3-1BA6-4FAD-97A1-6397766E0EDC}"/>
              </c:ext>
            </c:extLst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  <a:scene3d>
                <a:camera prst="orthographicFront"/>
                <a:lightRig rig="two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5-1BA6-4FAD-97A1-6397766E0EDC}"/>
              </c:ext>
            </c:extLst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  <a:scene3d>
                <a:camera prst="orthographicFront"/>
                <a:lightRig rig="two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7-1BA6-4FAD-97A1-6397766E0EDC}"/>
              </c:ext>
            </c:extLst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  <a:scene3d>
                <a:camera prst="orthographicFront"/>
                <a:lightRig rig="two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9-1BA6-4FAD-97A1-6397766E0ED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0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DetalleDimension!$L$24:$L$28</c:f>
              <c:strCache>
                <c:ptCount val="5"/>
                <c:pt idx="0">
                  <c:v>CREDIBILIDAD</c:v>
                </c:pt>
                <c:pt idx="1">
                  <c:v>RESPETO</c:v>
                </c:pt>
                <c:pt idx="2">
                  <c:v>IMPARCIALIDAD</c:v>
                </c:pt>
                <c:pt idx="3">
                  <c:v>ORGULLO</c:v>
                </c:pt>
                <c:pt idx="4">
                  <c:v>CAMARADERÍA</c:v>
                </c:pt>
              </c:strCache>
            </c:strRef>
          </c:cat>
          <c:val>
            <c:numRef>
              <c:f>DetalleDimension!$N$24:$N$28</c:f>
              <c:numCache>
                <c:formatCode>0</c:formatCode>
                <c:ptCount val="5"/>
                <c:pt idx="0">
                  <c:v>83</c:v>
                </c:pt>
                <c:pt idx="1">
                  <c:v>85</c:v>
                </c:pt>
                <c:pt idx="2">
                  <c:v>79</c:v>
                </c:pt>
                <c:pt idx="3">
                  <c:v>82</c:v>
                </c:pt>
                <c:pt idx="4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BA6-4FAD-97A1-6397766E0E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8"/>
        <c:overlap val="-25"/>
        <c:axId val="1087152864"/>
        <c:axId val="1087149056"/>
      </c:barChart>
      <c:lineChart>
        <c:grouping val="standard"/>
        <c:varyColors val="0"/>
        <c:ser>
          <c:idx val="2"/>
          <c:order val="2"/>
          <c:tx>
            <c:strRef>
              <c:f>DetalleDimension!$O$29</c:f>
              <c:strCache>
                <c:ptCount val="1"/>
                <c:pt idx="0">
                  <c:v>BMK Mejores Argentina 2016</c:v>
                </c:pt>
              </c:strCache>
            </c:strRef>
          </c:tx>
          <c:spPr>
            <a:ln w="38100">
              <a:solidFill>
                <a:srgbClr val="C00000"/>
              </a:solidFill>
            </a:ln>
            <a:effectLst/>
          </c:spPr>
          <c:marker>
            <c:symbol val="circle"/>
            <c:size val="16"/>
            <c:spPr>
              <a:solidFill>
                <a:schemeClr val="bg1">
                  <a:lumMod val="95000"/>
                </a:schemeClr>
              </a:solidFill>
              <a:ln w="50800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rgbClr val="C00000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DetalleDimension!$L$15:$L$18</c:f>
              <c:strCache>
                <c:ptCount val="4"/>
                <c:pt idx="0">
                  <c:v>Orgullo</c:v>
                </c:pt>
                <c:pt idx="1">
                  <c:v>Trabajo Personal</c:v>
                </c:pt>
                <c:pt idx="2">
                  <c:v>Equipo</c:v>
                </c:pt>
                <c:pt idx="3">
                  <c:v>Empresa</c:v>
                </c:pt>
              </c:strCache>
            </c:strRef>
          </c:cat>
          <c:val>
            <c:numRef>
              <c:f>DetalleDimension!$O$24:$O$28</c:f>
              <c:numCache>
                <c:formatCode>0</c:formatCode>
                <c:ptCount val="5"/>
                <c:pt idx="0">
                  <c:v>79</c:v>
                </c:pt>
                <c:pt idx="1">
                  <c:v>77</c:v>
                </c:pt>
                <c:pt idx="2">
                  <c:v>75</c:v>
                </c:pt>
                <c:pt idx="3">
                  <c:v>79</c:v>
                </c:pt>
                <c:pt idx="4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BA6-4FAD-97A1-6397766E0EDC}"/>
            </c:ext>
          </c:extLst>
        </c:ser>
        <c:ser>
          <c:idx val="3"/>
          <c:order val="3"/>
          <c:tx>
            <c:strRef>
              <c:f>DetalleDimension!$P$23</c:f>
              <c:strCache>
                <c:ptCount val="1"/>
                <c:pt idx="0">
                  <c:v>Mercado 2016</c:v>
                </c:pt>
              </c:strCache>
            </c:strRef>
          </c:tx>
          <c:spPr>
            <a:ln w="38100">
              <a:solidFill>
                <a:srgbClr val="292B30"/>
              </a:solidFill>
              <a:prstDash val="sysDash"/>
            </a:ln>
          </c:spPr>
          <c:marker>
            <c:symbol val="circle"/>
            <c:size val="16"/>
            <c:spPr>
              <a:solidFill>
                <a:schemeClr val="bg1">
                  <a:lumMod val="95000"/>
                </a:schemeClr>
              </a:solidFill>
              <a:ln w="50800">
                <a:solidFill>
                  <a:srgbClr val="292B3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DetalleDimension!$P$24:$P$28</c:f>
              <c:numCache>
                <c:formatCode>0</c:formatCode>
                <c:ptCount val="5"/>
                <c:pt idx="0">
                  <c:v>61</c:v>
                </c:pt>
                <c:pt idx="1">
                  <c:v>59</c:v>
                </c:pt>
                <c:pt idx="2">
                  <c:v>60</c:v>
                </c:pt>
                <c:pt idx="3">
                  <c:v>65</c:v>
                </c:pt>
                <c:pt idx="4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BA6-4FAD-97A1-6397766E0E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87152864"/>
        <c:axId val="1087149056"/>
      </c:lineChart>
      <c:catAx>
        <c:axId val="108715286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1087149056"/>
        <c:crosses val="autoZero"/>
        <c:auto val="1"/>
        <c:lblAlgn val="ctr"/>
        <c:lblOffset val="0"/>
        <c:noMultiLvlLbl val="0"/>
      </c:catAx>
      <c:valAx>
        <c:axId val="1087149056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1087152864"/>
        <c:crosses val="autoZero"/>
        <c:crossBetween val="between"/>
      </c:val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0.12056171896338608"/>
          <c:y val="0.9622063447856799"/>
          <c:w val="0.69497917016018695"/>
          <c:h val="3.7793732546348685E-2"/>
        </c:manualLayout>
      </c:layout>
      <c:overlay val="0"/>
      <c:txPr>
        <a:bodyPr/>
        <a:lstStyle/>
        <a:p>
          <a:pPr>
            <a:defRPr sz="1100">
              <a:latin typeface="Arial" panose="020B0604020202020204" pitchFamily="34" charset="0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02655248941065E-2"/>
          <c:y val="2.6252524586394547E-2"/>
          <c:w val="0.92389120837363625"/>
          <c:h val="0.87427703760578557"/>
        </c:manualLayout>
      </c:layout>
      <c:lineChart>
        <c:grouping val="standard"/>
        <c:varyColors val="0"/>
        <c:ser>
          <c:idx val="0"/>
          <c:order val="0"/>
          <c:tx>
            <c:strRef>
              <c:f>DetalleDimension!$L$35</c:f>
              <c:strCache>
                <c:ptCount val="1"/>
                <c:pt idx="0">
                  <c:v>CREDIBILIDAD</c:v>
                </c:pt>
              </c:strCache>
            </c:strRef>
          </c:tx>
          <c:spPr>
            <a:ln w="12700">
              <a:solidFill>
                <a:schemeClr val="bg1">
                  <a:lumMod val="65000"/>
                </a:schemeClr>
              </a:solidFill>
              <a:prstDash val="sysDash"/>
            </a:ln>
            <a:effectLst/>
          </c:spPr>
          <c:marker>
            <c:symbol val="circle"/>
            <c:size val="18"/>
            <c:spPr>
              <a:solidFill>
                <a:srgbClr val="FFC000"/>
              </a:solidFill>
              <a:ln w="38100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>
                    <a:solidFill>
                      <a:srgbClr val="F0AB00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DetalleDimension!$M$34:$S$34</c:f>
              <c:numCache>
                <c:formatCode>0</c:formatCode>
                <c:ptCount val="7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</c:numCache>
            </c:numRef>
          </c:cat>
          <c:val>
            <c:numRef>
              <c:f>DetalleDimension!$M$35:$S$35</c:f>
              <c:numCache>
                <c:formatCode>0</c:formatCode>
                <c:ptCount val="7"/>
                <c:pt idx="0">
                  <c:v>73</c:v>
                </c:pt>
                <c:pt idx="1">
                  <c:v>74</c:v>
                </c:pt>
                <c:pt idx="2">
                  <c:v>75</c:v>
                </c:pt>
                <c:pt idx="3">
                  <c:v>76</c:v>
                </c:pt>
                <c:pt idx="4">
                  <c:v>77</c:v>
                </c:pt>
                <c:pt idx="5">
                  <c:v>78</c:v>
                </c:pt>
                <c:pt idx="6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E2B-4A9B-84AE-07ACC029BB7F}"/>
            </c:ext>
          </c:extLst>
        </c:ser>
        <c:ser>
          <c:idx val="1"/>
          <c:order val="1"/>
          <c:tx>
            <c:strRef>
              <c:f>DetalleDimension!$L$36</c:f>
              <c:strCache>
                <c:ptCount val="1"/>
                <c:pt idx="0">
                  <c:v>RESPETO</c:v>
                </c:pt>
              </c:strCache>
            </c:strRef>
          </c:tx>
          <c:spPr>
            <a:ln w="12700">
              <a:solidFill>
                <a:schemeClr val="bg1">
                  <a:lumMod val="65000"/>
                </a:schemeClr>
              </a:solidFill>
              <a:prstDash val="sysDash"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38100">
                <a:noFill/>
              </a:ln>
              <a:effectLst/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B-9E2B-4A9B-84AE-07ACC029BB7F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C-9E2B-4A9B-84AE-07ACC029BB7F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D-9E2B-4A9B-84AE-07ACC029BB7F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E-9E2B-4A9B-84AE-07ACC029BB7F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F-9E2B-4A9B-84AE-07ACC029BB7F}"/>
              </c:ext>
            </c:extLst>
          </c:dPt>
          <c:dLbls>
            <c:dLbl>
              <c:idx val="0"/>
              <c:layout>
                <c:manualLayout>
                  <c:x val="-7.5926480278118103E-2"/>
                  <c:y val="-8.5180876233816108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2B-4A9B-84AE-07ACC029BB7F}"/>
                </c:ext>
              </c:extLst>
            </c:dLbl>
            <c:dLbl>
              <c:idx val="1"/>
              <c:layout>
                <c:manualLayout>
                  <c:x val="-3.3142128371816791E-17"/>
                  <c:y val="1.57179417642675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2B-4A9B-84AE-07ACC029BB7F}"/>
                </c:ext>
              </c:extLst>
            </c:dLbl>
            <c:dLbl>
              <c:idx val="2"/>
              <c:layout>
                <c:manualLayout>
                  <c:x val="-5.4233200198655785E-3"/>
                  <c:y val="-2.841043541555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E2B-4A9B-84AE-07ACC029BB7F}"/>
                </c:ext>
              </c:extLst>
            </c:dLbl>
            <c:dLbl>
              <c:idx val="3"/>
              <c:layout>
                <c:manualLayout>
                  <c:x val="-1.0846640039731223E-2"/>
                  <c:y val="-6.60827129795215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E2B-4A9B-84AE-07ACC029BB7F}"/>
                </c:ext>
              </c:extLst>
            </c:dLbl>
            <c:dLbl>
              <c:idx val="4"/>
              <c:layout>
                <c:manualLayout>
                  <c:x val="-3.6155466799103857E-3"/>
                  <c:y val="-2.67370758985799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E2B-4A9B-84AE-07ACC029BB7F}"/>
                </c:ext>
              </c:extLst>
            </c:dLbl>
            <c:dLbl>
              <c:idx val="5"/>
              <c:layout>
                <c:manualLayout>
                  <c:x val="0"/>
                  <c:y val="1.757644643327562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E2B-4A9B-84AE-07ACC029BB7F}"/>
                </c:ext>
              </c:extLst>
            </c:dLbl>
            <c:dLbl>
              <c:idx val="6"/>
              <c:layout>
                <c:manualLayout>
                  <c:x val="1.8077733399551928E-3"/>
                  <c:y val="-6.10132623880625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E2B-4A9B-84AE-07ACC029BB7F}"/>
                </c:ext>
              </c:extLst>
            </c:dLbl>
            <c:dLbl>
              <c:idx val="7"/>
              <c:layout>
                <c:manualLayout>
                  <c:x val="-1.3256851348726716E-16"/>
                  <c:y val="1.1813671329620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E2B-4A9B-84AE-07ACC029BB7F}"/>
                </c:ext>
              </c:extLst>
            </c:dLbl>
            <c:dLbl>
              <c:idx val="8"/>
              <c:layout>
                <c:manualLayout>
                  <c:x val="-5.4233200198655785E-3"/>
                  <c:y val="3.81116887248013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E2B-4A9B-84AE-07ACC029BB7F}"/>
                </c:ext>
              </c:extLst>
            </c:dLbl>
            <c:dLbl>
              <c:idx val="9"/>
              <c:layout>
                <c:manualLayout>
                  <c:x val="-9.0388666997759642E-3"/>
                  <c:y val="-6.0285730104919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E2B-4A9B-84AE-07ACC029BB7F}"/>
                </c:ext>
              </c:extLst>
            </c:dLbl>
            <c:dLbl>
              <c:idx val="10"/>
              <c:layout>
                <c:manualLayout>
                  <c:x val="-3.4347693459148662E-2"/>
                  <c:y val="-8.06174890579215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E2B-4A9B-84AE-07ACC029BB7F}"/>
                </c:ext>
              </c:extLst>
            </c:dLbl>
            <c:spPr>
              <a:effectLst/>
            </c:spPr>
            <c:txPr>
              <a:bodyPr/>
              <a:lstStyle/>
              <a:p>
                <a:pPr>
                  <a:defRPr sz="1600" b="1">
                    <a:solidFill>
                      <a:srgbClr val="AA272F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DetalleDimension!$M$34:$S$34</c:f>
              <c:numCache>
                <c:formatCode>0</c:formatCode>
                <c:ptCount val="7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</c:numCache>
            </c:numRef>
          </c:cat>
          <c:val>
            <c:numRef>
              <c:f>DetalleDimension!$M$36:$S$36</c:f>
              <c:numCache>
                <c:formatCode>0</c:formatCode>
                <c:ptCount val="7"/>
                <c:pt idx="0">
                  <c:v>75</c:v>
                </c:pt>
                <c:pt idx="1">
                  <c:v>76</c:v>
                </c:pt>
                <c:pt idx="2">
                  <c:v>77</c:v>
                </c:pt>
                <c:pt idx="3">
                  <c:v>78</c:v>
                </c:pt>
                <c:pt idx="4">
                  <c:v>79</c:v>
                </c:pt>
                <c:pt idx="5">
                  <c:v>80</c:v>
                </c:pt>
                <c:pt idx="6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E2B-4A9B-84AE-07ACC029BB7F}"/>
            </c:ext>
          </c:extLst>
        </c:ser>
        <c:ser>
          <c:idx val="2"/>
          <c:order val="2"/>
          <c:tx>
            <c:strRef>
              <c:f>DetalleDimension!$L$37</c:f>
              <c:strCache>
                <c:ptCount val="1"/>
                <c:pt idx="0">
                  <c:v>IMPARCIALIDAD</c:v>
                </c:pt>
              </c:strCache>
            </c:strRef>
          </c:tx>
          <c:spPr>
            <a:ln w="12700">
              <a:solidFill>
                <a:schemeClr val="bg1">
                  <a:lumMod val="65000"/>
                </a:schemeClr>
              </a:solidFill>
              <a:prstDash val="sysDash"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38100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>
                    <a:solidFill>
                      <a:srgbClr val="005172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DetalleDimension!$M$34:$S$34</c:f>
              <c:numCache>
                <c:formatCode>0</c:formatCode>
                <c:ptCount val="7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</c:numCache>
            </c:numRef>
          </c:cat>
          <c:val>
            <c:numRef>
              <c:f>DetalleDimension!$M$37:$S$37</c:f>
              <c:numCache>
                <c:formatCode>0</c:formatCode>
                <c:ptCount val="7"/>
                <c:pt idx="0">
                  <c:v>68</c:v>
                </c:pt>
                <c:pt idx="1">
                  <c:v>69</c:v>
                </c:pt>
                <c:pt idx="2">
                  <c:v>70</c:v>
                </c:pt>
                <c:pt idx="3">
                  <c:v>71</c:v>
                </c:pt>
                <c:pt idx="4">
                  <c:v>72</c:v>
                </c:pt>
                <c:pt idx="5">
                  <c:v>73</c:v>
                </c:pt>
                <c:pt idx="6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E2B-4A9B-84AE-07ACC029BB7F}"/>
            </c:ext>
          </c:extLst>
        </c:ser>
        <c:ser>
          <c:idx val="3"/>
          <c:order val="3"/>
          <c:tx>
            <c:strRef>
              <c:f>DetalleDimension!$L$38</c:f>
              <c:strCache>
                <c:ptCount val="1"/>
                <c:pt idx="0">
                  <c:v>ORGULLO</c:v>
                </c:pt>
              </c:strCache>
            </c:strRef>
          </c:tx>
          <c:spPr>
            <a:ln w="12700" cmpd="sng">
              <a:solidFill>
                <a:schemeClr val="bg1">
                  <a:lumMod val="65000"/>
                </a:schemeClr>
              </a:solidFill>
              <a:prstDash val="sysDash"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38100">
                <a:noFill/>
              </a:ln>
              <a:effectLst/>
              <a:scene3d>
                <a:camera prst="orthographicFront"/>
                <a:lightRig rig="threePt" dir="t"/>
              </a:scene3d>
            </c:spPr>
          </c:marker>
          <c:dLbls>
            <c:dLbl>
              <c:idx val="0"/>
              <c:layout>
                <c:manualLayout>
                  <c:x val="-3.7963240139059051E-2"/>
                  <c:y val="-9.11129269050467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9E2B-4A9B-84AE-07ACC029BB7F}"/>
                </c:ext>
              </c:extLst>
            </c:dLbl>
            <c:dLbl>
              <c:idx val="1"/>
              <c:layout>
                <c:manualLayout>
                  <c:x val="-3.9771013479014274E-2"/>
                  <c:y val="-9.06735157442148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9E2B-4A9B-84AE-07ACC029BB7F}"/>
                </c:ext>
              </c:extLst>
            </c:dLbl>
            <c:dLbl>
              <c:idx val="2"/>
              <c:layout>
                <c:manualLayout>
                  <c:x val="-3.6155466799103891E-2"/>
                  <c:y val="-9.46285688491342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9E2B-4A9B-84AE-07ACC029BB7F}"/>
                </c:ext>
              </c:extLst>
            </c:dLbl>
            <c:dLbl>
              <c:idx val="3"/>
              <c:layout>
                <c:manualLayout>
                  <c:x val="-3.7963240139059114E-2"/>
                  <c:y val="-9.53719707167374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9E2B-4A9B-84AE-07ACC029BB7F}"/>
                </c:ext>
              </c:extLst>
            </c:dLbl>
            <c:dLbl>
              <c:idx val="4"/>
              <c:layout>
                <c:manualLayout>
                  <c:x val="-3.6155466799103857E-2"/>
                  <c:y val="-8.50962384500282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9E2B-4A9B-84AE-07ACC029BB7F}"/>
                </c:ext>
              </c:extLst>
            </c:dLbl>
            <c:dLbl>
              <c:idx val="5"/>
              <c:layout>
                <c:manualLayout>
                  <c:x val="-3.7963240139059051E-2"/>
                  <c:y val="-7.85555010503901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9E2B-4A9B-84AE-07ACC029BB7F}"/>
                </c:ext>
              </c:extLst>
            </c:dLbl>
            <c:dLbl>
              <c:idx val="6"/>
              <c:layout>
                <c:manualLayout>
                  <c:x val="-3.7963240139059114E-2"/>
                  <c:y val="-7.27585181757877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9E2B-4A9B-84AE-07ACC029BB7F}"/>
                </c:ext>
              </c:extLst>
            </c:dLbl>
            <c:dLbl>
              <c:idx val="7"/>
              <c:layout>
                <c:manualLayout>
                  <c:x val="-3.6155466799103989E-2"/>
                  <c:y val="-6.72270863478196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9E2B-4A9B-84AE-07ACC029BB7F}"/>
                </c:ext>
              </c:extLst>
            </c:dLbl>
            <c:dLbl>
              <c:idx val="8"/>
              <c:layout>
                <c:manualLayout>
                  <c:x val="-3.7963240139059051E-2"/>
                  <c:y val="-8.95749878421350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9E2B-4A9B-84AE-07ACC029BB7F}"/>
                </c:ext>
              </c:extLst>
            </c:dLbl>
            <c:dLbl>
              <c:idx val="9"/>
              <c:layout>
                <c:manualLayout>
                  <c:x val="-3.6155466799103989E-2"/>
                  <c:y val="-5.95395069778562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9E2B-4A9B-84AE-07ACC029BB7F}"/>
                </c:ext>
              </c:extLst>
            </c:dLbl>
            <c:dLbl>
              <c:idx val="10"/>
              <c:layout>
                <c:manualLayout>
                  <c:x val="-3.2539920119193474E-2"/>
                  <c:y val="-8.03134983511501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9E2B-4A9B-84AE-07ACC029BB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>
                    <a:solidFill>
                      <a:srgbClr val="658D1B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DetalleDimension!$M$34:$S$34</c:f>
              <c:numCache>
                <c:formatCode>0</c:formatCode>
                <c:ptCount val="7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</c:numCache>
            </c:numRef>
          </c:cat>
          <c:val>
            <c:numRef>
              <c:f>DetalleDimension!$M$38:$S$38</c:f>
              <c:numCache>
                <c:formatCode>0</c:formatCode>
                <c:ptCount val="7"/>
                <c:pt idx="0">
                  <c:v>71</c:v>
                </c:pt>
                <c:pt idx="1">
                  <c:v>72</c:v>
                </c:pt>
                <c:pt idx="2">
                  <c:v>73</c:v>
                </c:pt>
                <c:pt idx="3">
                  <c:v>74</c:v>
                </c:pt>
                <c:pt idx="4">
                  <c:v>75</c:v>
                </c:pt>
                <c:pt idx="5">
                  <c:v>76</c:v>
                </c:pt>
                <c:pt idx="6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E2B-4A9B-84AE-07ACC029BB7F}"/>
            </c:ext>
          </c:extLst>
        </c:ser>
        <c:ser>
          <c:idx val="4"/>
          <c:order val="4"/>
          <c:tx>
            <c:strRef>
              <c:f>DetalleDimension!$L$39</c:f>
              <c:strCache>
                <c:ptCount val="1"/>
                <c:pt idx="0">
                  <c:v>CAMARADERÍA</c:v>
                </c:pt>
              </c:strCache>
            </c:strRef>
          </c:tx>
          <c:spPr>
            <a:ln w="12700">
              <a:solidFill>
                <a:schemeClr val="bg1">
                  <a:lumMod val="65000"/>
                </a:schemeClr>
              </a:solidFill>
              <a:prstDash val="sysDash"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38100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>
                    <a:solidFill>
                      <a:srgbClr val="61214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DetalleDimension!$M$34:$S$34</c:f>
              <c:numCache>
                <c:formatCode>0</c:formatCode>
                <c:ptCount val="7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</c:numCache>
            </c:numRef>
          </c:cat>
          <c:val>
            <c:numRef>
              <c:f>DetalleDimension!$M$39:$S$39</c:f>
              <c:numCache>
                <c:formatCode>0</c:formatCode>
                <c:ptCount val="7"/>
                <c:pt idx="0">
                  <c:v>77</c:v>
                </c:pt>
                <c:pt idx="1">
                  <c:v>78</c:v>
                </c:pt>
                <c:pt idx="2">
                  <c:v>79</c:v>
                </c:pt>
                <c:pt idx="3">
                  <c:v>80</c:v>
                </c:pt>
                <c:pt idx="4">
                  <c:v>81</c:v>
                </c:pt>
                <c:pt idx="5">
                  <c:v>82</c:v>
                </c:pt>
                <c:pt idx="6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9E2B-4A9B-84AE-07ACC029BB7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87156128"/>
        <c:axId val="1087147424"/>
      </c:lineChart>
      <c:catAx>
        <c:axId val="1087156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40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s-ES"/>
          </a:p>
        </c:txPr>
        <c:crossAx val="1087147424"/>
        <c:crosses val="autoZero"/>
        <c:auto val="1"/>
        <c:lblAlgn val="ctr"/>
        <c:lblOffset val="0"/>
        <c:noMultiLvlLbl val="0"/>
      </c:catAx>
      <c:valAx>
        <c:axId val="1087147424"/>
        <c:scaling>
          <c:orientation val="minMax"/>
          <c:max val="100"/>
          <c:min val="50"/>
        </c:scaling>
        <c:delete val="1"/>
        <c:axPos val="l"/>
        <c:numFmt formatCode="0" sourceLinked="1"/>
        <c:majorTickMark val="out"/>
        <c:minorTickMark val="none"/>
        <c:tickLblPos val="nextTo"/>
        <c:crossAx val="1087156128"/>
        <c:crosses val="autoZero"/>
        <c:crossBetween val="between"/>
      </c:valAx>
      <c:spPr>
        <a:noFill/>
        <a:ln>
          <a:noFill/>
        </a:ln>
        <a:scene3d>
          <a:camera prst="orthographicFront"/>
          <a:lightRig rig="threePt" dir="t"/>
        </a:scene3d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328899779196173E-2"/>
          <c:y val="5.8899542552916545E-2"/>
          <c:w val="0.92389120837363625"/>
          <c:h val="0.79611604391430613"/>
        </c:manualLayout>
      </c:layout>
      <c:lineChart>
        <c:grouping val="standard"/>
        <c:varyColors val="0"/>
        <c:ser>
          <c:idx val="0"/>
          <c:order val="0"/>
          <c:tx>
            <c:strRef>
              <c:f>DetalleDimension!$L$42</c:f>
              <c:strCache>
                <c:ptCount val="1"/>
                <c:pt idx="0">
                  <c:v>Promedio Confianza</c:v>
                </c:pt>
              </c:strCache>
            </c:strRef>
          </c:tx>
          <c:spPr>
            <a:ln w="15875">
              <a:solidFill>
                <a:schemeClr val="bg1">
                  <a:lumMod val="65000"/>
                </a:schemeClr>
              </a:solidFill>
              <a:prstDash val="sysDash"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63500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1">
                    <a:solidFill>
                      <a:srgbClr val="D36F67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DetalleDimension!$M$41:$S$41</c:f>
              <c:numCache>
                <c:formatCode>0</c:formatCode>
                <c:ptCount val="7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</c:numCache>
            </c:numRef>
          </c:cat>
          <c:val>
            <c:numRef>
              <c:f>DetalleDimension!$M$42:$S$42</c:f>
              <c:numCache>
                <c:formatCode>0</c:formatCode>
                <c:ptCount val="7"/>
                <c:pt idx="0">
                  <c:v>72</c:v>
                </c:pt>
                <c:pt idx="1">
                  <c:v>73</c:v>
                </c:pt>
                <c:pt idx="2">
                  <c:v>74</c:v>
                </c:pt>
                <c:pt idx="3">
                  <c:v>75</c:v>
                </c:pt>
                <c:pt idx="4">
                  <c:v>76</c:v>
                </c:pt>
                <c:pt idx="5">
                  <c:v>77</c:v>
                </c:pt>
                <c:pt idx="6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B33-456F-BA11-257B676B1CED}"/>
            </c:ext>
          </c:extLst>
        </c:ser>
        <c:ser>
          <c:idx val="1"/>
          <c:order val="1"/>
          <c:tx>
            <c:strRef>
              <c:f>DetalleDimension!$L$43</c:f>
              <c:strCache>
                <c:ptCount val="1"/>
                <c:pt idx="0">
                  <c:v>Promedio General</c:v>
                </c:pt>
              </c:strCache>
            </c:strRef>
          </c:tx>
          <c:spPr>
            <a:ln w="19050">
              <a:solidFill>
                <a:schemeClr val="bg1">
                  <a:lumMod val="65000"/>
                </a:schemeClr>
              </a:solidFill>
              <a:prstDash val="sysDash"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50800">
                <a:noFill/>
              </a:ln>
              <a:effectLst/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C-CB33-456F-BA11-257B676B1CE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D-CB33-456F-BA11-257B676B1CE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E-CB33-456F-BA11-257B676B1CE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F-CB33-456F-BA11-257B676B1CE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0-CB33-456F-BA11-257B676B1C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1">
                    <a:solidFill>
                      <a:srgbClr val="9C242C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DetalleDimension!$M$41:$S$41</c:f>
              <c:numCache>
                <c:formatCode>0</c:formatCode>
                <c:ptCount val="7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</c:numCache>
            </c:numRef>
          </c:cat>
          <c:val>
            <c:numRef>
              <c:f>DetalleDimension!$M$43:$S$43</c:f>
              <c:numCache>
                <c:formatCode>0</c:formatCode>
                <c:ptCount val="7"/>
                <c:pt idx="0">
                  <c:v>73</c:v>
                </c:pt>
                <c:pt idx="1">
                  <c:v>74</c:v>
                </c:pt>
                <c:pt idx="2">
                  <c:v>75</c:v>
                </c:pt>
                <c:pt idx="3">
                  <c:v>76</c:v>
                </c:pt>
                <c:pt idx="4">
                  <c:v>77</c:v>
                </c:pt>
                <c:pt idx="5">
                  <c:v>78</c:v>
                </c:pt>
                <c:pt idx="6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B33-456F-BA11-257B676B1CED}"/>
            </c:ext>
          </c:extLst>
        </c:ser>
        <c:ser>
          <c:idx val="2"/>
          <c:order val="2"/>
          <c:tx>
            <c:strRef>
              <c:f>DetalleDimension!$L$44</c:f>
              <c:strCache>
                <c:ptCount val="1"/>
                <c:pt idx="0">
                  <c:v>Percepción General</c:v>
                </c:pt>
              </c:strCache>
            </c:strRef>
          </c:tx>
          <c:spPr>
            <a:ln w="19050">
              <a:solidFill>
                <a:schemeClr val="bg1">
                  <a:lumMod val="65000"/>
                </a:schemeClr>
              </a:solidFill>
              <a:prstDash val="sysDash"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50800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1">
                    <a:solidFill>
                      <a:srgbClr val="006086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DetalleDimension!$M$41:$S$41</c:f>
              <c:numCache>
                <c:formatCode>0</c:formatCode>
                <c:ptCount val="7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</c:numCache>
            </c:numRef>
          </c:cat>
          <c:val>
            <c:numRef>
              <c:f>DetalleDimension!$M$44:$S$44</c:f>
              <c:numCache>
                <c:formatCode>0</c:formatCode>
                <c:ptCount val="7"/>
                <c:pt idx="0">
                  <c:v>75.900000000000006</c:v>
                </c:pt>
                <c:pt idx="1">
                  <c:v>76.900000000000006</c:v>
                </c:pt>
                <c:pt idx="2">
                  <c:v>77.900000000000006</c:v>
                </c:pt>
                <c:pt idx="3">
                  <c:v>78.900000000000006</c:v>
                </c:pt>
                <c:pt idx="4">
                  <c:v>79.900000000000006</c:v>
                </c:pt>
                <c:pt idx="5">
                  <c:v>80.900000000000006</c:v>
                </c:pt>
                <c:pt idx="6">
                  <c:v>89.41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B33-456F-BA11-257B676B1CE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87157216"/>
        <c:axId val="1087144160"/>
      </c:lineChart>
      <c:catAx>
        <c:axId val="10871572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sz="160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s-ES"/>
          </a:p>
        </c:txPr>
        <c:crossAx val="1087144160"/>
        <c:crosses val="autoZero"/>
        <c:auto val="1"/>
        <c:lblAlgn val="ctr"/>
        <c:lblOffset val="0"/>
        <c:noMultiLvlLbl val="0"/>
      </c:catAx>
      <c:valAx>
        <c:axId val="1087144160"/>
        <c:scaling>
          <c:orientation val="minMax"/>
          <c:max val="100"/>
          <c:min val="50"/>
        </c:scaling>
        <c:delete val="1"/>
        <c:axPos val="l"/>
        <c:numFmt formatCode="0" sourceLinked="1"/>
        <c:majorTickMark val="out"/>
        <c:minorTickMark val="none"/>
        <c:tickLblPos val="nextTo"/>
        <c:crossAx val="1087157216"/>
        <c:crosses val="autoZero"/>
        <c:crossBetween val="between"/>
      </c:valAx>
      <c:spPr>
        <a:noFill/>
        <a:ln>
          <a:noFill/>
        </a:ln>
        <a:scene3d>
          <a:camera prst="orthographicFront"/>
          <a:lightRig rig="threePt" dir="t"/>
        </a:scene3d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4.6257611372875582E-2"/>
          <c:y val="0"/>
          <c:w val="0.85551360803811605"/>
          <c:h val="0.754494022513743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868686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DetalleDimension!$L$3</c:f>
              <c:strCache>
                <c:ptCount val="1"/>
                <c:pt idx="0">
                  <c:v>Credibilidad</c:v>
                </c:pt>
              </c:strCache>
            </c:strRef>
          </c:cat>
          <c:val>
            <c:numRef>
              <c:f>DetalleDimension!$M$3</c:f>
              <c:numCache>
                <c:formatCode>0</c:formatCode>
                <c:ptCount val="1"/>
                <c:pt idx="0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75-49C3-A7A7-655A6C4A84A2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rgbClr val="FDB533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>
                  <a:defRPr lang="es-ES" sz="22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DetalleDimension!$L$3</c:f>
              <c:strCache>
                <c:ptCount val="1"/>
                <c:pt idx="0">
                  <c:v>Credibilidad</c:v>
                </c:pt>
              </c:strCache>
            </c:strRef>
          </c:cat>
          <c:val>
            <c:numRef>
              <c:f>DetalleDimension!$N$3</c:f>
              <c:numCache>
                <c:formatCode>0</c:formatCode>
                <c:ptCount val="1"/>
                <c:pt idx="0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75-49C3-A7A7-655A6C4A84A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"/>
        <c:overlap val="-21"/>
        <c:axId val="1087146336"/>
        <c:axId val="1087147968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Mejores Argentina 2016</c:v>
                </c:pt>
              </c:strCache>
            </c:strRef>
          </c:tx>
          <c:spPr>
            <a:ln w="19050">
              <a:noFill/>
            </a:ln>
            <a:effectLst/>
          </c:spPr>
          <c:marker>
            <c:symbol val="circle"/>
            <c:size val="20"/>
            <c:spPr>
              <a:solidFill>
                <a:schemeClr val="bg1">
                  <a:lumMod val="95000"/>
                </a:schemeClr>
              </a:solidFill>
              <a:ln w="63500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anchor="t" anchorCtr="1"/>
              <a:lstStyle/>
              <a:p>
                <a:pPr>
                  <a:defRPr sz="2200" b="1">
                    <a:solidFill>
                      <a:srgbClr val="C00000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DetalleDimension!$L$3</c:f>
              <c:strCache>
                <c:ptCount val="1"/>
                <c:pt idx="0">
                  <c:v>Credibilidad</c:v>
                </c:pt>
              </c:strCache>
            </c:strRef>
          </c:cat>
          <c:val>
            <c:numRef>
              <c:f>DetalleDimension!$O$3</c:f>
              <c:numCache>
                <c:formatCode>0</c:formatCode>
                <c:ptCount val="1"/>
                <c:pt idx="0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75-49C3-A7A7-655A6C4A84A2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Mercado 2016</c:v>
                </c:pt>
              </c:strCache>
            </c:strRef>
          </c:tx>
          <c:spPr>
            <a:ln w="38100">
              <a:solidFill>
                <a:srgbClr val="292B30"/>
              </a:solidFill>
              <a:prstDash val="sysDash"/>
            </a:ln>
          </c:spPr>
          <c:marker>
            <c:symbol val="circle"/>
            <c:size val="20"/>
            <c:spPr>
              <a:solidFill>
                <a:sysClr val="window" lastClr="FFFFFF"/>
              </a:solidFill>
              <a:ln w="63500">
                <a:solidFill>
                  <a:srgbClr val="292B3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DetalleDimension!$L$3</c:f>
              <c:strCache>
                <c:ptCount val="1"/>
                <c:pt idx="0">
                  <c:v>Credibilidad</c:v>
                </c:pt>
              </c:strCache>
            </c:strRef>
          </c:cat>
          <c:val>
            <c:numRef>
              <c:f>DetalleDimension!$P$3</c:f>
              <c:numCache>
                <c:formatCode>0</c:formatCode>
                <c:ptCount val="1"/>
                <c:pt idx="0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75-49C3-A7A7-655A6C4A8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7146336"/>
        <c:axId val="1087147968"/>
      </c:lineChart>
      <c:catAx>
        <c:axId val="10871463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>
            <a:noFill/>
          </a:ln>
        </c:spPr>
        <c:txPr>
          <a:bodyPr anchor="t" anchorCtr="0"/>
          <a:lstStyle/>
          <a:p>
            <a:pPr>
              <a:defRPr sz="2800" b="1" i="0" baseline="0">
                <a:solidFill>
                  <a:srgbClr val="FDB533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s-ES"/>
          </a:p>
        </c:txPr>
        <c:crossAx val="1087147968"/>
        <c:crosses val="autoZero"/>
        <c:auto val="1"/>
        <c:lblAlgn val="ctr"/>
        <c:lblOffset val="0"/>
        <c:noMultiLvlLbl val="0"/>
      </c:catAx>
      <c:valAx>
        <c:axId val="1087147968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1087146336"/>
        <c:crosses val="autoZero"/>
        <c:crossBetween val="between"/>
      </c:valAx>
      <c:spPr>
        <a:noFill/>
        <a:ln>
          <a:noFill/>
          <a:prstDash val="dashDot"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7161826924352198"/>
          <c:y val="6.9565217391304349E-2"/>
          <c:w val="0.57902757230374868"/>
          <c:h val="0.612379778614629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868686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DetalleDimension!$L$8:$L$10</c:f>
              <c:strCache>
                <c:ptCount val="3"/>
                <c:pt idx="0">
                  <c:v>Respaldo</c:v>
                </c:pt>
                <c:pt idx="1">
                  <c:v>Participación</c:v>
                </c:pt>
                <c:pt idx="2">
                  <c:v>Cuidado de las Personas</c:v>
                </c:pt>
              </c:strCache>
            </c:strRef>
          </c:cat>
          <c:val>
            <c:numRef>
              <c:f>DetalleDimension!$M$8:$M$10</c:f>
              <c:numCache>
                <c:formatCode>0</c:formatCode>
                <c:ptCount val="3"/>
                <c:pt idx="0">
                  <c:v>80</c:v>
                </c:pt>
                <c:pt idx="1">
                  <c:v>78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68-4C4F-83EB-F569F5249A3D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rgbClr val="AA272F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DetalleDimension!$L$8:$L$10</c:f>
              <c:strCache>
                <c:ptCount val="3"/>
                <c:pt idx="0">
                  <c:v>Respaldo</c:v>
                </c:pt>
                <c:pt idx="1">
                  <c:v>Participación</c:v>
                </c:pt>
                <c:pt idx="2">
                  <c:v>Cuidado de las Personas</c:v>
                </c:pt>
              </c:strCache>
            </c:strRef>
          </c:cat>
          <c:val>
            <c:numRef>
              <c:f>DetalleDimension!$N$8:$N$10</c:f>
              <c:numCache>
                <c:formatCode>0</c:formatCode>
                <c:ptCount val="3"/>
                <c:pt idx="0">
                  <c:v>85</c:v>
                </c:pt>
                <c:pt idx="1">
                  <c:v>81</c:v>
                </c:pt>
                <c:pt idx="2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68-4C4F-83EB-F569F5249A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8"/>
        <c:overlap val="-25"/>
        <c:axId val="1087151776"/>
        <c:axId val="1087149600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Mejores Argentina 2016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  <a:effectLst/>
          </c:spPr>
          <c:marker>
            <c:symbol val="circle"/>
            <c:size val="18"/>
            <c:spPr>
              <a:solidFill>
                <a:schemeClr val="bg1">
                  <a:lumMod val="95000"/>
                </a:schemeClr>
              </a:solidFill>
              <a:ln w="63500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rgbClr val="C00000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DetalleDimension!$L$8:$L$10</c:f>
              <c:strCache>
                <c:ptCount val="3"/>
                <c:pt idx="0">
                  <c:v>Respaldo</c:v>
                </c:pt>
                <c:pt idx="1">
                  <c:v>Participación</c:v>
                </c:pt>
                <c:pt idx="2">
                  <c:v>Cuidado de las Personas</c:v>
                </c:pt>
              </c:strCache>
            </c:strRef>
          </c:cat>
          <c:val>
            <c:numRef>
              <c:f>DetalleDimension!$O$8:$O$10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68-4C4F-83EB-F569F5249A3D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Mercado 2016</c:v>
                </c:pt>
              </c:strCache>
            </c:strRef>
          </c:tx>
          <c:spPr>
            <a:ln w="38100">
              <a:solidFill>
                <a:srgbClr val="292B30"/>
              </a:solidFill>
              <a:prstDash val="sysDash"/>
            </a:ln>
          </c:spPr>
          <c:marker>
            <c:symbol val="circle"/>
            <c:size val="18"/>
            <c:spPr>
              <a:solidFill>
                <a:schemeClr val="bg1"/>
              </a:solidFill>
              <a:ln w="63500">
                <a:solidFill>
                  <a:srgbClr val="292B3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2200" b="1" i="0" u="none" strike="noStrike" kern="1200" baseline="0">
                    <a:solidFill>
                      <a:srgbClr val="292B30"/>
                    </a:solidFill>
                    <a:latin typeface="Helvetica" panose="020B0604020202020204" pitchFamily="34" charset="0"/>
                    <a:ea typeface="+mn-ea"/>
                    <a:cs typeface="Helvetica" panose="020B0604020202020204" pitchFamily="34" charset="0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DetalleDimension!$L$8:$L$10</c:f>
              <c:strCache>
                <c:ptCount val="3"/>
                <c:pt idx="0">
                  <c:v>Respaldo</c:v>
                </c:pt>
                <c:pt idx="1">
                  <c:v>Participación</c:v>
                </c:pt>
                <c:pt idx="2">
                  <c:v>Cuidado de las Personas</c:v>
                </c:pt>
              </c:strCache>
            </c:strRef>
          </c:cat>
          <c:val>
            <c:numRef>
              <c:f>DetalleDimension!$P$8:$P$10</c:f>
              <c:numCache>
                <c:formatCode>0</c:formatCode>
                <c:ptCount val="3"/>
                <c:pt idx="0">
                  <c:v>60</c:v>
                </c:pt>
                <c:pt idx="1">
                  <c:v>52</c:v>
                </c:pt>
                <c:pt idx="2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68-4C4F-83EB-F569F5249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7151776"/>
        <c:axId val="1087149600"/>
      </c:lineChart>
      <c:catAx>
        <c:axId val="10871517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 anchor="t" anchorCtr="0"/>
          <a:lstStyle/>
          <a:p>
            <a:pPr>
              <a:defRPr sz="1900" b="0">
                <a:solidFill>
                  <a:srgbClr val="40404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s-ES"/>
          </a:p>
        </c:txPr>
        <c:crossAx val="1087149600"/>
        <c:crosses val="autoZero"/>
        <c:auto val="1"/>
        <c:lblAlgn val="ctr"/>
        <c:lblOffset val="0"/>
        <c:noMultiLvlLbl val="0"/>
      </c:catAx>
      <c:valAx>
        <c:axId val="1087149600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1087151776"/>
        <c:crosses val="autoZero"/>
        <c:crossBetween val="between"/>
      </c:valAx>
      <c:spPr>
        <a:noFill/>
        <a:ln>
          <a:noFill/>
          <a:prstDash val="dashDot"/>
        </a:ln>
      </c:spPr>
    </c:plotArea>
    <c:legend>
      <c:legendPos val="b"/>
      <c:layout>
        <c:manualLayout>
          <c:xMode val="edge"/>
          <c:yMode val="edge"/>
          <c:x val="0"/>
          <c:y val="0.92475042793563844"/>
          <c:w val="0.50393681206390772"/>
          <c:h val="7.2913368477392451E-2"/>
        </c:manualLayout>
      </c:layout>
      <c:overlay val="0"/>
      <c:txPr>
        <a:bodyPr/>
        <a:lstStyle/>
        <a:p>
          <a:pPr>
            <a:defRPr sz="1200" b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4.6257611372875582E-2"/>
          <c:y val="0"/>
          <c:w val="0.85551360803811605"/>
          <c:h val="0.754494022513743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868686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DetalleDimension!$L$7</c:f>
              <c:strCache>
                <c:ptCount val="1"/>
                <c:pt idx="0">
                  <c:v>Respeto</c:v>
                </c:pt>
              </c:strCache>
            </c:strRef>
          </c:cat>
          <c:val>
            <c:numRef>
              <c:f>DetalleDimension!$M$7</c:f>
              <c:numCache>
                <c:formatCode>0</c:formatCode>
                <c:ptCount val="1"/>
                <c:pt idx="0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06-4C2C-B772-5EE4B977C19A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rgbClr val="AA272F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>
                  <a:defRPr lang="es-ES" sz="22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DetalleDimension!$L$7</c:f>
              <c:strCache>
                <c:ptCount val="1"/>
                <c:pt idx="0">
                  <c:v>Respeto</c:v>
                </c:pt>
              </c:strCache>
            </c:strRef>
          </c:cat>
          <c:val>
            <c:numRef>
              <c:f>DetalleDimension!$N$7</c:f>
              <c:numCache>
                <c:formatCode>0</c:formatCode>
                <c:ptCount val="1"/>
                <c:pt idx="0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06-4C2C-B772-5EE4B977C19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"/>
        <c:overlap val="-21"/>
        <c:axId val="1090037152"/>
        <c:axId val="1090045312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Mejores Argentina 2016</c:v>
                </c:pt>
              </c:strCache>
            </c:strRef>
          </c:tx>
          <c:spPr>
            <a:ln w="19050">
              <a:noFill/>
            </a:ln>
            <a:effectLst/>
          </c:spPr>
          <c:marker>
            <c:symbol val="circle"/>
            <c:size val="20"/>
            <c:spPr>
              <a:solidFill>
                <a:schemeClr val="bg1">
                  <a:lumMod val="95000"/>
                </a:schemeClr>
              </a:solidFill>
              <a:ln w="63500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anchor="t" anchorCtr="1"/>
              <a:lstStyle/>
              <a:p>
                <a:pPr>
                  <a:defRPr sz="2200" b="1">
                    <a:solidFill>
                      <a:srgbClr val="C00000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DetalleDimension!$L$7</c:f>
              <c:strCache>
                <c:ptCount val="1"/>
                <c:pt idx="0">
                  <c:v>Respeto</c:v>
                </c:pt>
              </c:strCache>
            </c:strRef>
          </c:cat>
          <c:val>
            <c:numRef>
              <c:f>DetalleDimension!$O$7</c:f>
              <c:numCache>
                <c:formatCode>0</c:formatCode>
                <c:ptCount val="1"/>
                <c:pt idx="0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06-4C2C-B772-5EE4B977C19A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Mercado 2016</c:v>
                </c:pt>
              </c:strCache>
            </c:strRef>
          </c:tx>
          <c:spPr>
            <a:ln w="38100">
              <a:solidFill>
                <a:srgbClr val="292B30"/>
              </a:solidFill>
              <a:prstDash val="sysDash"/>
            </a:ln>
          </c:spPr>
          <c:marker>
            <c:symbol val="circle"/>
            <c:size val="20"/>
            <c:spPr>
              <a:solidFill>
                <a:sysClr val="window" lastClr="FFFFFF"/>
              </a:solidFill>
              <a:ln w="63500">
                <a:solidFill>
                  <a:srgbClr val="292B3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DetalleDimension!$L$7</c:f>
              <c:strCache>
                <c:ptCount val="1"/>
                <c:pt idx="0">
                  <c:v>Respeto</c:v>
                </c:pt>
              </c:strCache>
            </c:strRef>
          </c:cat>
          <c:val>
            <c:numRef>
              <c:f>DetalleDimension!$P$7</c:f>
              <c:numCache>
                <c:formatCode>0</c:formatCode>
                <c:ptCount val="1"/>
                <c:pt idx="0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06-4C2C-B772-5EE4B977C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037152"/>
        <c:axId val="1090045312"/>
      </c:lineChart>
      <c:catAx>
        <c:axId val="10900371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>
            <a:noFill/>
          </a:ln>
        </c:spPr>
        <c:txPr>
          <a:bodyPr anchor="t" anchorCtr="0"/>
          <a:lstStyle/>
          <a:p>
            <a:pPr>
              <a:defRPr sz="2800" b="1" i="0" baseline="0">
                <a:solidFill>
                  <a:srgbClr val="AA272F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s-ES"/>
          </a:p>
        </c:txPr>
        <c:crossAx val="1090045312"/>
        <c:crosses val="autoZero"/>
        <c:auto val="1"/>
        <c:lblAlgn val="ctr"/>
        <c:lblOffset val="0"/>
        <c:noMultiLvlLbl val="0"/>
      </c:catAx>
      <c:valAx>
        <c:axId val="1090045312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1090037152"/>
        <c:crosses val="autoZero"/>
        <c:crossBetween val="between"/>
      </c:valAx>
      <c:spPr>
        <a:noFill/>
        <a:ln>
          <a:noFill/>
          <a:prstDash val="dashDot"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7161826924352198"/>
          <c:y val="6.9565217391304349E-2"/>
          <c:w val="0.57902757230374868"/>
          <c:h val="0.612379778614629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868686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DetalleDimension!$L$12:$L$14</c:f>
              <c:strCache>
                <c:ptCount val="3"/>
                <c:pt idx="0">
                  <c:v>Equidad</c:v>
                </c:pt>
                <c:pt idx="1">
                  <c:v>Ausencia de Favoritismo</c:v>
                </c:pt>
                <c:pt idx="2">
                  <c:v>Justicia</c:v>
                </c:pt>
              </c:strCache>
            </c:strRef>
          </c:cat>
          <c:val>
            <c:numRef>
              <c:f>DetalleDimension!$M$12:$M$14</c:f>
              <c:numCache>
                <c:formatCode>0</c:formatCode>
                <c:ptCount val="3"/>
                <c:pt idx="0">
                  <c:v>58</c:v>
                </c:pt>
                <c:pt idx="1">
                  <c:v>65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54-4D06-8CE9-C56110882936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rgbClr val="006086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DetalleDimension!$L$12:$L$14</c:f>
              <c:strCache>
                <c:ptCount val="3"/>
                <c:pt idx="0">
                  <c:v>Equidad</c:v>
                </c:pt>
                <c:pt idx="1">
                  <c:v>Ausencia de Favoritismo</c:v>
                </c:pt>
                <c:pt idx="2">
                  <c:v>Justicia</c:v>
                </c:pt>
              </c:strCache>
            </c:strRef>
          </c:cat>
          <c:val>
            <c:numRef>
              <c:f>DetalleDimension!$N$12:$N$14</c:f>
              <c:numCache>
                <c:formatCode>0</c:formatCode>
                <c:ptCount val="3"/>
                <c:pt idx="0">
                  <c:v>67</c:v>
                </c:pt>
                <c:pt idx="1">
                  <c:v>69</c:v>
                </c:pt>
                <c:pt idx="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54-4D06-8CE9-C561108829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8"/>
        <c:overlap val="-25"/>
        <c:axId val="1090038784"/>
        <c:axId val="1090037696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Mejores Argentina 2016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  <a:effectLst/>
          </c:spPr>
          <c:marker>
            <c:symbol val="circle"/>
            <c:size val="18"/>
            <c:spPr>
              <a:solidFill>
                <a:schemeClr val="bg1">
                  <a:lumMod val="95000"/>
                </a:schemeClr>
              </a:solidFill>
              <a:ln w="63500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rgbClr val="C00000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DetalleDimension!$L$12:$L$14</c:f>
              <c:strCache>
                <c:ptCount val="3"/>
                <c:pt idx="0">
                  <c:v>Equidad</c:v>
                </c:pt>
                <c:pt idx="1">
                  <c:v>Ausencia de Favoritismo</c:v>
                </c:pt>
                <c:pt idx="2">
                  <c:v>Justicia</c:v>
                </c:pt>
              </c:strCache>
            </c:strRef>
          </c:cat>
          <c:val>
            <c:numRef>
              <c:f>DetalleDimension!$O$12:$O$14</c:f>
              <c:numCache>
                <c:formatCode>0</c:formatCode>
                <c:ptCount val="3"/>
                <c:pt idx="0">
                  <c:v>63</c:v>
                </c:pt>
                <c:pt idx="1">
                  <c:v>64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54-4D06-8CE9-C56110882936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Mercado 2016</c:v>
                </c:pt>
              </c:strCache>
            </c:strRef>
          </c:tx>
          <c:spPr>
            <a:ln w="38100">
              <a:solidFill>
                <a:srgbClr val="292B30"/>
              </a:solidFill>
              <a:prstDash val="sysDash"/>
            </a:ln>
          </c:spPr>
          <c:marker>
            <c:symbol val="circle"/>
            <c:size val="18"/>
            <c:spPr>
              <a:solidFill>
                <a:schemeClr val="bg1"/>
              </a:solidFill>
              <a:ln w="63500">
                <a:solidFill>
                  <a:srgbClr val="292B3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DetalleDimension!$L$12:$L$14</c:f>
              <c:strCache>
                <c:ptCount val="3"/>
                <c:pt idx="0">
                  <c:v>Equidad</c:v>
                </c:pt>
                <c:pt idx="1">
                  <c:v>Ausencia de Favoritismo</c:v>
                </c:pt>
                <c:pt idx="2">
                  <c:v>Justicia</c:v>
                </c:pt>
              </c:strCache>
            </c:strRef>
          </c:cat>
          <c:val>
            <c:numRef>
              <c:f>DetalleDimension!$P$12:$P$14</c:f>
              <c:numCache>
                <c:formatCode>0</c:formatCode>
                <c:ptCount val="3"/>
                <c:pt idx="0">
                  <c:v>49</c:v>
                </c:pt>
                <c:pt idx="1">
                  <c:v>42</c:v>
                </c:pt>
                <c:pt idx="2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54-4D06-8CE9-C56110882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038784"/>
        <c:axId val="1090037696"/>
      </c:lineChart>
      <c:catAx>
        <c:axId val="10900387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 anchor="t" anchorCtr="0"/>
          <a:lstStyle/>
          <a:p>
            <a:pPr>
              <a:defRPr sz="1900" b="0">
                <a:solidFill>
                  <a:srgbClr val="40404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s-ES"/>
          </a:p>
        </c:txPr>
        <c:crossAx val="1090037696"/>
        <c:crosses val="autoZero"/>
        <c:auto val="1"/>
        <c:lblAlgn val="ctr"/>
        <c:lblOffset val="0"/>
        <c:noMultiLvlLbl val="0"/>
      </c:catAx>
      <c:valAx>
        <c:axId val="1090037696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1090038784"/>
        <c:crosses val="autoZero"/>
        <c:crossBetween val="between"/>
      </c:valAx>
      <c:spPr>
        <a:noFill/>
        <a:ln>
          <a:noFill/>
          <a:prstDash val="dashDot"/>
        </a:ln>
      </c:spPr>
    </c:plotArea>
    <c:legend>
      <c:legendPos val="b"/>
      <c:layout>
        <c:manualLayout>
          <c:xMode val="edge"/>
          <c:yMode val="edge"/>
          <c:x val="0"/>
          <c:y val="0.92475042793563844"/>
          <c:w val="0.50393681206390772"/>
          <c:h val="7.2913368477392451E-2"/>
        </c:manualLayout>
      </c:layout>
      <c:overlay val="0"/>
      <c:txPr>
        <a:bodyPr/>
        <a:lstStyle/>
        <a:p>
          <a:pPr>
            <a:defRPr sz="1200" b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4.6257611372875582E-2"/>
          <c:y val="0"/>
          <c:w val="0.85551360803811605"/>
          <c:h val="0.754494022513743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868686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DetalleDimension!$L$11</c:f>
              <c:strCache>
                <c:ptCount val="1"/>
                <c:pt idx="0">
                  <c:v>Imparcialidad</c:v>
                </c:pt>
              </c:strCache>
            </c:strRef>
          </c:cat>
          <c:val>
            <c:numRef>
              <c:f>DetalleDimension!$M$11</c:f>
              <c:numCache>
                <c:formatCode>0</c:formatCode>
                <c:ptCount val="1"/>
                <c:pt idx="0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B1-4145-9154-144069B3C3A9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rgbClr val="006086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>
                  <a:defRPr lang="es-ES" sz="22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DetalleDimension!$L$11</c:f>
              <c:strCache>
                <c:ptCount val="1"/>
                <c:pt idx="0">
                  <c:v>Imparcialidad</c:v>
                </c:pt>
              </c:strCache>
            </c:strRef>
          </c:cat>
          <c:val>
            <c:numRef>
              <c:f>DetalleDimension!$N$11</c:f>
              <c:numCache>
                <c:formatCode>0</c:formatCode>
                <c:ptCount val="1"/>
                <c:pt idx="0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B1-4145-9154-144069B3C3A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"/>
        <c:overlap val="-21"/>
        <c:axId val="1090045856"/>
        <c:axId val="1090042048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Mejores Argentina 2016</c:v>
                </c:pt>
              </c:strCache>
            </c:strRef>
          </c:tx>
          <c:spPr>
            <a:ln w="19050">
              <a:noFill/>
            </a:ln>
            <a:effectLst/>
          </c:spPr>
          <c:marker>
            <c:symbol val="circle"/>
            <c:size val="20"/>
            <c:spPr>
              <a:solidFill>
                <a:schemeClr val="bg1">
                  <a:lumMod val="95000"/>
                </a:schemeClr>
              </a:solidFill>
              <a:ln w="63500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anchor="t" anchorCtr="1"/>
              <a:lstStyle/>
              <a:p>
                <a:pPr>
                  <a:defRPr sz="2200" b="1">
                    <a:solidFill>
                      <a:srgbClr val="C00000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DetalleDimension!$L$11</c:f>
              <c:strCache>
                <c:ptCount val="1"/>
                <c:pt idx="0">
                  <c:v>Imparcialidad</c:v>
                </c:pt>
              </c:strCache>
            </c:strRef>
          </c:cat>
          <c:val>
            <c:numRef>
              <c:f>DetalleDimension!$O$11</c:f>
              <c:numCache>
                <c:formatCode>0</c:formatCode>
                <c:ptCount val="1"/>
                <c:pt idx="0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B1-4145-9154-144069B3C3A9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Mercado 2016</c:v>
                </c:pt>
              </c:strCache>
            </c:strRef>
          </c:tx>
          <c:spPr>
            <a:ln w="38100">
              <a:solidFill>
                <a:srgbClr val="292B30"/>
              </a:solidFill>
              <a:prstDash val="sysDash"/>
            </a:ln>
          </c:spPr>
          <c:marker>
            <c:symbol val="circle"/>
            <c:size val="20"/>
            <c:spPr>
              <a:solidFill>
                <a:sysClr val="window" lastClr="FFFFFF"/>
              </a:solidFill>
              <a:ln w="63500">
                <a:solidFill>
                  <a:srgbClr val="292B3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DetalleDimension!$L$11</c:f>
              <c:strCache>
                <c:ptCount val="1"/>
                <c:pt idx="0">
                  <c:v>Imparcialidad</c:v>
                </c:pt>
              </c:strCache>
            </c:strRef>
          </c:cat>
          <c:val>
            <c:numRef>
              <c:f>DetalleDimension!$P$11</c:f>
              <c:numCache>
                <c:formatCode>0</c:formatCode>
                <c:ptCount val="1"/>
                <c:pt idx="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B1-4145-9154-144069B3C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045856"/>
        <c:axId val="1090042048"/>
      </c:lineChart>
      <c:catAx>
        <c:axId val="10900458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>
            <a:noFill/>
          </a:ln>
        </c:spPr>
        <c:txPr>
          <a:bodyPr anchor="t" anchorCtr="0"/>
          <a:lstStyle/>
          <a:p>
            <a:pPr>
              <a:defRPr sz="2800" b="1" i="0" baseline="0">
                <a:solidFill>
                  <a:srgbClr val="005172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s-ES"/>
          </a:p>
        </c:txPr>
        <c:crossAx val="1090042048"/>
        <c:crosses val="autoZero"/>
        <c:auto val="1"/>
        <c:lblAlgn val="ctr"/>
        <c:lblOffset val="0"/>
        <c:noMultiLvlLbl val="0"/>
      </c:catAx>
      <c:valAx>
        <c:axId val="1090042048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1090045856"/>
        <c:crosses val="autoZero"/>
        <c:crossBetween val="between"/>
      </c:valAx>
      <c:spPr>
        <a:noFill/>
        <a:ln>
          <a:noFill/>
          <a:prstDash val="dashDot"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7161826924352198"/>
          <c:y val="6.9565217391304349E-2"/>
          <c:w val="0.57902757230374868"/>
          <c:h val="0.612379778614629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868686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DetalleDimension!$L$16:$L$18</c:f>
              <c:strCache>
                <c:ptCount val="3"/>
                <c:pt idx="0">
                  <c:v>Trabajo Personal</c:v>
                </c:pt>
                <c:pt idx="1">
                  <c:v>Equipo</c:v>
                </c:pt>
                <c:pt idx="2">
                  <c:v>Empresa</c:v>
                </c:pt>
              </c:strCache>
            </c:strRef>
          </c:cat>
          <c:val>
            <c:numRef>
              <c:f>DetalleDimension!$M$16:$M$18</c:f>
              <c:numCache>
                <c:formatCode>0</c:formatCode>
                <c:ptCount val="3"/>
                <c:pt idx="0">
                  <c:v>68</c:v>
                </c:pt>
                <c:pt idx="1">
                  <c:v>76</c:v>
                </c:pt>
                <c:pt idx="2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8D-4797-8511-6CAAD8A090A0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rgbClr val="658D1B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DetalleDimension!$L$16:$L$18</c:f>
              <c:strCache>
                <c:ptCount val="3"/>
                <c:pt idx="0">
                  <c:v>Trabajo Personal</c:v>
                </c:pt>
                <c:pt idx="1">
                  <c:v>Equipo</c:v>
                </c:pt>
                <c:pt idx="2">
                  <c:v>Empresa</c:v>
                </c:pt>
              </c:strCache>
            </c:strRef>
          </c:cat>
          <c:val>
            <c:numRef>
              <c:f>DetalleDimension!$N$16:$N$18</c:f>
              <c:numCache>
                <c:formatCode>0</c:formatCode>
                <c:ptCount val="3"/>
                <c:pt idx="0">
                  <c:v>73</c:v>
                </c:pt>
                <c:pt idx="1">
                  <c:v>82</c:v>
                </c:pt>
                <c:pt idx="2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8D-4797-8511-6CAAD8A090A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8"/>
        <c:overlap val="-25"/>
        <c:axId val="1090046400"/>
        <c:axId val="1090040960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Mejores Argentina 2016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  <a:effectLst/>
          </c:spPr>
          <c:marker>
            <c:symbol val="circle"/>
            <c:size val="18"/>
            <c:spPr>
              <a:solidFill>
                <a:schemeClr val="bg1">
                  <a:lumMod val="95000"/>
                </a:schemeClr>
              </a:solidFill>
              <a:ln w="63500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rgbClr val="C00000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DetalleDimension!$L$16:$L$18</c:f>
              <c:strCache>
                <c:ptCount val="3"/>
                <c:pt idx="0">
                  <c:v>Trabajo Personal</c:v>
                </c:pt>
                <c:pt idx="1">
                  <c:v>Equipo</c:v>
                </c:pt>
                <c:pt idx="2">
                  <c:v>Empresa</c:v>
                </c:pt>
              </c:strCache>
            </c:strRef>
          </c:cat>
          <c:val>
            <c:numRef>
              <c:f>DetalleDimension!$O$16:$O$18</c:f>
              <c:numCache>
                <c:formatCode>0</c:formatCode>
                <c:ptCount val="3"/>
                <c:pt idx="0">
                  <c:v>76</c:v>
                </c:pt>
                <c:pt idx="1">
                  <c:v>80</c:v>
                </c:pt>
                <c:pt idx="2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8D-4797-8511-6CAAD8A090A0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Mercado 2016</c:v>
                </c:pt>
              </c:strCache>
            </c:strRef>
          </c:tx>
          <c:spPr>
            <a:ln w="38100">
              <a:solidFill>
                <a:srgbClr val="292B30"/>
              </a:solidFill>
              <a:prstDash val="sysDash"/>
            </a:ln>
          </c:spPr>
          <c:marker>
            <c:symbol val="circle"/>
            <c:size val="18"/>
            <c:spPr>
              <a:solidFill>
                <a:schemeClr val="bg1"/>
              </a:solidFill>
              <a:ln w="63500">
                <a:solidFill>
                  <a:srgbClr val="292B3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DetalleDimension!$L$16:$L$18</c:f>
              <c:strCache>
                <c:ptCount val="3"/>
                <c:pt idx="0">
                  <c:v>Trabajo Personal</c:v>
                </c:pt>
                <c:pt idx="1">
                  <c:v>Equipo</c:v>
                </c:pt>
                <c:pt idx="2">
                  <c:v>Empresa</c:v>
                </c:pt>
              </c:strCache>
            </c:strRef>
          </c:cat>
          <c:val>
            <c:numRef>
              <c:f>DetalleDimension!$P$16:$P$18</c:f>
              <c:numCache>
                <c:formatCode>0</c:formatCode>
                <c:ptCount val="3"/>
                <c:pt idx="0">
                  <c:v>63</c:v>
                </c:pt>
                <c:pt idx="1">
                  <c:v>65</c:v>
                </c:pt>
                <c:pt idx="2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8D-4797-8511-6CAAD8A090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046400"/>
        <c:axId val="1090040960"/>
      </c:lineChart>
      <c:catAx>
        <c:axId val="1090046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 anchor="t" anchorCtr="0"/>
          <a:lstStyle/>
          <a:p>
            <a:pPr>
              <a:defRPr sz="1900" b="0">
                <a:solidFill>
                  <a:srgbClr val="40404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s-ES"/>
          </a:p>
        </c:txPr>
        <c:crossAx val="1090040960"/>
        <c:crosses val="autoZero"/>
        <c:auto val="1"/>
        <c:lblAlgn val="ctr"/>
        <c:lblOffset val="0"/>
        <c:noMultiLvlLbl val="0"/>
      </c:catAx>
      <c:valAx>
        <c:axId val="1090040960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1090046400"/>
        <c:crosses val="autoZero"/>
        <c:crossBetween val="between"/>
      </c:valAx>
      <c:spPr>
        <a:noFill/>
        <a:ln>
          <a:noFill/>
          <a:prstDash val="dashDot"/>
        </a:ln>
      </c:spPr>
    </c:plotArea>
    <c:legend>
      <c:legendPos val="b"/>
      <c:layout>
        <c:manualLayout>
          <c:xMode val="edge"/>
          <c:yMode val="edge"/>
          <c:x val="0"/>
          <c:y val="0.92475042793563844"/>
          <c:w val="0.50393681206390772"/>
          <c:h val="7.2913368477392451E-2"/>
        </c:manualLayout>
      </c:layout>
      <c:overlay val="0"/>
      <c:txPr>
        <a:bodyPr/>
        <a:lstStyle/>
        <a:p>
          <a:pPr>
            <a:defRPr sz="1200" b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4.6257611372875582E-2"/>
          <c:y val="0"/>
          <c:w val="0.85551360803811605"/>
          <c:h val="0.754494022513743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868686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DetalleDimension!$L$15</c:f>
              <c:strCache>
                <c:ptCount val="1"/>
                <c:pt idx="0">
                  <c:v>Orgullo</c:v>
                </c:pt>
              </c:strCache>
            </c:strRef>
          </c:cat>
          <c:val>
            <c:numRef>
              <c:f>DetalleDimension!$M$15</c:f>
              <c:numCache>
                <c:formatCode>0</c:formatCode>
                <c:ptCount val="1"/>
                <c:pt idx="0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89-409B-9FC7-79A9D29C2ACF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rgbClr val="658D1B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>
                  <a:defRPr lang="es-ES" sz="22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DetalleDimension!$L$15</c:f>
              <c:strCache>
                <c:ptCount val="1"/>
                <c:pt idx="0">
                  <c:v>Orgullo</c:v>
                </c:pt>
              </c:strCache>
            </c:strRef>
          </c:cat>
          <c:val>
            <c:numRef>
              <c:f>DetalleDimension!$N$15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89-409B-9FC7-79A9D29C2AC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"/>
        <c:overlap val="-21"/>
        <c:axId val="1090044224"/>
        <c:axId val="1090046944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Mejores Argentina 2016</c:v>
                </c:pt>
              </c:strCache>
            </c:strRef>
          </c:tx>
          <c:spPr>
            <a:ln w="19050">
              <a:noFill/>
            </a:ln>
            <a:effectLst/>
          </c:spPr>
          <c:marker>
            <c:symbol val="circle"/>
            <c:size val="20"/>
            <c:spPr>
              <a:solidFill>
                <a:schemeClr val="bg1">
                  <a:lumMod val="95000"/>
                </a:schemeClr>
              </a:solidFill>
              <a:ln w="63500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anchor="t" anchorCtr="1"/>
              <a:lstStyle/>
              <a:p>
                <a:pPr>
                  <a:defRPr sz="2200" b="1">
                    <a:solidFill>
                      <a:srgbClr val="C00000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DetalleDimension!$L$15</c:f>
              <c:strCache>
                <c:ptCount val="1"/>
                <c:pt idx="0">
                  <c:v>Orgullo</c:v>
                </c:pt>
              </c:strCache>
            </c:strRef>
          </c:cat>
          <c:val>
            <c:numRef>
              <c:f>DetalleDimension!$O$15</c:f>
              <c:numCache>
                <c:formatCode>0</c:formatCode>
                <c:ptCount val="1"/>
                <c:pt idx="0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89-409B-9FC7-79A9D29C2ACF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Mercado 2016</c:v>
                </c:pt>
              </c:strCache>
            </c:strRef>
          </c:tx>
          <c:spPr>
            <a:ln w="38100">
              <a:solidFill>
                <a:srgbClr val="292B30"/>
              </a:solidFill>
              <a:prstDash val="sysDash"/>
            </a:ln>
          </c:spPr>
          <c:marker>
            <c:symbol val="circle"/>
            <c:size val="20"/>
            <c:spPr>
              <a:solidFill>
                <a:sysClr val="window" lastClr="FFFFFF"/>
              </a:solidFill>
              <a:ln w="63500">
                <a:solidFill>
                  <a:srgbClr val="292B3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DetalleDimension!$L$15</c:f>
              <c:strCache>
                <c:ptCount val="1"/>
                <c:pt idx="0">
                  <c:v>Orgullo</c:v>
                </c:pt>
              </c:strCache>
            </c:strRef>
          </c:cat>
          <c:val>
            <c:numRef>
              <c:f>DetalleDimension!$P$15</c:f>
              <c:numCache>
                <c:formatCode>0</c:formatCode>
                <c:ptCount val="1"/>
                <c:pt idx="0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89-409B-9FC7-79A9D29C2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044224"/>
        <c:axId val="1090046944"/>
      </c:lineChart>
      <c:catAx>
        <c:axId val="10900442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>
            <a:noFill/>
          </a:ln>
        </c:spPr>
        <c:txPr>
          <a:bodyPr anchor="t" anchorCtr="0"/>
          <a:lstStyle/>
          <a:p>
            <a:pPr>
              <a:defRPr sz="2800" b="1" i="0" baseline="0">
                <a:solidFill>
                  <a:srgbClr val="658D1B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s-ES"/>
          </a:p>
        </c:txPr>
        <c:crossAx val="1090046944"/>
        <c:crosses val="autoZero"/>
        <c:auto val="1"/>
        <c:lblAlgn val="ctr"/>
        <c:lblOffset val="0"/>
        <c:noMultiLvlLbl val="0"/>
      </c:catAx>
      <c:valAx>
        <c:axId val="1090046944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1090044224"/>
        <c:crosses val="autoZero"/>
        <c:crossBetween val="between"/>
      </c:valAx>
      <c:spPr>
        <a:noFill/>
        <a:ln>
          <a:noFill/>
          <a:prstDash val="dashDot"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7161826924352198"/>
          <c:y val="6.9565217391304349E-2"/>
          <c:w val="0.57902757230374868"/>
          <c:h val="0.612379778614629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868686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DetalleDimension!$L$20:$L$22</c:f>
              <c:strCache>
                <c:ptCount val="3"/>
                <c:pt idx="0">
                  <c:v>Relaciones Interpersonales</c:v>
                </c:pt>
                <c:pt idx="1">
                  <c:v>Hospitalidad</c:v>
                </c:pt>
                <c:pt idx="2">
                  <c:v>Sentido de Pertenencia</c:v>
                </c:pt>
              </c:strCache>
            </c:strRef>
          </c:cat>
          <c:val>
            <c:numRef>
              <c:f>DetalleDimension!$M$20:$M$22</c:f>
              <c:numCache>
                <c:formatCode>0</c:formatCode>
                <c:ptCount val="3"/>
                <c:pt idx="0">
                  <c:v>83</c:v>
                </c:pt>
                <c:pt idx="1">
                  <c:v>85</c:v>
                </c:pt>
                <c:pt idx="2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BB-4D0F-9205-93A15185E626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rgbClr val="61214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DetalleDimension!$L$20:$L$22</c:f>
              <c:strCache>
                <c:ptCount val="3"/>
                <c:pt idx="0">
                  <c:v>Relaciones Interpersonales</c:v>
                </c:pt>
                <c:pt idx="1">
                  <c:v>Hospitalidad</c:v>
                </c:pt>
                <c:pt idx="2">
                  <c:v>Sentido de Pertenencia</c:v>
                </c:pt>
              </c:strCache>
            </c:strRef>
          </c:cat>
          <c:val>
            <c:numRef>
              <c:f>DetalleDimension!$N$20:$N$22</c:f>
              <c:numCache>
                <c:formatCode>0</c:formatCode>
                <c:ptCount val="3"/>
                <c:pt idx="0">
                  <c:v>88</c:v>
                </c:pt>
                <c:pt idx="1">
                  <c:v>90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BB-4D0F-9205-93A15185E62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8"/>
        <c:overlap val="-25"/>
        <c:axId val="1090049120"/>
        <c:axId val="1090049664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Mejores Argentina 2016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  <a:effectLst/>
          </c:spPr>
          <c:marker>
            <c:symbol val="circle"/>
            <c:size val="18"/>
            <c:spPr>
              <a:solidFill>
                <a:schemeClr val="bg1">
                  <a:lumMod val="95000"/>
                </a:schemeClr>
              </a:solidFill>
              <a:ln w="63500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rgbClr val="C00000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DetalleDimension!$L$20:$L$22</c:f>
              <c:strCache>
                <c:ptCount val="3"/>
                <c:pt idx="0">
                  <c:v>Relaciones Interpersonales</c:v>
                </c:pt>
                <c:pt idx="1">
                  <c:v>Hospitalidad</c:v>
                </c:pt>
                <c:pt idx="2">
                  <c:v>Sentido de Pertenencia</c:v>
                </c:pt>
              </c:strCache>
            </c:strRef>
          </c:cat>
          <c:val>
            <c:numRef>
              <c:f>DetalleDimension!$O$20:$O$22</c:f>
              <c:numCache>
                <c:formatCode>0</c:formatCode>
                <c:ptCount val="3"/>
                <c:pt idx="0">
                  <c:v>85</c:v>
                </c:pt>
                <c:pt idx="1">
                  <c:v>87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BB-4D0F-9205-93A15185E626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Mercado 2016</c:v>
                </c:pt>
              </c:strCache>
            </c:strRef>
          </c:tx>
          <c:spPr>
            <a:ln w="38100">
              <a:solidFill>
                <a:srgbClr val="292B30"/>
              </a:solidFill>
              <a:prstDash val="sysDash"/>
            </a:ln>
          </c:spPr>
          <c:marker>
            <c:symbol val="circle"/>
            <c:size val="18"/>
            <c:spPr>
              <a:solidFill>
                <a:schemeClr val="bg1"/>
              </a:solidFill>
              <a:ln w="63500">
                <a:solidFill>
                  <a:srgbClr val="292B3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DetalleDimension!$L$20:$L$22</c:f>
              <c:strCache>
                <c:ptCount val="3"/>
                <c:pt idx="0">
                  <c:v>Relaciones Interpersonales</c:v>
                </c:pt>
                <c:pt idx="1">
                  <c:v>Hospitalidad</c:v>
                </c:pt>
                <c:pt idx="2">
                  <c:v>Sentido de Pertenencia</c:v>
                </c:pt>
              </c:strCache>
            </c:strRef>
          </c:cat>
          <c:val>
            <c:numRef>
              <c:f>DetalleDimension!$P$20:$P$22</c:f>
              <c:numCache>
                <c:formatCode>0</c:formatCode>
                <c:ptCount val="3"/>
                <c:pt idx="0">
                  <c:v>67</c:v>
                </c:pt>
                <c:pt idx="1">
                  <c:v>71</c:v>
                </c:pt>
                <c:pt idx="2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BB-4D0F-9205-93A15185E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049120"/>
        <c:axId val="1090049664"/>
      </c:lineChart>
      <c:catAx>
        <c:axId val="1090049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 anchor="t" anchorCtr="0"/>
          <a:lstStyle/>
          <a:p>
            <a:pPr>
              <a:defRPr sz="1900" b="0">
                <a:solidFill>
                  <a:srgbClr val="40404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s-ES"/>
          </a:p>
        </c:txPr>
        <c:crossAx val="1090049664"/>
        <c:crosses val="autoZero"/>
        <c:auto val="1"/>
        <c:lblAlgn val="ctr"/>
        <c:lblOffset val="0"/>
        <c:noMultiLvlLbl val="0"/>
      </c:catAx>
      <c:valAx>
        <c:axId val="1090049664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1090049120"/>
        <c:crosses val="autoZero"/>
        <c:crossBetween val="between"/>
      </c:valAx>
      <c:spPr>
        <a:noFill/>
        <a:ln>
          <a:noFill/>
          <a:prstDash val="dashDot"/>
        </a:ln>
      </c:spPr>
    </c:plotArea>
    <c:legend>
      <c:legendPos val="b"/>
      <c:layout>
        <c:manualLayout>
          <c:xMode val="edge"/>
          <c:yMode val="edge"/>
          <c:x val="0"/>
          <c:y val="0.92475042793563844"/>
          <c:w val="0.50393681206390772"/>
          <c:h val="7.2913368477392451E-2"/>
        </c:manualLayout>
      </c:layout>
      <c:overlay val="0"/>
      <c:txPr>
        <a:bodyPr/>
        <a:lstStyle/>
        <a:p>
          <a:pPr>
            <a:defRPr sz="1200" b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4.6257611372875582E-2"/>
          <c:y val="0"/>
          <c:w val="0.85551360803811605"/>
          <c:h val="0.754494022513743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868686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2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DetalleDimension!$L$19</c:f>
              <c:strCache>
                <c:ptCount val="1"/>
                <c:pt idx="0">
                  <c:v>Camaradería</c:v>
                </c:pt>
              </c:strCache>
            </c:strRef>
          </c:cat>
          <c:val>
            <c:numRef>
              <c:f>DetalleDimension!$M$19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C0-4AB2-BB18-044CEFD3A047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rgbClr val="61214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>
                  <a:defRPr lang="es-ES" sz="22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DetalleDimension!$L$19</c:f>
              <c:strCache>
                <c:ptCount val="1"/>
                <c:pt idx="0">
                  <c:v>Camaradería</c:v>
                </c:pt>
              </c:strCache>
            </c:strRef>
          </c:cat>
          <c:val>
            <c:numRef>
              <c:f>DetalleDimension!$N$19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C0-4AB2-BB18-044CEFD3A0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"/>
        <c:overlap val="-21"/>
        <c:axId val="1090041504"/>
        <c:axId val="1090036608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Mejores Argentina 2016</c:v>
                </c:pt>
              </c:strCache>
            </c:strRef>
          </c:tx>
          <c:spPr>
            <a:ln w="19050">
              <a:noFill/>
            </a:ln>
            <a:effectLst/>
          </c:spPr>
          <c:marker>
            <c:symbol val="circle"/>
            <c:size val="20"/>
            <c:spPr>
              <a:solidFill>
                <a:schemeClr val="bg1">
                  <a:lumMod val="95000"/>
                </a:schemeClr>
              </a:solidFill>
              <a:ln w="63500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anchor="t" anchorCtr="1"/>
              <a:lstStyle/>
              <a:p>
                <a:pPr>
                  <a:defRPr sz="2200" b="1">
                    <a:solidFill>
                      <a:srgbClr val="C00000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DetalleDimension!$L$19</c:f>
              <c:strCache>
                <c:ptCount val="1"/>
                <c:pt idx="0">
                  <c:v>Camaradería</c:v>
                </c:pt>
              </c:strCache>
            </c:strRef>
          </c:cat>
          <c:val>
            <c:numRef>
              <c:f>DetalleDimension!$O$19</c:f>
              <c:numCache>
                <c:formatCode>0</c:formatCode>
                <c:ptCount val="1"/>
                <c:pt idx="0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C0-4AB2-BB18-044CEFD3A047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Mercado 2016</c:v>
                </c:pt>
              </c:strCache>
            </c:strRef>
          </c:tx>
          <c:spPr>
            <a:ln w="38100">
              <a:solidFill>
                <a:srgbClr val="292B30"/>
              </a:solidFill>
              <a:prstDash val="sysDash"/>
            </a:ln>
          </c:spPr>
          <c:marker>
            <c:symbol val="circle"/>
            <c:size val="20"/>
            <c:spPr>
              <a:solidFill>
                <a:sysClr val="window" lastClr="FFFFFF"/>
              </a:solidFill>
              <a:ln w="63500">
                <a:solidFill>
                  <a:srgbClr val="292B3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DetalleDimension!$L$19</c:f>
              <c:strCache>
                <c:ptCount val="1"/>
                <c:pt idx="0">
                  <c:v>Camaradería</c:v>
                </c:pt>
              </c:strCache>
            </c:strRef>
          </c:cat>
          <c:val>
            <c:numRef>
              <c:f>DetalleDimension!$P$19</c:f>
              <c:numCache>
                <c:formatCode>0</c:formatCode>
                <c:ptCount val="1"/>
                <c:pt idx="0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C0-4AB2-BB18-044CEFD3A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041504"/>
        <c:axId val="1090036608"/>
      </c:lineChart>
      <c:catAx>
        <c:axId val="1090041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>
            <a:noFill/>
          </a:ln>
        </c:spPr>
        <c:txPr>
          <a:bodyPr anchor="t" anchorCtr="0"/>
          <a:lstStyle/>
          <a:p>
            <a:pPr>
              <a:defRPr sz="2800" b="1" i="0" baseline="0">
                <a:solidFill>
                  <a:srgbClr val="612141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s-ES"/>
          </a:p>
        </c:txPr>
        <c:crossAx val="1090036608"/>
        <c:crosses val="autoZero"/>
        <c:auto val="1"/>
        <c:lblAlgn val="ctr"/>
        <c:lblOffset val="0"/>
        <c:noMultiLvlLbl val="0"/>
      </c:catAx>
      <c:valAx>
        <c:axId val="1090036608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1090041504"/>
        <c:crosses val="autoZero"/>
        <c:crossBetween val="between"/>
      </c:valAx>
      <c:spPr>
        <a:noFill/>
        <a:ln>
          <a:noFill/>
          <a:prstDash val="dashDot"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33566347688288E-2"/>
          <c:y val="0"/>
          <c:w val="0.92724660016380644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Sintesis!$F$2</c:f>
              <c:strCache>
                <c:ptCount val="1"/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0">
                    <a:srgbClr val="F0AB00"/>
                  </a:gs>
                  <a:gs pos="100000">
                    <a:srgbClr val="F0AB00"/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1-0013-48DF-9AE8-A7B1A5A29CE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0">
                    <a:srgbClr val="F0AB00"/>
                  </a:gs>
                  <a:gs pos="100000">
                    <a:srgbClr val="F0AB00"/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3-0013-48DF-9AE8-A7B1A5A29CE2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0">
                    <a:srgbClr val="F0AB00"/>
                  </a:gs>
                  <a:gs pos="100000">
                    <a:srgbClr val="F0AB00"/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5-0013-48DF-9AE8-A7B1A5A29CE2}"/>
              </c:ext>
            </c:extLst>
          </c:dPt>
          <c:dPt>
            <c:idx val="3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0013-48DF-9AE8-A7B1A5A29CE2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833">
                    <a:srgbClr val="AA272F"/>
                  </a:gs>
                  <a:gs pos="0">
                    <a:srgbClr val="D9562F">
                      <a:lumMod val="100000"/>
                    </a:srgbClr>
                  </a:gs>
                  <a:gs pos="100000">
                    <a:srgbClr val="AA272F"/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9-0013-48DF-9AE8-A7B1A5A29CE2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833">
                    <a:srgbClr val="AA272F"/>
                  </a:gs>
                  <a:gs pos="0">
                    <a:srgbClr val="D9562F">
                      <a:lumMod val="100000"/>
                    </a:srgbClr>
                  </a:gs>
                  <a:gs pos="100000">
                    <a:srgbClr val="AA272F"/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B-0013-48DF-9AE8-A7B1A5A29CE2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rgbClr val="AA272F"/>
                  </a:gs>
                  <a:gs pos="0">
                    <a:srgbClr val="D9562F">
                      <a:lumMod val="100000"/>
                    </a:srgbClr>
                  </a:gs>
                  <a:gs pos="0">
                    <a:srgbClr val="AA272F"/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D-0013-48DF-9AE8-A7B1A5A29CE2}"/>
              </c:ext>
            </c:extLst>
          </c:dPt>
          <c:dPt>
            <c:idx val="7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F-0013-48DF-9AE8-A7B1A5A29CE2}"/>
              </c:ext>
            </c:extLst>
          </c:dPt>
          <c:dPt>
            <c:idx val="8"/>
            <c:invertIfNegative val="0"/>
            <c:bubble3D val="0"/>
            <c:spPr>
              <a:solidFill>
                <a:srgbClr val="005172"/>
              </a:solidFill>
            </c:spPr>
            <c:extLst>
              <c:ext xmlns:c16="http://schemas.microsoft.com/office/drawing/2014/chart" uri="{C3380CC4-5D6E-409C-BE32-E72D297353CC}">
                <c16:uniqueId val="{00000011-0013-48DF-9AE8-A7B1A5A29CE2}"/>
              </c:ext>
            </c:extLst>
          </c:dPt>
          <c:dPt>
            <c:idx val="9"/>
            <c:invertIfNegative val="0"/>
            <c:bubble3D val="0"/>
            <c:spPr>
              <a:solidFill>
                <a:srgbClr val="005172"/>
              </a:solidFill>
            </c:spPr>
            <c:extLst>
              <c:ext xmlns:c16="http://schemas.microsoft.com/office/drawing/2014/chart" uri="{C3380CC4-5D6E-409C-BE32-E72D297353CC}">
                <c16:uniqueId val="{00000013-0013-48DF-9AE8-A7B1A5A29CE2}"/>
              </c:ext>
            </c:extLst>
          </c:dPt>
          <c:dPt>
            <c:idx val="10"/>
            <c:invertIfNegative val="0"/>
            <c:bubble3D val="0"/>
            <c:spPr>
              <a:solidFill>
                <a:srgbClr val="005172"/>
              </a:solidFill>
            </c:spPr>
            <c:extLst>
              <c:ext xmlns:c16="http://schemas.microsoft.com/office/drawing/2014/chart" uri="{C3380CC4-5D6E-409C-BE32-E72D297353CC}">
                <c16:uniqueId val="{00000015-0013-48DF-9AE8-A7B1A5A29CE2}"/>
              </c:ext>
            </c:extLst>
          </c:dPt>
          <c:dPt>
            <c:idx val="11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7-0013-48DF-9AE8-A7B1A5A29CE2}"/>
              </c:ext>
            </c:extLst>
          </c:dPt>
          <c:dPt>
            <c:idx val="12"/>
            <c:invertIfNegative val="0"/>
            <c:bubble3D val="0"/>
            <c:spPr>
              <a:solidFill>
                <a:srgbClr val="73A11F"/>
              </a:solidFill>
            </c:spPr>
            <c:extLst>
              <c:ext xmlns:c16="http://schemas.microsoft.com/office/drawing/2014/chart" uri="{C3380CC4-5D6E-409C-BE32-E72D297353CC}">
                <c16:uniqueId val="{00000019-0013-48DF-9AE8-A7B1A5A29CE2}"/>
              </c:ext>
            </c:extLst>
          </c:dPt>
          <c:dPt>
            <c:idx val="13"/>
            <c:invertIfNegative val="0"/>
            <c:bubble3D val="0"/>
            <c:spPr>
              <a:solidFill>
                <a:srgbClr val="73A11F"/>
              </a:solidFill>
            </c:spPr>
            <c:extLst>
              <c:ext xmlns:c16="http://schemas.microsoft.com/office/drawing/2014/chart" uri="{C3380CC4-5D6E-409C-BE32-E72D297353CC}">
                <c16:uniqueId val="{0000001B-0013-48DF-9AE8-A7B1A5A29CE2}"/>
              </c:ext>
            </c:extLst>
          </c:dPt>
          <c:dPt>
            <c:idx val="14"/>
            <c:invertIfNegative val="0"/>
            <c:bubble3D val="0"/>
            <c:spPr>
              <a:solidFill>
                <a:srgbClr val="73A11F"/>
              </a:solidFill>
            </c:spPr>
            <c:extLst>
              <c:ext xmlns:c16="http://schemas.microsoft.com/office/drawing/2014/chart" uri="{C3380CC4-5D6E-409C-BE32-E72D297353CC}">
                <c16:uniqueId val="{0000001D-0013-48DF-9AE8-A7B1A5A29CE2}"/>
              </c:ext>
            </c:extLst>
          </c:dPt>
          <c:dPt>
            <c:idx val="15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F-0013-48DF-9AE8-A7B1A5A29CE2}"/>
              </c:ext>
            </c:extLst>
          </c:dPt>
          <c:dPt>
            <c:idx val="16"/>
            <c:invertIfNegative val="0"/>
            <c:bubble3D val="0"/>
            <c:spPr>
              <a:solidFill>
                <a:srgbClr val="612141"/>
              </a:solidFill>
            </c:spPr>
            <c:extLst>
              <c:ext xmlns:c16="http://schemas.microsoft.com/office/drawing/2014/chart" uri="{C3380CC4-5D6E-409C-BE32-E72D297353CC}">
                <c16:uniqueId val="{00000021-0013-48DF-9AE8-A7B1A5A29CE2}"/>
              </c:ext>
            </c:extLst>
          </c:dPt>
          <c:dPt>
            <c:idx val="17"/>
            <c:invertIfNegative val="0"/>
            <c:bubble3D val="0"/>
            <c:spPr>
              <a:solidFill>
                <a:srgbClr val="612141"/>
              </a:solidFill>
            </c:spPr>
            <c:extLst>
              <c:ext xmlns:c16="http://schemas.microsoft.com/office/drawing/2014/chart" uri="{C3380CC4-5D6E-409C-BE32-E72D297353CC}">
                <c16:uniqueId val="{00000023-0013-48DF-9AE8-A7B1A5A29CE2}"/>
              </c:ext>
            </c:extLst>
          </c:dPt>
          <c:dPt>
            <c:idx val="18"/>
            <c:invertIfNegative val="0"/>
            <c:bubble3D val="0"/>
            <c:spPr>
              <a:solidFill>
                <a:srgbClr val="612141"/>
              </a:solidFill>
            </c:spPr>
            <c:extLst>
              <c:ext xmlns:c16="http://schemas.microsoft.com/office/drawing/2014/chart" uri="{C3380CC4-5D6E-409C-BE32-E72D297353CC}">
                <c16:uniqueId val="{00000025-0013-48DF-9AE8-A7B1A5A29CE2}"/>
              </c:ext>
            </c:extLst>
          </c:dPt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13-48DF-9AE8-A7B1A5A29CE2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013-48DF-9AE8-A7B1A5A29CE2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013-48DF-9AE8-A7B1A5A29CE2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0013-48DF-9AE8-A7B1A5A29C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0"/>
              <a:lstStyle/>
              <a:p>
                <a:pPr>
                  <a:defRPr sz="1600" b="0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DetalleDimension!$L$4:$L$22</c:f>
              <c:strCache>
                <c:ptCount val="19"/>
                <c:pt idx="0">
                  <c:v>Comunicación</c:v>
                </c:pt>
                <c:pt idx="1">
                  <c:v>Competencia</c:v>
                </c:pt>
                <c:pt idx="2">
                  <c:v>Integridad</c:v>
                </c:pt>
                <c:pt idx="3">
                  <c:v>Respeto</c:v>
                </c:pt>
                <c:pt idx="4">
                  <c:v>Respaldo</c:v>
                </c:pt>
                <c:pt idx="5">
                  <c:v>Participación</c:v>
                </c:pt>
                <c:pt idx="6">
                  <c:v>Cuidado de las Personas</c:v>
                </c:pt>
                <c:pt idx="7">
                  <c:v>Imparcialidad</c:v>
                </c:pt>
                <c:pt idx="8">
                  <c:v>Equidad</c:v>
                </c:pt>
                <c:pt idx="9">
                  <c:v>Ausencia de Favoritismo</c:v>
                </c:pt>
                <c:pt idx="10">
                  <c:v>Justicia</c:v>
                </c:pt>
                <c:pt idx="11">
                  <c:v>Orgullo</c:v>
                </c:pt>
                <c:pt idx="12">
                  <c:v>Trabajo Personal</c:v>
                </c:pt>
                <c:pt idx="13">
                  <c:v>Equipo</c:v>
                </c:pt>
                <c:pt idx="14">
                  <c:v>Empresa</c:v>
                </c:pt>
                <c:pt idx="15">
                  <c:v>Camaradería</c:v>
                </c:pt>
                <c:pt idx="16">
                  <c:v>Relaciones Interpersonales</c:v>
                </c:pt>
                <c:pt idx="17">
                  <c:v>Hospitalidad</c:v>
                </c:pt>
                <c:pt idx="18">
                  <c:v>Sentido de Pertenencia</c:v>
                </c:pt>
              </c:strCache>
            </c:strRef>
          </c:cat>
          <c:val>
            <c:numRef>
              <c:f>DetalleDimension!$N$4:$N$22</c:f>
              <c:numCache>
                <c:formatCode>0</c:formatCode>
                <c:ptCount val="19"/>
                <c:pt idx="0">
                  <c:v>83</c:v>
                </c:pt>
                <c:pt idx="1">
                  <c:v>83</c:v>
                </c:pt>
                <c:pt idx="2">
                  <c:v>82</c:v>
                </c:pt>
                <c:pt idx="3">
                  <c:v>85</c:v>
                </c:pt>
                <c:pt idx="4">
                  <c:v>85</c:v>
                </c:pt>
                <c:pt idx="5">
                  <c:v>81</c:v>
                </c:pt>
                <c:pt idx="6">
                  <c:v>86</c:v>
                </c:pt>
                <c:pt idx="7">
                  <c:v>79</c:v>
                </c:pt>
                <c:pt idx="8">
                  <c:v>67</c:v>
                </c:pt>
                <c:pt idx="9">
                  <c:v>69</c:v>
                </c:pt>
                <c:pt idx="10">
                  <c:v>94</c:v>
                </c:pt>
                <c:pt idx="11">
                  <c:v>82</c:v>
                </c:pt>
                <c:pt idx="12">
                  <c:v>73</c:v>
                </c:pt>
                <c:pt idx="13">
                  <c:v>82</c:v>
                </c:pt>
                <c:pt idx="14">
                  <c:v>86</c:v>
                </c:pt>
                <c:pt idx="15">
                  <c:v>87</c:v>
                </c:pt>
                <c:pt idx="16">
                  <c:v>88</c:v>
                </c:pt>
                <c:pt idx="17">
                  <c:v>90</c:v>
                </c:pt>
                <c:pt idx="18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0013-48DF-9AE8-A7B1A5A29C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892687824"/>
        <c:axId val="892697072"/>
      </c:barChart>
      <c:catAx>
        <c:axId val="892687824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892697072"/>
        <c:crosses val="autoZero"/>
        <c:auto val="1"/>
        <c:lblAlgn val="ctr"/>
        <c:lblOffset val="100"/>
        <c:noMultiLvlLbl val="0"/>
      </c:catAx>
      <c:valAx>
        <c:axId val="892697072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8926878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7308885210722361"/>
          <c:w val="0.99836801305589551"/>
          <c:h val="0.78678611055227377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Tabla!$B$37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Tabla!$C$40</c:f>
                  <c:strCache>
                    <c:ptCount val="1"/>
                    <c:pt idx="0">
                      <c:v>81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{8C197884-ED8C-4617-8B0A-F2F33C314C87}</c15:txfldGUID>
                      <c15:f>Tabla!$C$40</c15:f>
                      <c15:dlblFieldTableCache>
                        <c:ptCount val="1"/>
                        <c:pt idx="0">
                          <c:v>81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507-4DA9-ABF7-65AC8F9B5DB8}"/>
                </c:ext>
              </c:extLst>
            </c:dLbl>
            <c:dLbl>
              <c:idx val="1"/>
              <c:tx>
                <c:strRef>
                  <c:f>Tabla!$D$40</c:f>
                  <c:strCache>
                    <c:ptCount val="1"/>
                    <c:pt idx="0">
                      <c:v>77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{64E79E33-50DD-498C-92BA-3EF6F643DDF6}</c15:txfldGUID>
                      <c15:f>Tabla!$D$40</c15:f>
                      <c15:dlblFieldTableCache>
                        <c:ptCount val="1"/>
                        <c:pt idx="0">
                          <c:v>77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507-4DA9-ABF7-65AC8F9B5DB8}"/>
                </c:ext>
              </c:extLst>
            </c:dLbl>
            <c:dLbl>
              <c:idx val="2"/>
              <c:tx>
                <c:strRef>
                  <c:f>Tabla!$E$40</c:f>
                  <c:strCache>
                    <c:ptCount val="1"/>
                    <c:pt idx="0">
                      <c:v>75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{6D8C3698-CD27-4DC9-87A8-3198ECF4E891}</c15:txfldGUID>
                      <c15:f>Tabla!$E$40</c15:f>
                      <c15:dlblFieldTableCache>
                        <c:ptCount val="1"/>
                        <c:pt idx="0">
                          <c:v>75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7507-4DA9-ABF7-65AC8F9B5DB8}"/>
                </c:ext>
              </c:extLst>
            </c:dLbl>
            <c:dLbl>
              <c:idx val="3"/>
              <c:tx>
                <c:strRef>
                  <c:f>Tabla!$F$40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{229BFA7F-C004-4E1B-B9B4-22B38EF326D4}</c15:txfldGUID>
                      <c15:f>Tabla!$F$40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507-4DA9-ABF7-65AC8F9B5DB8}"/>
                </c:ext>
              </c:extLst>
            </c:dLbl>
            <c:dLbl>
              <c:idx val="4"/>
              <c:tx>
                <c:strRef>
                  <c:f>Tabla!$G$40</c:f>
                  <c:strCache>
                    <c:ptCount val="1"/>
                    <c:pt idx="0">
                      <c:v>84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{1E03E0BB-3C16-4DFB-BB37-484C0227845A}</c15:txfldGUID>
                      <c15:f>Tabla!$G$40</c15:f>
                      <c15:dlblFieldTableCache>
                        <c:ptCount val="1"/>
                        <c:pt idx="0">
                          <c:v>84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7507-4DA9-ABF7-65AC8F9B5DB8}"/>
                </c:ext>
              </c:extLst>
            </c:dLbl>
            <c:dLbl>
              <c:idx val="5"/>
              <c:tx>
                <c:strRef>
                  <c:f>Tabla!$H$40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{58DE43BE-3056-4183-B6A7-728606092262}</c15:txfldGUID>
                      <c15:f>Tabla!$H$40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507-4DA9-ABF7-65AC8F9B5DB8}"/>
                </c:ext>
              </c:extLst>
            </c:dLbl>
            <c:dLbl>
              <c:idx val="6"/>
              <c:tx>
                <c:strRef>
                  <c:f>Tabla!$I$40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{26546EFC-DAFE-43A1-9ADB-0C0427BD73C3}</c15:txfldGUID>
                      <c15:f>Tabla!$I$40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7507-4DA9-ABF7-65AC8F9B5DB8}"/>
                </c:ext>
              </c:extLst>
            </c:dLbl>
            <c:dLbl>
              <c:idx val="7"/>
              <c:tx>
                <c:strRef>
                  <c:f>Tabla!$J$40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{4ABA3840-1F11-4261-9986-B033EA7C3E92}</c15:txfldGUID>
                      <c15:f>Tabla!$J$40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507-4DA9-ABF7-65AC8F9B5D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Tabla!$A$29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Tabla!$C$40:$J$40</c:f>
              <c:numCache>
                <c:formatCode>0</c:formatCode>
                <c:ptCount val="8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507-4DA9-ABF7-65AC8F9B5DB8}"/>
            </c:ext>
          </c:extLst>
        </c:ser>
        <c:ser>
          <c:idx val="0"/>
          <c:order val="1"/>
          <c:tx>
            <c:strRef>
              <c:f>Tabla!$B$37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Tabla!$C$41</c:f>
                  <c:strCache>
                    <c:ptCount val="1"/>
                    <c:pt idx="0">
                      <c:v>84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{C3B92652-3C79-4384-B7D7-B07BEEA1CB0B}</c15:txfldGUID>
                      <c15:f>Tabla!$C$41</c15:f>
                      <c15:dlblFieldTableCache>
                        <c:ptCount val="1"/>
                        <c:pt idx="0">
                          <c:v>84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507-4DA9-ABF7-65AC8F9B5DB8}"/>
                </c:ext>
              </c:extLst>
            </c:dLbl>
            <c:dLbl>
              <c:idx val="1"/>
              <c:tx>
                <c:strRef>
                  <c:f>Tabla!$D$41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{20D1BA8B-AB55-4CB1-9BD0-F16A0B0E751D}</c15:txfldGUID>
                      <c15:f>Tabla!$D$41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507-4DA9-ABF7-65AC8F9B5DB8}"/>
                </c:ext>
              </c:extLst>
            </c:dLbl>
            <c:dLbl>
              <c:idx val="2"/>
              <c:tx>
                <c:strRef>
                  <c:f>Tabla!$E$41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{886BC83C-D8C5-45EE-A539-C695D771FA34}</c15:txfldGUID>
                      <c15:f>Tabla!$E$41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7507-4DA9-ABF7-65AC8F9B5DB8}"/>
                </c:ext>
              </c:extLst>
            </c:dLbl>
            <c:dLbl>
              <c:idx val="3"/>
              <c:tx>
                <c:strRef>
                  <c:f>Tabla!$F$41</c:f>
                  <c:strCache>
                    <c:ptCount val="1"/>
                    <c:pt idx="0">
                      <c:v>87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{4F124C13-DFB2-4FCE-BD23-FF4B1F15E849}</c15:txfldGUID>
                      <c15:f>Tabla!$F$41</c15:f>
                      <c15:dlblFieldTableCache>
                        <c:ptCount val="1"/>
                        <c:pt idx="0">
                          <c:v>87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7507-4DA9-ABF7-65AC8F9B5DB8}"/>
                </c:ext>
              </c:extLst>
            </c:dLbl>
            <c:dLbl>
              <c:idx val="4"/>
              <c:tx>
                <c:strRef>
                  <c:f>Tabla!$G$41</c:f>
                  <c:strCache>
                    <c:ptCount val="1"/>
                    <c:pt idx="0">
                      <c:v>75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{9847EB01-667B-4659-A599-668857FBC064}</c15:txfldGUID>
                      <c15:f>Tabla!$G$41</c15:f>
                      <c15:dlblFieldTableCache>
                        <c:ptCount val="1"/>
                        <c:pt idx="0">
                          <c:v>75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7507-4DA9-ABF7-65AC8F9B5DB8}"/>
                </c:ext>
              </c:extLst>
            </c:dLbl>
            <c:dLbl>
              <c:idx val="5"/>
              <c:tx>
                <c:strRef>
                  <c:f>Tabla!$H$41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{278AA258-A0C1-4FD3-9F75-A5FFDF3945BF}</c15:txfldGUID>
                      <c15:f>Tabla!$H$41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7507-4DA9-ABF7-65AC8F9B5DB8}"/>
                </c:ext>
              </c:extLst>
            </c:dLbl>
            <c:dLbl>
              <c:idx val="6"/>
              <c:tx>
                <c:strRef>
                  <c:f>Tabla!$I$41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{6869E2AD-64F5-4A72-A26C-83F2A1A1AB43}</c15:txfldGUID>
                      <c15:f>Tabla!$I$41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7507-4DA9-ABF7-65AC8F9B5DB8}"/>
                </c:ext>
              </c:extLst>
            </c:dLbl>
            <c:dLbl>
              <c:idx val="7"/>
              <c:tx>
                <c:strRef>
                  <c:f>Tabla!$J$41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{DF7D26AB-6167-4F67-901A-3CC665B2B149}</c15:txfldGUID>
                      <c15:f>Tabla!$J$41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7507-4DA9-ABF7-65AC8F9B5D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Tabla!$A$29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Tabla!$C$37:$J$37</c:f>
              <c:numCache>
                <c:formatCode>0</c:formatCode>
                <c:ptCount val="8"/>
                <c:pt idx="0">
                  <c:v>84</c:v>
                </c:pt>
                <c:pt idx="1">
                  <c:v>83</c:v>
                </c:pt>
                <c:pt idx="2">
                  <c:v>82</c:v>
                </c:pt>
                <c:pt idx="3">
                  <c:v>87</c:v>
                </c:pt>
                <c:pt idx="4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507-4DA9-ABF7-65AC8F9B5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92683472"/>
        <c:axId val="892684560"/>
      </c:barChart>
      <c:lineChart>
        <c:grouping val="standard"/>
        <c:varyColors val="0"/>
        <c:ser>
          <c:idx val="1"/>
          <c:order val="2"/>
          <c:tx>
            <c:strRef>
              <c:f>Tabla!$B$36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3975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</c:spPr>
            <c:txPr>
              <a:bodyPr/>
              <a:lstStyle/>
              <a:p>
                <a:pPr algn="ctr">
                  <a:defRPr lang="es-ES"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Tabla!$C$36:$J$36</c:f>
              <c:numCache>
                <c:formatCode>0</c:formatCode>
                <c:ptCount val="8"/>
                <c:pt idx="0">
                  <c:v>92</c:v>
                </c:pt>
                <c:pt idx="1">
                  <c:v>90</c:v>
                </c:pt>
                <c:pt idx="2">
                  <c:v>87</c:v>
                </c:pt>
                <c:pt idx="3">
                  <c:v>92</c:v>
                </c:pt>
                <c:pt idx="4">
                  <c:v>80</c:v>
                </c:pt>
              </c:numCache>
            </c:numRef>
          </c:cat>
          <c:val>
            <c:numRef>
              <c:f>Tabla!$C$36:$J$36</c:f>
              <c:numCache>
                <c:formatCode>0</c:formatCode>
                <c:ptCount val="8"/>
                <c:pt idx="0">
                  <c:v>92</c:v>
                </c:pt>
                <c:pt idx="1">
                  <c:v>90</c:v>
                </c:pt>
                <c:pt idx="2">
                  <c:v>87</c:v>
                </c:pt>
                <c:pt idx="3">
                  <c:v>92</c:v>
                </c:pt>
                <c:pt idx="4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507-4DA9-ABF7-65AC8F9B5DB8}"/>
            </c:ext>
          </c:extLst>
        </c:ser>
        <c:ser>
          <c:idx val="2"/>
          <c:order val="3"/>
          <c:tx>
            <c:strRef>
              <c:f>Tabla!$B$38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507-4DA9-ABF7-65AC8F9B5DB8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Tabla!$C$36:$J$36</c:f>
              <c:numCache>
                <c:formatCode>0</c:formatCode>
                <c:ptCount val="8"/>
                <c:pt idx="0">
                  <c:v>92</c:v>
                </c:pt>
                <c:pt idx="1">
                  <c:v>90</c:v>
                </c:pt>
                <c:pt idx="2">
                  <c:v>87</c:v>
                </c:pt>
                <c:pt idx="3">
                  <c:v>92</c:v>
                </c:pt>
                <c:pt idx="4">
                  <c:v>80</c:v>
                </c:pt>
              </c:numCache>
            </c:numRef>
          </c:cat>
          <c:val>
            <c:numRef>
              <c:f>Tabla!$C$38:$J$38</c:f>
              <c:numCache>
                <c:formatCode>0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507-4DA9-ABF7-65AC8F9B5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683472"/>
        <c:axId val="892684560"/>
      </c:lineChart>
      <c:catAx>
        <c:axId val="892683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2684560"/>
        <c:crosses val="autoZero"/>
        <c:auto val="1"/>
        <c:lblAlgn val="ctr"/>
        <c:lblOffset val="100"/>
        <c:noMultiLvlLbl val="0"/>
      </c:catAx>
      <c:valAx>
        <c:axId val="892684560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89268347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7161101645710589"/>
          <c:w val="0.99859378074255867"/>
          <c:h val="0.7882638816179805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Tabla!$B$67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Tabla!$C$70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{54EA490F-3422-432B-816E-F138478C7F66}</c15:txfldGUID>
                      <c15:f>Tabla!$C$70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B111-4B75-9DB9-4697102739F9}"/>
                </c:ext>
              </c:extLst>
            </c:dLbl>
            <c:dLbl>
              <c:idx val="1"/>
              <c:tx>
                <c:strRef>
                  <c:f>Tabla!$D$70</c:f>
                  <c:strCache>
                    <c:ptCount val="1"/>
                    <c:pt idx="0">
                      <c:v>77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{818768CC-C631-4386-8F7C-4DD257018949}</c15:txfldGUID>
                      <c15:f>Tabla!$D$70</c15:f>
                      <c15:dlblFieldTableCache>
                        <c:ptCount val="1"/>
                        <c:pt idx="0">
                          <c:v>77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B111-4B75-9DB9-4697102739F9}"/>
                </c:ext>
              </c:extLst>
            </c:dLbl>
            <c:dLbl>
              <c:idx val="2"/>
              <c:tx>
                <c:strRef>
                  <c:f>Tabla!$E$70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{D4FDE2C0-5D3B-439F-B9D3-557BB2A34294}</c15:txfldGUID>
                      <c15:f>Tabla!$E$70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B111-4B75-9DB9-4697102739F9}"/>
                </c:ext>
              </c:extLst>
            </c:dLbl>
            <c:dLbl>
              <c:idx val="3"/>
              <c:tx>
                <c:strRef>
                  <c:f>Tabla!$F$70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{62B277F6-B22E-49EC-B29B-5626F0BAFA48}</c15:txfldGUID>
                      <c15:f>Tabla!$F$70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B111-4B75-9DB9-4697102739F9}"/>
                </c:ext>
              </c:extLst>
            </c:dLbl>
            <c:dLbl>
              <c:idx val="4"/>
              <c:tx>
                <c:strRef>
                  <c:f>Tabla!$G$70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{2CADAFD6-EDF5-4523-A49E-00ACC7662EB0}</c15:txfldGUID>
                      <c15:f>Tabla!$G$70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B111-4B75-9DB9-4697102739F9}"/>
                </c:ext>
              </c:extLst>
            </c:dLbl>
            <c:dLbl>
              <c:idx val="5"/>
              <c:tx>
                <c:strRef>
                  <c:f>Tabla!$H$70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{BD233398-BAD0-48BB-91D8-2C58F6B9D845}</c15:txfldGUID>
                      <c15:f>Tabla!$H$70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B111-4B75-9DB9-4697102739F9}"/>
                </c:ext>
              </c:extLst>
            </c:dLbl>
            <c:dLbl>
              <c:idx val="6"/>
              <c:tx>
                <c:strRef>
                  <c:f>Tabla!$I$70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{AF62CD5D-F384-4D83-90A6-F34CD049C117}</c15:txfldGUID>
                      <c15:f>Tabla!$I$70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B111-4B75-9DB9-4697102739F9}"/>
                </c:ext>
              </c:extLst>
            </c:dLbl>
            <c:dLbl>
              <c:idx val="7"/>
              <c:tx>
                <c:strRef>
                  <c:f>Tabla!$J$70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{A136B294-16FB-4812-9E38-0F6BD1B074A3}</c15:txfldGUID>
                      <c15:f>Tabla!$J$70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B111-4B75-9DB9-4697102739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0"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Tabla!$C$70:$J$70</c:f>
              <c:numCache>
                <c:formatCode>0</c:formatCode>
                <c:ptCount val="8"/>
                <c:pt idx="0">
                  <c:v>78</c:v>
                </c:pt>
                <c:pt idx="1">
                  <c:v>77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11-4B75-9DB9-4697102739F9}"/>
            </c:ext>
          </c:extLst>
        </c:ser>
        <c:ser>
          <c:idx val="0"/>
          <c:order val="1"/>
          <c:tx>
            <c:strRef>
              <c:f>Tabla!$B$67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Tabla!$C$71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{61F79186-8790-4DEF-B537-4A4879D9C025}</c15:txfldGUID>
                      <c15:f>Tabla!$C$71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B111-4B75-9DB9-4697102739F9}"/>
                </c:ext>
              </c:extLst>
            </c:dLbl>
            <c:dLbl>
              <c:idx val="1"/>
              <c:tx>
                <c:strRef>
                  <c:f>Tabla!$D$71</c:f>
                  <c:strCache>
                    <c:ptCount val="1"/>
                    <c:pt idx="0">
                      <c:v>84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{BBFC751D-2622-4157-BFDE-27AEA2234FDD}</c15:txfldGUID>
                      <c15:f>Tabla!$D$71</c15:f>
                      <c15:dlblFieldTableCache>
                        <c:ptCount val="1"/>
                        <c:pt idx="0">
                          <c:v>84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B111-4B75-9DB9-4697102739F9}"/>
                </c:ext>
              </c:extLst>
            </c:dLbl>
            <c:dLbl>
              <c:idx val="2"/>
              <c:tx>
                <c:strRef>
                  <c:f>Tabla!$E$71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{17041C03-5D07-405E-BBD7-9DA5353E1F77}</c15:txfldGUID>
                      <c15:f>Tabla!$E$71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B111-4B75-9DB9-4697102739F9}"/>
                </c:ext>
              </c:extLst>
            </c:dLbl>
            <c:dLbl>
              <c:idx val="3"/>
              <c:tx>
                <c:strRef>
                  <c:f>Tabla!$F$71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{5E8C735D-EFE1-41FF-AC2E-84C857F14CA2}</c15:txfldGUID>
                      <c15:f>Tabla!$F$71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B111-4B75-9DB9-4697102739F9}"/>
                </c:ext>
              </c:extLst>
            </c:dLbl>
            <c:dLbl>
              <c:idx val="4"/>
              <c:tx>
                <c:strRef>
                  <c:f>Tabla!$G$71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{36F80650-A8CA-4CE8-BFE8-BB5890B0ACBD}</c15:txfldGUID>
                      <c15:f>Tabla!$G$71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B111-4B75-9DB9-4697102739F9}"/>
                </c:ext>
              </c:extLst>
            </c:dLbl>
            <c:dLbl>
              <c:idx val="5"/>
              <c:tx>
                <c:strRef>
                  <c:f>Tabla!$H$71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{032EBC28-92F5-45F0-B1FF-E1A0EFF5B912}</c15:txfldGUID>
                      <c15:f>Tabla!$H$71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B111-4B75-9DB9-4697102739F9}"/>
                </c:ext>
              </c:extLst>
            </c:dLbl>
            <c:dLbl>
              <c:idx val="6"/>
              <c:tx>
                <c:strRef>
                  <c:f>Tabla!$I$71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{5AA0FCE3-BB82-4320-83FD-48794BDC1569}</c15:txfldGUID>
                      <c15:f>Tabla!$I$71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B111-4B75-9DB9-4697102739F9}"/>
                </c:ext>
              </c:extLst>
            </c:dLbl>
            <c:dLbl>
              <c:idx val="7"/>
              <c:tx>
                <c:strRef>
                  <c:f>Tabla!$J$71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{53516492-8C14-4E25-A622-804680FBBAC6}</c15:txfldGUID>
                      <c15:f>Tabla!$J$71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B111-4B75-9DB9-4697102739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0"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Tabla!$C$67:$J$67</c:f>
              <c:numCache>
                <c:formatCode>0</c:formatCode>
                <c:ptCount val="8"/>
                <c:pt idx="0">
                  <c:v>83</c:v>
                </c:pt>
                <c:pt idx="1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11-4B75-9DB9-4697102739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892691088"/>
        <c:axId val="892693808"/>
      </c:barChart>
      <c:lineChart>
        <c:grouping val="standard"/>
        <c:varyColors val="0"/>
        <c:ser>
          <c:idx val="1"/>
          <c:order val="2"/>
          <c:tx>
            <c:strRef>
              <c:f>Tabla!$B$36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3975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Tabla!$C$66:$J$66</c:f>
              <c:numCache>
                <c:formatCode>0</c:formatCode>
                <c:ptCount val="8"/>
                <c:pt idx="0">
                  <c:v>88</c:v>
                </c:pt>
                <c:pt idx="1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111-4B75-9DB9-4697102739F9}"/>
            </c:ext>
          </c:extLst>
        </c:ser>
        <c:ser>
          <c:idx val="2"/>
          <c:order val="3"/>
          <c:tx>
            <c:strRef>
              <c:f>Tabla!$B$68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11-4B75-9DB9-4697102739F9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 algn="ctr">
                  <a:defRPr lang="es-ES" sz="24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Tabla!$C$68:$J$68</c:f>
              <c:numCache>
                <c:formatCode>0</c:formatCode>
                <c:ptCount val="8"/>
                <c:pt idx="0">
                  <c:v>83</c:v>
                </c:pt>
                <c:pt idx="1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111-4B75-9DB9-4697102739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2691088"/>
        <c:axId val="892693808"/>
      </c:lineChart>
      <c:catAx>
        <c:axId val="892691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2693808"/>
        <c:crosses val="autoZero"/>
        <c:auto val="1"/>
        <c:lblAlgn val="ctr"/>
        <c:lblOffset val="100"/>
        <c:noMultiLvlLbl val="0"/>
      </c:catAx>
      <c:valAx>
        <c:axId val="89269380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8926910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8808263205790707"/>
          <c:w val="0.99836801305589551"/>
          <c:h val="0.7717923281486650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Tabla!$B$97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{23504274-7A1A-41A9-9A2A-31E8E158611B}</c15:txfldGUID>
                      <c15:f>Tabla!$C$100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69DA-4806-A5BD-C8ABB7AB3A27}"/>
                </c:ext>
              </c:extLst>
            </c:dLbl>
            <c:dLbl>
              <c:idx val="1"/>
              <c:tx>
                <c:strRef>
                  <c:f>Tabla!$D$100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{A907340D-C6DA-4A4D-A689-BBA0BDC78204}</c15:txfldGUID>
                      <c15:f>Tabla!$D$100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69DA-4806-A5BD-C8ABB7AB3A27}"/>
                </c:ext>
              </c:extLst>
            </c:dLbl>
            <c:dLbl>
              <c:idx val="2"/>
              <c:tx>
                <c:strRef>
                  <c:f>Tabla!$E$100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{9897FCD4-442B-4FF3-98E7-3854985E90D3}</c15:txfldGUID>
                      <c15:f>Tabla!$E$100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69DA-4806-A5BD-C8ABB7AB3A27}"/>
                </c:ext>
              </c:extLst>
            </c:dLbl>
            <c:dLbl>
              <c:idx val="3"/>
              <c:tx>
                <c:strRef>
                  <c:f>Tabla!$F$100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{6A6753E9-43DA-421F-9BC4-36A08EF7DBF2}</c15:txfldGUID>
                      <c15:f>Tabla!$F$100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69DA-4806-A5BD-C8ABB7AB3A27}"/>
                </c:ext>
              </c:extLst>
            </c:dLbl>
            <c:dLbl>
              <c:idx val="4"/>
              <c:tx>
                <c:strRef>
                  <c:f>Tabla!$G$100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{5510077F-4451-495A-AAA1-8FCAD3F67DC6}</c15:txfldGUID>
                      <c15:f>Tabla!$G$100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69DA-4806-A5BD-C8ABB7AB3A27}"/>
                </c:ext>
              </c:extLst>
            </c:dLbl>
            <c:dLbl>
              <c:idx val="5"/>
              <c:tx>
                <c:strRef>
                  <c:f>Tabla!$H$100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{81AA79FD-CF28-4A0A-936E-E2BE258275C1}</c15:txfldGUID>
                      <c15:f>Tabla!$H$100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69DA-4806-A5BD-C8ABB7AB3A27}"/>
                </c:ext>
              </c:extLst>
            </c:dLbl>
            <c:dLbl>
              <c:idx val="6"/>
              <c:tx>
                <c:strRef>
                  <c:f>Tabla!$I$100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{C2A5F187-B9EA-4A05-85C6-0E3F5960E070}</c15:txfldGUID>
                      <c15:f>Tabla!$I$100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69DA-4806-A5BD-C8ABB7AB3A27}"/>
                </c:ext>
              </c:extLst>
            </c:dLbl>
            <c:dLbl>
              <c:idx val="7"/>
              <c:tx>
                <c:strRef>
                  <c:f>Tabla!$J$100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{4ADE5E11-2360-485D-9923-052D3956CBCB}</c15:txfldGUID>
                      <c15:f>Tabla!$J$100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69DA-4806-A5BD-C8ABB7AB3A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0"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Tabla!$C$100:$J$100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76</c:v>
                </c:pt>
                <c:pt idx="3">
                  <c:v>78</c:v>
                </c:pt>
                <c:pt idx="4">
                  <c:v>78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DA-4806-A5BD-C8ABB7AB3A27}"/>
            </c:ext>
          </c:extLst>
        </c:ser>
        <c:ser>
          <c:idx val="0"/>
          <c:order val="1"/>
          <c:tx>
            <c:strRef>
              <c:f>Tabla!$B$97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{289B9F94-509D-4A9E-B5A2-4CBFD2AE608C}</c15:txfldGUID>
                      <c15:f>Tabla!$C$101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69DA-4806-A5BD-C8ABB7AB3A27}"/>
                </c:ext>
              </c:extLst>
            </c:dLbl>
            <c:dLbl>
              <c:idx val="1"/>
              <c:tx>
                <c:strRef>
                  <c:f>Tabla!$D$101</c:f>
                  <c:strCache>
                    <c:ptCount val="1"/>
                    <c:pt idx="0">
                      <c:v>91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{3DDD1FAB-A938-4A90-9B9B-61BE34450332}</c15:txfldGUID>
                      <c15:f>Tabla!$D$101</c15:f>
                      <c15:dlblFieldTableCache>
                        <c:ptCount val="1"/>
                        <c:pt idx="0">
                          <c:v>91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69DA-4806-A5BD-C8ABB7AB3A27}"/>
                </c:ext>
              </c:extLst>
            </c:dLbl>
            <c:dLbl>
              <c:idx val="2"/>
              <c:tx>
                <c:strRef>
                  <c:f>Tabla!$E$101</c:f>
                  <c:strCache>
                    <c:ptCount val="1"/>
                    <c:pt idx="0">
                      <c:v>84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{3B05CD74-FB8F-49B3-8963-C9BDC99FB719}</c15:txfldGUID>
                      <c15:f>Tabla!$E$101</c15:f>
                      <c15:dlblFieldTableCache>
                        <c:ptCount val="1"/>
                        <c:pt idx="0">
                          <c:v>84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69DA-4806-A5BD-C8ABB7AB3A27}"/>
                </c:ext>
              </c:extLst>
            </c:dLbl>
            <c:dLbl>
              <c:idx val="3"/>
              <c:tx>
                <c:strRef>
                  <c:f>Tabla!$F$101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{59CEDA99-8C62-4E60-8588-D052D5CE0A9D}</c15:txfldGUID>
                      <c15:f>Tabla!$F$101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69DA-4806-A5BD-C8ABB7AB3A27}"/>
                </c:ext>
              </c:extLst>
            </c:dLbl>
            <c:dLbl>
              <c:idx val="4"/>
              <c:tx>
                <c:strRef>
                  <c:f>Tabla!$G$101</c:f>
                  <c:strCache>
                    <c:ptCount val="1"/>
                    <c:pt idx="0">
                      <c:v>85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{3CD663D3-305B-460E-870E-9444FF52D6DE}</c15:txfldGUID>
                      <c15:f>Tabla!$G$101</c15:f>
                      <c15:dlblFieldTableCache>
                        <c:ptCount val="1"/>
                        <c:pt idx="0">
                          <c:v>85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69DA-4806-A5BD-C8ABB7AB3A27}"/>
                </c:ext>
              </c:extLst>
            </c:dLbl>
            <c:dLbl>
              <c:idx val="5"/>
              <c:tx>
                <c:strRef>
                  <c:f>Tabla!$H$101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{2081AD13-954A-4B1E-A2F4-BB0826C6832C}</c15:txfldGUID>
                      <c15:f>Tabla!$H$101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69DA-4806-A5BD-C8ABB7AB3A27}"/>
                </c:ext>
              </c:extLst>
            </c:dLbl>
            <c:dLbl>
              <c:idx val="6"/>
              <c:tx>
                <c:strRef>
                  <c:f>Tabla!$I$101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{9110D1AF-3696-4CFE-8FF0-65D4A0211EFF}</c15:txfldGUID>
                      <c15:f>Tabla!$I$101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69DA-4806-A5BD-C8ABB7AB3A27}"/>
                </c:ext>
              </c:extLst>
            </c:dLbl>
            <c:dLbl>
              <c:idx val="7"/>
              <c:tx>
                <c:strRef>
                  <c:f>Tabla!$J$101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{B74F3CC5-7169-4153-BB74-6C4B418AD272}</c15:txfldGUID>
                      <c15:f>Tabla!$J$101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69DA-4806-A5BD-C8ABB7AB3A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0"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Tabla!$C$97:$J$97</c:f>
              <c:numCache>
                <c:formatCode>0</c:formatCode>
                <c:ptCount val="8"/>
                <c:pt idx="0">
                  <c:v>0</c:v>
                </c:pt>
                <c:pt idx="1">
                  <c:v>91</c:v>
                </c:pt>
                <c:pt idx="2">
                  <c:v>84</c:v>
                </c:pt>
                <c:pt idx="3">
                  <c:v>82</c:v>
                </c:pt>
                <c:pt idx="4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DA-4806-A5BD-C8ABB7AB3A2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892685104"/>
        <c:axId val="892692720"/>
      </c:barChart>
      <c:lineChart>
        <c:grouping val="standard"/>
        <c:varyColors val="0"/>
        <c:ser>
          <c:idx val="1"/>
          <c:order val="2"/>
          <c:tx>
            <c:strRef>
              <c:f>Tabla!$B$96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3975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Tabla!$C$96:$J$96</c:f>
              <c:numCache>
                <c:formatCode>0</c:formatCode>
                <c:ptCount val="8"/>
                <c:pt idx="1">
                  <c:v>100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9DA-4806-A5BD-C8ABB7AB3A27}"/>
            </c:ext>
          </c:extLst>
        </c:ser>
        <c:ser>
          <c:idx val="2"/>
          <c:order val="3"/>
          <c:tx>
            <c:strRef>
              <c:f>Tabla!$B$98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9DA-4806-A5BD-C8ABB7AB3A27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Tabla!$C$98:$J$98</c:f>
              <c:numCache>
                <c:formatCode>0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9DA-4806-A5BD-C8ABB7AB3A2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2685104"/>
        <c:axId val="892692720"/>
      </c:lineChart>
      <c:catAx>
        <c:axId val="892685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2692720"/>
        <c:crosses val="autoZero"/>
        <c:auto val="1"/>
        <c:lblAlgn val="ctr"/>
        <c:lblOffset val="100"/>
        <c:noMultiLvlLbl val="0"/>
      </c:catAx>
      <c:valAx>
        <c:axId val="892692720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89268510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9516385476606088"/>
          <c:w val="0.99836801305589551"/>
          <c:h val="0.7647107369456273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Tabla!$B$127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Tabla!$C$130</c:f>
                  <c:strCache>
                    <c:ptCount val="1"/>
                    <c:pt idx="0">
                      <c:v>87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{3C88EC7B-BD9A-46A6-9167-0EBFE26B0BCA}</c15:txfldGUID>
                      <c15:f>Tabla!$C$130</c15:f>
                      <c15:dlblFieldTableCache>
                        <c:ptCount val="1"/>
                        <c:pt idx="0">
                          <c:v>87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9838-4BC2-818E-0A2E7481F591}"/>
                </c:ext>
              </c:extLst>
            </c:dLbl>
            <c:dLbl>
              <c:idx val="1"/>
              <c:tx>
                <c:strRef>
                  <c:f>Tabla!$D$130</c:f>
                  <c:strCache>
                    <c:ptCount val="1"/>
                    <c:pt idx="0">
                      <c:v>79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{9A7EDAB5-CD2A-4916-B0F2-1F77CDA1670E}</c15:txfldGUID>
                      <c15:f>Tabla!$D$130</c15:f>
                      <c15:dlblFieldTableCache>
                        <c:ptCount val="1"/>
                        <c:pt idx="0">
                          <c:v>79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838-4BC2-818E-0A2E7481F591}"/>
                </c:ext>
              </c:extLst>
            </c:dLbl>
            <c:dLbl>
              <c:idx val="2"/>
              <c:tx>
                <c:strRef>
                  <c:f>Tabla!$E$130</c:f>
                  <c:strCache>
                    <c:ptCount val="1"/>
                    <c:pt idx="0">
                      <c:v>87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{4BBB477A-B329-4A60-86CC-2C42A504D187}</c15:txfldGUID>
                      <c15:f>Tabla!$E$130</c15:f>
                      <c15:dlblFieldTableCache>
                        <c:ptCount val="1"/>
                        <c:pt idx="0">
                          <c:v>87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9838-4BC2-818E-0A2E7481F591}"/>
                </c:ext>
              </c:extLst>
            </c:dLbl>
            <c:dLbl>
              <c:idx val="3"/>
              <c:tx>
                <c:strRef>
                  <c:f>Tabla!$F$130</c:f>
                  <c:strCache>
                    <c:ptCount val="1"/>
                    <c:pt idx="0">
                      <c:v>75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{E44D1389-5D9B-4EA8-BEA9-6B55DC12656F}</c15:txfldGUID>
                      <c15:f>Tabla!$F$130</c15:f>
                      <c15:dlblFieldTableCache>
                        <c:ptCount val="1"/>
                        <c:pt idx="0">
                          <c:v>75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838-4BC2-818E-0A2E7481F591}"/>
                </c:ext>
              </c:extLst>
            </c:dLbl>
            <c:dLbl>
              <c:idx val="4"/>
              <c:tx>
                <c:strRef>
                  <c:f>Tabla!$G$130</c:f>
                  <c:strCache>
                    <c:ptCount val="1"/>
                    <c:pt idx="0">
                      <c:v>77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{0C09513D-F7A6-4A2D-9460-F20BAB409F72}</c15:txfldGUID>
                      <c15:f>Tabla!$G$130</c15:f>
                      <c15:dlblFieldTableCache>
                        <c:ptCount val="1"/>
                        <c:pt idx="0">
                          <c:v>77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9838-4BC2-818E-0A2E7481F591}"/>
                </c:ext>
              </c:extLst>
            </c:dLbl>
            <c:dLbl>
              <c:idx val="5"/>
              <c:tx>
                <c:strRef>
                  <c:f>Tabla!$H$130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{8306104F-0939-43CF-8084-58B017444D87}</c15:txfldGUID>
                      <c15:f>Tabla!$H$130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838-4BC2-818E-0A2E7481F591}"/>
                </c:ext>
              </c:extLst>
            </c:dLbl>
            <c:dLbl>
              <c:idx val="6"/>
              <c:tx>
                <c:strRef>
                  <c:f>Tabla!$I$130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{2E5BFC6E-DB07-4F28-B339-F6A20642A894}</c15:txfldGUID>
                      <c15:f>Tabla!$I$130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9838-4BC2-818E-0A2E7481F591}"/>
                </c:ext>
              </c:extLst>
            </c:dLbl>
            <c:dLbl>
              <c:idx val="7"/>
              <c:tx>
                <c:strRef>
                  <c:f>Tabla!$J$130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{00E5E684-D9D8-4236-A277-4FA153A79857}</c15:txfldGUID>
                      <c15:f>Tabla!$J$130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838-4BC2-818E-0A2E7481F5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Tabla!$C$130:$J$130</c:f>
              <c:numCache>
                <c:formatCode>0</c:formatCode>
                <c:ptCount val="8"/>
                <c:pt idx="0">
                  <c:v>87</c:v>
                </c:pt>
                <c:pt idx="1">
                  <c:v>79</c:v>
                </c:pt>
                <c:pt idx="2">
                  <c:v>87</c:v>
                </c:pt>
                <c:pt idx="3">
                  <c:v>75</c:v>
                </c:pt>
                <c:pt idx="4">
                  <c:v>77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38-4BC2-818E-0A2E7481F591}"/>
            </c:ext>
          </c:extLst>
        </c:ser>
        <c:ser>
          <c:idx val="0"/>
          <c:order val="1"/>
          <c:tx>
            <c:strRef>
              <c:f>Tabla!$B$127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Tabla!$C$131</c:f>
                  <c:strCache>
                    <c:ptCount val="1"/>
                    <c:pt idx="0">
                      <c:v>92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{C8E393A1-0757-400B-85EE-4CC6839D136F}</c15:txfldGUID>
                      <c15:f>Tabla!$C$131</c15:f>
                      <c15:dlblFieldTableCache>
                        <c:ptCount val="1"/>
                        <c:pt idx="0">
                          <c:v>92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838-4BC2-818E-0A2E7481F591}"/>
                </c:ext>
              </c:extLst>
            </c:dLbl>
            <c:dLbl>
              <c:idx val="1"/>
              <c:tx>
                <c:strRef>
                  <c:f>Tabla!$D$131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{A969E7B4-BD89-455C-A656-02E0BB643359}</c15:txfldGUID>
                      <c15:f>Tabla!$D$131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9838-4BC2-818E-0A2E7481F591}"/>
                </c:ext>
              </c:extLst>
            </c:dLbl>
            <c:dLbl>
              <c:idx val="2"/>
              <c:tx>
                <c:strRef>
                  <c:f>Tabla!$E$131</c:f>
                  <c:strCache>
                    <c:ptCount val="1"/>
                    <c:pt idx="0">
                      <c:v>85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{C32378B2-6284-4D7F-8276-68254973B587}</c15:txfldGUID>
                      <c15:f>Tabla!$E$131</c15:f>
                      <c15:dlblFieldTableCache>
                        <c:ptCount val="1"/>
                        <c:pt idx="0">
                          <c:v>85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838-4BC2-818E-0A2E7481F591}"/>
                </c:ext>
              </c:extLst>
            </c:dLbl>
            <c:dLbl>
              <c:idx val="3"/>
              <c:tx>
                <c:strRef>
                  <c:f>Tabla!$F$131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{474A696D-AB08-4A6E-96B8-3BD05A542BCA}</c15:txfldGUID>
                      <c15:f>Tabla!$F$131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9838-4BC2-818E-0A2E7481F591}"/>
                </c:ext>
              </c:extLst>
            </c:dLbl>
            <c:dLbl>
              <c:idx val="4"/>
              <c:tx>
                <c:strRef>
                  <c:f>Tabla!$G$131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{7A010415-BD74-436A-B843-7408F4FDA5B0}</c15:txfldGUID>
                      <c15:f>Tabla!$G$131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838-4BC2-818E-0A2E7481F591}"/>
                </c:ext>
              </c:extLst>
            </c:dLbl>
            <c:dLbl>
              <c:idx val="5"/>
              <c:tx>
                <c:strRef>
                  <c:f>Tabla!$H$131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{B3B934C9-F27F-429A-BA88-AA219B474997}</c15:txfldGUID>
                      <c15:f>Tabla!$H$131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9838-4BC2-818E-0A2E7481F591}"/>
                </c:ext>
              </c:extLst>
            </c:dLbl>
            <c:dLbl>
              <c:idx val="6"/>
              <c:tx>
                <c:strRef>
                  <c:f>Tabla!$I$131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{FCA94136-8C6F-4AD8-985B-50113D942B4C}</c15:txfldGUID>
                      <c15:f>Tabla!$I$131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838-4BC2-818E-0A2E7481F591}"/>
                </c:ext>
              </c:extLst>
            </c:dLbl>
            <c:dLbl>
              <c:idx val="7"/>
              <c:tx>
                <c:strRef>
                  <c:f>Tabla!$J$131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{BF47FDA1-95DC-43D1-A55E-8E98CE8CE4E9}</c15:txfldGUID>
                      <c15:f>Tabla!$J$131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9838-4BC2-818E-0A2E7481F5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Tabla!$C$127:$J$127</c:f>
              <c:numCache>
                <c:formatCode>0</c:formatCode>
                <c:ptCount val="8"/>
                <c:pt idx="0">
                  <c:v>92</c:v>
                </c:pt>
                <c:pt idx="1">
                  <c:v>83</c:v>
                </c:pt>
                <c:pt idx="2">
                  <c:v>85</c:v>
                </c:pt>
                <c:pt idx="3">
                  <c:v>83</c:v>
                </c:pt>
                <c:pt idx="4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38-4BC2-818E-0A2E7481F5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892695440"/>
        <c:axId val="892695984"/>
      </c:barChart>
      <c:lineChart>
        <c:grouping val="standard"/>
        <c:varyColors val="0"/>
        <c:ser>
          <c:idx val="1"/>
          <c:order val="2"/>
          <c:tx>
            <c:strRef>
              <c:f>Tabla!$B$126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3975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Tabla!$C$126:$J$126</c:f>
              <c:numCache>
                <c:formatCode>0</c:formatCode>
                <c:ptCount val="8"/>
                <c:pt idx="0">
                  <c:v>100</c:v>
                </c:pt>
                <c:pt idx="1">
                  <c:v>88</c:v>
                </c:pt>
                <c:pt idx="2">
                  <c:v>92</c:v>
                </c:pt>
                <c:pt idx="3">
                  <c:v>90</c:v>
                </c:pt>
                <c:pt idx="4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838-4BC2-818E-0A2E7481F591}"/>
            </c:ext>
          </c:extLst>
        </c:ser>
        <c:ser>
          <c:idx val="2"/>
          <c:order val="3"/>
          <c:tx>
            <c:strRef>
              <c:f>Tabla!$B$128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838-4BC2-818E-0A2E7481F591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Tabla!$C$128:$J$128</c:f>
              <c:numCache>
                <c:formatCode>0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838-4BC2-818E-0A2E7481F5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2695440"/>
        <c:axId val="892695984"/>
      </c:lineChart>
      <c:catAx>
        <c:axId val="892695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2695984"/>
        <c:crosses val="autoZero"/>
        <c:auto val="1"/>
        <c:lblAlgn val="ctr"/>
        <c:lblOffset val="100"/>
        <c:noMultiLvlLbl val="0"/>
      </c:catAx>
      <c:valAx>
        <c:axId val="89269598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8926954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766477728811516"/>
          <c:w val="0.99836801305589551"/>
          <c:h val="0.78322712519393489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Tabla!$B$157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Tabla!$C$160</c:f>
                  <c:strCache>
                    <c:ptCount val="1"/>
                    <c:pt idx="0">
                      <c:v>84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{64E0D857-E230-48EB-99A2-D420DA0C3C50}</c15:txfldGUID>
                      <c15:f>Tabla!$C$160</c15:f>
                      <c15:dlblFieldTableCache>
                        <c:ptCount val="1"/>
                        <c:pt idx="0">
                          <c:v>84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DC4-4ED2-B418-BE71D54B4B0B}"/>
                </c:ext>
              </c:extLst>
            </c:dLbl>
            <c:dLbl>
              <c:idx val="1"/>
              <c:tx>
                <c:strRef>
                  <c:f>Tabla!$D$160</c:f>
                  <c:strCache>
                    <c:ptCount val="1"/>
                    <c:pt idx="0">
                      <c:v>74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{8864BA78-2A11-4102-AE27-E4056BA29DC8}</c15:txfldGUID>
                      <c15:f>Tabla!$D$160</c15:f>
                      <c15:dlblFieldTableCache>
                        <c:ptCount val="1"/>
                        <c:pt idx="0">
                          <c:v>74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DC4-4ED2-B418-BE71D54B4B0B}"/>
                </c:ext>
              </c:extLst>
            </c:dLbl>
            <c:dLbl>
              <c:idx val="2"/>
              <c:tx>
                <c:strRef>
                  <c:f>Tabla!$E$160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{4F910317-8A3E-48AB-B5CB-27A2E9796AAB}</c15:txfldGUID>
                      <c15:f>Tabla!$E$160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DC4-4ED2-B418-BE71D54B4B0B}"/>
                </c:ext>
              </c:extLst>
            </c:dLbl>
            <c:dLbl>
              <c:idx val="3"/>
              <c:tx>
                <c:strRef>
                  <c:f>Tabla!$F$160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{6E010B52-2A0E-463A-88A3-31602A07F6F8}</c15:txfldGUID>
                      <c15:f>Tabla!$F$160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DC4-4ED2-B418-BE71D54B4B0B}"/>
                </c:ext>
              </c:extLst>
            </c:dLbl>
            <c:dLbl>
              <c:idx val="4"/>
              <c:tx>
                <c:strRef>
                  <c:f>Tabla!$G$160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{72E73F32-36DE-4F3C-AEC9-EE508E9BC553}</c15:txfldGUID>
                      <c15:f>Tabla!$G$160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DC4-4ED2-B418-BE71D54B4B0B}"/>
                </c:ext>
              </c:extLst>
            </c:dLbl>
            <c:dLbl>
              <c:idx val="5"/>
              <c:tx>
                <c:strRef>
                  <c:f>Tabla!$H$160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{3145C327-5CC3-43F6-9385-D2D8FECBCFED}</c15:txfldGUID>
                      <c15:f>Tabla!$H$160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DC4-4ED2-B418-BE71D54B4B0B}"/>
                </c:ext>
              </c:extLst>
            </c:dLbl>
            <c:dLbl>
              <c:idx val="6"/>
              <c:tx>
                <c:strRef>
                  <c:f>Tabla!$I$160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{110D0C2D-AF6E-4963-9D53-C7BEB481729C}</c15:txfldGUID>
                      <c15:f>Tabla!$I$160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DC4-4ED2-B418-BE71D54B4B0B}"/>
                </c:ext>
              </c:extLst>
            </c:dLbl>
            <c:dLbl>
              <c:idx val="7"/>
              <c:tx>
                <c:strRef>
                  <c:f>Tabla!$J$160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{FCC6AC52-4766-438A-8DCF-70BE83547330}</c15:txfldGUID>
                      <c15:f>Tabla!$J$160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DC4-4ED2-B418-BE71D54B4B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Tabla!$C$160:$J$160</c:f>
              <c:numCache>
                <c:formatCode>0</c:formatCode>
                <c:ptCount val="8"/>
                <c:pt idx="0">
                  <c:v>84</c:v>
                </c:pt>
                <c:pt idx="1">
                  <c:v>74</c:v>
                </c:pt>
                <c:pt idx="2">
                  <c:v>78</c:v>
                </c:pt>
                <c:pt idx="3">
                  <c:v>80</c:v>
                </c:pt>
                <c:pt idx="4">
                  <c:v>82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C4-4ED2-B418-BE71D54B4B0B}"/>
            </c:ext>
          </c:extLst>
        </c:ser>
        <c:ser>
          <c:idx val="0"/>
          <c:order val="1"/>
          <c:tx>
            <c:strRef>
              <c:f>Tabla!$B$157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Tabla!$C$161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{51A72779-82D3-488F-AC1F-E8A0E3785682}</c15:txfldGUID>
                      <c15:f>Tabla!$C$161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DC4-4ED2-B418-BE71D54B4B0B}"/>
                </c:ext>
              </c:extLst>
            </c:dLbl>
            <c:dLbl>
              <c:idx val="1"/>
              <c:tx>
                <c:strRef>
                  <c:f>Tabla!$D$161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{5DDA5A9A-AD1F-4F0A-9E70-CFFD9CF9E9E2}</c15:txfldGUID>
                      <c15:f>Tabla!$D$161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DC4-4ED2-B418-BE71D54B4B0B}"/>
                </c:ext>
              </c:extLst>
            </c:dLbl>
            <c:dLbl>
              <c:idx val="2"/>
              <c:tx>
                <c:strRef>
                  <c:f>Tabla!$E$161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{74F0EA09-43E6-41B9-B9FF-64A89D6CFC16}</c15:txfldGUID>
                      <c15:f>Tabla!$E$161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DC4-4ED2-B418-BE71D54B4B0B}"/>
                </c:ext>
              </c:extLst>
            </c:dLbl>
            <c:dLbl>
              <c:idx val="3"/>
              <c:tx>
                <c:strRef>
                  <c:f>Tabla!$F$161</c:f>
                  <c:strCache>
                    <c:ptCount val="1"/>
                    <c:pt idx="0">
                      <c:v>86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{C14545E4-24EB-4E94-839F-D002EA31760E}</c15:txfldGUID>
                      <c15:f>Tabla!$F$161</c15:f>
                      <c15:dlblFieldTableCache>
                        <c:ptCount val="1"/>
                        <c:pt idx="0">
                          <c:v>86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DC4-4ED2-B418-BE71D54B4B0B}"/>
                </c:ext>
              </c:extLst>
            </c:dLbl>
            <c:dLbl>
              <c:idx val="4"/>
              <c:tx>
                <c:strRef>
                  <c:f>Tabla!$G$161</c:f>
                  <c:strCache>
                    <c:ptCount val="1"/>
                    <c:pt idx="0">
                      <c:v>86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{3D979D85-7395-491C-952D-73B22CE9FDAE}</c15:txfldGUID>
                      <c15:f>Tabla!$G$161</c15:f>
                      <c15:dlblFieldTableCache>
                        <c:ptCount val="1"/>
                        <c:pt idx="0">
                          <c:v>86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DC4-4ED2-B418-BE71D54B4B0B}"/>
                </c:ext>
              </c:extLst>
            </c:dLbl>
            <c:dLbl>
              <c:idx val="5"/>
              <c:tx>
                <c:strRef>
                  <c:f>Tabla!$H$161</c:f>
                  <c:strCache>
                    <c:ptCount val="1"/>
                    <c:pt idx="0">
                      <c:v>95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{826455B6-E9B4-4F42-9441-912A0EF04DCA}</c15:txfldGUID>
                      <c15:f>Tabla!$H$161</c15:f>
                      <c15:dlblFieldTableCache>
                        <c:ptCount val="1"/>
                        <c:pt idx="0">
                          <c:v>95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DC4-4ED2-B418-BE71D54B4B0B}"/>
                </c:ext>
              </c:extLst>
            </c:dLbl>
            <c:dLbl>
              <c:idx val="6"/>
              <c:tx>
                <c:strRef>
                  <c:f>Tabla!$I$161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{97685089-D00C-4275-97BB-CB8461E61842}</c15:txfldGUID>
                      <c15:f>Tabla!$I$161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DC4-4ED2-B418-BE71D54B4B0B}"/>
                </c:ext>
              </c:extLst>
            </c:dLbl>
            <c:dLbl>
              <c:idx val="7"/>
              <c:tx>
                <c:strRef>
                  <c:f>Tabla!$J$161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{6802B341-ADD5-4944-AF46-664D4175140C}</c15:txfldGUID>
                      <c15:f>Tabla!$J$161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DC4-4ED2-B418-BE71D54B4B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Tabla!$C$157:$J$157</c:f>
              <c:numCache>
                <c:formatCode>0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82</c:v>
                </c:pt>
                <c:pt idx="3">
                  <c:v>86</c:v>
                </c:pt>
                <c:pt idx="4">
                  <c:v>86</c:v>
                </c:pt>
                <c:pt idx="5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DC4-4ED2-B418-BE71D54B4B0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892696528"/>
        <c:axId val="892684016"/>
      </c:barChart>
      <c:lineChart>
        <c:grouping val="standard"/>
        <c:varyColors val="0"/>
        <c:ser>
          <c:idx val="1"/>
          <c:order val="2"/>
          <c:tx>
            <c:strRef>
              <c:f>Tabla!$B$156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3975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Tabla!$C$156:$J$156</c:f>
              <c:numCache>
                <c:formatCode>0</c:formatCode>
                <c:ptCount val="8"/>
                <c:pt idx="0">
                  <c:v>93</c:v>
                </c:pt>
                <c:pt idx="1">
                  <c:v>87</c:v>
                </c:pt>
                <c:pt idx="2">
                  <c:v>88</c:v>
                </c:pt>
                <c:pt idx="3">
                  <c:v>95</c:v>
                </c:pt>
                <c:pt idx="4">
                  <c:v>93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DC4-4ED2-B418-BE71D54B4B0B}"/>
            </c:ext>
          </c:extLst>
        </c:ser>
        <c:ser>
          <c:idx val="2"/>
          <c:order val="3"/>
          <c:tx>
            <c:strRef>
              <c:f>Tabla!$B$158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DC4-4ED2-B418-BE71D54B4B0B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Tabla!$C$158:$J$158</c:f>
              <c:numCache>
                <c:formatCode>0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DC4-4ED2-B418-BE71D54B4B0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2696528"/>
        <c:axId val="892684016"/>
      </c:lineChart>
      <c:catAx>
        <c:axId val="892696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2684016"/>
        <c:crosses val="autoZero"/>
        <c:auto val="1"/>
        <c:lblAlgn val="ctr"/>
        <c:lblOffset val="100"/>
        <c:noMultiLvlLbl val="0"/>
      </c:catAx>
      <c:valAx>
        <c:axId val="892684016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89269652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7787307659996776"/>
          <c:w val="0.99836801305589551"/>
          <c:h val="0.7820018674781849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Tabla!$B$187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Tabla!$C$190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{453A3208-D3DA-4D88-8FCC-89438B4F0216}</c15:txfldGUID>
                      <c15:f>Tabla!$C$190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CF66-495B-9DD4-9412FFA6B49F}"/>
                </c:ext>
              </c:extLst>
            </c:dLbl>
            <c:dLbl>
              <c:idx val="1"/>
              <c:tx>
                <c:strRef>
                  <c:f>Tabla!$D$190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{DC5D3F4F-0D25-4040-84FC-D01FB77D9C27}</c15:txfldGUID>
                      <c15:f>Tabla!$D$190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CF66-495B-9DD4-9412FFA6B49F}"/>
                </c:ext>
              </c:extLst>
            </c:dLbl>
            <c:dLbl>
              <c:idx val="2"/>
              <c:tx>
                <c:strRef>
                  <c:f>Tabla!$E$190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{820B1FC0-2BAC-4B23-A4F9-5789CD9841A0}</c15:txfldGUID>
                      <c15:f>Tabla!$E$190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CF66-495B-9DD4-9412FFA6B49F}"/>
                </c:ext>
              </c:extLst>
            </c:dLbl>
            <c:dLbl>
              <c:idx val="3"/>
              <c:tx>
                <c:strRef>
                  <c:f>Tabla!$F$190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{831081E9-09E2-46D5-8DA0-B79C95710C84}</c15:txfldGUID>
                      <c15:f>Tabla!$F$190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CF66-495B-9DD4-9412FFA6B49F}"/>
                </c:ext>
              </c:extLst>
            </c:dLbl>
            <c:dLbl>
              <c:idx val="4"/>
              <c:tx>
                <c:strRef>
                  <c:f>Tabla!$G$190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{F5A93C1E-BC73-482D-9169-940E05F88F2B}</c15:txfldGUID>
                      <c15:f>Tabla!$G$190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CF66-495B-9DD4-9412FFA6B49F}"/>
                </c:ext>
              </c:extLst>
            </c:dLbl>
            <c:dLbl>
              <c:idx val="5"/>
              <c:tx>
                <c:strRef>
                  <c:f>Tabla!$H$190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{6F022008-898B-4032-A3F7-32FE3C63F207}</c15:txfldGUID>
                      <c15:f>Tabla!$H$190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CF66-495B-9DD4-9412FFA6B49F}"/>
                </c:ext>
              </c:extLst>
            </c:dLbl>
            <c:dLbl>
              <c:idx val="6"/>
              <c:tx>
                <c:strRef>
                  <c:f>Tabla!$I$190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{C6650066-2945-43AA-BFF9-98D2483C34A6}</c15:txfldGUID>
                      <c15:f>Tabla!$I$190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CF66-495B-9DD4-9412FFA6B49F}"/>
                </c:ext>
              </c:extLst>
            </c:dLbl>
            <c:dLbl>
              <c:idx val="7"/>
              <c:tx>
                <c:strRef>
                  <c:f>Tabla!$J$190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{0ACE9863-FC1A-4082-891F-38DC6C3B45EE}</c15:txfldGUID>
                      <c15:f>Tabla!$J$190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CF66-495B-9DD4-9412FFA6B4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Tabla!$C$190:$J$190</c:f>
              <c:numCache>
                <c:formatCode>0</c:formatCode>
                <c:ptCount val="8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F66-495B-9DD4-9412FFA6B49F}"/>
            </c:ext>
          </c:extLst>
        </c:ser>
        <c:ser>
          <c:idx val="0"/>
          <c:order val="1"/>
          <c:tx>
            <c:strRef>
              <c:f>Tabla!$B$187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Tabla!$C$191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{A77D8AFC-0DD3-4B02-BF2C-5886256532DE}</c15:txfldGUID>
                      <c15:f>Tabla!$C$191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CF66-495B-9DD4-9412FFA6B49F}"/>
                </c:ext>
              </c:extLst>
            </c:dLbl>
            <c:dLbl>
              <c:idx val="1"/>
              <c:tx>
                <c:strRef>
                  <c:f>Tabla!$D$191</c:f>
                  <c:strCache>
                    <c:ptCount val="1"/>
                    <c:pt idx="0">
                      <c:v>99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{ED38D3CD-FD45-4893-A4B4-61E7822909EC}</c15:txfldGUID>
                      <c15:f>Tabla!$D$191</c15:f>
                      <c15:dlblFieldTableCache>
                        <c:ptCount val="1"/>
                        <c:pt idx="0">
                          <c:v>99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CF66-495B-9DD4-9412FFA6B49F}"/>
                </c:ext>
              </c:extLst>
            </c:dLbl>
            <c:dLbl>
              <c:idx val="2"/>
              <c:tx>
                <c:strRef>
                  <c:f>Tabla!$E$191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{B95AAAFF-29DE-4378-AE43-428B24261757}</c15:txfldGUID>
                      <c15:f>Tabla!$E$191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CF66-495B-9DD4-9412FFA6B49F}"/>
                </c:ext>
              </c:extLst>
            </c:dLbl>
            <c:dLbl>
              <c:idx val="3"/>
              <c:tx>
                <c:strRef>
                  <c:f>Tabla!$F$191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{2BF4F948-2DCD-4A45-992A-E8D8AA9177CA}</c15:txfldGUID>
                      <c15:f>Tabla!$F$191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CF66-495B-9DD4-9412FFA6B49F}"/>
                </c:ext>
              </c:extLst>
            </c:dLbl>
            <c:dLbl>
              <c:idx val="4"/>
              <c:tx>
                <c:strRef>
                  <c:f>Tabla!$G$191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{F9F84A8D-8AE3-495C-9717-7CF89CF8E196}</c15:txfldGUID>
                      <c15:f>Tabla!$G$191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CF66-495B-9DD4-9412FFA6B49F}"/>
                </c:ext>
              </c:extLst>
            </c:dLbl>
            <c:dLbl>
              <c:idx val="5"/>
              <c:tx>
                <c:strRef>
                  <c:f>Tabla!$H$191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{9BFDA5AB-9655-437F-87A7-3B4A860F0731}</c15:txfldGUID>
                      <c15:f>Tabla!$H$191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CF66-495B-9DD4-9412FFA6B49F}"/>
                </c:ext>
              </c:extLst>
            </c:dLbl>
            <c:dLbl>
              <c:idx val="6"/>
              <c:tx>
                <c:strRef>
                  <c:f>Tabla!$I$191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{E86BD79B-21BA-4408-A3E4-3E00FF94A5BC}</c15:txfldGUID>
                      <c15:f>Tabla!$I$191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CF66-495B-9DD4-9412FFA6B49F}"/>
                </c:ext>
              </c:extLst>
            </c:dLbl>
            <c:dLbl>
              <c:idx val="7"/>
              <c:tx>
                <c:strRef>
                  <c:f>Tabla!$J$191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{7827C006-F567-4B20-A192-0CA2E557AEC8}</c15:txfldGUID>
                      <c15:f>Tabla!$J$191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CF66-495B-9DD4-9412FFA6B4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Tabla!$C$187:$J$187</c:f>
              <c:numCache>
                <c:formatCode>0</c:formatCode>
                <c:ptCount val="8"/>
                <c:pt idx="0">
                  <c:v>83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F66-495B-9DD4-9412FFA6B49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892686736"/>
        <c:axId val="892687280"/>
      </c:barChart>
      <c:lineChart>
        <c:grouping val="standard"/>
        <c:varyColors val="0"/>
        <c:ser>
          <c:idx val="1"/>
          <c:order val="2"/>
          <c:tx>
            <c:strRef>
              <c:f>Tabla!$B$186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3975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Tabla!$C$186:$J$186</c:f>
              <c:numCache>
                <c:formatCode>0</c:formatCode>
                <c:ptCount val="8"/>
                <c:pt idx="0">
                  <c:v>89</c:v>
                </c:pt>
                <c:pt idx="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F66-495B-9DD4-9412FFA6B49F}"/>
            </c:ext>
          </c:extLst>
        </c:ser>
        <c:ser>
          <c:idx val="2"/>
          <c:order val="3"/>
          <c:tx>
            <c:strRef>
              <c:f>Tabla!$B$188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F66-495B-9DD4-9412FFA6B49F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Tabla!$C$188:$J$188</c:f>
              <c:numCache>
                <c:formatCode>0</c:formatCode>
                <c:ptCount val="8"/>
                <c:pt idx="0">
                  <c:v>83</c:v>
                </c:pt>
                <c:pt idx="1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F66-495B-9DD4-9412FFA6B49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2686736"/>
        <c:axId val="892687280"/>
      </c:lineChart>
      <c:catAx>
        <c:axId val="892686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2687280"/>
        <c:crosses val="autoZero"/>
        <c:auto val="1"/>
        <c:lblAlgn val="ctr"/>
        <c:lblOffset val="100"/>
        <c:noMultiLvlLbl val="0"/>
      </c:catAx>
      <c:valAx>
        <c:axId val="892687280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8926867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7318433623218038"/>
          <c:w val="0.99836801305589551"/>
          <c:h val="0.78669080952709713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Tabla!$B$217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Tabla!$C$220</c:f>
                  <c:strCache>
                    <c:ptCount val="1"/>
                    <c:pt idx="0">
                      <c:v>71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{245B5886-AC62-4AF1-8866-B39B4124EF33}</c15:txfldGUID>
                      <c15:f>Tabla!$C$220</c15:f>
                      <c15:dlblFieldTableCache>
                        <c:ptCount val="1"/>
                        <c:pt idx="0">
                          <c:v>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611-44AF-94AC-C948137E2131}"/>
                </c:ext>
              </c:extLst>
            </c:dLbl>
            <c:dLbl>
              <c:idx val="1"/>
              <c:tx>
                <c:strRef>
                  <c:f>Tabla!$D$220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{BB006528-647D-4746-B630-E4DAA82561C5}</c15:txfldGUID>
                      <c15:f>Tabla!$D$220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611-44AF-94AC-C948137E2131}"/>
                </c:ext>
              </c:extLst>
            </c:dLbl>
            <c:dLbl>
              <c:idx val="2"/>
              <c:tx>
                <c:strRef>
                  <c:f>Tabla!$E$220</c:f>
                  <c:strCache>
                    <c:ptCount val="1"/>
                    <c:pt idx="0">
                      <c:v>85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{00A4D4CF-D2DC-4E61-9770-E8EECACA5920}</c15:txfldGUID>
                      <c15:f>Tabla!$E$220</c15:f>
                      <c15:dlblFieldTableCache>
                        <c:ptCount val="1"/>
                        <c:pt idx="0">
                          <c:v>85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611-44AF-94AC-C948137E2131}"/>
                </c:ext>
              </c:extLst>
            </c:dLbl>
            <c:dLbl>
              <c:idx val="3"/>
              <c:tx>
                <c:strRef>
                  <c:f>Tabla!$F$220</c:f>
                  <c:strCache>
                    <c:ptCount val="1"/>
                    <c:pt idx="0">
                      <c:v>81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{4A3232BE-223A-4CC7-A91C-2518F6D038BC}</c15:txfldGUID>
                      <c15:f>Tabla!$F$220</c15:f>
                      <c15:dlblFieldTableCache>
                        <c:ptCount val="1"/>
                        <c:pt idx="0">
                          <c:v>81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611-44AF-94AC-C948137E2131}"/>
                </c:ext>
              </c:extLst>
            </c:dLbl>
            <c:dLbl>
              <c:idx val="4"/>
              <c:tx>
                <c:strRef>
                  <c:f>Tabla!$G$220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{BCD1A7D4-DD76-4BCA-B467-79CDED0CD5B4}</c15:txfldGUID>
                      <c15:f>Tabla!$G$220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611-44AF-94AC-C948137E2131}"/>
                </c:ext>
              </c:extLst>
            </c:dLbl>
            <c:dLbl>
              <c:idx val="5"/>
              <c:tx>
                <c:strRef>
                  <c:f>Tabla!$H$220</c:f>
                  <c:strCache>
                    <c:ptCount val="1"/>
                    <c:pt idx="0">
                      <c:v>79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{328ABBFB-7EB9-4A70-BCC5-A92C8BE35BCF}</c15:txfldGUID>
                      <c15:f>Tabla!$H$220</c15:f>
                      <c15:dlblFieldTableCache>
                        <c:ptCount val="1"/>
                        <c:pt idx="0">
                          <c:v>79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611-44AF-94AC-C948137E2131}"/>
                </c:ext>
              </c:extLst>
            </c:dLbl>
            <c:dLbl>
              <c:idx val="6"/>
              <c:tx>
                <c:strRef>
                  <c:f>Tabla!$I$220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{DCE62D5D-0D3F-4CB5-AA12-5D327C00C92D}</c15:txfldGUID>
                      <c15:f>Tabla!$I$220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1611-44AF-94AC-C948137E2131}"/>
                </c:ext>
              </c:extLst>
            </c:dLbl>
            <c:dLbl>
              <c:idx val="7"/>
              <c:tx>
                <c:strRef>
                  <c:f>Tabla!$J$220</c:f>
                  <c:strCache>
                    <c:ptCount val="1"/>
                    <c:pt idx="0">
                      <c:v>77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{DAC356F1-7A14-4B49-ABAE-14D3D46F20C6}</c15:txfldGUID>
                      <c15:f>Tabla!$J$220</c15:f>
                      <c15:dlblFieldTableCache>
                        <c:ptCount val="1"/>
                        <c:pt idx="0">
                          <c:v>77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611-44AF-94AC-C948137E21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Tabla!$C$220:$J$220</c:f>
              <c:numCache>
                <c:formatCode>0</c:formatCode>
                <c:ptCount val="8"/>
                <c:pt idx="0">
                  <c:v>71</c:v>
                </c:pt>
                <c:pt idx="1">
                  <c:v>0</c:v>
                </c:pt>
                <c:pt idx="2">
                  <c:v>85</c:v>
                </c:pt>
                <c:pt idx="3">
                  <c:v>81</c:v>
                </c:pt>
                <c:pt idx="4">
                  <c:v>82</c:v>
                </c:pt>
                <c:pt idx="5">
                  <c:v>79</c:v>
                </c:pt>
                <c:pt idx="6">
                  <c:v>80</c:v>
                </c:pt>
                <c:pt idx="7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611-44AF-94AC-C948137E2131}"/>
            </c:ext>
          </c:extLst>
        </c:ser>
        <c:ser>
          <c:idx val="0"/>
          <c:order val="1"/>
          <c:tx>
            <c:strRef>
              <c:f>Tabla!$B$217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Tabla!$C$221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{C5635F48-6C78-43F0-AA6E-5AE1A921DD9D}</c15:txfldGUID>
                      <c15:f>Tabla!$C$221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1611-44AF-94AC-C948137E2131}"/>
                </c:ext>
              </c:extLst>
            </c:dLbl>
            <c:dLbl>
              <c:idx val="1"/>
              <c:tx>
                <c:strRef>
                  <c:f>Tabla!$D$221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{5E9458C4-6227-4653-ABAA-FB41BB6A991F}</c15:txfldGUID>
                      <c15:f>Tabla!$D$221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611-44AF-94AC-C948137E2131}"/>
                </c:ext>
              </c:extLst>
            </c:dLbl>
            <c:dLbl>
              <c:idx val="2"/>
              <c:tx>
                <c:strRef>
                  <c:f>Tabla!$E$221</c:f>
                  <c:strCache>
                    <c:ptCount val="1"/>
                    <c:pt idx="0">
                      <c:v>87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{6324D8BE-804E-4D0F-A6D8-7FE5476B23F3}</c15:txfldGUID>
                      <c15:f>Tabla!$E$221</c15:f>
                      <c15:dlblFieldTableCache>
                        <c:ptCount val="1"/>
                        <c:pt idx="0">
                          <c:v>87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1611-44AF-94AC-C948137E2131}"/>
                </c:ext>
              </c:extLst>
            </c:dLbl>
            <c:dLbl>
              <c:idx val="3"/>
              <c:tx>
                <c:strRef>
                  <c:f>Tabla!$F$221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{287452C1-D343-4E60-AB80-05B9E727DD7F}</c15:txfldGUID>
                      <c15:f>Tabla!$F$221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1611-44AF-94AC-C948137E2131}"/>
                </c:ext>
              </c:extLst>
            </c:dLbl>
            <c:dLbl>
              <c:idx val="4"/>
              <c:tx>
                <c:strRef>
                  <c:f>Tabla!$G$221</c:f>
                  <c:strCache>
                    <c:ptCount val="1"/>
                    <c:pt idx="0">
                      <c:v>84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{3B3BD401-BECD-433D-B570-8550D399B15C}</c15:txfldGUID>
                      <c15:f>Tabla!$G$221</c15:f>
                      <c15:dlblFieldTableCache>
                        <c:ptCount val="1"/>
                        <c:pt idx="0">
                          <c:v>84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611-44AF-94AC-C948137E2131}"/>
                </c:ext>
              </c:extLst>
            </c:dLbl>
            <c:dLbl>
              <c:idx val="5"/>
              <c:tx>
                <c:strRef>
                  <c:f>Tabla!$H$221</c:f>
                  <c:strCache>
                    <c:ptCount val="1"/>
                    <c:pt idx="0">
                      <c:v>94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{55136CFD-E98B-4618-8FA0-57898C25CA0F}</c15:txfldGUID>
                      <c15:f>Tabla!$H$221</c15:f>
                      <c15:dlblFieldTableCache>
                        <c:ptCount val="1"/>
                        <c:pt idx="0">
                          <c:v>94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1611-44AF-94AC-C948137E2131}"/>
                </c:ext>
              </c:extLst>
            </c:dLbl>
            <c:dLbl>
              <c:idx val="6"/>
              <c:tx>
                <c:strRef>
                  <c:f>Tabla!$I$221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{44F28060-7BF1-4554-BC8F-EE979E9E9469}</c15:txfldGUID>
                      <c15:f>Tabla!$I$221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1611-44AF-94AC-C948137E2131}"/>
                </c:ext>
              </c:extLst>
            </c:dLbl>
            <c:dLbl>
              <c:idx val="7"/>
              <c:tx>
                <c:strRef>
                  <c:f>Tabla!$J$221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{F6D451E5-67CF-4F9D-AA22-CE1014ABD1EE}</c15:txfldGUID>
                      <c15:f>Tabla!$J$221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1611-44AF-94AC-C948137E21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Tabla!$C$217:$J$217</c:f>
              <c:numCache>
                <c:formatCode>0</c:formatCode>
                <c:ptCount val="8"/>
                <c:pt idx="0">
                  <c:v>80</c:v>
                </c:pt>
                <c:pt idx="1">
                  <c:v>0</c:v>
                </c:pt>
                <c:pt idx="2">
                  <c:v>87</c:v>
                </c:pt>
                <c:pt idx="3">
                  <c:v>76</c:v>
                </c:pt>
                <c:pt idx="4">
                  <c:v>84</c:v>
                </c:pt>
                <c:pt idx="5">
                  <c:v>94</c:v>
                </c:pt>
                <c:pt idx="6">
                  <c:v>83</c:v>
                </c:pt>
                <c:pt idx="7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611-44AF-94AC-C948137E213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892689456"/>
        <c:axId val="1096043264"/>
      </c:barChart>
      <c:lineChart>
        <c:grouping val="standard"/>
        <c:varyColors val="0"/>
        <c:ser>
          <c:idx val="1"/>
          <c:order val="2"/>
          <c:tx>
            <c:strRef>
              <c:f>Tabla!$B$216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Tabla!$C$216:$J$216</c:f>
              <c:numCache>
                <c:formatCode>0</c:formatCode>
                <c:ptCount val="8"/>
                <c:pt idx="0">
                  <c:v>88</c:v>
                </c:pt>
                <c:pt idx="2">
                  <c:v>94</c:v>
                </c:pt>
                <c:pt idx="3">
                  <c:v>75</c:v>
                </c:pt>
                <c:pt idx="4">
                  <c:v>91</c:v>
                </c:pt>
                <c:pt idx="5">
                  <c:v>100</c:v>
                </c:pt>
                <c:pt idx="6">
                  <c:v>86</c:v>
                </c:pt>
                <c:pt idx="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611-44AF-94AC-C948137E2131}"/>
            </c:ext>
          </c:extLst>
        </c:ser>
        <c:ser>
          <c:idx val="2"/>
          <c:order val="3"/>
          <c:tx>
            <c:strRef>
              <c:f>Tabla!$B$218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611-44AF-94AC-C948137E2131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Tabla!$C$218:$J$218</c:f>
              <c:numCache>
                <c:formatCode>0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611-44AF-94AC-C948137E213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2689456"/>
        <c:axId val="1096043264"/>
      </c:lineChart>
      <c:catAx>
        <c:axId val="892689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6043264"/>
        <c:crosses val="autoZero"/>
        <c:auto val="1"/>
        <c:lblAlgn val="ctr"/>
        <c:lblOffset val="100"/>
        <c:noMultiLvlLbl val="0"/>
      </c:catAx>
      <c:valAx>
        <c:axId val="109604326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892689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7123233583530423"/>
          <c:w val="0.99836801305589551"/>
          <c:h val="0.7886428156846332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Tabla!$B$247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Tabla!$C$250</c:f>
                  <c:strCache>
                    <c:ptCount val="1"/>
                    <c:pt idx="0">
                      <c:v>71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{1AB9CBFD-FE6D-4005-99B5-A2120FCE3ABB}</c15:txfldGUID>
                      <c15:f>Tabla!$C$250</c15:f>
                      <c15:dlblFieldTableCache>
                        <c:ptCount val="1"/>
                        <c:pt idx="0">
                          <c:v>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B10-44B5-8802-11AADC88B1CB}"/>
                </c:ext>
              </c:extLst>
            </c:dLbl>
            <c:dLbl>
              <c:idx val="1"/>
              <c:tx>
                <c:strRef>
                  <c:f>Tabla!$D$250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{E9ADD501-6892-4C2B-B6B4-BA45EEF2FEED}</c15:txfldGUID>
                      <c15:f>Tabla!$D$250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B10-44B5-8802-11AADC88B1CB}"/>
                </c:ext>
              </c:extLst>
            </c:dLbl>
            <c:dLbl>
              <c:idx val="2"/>
              <c:tx>
                <c:strRef>
                  <c:f>Tabla!$E$250</c:f>
                  <c:strCache>
                    <c:ptCount val="1"/>
                    <c:pt idx="0">
                      <c:v>85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{6BB165A3-D63F-44D5-801C-0C22D0520139}</c15:txfldGUID>
                      <c15:f>Tabla!$E$250</c15:f>
                      <c15:dlblFieldTableCache>
                        <c:ptCount val="1"/>
                        <c:pt idx="0">
                          <c:v>85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B10-44B5-8802-11AADC88B1CB}"/>
                </c:ext>
              </c:extLst>
            </c:dLbl>
            <c:dLbl>
              <c:idx val="3"/>
              <c:tx>
                <c:strRef>
                  <c:f>Tabla!$F$250</c:f>
                  <c:strCache>
                    <c:ptCount val="1"/>
                    <c:pt idx="0">
                      <c:v>81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{3D309183-1E52-445B-9C6A-3D2B614B6971}</c15:txfldGUID>
                      <c15:f>Tabla!$F$250</c15:f>
                      <c15:dlblFieldTableCache>
                        <c:ptCount val="1"/>
                        <c:pt idx="0">
                          <c:v>81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B10-44B5-8802-11AADC88B1CB}"/>
                </c:ext>
              </c:extLst>
            </c:dLbl>
            <c:dLbl>
              <c:idx val="4"/>
              <c:tx>
                <c:strRef>
                  <c:f>Tabla!$G$250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{A1D964B4-FF02-4061-B21B-316E16C13DD0}</c15:txfldGUID>
                      <c15:f>Tabla!$G$250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B10-44B5-8802-11AADC88B1CB}"/>
                </c:ext>
              </c:extLst>
            </c:dLbl>
            <c:dLbl>
              <c:idx val="5"/>
              <c:tx>
                <c:strRef>
                  <c:f>Tabla!$H$250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{47457090-B358-428F-A8EB-618EC5A43408}</c15:txfldGUID>
                      <c15:f>Tabla!$H$250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B10-44B5-8802-11AADC88B1CB}"/>
                </c:ext>
              </c:extLst>
            </c:dLbl>
            <c:dLbl>
              <c:idx val="6"/>
              <c:tx>
                <c:strRef>
                  <c:f>Tabla!$I$250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{FDBDE38F-6EFA-44EE-A5E1-8873B81CD21C}</c15:txfldGUID>
                      <c15:f>Tabla!$I$250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B10-44B5-8802-11AADC88B1CB}"/>
                </c:ext>
              </c:extLst>
            </c:dLbl>
            <c:dLbl>
              <c:idx val="7"/>
              <c:tx>
                <c:strRef>
                  <c:f>Tabla!$J$250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{A6C12136-2B48-4D42-A5AC-677BD515E7AF}</c15:txfldGUID>
                      <c15:f>Tabla!$J$250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B10-44B5-8802-11AADC88B1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Tabla!$C$250:$J$250</c:f>
              <c:numCache>
                <c:formatCode>0</c:formatCode>
                <c:ptCount val="8"/>
                <c:pt idx="0">
                  <c:v>71</c:v>
                </c:pt>
                <c:pt idx="1">
                  <c:v>0</c:v>
                </c:pt>
                <c:pt idx="2">
                  <c:v>85</c:v>
                </c:pt>
                <c:pt idx="3">
                  <c:v>81</c:v>
                </c:pt>
                <c:pt idx="4">
                  <c:v>82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10-44B5-8802-11AADC88B1CB}"/>
            </c:ext>
          </c:extLst>
        </c:ser>
        <c:ser>
          <c:idx val="0"/>
          <c:order val="1"/>
          <c:tx>
            <c:strRef>
              <c:f>Tabla!$B$247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Tabla!$C$251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{54373CAE-7E56-467A-91A2-FD1F6E534410}</c15:txfldGUID>
                      <c15:f>Tabla!$C$251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B10-44B5-8802-11AADC88B1CB}"/>
                </c:ext>
              </c:extLst>
            </c:dLbl>
            <c:dLbl>
              <c:idx val="1"/>
              <c:tx>
                <c:strRef>
                  <c:f>Tabla!$D$251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{B27EC3BA-7709-4D8C-9028-D565B513C690}</c15:txfldGUID>
                      <c15:f>Tabla!$D$251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B10-44B5-8802-11AADC88B1CB}"/>
                </c:ext>
              </c:extLst>
            </c:dLbl>
            <c:dLbl>
              <c:idx val="2"/>
              <c:tx>
                <c:strRef>
                  <c:f>Tabla!$E$251</c:f>
                  <c:strCache>
                    <c:ptCount val="1"/>
                    <c:pt idx="0">
                      <c:v>87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{19AAE5BF-B06E-46B0-8C3B-C5EB8296958E}</c15:txfldGUID>
                      <c15:f>Tabla!$E$251</c15:f>
                      <c15:dlblFieldTableCache>
                        <c:ptCount val="1"/>
                        <c:pt idx="0">
                          <c:v>87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B10-44B5-8802-11AADC88B1CB}"/>
                </c:ext>
              </c:extLst>
            </c:dLbl>
            <c:dLbl>
              <c:idx val="3"/>
              <c:tx>
                <c:strRef>
                  <c:f>Tabla!$F$251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{98074BAF-CB14-46AF-8811-7F4FB826CC42}</c15:txfldGUID>
                      <c15:f>Tabla!$F$251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B10-44B5-8802-11AADC88B1CB}"/>
                </c:ext>
              </c:extLst>
            </c:dLbl>
            <c:dLbl>
              <c:idx val="4"/>
              <c:tx>
                <c:strRef>
                  <c:f>Tabla!$G$251</c:f>
                  <c:strCache>
                    <c:ptCount val="1"/>
                    <c:pt idx="0">
                      <c:v>84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{92A0D536-8E5F-4830-A2B4-7BF289E23F8F}</c15:txfldGUID>
                      <c15:f>Tabla!$G$251</c15:f>
                      <c15:dlblFieldTableCache>
                        <c:ptCount val="1"/>
                        <c:pt idx="0">
                          <c:v>84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B10-44B5-8802-11AADC88B1CB}"/>
                </c:ext>
              </c:extLst>
            </c:dLbl>
            <c:dLbl>
              <c:idx val="5"/>
              <c:tx>
                <c:strRef>
                  <c:f>Tabla!$H$251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{2B0B6275-A612-42C7-9E02-D0ED38EABC92}</c15:txfldGUID>
                      <c15:f>Tabla!$H$251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B10-44B5-8802-11AADC88B1CB}"/>
                </c:ext>
              </c:extLst>
            </c:dLbl>
            <c:dLbl>
              <c:idx val="6"/>
              <c:tx>
                <c:strRef>
                  <c:f>Tabla!$I$251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{3DB5CA6A-CDA6-489C-A4B9-0BEDDBFF018F}</c15:txfldGUID>
                      <c15:f>Tabla!$I$251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B10-44B5-8802-11AADC88B1CB}"/>
                </c:ext>
              </c:extLst>
            </c:dLbl>
            <c:dLbl>
              <c:idx val="7"/>
              <c:tx>
                <c:strRef>
                  <c:f>Tabla!$J$251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{F2D39B08-5C76-469E-9976-B8C8BD1A96CC}</c15:txfldGUID>
                      <c15:f>Tabla!$J$251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B10-44B5-8802-11AADC88B1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Tabla!$C$247:$J$247</c:f>
              <c:numCache>
                <c:formatCode>0</c:formatCode>
                <c:ptCount val="8"/>
                <c:pt idx="0">
                  <c:v>80</c:v>
                </c:pt>
                <c:pt idx="1">
                  <c:v>0</c:v>
                </c:pt>
                <c:pt idx="2">
                  <c:v>87</c:v>
                </c:pt>
                <c:pt idx="3">
                  <c:v>76</c:v>
                </c:pt>
                <c:pt idx="4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B10-44B5-8802-11AADC88B1C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096055232"/>
        <c:axId val="1096049792"/>
      </c:barChart>
      <c:lineChart>
        <c:grouping val="standard"/>
        <c:varyColors val="0"/>
        <c:ser>
          <c:idx val="1"/>
          <c:order val="2"/>
          <c:tx>
            <c:strRef>
              <c:f>Tabla!$B$246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Tabla!$C$246:$J$246</c:f>
              <c:numCache>
                <c:formatCode>0</c:formatCode>
                <c:ptCount val="8"/>
                <c:pt idx="0">
                  <c:v>88</c:v>
                </c:pt>
                <c:pt idx="2">
                  <c:v>94</c:v>
                </c:pt>
                <c:pt idx="3">
                  <c:v>75</c:v>
                </c:pt>
                <c:pt idx="4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B10-44B5-8802-11AADC88B1CB}"/>
            </c:ext>
          </c:extLst>
        </c:ser>
        <c:ser>
          <c:idx val="2"/>
          <c:order val="3"/>
          <c:tx>
            <c:strRef>
              <c:f>Tabla!$B$248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B10-44B5-8802-11AADC88B1CB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Tabla!$C$248:$J$248</c:f>
              <c:numCache>
                <c:formatCode>0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B10-44B5-8802-11AADC88B1C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6055232"/>
        <c:axId val="1096049792"/>
      </c:lineChart>
      <c:catAx>
        <c:axId val="1096055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6049792"/>
        <c:crosses val="autoZero"/>
        <c:auto val="1"/>
        <c:lblAlgn val="ctr"/>
        <c:lblOffset val="100"/>
        <c:noMultiLvlLbl val="0"/>
      </c:catAx>
      <c:valAx>
        <c:axId val="1096049792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0960552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7199340785154041"/>
          <c:w val="0.99836801305589551"/>
          <c:h val="0.7878816488657145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Tabla!$B$277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Tabla!$C$280</c:f>
                  <c:strCache>
                    <c:ptCount val="1"/>
                    <c:pt idx="0">
                      <c:v>79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{7E91E976-C394-4AC8-A01C-389900A19E90}</c15:txfldGUID>
                      <c15:f>Tabla!$C$280</c15:f>
                      <c15:dlblFieldTableCache>
                        <c:ptCount val="1"/>
                        <c:pt idx="0">
                          <c:v>79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D7E1-462B-95B0-A548F3ED2D8E}"/>
                </c:ext>
              </c:extLst>
            </c:dLbl>
            <c:dLbl>
              <c:idx val="1"/>
              <c:tx>
                <c:strRef>
                  <c:f>Tabla!$D$280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{B3C23084-9682-49EF-9E3E-43ED1984F683}</c15:txfldGUID>
                      <c15:f>Tabla!$D$280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D7E1-462B-95B0-A548F3ED2D8E}"/>
                </c:ext>
              </c:extLst>
            </c:dLbl>
            <c:dLbl>
              <c:idx val="2"/>
              <c:tx>
                <c:strRef>
                  <c:f>Tabla!$E$280</c:f>
                  <c:strCache>
                    <c:ptCount val="1"/>
                    <c:pt idx="0">
                      <c:v>77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{15863E6A-FF6F-44D1-AF62-A0B6E11A7804}</c15:txfldGUID>
                      <c15:f>Tabla!$E$280</c15:f>
                      <c15:dlblFieldTableCache>
                        <c:ptCount val="1"/>
                        <c:pt idx="0">
                          <c:v>77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D7E1-462B-95B0-A548F3ED2D8E}"/>
                </c:ext>
              </c:extLst>
            </c:dLbl>
            <c:dLbl>
              <c:idx val="3"/>
              <c:tx>
                <c:strRef>
                  <c:f>Tabla!$F$280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{38FC34DF-AADC-4907-9A9B-B4473DE2BBE5}</c15:txfldGUID>
                      <c15:f>Tabla!$F$280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D7E1-462B-95B0-A548F3ED2D8E}"/>
                </c:ext>
              </c:extLst>
            </c:dLbl>
            <c:dLbl>
              <c:idx val="4"/>
              <c:tx>
                <c:strRef>
                  <c:f>Tabla!$G$280</c:f>
                  <c:strCache>
                    <c:ptCount val="1"/>
                    <c:pt idx="0">
                      <c:v>71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{6A706E10-3041-4EAC-A560-6C3A001D279E}</c15:txfldGUID>
                      <c15:f>Tabla!$G$280</c15:f>
                      <c15:dlblFieldTableCache>
                        <c:ptCount val="1"/>
                        <c:pt idx="0">
                          <c:v>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D7E1-462B-95B0-A548F3ED2D8E}"/>
                </c:ext>
              </c:extLst>
            </c:dLbl>
            <c:dLbl>
              <c:idx val="5"/>
              <c:tx>
                <c:strRef>
                  <c:f>Tabla!$H$280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{0FFBD1DF-DB0E-4F3B-BAFF-760E453CBD22}</c15:txfldGUID>
                      <c15:f>Tabla!$H$280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D7E1-462B-95B0-A548F3ED2D8E}"/>
                </c:ext>
              </c:extLst>
            </c:dLbl>
            <c:dLbl>
              <c:idx val="6"/>
              <c:tx>
                <c:strRef>
                  <c:f>Tabla!$I$280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{6E655462-2A11-4B4D-9684-EC0DC9322300}</c15:txfldGUID>
                      <c15:f>Tabla!$I$280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D7E1-462B-95B0-A548F3ED2D8E}"/>
                </c:ext>
              </c:extLst>
            </c:dLbl>
            <c:dLbl>
              <c:idx val="7"/>
              <c:tx>
                <c:strRef>
                  <c:f>Tabla!$J$280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{8844A02F-7138-4A96-97F0-274913A4BD79}</c15:txfldGUID>
                      <c15:f>Tabla!$J$280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D7E1-462B-95B0-A548F3ED2D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Tabla!$C$280:$J$280</c:f>
              <c:numCache>
                <c:formatCode>0</c:formatCode>
                <c:ptCount val="8"/>
                <c:pt idx="0">
                  <c:v>79</c:v>
                </c:pt>
                <c:pt idx="1">
                  <c:v>80</c:v>
                </c:pt>
                <c:pt idx="2">
                  <c:v>77</c:v>
                </c:pt>
                <c:pt idx="3">
                  <c:v>78</c:v>
                </c:pt>
                <c:pt idx="4">
                  <c:v>71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7E1-462B-95B0-A548F3ED2D8E}"/>
            </c:ext>
          </c:extLst>
        </c:ser>
        <c:ser>
          <c:idx val="0"/>
          <c:order val="1"/>
          <c:tx>
            <c:strRef>
              <c:f>Tabla!$B$277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Tabla!$C$281</c:f>
                  <c:strCache>
                    <c:ptCount val="1"/>
                    <c:pt idx="0">
                      <c:v>94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{53FDBAD8-6F17-4D9F-B0C6-88343DA38CEB}</c15:txfldGUID>
                      <c15:f>Tabla!$C$281</c15:f>
                      <c15:dlblFieldTableCache>
                        <c:ptCount val="1"/>
                        <c:pt idx="0">
                          <c:v>94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D7E1-462B-95B0-A548F3ED2D8E}"/>
                </c:ext>
              </c:extLst>
            </c:dLbl>
            <c:dLbl>
              <c:idx val="1"/>
              <c:tx>
                <c:strRef>
                  <c:f>Tabla!$D$281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{0E477F87-E06D-47B7-9B43-BF5086F30117}</c15:txfldGUID>
                      <c15:f>Tabla!$D$281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D7E1-462B-95B0-A548F3ED2D8E}"/>
                </c:ext>
              </c:extLst>
            </c:dLbl>
            <c:dLbl>
              <c:idx val="2"/>
              <c:tx>
                <c:strRef>
                  <c:f>Tabla!$E$281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{6F111A1A-9BFC-44D8-978C-E96F4FCF58BB}</c15:txfldGUID>
                      <c15:f>Tabla!$E$281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D7E1-462B-95B0-A548F3ED2D8E}"/>
                </c:ext>
              </c:extLst>
            </c:dLbl>
            <c:dLbl>
              <c:idx val="3"/>
              <c:tx>
                <c:strRef>
                  <c:f>Tabla!$F$281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{17591006-CB10-48F3-9D97-ABF4AF2EBA58}</c15:txfldGUID>
                      <c15:f>Tabla!$F$281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D7E1-462B-95B0-A548F3ED2D8E}"/>
                </c:ext>
              </c:extLst>
            </c:dLbl>
            <c:dLbl>
              <c:idx val="4"/>
              <c:tx>
                <c:strRef>
                  <c:f>Tabla!$G$281</c:f>
                  <c:strCache>
                    <c:ptCount val="1"/>
                    <c:pt idx="0">
                      <c:v>86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{3F7DECC3-D960-4A94-A90F-28963A818FDE}</c15:txfldGUID>
                      <c15:f>Tabla!$G$281</c15:f>
                      <c15:dlblFieldTableCache>
                        <c:ptCount val="1"/>
                        <c:pt idx="0">
                          <c:v>86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D7E1-462B-95B0-A548F3ED2D8E}"/>
                </c:ext>
              </c:extLst>
            </c:dLbl>
            <c:dLbl>
              <c:idx val="5"/>
              <c:tx>
                <c:strRef>
                  <c:f>Tabla!$H$281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{A5B7C819-76DF-438B-950E-E5DB82D24F0C}</c15:txfldGUID>
                      <c15:f>Tabla!$H$281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D7E1-462B-95B0-A548F3ED2D8E}"/>
                </c:ext>
              </c:extLst>
            </c:dLbl>
            <c:dLbl>
              <c:idx val="6"/>
              <c:tx>
                <c:strRef>
                  <c:f>Tabla!$I$281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{75181D86-C074-42DA-A503-EF577E21CE4D}</c15:txfldGUID>
                      <c15:f>Tabla!$I$281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D7E1-462B-95B0-A548F3ED2D8E}"/>
                </c:ext>
              </c:extLst>
            </c:dLbl>
            <c:dLbl>
              <c:idx val="7"/>
              <c:tx>
                <c:strRef>
                  <c:f>Tabla!$J$281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{95EA9EED-D689-4B23-BF17-92D365E600ED}</c15:txfldGUID>
                      <c15:f>Tabla!$J$281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D7E1-462B-95B0-A548F3ED2D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Tabla!$C$277:$J$277</c:f>
              <c:numCache>
                <c:formatCode>0</c:formatCode>
                <c:ptCount val="8"/>
                <c:pt idx="0">
                  <c:v>94</c:v>
                </c:pt>
                <c:pt idx="1">
                  <c:v>83</c:v>
                </c:pt>
                <c:pt idx="2">
                  <c:v>82</c:v>
                </c:pt>
                <c:pt idx="3">
                  <c:v>82</c:v>
                </c:pt>
                <c:pt idx="4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7E1-462B-95B0-A548F3ED2D8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096048160"/>
        <c:axId val="1096047072"/>
      </c:barChart>
      <c:lineChart>
        <c:grouping val="standard"/>
        <c:varyColors val="0"/>
        <c:ser>
          <c:idx val="1"/>
          <c:order val="2"/>
          <c:tx>
            <c:strRef>
              <c:f>Tabla!$B$276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Tabla!$C$276:$J$276</c:f>
              <c:numCache>
                <c:formatCode>0</c:formatCode>
                <c:ptCount val="8"/>
                <c:pt idx="0">
                  <c:v>100</c:v>
                </c:pt>
                <c:pt idx="1">
                  <c:v>86</c:v>
                </c:pt>
                <c:pt idx="2">
                  <c:v>90</c:v>
                </c:pt>
                <c:pt idx="3">
                  <c:v>87</c:v>
                </c:pt>
                <c:pt idx="4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7E1-462B-95B0-A548F3ED2D8E}"/>
            </c:ext>
          </c:extLst>
        </c:ser>
        <c:ser>
          <c:idx val="2"/>
          <c:order val="3"/>
          <c:tx>
            <c:strRef>
              <c:f>Tabla!$B$278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7E1-462B-95B0-A548F3ED2D8E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Tabla!$C$278:$J$278</c:f>
              <c:numCache>
                <c:formatCode>0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7E1-462B-95B0-A548F3ED2D8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6048160"/>
        <c:axId val="1096047072"/>
      </c:lineChart>
      <c:catAx>
        <c:axId val="1096048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6047072"/>
        <c:crosses val="autoZero"/>
        <c:auto val="1"/>
        <c:lblAlgn val="ctr"/>
        <c:lblOffset val="100"/>
        <c:noMultiLvlLbl val="0"/>
      </c:catAx>
      <c:valAx>
        <c:axId val="1096047072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0960481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7470126626391799"/>
          <c:w val="0.99836801305589551"/>
          <c:h val="0.78517366354224027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Tabla!$B$307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Tabla!$C$310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{16D03177-DD94-44FC-88E5-D943D5B8137A}</c15:txfldGUID>
                      <c15:f>Tabla!$C$310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D0-4754-9D38-FF2517D5A9AC}"/>
                </c:ext>
              </c:extLst>
            </c:dLbl>
            <c:dLbl>
              <c:idx val="1"/>
              <c:tx>
                <c:strRef>
                  <c:f>Tabla!$D$310</c:f>
                  <c:strCache>
                    <c:ptCount val="1"/>
                    <c:pt idx="0">
                      <c:v>74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{AD5D50A2-EDDC-4687-A2EF-B7A0ADD4E9A5}</c15:txfldGUID>
                      <c15:f>Tabla!$D$310</c15:f>
                      <c15:dlblFieldTableCache>
                        <c:ptCount val="1"/>
                        <c:pt idx="0">
                          <c:v>74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CD0-4754-9D38-FF2517D5A9AC}"/>
                </c:ext>
              </c:extLst>
            </c:dLbl>
            <c:dLbl>
              <c:idx val="2"/>
              <c:tx>
                <c:strRef>
                  <c:f>Tabla!$E$310</c:f>
                  <c:strCache>
                    <c:ptCount val="1"/>
                    <c:pt idx="0">
                      <c:v>62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{E4B14407-5F8D-41D8-B8C8-0CB112F19127}</c15:txfldGUID>
                      <c15:f>Tabla!$E$310</c15:f>
                      <c15:dlblFieldTableCache>
                        <c:ptCount val="1"/>
                        <c:pt idx="0">
                          <c:v>62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3CD0-4754-9D38-FF2517D5A9AC}"/>
                </c:ext>
              </c:extLst>
            </c:dLbl>
            <c:dLbl>
              <c:idx val="3"/>
              <c:tx>
                <c:strRef>
                  <c:f>Tabla!$F$310</c:f>
                  <c:strCache>
                    <c:ptCount val="1"/>
                    <c:pt idx="0">
                      <c:v>58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{ED91264C-6A63-45C8-8C13-A18AF4EA9DBA}</c15:txfldGUID>
                      <c15:f>Tabla!$F$310</c15:f>
                      <c15:dlblFieldTableCache>
                        <c:ptCount val="1"/>
                        <c:pt idx="0">
                          <c:v>58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CD0-4754-9D38-FF2517D5A9AC}"/>
                </c:ext>
              </c:extLst>
            </c:dLbl>
            <c:dLbl>
              <c:idx val="4"/>
              <c:tx>
                <c:strRef>
                  <c:f>Tabla!$G$310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{9A2C99D3-D264-4006-975D-D070338B0A25}</c15:txfldGUID>
                      <c15:f>Tabla!$G$310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3CD0-4754-9D38-FF2517D5A9AC}"/>
                </c:ext>
              </c:extLst>
            </c:dLbl>
            <c:dLbl>
              <c:idx val="5"/>
              <c:tx>
                <c:strRef>
                  <c:f>Tabla!$H$310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{5A8CA0A6-EE91-493C-975D-B64446D6FC8B}</c15:txfldGUID>
                      <c15:f>Tabla!$H$310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CD0-4754-9D38-FF2517D5A9AC}"/>
                </c:ext>
              </c:extLst>
            </c:dLbl>
            <c:dLbl>
              <c:idx val="6"/>
              <c:tx>
                <c:strRef>
                  <c:f>Tabla!$I$310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{8C43EA3C-9C74-42A9-9288-84AAF93D809D}</c15:txfldGUID>
                      <c15:f>Tabla!$I$310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3CD0-4754-9D38-FF2517D5A9AC}"/>
                </c:ext>
              </c:extLst>
            </c:dLbl>
            <c:dLbl>
              <c:idx val="7"/>
              <c:tx>
                <c:strRef>
                  <c:f>Tabla!$J$310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{6F35594D-8814-4CBC-AD9D-843D42CD6479}</c15:txfldGUID>
                      <c15:f>Tabla!$J$310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CD0-4754-9D38-FF2517D5A9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Tabla!$C$310:$J$310</c:f>
              <c:numCache>
                <c:formatCode>0</c:formatCode>
                <c:ptCount val="8"/>
                <c:pt idx="0">
                  <c:v>82</c:v>
                </c:pt>
                <c:pt idx="1">
                  <c:v>74</c:v>
                </c:pt>
                <c:pt idx="2">
                  <c:v>62</c:v>
                </c:pt>
                <c:pt idx="3">
                  <c:v>58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D0-4754-9D38-FF2517D5A9AC}"/>
            </c:ext>
          </c:extLst>
        </c:ser>
        <c:ser>
          <c:idx val="0"/>
          <c:order val="1"/>
          <c:tx>
            <c:strRef>
              <c:f>Tabla!$B$307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Tabla!$C$311</c:f>
                  <c:strCache>
                    <c:ptCount val="1"/>
                    <c:pt idx="0">
                      <c:v>86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{7933E0B9-ED03-438A-8554-EAF8747B9F50}</c15:txfldGUID>
                      <c15:f>Tabla!$C$311</c15:f>
                      <c15:dlblFieldTableCache>
                        <c:ptCount val="1"/>
                        <c:pt idx="0">
                          <c:v>86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CD0-4754-9D38-FF2517D5A9AC}"/>
                </c:ext>
              </c:extLst>
            </c:dLbl>
            <c:dLbl>
              <c:idx val="1"/>
              <c:tx>
                <c:strRef>
                  <c:f>Tabla!$D$311</c:f>
                  <c:strCache>
                    <c:ptCount val="1"/>
                    <c:pt idx="0">
                      <c:v>77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{18166717-B430-486C-BFE1-C120B8ABE644}</c15:txfldGUID>
                      <c15:f>Tabla!$D$311</c15:f>
                      <c15:dlblFieldTableCache>
                        <c:ptCount val="1"/>
                        <c:pt idx="0">
                          <c:v>77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D0-4754-9D38-FF2517D5A9AC}"/>
                </c:ext>
              </c:extLst>
            </c:dLbl>
            <c:dLbl>
              <c:idx val="2"/>
              <c:tx>
                <c:strRef>
                  <c:f>Tabla!$E$311</c:f>
                  <c:strCache>
                    <c:ptCount val="1"/>
                    <c:pt idx="0">
                      <c:v>73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{F5D3A523-8168-4B21-B153-68863A00FEA4}</c15:txfldGUID>
                      <c15:f>Tabla!$E$311</c15:f>
                      <c15:dlblFieldTableCache>
                        <c:ptCount val="1"/>
                        <c:pt idx="0">
                          <c:v>73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3CD0-4754-9D38-FF2517D5A9AC}"/>
                </c:ext>
              </c:extLst>
            </c:dLbl>
            <c:dLbl>
              <c:idx val="3"/>
              <c:tx>
                <c:strRef>
                  <c:f>Tabla!$F$311</c:f>
                  <c:strCache>
                    <c:ptCount val="1"/>
                    <c:pt idx="0">
                      <c:v>54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{4BE58691-DF75-416D-81B6-FACFF0DA4F87}</c15:txfldGUID>
                      <c15:f>Tabla!$F$311</c15:f>
                      <c15:dlblFieldTableCache>
                        <c:ptCount val="1"/>
                        <c:pt idx="0">
                          <c:v>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3CD0-4754-9D38-FF2517D5A9AC}"/>
                </c:ext>
              </c:extLst>
            </c:dLbl>
            <c:dLbl>
              <c:idx val="4"/>
              <c:tx>
                <c:strRef>
                  <c:f>Tabla!$G$311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{A642473B-E9B3-4811-BF74-0FACF5E931BA}</c15:txfldGUID>
                      <c15:f>Tabla!$G$311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3CD0-4754-9D38-FF2517D5A9AC}"/>
                </c:ext>
              </c:extLst>
            </c:dLbl>
            <c:dLbl>
              <c:idx val="5"/>
              <c:tx>
                <c:strRef>
                  <c:f>Tabla!$H$311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{C5058CCD-318D-466A-99A5-0468C952D334}</c15:txfldGUID>
                      <c15:f>Tabla!$H$311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3CD0-4754-9D38-FF2517D5A9AC}"/>
                </c:ext>
              </c:extLst>
            </c:dLbl>
            <c:dLbl>
              <c:idx val="6"/>
              <c:tx>
                <c:strRef>
                  <c:f>Tabla!$I$311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{F9EB09E3-3C34-4273-A8B4-DEF46C155DE7}</c15:txfldGUID>
                      <c15:f>Tabla!$I$311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3CD0-4754-9D38-FF2517D5A9AC}"/>
                </c:ext>
              </c:extLst>
            </c:dLbl>
            <c:dLbl>
              <c:idx val="7"/>
              <c:tx>
                <c:strRef>
                  <c:f>Tabla!$J$311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{435B775C-CD70-477A-B525-5CCD9FAA7D62}</c15:txfldGUID>
                      <c15:f>Tabla!$J$311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CD0-4754-9D38-FF2517D5A9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Tabla!$C$307:$J$307</c:f>
              <c:numCache>
                <c:formatCode>0</c:formatCode>
                <c:ptCount val="8"/>
                <c:pt idx="0">
                  <c:v>86</c:v>
                </c:pt>
                <c:pt idx="1">
                  <c:v>77</c:v>
                </c:pt>
                <c:pt idx="2">
                  <c:v>73</c:v>
                </c:pt>
                <c:pt idx="3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CD0-4754-9D38-FF2517D5A9A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096041632"/>
        <c:axId val="1096053600"/>
      </c:barChart>
      <c:lineChart>
        <c:grouping val="standard"/>
        <c:varyColors val="0"/>
        <c:ser>
          <c:idx val="1"/>
          <c:order val="2"/>
          <c:tx>
            <c:strRef>
              <c:f>Tabla!$B$306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Tabla!$C$306:$J$306</c:f>
              <c:numCache>
                <c:formatCode>0</c:formatCode>
                <c:ptCount val="8"/>
                <c:pt idx="0">
                  <c:v>91</c:v>
                </c:pt>
                <c:pt idx="1">
                  <c:v>89</c:v>
                </c:pt>
                <c:pt idx="2">
                  <c:v>80</c:v>
                </c:pt>
                <c:pt idx="3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CD0-4754-9D38-FF2517D5A9AC}"/>
            </c:ext>
          </c:extLst>
        </c:ser>
        <c:ser>
          <c:idx val="2"/>
          <c:order val="3"/>
          <c:tx>
            <c:strRef>
              <c:f>Tabla!$B$308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CD0-4754-9D38-FF2517D5A9AC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Tabla!$C$308:$J$308</c:f>
              <c:numCache>
                <c:formatCode>0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CD0-4754-9D38-FF2517D5A9A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6041632"/>
        <c:axId val="1096053600"/>
      </c:lineChart>
      <c:catAx>
        <c:axId val="1096041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6053600"/>
        <c:crosses val="autoZero"/>
        <c:auto val="1"/>
        <c:lblAlgn val="ctr"/>
        <c:lblOffset val="100"/>
        <c:noMultiLvlLbl val="0"/>
      </c:catAx>
      <c:valAx>
        <c:axId val="1096053600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0960416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7746082215943401"/>
          <c:w val="0.99836801305589551"/>
          <c:h val="0.78241397841502358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Tabla!$B$337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Tabla!$C$340</c:f>
                  <c:strCache>
                    <c:ptCount val="1"/>
                    <c:pt idx="0">
                      <c:v>79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{CC1EB66D-D6E6-46B9-BCDD-B31B97277867}</c15:txfldGUID>
                      <c15:f>Tabla!$C$340</c15:f>
                      <c15:dlblFieldTableCache>
                        <c:ptCount val="1"/>
                        <c:pt idx="0">
                          <c:v>79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505-4F7C-B00D-4B7632967247}"/>
                </c:ext>
              </c:extLst>
            </c:dLbl>
            <c:dLbl>
              <c:idx val="1"/>
              <c:tx>
                <c:strRef>
                  <c:f>Tabla!$D$340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{890E63C5-F470-4327-93AE-11504FCACF0F}</c15:txfldGUID>
                      <c15:f>Tabla!$D$340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505-4F7C-B00D-4B7632967247}"/>
                </c:ext>
              </c:extLst>
            </c:dLbl>
            <c:dLbl>
              <c:idx val="2"/>
              <c:tx>
                <c:strRef>
                  <c:f>Tabla!$E$340</c:f>
                  <c:strCache>
                    <c:ptCount val="1"/>
                    <c:pt idx="0">
                      <c:v>44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{F5CAE97D-1B35-45B5-B46F-78F93E3495BC}</c15:txfldGUID>
                      <c15:f>Tabla!$E$340</c15:f>
                      <c15:dlblFieldTableCache>
                        <c:ptCount val="1"/>
                        <c:pt idx="0">
                          <c:v>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F505-4F7C-B00D-4B7632967247}"/>
                </c:ext>
              </c:extLst>
            </c:dLbl>
            <c:dLbl>
              <c:idx val="3"/>
              <c:tx>
                <c:strRef>
                  <c:f>Tabla!$F$340</c:f>
                  <c:strCache>
                    <c:ptCount val="1"/>
                    <c:pt idx="0">
                      <c:v>84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{9853C1EF-5E05-4829-B76B-D9756EBE107F}</c15:txfldGUID>
                      <c15:f>Tabla!$F$340</c15:f>
                      <c15:dlblFieldTableCache>
                        <c:ptCount val="1"/>
                        <c:pt idx="0">
                          <c:v>84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505-4F7C-B00D-4B7632967247}"/>
                </c:ext>
              </c:extLst>
            </c:dLbl>
            <c:dLbl>
              <c:idx val="4"/>
              <c:tx>
                <c:strRef>
                  <c:f>Tabla!$G$340</c:f>
                  <c:strCache>
                    <c:ptCount val="1"/>
                    <c:pt idx="0">
                      <c:v>50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{0DCAFBD0-B402-4909-AEB7-F2FEFE0D669A}</c15:txfldGUID>
                      <c15:f>Tabla!$G$340</c15:f>
                      <c15:dlblFieldTableCache>
                        <c:ptCount val="1"/>
                        <c:pt idx="0">
                          <c:v>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F505-4F7C-B00D-4B7632967247}"/>
                </c:ext>
              </c:extLst>
            </c:dLbl>
            <c:dLbl>
              <c:idx val="5"/>
              <c:tx>
                <c:strRef>
                  <c:f>Tabla!$H$340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{A440AC1B-7481-4958-B390-B504DCB25031}</c15:txfldGUID>
                      <c15:f>Tabla!$H$340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505-4F7C-B00D-4B7632967247}"/>
                </c:ext>
              </c:extLst>
            </c:dLbl>
            <c:dLbl>
              <c:idx val="6"/>
              <c:tx>
                <c:strRef>
                  <c:f>Tabla!$I$340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{E04F7F1D-6E26-4381-A6A9-8273CDD617B9}</c15:txfldGUID>
                      <c15:f>Tabla!$I$340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F505-4F7C-B00D-4B7632967247}"/>
                </c:ext>
              </c:extLst>
            </c:dLbl>
            <c:dLbl>
              <c:idx val="7"/>
              <c:tx>
                <c:strRef>
                  <c:f>Tabla!$J$340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{7BCA03EE-3DDB-47AE-988D-9191A5336179}</c15:txfldGUID>
                      <c15:f>Tabla!$J$340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505-4F7C-B00D-4B76329672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Tabla!$C$340:$J$340</c:f>
              <c:numCache>
                <c:formatCode>0</c:formatCode>
                <c:ptCount val="8"/>
                <c:pt idx="0">
                  <c:v>79</c:v>
                </c:pt>
                <c:pt idx="1">
                  <c:v>78</c:v>
                </c:pt>
                <c:pt idx="2">
                  <c:v>44</c:v>
                </c:pt>
                <c:pt idx="3">
                  <c:v>84</c:v>
                </c:pt>
                <c:pt idx="4">
                  <c:v>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05-4F7C-B00D-4B7632967247}"/>
            </c:ext>
          </c:extLst>
        </c:ser>
        <c:ser>
          <c:idx val="0"/>
          <c:order val="1"/>
          <c:tx>
            <c:strRef>
              <c:f>Tabla!$B$337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Tabla!$C$341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{EB3AB151-9EA2-4AFE-9070-630CB5DC2697}</c15:txfldGUID>
                      <c15:f>Tabla!$C$341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505-4F7C-B00D-4B7632967247}"/>
                </c:ext>
              </c:extLst>
            </c:dLbl>
            <c:dLbl>
              <c:idx val="1"/>
              <c:tx>
                <c:strRef>
                  <c:f>Tabla!$D$341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{148A4417-C3E0-4159-8652-0F544EBC2BF1}</c15:txfldGUID>
                      <c15:f>Tabla!$D$341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505-4F7C-B00D-4B7632967247}"/>
                </c:ext>
              </c:extLst>
            </c:dLbl>
            <c:dLbl>
              <c:idx val="2"/>
              <c:tx>
                <c:strRef>
                  <c:f>Tabla!$E$341</c:f>
                  <c:strCache>
                    <c:ptCount val="1"/>
                    <c:pt idx="0">
                      <c:v>33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{F4B1AF55-3184-4052-950F-CDABDA9E94E6}</c15:txfldGUID>
                      <c15:f>Tabla!$E$341</c15:f>
                      <c15:dlblFieldTableCache>
                        <c:ptCount val="1"/>
                        <c:pt idx="0">
                          <c:v>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505-4F7C-B00D-4B7632967247}"/>
                </c:ext>
              </c:extLst>
            </c:dLbl>
            <c:dLbl>
              <c:idx val="3"/>
              <c:tx>
                <c:strRef>
                  <c:f>Tabla!$F$341</c:f>
                  <c:strCache>
                    <c:ptCount val="1"/>
                    <c:pt idx="0">
                      <c:v>87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{85C3AE71-04C7-4A5C-B5DA-4C945C9D854C}</c15:txfldGUID>
                      <c15:f>Tabla!$F$341</c15:f>
                      <c15:dlblFieldTableCache>
                        <c:ptCount val="1"/>
                        <c:pt idx="0">
                          <c:v>87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F505-4F7C-B00D-4B7632967247}"/>
                </c:ext>
              </c:extLst>
            </c:dLbl>
            <c:dLbl>
              <c:idx val="4"/>
              <c:tx>
                <c:strRef>
                  <c:f>Tabla!$G$341</c:f>
                  <c:strCache>
                    <c:ptCount val="1"/>
                    <c:pt idx="0">
                      <c:v>69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{AAD6E7D6-C583-44AB-A97C-D7E07E3A71F7}</c15:txfldGUID>
                      <c15:f>Tabla!$G$341</c15:f>
                      <c15:dlblFieldTableCache>
                        <c:ptCount val="1"/>
                        <c:pt idx="0">
                          <c:v>69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F505-4F7C-B00D-4B7632967247}"/>
                </c:ext>
              </c:extLst>
            </c:dLbl>
            <c:dLbl>
              <c:idx val="5"/>
              <c:tx>
                <c:strRef>
                  <c:f>Tabla!$H$341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{EB10DBC8-33E2-44D0-9548-B9F85A6FD087}</c15:txfldGUID>
                      <c15:f>Tabla!$H$341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F505-4F7C-B00D-4B7632967247}"/>
                </c:ext>
              </c:extLst>
            </c:dLbl>
            <c:dLbl>
              <c:idx val="6"/>
              <c:tx>
                <c:strRef>
                  <c:f>Tabla!$I$341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{3C586C84-2F21-4E1E-967E-1DB5E697DD4C}</c15:txfldGUID>
                      <c15:f>Tabla!$I$341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505-4F7C-B00D-4B7632967247}"/>
                </c:ext>
              </c:extLst>
            </c:dLbl>
            <c:dLbl>
              <c:idx val="7"/>
              <c:tx>
                <c:strRef>
                  <c:f>Tabla!$J$341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{F7A13147-EFAE-4541-BD88-20FB6D6D76F9}</c15:txfldGUID>
                      <c15:f>Tabla!$J$341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F505-4F7C-B00D-4B76329672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Tabla!$C$337:$J$337</c:f>
              <c:numCache>
                <c:formatCode>0</c:formatCode>
                <c:ptCount val="8"/>
                <c:pt idx="0">
                  <c:v>82</c:v>
                </c:pt>
                <c:pt idx="1">
                  <c:v>83</c:v>
                </c:pt>
                <c:pt idx="2">
                  <c:v>33</c:v>
                </c:pt>
                <c:pt idx="3">
                  <c:v>87</c:v>
                </c:pt>
                <c:pt idx="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505-4F7C-B00D-4B763296724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096042176"/>
        <c:axId val="1096044896"/>
      </c:barChart>
      <c:lineChart>
        <c:grouping val="standard"/>
        <c:varyColors val="0"/>
        <c:ser>
          <c:idx val="1"/>
          <c:order val="2"/>
          <c:tx>
            <c:strRef>
              <c:f>Tabla!$B$336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Tabla!$C$336:$J$336</c:f>
              <c:numCache>
                <c:formatCode>0</c:formatCode>
                <c:ptCount val="8"/>
                <c:pt idx="0">
                  <c:v>85</c:v>
                </c:pt>
                <c:pt idx="1">
                  <c:v>92</c:v>
                </c:pt>
                <c:pt idx="2">
                  <c:v>25</c:v>
                </c:pt>
                <c:pt idx="3">
                  <c:v>95</c:v>
                </c:pt>
                <c:pt idx="4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505-4F7C-B00D-4B7632967247}"/>
            </c:ext>
          </c:extLst>
        </c:ser>
        <c:ser>
          <c:idx val="2"/>
          <c:order val="3"/>
          <c:tx>
            <c:strRef>
              <c:f>Tabla!$B$338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F505-4F7C-B00D-4B7632967247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Tabla!$C$338:$J$338</c:f>
              <c:numCache>
                <c:formatCode>0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505-4F7C-B00D-4B763296724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6042176"/>
        <c:axId val="1096044896"/>
      </c:lineChart>
      <c:catAx>
        <c:axId val="1096042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6044896"/>
        <c:crosses val="autoZero"/>
        <c:auto val="1"/>
        <c:lblAlgn val="ctr"/>
        <c:lblOffset val="100"/>
        <c:noMultiLvlLbl val="0"/>
      </c:catAx>
      <c:valAx>
        <c:axId val="1096044896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0960421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7050777839806264"/>
          <c:w val="0.99836801305589551"/>
          <c:h val="0.7893674477818901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Tabla!$B$367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Tabla!$C$370</c:f>
                  <c:strCache>
                    <c:ptCount val="1"/>
                    <c:pt idx="0">
                      <c:v>89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{262A4DB6-F398-44C0-BC19-5B779DE4EEE9}</c15:txfldGUID>
                      <c15:f>Tabla!$C$370</c15:f>
                      <c15:dlblFieldTableCache>
                        <c:ptCount val="1"/>
                        <c:pt idx="0">
                          <c:v>89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4535-41F1-9563-0EB17F86A309}"/>
                </c:ext>
              </c:extLst>
            </c:dLbl>
            <c:dLbl>
              <c:idx val="1"/>
              <c:tx>
                <c:strRef>
                  <c:f>Tabla!$D$370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{15EA5788-DF5A-42BF-A7E7-2BBDBE4F45E0}</c15:txfldGUID>
                      <c15:f>Tabla!$D$370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4535-41F1-9563-0EB17F86A309}"/>
                </c:ext>
              </c:extLst>
            </c:dLbl>
            <c:dLbl>
              <c:idx val="2"/>
              <c:tx>
                <c:strRef>
                  <c:f>Tabla!$E$370</c:f>
                  <c:strCache>
                    <c:ptCount val="1"/>
                    <c:pt idx="0">
                      <c:v>79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{61FC666A-A61D-4A05-9AF5-EBFC2E0DE374}</c15:txfldGUID>
                      <c15:f>Tabla!$E$370</c15:f>
                      <c15:dlblFieldTableCache>
                        <c:ptCount val="1"/>
                        <c:pt idx="0">
                          <c:v>79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4535-41F1-9563-0EB17F86A309}"/>
                </c:ext>
              </c:extLst>
            </c:dLbl>
            <c:dLbl>
              <c:idx val="3"/>
              <c:tx>
                <c:strRef>
                  <c:f>Tabla!$F$370</c:f>
                  <c:strCache>
                    <c:ptCount val="1"/>
                    <c:pt idx="0">
                      <c:v>61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{866671B9-0D19-436C-AE4C-83471136BEC4}</c15:txfldGUID>
                      <c15:f>Tabla!$F$370</c15:f>
                      <c15:dlblFieldTableCache>
                        <c:ptCount val="1"/>
                        <c:pt idx="0">
                          <c:v>61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4535-41F1-9563-0EB17F86A309}"/>
                </c:ext>
              </c:extLst>
            </c:dLbl>
            <c:dLbl>
              <c:idx val="4"/>
              <c:tx>
                <c:strRef>
                  <c:f>Tabla!$G$370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{A2BE9698-FAA4-4EAD-9D4C-A712DAFB505E}</c15:txfldGUID>
                      <c15:f>Tabla!$G$370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535-41F1-9563-0EB17F86A309}"/>
                </c:ext>
              </c:extLst>
            </c:dLbl>
            <c:dLbl>
              <c:idx val="5"/>
              <c:tx>
                <c:strRef>
                  <c:f>Tabla!$H$370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{3D6BFC01-1E51-45AF-B263-60E0EBCF93C9}</c15:txfldGUID>
                      <c15:f>Tabla!$H$370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4535-41F1-9563-0EB17F86A309}"/>
                </c:ext>
              </c:extLst>
            </c:dLbl>
            <c:dLbl>
              <c:idx val="6"/>
              <c:tx>
                <c:strRef>
                  <c:f>Tabla!$I$370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{69982C28-E096-4562-9676-44CDB67265C1}</c15:txfldGUID>
                      <c15:f>Tabla!$I$370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4535-41F1-9563-0EB17F86A309}"/>
                </c:ext>
              </c:extLst>
            </c:dLbl>
            <c:dLbl>
              <c:idx val="7"/>
              <c:tx>
                <c:strRef>
                  <c:f>Tabla!$J$370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{E3370ABB-0A59-4EBF-9924-C54ABE04FF97}</c15:txfldGUID>
                      <c15:f>Tabla!$J$370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4535-41F1-9563-0EB17F86A3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Tabla!$C$370:$J$370</c:f>
              <c:numCache>
                <c:formatCode>0</c:formatCode>
                <c:ptCount val="8"/>
                <c:pt idx="0">
                  <c:v>89</c:v>
                </c:pt>
                <c:pt idx="1">
                  <c:v>80</c:v>
                </c:pt>
                <c:pt idx="2">
                  <c:v>79</c:v>
                </c:pt>
                <c:pt idx="3">
                  <c:v>61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535-41F1-9563-0EB17F86A309}"/>
            </c:ext>
          </c:extLst>
        </c:ser>
        <c:ser>
          <c:idx val="0"/>
          <c:order val="1"/>
          <c:tx>
            <c:strRef>
              <c:f>Tabla!$B$367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Tabla!$C$371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{536AD776-D4CA-4B9E-AF22-AFD02018FABE}</c15:txfldGUID>
                      <c15:f>Tabla!$C$371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4535-41F1-9563-0EB17F86A309}"/>
                </c:ext>
              </c:extLst>
            </c:dLbl>
            <c:dLbl>
              <c:idx val="1"/>
              <c:tx>
                <c:strRef>
                  <c:f>Tabla!$D$371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{FDC43565-655F-4740-80F4-1BBF99F1D814}</c15:txfldGUID>
                      <c15:f>Tabla!$D$371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4535-41F1-9563-0EB17F86A309}"/>
                </c:ext>
              </c:extLst>
            </c:dLbl>
            <c:dLbl>
              <c:idx val="2"/>
              <c:tx>
                <c:strRef>
                  <c:f>Tabla!$E$371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{6E60A4EB-39C5-45BD-8DDB-04AA5708C961}</c15:txfldGUID>
                      <c15:f>Tabla!$E$371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4535-41F1-9563-0EB17F86A309}"/>
                </c:ext>
              </c:extLst>
            </c:dLbl>
            <c:dLbl>
              <c:idx val="3"/>
              <c:tx>
                <c:strRef>
                  <c:f>Tabla!$F$371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{3F3D6D4D-45D1-44EF-A66C-69B98C6FAC38}</c15:txfldGUID>
                      <c15:f>Tabla!$F$371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4535-41F1-9563-0EB17F86A309}"/>
                </c:ext>
              </c:extLst>
            </c:dLbl>
            <c:dLbl>
              <c:idx val="4"/>
              <c:tx>
                <c:strRef>
                  <c:f>Tabla!$G$371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{04337A07-A8D8-4D54-BDF4-AD3DB68892D1}</c15:txfldGUID>
                      <c15:f>Tabla!$G$371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4535-41F1-9563-0EB17F86A309}"/>
                </c:ext>
              </c:extLst>
            </c:dLbl>
            <c:dLbl>
              <c:idx val="5"/>
              <c:tx>
                <c:strRef>
                  <c:f>Tabla!$H$371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{102FEC29-2B13-490F-AC47-0B7BE3A581A5}</c15:txfldGUID>
                      <c15:f>Tabla!$H$371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4535-41F1-9563-0EB17F86A309}"/>
                </c:ext>
              </c:extLst>
            </c:dLbl>
            <c:dLbl>
              <c:idx val="6"/>
              <c:tx>
                <c:strRef>
                  <c:f>Tabla!$I$371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{0F21F0FC-DFCC-44B0-8960-98A9169F5476}</c15:txfldGUID>
                      <c15:f>Tabla!$I$371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4535-41F1-9563-0EB17F86A309}"/>
                </c:ext>
              </c:extLst>
            </c:dLbl>
            <c:dLbl>
              <c:idx val="7"/>
              <c:tx>
                <c:strRef>
                  <c:f>Tabla!$J$371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{CA948AEA-2D86-4D79-A0AC-23CA5FE8CB92}</c15:txfldGUID>
                      <c15:f>Tabla!$J$371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4535-41F1-9563-0EB17F86A3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Tabla!$C$367:$J$367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4535-41F1-9563-0EB17F86A30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096045440"/>
        <c:axId val="1096042720"/>
      </c:barChart>
      <c:lineChart>
        <c:grouping val="standard"/>
        <c:varyColors val="0"/>
        <c:ser>
          <c:idx val="1"/>
          <c:order val="2"/>
          <c:tx>
            <c:strRef>
              <c:f>Tabla!$B$366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Tabla!$C$366:$J$366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535-41F1-9563-0EB17F86A309}"/>
            </c:ext>
          </c:extLst>
        </c:ser>
        <c:ser>
          <c:idx val="2"/>
          <c:order val="3"/>
          <c:tx>
            <c:strRef>
              <c:f>Tabla!$B$368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535-41F1-9563-0EB17F86A309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Tabla!$C$368:$J$368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535-41F1-9563-0EB17F86A30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6045440"/>
        <c:axId val="1096042720"/>
      </c:lineChart>
      <c:catAx>
        <c:axId val="1096045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6042720"/>
        <c:crosses val="autoZero"/>
        <c:auto val="1"/>
        <c:lblAlgn val="ctr"/>
        <c:lblOffset val="100"/>
        <c:noMultiLvlLbl val="0"/>
      </c:catAx>
      <c:valAx>
        <c:axId val="1096042720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0960454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7123226822591645"/>
          <c:w val="0.99836801305589551"/>
          <c:h val="0.78864289913691921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Tabla!$B$397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{317093CF-4EC4-41ED-B52B-618486BB7977}</c15:txfldGUID>
                      <c15:f>Tabla!$C$400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034-4F2C-901A-6200B761E490}"/>
                </c:ext>
              </c:extLst>
            </c:dLbl>
            <c:dLbl>
              <c:idx val="1"/>
              <c:tx>
                <c:strRef>
                  <c:f>Tabla!$D$400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{0E15DF01-5ADA-4245-8E01-641463E82407}</c15:txfldGUID>
                      <c15:f>Tabla!$D$400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034-4F2C-901A-6200B761E490}"/>
                </c:ext>
              </c:extLst>
            </c:dLbl>
            <c:dLbl>
              <c:idx val="2"/>
              <c:tx>
                <c:strRef>
                  <c:f>Tabla!$E$400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{F87B5F06-FBF9-4A9E-A235-E977B3D4C0FD}</c15:txfldGUID>
                      <c15:f>Tabla!$E$400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034-4F2C-901A-6200B761E490}"/>
                </c:ext>
              </c:extLst>
            </c:dLbl>
            <c:dLbl>
              <c:idx val="3"/>
              <c:tx>
                <c:strRef>
                  <c:f>Tabla!$F$400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{3038D17A-3F81-4EBB-8FCB-BD73ADE21395}</c15:txfldGUID>
                      <c15:f>Tabla!$F$400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034-4F2C-901A-6200B761E490}"/>
                </c:ext>
              </c:extLst>
            </c:dLbl>
            <c:dLbl>
              <c:idx val="4"/>
              <c:tx>
                <c:strRef>
                  <c:f>Tabla!$G$400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{FF365ABD-7C6E-4DDD-B771-830D127AA519}</c15:txfldGUID>
                      <c15:f>Tabla!$G$400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034-4F2C-901A-6200B761E490}"/>
                </c:ext>
              </c:extLst>
            </c:dLbl>
            <c:dLbl>
              <c:idx val="5"/>
              <c:tx>
                <c:strRef>
                  <c:f>Tabla!$H$400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{EE3024DB-B4FD-4B9B-BE56-F6F8FC984718}</c15:txfldGUID>
                      <c15:f>Tabla!$H$400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034-4F2C-901A-6200B761E490}"/>
                </c:ext>
              </c:extLst>
            </c:dLbl>
            <c:dLbl>
              <c:idx val="6"/>
              <c:tx>
                <c:strRef>
                  <c:f>Tabla!$I$400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{F162AF24-84FB-43B1-937A-70ED97AF5FA5}</c15:txfldGUID>
                      <c15:f>Tabla!$I$400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034-4F2C-901A-6200B761E490}"/>
                </c:ext>
              </c:extLst>
            </c:dLbl>
            <c:dLbl>
              <c:idx val="7"/>
              <c:tx>
                <c:strRef>
                  <c:f>Tabla!$J$400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{90CEFF85-61D9-4135-8665-E9C1A5104DF8}</c15:txfldGUID>
                      <c15:f>Tabla!$J$400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034-4F2C-901A-6200B761E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Tabla!$C$400:$J$400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34-4F2C-901A-6200B761E490}"/>
            </c:ext>
          </c:extLst>
        </c:ser>
        <c:ser>
          <c:idx val="0"/>
          <c:order val="1"/>
          <c:tx>
            <c:strRef>
              <c:f>Tabla!$B$397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{D163AADD-96F3-4A6F-9488-F97CCD1B99AE}</c15:txfldGUID>
                      <c15:f>Tabla!$C$401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034-4F2C-901A-6200B761E490}"/>
                </c:ext>
              </c:extLst>
            </c:dLbl>
            <c:dLbl>
              <c:idx val="1"/>
              <c:tx>
                <c:strRef>
                  <c:f>Tabla!$D$401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{EF260EB5-3B3A-42AB-A37B-3D61EE140783}</c15:txfldGUID>
                      <c15:f>Tabla!$D$401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034-4F2C-901A-6200B761E490}"/>
                </c:ext>
              </c:extLst>
            </c:dLbl>
            <c:dLbl>
              <c:idx val="2"/>
              <c:tx>
                <c:strRef>
                  <c:f>Tabla!$E$401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{90DF9807-456B-47EB-ABB3-14134499A989}</c15:txfldGUID>
                      <c15:f>Tabla!$E$401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034-4F2C-901A-6200B761E490}"/>
                </c:ext>
              </c:extLst>
            </c:dLbl>
            <c:dLbl>
              <c:idx val="3"/>
              <c:tx>
                <c:strRef>
                  <c:f>Tabla!$F$401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{5F28E9DF-B1F6-4B30-865A-23256D2A58E2}</c15:txfldGUID>
                      <c15:f>Tabla!$F$401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034-4F2C-901A-6200B761E490}"/>
                </c:ext>
              </c:extLst>
            </c:dLbl>
            <c:dLbl>
              <c:idx val="4"/>
              <c:tx>
                <c:strRef>
                  <c:f>Tabla!$G$401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{3EC16E8C-11EE-4C37-B3C1-4ECB8C415007}</c15:txfldGUID>
                      <c15:f>Tabla!$G$401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034-4F2C-901A-6200B761E490}"/>
                </c:ext>
              </c:extLst>
            </c:dLbl>
            <c:dLbl>
              <c:idx val="5"/>
              <c:tx>
                <c:strRef>
                  <c:f>Tabla!$H$401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{F820208E-7E3B-4F69-9129-FC9580BD5171}</c15:txfldGUID>
                      <c15:f>Tabla!$H$401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0034-4F2C-901A-6200B761E490}"/>
                </c:ext>
              </c:extLst>
            </c:dLbl>
            <c:dLbl>
              <c:idx val="6"/>
              <c:tx>
                <c:strRef>
                  <c:f>Tabla!$I$401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{7687C9E2-6C6B-4628-B50F-868C74ADB481}</c15:txfldGUID>
                      <c15:f>Tabla!$I$401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034-4F2C-901A-6200B761E490}"/>
                </c:ext>
              </c:extLst>
            </c:dLbl>
            <c:dLbl>
              <c:idx val="7"/>
              <c:tx>
                <c:strRef>
                  <c:f>Tabla!$J$401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{3E9547CC-D175-42B1-9F55-3EF99B1FB50F}</c15:txfldGUID>
                      <c15:f>Tabla!$J$401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034-4F2C-901A-6200B761E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Tabla!$C$397:$J$397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0034-4F2C-901A-6200B761E49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096051424"/>
        <c:axId val="1096051968"/>
      </c:barChart>
      <c:lineChart>
        <c:grouping val="standard"/>
        <c:varyColors val="0"/>
        <c:ser>
          <c:idx val="1"/>
          <c:order val="2"/>
          <c:tx>
            <c:strRef>
              <c:f>Tabla!$B$396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Tabla!$C$396:$J$396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034-4F2C-901A-6200B761E490}"/>
            </c:ext>
          </c:extLst>
        </c:ser>
        <c:ser>
          <c:idx val="2"/>
          <c:order val="3"/>
          <c:tx>
            <c:strRef>
              <c:f>Tabla!$B$398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034-4F2C-901A-6200B761E490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Tabla!$C$398:$J$398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034-4F2C-901A-6200B761E49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6051424"/>
        <c:axId val="1096051968"/>
      </c:lineChart>
      <c:catAx>
        <c:axId val="1096051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6051968"/>
        <c:crosses val="autoZero"/>
        <c:auto val="1"/>
        <c:lblAlgn val="ctr"/>
        <c:lblOffset val="100"/>
        <c:noMultiLvlLbl val="0"/>
      </c:catAx>
      <c:valAx>
        <c:axId val="109605196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09605142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6657419397056872"/>
          <c:w val="0.99836801305589551"/>
          <c:h val="0.79330072001792618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Tabla!$B$427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Tabla!$C$430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{74C2A576-4EB9-4AB7-821F-5277E449B028}</c15:txfldGUID>
                      <c15:f>Tabla!$C$430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30D-4C60-9714-77B282EAF21E}"/>
                </c:ext>
              </c:extLst>
            </c:dLbl>
            <c:dLbl>
              <c:idx val="1"/>
              <c:tx>
                <c:strRef>
                  <c:f>Tabla!$D$430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{7FF95D72-AF9D-4F69-B82B-6C6C0A6E5D07}</c15:txfldGUID>
                      <c15:f>Tabla!$D$430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30D-4C60-9714-77B282EAF21E}"/>
                </c:ext>
              </c:extLst>
            </c:dLbl>
            <c:dLbl>
              <c:idx val="2"/>
              <c:tx>
                <c:strRef>
                  <c:f>Tabla!$E$430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{B817C254-C40E-490C-A60A-9D870FEDB155}</c15:txfldGUID>
                      <c15:f>Tabla!$E$430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30D-4C60-9714-77B282EAF21E}"/>
                </c:ext>
              </c:extLst>
            </c:dLbl>
            <c:dLbl>
              <c:idx val="3"/>
              <c:tx>
                <c:strRef>
                  <c:f>Tabla!$F$430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{ED561F43-722E-499E-8564-C3CF4EDBA456}</c15:txfldGUID>
                      <c15:f>Tabla!$F$430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30D-4C60-9714-77B282EAF21E}"/>
                </c:ext>
              </c:extLst>
            </c:dLbl>
            <c:dLbl>
              <c:idx val="4"/>
              <c:tx>
                <c:strRef>
                  <c:f>Tabla!$G$430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{23325EE0-E532-4DEC-B01E-BED667CFFCAB}</c15:txfldGUID>
                      <c15:f>Tabla!$G$430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30D-4C60-9714-77B282EAF21E}"/>
                </c:ext>
              </c:extLst>
            </c:dLbl>
            <c:dLbl>
              <c:idx val="5"/>
              <c:tx>
                <c:strRef>
                  <c:f>Tabla!$H$430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{69BB3C3A-DA49-4D97-B4F3-5174114AD817}</c15:txfldGUID>
                      <c15:f>Tabla!$H$430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30D-4C60-9714-77B282EAF21E}"/>
                </c:ext>
              </c:extLst>
            </c:dLbl>
            <c:dLbl>
              <c:idx val="6"/>
              <c:tx>
                <c:strRef>
                  <c:f>Tabla!$I$430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{4185FAAE-DC94-4E30-9A2A-9D07637C2E7E}</c15:txfldGUID>
                      <c15:f>Tabla!$I$430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30D-4C60-9714-77B282EAF21E}"/>
                </c:ext>
              </c:extLst>
            </c:dLbl>
            <c:dLbl>
              <c:idx val="7"/>
              <c:tx>
                <c:strRef>
                  <c:f>Tabla!$J$430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{00E11929-32DC-4031-A969-1D01C10BFE54}</c15:txfldGUID>
                      <c15:f>Tabla!$J$430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30D-4C60-9714-77B282EAF2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Tabla!$C$430:$J$430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30D-4C60-9714-77B282EAF21E}"/>
            </c:ext>
          </c:extLst>
        </c:ser>
        <c:ser>
          <c:idx val="0"/>
          <c:order val="1"/>
          <c:tx>
            <c:strRef>
              <c:f>Tabla!$B$427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Tabla!$C$431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{CBE11913-14E4-4142-A700-BBF021A98EF3}</c15:txfldGUID>
                      <c15:f>Tabla!$C$431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30D-4C60-9714-77B282EAF21E}"/>
                </c:ext>
              </c:extLst>
            </c:dLbl>
            <c:dLbl>
              <c:idx val="1"/>
              <c:tx>
                <c:strRef>
                  <c:f>Tabla!$D$431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{59216FFA-6E3C-4E0D-BD64-F46AC727364A}</c15:txfldGUID>
                      <c15:f>Tabla!$D$431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30D-4C60-9714-77B282EAF21E}"/>
                </c:ext>
              </c:extLst>
            </c:dLbl>
            <c:dLbl>
              <c:idx val="2"/>
              <c:tx>
                <c:strRef>
                  <c:f>Tabla!$E$431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{793782FD-B310-410B-BE9A-BED386ED9802}</c15:txfldGUID>
                      <c15:f>Tabla!$E$431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30D-4C60-9714-77B282EAF21E}"/>
                </c:ext>
              </c:extLst>
            </c:dLbl>
            <c:dLbl>
              <c:idx val="3"/>
              <c:tx>
                <c:strRef>
                  <c:f>Tabla!$F$431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{748F5BCB-C7AD-4862-BE48-55478556552B}</c15:txfldGUID>
                      <c15:f>Tabla!$F$431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30D-4C60-9714-77B282EAF21E}"/>
                </c:ext>
              </c:extLst>
            </c:dLbl>
            <c:dLbl>
              <c:idx val="4"/>
              <c:tx>
                <c:strRef>
                  <c:f>Tabla!$G$431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{0CD1B284-1780-40A5-8CBA-CC9634794563}</c15:txfldGUID>
                      <c15:f>Tabla!$G$431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30D-4C60-9714-77B282EAF21E}"/>
                </c:ext>
              </c:extLst>
            </c:dLbl>
            <c:dLbl>
              <c:idx val="5"/>
              <c:tx>
                <c:strRef>
                  <c:f>Tabla!$H$431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{C9733EE7-B9A8-4A0F-8AFC-C0767560457B}</c15:txfldGUID>
                      <c15:f>Tabla!$H$431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30D-4C60-9714-77B282EAF21E}"/>
                </c:ext>
              </c:extLst>
            </c:dLbl>
            <c:dLbl>
              <c:idx val="6"/>
              <c:tx>
                <c:strRef>
                  <c:f>Tabla!$I$431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{25D878A1-E11B-43F7-AA3A-7985B12BC34E}</c15:txfldGUID>
                      <c15:f>Tabla!$I$431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30D-4C60-9714-77B282EAF21E}"/>
                </c:ext>
              </c:extLst>
            </c:dLbl>
            <c:dLbl>
              <c:idx val="7"/>
              <c:tx>
                <c:strRef>
                  <c:f>Tabla!$J$431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{C6903FBC-21F8-4582-9A2F-A9121AA4CBE0}</c15:txfldGUID>
                      <c15:f>Tabla!$J$431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30D-4C60-9714-77B282EAF2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Tabla!$C$427:$J$427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A30D-4C60-9714-77B282EAF2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096046528"/>
        <c:axId val="1096048704"/>
      </c:barChart>
      <c:lineChart>
        <c:grouping val="standard"/>
        <c:varyColors val="0"/>
        <c:ser>
          <c:idx val="1"/>
          <c:order val="2"/>
          <c:tx>
            <c:strRef>
              <c:f>Tabla!$B$426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Tabla!$C$426:$J$426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30D-4C60-9714-77B282EAF21E}"/>
            </c:ext>
          </c:extLst>
        </c:ser>
        <c:ser>
          <c:idx val="2"/>
          <c:order val="3"/>
          <c:tx>
            <c:strRef>
              <c:f>Tabla!$B$428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30D-4C60-9714-77B282EAF21E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Tabla!$C$428:$J$428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30D-4C60-9714-77B282EAF2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6046528"/>
        <c:axId val="1096048704"/>
      </c:lineChart>
      <c:catAx>
        <c:axId val="1096046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6048704"/>
        <c:crosses val="autoZero"/>
        <c:auto val="1"/>
        <c:lblAlgn val="ctr"/>
        <c:lblOffset val="100"/>
        <c:noMultiLvlLbl val="0"/>
      </c:catAx>
      <c:valAx>
        <c:axId val="109604870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09604652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8042552058994585"/>
          <c:w val="0.99836801305589551"/>
          <c:h val="0.77944934839664637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Tabla!$B$457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Tabla!$C$460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{50F7834E-EA79-409B-84B7-5F485231977D}</c15:txfldGUID>
                      <c15:f>Tabla!$C$460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99DA-4A57-9D17-E9CA62B5DC99}"/>
                </c:ext>
              </c:extLst>
            </c:dLbl>
            <c:dLbl>
              <c:idx val="1"/>
              <c:tx>
                <c:strRef>
                  <c:f>Tabla!$D$460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{FDA6639C-ECCA-4366-823C-D9C5CECA011E}</c15:txfldGUID>
                      <c15:f>Tabla!$D$460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9DA-4A57-9D17-E9CA62B5DC99}"/>
                </c:ext>
              </c:extLst>
            </c:dLbl>
            <c:dLbl>
              <c:idx val="2"/>
              <c:tx>
                <c:strRef>
                  <c:f>Tabla!$E$460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{57E22682-5B01-4B25-A19E-41CF240FAB66}</c15:txfldGUID>
                      <c15:f>Tabla!$E$460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99DA-4A57-9D17-E9CA62B5DC99}"/>
                </c:ext>
              </c:extLst>
            </c:dLbl>
            <c:dLbl>
              <c:idx val="3"/>
              <c:tx>
                <c:strRef>
                  <c:f>Tabla!$F$460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{8B9F28AE-E9C0-4E03-A45D-90C1FF546FF4}</c15:txfldGUID>
                      <c15:f>Tabla!$F$460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9DA-4A57-9D17-E9CA62B5DC99}"/>
                </c:ext>
              </c:extLst>
            </c:dLbl>
            <c:dLbl>
              <c:idx val="4"/>
              <c:tx>
                <c:strRef>
                  <c:f>Tabla!$G$460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{FB43C701-5AC1-45F8-8EC5-FD818BCBA0D5}</c15:txfldGUID>
                      <c15:f>Tabla!$G$460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99DA-4A57-9D17-E9CA62B5DC99}"/>
                </c:ext>
              </c:extLst>
            </c:dLbl>
            <c:dLbl>
              <c:idx val="5"/>
              <c:tx>
                <c:strRef>
                  <c:f>Tabla!$H$460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{34BB40B5-AB3D-4FEB-AB8D-E19C5AD66DD4}</c15:txfldGUID>
                      <c15:f>Tabla!$H$460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9DA-4A57-9D17-E9CA62B5DC99}"/>
                </c:ext>
              </c:extLst>
            </c:dLbl>
            <c:dLbl>
              <c:idx val="6"/>
              <c:tx>
                <c:strRef>
                  <c:f>Tabla!$I$460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{9F2A6892-FA2E-4DFB-B30D-0DF8CB44E12B}</c15:txfldGUID>
                      <c15:f>Tabla!$I$460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99DA-4A57-9D17-E9CA62B5DC99}"/>
                </c:ext>
              </c:extLst>
            </c:dLbl>
            <c:dLbl>
              <c:idx val="7"/>
              <c:tx>
                <c:strRef>
                  <c:f>Tabla!$J$460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{7322E451-A3E1-4EB9-A52E-8231EF57C09A}</c15:txfldGUID>
                      <c15:f>Tabla!$J$460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9DA-4A57-9D17-E9CA62B5DC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Tabla!$C$460:$J$460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9DA-4A57-9D17-E9CA62B5DC99}"/>
            </c:ext>
          </c:extLst>
        </c:ser>
        <c:ser>
          <c:idx val="0"/>
          <c:order val="1"/>
          <c:tx>
            <c:strRef>
              <c:f>Tabla!$B$457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Tabla!$C$461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{1B9DC6B8-1897-40A2-8976-D1B460CCBA88}</c15:txfldGUID>
                      <c15:f>Tabla!$C$461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9DA-4A57-9D17-E9CA62B5DC99}"/>
                </c:ext>
              </c:extLst>
            </c:dLbl>
            <c:dLbl>
              <c:idx val="1"/>
              <c:tx>
                <c:strRef>
                  <c:f>Tabla!$D$461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{42BE687C-AA3D-422A-9CA7-E0B2309BB418}</c15:txfldGUID>
                      <c15:f>Tabla!$D$461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99DA-4A57-9D17-E9CA62B5DC99}"/>
                </c:ext>
              </c:extLst>
            </c:dLbl>
            <c:dLbl>
              <c:idx val="2"/>
              <c:tx>
                <c:strRef>
                  <c:f>Tabla!$E$461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{9E8B7DBF-C0E6-46E3-BA0C-4F80818B1C63}</c15:txfldGUID>
                      <c15:f>Tabla!$E$461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9DA-4A57-9D17-E9CA62B5DC99}"/>
                </c:ext>
              </c:extLst>
            </c:dLbl>
            <c:dLbl>
              <c:idx val="3"/>
              <c:tx>
                <c:strRef>
                  <c:f>Tabla!$F$461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{6A7BE560-E3C5-44BC-9C0D-13B44D8199DA}</c15:txfldGUID>
                      <c15:f>Tabla!$F$461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99DA-4A57-9D17-E9CA62B5DC99}"/>
                </c:ext>
              </c:extLst>
            </c:dLbl>
            <c:dLbl>
              <c:idx val="4"/>
              <c:tx>
                <c:strRef>
                  <c:f>Tabla!$G$461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{438347D1-21A8-4361-9CF8-C70F6EB34EB5}</c15:txfldGUID>
                      <c15:f>Tabla!$G$461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9DA-4A57-9D17-E9CA62B5DC99}"/>
                </c:ext>
              </c:extLst>
            </c:dLbl>
            <c:dLbl>
              <c:idx val="5"/>
              <c:tx>
                <c:strRef>
                  <c:f>Tabla!$H$461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{A781291F-9078-41E5-B1E0-929CA9CE2986}</c15:txfldGUID>
                      <c15:f>Tabla!$H$461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99DA-4A57-9D17-E9CA62B5DC99}"/>
                </c:ext>
              </c:extLst>
            </c:dLbl>
            <c:dLbl>
              <c:idx val="6"/>
              <c:tx>
                <c:strRef>
                  <c:f>Tabla!$I$461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{60302403-47EA-443B-8483-76BF0DFC44AF}</c15:txfldGUID>
                      <c15:f>Tabla!$I$461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9DA-4A57-9D17-E9CA62B5DC99}"/>
                </c:ext>
              </c:extLst>
            </c:dLbl>
            <c:dLbl>
              <c:idx val="7"/>
              <c:tx>
                <c:strRef>
                  <c:f>Tabla!$J$461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{3963576A-8098-439F-ACE0-0B298105143E}</c15:txfldGUID>
                      <c15:f>Tabla!$J$461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99DA-4A57-9D17-E9CA62B5DC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Tabla!$C$457:$J$457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99DA-4A57-9D17-E9CA62B5DC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091246368"/>
        <c:axId val="1091245824"/>
      </c:barChart>
      <c:lineChart>
        <c:grouping val="standard"/>
        <c:varyColors val="0"/>
        <c:ser>
          <c:idx val="1"/>
          <c:order val="2"/>
          <c:tx>
            <c:strRef>
              <c:f>Tabla!$B$456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Tabla!$C$456:$J$456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9DA-4A57-9D17-E9CA62B5DC99}"/>
            </c:ext>
          </c:extLst>
        </c:ser>
        <c:ser>
          <c:idx val="2"/>
          <c:order val="3"/>
          <c:tx>
            <c:strRef>
              <c:f>Tabla!$B$458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9DA-4A57-9D17-E9CA62B5DC99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Tabla!$C$458:$J$458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9DA-4A57-9D17-E9CA62B5DC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1246368"/>
        <c:axId val="1091245824"/>
      </c:lineChart>
      <c:catAx>
        <c:axId val="1091246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1245824"/>
        <c:crosses val="autoZero"/>
        <c:auto val="1"/>
        <c:lblAlgn val="ctr"/>
        <c:lblOffset val="100"/>
        <c:noMultiLvlLbl val="0"/>
      </c:catAx>
      <c:valAx>
        <c:axId val="109124582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0912463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7584891093397989"/>
          <c:w val="0.99836801305589551"/>
          <c:h val="0.78402572136938997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Tabla!$B$487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{40B21209-D412-4354-8FD4-F4FA67EC846E}</c15:txfldGUID>
                      <c15:f>Tabla!$C$490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B65-4EF1-88CD-755E652C1592}"/>
                </c:ext>
              </c:extLst>
            </c:dLbl>
            <c:dLbl>
              <c:idx val="1"/>
              <c:tx>
                <c:strRef>
                  <c:f>Tabla!$D$490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{30130B39-7D66-48F9-BBFC-A11368B4B42C}</c15:txfldGUID>
                      <c15:f>Tabla!$D$490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B65-4EF1-88CD-755E652C1592}"/>
                </c:ext>
              </c:extLst>
            </c:dLbl>
            <c:dLbl>
              <c:idx val="2"/>
              <c:tx>
                <c:strRef>
                  <c:f>Tabla!$E$490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{A28A1073-47E8-45D4-8F1B-36D99FB2EF75}</c15:txfldGUID>
                      <c15:f>Tabla!$E$490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B65-4EF1-88CD-755E652C1592}"/>
                </c:ext>
              </c:extLst>
            </c:dLbl>
            <c:dLbl>
              <c:idx val="3"/>
              <c:tx>
                <c:strRef>
                  <c:f>Tabla!$F$490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{D496200A-4550-471D-A6B0-DC859DC53AF8}</c15:txfldGUID>
                      <c15:f>Tabla!$F$490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B65-4EF1-88CD-755E652C1592}"/>
                </c:ext>
              </c:extLst>
            </c:dLbl>
            <c:dLbl>
              <c:idx val="4"/>
              <c:tx>
                <c:strRef>
                  <c:f>Tabla!$G$490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{A0CCD135-D86D-4393-BB70-CDA1085972B2}</c15:txfldGUID>
                      <c15:f>Tabla!$G$490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B65-4EF1-88CD-755E652C1592}"/>
                </c:ext>
              </c:extLst>
            </c:dLbl>
            <c:dLbl>
              <c:idx val="5"/>
              <c:tx>
                <c:strRef>
                  <c:f>Tabla!$H$490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{7BE971C5-2EDE-4B05-9849-C737A2D4AAD3}</c15:txfldGUID>
                      <c15:f>Tabla!$H$490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B65-4EF1-88CD-755E652C1592}"/>
                </c:ext>
              </c:extLst>
            </c:dLbl>
            <c:dLbl>
              <c:idx val="6"/>
              <c:tx>
                <c:strRef>
                  <c:f>Tabla!$I$490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{68D070EE-7E7D-4A94-8911-D8A931EFB1E8}</c15:txfldGUID>
                      <c15:f>Tabla!$I$490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B65-4EF1-88CD-755E652C1592}"/>
                </c:ext>
              </c:extLst>
            </c:dLbl>
            <c:dLbl>
              <c:idx val="7"/>
              <c:tx>
                <c:strRef>
                  <c:f>Tabla!$J$490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{6C86536E-CFFB-4F51-A2D1-E7FCE4A474D0}</c15:txfldGUID>
                      <c15:f>Tabla!$J$490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B65-4EF1-88CD-755E652C1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Tabla!$C$490:$J$490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65-4EF1-88CD-755E652C1592}"/>
            </c:ext>
          </c:extLst>
        </c:ser>
        <c:ser>
          <c:idx val="0"/>
          <c:order val="1"/>
          <c:tx>
            <c:strRef>
              <c:f>Tabla!$B$487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{A570B2DC-4979-4360-8412-2C1946008F1B}</c15:txfldGUID>
                      <c15:f>Tabla!$C$491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B65-4EF1-88CD-755E652C1592}"/>
                </c:ext>
              </c:extLst>
            </c:dLbl>
            <c:dLbl>
              <c:idx val="1"/>
              <c:tx>
                <c:strRef>
                  <c:f>Tabla!$D$491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{73916710-05DC-4BC6-8466-7D5197020740}</c15:txfldGUID>
                      <c15:f>Tabla!$D$491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B65-4EF1-88CD-755E652C1592}"/>
                </c:ext>
              </c:extLst>
            </c:dLbl>
            <c:dLbl>
              <c:idx val="2"/>
              <c:tx>
                <c:strRef>
                  <c:f>Tabla!$E$491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{A6D722E2-F4ED-4E8A-A4F8-971BC64E1B1D}</c15:txfldGUID>
                      <c15:f>Tabla!$E$491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B65-4EF1-88CD-755E652C1592}"/>
                </c:ext>
              </c:extLst>
            </c:dLbl>
            <c:dLbl>
              <c:idx val="3"/>
              <c:tx>
                <c:strRef>
                  <c:f>Tabla!$F$491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{748F58A1-123D-4DE8-88D3-900C5AF92D15}</c15:txfldGUID>
                      <c15:f>Tabla!$F$491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B65-4EF1-88CD-755E652C1592}"/>
                </c:ext>
              </c:extLst>
            </c:dLbl>
            <c:dLbl>
              <c:idx val="4"/>
              <c:tx>
                <c:strRef>
                  <c:f>Tabla!$G$491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{AAE257CB-399C-4265-A262-DD2DB3A6C189}</c15:txfldGUID>
                      <c15:f>Tabla!$G$491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B65-4EF1-88CD-755E652C1592}"/>
                </c:ext>
              </c:extLst>
            </c:dLbl>
            <c:dLbl>
              <c:idx val="5"/>
              <c:tx>
                <c:strRef>
                  <c:f>Tabla!$H$491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{4A03D82C-A562-4049-B0CB-F391E8F32FB6}</c15:txfldGUID>
                      <c15:f>Tabla!$H$491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0B65-4EF1-88CD-755E652C1592}"/>
                </c:ext>
              </c:extLst>
            </c:dLbl>
            <c:dLbl>
              <c:idx val="6"/>
              <c:tx>
                <c:strRef>
                  <c:f>Tabla!$I$491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{E7A6E598-2CF0-4F4E-B289-DE2EA1866846}</c15:txfldGUID>
                      <c15:f>Tabla!$I$491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B65-4EF1-88CD-755E652C1592}"/>
                </c:ext>
              </c:extLst>
            </c:dLbl>
            <c:dLbl>
              <c:idx val="7"/>
              <c:tx>
                <c:strRef>
                  <c:f>Tabla!$J$491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{31559042-0015-4C4A-86AF-1ACCF9124AE4}</c15:txfldGUID>
                      <c15:f>Tabla!$J$491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B65-4EF1-88CD-755E652C1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Tabla!$C$491:$J$491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65-4EF1-88CD-755E652C159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091243104"/>
        <c:axId val="1091249088"/>
      </c:barChart>
      <c:lineChart>
        <c:grouping val="standard"/>
        <c:varyColors val="0"/>
        <c:ser>
          <c:idx val="1"/>
          <c:order val="2"/>
          <c:tx>
            <c:strRef>
              <c:f>Tabla!$B$486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Tabla!$C$486:$J$486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B65-4EF1-88CD-755E652C1592}"/>
            </c:ext>
          </c:extLst>
        </c:ser>
        <c:ser>
          <c:idx val="2"/>
          <c:order val="3"/>
          <c:tx>
            <c:strRef>
              <c:f>Tabla!$B$488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B65-4EF1-88CD-755E652C1592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Tabla!$C$488:$J$488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B65-4EF1-88CD-755E652C159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1243104"/>
        <c:axId val="1091249088"/>
      </c:lineChart>
      <c:catAx>
        <c:axId val="1091243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1249088"/>
        <c:crosses val="autoZero"/>
        <c:auto val="1"/>
        <c:lblAlgn val="ctr"/>
        <c:lblOffset val="100"/>
        <c:noMultiLvlLbl val="0"/>
      </c:catAx>
      <c:valAx>
        <c:axId val="109124908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09124310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7787307659996776"/>
          <c:w val="0.99836801305589551"/>
          <c:h val="0.7820018674781849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Tabla!$B$517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Tabla!$C$520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{74253106-7014-4A09-8432-38726DF56720}</c15:txfldGUID>
                      <c15:f>Tabla!$C$520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E96D-40D4-B22A-A61CCD1FC8E4}"/>
                </c:ext>
              </c:extLst>
            </c:dLbl>
            <c:dLbl>
              <c:idx val="1"/>
              <c:tx>
                <c:strRef>
                  <c:f>Tabla!$D$520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{A3C2F87E-BE51-4B81-A7B0-53BFBF099D58}</c15:txfldGUID>
                      <c15:f>Tabla!$D$520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E96D-40D4-B22A-A61CCD1FC8E4}"/>
                </c:ext>
              </c:extLst>
            </c:dLbl>
            <c:dLbl>
              <c:idx val="2"/>
              <c:tx>
                <c:strRef>
                  <c:f>Tabla!$E$520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{A939399C-12C7-4905-9570-5FE6C8B05277}</c15:txfldGUID>
                      <c15:f>Tabla!$E$520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E96D-40D4-B22A-A61CCD1FC8E4}"/>
                </c:ext>
              </c:extLst>
            </c:dLbl>
            <c:dLbl>
              <c:idx val="3"/>
              <c:tx>
                <c:strRef>
                  <c:f>Tabla!$F$520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{84D94DF5-0DE2-4F93-BA01-19768E443F38}</c15:txfldGUID>
                      <c15:f>Tabla!$F$520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E96D-40D4-B22A-A61CCD1FC8E4}"/>
                </c:ext>
              </c:extLst>
            </c:dLbl>
            <c:dLbl>
              <c:idx val="4"/>
              <c:tx>
                <c:strRef>
                  <c:f>Tabla!$G$520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{80E1677C-4B50-4EA9-A569-3AF762D7E22C}</c15:txfldGUID>
                      <c15:f>Tabla!$G$520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E96D-40D4-B22A-A61CCD1FC8E4}"/>
                </c:ext>
              </c:extLst>
            </c:dLbl>
            <c:dLbl>
              <c:idx val="5"/>
              <c:tx>
                <c:strRef>
                  <c:f>Tabla!$H$520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{676628E8-5269-4084-B3C3-B3F55B0BF183}</c15:txfldGUID>
                      <c15:f>Tabla!$H$520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E96D-40D4-B22A-A61CCD1FC8E4}"/>
                </c:ext>
              </c:extLst>
            </c:dLbl>
            <c:dLbl>
              <c:idx val="6"/>
              <c:tx>
                <c:strRef>
                  <c:f>Tabla!$I$520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{3FDFB10E-BE29-4746-B1DA-710BB3E24CFE}</c15:txfldGUID>
                      <c15:f>Tabla!$I$520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E96D-40D4-B22A-A61CCD1FC8E4}"/>
                </c:ext>
              </c:extLst>
            </c:dLbl>
            <c:dLbl>
              <c:idx val="7"/>
              <c:tx>
                <c:strRef>
                  <c:f>Tabla!$J$520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{783E8A75-D937-4741-BD9A-7228FAC51E8B}</c15:txfldGUID>
                      <c15:f>Tabla!$J$520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E96D-40D4-B22A-A61CCD1FC8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Tabla!$C$520:$J$520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96D-40D4-B22A-A61CCD1FC8E4}"/>
            </c:ext>
          </c:extLst>
        </c:ser>
        <c:ser>
          <c:idx val="0"/>
          <c:order val="1"/>
          <c:tx>
            <c:strRef>
              <c:f>Tabla!$B$517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Tabla!$C$521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{33D6435A-9CF5-469A-82D9-D4225739B890}</c15:txfldGUID>
                      <c15:f>Tabla!$C$521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E96D-40D4-B22A-A61CCD1FC8E4}"/>
                </c:ext>
              </c:extLst>
            </c:dLbl>
            <c:dLbl>
              <c:idx val="1"/>
              <c:tx>
                <c:strRef>
                  <c:f>Tabla!$D$521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{3233ADD3-C1BD-4C44-9388-7CF2FDA2063C}</c15:txfldGUID>
                      <c15:f>Tabla!$D$521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E96D-40D4-B22A-A61CCD1FC8E4}"/>
                </c:ext>
              </c:extLst>
            </c:dLbl>
            <c:dLbl>
              <c:idx val="2"/>
              <c:tx>
                <c:strRef>
                  <c:f>Tabla!$E$521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{B9A08AF3-B7BB-4D07-91EC-E2132FB68E98}</c15:txfldGUID>
                      <c15:f>Tabla!$E$521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E96D-40D4-B22A-A61CCD1FC8E4}"/>
                </c:ext>
              </c:extLst>
            </c:dLbl>
            <c:dLbl>
              <c:idx val="3"/>
              <c:tx>
                <c:strRef>
                  <c:f>Tabla!$F$521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{112D4F44-5C1F-4A36-9BD6-580630D6E753}</c15:txfldGUID>
                      <c15:f>Tabla!$F$521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E96D-40D4-B22A-A61CCD1FC8E4}"/>
                </c:ext>
              </c:extLst>
            </c:dLbl>
            <c:dLbl>
              <c:idx val="4"/>
              <c:tx>
                <c:strRef>
                  <c:f>Tabla!$G$521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{690376F3-3113-476E-B21B-05F872E0EC2E}</c15:txfldGUID>
                      <c15:f>Tabla!$G$521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E96D-40D4-B22A-A61CCD1FC8E4}"/>
                </c:ext>
              </c:extLst>
            </c:dLbl>
            <c:dLbl>
              <c:idx val="5"/>
              <c:tx>
                <c:strRef>
                  <c:f>Tabla!$H$521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{155AFEE4-28D8-4389-800D-F29A765533CD}</c15:txfldGUID>
                      <c15:f>Tabla!$H$521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E96D-40D4-B22A-A61CCD1FC8E4}"/>
                </c:ext>
              </c:extLst>
            </c:dLbl>
            <c:dLbl>
              <c:idx val="6"/>
              <c:tx>
                <c:strRef>
                  <c:f>Tabla!$I$521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{B473CE98-9F2D-4174-B969-E4359A1EEC0A}</c15:txfldGUID>
                      <c15:f>Tabla!$I$521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E96D-40D4-B22A-A61CCD1FC8E4}"/>
                </c:ext>
              </c:extLst>
            </c:dLbl>
            <c:dLbl>
              <c:idx val="7"/>
              <c:tx>
                <c:strRef>
                  <c:f>Tabla!$J$521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{B57A92F9-2CB0-4229-8A48-8EA85B343749}</c15:txfldGUID>
                      <c15:f>Tabla!$J$521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E96D-40D4-B22A-A61CCD1FC8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Tabla!$C$517:$J$517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E96D-40D4-B22A-A61CCD1FC8E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091249632"/>
        <c:axId val="1091250176"/>
      </c:barChart>
      <c:lineChart>
        <c:grouping val="standard"/>
        <c:varyColors val="0"/>
        <c:ser>
          <c:idx val="1"/>
          <c:order val="2"/>
          <c:tx>
            <c:strRef>
              <c:f>Tabla!$B$516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Tabla!$C$516:$J$516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96D-40D4-B22A-A61CCD1FC8E4}"/>
            </c:ext>
          </c:extLst>
        </c:ser>
        <c:ser>
          <c:idx val="2"/>
          <c:order val="3"/>
          <c:tx>
            <c:strRef>
              <c:f>Tabla!$B$518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96D-40D4-B22A-A61CCD1FC8E4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Tabla!$C$518:$J$518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96D-40D4-B22A-A61CCD1FC8E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1249632"/>
        <c:axId val="1091250176"/>
      </c:lineChart>
      <c:catAx>
        <c:axId val="1091249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1250176"/>
        <c:crosses val="autoZero"/>
        <c:auto val="1"/>
        <c:lblAlgn val="ctr"/>
        <c:lblOffset val="100"/>
        <c:noMultiLvlLbl val="0"/>
      </c:catAx>
      <c:valAx>
        <c:axId val="1091250176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0912496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6938740270691957"/>
          <c:w val="0.99836801305589551"/>
          <c:h val="0.79048780874099311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Tabla!$B$547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Tabla!$C$550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{D8E57DD9-5B40-4D5C-840F-F59F2061125E}</c15:txfldGUID>
                      <c15:f>Tabla!$C$550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4718-429A-B7EC-A491EA4F6735}"/>
                </c:ext>
              </c:extLst>
            </c:dLbl>
            <c:dLbl>
              <c:idx val="1"/>
              <c:tx>
                <c:strRef>
                  <c:f>Tabla!$D$550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{9258AE40-8618-4EDD-98A1-D57ED54FBE2E}</c15:txfldGUID>
                      <c15:f>Tabla!$D$550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4718-429A-B7EC-A491EA4F6735}"/>
                </c:ext>
              </c:extLst>
            </c:dLbl>
            <c:dLbl>
              <c:idx val="2"/>
              <c:tx>
                <c:strRef>
                  <c:f>Tabla!$E$550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{F88FFE4E-517E-4822-A011-E6B25B75D1AD}</c15:txfldGUID>
                      <c15:f>Tabla!$E$550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4718-429A-B7EC-A491EA4F6735}"/>
                </c:ext>
              </c:extLst>
            </c:dLbl>
            <c:dLbl>
              <c:idx val="3"/>
              <c:tx>
                <c:strRef>
                  <c:f>Tabla!$F$550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{218F49A1-83DC-46DD-BF9C-974BAB285026}</c15:txfldGUID>
                      <c15:f>Tabla!$F$550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4718-429A-B7EC-A491EA4F6735}"/>
                </c:ext>
              </c:extLst>
            </c:dLbl>
            <c:dLbl>
              <c:idx val="4"/>
              <c:tx>
                <c:strRef>
                  <c:f>Tabla!$GM$550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{ABDDDCD5-E23E-4320-AF3D-B66A14E95A0C}</c15:txfldGUID>
                      <c15:f>Tabla!$GM$550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718-429A-B7EC-A491EA4F6735}"/>
                </c:ext>
              </c:extLst>
            </c:dLbl>
            <c:dLbl>
              <c:idx val="5"/>
              <c:tx>
                <c:strRef>
                  <c:f>Tabla!$H$550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{6CF404B1-B19D-41C9-8485-D978C29789A9}</c15:txfldGUID>
                      <c15:f>Tabla!$H$550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4718-429A-B7EC-A491EA4F6735}"/>
                </c:ext>
              </c:extLst>
            </c:dLbl>
            <c:dLbl>
              <c:idx val="6"/>
              <c:tx>
                <c:strRef>
                  <c:f>Tabla!$I$550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{F20530A6-9AAD-4575-89CF-235ACE2DEFE1}</c15:txfldGUID>
                      <c15:f>Tabla!$I$550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4718-429A-B7EC-A491EA4F6735}"/>
                </c:ext>
              </c:extLst>
            </c:dLbl>
            <c:dLbl>
              <c:idx val="7"/>
              <c:tx>
                <c:strRef>
                  <c:f>Tabla!$J$550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{A97E781B-4F02-411C-9939-71BEDDA93008}</c15:txfldGUID>
                      <c15:f>Tabla!$J$550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4718-429A-B7EC-A491EA4F67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Tabla!$C$550:$J$550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18-429A-B7EC-A491EA4F6735}"/>
            </c:ext>
          </c:extLst>
        </c:ser>
        <c:ser>
          <c:idx val="0"/>
          <c:order val="1"/>
          <c:tx>
            <c:strRef>
              <c:f>Tabla!$B$547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Tabla!$C$551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{851A2FFD-CEB0-40C7-95C2-7C5D2D80A43A}</c15:txfldGUID>
                      <c15:f>Tabla!$C$551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4718-429A-B7EC-A491EA4F6735}"/>
                </c:ext>
              </c:extLst>
            </c:dLbl>
            <c:dLbl>
              <c:idx val="1"/>
              <c:tx>
                <c:strRef>
                  <c:f>Tabla!$D$551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{E2F4AF14-3085-47AE-8B5F-C09D8B397184}</c15:txfldGUID>
                      <c15:f>Tabla!$D$551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4718-429A-B7EC-A491EA4F6735}"/>
                </c:ext>
              </c:extLst>
            </c:dLbl>
            <c:dLbl>
              <c:idx val="2"/>
              <c:tx>
                <c:strRef>
                  <c:f>Tabla!$E$551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{9BD316BC-68F8-4E02-983C-2C0FD3A7DE12}</c15:txfldGUID>
                      <c15:f>Tabla!$E$551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4718-429A-B7EC-A491EA4F6735}"/>
                </c:ext>
              </c:extLst>
            </c:dLbl>
            <c:dLbl>
              <c:idx val="3"/>
              <c:tx>
                <c:strRef>
                  <c:f>Tabla!$F$551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{CAA24FA0-7D49-4404-904E-DE50EB56A306}</c15:txfldGUID>
                      <c15:f>Tabla!$F$551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4718-429A-B7EC-A491EA4F6735}"/>
                </c:ext>
              </c:extLst>
            </c:dLbl>
            <c:dLbl>
              <c:idx val="4"/>
              <c:tx>
                <c:strRef>
                  <c:f>Tabla!$G$551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{70141223-1C92-4ABB-BA22-E6EF123B9668}</c15:txfldGUID>
                      <c15:f>Tabla!$G$551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4718-429A-B7EC-A491EA4F6735}"/>
                </c:ext>
              </c:extLst>
            </c:dLbl>
            <c:dLbl>
              <c:idx val="5"/>
              <c:tx>
                <c:strRef>
                  <c:f>Tabla!$H$551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{4178E2ED-8494-47AC-AC7A-A1CFC056E83E}</c15:txfldGUID>
                      <c15:f>Tabla!$H$551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4718-429A-B7EC-A491EA4F6735}"/>
                </c:ext>
              </c:extLst>
            </c:dLbl>
            <c:dLbl>
              <c:idx val="6"/>
              <c:tx>
                <c:strRef>
                  <c:f>Tabla!$I$551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{54910F93-C175-4151-8AC5-7D1AF3FCA3E1}</c15:txfldGUID>
                      <c15:f>Tabla!$I$551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4718-429A-B7EC-A491EA4F6735}"/>
                </c:ext>
              </c:extLst>
            </c:dLbl>
            <c:dLbl>
              <c:idx val="7"/>
              <c:tx>
                <c:strRef>
                  <c:f>Tabla!$J$551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{F0CA8A39-1794-4F4A-B8ED-D2A141D7E5B8}</c15:txfldGUID>
                      <c15:f>Tabla!$J$551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4718-429A-B7EC-A491EA4F67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Tabla!$C$547:$J$547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4718-429A-B7EC-A491EA4F673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098927440"/>
        <c:axId val="1098935056"/>
      </c:barChart>
      <c:lineChart>
        <c:grouping val="standard"/>
        <c:varyColors val="0"/>
        <c:ser>
          <c:idx val="1"/>
          <c:order val="2"/>
          <c:tx>
            <c:strRef>
              <c:f>Tabla!$B$546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Tabla!$C$546:$J$546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718-429A-B7EC-A491EA4F6735}"/>
            </c:ext>
          </c:extLst>
        </c:ser>
        <c:ser>
          <c:idx val="2"/>
          <c:order val="3"/>
          <c:tx>
            <c:strRef>
              <c:f>Tabla!$B$548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spPr>
                <a:noFill/>
                <a:ln w="19050">
                  <a:solidFill>
                    <a:srgbClr val="632523"/>
                  </a:solidFill>
                </a:ln>
              </c:spPr>
              <c:txPr>
                <a:bodyPr/>
                <a:lstStyle/>
                <a:p>
                  <a:pPr>
                    <a:defRPr sz="2400" b="1" i="0" baseline="0">
                      <a:latin typeface="Arial" panose="020B0604020202020204" pitchFamily="34" charset="0"/>
                    </a:defRPr>
                  </a:pPr>
                  <a:endParaRPr lang="es-ES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718-429A-B7EC-A491EA4F67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Tabla!$C$548:$J$548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718-429A-B7EC-A491EA4F673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8927440"/>
        <c:axId val="1098935056"/>
      </c:lineChart>
      <c:catAx>
        <c:axId val="1098927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8935056"/>
        <c:crosses val="autoZero"/>
        <c:auto val="1"/>
        <c:lblAlgn val="ctr"/>
        <c:lblOffset val="100"/>
        <c:noMultiLvlLbl val="0"/>
      </c:catAx>
      <c:valAx>
        <c:axId val="1098935056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0989274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7787307659996776"/>
          <c:w val="0.99836801305589551"/>
          <c:h val="0.7820018674781849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Tabla!$B$577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Tabla!$C$580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{68D98D36-3C90-4103-97EF-035144AB5EF2}</c15:txfldGUID>
                      <c15:f>Tabla!$C$580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34E-4320-8CB4-B8A6E68E3941}"/>
                </c:ext>
              </c:extLst>
            </c:dLbl>
            <c:dLbl>
              <c:idx val="1"/>
              <c:tx>
                <c:strRef>
                  <c:f>Tabla!$D$580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{3E667E07-BE6B-4D08-98EB-1F4FF6BC2676}</c15:txfldGUID>
                      <c15:f>Tabla!$D$580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34E-4320-8CB4-B8A6E68E3941}"/>
                </c:ext>
              </c:extLst>
            </c:dLbl>
            <c:dLbl>
              <c:idx val="2"/>
              <c:tx>
                <c:strRef>
                  <c:f>Tabla!$E$580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{520FBB70-8B66-436E-A174-928B8FE214BB}</c15:txfldGUID>
                      <c15:f>Tabla!$E$580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34E-4320-8CB4-B8A6E68E3941}"/>
                </c:ext>
              </c:extLst>
            </c:dLbl>
            <c:dLbl>
              <c:idx val="3"/>
              <c:tx>
                <c:strRef>
                  <c:f>Tabla!$F$580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{E04A4D79-5815-4634-9E32-4E0A42910DEB}</c15:txfldGUID>
                      <c15:f>Tabla!$F$580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34E-4320-8CB4-B8A6E68E3941}"/>
                </c:ext>
              </c:extLst>
            </c:dLbl>
            <c:dLbl>
              <c:idx val="4"/>
              <c:tx>
                <c:strRef>
                  <c:f>Tabla!$G$580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{E7B4E52C-5236-4014-A2BB-FF181E0CC3D8}</c15:txfldGUID>
                      <c15:f>Tabla!$G$580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34E-4320-8CB4-B8A6E68E3941}"/>
                </c:ext>
              </c:extLst>
            </c:dLbl>
            <c:dLbl>
              <c:idx val="5"/>
              <c:tx>
                <c:strRef>
                  <c:f>Tabla!$H$580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{808ABC0E-0BBA-40BC-A46B-E31583E9C90A}</c15:txfldGUID>
                      <c15:f>Tabla!$H$580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34E-4320-8CB4-B8A6E68E3941}"/>
                </c:ext>
              </c:extLst>
            </c:dLbl>
            <c:dLbl>
              <c:idx val="6"/>
              <c:tx>
                <c:strRef>
                  <c:f>Tabla!$I$580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{37F35E66-6673-4FFD-AA2C-CB0B45033E4A}</c15:txfldGUID>
                      <c15:f>Tabla!$I$580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34E-4320-8CB4-B8A6E68E3941}"/>
                </c:ext>
              </c:extLst>
            </c:dLbl>
            <c:dLbl>
              <c:idx val="7"/>
              <c:tx>
                <c:strRef>
                  <c:f>Tabla!$J$580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{5FC20268-192B-4D5B-80B4-A0454E55CD56}</c15:txfldGUID>
                      <c15:f>Tabla!$J$580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34E-4320-8CB4-B8A6E68E3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Tabla!$C$580:$J$580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34E-4320-8CB4-B8A6E68E3941}"/>
            </c:ext>
          </c:extLst>
        </c:ser>
        <c:ser>
          <c:idx val="0"/>
          <c:order val="1"/>
          <c:tx>
            <c:strRef>
              <c:f>Tabla!$B$577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Tabla!$C$581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{F4569EBA-BE4E-4720-A8E4-9B7179C6DBCF}</c15:txfldGUID>
                      <c15:f>Tabla!$C$581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34E-4320-8CB4-B8A6E68E3941}"/>
                </c:ext>
              </c:extLst>
            </c:dLbl>
            <c:dLbl>
              <c:idx val="1"/>
              <c:tx>
                <c:strRef>
                  <c:f>Tabla!$D$581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{5BC69105-10A8-4E53-9B02-9E5C1B876575}</c15:txfldGUID>
                      <c15:f>Tabla!$D$581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34E-4320-8CB4-B8A6E68E3941}"/>
                </c:ext>
              </c:extLst>
            </c:dLbl>
            <c:dLbl>
              <c:idx val="2"/>
              <c:tx>
                <c:strRef>
                  <c:f>Tabla!$E$581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{29FBA8EF-B181-4D23-B1C1-BF0CCD8B7168}</c15:txfldGUID>
                      <c15:f>Tabla!$E$581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34E-4320-8CB4-B8A6E68E3941}"/>
                </c:ext>
              </c:extLst>
            </c:dLbl>
            <c:dLbl>
              <c:idx val="3"/>
              <c:tx>
                <c:strRef>
                  <c:f>Tabla!$F$581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{A1AFDFCC-0CD2-436F-B0E3-4D6A0E04E99D}</c15:txfldGUID>
                      <c15:f>Tabla!$F$581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34E-4320-8CB4-B8A6E68E3941}"/>
                </c:ext>
              </c:extLst>
            </c:dLbl>
            <c:dLbl>
              <c:idx val="4"/>
              <c:tx>
                <c:strRef>
                  <c:f>Tabla!$G$581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{7001E5FC-3EDF-4855-8383-444799B5875E}</c15:txfldGUID>
                      <c15:f>Tabla!$G$581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34E-4320-8CB4-B8A6E68E3941}"/>
                </c:ext>
              </c:extLst>
            </c:dLbl>
            <c:dLbl>
              <c:idx val="5"/>
              <c:tx>
                <c:strRef>
                  <c:f>Tabla!$H$581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{C889ED4C-7639-4C09-B386-4743451A80D5}</c15:txfldGUID>
                      <c15:f>Tabla!$H$581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034E-4320-8CB4-B8A6E68E3941}"/>
                </c:ext>
              </c:extLst>
            </c:dLbl>
            <c:dLbl>
              <c:idx val="6"/>
              <c:tx>
                <c:strRef>
                  <c:f>Tabla!$I$581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{70F87EFE-E402-44FD-B9EB-A0942C8C43FF}</c15:txfldGUID>
                      <c15:f>Tabla!$I$581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34E-4320-8CB4-B8A6E68E3941}"/>
                </c:ext>
              </c:extLst>
            </c:dLbl>
            <c:dLbl>
              <c:idx val="7"/>
              <c:tx>
                <c:strRef>
                  <c:f>Tabla!$J$581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{6C949BFB-AB01-4BFE-BE2F-11E041C150B1}</c15:txfldGUID>
                      <c15:f>Tabla!$J$581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34E-4320-8CB4-B8A6E68E3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Tabla!$C$577:$J$577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034E-4320-8CB4-B8A6E68E394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098928528"/>
        <c:axId val="1098935600"/>
      </c:barChart>
      <c:lineChart>
        <c:grouping val="standard"/>
        <c:varyColors val="0"/>
        <c:ser>
          <c:idx val="1"/>
          <c:order val="2"/>
          <c:tx>
            <c:strRef>
              <c:f>Tabla!$B$576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Tabla!$C$576:$J$576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34E-4320-8CB4-B8A6E68E3941}"/>
            </c:ext>
          </c:extLst>
        </c:ser>
        <c:ser>
          <c:idx val="2"/>
          <c:order val="3"/>
          <c:tx>
            <c:strRef>
              <c:f>Tabla!$B$578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34E-4320-8CB4-B8A6E68E3941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Tabla!$C$578:$J$578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34E-4320-8CB4-B8A6E68E394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8928528"/>
        <c:axId val="1098935600"/>
      </c:lineChart>
      <c:catAx>
        <c:axId val="1098928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8935600"/>
        <c:crosses val="autoZero"/>
        <c:auto val="1"/>
        <c:lblAlgn val="ctr"/>
        <c:lblOffset val="100"/>
        <c:noMultiLvlLbl val="0"/>
      </c:catAx>
      <c:valAx>
        <c:axId val="1098935600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09892852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6349565935832733"/>
          <c:w val="0.99836801305589551"/>
          <c:h val="0.7963794864009502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Tabla!$B$607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Tabla!$C$610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{142F1204-CB5B-459F-950F-E54CEE4DB68A}</c15:txfldGUID>
                      <c15:f>Tabla!$C$610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BD0B-440E-AF8B-6F586EC7E3BA}"/>
                </c:ext>
              </c:extLst>
            </c:dLbl>
            <c:dLbl>
              <c:idx val="1"/>
              <c:tx>
                <c:strRef>
                  <c:f>Tabla!$D$610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{F7711044-C4BD-4AEA-A432-832B34F49987}</c15:txfldGUID>
                      <c15:f>Tabla!$D$610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BD0B-440E-AF8B-6F586EC7E3BA}"/>
                </c:ext>
              </c:extLst>
            </c:dLbl>
            <c:dLbl>
              <c:idx val="2"/>
              <c:tx>
                <c:strRef>
                  <c:f>Tabla!$E$610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{9B92CD98-748E-45AB-BC8B-4C1980CB88AF}</c15:txfldGUID>
                      <c15:f>Tabla!$E$610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BD0B-440E-AF8B-6F586EC7E3BA}"/>
                </c:ext>
              </c:extLst>
            </c:dLbl>
            <c:dLbl>
              <c:idx val="3"/>
              <c:tx>
                <c:strRef>
                  <c:f>Tabla!$F$610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{C6432016-317E-405A-80B9-EDCEA8D8438D}</c15:txfldGUID>
                      <c15:f>Tabla!$F$610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BD0B-440E-AF8B-6F586EC7E3BA}"/>
                </c:ext>
              </c:extLst>
            </c:dLbl>
            <c:dLbl>
              <c:idx val="4"/>
              <c:tx>
                <c:strRef>
                  <c:f>Tabla!$G$610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{EE983179-CFBF-459B-A942-874A38E28CDC}</c15:txfldGUID>
                      <c15:f>Tabla!$G$610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BD0B-440E-AF8B-6F586EC7E3BA}"/>
                </c:ext>
              </c:extLst>
            </c:dLbl>
            <c:dLbl>
              <c:idx val="5"/>
              <c:tx>
                <c:strRef>
                  <c:f>Tabla!$H$610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{44A831B6-0047-4440-9B4C-1346A82E2EEC}</c15:txfldGUID>
                      <c15:f>Tabla!$H$610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BD0B-440E-AF8B-6F586EC7E3BA}"/>
                </c:ext>
              </c:extLst>
            </c:dLbl>
            <c:dLbl>
              <c:idx val="6"/>
              <c:tx>
                <c:strRef>
                  <c:f>Tabla!$I$610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{E5F0086E-E620-4932-A992-FC9AC4D70752}</c15:txfldGUID>
                      <c15:f>Tabla!$I$610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BD0B-440E-AF8B-6F586EC7E3BA}"/>
                </c:ext>
              </c:extLst>
            </c:dLbl>
            <c:dLbl>
              <c:idx val="7"/>
              <c:tx>
                <c:strRef>
                  <c:f>Tabla!$J$610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{0725B11F-B435-4807-89F0-4C80E6B073C7}</c15:txfldGUID>
                      <c15:f>Tabla!$J$610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BD0B-440E-AF8B-6F586EC7E3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Tabla!$C$610:$J$610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D0B-440E-AF8B-6F586EC7E3BA}"/>
            </c:ext>
          </c:extLst>
        </c:ser>
        <c:ser>
          <c:idx val="0"/>
          <c:order val="1"/>
          <c:tx>
            <c:strRef>
              <c:f>Tabla!$B$607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Tabla!$C$611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{2B4DBE7A-969F-4E41-B7C2-079ABEA958A6}</c15:txfldGUID>
                      <c15:f>Tabla!$C$611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BD0B-440E-AF8B-6F586EC7E3BA}"/>
                </c:ext>
              </c:extLst>
            </c:dLbl>
            <c:dLbl>
              <c:idx val="1"/>
              <c:tx>
                <c:strRef>
                  <c:f>Tabla!$D$611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{0ABC6DB6-4653-49DB-96E2-E74E42399E66}</c15:txfldGUID>
                      <c15:f>Tabla!$D$611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BD0B-440E-AF8B-6F586EC7E3BA}"/>
                </c:ext>
              </c:extLst>
            </c:dLbl>
            <c:dLbl>
              <c:idx val="2"/>
              <c:tx>
                <c:strRef>
                  <c:f>Tabla!$E$611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{8A17DBCE-4068-4ADB-8864-ABDF683FEDAA}</c15:txfldGUID>
                      <c15:f>Tabla!$E$611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BD0B-440E-AF8B-6F586EC7E3BA}"/>
                </c:ext>
              </c:extLst>
            </c:dLbl>
            <c:dLbl>
              <c:idx val="3"/>
              <c:tx>
                <c:strRef>
                  <c:f>Tabla!$F$611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{32C5FE43-D1E8-42CB-ADED-C157377EFA5B}</c15:txfldGUID>
                      <c15:f>Tabla!$F$611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BD0B-440E-AF8B-6F586EC7E3BA}"/>
                </c:ext>
              </c:extLst>
            </c:dLbl>
            <c:dLbl>
              <c:idx val="4"/>
              <c:tx>
                <c:strRef>
                  <c:f>Tabla!$G$611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{E2C47F72-F488-42AC-9F81-8DA9EA3A9297}</c15:txfldGUID>
                      <c15:f>Tabla!$G$611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BD0B-440E-AF8B-6F586EC7E3BA}"/>
                </c:ext>
              </c:extLst>
            </c:dLbl>
            <c:dLbl>
              <c:idx val="5"/>
              <c:tx>
                <c:strRef>
                  <c:f>Tabla!$H$611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{4DED36E0-7EA9-48D1-926C-FC5B795295D8}</c15:txfldGUID>
                      <c15:f>Tabla!$H$611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BD0B-440E-AF8B-6F586EC7E3BA}"/>
                </c:ext>
              </c:extLst>
            </c:dLbl>
            <c:dLbl>
              <c:idx val="6"/>
              <c:tx>
                <c:strRef>
                  <c:f>Tabla!$I$611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{0B64761A-D6B7-453D-B9E9-06D33A9CD66A}</c15:txfldGUID>
                      <c15:f>Tabla!$I$611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BD0B-440E-AF8B-6F586EC7E3BA}"/>
                </c:ext>
              </c:extLst>
            </c:dLbl>
            <c:dLbl>
              <c:idx val="7"/>
              <c:tx>
                <c:strRef>
                  <c:f>Tabla!$J$611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{915EDC75-0EBF-4511-9D72-2D0A6BABB17D}</c15:txfldGUID>
                      <c15:f>Tabla!$J$611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BD0B-440E-AF8B-6F586EC7E3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Tabla!$C$607:$J$607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BD0B-440E-AF8B-6F586EC7E3B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098926352"/>
        <c:axId val="1098929616"/>
      </c:barChart>
      <c:lineChart>
        <c:grouping val="standard"/>
        <c:varyColors val="0"/>
        <c:ser>
          <c:idx val="1"/>
          <c:order val="2"/>
          <c:tx>
            <c:strRef>
              <c:f>Tabla!$B$606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Tabla!$C$606:$J$606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D0B-440E-AF8B-6F586EC7E3BA}"/>
            </c:ext>
          </c:extLst>
        </c:ser>
        <c:ser>
          <c:idx val="2"/>
          <c:order val="3"/>
          <c:tx>
            <c:strRef>
              <c:f>Tabla!$B$608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D0B-440E-AF8B-6F586EC7E3BA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Tabla!$C$608:$J$608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D0B-440E-AF8B-6F586EC7E3B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8926352"/>
        <c:axId val="1098929616"/>
      </c:lineChart>
      <c:catAx>
        <c:axId val="1098926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8929616"/>
        <c:crosses val="autoZero"/>
        <c:auto val="1"/>
        <c:lblAlgn val="ctr"/>
        <c:lblOffset val="100"/>
        <c:noMultiLvlLbl val="0"/>
      </c:catAx>
      <c:valAx>
        <c:axId val="1098929616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09892635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6349565935832733"/>
          <c:w val="0.99836801305589551"/>
          <c:h val="0.7963794864009502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Tabla!$B$637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Tabla!$C$640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{D2B7CC1D-0864-4D66-9FDD-248E544E8586}</c15:txfldGUID>
                      <c15:f>Tabla!$C$640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43EE-4606-BC43-5C5BEA1089CD}"/>
                </c:ext>
              </c:extLst>
            </c:dLbl>
            <c:dLbl>
              <c:idx val="1"/>
              <c:tx>
                <c:strRef>
                  <c:f>Tabla!$D$640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{06BD370A-B81D-459C-A7DB-9CB28C8576CE}</c15:txfldGUID>
                      <c15:f>Tabla!$D$640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43EE-4606-BC43-5C5BEA1089CD}"/>
                </c:ext>
              </c:extLst>
            </c:dLbl>
            <c:dLbl>
              <c:idx val="2"/>
              <c:tx>
                <c:strRef>
                  <c:f>Tabla!$E$640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{E4E67E1A-2D8F-45B2-8AC8-B27AA1FF41B9}</c15:txfldGUID>
                      <c15:f>Tabla!$E$640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43EE-4606-BC43-5C5BEA1089CD}"/>
                </c:ext>
              </c:extLst>
            </c:dLbl>
            <c:dLbl>
              <c:idx val="3"/>
              <c:tx>
                <c:strRef>
                  <c:f>Tabla!$F$640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{E5347243-B37D-4E69-A945-552DF3E35B4F}</c15:txfldGUID>
                      <c15:f>Tabla!$F$640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43EE-4606-BC43-5C5BEA1089CD}"/>
                </c:ext>
              </c:extLst>
            </c:dLbl>
            <c:dLbl>
              <c:idx val="4"/>
              <c:tx>
                <c:strRef>
                  <c:f>Tabla!$G$640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{BB653494-C907-4036-A73B-9D2893D244EC}</c15:txfldGUID>
                      <c15:f>Tabla!$G$640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3EE-4606-BC43-5C5BEA1089CD}"/>
                </c:ext>
              </c:extLst>
            </c:dLbl>
            <c:dLbl>
              <c:idx val="5"/>
              <c:tx>
                <c:strRef>
                  <c:f>Tabla!$H$640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{2006612A-DE39-40FC-B1E5-2EF5744B2473}</c15:txfldGUID>
                      <c15:f>Tabla!$H$640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43EE-4606-BC43-5C5BEA1089CD}"/>
                </c:ext>
              </c:extLst>
            </c:dLbl>
            <c:dLbl>
              <c:idx val="6"/>
              <c:tx>
                <c:strRef>
                  <c:f>Tabla!$I$640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{E50E2FC6-0E7B-4425-AD0E-735C1BA0D0CE}</c15:txfldGUID>
                      <c15:f>Tabla!$I$640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43EE-4606-BC43-5C5BEA1089CD}"/>
                </c:ext>
              </c:extLst>
            </c:dLbl>
            <c:dLbl>
              <c:idx val="7"/>
              <c:tx>
                <c:strRef>
                  <c:f>Tabla!$J$640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{CB2EB374-5755-4FD9-B5CE-539A034A3FBD}</c15:txfldGUID>
                      <c15:f>Tabla!$J$640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43EE-4606-BC43-5C5BEA1089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Tabla!$C$640:$J$640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EE-4606-BC43-5C5BEA1089CD}"/>
            </c:ext>
          </c:extLst>
        </c:ser>
        <c:ser>
          <c:idx val="0"/>
          <c:order val="1"/>
          <c:tx>
            <c:strRef>
              <c:f>Tabla!$B$637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Tabla!$C$641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{8F2C3E79-A70E-4746-B9A9-0671B8621413}</c15:txfldGUID>
                      <c15:f>Tabla!$C$641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43EE-4606-BC43-5C5BEA1089CD}"/>
                </c:ext>
              </c:extLst>
            </c:dLbl>
            <c:dLbl>
              <c:idx val="1"/>
              <c:tx>
                <c:strRef>
                  <c:f>Tabla!$D$641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{1453F508-07E4-4B5D-9966-3545EB79F1EE}</c15:txfldGUID>
                      <c15:f>Tabla!$D$641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43EE-4606-BC43-5C5BEA1089CD}"/>
                </c:ext>
              </c:extLst>
            </c:dLbl>
            <c:dLbl>
              <c:idx val="2"/>
              <c:tx>
                <c:strRef>
                  <c:f>Tabla!$E$641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{4CE1AEAD-F325-43AD-A627-D95A69FD4011}</c15:txfldGUID>
                      <c15:f>Tabla!$E$641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43EE-4606-BC43-5C5BEA1089CD}"/>
                </c:ext>
              </c:extLst>
            </c:dLbl>
            <c:dLbl>
              <c:idx val="3"/>
              <c:tx>
                <c:strRef>
                  <c:f>Tabla!$F$641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{AE26F69A-80AF-484D-BE36-199ADF2F146C}</c15:txfldGUID>
                      <c15:f>Tabla!$F$641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43EE-4606-BC43-5C5BEA1089CD}"/>
                </c:ext>
              </c:extLst>
            </c:dLbl>
            <c:dLbl>
              <c:idx val="4"/>
              <c:tx>
                <c:strRef>
                  <c:f>Tabla!$G$641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{96F465C7-64B8-47A7-9B0F-CE035C0FEFAA}</c15:txfldGUID>
                      <c15:f>Tabla!$G$641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43EE-4606-BC43-5C5BEA1089CD}"/>
                </c:ext>
              </c:extLst>
            </c:dLbl>
            <c:dLbl>
              <c:idx val="5"/>
              <c:tx>
                <c:strRef>
                  <c:f>Tabla!$H$641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{7B1C3EFA-5683-4DCE-A991-F7EA4BAC8BFB}</c15:txfldGUID>
                      <c15:f>Tabla!$H$641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43EE-4606-BC43-5C5BEA1089CD}"/>
                </c:ext>
              </c:extLst>
            </c:dLbl>
            <c:dLbl>
              <c:idx val="6"/>
              <c:tx>
                <c:strRef>
                  <c:f>Tabla!$I$641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{DD5E8B55-D572-4AEB-9397-AA46505FFC33}</c15:txfldGUID>
                      <c15:f>Tabla!$I$641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43EE-4606-BC43-5C5BEA1089CD}"/>
                </c:ext>
              </c:extLst>
            </c:dLbl>
            <c:dLbl>
              <c:idx val="7"/>
              <c:tx>
                <c:strRef>
                  <c:f>Tabla!$J$641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{E6DDAEDB-1ECC-4852-B467-05F0B15A4EB2}</c15:txfldGUID>
                      <c15:f>Tabla!$J$641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43EE-4606-BC43-5C5BEA1089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Tabla!$C$637:$J$637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43EE-4606-BC43-5C5BEA1089C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098933968"/>
        <c:axId val="1098934512"/>
      </c:barChart>
      <c:lineChart>
        <c:grouping val="standard"/>
        <c:varyColors val="0"/>
        <c:ser>
          <c:idx val="1"/>
          <c:order val="2"/>
          <c:tx>
            <c:strRef>
              <c:f>Tabla!$B$636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Tabla!$C$636:$J$636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3EE-4606-BC43-5C5BEA1089CD}"/>
            </c:ext>
          </c:extLst>
        </c:ser>
        <c:ser>
          <c:idx val="2"/>
          <c:order val="3"/>
          <c:tx>
            <c:strRef>
              <c:f>Tabla!$B$638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spPr>
                <a:noFill/>
                <a:ln w="19050">
                  <a:noFill/>
                </a:ln>
              </c:spPr>
              <c:txPr>
                <a:bodyPr/>
                <a:lstStyle/>
                <a:p>
                  <a:pPr>
                    <a:defRPr sz="2400" b="1" i="0" baseline="0">
                      <a:latin typeface="Arial" panose="020B0604020202020204" pitchFamily="34" charset="0"/>
                    </a:defRPr>
                  </a:pPr>
                  <a:endParaRPr lang="es-ES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3EE-4606-BC43-5C5BEA1089CD}"/>
                </c:ext>
              </c:extLst>
            </c:dLbl>
            <c:spPr>
              <a:noFill/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Tabla!$C$638:$J$638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3EE-4606-BC43-5C5BEA1089C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8933968"/>
        <c:axId val="1098934512"/>
      </c:lineChart>
      <c:catAx>
        <c:axId val="1098933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8934512"/>
        <c:crosses val="autoZero"/>
        <c:auto val="1"/>
        <c:lblAlgn val="ctr"/>
        <c:lblOffset val="100"/>
        <c:noMultiLvlLbl val="0"/>
      </c:catAx>
      <c:valAx>
        <c:axId val="1098934512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0989339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319511785164785E-3"/>
          <c:y val="0.16401213449561852"/>
          <c:w val="0.99836801305589551"/>
          <c:h val="0.7963794864009502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Tabla!$B$667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Tabla!$C$670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{4747B01A-025B-467F-B792-4F820B7AC822}</c15:txfldGUID>
                      <c15:f>Tabla!$C$670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22DC-42A3-8590-A6580EBA4715}"/>
                </c:ext>
              </c:extLst>
            </c:dLbl>
            <c:dLbl>
              <c:idx val="1"/>
              <c:tx>
                <c:strRef>
                  <c:f>Tabla!$D$670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{E67FB055-06CE-4E92-8DD1-F17C96D018F2}</c15:txfldGUID>
                      <c15:f>Tabla!$D$670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22DC-42A3-8590-A6580EBA4715}"/>
                </c:ext>
              </c:extLst>
            </c:dLbl>
            <c:dLbl>
              <c:idx val="2"/>
              <c:tx>
                <c:strRef>
                  <c:f>Tabla!$E$670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{41D60862-F891-4370-8755-AC4F986CCF82}</c15:txfldGUID>
                      <c15:f>Tabla!$E$670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22DC-42A3-8590-A6580EBA4715}"/>
                </c:ext>
              </c:extLst>
            </c:dLbl>
            <c:dLbl>
              <c:idx val="3"/>
              <c:tx>
                <c:strRef>
                  <c:f>Tabla!$F$670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{AF11E96F-0998-463A-AD5E-3057E22FFEB9}</c15:txfldGUID>
                      <c15:f>Tabla!$F$670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22DC-42A3-8590-A6580EBA4715}"/>
                </c:ext>
              </c:extLst>
            </c:dLbl>
            <c:dLbl>
              <c:idx val="4"/>
              <c:tx>
                <c:strRef>
                  <c:f>Tabla!$G$670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{46ACB04A-6CFB-42A5-B654-D6E08B62CDD5}</c15:txfldGUID>
                      <c15:f>Tabla!$G$670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22DC-42A3-8590-A6580EBA4715}"/>
                </c:ext>
              </c:extLst>
            </c:dLbl>
            <c:dLbl>
              <c:idx val="5"/>
              <c:tx>
                <c:strRef>
                  <c:f>Tabla!$H$670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{508C9831-FC0B-4145-B184-903E62ED113A}</c15:txfldGUID>
                      <c15:f>Tabla!$H$670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22DC-42A3-8590-A6580EBA4715}"/>
                </c:ext>
              </c:extLst>
            </c:dLbl>
            <c:dLbl>
              <c:idx val="6"/>
              <c:tx>
                <c:strRef>
                  <c:f>Tabla!$I$670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{FA0B0902-4462-4D2F-AC22-7B2D6A626B98}</c15:txfldGUID>
                      <c15:f>Tabla!$I$670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22DC-42A3-8590-A6580EBA4715}"/>
                </c:ext>
              </c:extLst>
            </c:dLbl>
            <c:dLbl>
              <c:idx val="7"/>
              <c:tx>
                <c:strRef>
                  <c:f>Tabla!$J$670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{0AAEB627-B5C8-46FE-B1BB-43D0670D2421}</c15:txfldGUID>
                      <c15:f>Tabla!$J$670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22DC-42A3-8590-A6580EBA47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Tabla!$C$670:$J$670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DC-42A3-8590-A6580EBA4715}"/>
            </c:ext>
          </c:extLst>
        </c:ser>
        <c:ser>
          <c:idx val="0"/>
          <c:order val="1"/>
          <c:tx>
            <c:strRef>
              <c:f>Tabla!$B$667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Tabla!$C$671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{42AB33C6-EE6C-4100-A7CA-83D4F88CBEB2}</c15:txfldGUID>
                      <c15:f>Tabla!$C$671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22DC-42A3-8590-A6580EBA4715}"/>
                </c:ext>
              </c:extLst>
            </c:dLbl>
            <c:dLbl>
              <c:idx val="1"/>
              <c:tx>
                <c:strRef>
                  <c:f>Tabla!$D$671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{EE15ECEC-8777-497F-B06A-2111C8AE9195}</c15:txfldGUID>
                      <c15:f>Tabla!$D$671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22DC-42A3-8590-A6580EBA4715}"/>
                </c:ext>
              </c:extLst>
            </c:dLbl>
            <c:dLbl>
              <c:idx val="2"/>
              <c:tx>
                <c:strRef>
                  <c:f>Tabla!$E$671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{7A1724D1-0FB5-47DE-A88D-DB1ECD486C35}</c15:txfldGUID>
                      <c15:f>Tabla!$E$671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22DC-42A3-8590-A6580EBA4715}"/>
                </c:ext>
              </c:extLst>
            </c:dLbl>
            <c:dLbl>
              <c:idx val="3"/>
              <c:tx>
                <c:strRef>
                  <c:f>Tabla!$F$671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{CA9A093C-E925-4EE2-9055-2882FEDFE714}</c15:txfldGUID>
                      <c15:f>Tabla!$F$671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22DC-42A3-8590-A6580EBA4715}"/>
                </c:ext>
              </c:extLst>
            </c:dLbl>
            <c:dLbl>
              <c:idx val="4"/>
              <c:tx>
                <c:strRef>
                  <c:f>Tabla!$G$671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{CE0515AA-0342-4264-9D04-616099093A0D}</c15:txfldGUID>
                      <c15:f>Tabla!$G$671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22DC-42A3-8590-A6580EBA4715}"/>
                </c:ext>
              </c:extLst>
            </c:dLbl>
            <c:dLbl>
              <c:idx val="5"/>
              <c:tx>
                <c:strRef>
                  <c:f>Tabla!$H$671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{E5AA4C26-5DF4-4FF7-BC21-A7C19DFDB7CE}</c15:txfldGUID>
                      <c15:f>Tabla!$H$671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22DC-42A3-8590-A6580EBA4715}"/>
                </c:ext>
              </c:extLst>
            </c:dLbl>
            <c:dLbl>
              <c:idx val="6"/>
              <c:tx>
                <c:strRef>
                  <c:f>Tabla!$I$671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{C386CC04-916F-4152-84C8-6A4EC80D3D1E}</c15:txfldGUID>
                      <c15:f>Tabla!$I$671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22DC-42A3-8590-A6580EBA4715}"/>
                </c:ext>
              </c:extLst>
            </c:dLbl>
            <c:dLbl>
              <c:idx val="7"/>
              <c:tx>
                <c:strRef>
                  <c:f>Tabla!$J$671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{3A165C43-C6C5-4687-918E-045D51EC9F6F}</c15:txfldGUID>
                      <c15:f>Tabla!$J$671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22DC-42A3-8590-A6580EBA47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Tabla!$C$667:$J$667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22DC-42A3-8590-A6580EBA471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098936144"/>
        <c:axId val="1098938320"/>
      </c:barChart>
      <c:lineChart>
        <c:grouping val="standard"/>
        <c:varyColors val="0"/>
        <c:ser>
          <c:idx val="1"/>
          <c:order val="2"/>
          <c:tx>
            <c:strRef>
              <c:f>Tabla!$B$666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Tabla!$C$666:$J$666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2DC-42A3-8590-A6580EBA4715}"/>
            </c:ext>
          </c:extLst>
        </c:ser>
        <c:ser>
          <c:idx val="2"/>
          <c:order val="3"/>
          <c:tx>
            <c:strRef>
              <c:f>Tabla!$B$668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2DC-42A3-8590-A6580EBA4715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Tabla!$C$668:$J$668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2DC-42A3-8590-A6580EBA471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8936144"/>
        <c:axId val="1098938320"/>
      </c:lineChart>
      <c:catAx>
        <c:axId val="1098936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8938320"/>
        <c:crosses val="autoZero"/>
        <c:auto val="1"/>
        <c:lblAlgn val="ctr"/>
        <c:lblOffset val="100"/>
        <c:noMultiLvlLbl val="0"/>
      </c:catAx>
      <c:valAx>
        <c:axId val="1098938320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09893614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7318433623218038"/>
          <c:w val="0.99836801305589551"/>
          <c:h val="0.78669080952709713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Tabla!$B$697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{729DBD37-91E9-48B4-83B2-324BA6E72B53}</c15:txfldGUID>
                      <c15:f>Tabla!$C$700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D8D-485A-ACFA-868B3927DF7C}"/>
                </c:ext>
              </c:extLst>
            </c:dLbl>
            <c:dLbl>
              <c:idx val="1"/>
              <c:tx>
                <c:strRef>
                  <c:f>Tabla!$D$700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{DCBB8568-097E-48A5-B5AA-387C5B1E9A04}</c15:txfldGUID>
                      <c15:f>Tabla!$D$700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D8D-485A-ACFA-868B3927DF7C}"/>
                </c:ext>
              </c:extLst>
            </c:dLbl>
            <c:dLbl>
              <c:idx val="2"/>
              <c:tx>
                <c:strRef>
                  <c:f>Tabla!$E$700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{E08D2F74-884C-4F02-A5B4-415E1BB87532}</c15:txfldGUID>
                      <c15:f>Tabla!$E$700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3D8D-485A-ACFA-868B3927DF7C}"/>
                </c:ext>
              </c:extLst>
            </c:dLbl>
            <c:dLbl>
              <c:idx val="3"/>
              <c:tx>
                <c:strRef>
                  <c:f>Tabla!$F$700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{1F43A1F5-9DB1-4BCE-ABFA-AD438709291F}</c15:txfldGUID>
                      <c15:f>Tabla!$F$700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D8D-485A-ACFA-868B3927DF7C}"/>
                </c:ext>
              </c:extLst>
            </c:dLbl>
            <c:dLbl>
              <c:idx val="4"/>
              <c:tx>
                <c:strRef>
                  <c:f>Tabla!$G$700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{E763BDF3-5F19-4F2B-A985-5FDADA4EDB7D}</c15:txfldGUID>
                      <c15:f>Tabla!$G$700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3D8D-485A-ACFA-868B3927DF7C}"/>
                </c:ext>
              </c:extLst>
            </c:dLbl>
            <c:dLbl>
              <c:idx val="5"/>
              <c:tx>
                <c:strRef>
                  <c:f>Tabla!$H$700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{E49C97CB-2E02-499C-B1B2-9BB589B861CE}</c15:txfldGUID>
                      <c15:f>Tabla!$H$700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D8D-485A-ACFA-868B3927DF7C}"/>
                </c:ext>
              </c:extLst>
            </c:dLbl>
            <c:dLbl>
              <c:idx val="6"/>
              <c:tx>
                <c:strRef>
                  <c:f>Tabla!$I$700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{AB4583E2-3798-471F-AF23-EBF3CAE66276}</c15:txfldGUID>
                      <c15:f>Tabla!$I$700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3D8D-485A-ACFA-868B3927DF7C}"/>
                </c:ext>
              </c:extLst>
            </c:dLbl>
            <c:dLbl>
              <c:idx val="7"/>
              <c:tx>
                <c:strRef>
                  <c:f>Tabla!$J$700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{929310B5-E8CB-4EFB-8B38-E8562A3E9383}</c15:txfldGUID>
                      <c15:f>Tabla!$J$700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D8D-485A-ACFA-868B3927D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Tabla!$C$700:$J$700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D8D-485A-ACFA-868B3927DF7C}"/>
            </c:ext>
          </c:extLst>
        </c:ser>
        <c:ser>
          <c:idx val="0"/>
          <c:order val="1"/>
          <c:tx>
            <c:strRef>
              <c:f>Tabla!$B$697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{CF9CB77F-7363-4C1F-8673-0FC6F477E1C9}</c15:txfldGUID>
                      <c15:f>Tabla!$C$701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D8D-485A-ACFA-868B3927DF7C}"/>
                </c:ext>
              </c:extLst>
            </c:dLbl>
            <c:dLbl>
              <c:idx val="1"/>
              <c:tx>
                <c:strRef>
                  <c:f>Tabla!$D$701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{E7A50018-3B69-45D4-85AF-355F7D1AD699}</c15:txfldGUID>
                      <c15:f>Tabla!$D$701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D8D-485A-ACFA-868B3927DF7C}"/>
                </c:ext>
              </c:extLst>
            </c:dLbl>
            <c:dLbl>
              <c:idx val="2"/>
              <c:tx>
                <c:strRef>
                  <c:f>Tabla!$E$701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{324E9F27-2836-4D23-A3C1-02B6AD8271A2}</c15:txfldGUID>
                      <c15:f>Tabla!$E$701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3D8D-485A-ACFA-868B3927DF7C}"/>
                </c:ext>
              </c:extLst>
            </c:dLbl>
            <c:dLbl>
              <c:idx val="3"/>
              <c:tx>
                <c:strRef>
                  <c:f>Tabla!$F$701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{5791BDF2-3572-45D7-B75A-D070DEB4DE02}</c15:txfldGUID>
                      <c15:f>Tabla!$F$701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3D8D-485A-ACFA-868B3927DF7C}"/>
                </c:ext>
              </c:extLst>
            </c:dLbl>
            <c:dLbl>
              <c:idx val="4"/>
              <c:tx>
                <c:strRef>
                  <c:f>Tabla!$G$701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{B7F1EB9B-7AD6-4247-99A1-54490FC69898}</c15:txfldGUID>
                      <c15:f>Tabla!$G$701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3D8D-485A-ACFA-868B3927DF7C}"/>
                </c:ext>
              </c:extLst>
            </c:dLbl>
            <c:dLbl>
              <c:idx val="5"/>
              <c:tx>
                <c:strRef>
                  <c:f>Tabla!$H$701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{16C5F282-7EA4-4EB8-BD57-C444741FD50D}</c15:txfldGUID>
                      <c15:f>Tabla!$H$701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3D8D-485A-ACFA-868B3927DF7C}"/>
                </c:ext>
              </c:extLst>
            </c:dLbl>
            <c:dLbl>
              <c:idx val="6"/>
              <c:tx>
                <c:strRef>
                  <c:f>Tabla!$I$701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{7448FAA5-5109-4857-BE53-6BAE39382F2C}</c15:txfldGUID>
                      <c15:f>Tabla!$I$701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3D8D-485A-ACFA-868B3927DF7C}"/>
                </c:ext>
              </c:extLst>
            </c:dLbl>
            <c:dLbl>
              <c:idx val="7"/>
              <c:tx>
                <c:strRef>
                  <c:f>Tabla!$J$701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{2FDEE6D3-7337-4B25-AEC3-DD80CF5CFC6B}</c15:txfldGUID>
                      <c15:f>Tabla!$J$701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D8D-485A-ACFA-868B3927D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Tabla!$C$697:$J$697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3D8D-485A-ACFA-868B3927DF7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098924176"/>
        <c:axId val="1098924720"/>
      </c:barChart>
      <c:lineChart>
        <c:grouping val="standard"/>
        <c:varyColors val="0"/>
        <c:ser>
          <c:idx val="1"/>
          <c:order val="2"/>
          <c:tx>
            <c:strRef>
              <c:f>Tabla!$B$696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Tabla!$C$696:$J$696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D8D-485A-ACFA-868B3927DF7C}"/>
            </c:ext>
          </c:extLst>
        </c:ser>
        <c:ser>
          <c:idx val="2"/>
          <c:order val="3"/>
          <c:tx>
            <c:strRef>
              <c:f>Tabla!$B$698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D8D-485A-ACFA-868B3927DF7C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Tabla!$C$698:$J$698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D8D-485A-ACFA-868B3927DF7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8924176"/>
        <c:axId val="1098924720"/>
      </c:lineChart>
      <c:catAx>
        <c:axId val="109892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8924720"/>
        <c:crosses val="autoZero"/>
        <c:auto val="1"/>
        <c:lblAlgn val="ctr"/>
        <c:lblOffset val="100"/>
        <c:noMultiLvlLbl val="0"/>
      </c:catAx>
      <c:valAx>
        <c:axId val="1098924720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0989241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6833999779525385"/>
          <c:w val="0.99836801305589551"/>
          <c:h val="0.79153514796402369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Tabla!$B$727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Tabla!$C$730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{0D0B2792-87A6-4E61-81AF-95FEB5404409}</c15:txfldGUID>
                      <c15:f>Tabla!$C$730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E57-417D-BEFE-A5E4DD28D151}"/>
                </c:ext>
              </c:extLst>
            </c:dLbl>
            <c:dLbl>
              <c:idx val="1"/>
              <c:tx>
                <c:strRef>
                  <c:f>Tabla!$D$730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{B5111FCB-39D2-42AF-8CBF-5BEAD64A7180}</c15:txfldGUID>
                      <c15:f>Tabla!$D$730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E57-417D-BEFE-A5E4DD28D151}"/>
                </c:ext>
              </c:extLst>
            </c:dLbl>
            <c:dLbl>
              <c:idx val="2"/>
              <c:tx>
                <c:strRef>
                  <c:f>Tabla!$E$730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{CA204578-06BE-4833-9814-E5F3A0ADFA58}</c15:txfldGUID>
                      <c15:f>Tabla!$E$730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7E57-417D-BEFE-A5E4DD28D151}"/>
                </c:ext>
              </c:extLst>
            </c:dLbl>
            <c:dLbl>
              <c:idx val="3"/>
              <c:tx>
                <c:strRef>
                  <c:f>Tabla!$F$730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{0D4F979F-32F5-48B1-A7E4-E839A7A932F1}</c15:txfldGUID>
                      <c15:f>Tabla!$F$730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E57-417D-BEFE-A5E4DD28D151}"/>
                </c:ext>
              </c:extLst>
            </c:dLbl>
            <c:dLbl>
              <c:idx val="4"/>
              <c:tx>
                <c:strRef>
                  <c:f>Tabla!$G$730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{2E1691DA-6567-4777-834C-67EB98B859DB}</c15:txfldGUID>
                      <c15:f>Tabla!$G$730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7E57-417D-BEFE-A5E4DD28D151}"/>
                </c:ext>
              </c:extLst>
            </c:dLbl>
            <c:dLbl>
              <c:idx val="5"/>
              <c:tx>
                <c:strRef>
                  <c:f>Tabla!$H$730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{6090843C-895E-439C-945C-F36FC972BFB6}</c15:txfldGUID>
                      <c15:f>Tabla!$H$730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E57-417D-BEFE-A5E4DD28D151}"/>
                </c:ext>
              </c:extLst>
            </c:dLbl>
            <c:dLbl>
              <c:idx val="6"/>
              <c:tx>
                <c:strRef>
                  <c:f>Tabla!$I$730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{63E48395-FE87-4030-8452-DD1DBF0EDF09}</c15:txfldGUID>
                      <c15:f>Tabla!$I$730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7E57-417D-BEFE-A5E4DD28D151}"/>
                </c:ext>
              </c:extLst>
            </c:dLbl>
            <c:dLbl>
              <c:idx val="7"/>
              <c:tx>
                <c:strRef>
                  <c:f>Tabla!$J$730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{83668F9E-C92C-4438-A0A1-E85B20A13606}</c15:txfldGUID>
                      <c15:f>Tabla!$J$730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E57-417D-BEFE-A5E4DD28D1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sz="1600" b="1" baseline="0">
                    <a:solidFill>
                      <a:schemeClr val="bg1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Tabla!$C$730:$J$730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57-417D-BEFE-A5E4DD28D151}"/>
            </c:ext>
          </c:extLst>
        </c:ser>
        <c:ser>
          <c:idx val="0"/>
          <c:order val="1"/>
          <c:tx>
            <c:strRef>
              <c:f>Tabla!$B$727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Tabla!$C$731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{A7810385-1A35-474D-ADC4-315D7E6001BF}</c15:txfldGUID>
                      <c15:f>Tabla!$C$731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E57-417D-BEFE-A5E4DD28D151}"/>
                </c:ext>
              </c:extLst>
            </c:dLbl>
            <c:dLbl>
              <c:idx val="1"/>
              <c:tx>
                <c:strRef>
                  <c:f>Tabla!$D$731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{61ED727E-141C-4B48-9E74-4153796852C4}</c15:txfldGUID>
                      <c15:f>Tabla!$D$731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E57-417D-BEFE-A5E4DD28D151}"/>
                </c:ext>
              </c:extLst>
            </c:dLbl>
            <c:dLbl>
              <c:idx val="2"/>
              <c:tx>
                <c:strRef>
                  <c:f>Tabla!$E$731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{D4009DE3-421E-4E0A-83D0-D141F8A323AF}</c15:txfldGUID>
                      <c15:f>Tabla!$E$731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7E57-417D-BEFE-A5E4DD28D151}"/>
                </c:ext>
              </c:extLst>
            </c:dLbl>
            <c:dLbl>
              <c:idx val="3"/>
              <c:tx>
                <c:strRef>
                  <c:f>Tabla!$F$731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{2F054B62-9AAF-4080-BC10-18EA3F0CE88F}</c15:txfldGUID>
                      <c15:f>Tabla!$F$731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7E57-417D-BEFE-A5E4DD28D151}"/>
                </c:ext>
              </c:extLst>
            </c:dLbl>
            <c:dLbl>
              <c:idx val="4"/>
              <c:tx>
                <c:strRef>
                  <c:f>Tabla!$G$731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{6AEE09BC-A6CD-4681-9314-31C1A43F0C34}</c15:txfldGUID>
                      <c15:f>Tabla!$G$731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7E57-417D-BEFE-A5E4DD28D151}"/>
                </c:ext>
              </c:extLst>
            </c:dLbl>
            <c:dLbl>
              <c:idx val="5"/>
              <c:tx>
                <c:strRef>
                  <c:f>Tabla!$H$731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{E7652128-F33D-4B6A-82B5-9969C93ACD7D}</c15:txfldGUID>
                      <c15:f>Tabla!$H$731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7E57-417D-BEFE-A5E4DD28D151}"/>
                </c:ext>
              </c:extLst>
            </c:dLbl>
            <c:dLbl>
              <c:idx val="6"/>
              <c:tx>
                <c:strRef>
                  <c:f>Tabla!$I$731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{8322BC60-3194-49E8-97D2-DA857E6D123E}</c15:txfldGUID>
                      <c15:f>Tabla!$I$731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7E57-417D-BEFE-A5E4DD28D151}"/>
                </c:ext>
              </c:extLst>
            </c:dLbl>
            <c:dLbl>
              <c:idx val="7"/>
              <c:tx>
                <c:strRef>
                  <c:f>Tabla!$J$731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{FF30CD42-12F5-4677-85F7-709106ADBDB7}</c15:txfldGUID>
                      <c15:f>Tabla!$J$731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7E57-417D-BEFE-A5E4DD28D1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sz="1600" b="1" baseline="0">
                    <a:solidFill>
                      <a:schemeClr val="bg1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Tabla!$C$727:$J$727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7E57-417D-BEFE-A5E4DD28D15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098931792"/>
        <c:axId val="1098925808"/>
      </c:barChart>
      <c:lineChart>
        <c:grouping val="standard"/>
        <c:varyColors val="0"/>
        <c:ser>
          <c:idx val="1"/>
          <c:order val="2"/>
          <c:tx>
            <c:strRef>
              <c:f>Tabla!$B$726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Tabla!$C$726:$J$726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E57-417D-BEFE-A5E4DD28D151}"/>
            </c:ext>
          </c:extLst>
        </c:ser>
        <c:ser>
          <c:idx val="2"/>
          <c:order val="3"/>
          <c:tx>
            <c:strRef>
              <c:f>Tabla!$B$728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E57-417D-BEFE-A5E4DD28D151}"/>
                </c:ext>
              </c:extLst>
            </c:dLbl>
            <c:spPr>
              <a:noFill/>
              <a:ln w="1905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Tabla!$C$728:$J$728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E57-417D-BEFE-A5E4DD28D15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8931792"/>
        <c:axId val="1098925808"/>
      </c:lineChart>
      <c:catAx>
        <c:axId val="1098931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8925808"/>
        <c:crosses val="autoZero"/>
        <c:auto val="1"/>
        <c:lblAlgn val="ctr"/>
        <c:lblOffset val="100"/>
        <c:noMultiLvlLbl val="0"/>
      </c:catAx>
      <c:valAx>
        <c:axId val="109892580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0989317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2400"/>
      </a:pPr>
      <a:endParaRPr lang="es-ES"/>
    </a:p>
  </c:tx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7318433623218038"/>
          <c:w val="0.99836801305589551"/>
          <c:h val="0.78669080952709713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Tabla!$B$757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Tabla!$C$760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{1D600B79-72AD-477F-A48B-2741694D4A7B}</c15:txfldGUID>
                      <c15:f>Tabla!$C$760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97B5-4C3B-9738-36B8B952BDEC}"/>
                </c:ext>
              </c:extLst>
            </c:dLbl>
            <c:dLbl>
              <c:idx val="1"/>
              <c:tx>
                <c:strRef>
                  <c:f>Tabla!$D$760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{DF873AE1-A7D8-44C3-9EC7-BF940FE532E7}</c15:txfldGUID>
                      <c15:f>Tabla!$D$760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7B5-4C3B-9738-36B8B952BDEC}"/>
                </c:ext>
              </c:extLst>
            </c:dLbl>
            <c:dLbl>
              <c:idx val="2"/>
              <c:tx>
                <c:strRef>
                  <c:f>Tabla!$E$760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{CE22CAD8-7E6E-45E8-B2C9-FC9527587D64}</c15:txfldGUID>
                      <c15:f>Tabla!$E$760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97B5-4C3B-9738-36B8B952BDEC}"/>
                </c:ext>
              </c:extLst>
            </c:dLbl>
            <c:dLbl>
              <c:idx val="3"/>
              <c:tx>
                <c:strRef>
                  <c:f>Tabla!$F$760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{30DAC93E-3AB2-4B5C-873E-0FD09091FB8A}</c15:txfldGUID>
                      <c15:f>Tabla!$F$760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7B5-4C3B-9738-36B8B952BDEC}"/>
                </c:ext>
              </c:extLst>
            </c:dLbl>
            <c:dLbl>
              <c:idx val="4"/>
              <c:tx>
                <c:strRef>
                  <c:f>Tabla!$G$760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{1C48131E-EF72-4A5B-BD5C-3287AB991F6A}</c15:txfldGUID>
                      <c15:f>Tabla!$G$760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97B5-4C3B-9738-36B8B952BDEC}"/>
                </c:ext>
              </c:extLst>
            </c:dLbl>
            <c:dLbl>
              <c:idx val="5"/>
              <c:tx>
                <c:strRef>
                  <c:f>Tabla!$H$760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{AF747EDC-D8B1-4EC8-A1A3-F985EEF7D347}</c15:txfldGUID>
                      <c15:f>Tabla!$H$760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7B5-4C3B-9738-36B8B952BDEC}"/>
                </c:ext>
              </c:extLst>
            </c:dLbl>
            <c:dLbl>
              <c:idx val="6"/>
              <c:tx>
                <c:strRef>
                  <c:f>Tabla!$I$760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{564E2EC7-9898-4487-8683-B327575869C1}</c15:txfldGUID>
                      <c15:f>Tabla!$I$760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97B5-4C3B-9738-36B8B952BDEC}"/>
                </c:ext>
              </c:extLst>
            </c:dLbl>
            <c:dLbl>
              <c:idx val="7"/>
              <c:tx>
                <c:strRef>
                  <c:f>Tabla!$J$760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{D0C6E8F5-1147-41E5-A7B1-B5587D273DA9}</c15:txfldGUID>
                      <c15:f>Tabla!$J$760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7B5-4C3B-9738-36B8B952BD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Tabla!$C$760:$J$760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B5-4C3B-9738-36B8B952BDEC}"/>
            </c:ext>
          </c:extLst>
        </c:ser>
        <c:ser>
          <c:idx val="0"/>
          <c:order val="1"/>
          <c:tx>
            <c:strRef>
              <c:f>Tabla!$B$757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Tabla!$C$761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{2D018E55-44E7-4741-BF4D-33065C14C886}</c15:txfldGUID>
                      <c15:f>Tabla!$C$761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7B5-4C3B-9738-36B8B952BDEC}"/>
                </c:ext>
              </c:extLst>
            </c:dLbl>
            <c:dLbl>
              <c:idx val="1"/>
              <c:tx>
                <c:strRef>
                  <c:f>Tabla!$D$761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{0B539D48-0387-44DC-82C5-FE3B89F677CD}</c15:txfldGUID>
                      <c15:f>Tabla!$D$761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97B5-4C3B-9738-36B8B952BDEC}"/>
                </c:ext>
              </c:extLst>
            </c:dLbl>
            <c:dLbl>
              <c:idx val="2"/>
              <c:tx>
                <c:strRef>
                  <c:f>Tabla!$E$761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{45AA1E13-134E-4259-8410-322FFE2CA835}</c15:txfldGUID>
                      <c15:f>Tabla!$E$761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7B5-4C3B-9738-36B8B952BDEC}"/>
                </c:ext>
              </c:extLst>
            </c:dLbl>
            <c:dLbl>
              <c:idx val="3"/>
              <c:tx>
                <c:strRef>
                  <c:f>Tabla!$F$761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{48F0B7A3-CEC5-4E5E-9AA3-C086D4AAC73F}</c15:txfldGUID>
                      <c15:f>Tabla!$F$761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97B5-4C3B-9738-36B8B952BDEC}"/>
                </c:ext>
              </c:extLst>
            </c:dLbl>
            <c:dLbl>
              <c:idx val="4"/>
              <c:tx>
                <c:strRef>
                  <c:f>Tabla!$G$761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{BE990EB6-4181-4422-AE4C-85511370CA8A}</c15:txfldGUID>
                      <c15:f>Tabla!$G$761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7B5-4C3B-9738-36B8B952BDEC}"/>
                </c:ext>
              </c:extLst>
            </c:dLbl>
            <c:dLbl>
              <c:idx val="5"/>
              <c:tx>
                <c:strRef>
                  <c:f>Tabla!$H$761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{91EE315E-44ED-42EC-9BE5-3A0D221911D5}</c15:txfldGUID>
                      <c15:f>Tabla!$H$761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97B5-4C3B-9738-36B8B952BDEC}"/>
                </c:ext>
              </c:extLst>
            </c:dLbl>
            <c:dLbl>
              <c:idx val="6"/>
              <c:tx>
                <c:strRef>
                  <c:f>Tabla!$I$761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{4FCFDF90-1A65-4E05-96C4-5F4510FD4961}</c15:txfldGUID>
                      <c15:f>Tabla!$I$761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7B5-4C3B-9738-36B8B952BDEC}"/>
                </c:ext>
              </c:extLst>
            </c:dLbl>
            <c:dLbl>
              <c:idx val="7"/>
              <c:tx>
                <c:strRef>
                  <c:f>Tabla!$J$761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{53B53A15-AAC0-4945-A810-EBFAEFB919D1}</c15:txfldGUID>
                      <c15:f>Tabla!$J$761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97B5-4C3B-9738-36B8B952BD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Tabla!$C$757:$J$757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97B5-4C3B-9738-36B8B952BDE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098933424"/>
        <c:axId val="1100194464"/>
      </c:barChart>
      <c:lineChart>
        <c:grouping val="standard"/>
        <c:varyColors val="0"/>
        <c:ser>
          <c:idx val="1"/>
          <c:order val="2"/>
          <c:tx>
            <c:strRef>
              <c:f>Tabla!$B$756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Tabla!$C$756:$J$756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7B5-4C3B-9738-36B8B952BDEC}"/>
            </c:ext>
          </c:extLst>
        </c:ser>
        <c:ser>
          <c:idx val="2"/>
          <c:order val="3"/>
          <c:tx>
            <c:strRef>
              <c:f>Tabla!$B$758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7B5-4C3B-9738-36B8B952BDEC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Tabla!$C$758:$J$758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7B5-4C3B-9738-36B8B952BDE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8933424"/>
        <c:axId val="1100194464"/>
      </c:lineChart>
      <c:catAx>
        <c:axId val="1098933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0194464"/>
        <c:crosses val="autoZero"/>
        <c:auto val="1"/>
        <c:lblAlgn val="ctr"/>
        <c:lblOffset val="100"/>
        <c:noMultiLvlLbl val="0"/>
      </c:catAx>
      <c:valAx>
        <c:axId val="110019446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09893342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6833999779525385"/>
          <c:w val="0.99836801305589551"/>
          <c:h val="0.79153514796402369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Tabla!$B$787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{2607E44D-0333-4568-9349-B582CF4DFB57}</c15:txfldGUID>
                      <c15:f>Tabla!$C$790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9033-4B1E-A322-F39424E84A9D}"/>
                </c:ext>
              </c:extLst>
            </c:dLbl>
            <c:dLbl>
              <c:idx val="1"/>
              <c:tx>
                <c:strRef>
                  <c:f>Tabla!$D$790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{344DFFF6-C976-43B7-8172-21C09500C995}</c15:txfldGUID>
                      <c15:f>Tabla!$D$790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033-4B1E-A322-F39424E84A9D}"/>
                </c:ext>
              </c:extLst>
            </c:dLbl>
            <c:dLbl>
              <c:idx val="2"/>
              <c:tx>
                <c:strRef>
                  <c:f>Tabla!$E$790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{BE4FE1FF-FB6F-4401-BF88-A56B065C6B2D}</c15:txfldGUID>
                      <c15:f>Tabla!$E$790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9033-4B1E-A322-F39424E84A9D}"/>
                </c:ext>
              </c:extLst>
            </c:dLbl>
            <c:dLbl>
              <c:idx val="3"/>
              <c:tx>
                <c:strRef>
                  <c:f>Tabla!$F$790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{8BAFB38F-49D1-4E44-8040-822E257E71AF}</c15:txfldGUID>
                      <c15:f>Tabla!$F$790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033-4B1E-A322-F39424E84A9D}"/>
                </c:ext>
              </c:extLst>
            </c:dLbl>
            <c:dLbl>
              <c:idx val="4"/>
              <c:tx>
                <c:strRef>
                  <c:f>Tabla!$G$790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{6ABBCCF4-6058-4B65-8AE9-DC7757A76D2B}</c15:txfldGUID>
                      <c15:f>Tabla!$G$790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9033-4B1E-A322-F39424E84A9D}"/>
                </c:ext>
              </c:extLst>
            </c:dLbl>
            <c:dLbl>
              <c:idx val="5"/>
              <c:tx>
                <c:strRef>
                  <c:f>Tabla!$H$790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{7FC19322-9259-404D-83D8-5DCFC3B8493C}</c15:txfldGUID>
                      <c15:f>Tabla!$H$790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033-4B1E-A322-F39424E84A9D}"/>
                </c:ext>
              </c:extLst>
            </c:dLbl>
            <c:dLbl>
              <c:idx val="6"/>
              <c:tx>
                <c:strRef>
                  <c:f>Tabla!$I$790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{5A202EA5-F7EE-4301-AFE4-F696CD36D24B}</c15:txfldGUID>
                      <c15:f>Tabla!$I$790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9033-4B1E-A322-F39424E84A9D}"/>
                </c:ext>
              </c:extLst>
            </c:dLbl>
            <c:dLbl>
              <c:idx val="7"/>
              <c:tx>
                <c:strRef>
                  <c:f>Tabla!$J$790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{52E59F3E-0DEB-42E5-AE92-E93D61A92BDE}</c15:txfldGUID>
                      <c15:f>Tabla!$J$790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033-4B1E-A322-F39424E84A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Tabla!$C$790:$J$790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033-4B1E-A322-F39424E84A9D}"/>
            </c:ext>
          </c:extLst>
        </c:ser>
        <c:ser>
          <c:idx val="0"/>
          <c:order val="1"/>
          <c:tx>
            <c:strRef>
              <c:f>Tabla!$B$787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{22344251-C8E7-4F74-8945-CBD0C4C2E7E0}</c15:txfldGUID>
                      <c15:f>Tabla!$C$791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033-4B1E-A322-F39424E84A9D}"/>
                </c:ext>
              </c:extLst>
            </c:dLbl>
            <c:dLbl>
              <c:idx val="1"/>
              <c:tx>
                <c:strRef>
                  <c:f>Tabla!$D$791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{FF4EE51E-B65F-46AF-9303-B34534D0D793}</c15:txfldGUID>
                      <c15:f>Tabla!$D$791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9033-4B1E-A322-F39424E84A9D}"/>
                </c:ext>
              </c:extLst>
            </c:dLbl>
            <c:dLbl>
              <c:idx val="2"/>
              <c:tx>
                <c:strRef>
                  <c:f>Tabla!$E$791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{F3903332-E7D4-457F-A803-779D230E5143}</c15:txfldGUID>
                      <c15:f>Tabla!$E$791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033-4B1E-A322-F39424E84A9D}"/>
                </c:ext>
              </c:extLst>
            </c:dLbl>
            <c:dLbl>
              <c:idx val="3"/>
              <c:tx>
                <c:strRef>
                  <c:f>Tabla!$F$791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{0FCD9DBC-AC36-4337-867C-19D5EFB48DCE}</c15:txfldGUID>
                      <c15:f>Tabla!$F$791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9033-4B1E-A322-F39424E84A9D}"/>
                </c:ext>
              </c:extLst>
            </c:dLbl>
            <c:dLbl>
              <c:idx val="4"/>
              <c:tx>
                <c:strRef>
                  <c:f>Tabla!$G$791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{16DC124B-EEEC-4239-A206-0024A907282C}</c15:txfldGUID>
                      <c15:f>Tabla!$G$791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033-4B1E-A322-F39424E84A9D}"/>
                </c:ext>
              </c:extLst>
            </c:dLbl>
            <c:dLbl>
              <c:idx val="5"/>
              <c:tx>
                <c:strRef>
                  <c:f>Tabla!$H$791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{3E1F0591-A1E4-48D5-9F8F-55DE5122DC58}</c15:txfldGUID>
                      <c15:f>Tabla!$H$791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9033-4B1E-A322-F39424E84A9D}"/>
                </c:ext>
              </c:extLst>
            </c:dLbl>
            <c:dLbl>
              <c:idx val="6"/>
              <c:tx>
                <c:strRef>
                  <c:f>Tabla!$I$791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{0E58F4E6-B822-4923-9AB7-05FF5A582766}</c15:txfldGUID>
                      <c15:f>Tabla!$I$791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033-4B1E-A322-F39424E84A9D}"/>
                </c:ext>
              </c:extLst>
            </c:dLbl>
            <c:dLbl>
              <c:idx val="7"/>
              <c:tx>
                <c:strRef>
                  <c:f>Tabla!$J$791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{B7AC85EA-F579-4667-9843-BACC16F5698F}</c15:txfldGUID>
                      <c15:f>Tabla!$J$791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9033-4B1E-A322-F39424E84A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Tabla!$C$787:$J$787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9033-4B1E-A322-F39424E84A9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100205888"/>
        <c:axId val="1100207520"/>
      </c:barChart>
      <c:lineChart>
        <c:grouping val="standard"/>
        <c:varyColors val="0"/>
        <c:ser>
          <c:idx val="1"/>
          <c:order val="2"/>
          <c:tx>
            <c:strRef>
              <c:f>Tabla!$B$786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Tabla!$C$786:$J$786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033-4B1E-A322-F39424E84A9D}"/>
            </c:ext>
          </c:extLst>
        </c:ser>
        <c:ser>
          <c:idx val="2"/>
          <c:order val="3"/>
          <c:tx>
            <c:strRef>
              <c:f>Tabla!$B$788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033-4B1E-A322-F39424E84A9D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Tabla!$C$788:$J$788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033-4B1E-A322-F39424E84A9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00205888"/>
        <c:axId val="1100207520"/>
      </c:lineChart>
      <c:catAx>
        <c:axId val="1100205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0207520"/>
        <c:crosses val="autoZero"/>
        <c:auto val="1"/>
        <c:lblAlgn val="ctr"/>
        <c:lblOffset val="100"/>
        <c:noMultiLvlLbl val="0"/>
      </c:catAx>
      <c:valAx>
        <c:axId val="1100207520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1002058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6833999779525385"/>
          <c:w val="0.99836801305589551"/>
          <c:h val="0.79153514796402369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Tabla!$B$817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Tabla!$C$820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{2C19182D-9BEF-45C0-BE4B-9AF979CE5E88}</c15:txfldGUID>
                      <c15:f>Tabla!$C$820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07B-49E7-BBBA-5BF041109058}"/>
                </c:ext>
              </c:extLst>
            </c:dLbl>
            <c:dLbl>
              <c:idx val="1"/>
              <c:tx>
                <c:strRef>
                  <c:f>Tabla!$D$820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{F26D8ACA-3055-466C-AAD3-FBCAD543E480}</c15:txfldGUID>
                      <c15:f>Tabla!$D$820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07B-49E7-BBBA-5BF041109058}"/>
                </c:ext>
              </c:extLst>
            </c:dLbl>
            <c:dLbl>
              <c:idx val="2"/>
              <c:tx>
                <c:strRef>
                  <c:f>Tabla!$E$820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{99512B14-B265-4601-AE5B-BF6BEE07CBB2}</c15:txfldGUID>
                      <c15:f>Tabla!$E$820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07B-49E7-BBBA-5BF041109058}"/>
                </c:ext>
              </c:extLst>
            </c:dLbl>
            <c:dLbl>
              <c:idx val="3"/>
              <c:tx>
                <c:strRef>
                  <c:f>Tabla!$F$820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{FD2228E2-2631-43D8-B762-29780759CA15}</c15:txfldGUID>
                      <c15:f>Tabla!$F$820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07B-49E7-BBBA-5BF041109058}"/>
                </c:ext>
              </c:extLst>
            </c:dLbl>
            <c:dLbl>
              <c:idx val="4"/>
              <c:tx>
                <c:strRef>
                  <c:f>Tabla!$G$820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{28B3CB0D-BE0E-45E1-B73E-5FCD620CC6B5}</c15:txfldGUID>
                      <c15:f>Tabla!$G$820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07B-49E7-BBBA-5BF041109058}"/>
                </c:ext>
              </c:extLst>
            </c:dLbl>
            <c:dLbl>
              <c:idx val="5"/>
              <c:tx>
                <c:strRef>
                  <c:f>Tabla!$H$820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{6C0B414F-DFAD-453B-8F66-0D3CDD77BF06}</c15:txfldGUID>
                      <c15:f>Tabla!$H$820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07B-49E7-BBBA-5BF041109058}"/>
                </c:ext>
              </c:extLst>
            </c:dLbl>
            <c:dLbl>
              <c:idx val="6"/>
              <c:tx>
                <c:strRef>
                  <c:f>Tabla!$I$820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{CC5E6AB6-B273-44B8-B9A9-47326B6617BF}</c15:txfldGUID>
                      <c15:f>Tabla!$I$820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07B-49E7-BBBA-5BF041109058}"/>
                </c:ext>
              </c:extLst>
            </c:dLbl>
            <c:dLbl>
              <c:idx val="7"/>
              <c:tx>
                <c:strRef>
                  <c:f>Tabla!$J$820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{1D3E23B1-B691-4603-85D2-575BB4006118}</c15:txfldGUID>
                      <c15:f>Tabla!$J$820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07B-49E7-BBBA-5BF0411090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Tabla!$C$820:$J$820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7B-49E7-BBBA-5BF041109058}"/>
            </c:ext>
          </c:extLst>
        </c:ser>
        <c:ser>
          <c:idx val="0"/>
          <c:order val="1"/>
          <c:tx>
            <c:strRef>
              <c:f>Tabla!$B$817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Tabla!$C$821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{64CA1E75-0D46-45E3-B9E2-218A8A20B167}</c15:txfldGUID>
                      <c15:f>Tabla!$C$821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07B-49E7-BBBA-5BF041109058}"/>
                </c:ext>
              </c:extLst>
            </c:dLbl>
            <c:dLbl>
              <c:idx val="1"/>
              <c:tx>
                <c:strRef>
                  <c:f>Tabla!$D$821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{0C1A69A2-68F8-4E45-94BF-BD19F6750506}</c15:txfldGUID>
                      <c15:f>Tabla!$D$821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07B-49E7-BBBA-5BF041109058}"/>
                </c:ext>
              </c:extLst>
            </c:dLbl>
            <c:dLbl>
              <c:idx val="2"/>
              <c:tx>
                <c:strRef>
                  <c:f>Tabla!$E$821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{03B03F10-C9B1-4689-BF10-591480D81053}</c15:txfldGUID>
                      <c15:f>Tabla!$E$821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07B-49E7-BBBA-5BF041109058}"/>
                </c:ext>
              </c:extLst>
            </c:dLbl>
            <c:dLbl>
              <c:idx val="3"/>
              <c:tx>
                <c:strRef>
                  <c:f>Tabla!$F$821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{0ADB6F1D-D985-48CA-AC76-429745DA52E5}</c15:txfldGUID>
                      <c15:f>Tabla!$F$821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07B-49E7-BBBA-5BF041109058}"/>
                </c:ext>
              </c:extLst>
            </c:dLbl>
            <c:dLbl>
              <c:idx val="4"/>
              <c:tx>
                <c:strRef>
                  <c:f>Tabla!$G$821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{6EB33B36-B6E0-49AD-A233-F31ED1758607}</c15:txfldGUID>
                      <c15:f>Tabla!$G$821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07B-49E7-BBBA-5BF041109058}"/>
                </c:ext>
              </c:extLst>
            </c:dLbl>
            <c:dLbl>
              <c:idx val="5"/>
              <c:tx>
                <c:strRef>
                  <c:f>Tabla!$H$821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{FBE0F703-5598-4B1C-84D3-0741B9BCC88B}</c15:txfldGUID>
                      <c15:f>Tabla!$H$821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07B-49E7-BBBA-5BF041109058}"/>
                </c:ext>
              </c:extLst>
            </c:dLbl>
            <c:dLbl>
              <c:idx val="6"/>
              <c:tx>
                <c:strRef>
                  <c:f>Tabla!$I$821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{B4D2D21F-8804-4CAB-9A4C-CEFEB254AF40}</c15:txfldGUID>
                      <c15:f>Tabla!$I$821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07B-49E7-BBBA-5BF041109058}"/>
                </c:ext>
              </c:extLst>
            </c:dLbl>
            <c:dLbl>
              <c:idx val="7"/>
              <c:tx>
                <c:strRef>
                  <c:f>Tabla!$J$821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{AD4B3D6E-0B7E-487C-BE18-6622D2E76A31}</c15:txfldGUID>
                      <c15:f>Tabla!$J$821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07B-49E7-BBBA-5BF0411090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Tabla!$C$817:$J$817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A07B-49E7-BBBA-5BF04110905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100202080"/>
        <c:axId val="1100199904"/>
      </c:barChart>
      <c:lineChart>
        <c:grouping val="standard"/>
        <c:varyColors val="0"/>
        <c:ser>
          <c:idx val="1"/>
          <c:order val="2"/>
          <c:tx>
            <c:strRef>
              <c:f>Tabla!$B$816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Tabla!$C$816:$J$816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07B-49E7-BBBA-5BF041109058}"/>
            </c:ext>
          </c:extLst>
        </c:ser>
        <c:ser>
          <c:idx val="2"/>
          <c:order val="3"/>
          <c:tx>
            <c:strRef>
              <c:f>Tabla!$B$818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07B-49E7-BBBA-5BF041109058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Tabla!$C$818:$J$818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07B-49E7-BBBA-5BF04110905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00202080"/>
        <c:axId val="1100199904"/>
      </c:lineChart>
      <c:catAx>
        <c:axId val="11002020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0199904"/>
        <c:crosses val="autoZero"/>
        <c:auto val="1"/>
        <c:lblAlgn val="ctr"/>
        <c:lblOffset val="100"/>
        <c:noMultiLvlLbl val="0"/>
      </c:catAx>
      <c:valAx>
        <c:axId val="110019990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1002020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6833999779525385"/>
          <c:w val="0.99836801305589551"/>
          <c:h val="0.79153514796402369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Tabla!$B$847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Tabla!$C$850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{759014DF-A8EE-4913-AA55-583A678FA3C2}</c15:txfldGUID>
                      <c15:f>Tabla!$C$850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730-4566-B9C9-B47031D344DD}"/>
                </c:ext>
              </c:extLst>
            </c:dLbl>
            <c:dLbl>
              <c:idx val="1"/>
              <c:tx>
                <c:strRef>
                  <c:f>Tabla!$D$850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{5699F38B-FDB6-457B-B5AD-3096FCD29B5B}</c15:txfldGUID>
                      <c15:f>Tabla!$D$850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730-4566-B9C9-B47031D344DD}"/>
                </c:ext>
              </c:extLst>
            </c:dLbl>
            <c:dLbl>
              <c:idx val="2"/>
              <c:tx>
                <c:strRef>
                  <c:f>Tabla!$E$850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{65FE1C84-FC91-4B4E-88D4-C2F809C6E3DE}</c15:txfldGUID>
                      <c15:f>Tabla!$E$850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3730-4566-B9C9-B47031D344DD}"/>
                </c:ext>
              </c:extLst>
            </c:dLbl>
            <c:dLbl>
              <c:idx val="3"/>
              <c:tx>
                <c:strRef>
                  <c:f>Tabla!$F$850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{CBCF6568-8CBC-4610-A7E9-EA5CCECD0B19}</c15:txfldGUID>
                      <c15:f>Tabla!$F$850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730-4566-B9C9-B47031D344DD}"/>
                </c:ext>
              </c:extLst>
            </c:dLbl>
            <c:dLbl>
              <c:idx val="4"/>
              <c:tx>
                <c:strRef>
                  <c:f>Tabla!$G$850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{231C70F5-8141-48CD-AB98-B9ECA6C8A83B}</c15:txfldGUID>
                      <c15:f>Tabla!$G$850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3730-4566-B9C9-B47031D344DD}"/>
                </c:ext>
              </c:extLst>
            </c:dLbl>
            <c:dLbl>
              <c:idx val="5"/>
              <c:tx>
                <c:strRef>
                  <c:f>Tabla!$H$850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{43A84D17-BB2C-4B7A-A2FE-469159A16C5A}</c15:txfldGUID>
                      <c15:f>Tabla!$H$850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730-4566-B9C9-B47031D344DD}"/>
                </c:ext>
              </c:extLst>
            </c:dLbl>
            <c:dLbl>
              <c:idx val="6"/>
              <c:tx>
                <c:strRef>
                  <c:f>Tabla!$I$850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{993EC70C-0346-4786-BE4D-72F8E5C834D4}</c15:txfldGUID>
                      <c15:f>Tabla!$I$850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3730-4566-B9C9-B47031D344DD}"/>
                </c:ext>
              </c:extLst>
            </c:dLbl>
            <c:dLbl>
              <c:idx val="7"/>
              <c:tx>
                <c:strRef>
                  <c:f>Tabla!$J$850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{7B7ABD5B-E24F-4BF2-8349-89D6A8BBADFD}</c15:txfldGUID>
                      <c15:f>Tabla!$J$850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730-4566-B9C9-B47031D34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Tabla!$C$850:$J$850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30-4566-B9C9-B47031D344DD}"/>
            </c:ext>
          </c:extLst>
        </c:ser>
        <c:ser>
          <c:idx val="0"/>
          <c:order val="1"/>
          <c:tx>
            <c:strRef>
              <c:f>Tabla!$B$847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Tabla!$C$851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{1D33598A-F030-4E3E-99B5-F863594A816B}</c15:txfldGUID>
                      <c15:f>Tabla!$C$851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730-4566-B9C9-B47031D344DD}"/>
                </c:ext>
              </c:extLst>
            </c:dLbl>
            <c:dLbl>
              <c:idx val="1"/>
              <c:tx>
                <c:strRef>
                  <c:f>Tabla!$D$851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{E749CF07-FDE0-4A33-AC53-E8E000CEA946}</c15:txfldGUID>
                      <c15:f>Tabla!$D$851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730-4566-B9C9-B47031D344DD}"/>
                </c:ext>
              </c:extLst>
            </c:dLbl>
            <c:dLbl>
              <c:idx val="2"/>
              <c:tx>
                <c:strRef>
                  <c:f>Tabla!$E$851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{26C73ED1-B7DB-46BB-886B-C97C50FDDCC6}</c15:txfldGUID>
                      <c15:f>Tabla!$E$851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3730-4566-B9C9-B47031D344DD}"/>
                </c:ext>
              </c:extLst>
            </c:dLbl>
            <c:dLbl>
              <c:idx val="3"/>
              <c:tx>
                <c:strRef>
                  <c:f>Tabla!$F$851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{72987BF5-C787-4122-A632-E81F61A74EFD}</c15:txfldGUID>
                      <c15:f>Tabla!$F$851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3730-4566-B9C9-B47031D344DD}"/>
                </c:ext>
              </c:extLst>
            </c:dLbl>
            <c:dLbl>
              <c:idx val="4"/>
              <c:tx>
                <c:strRef>
                  <c:f>Tabla!$G$851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{D366753E-918B-4EB6-99CF-0F3EE33A3241}</c15:txfldGUID>
                      <c15:f>Tabla!$G$851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3730-4566-B9C9-B47031D344DD}"/>
                </c:ext>
              </c:extLst>
            </c:dLbl>
            <c:dLbl>
              <c:idx val="5"/>
              <c:tx>
                <c:strRef>
                  <c:f>Tabla!$H$851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{33F4797F-FCD2-4017-9BA7-81183E647E31}</c15:txfldGUID>
                      <c15:f>Tabla!$H$851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3730-4566-B9C9-B47031D344DD}"/>
                </c:ext>
              </c:extLst>
            </c:dLbl>
            <c:dLbl>
              <c:idx val="6"/>
              <c:tx>
                <c:strRef>
                  <c:f>Tabla!$I$851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{AC8BA4B9-B299-4920-BDD0-F253C7F97A06}</c15:txfldGUID>
                      <c15:f>Tabla!$I$851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3730-4566-B9C9-B47031D344DD}"/>
                </c:ext>
              </c:extLst>
            </c:dLbl>
            <c:dLbl>
              <c:idx val="7"/>
              <c:tx>
                <c:strRef>
                  <c:f>Tabla!$J$851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{2B4114E1-DF09-46E5-A423-23297EBC942B}</c15:txfldGUID>
                      <c15:f>Tabla!$J$851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730-4566-B9C9-B47031D34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Tabla!$C$847:$J$847</c:f>
              <c:numCache>
                <c:formatCode>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3730-4566-B9C9-B47031D344D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100208608"/>
        <c:axId val="1100204800"/>
      </c:barChart>
      <c:lineChart>
        <c:grouping val="standard"/>
        <c:varyColors val="0"/>
        <c:ser>
          <c:idx val="1"/>
          <c:order val="2"/>
          <c:tx>
            <c:strRef>
              <c:f>Tabla!$B$846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Tabla!$C$846:$J$846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730-4566-B9C9-B47031D344DD}"/>
            </c:ext>
          </c:extLst>
        </c:ser>
        <c:ser>
          <c:idx val="2"/>
          <c:order val="3"/>
          <c:tx>
            <c:strRef>
              <c:f>Tabla!$B$848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730-4566-B9C9-B47031D344DD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Tabla!$C$848:$J$848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730-4566-B9C9-B47031D344D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00208608"/>
        <c:axId val="1100204800"/>
      </c:lineChart>
      <c:catAx>
        <c:axId val="1100208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0204800"/>
        <c:crosses val="autoZero"/>
        <c:auto val="1"/>
        <c:lblAlgn val="ctr"/>
        <c:lblOffset val="100"/>
        <c:noMultiLvlLbl val="0"/>
      </c:catAx>
      <c:valAx>
        <c:axId val="1100204800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10020860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6349565935832733"/>
          <c:w val="0.99836801305589551"/>
          <c:h val="0.7963794864009502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Tabla!$B$880</c:f>
              <c:strCache>
                <c:ptCount val="1"/>
                <c:pt idx="0">
                  <c:v>ANTERIOR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Tabla!$C$880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{708BA40B-1E89-4F1B-A20A-1C4991D1E7D7}</c15:txfldGUID>
                      <c15:f>Tabla!$C$880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4C4A-4F80-8C21-C58A7AF99CF6}"/>
                </c:ext>
              </c:extLst>
            </c:dLbl>
            <c:dLbl>
              <c:idx val="1"/>
              <c:tx>
                <c:strRef>
                  <c:f>Tabla!$D$880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{940BD857-2E03-4936-B2A2-109A62FFF4A2}</c15:txfldGUID>
                      <c15:f>Tabla!$D$880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4C4A-4F80-8C21-C58A7AF99CF6}"/>
                </c:ext>
              </c:extLst>
            </c:dLbl>
            <c:dLbl>
              <c:idx val="2"/>
              <c:tx>
                <c:strRef>
                  <c:f>Tabla!$E$880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{2B67CCF1-8526-4394-BAFE-2111A6A59F79}</c15:txfldGUID>
                      <c15:f>Tabla!$E$880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4C4A-4F80-8C21-C58A7AF99CF6}"/>
                </c:ext>
              </c:extLst>
            </c:dLbl>
            <c:dLbl>
              <c:idx val="3"/>
              <c:tx>
                <c:strRef>
                  <c:f>Tabla!$F$880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{0A4C37FA-44BB-40D8-9FEB-F86B2B1589F3}</c15:txfldGUID>
                      <c15:f>Tabla!$F$880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4C4A-4F80-8C21-C58A7AF99CF6}"/>
                </c:ext>
              </c:extLst>
            </c:dLbl>
            <c:dLbl>
              <c:idx val="4"/>
              <c:tx>
                <c:strRef>
                  <c:f>Tabla!$G$880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{4ED24F7B-1F23-4FCA-82DD-A28F29C1D7EC}</c15:txfldGUID>
                      <c15:f>Tabla!$G$880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C4A-4F80-8C21-C58A7AF99CF6}"/>
                </c:ext>
              </c:extLst>
            </c:dLbl>
            <c:dLbl>
              <c:idx val="5"/>
              <c:tx>
                <c:strRef>
                  <c:f>Tabla!$H$880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{FCF04518-15FA-4DBF-9179-59E8A18EE66B}</c15:txfldGUID>
                      <c15:f>Tabla!$H$880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4C4A-4F80-8C21-C58A7AF99CF6}"/>
                </c:ext>
              </c:extLst>
            </c:dLbl>
            <c:dLbl>
              <c:idx val="6"/>
              <c:tx>
                <c:strRef>
                  <c:f>Tabla!$I$880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{8F13B64D-3A1B-4EBF-9FC0-B976EA41B82D}</c15:txfldGUID>
                      <c15:f>Tabla!$I$880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4C4A-4F80-8C21-C58A7AF99CF6}"/>
                </c:ext>
              </c:extLst>
            </c:dLbl>
            <c:dLbl>
              <c:idx val="7"/>
              <c:tx>
                <c:strRef>
                  <c:f>Tabla!$J$880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{6CCB79AA-16C6-47C4-86E6-AC99981C276E}</c15:txfldGUID>
                      <c15:f>Tabla!$J$880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4C4A-4F80-8C21-C58A7AF99C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Tabla!$C$880:$J$880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C4A-4F80-8C21-C58A7AF99CF6}"/>
            </c:ext>
          </c:extLst>
        </c:ser>
        <c:ser>
          <c:idx val="0"/>
          <c:order val="1"/>
          <c:tx>
            <c:strRef>
              <c:f>Tabla!$B$877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Tabla!$C$881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{2010B1BA-7D04-4C54-9275-805DF79E67CA}</c15:txfldGUID>
                      <c15:f>Tabla!$C$881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4C4A-4F80-8C21-C58A7AF99CF6}"/>
                </c:ext>
              </c:extLst>
            </c:dLbl>
            <c:dLbl>
              <c:idx val="1"/>
              <c:tx>
                <c:strRef>
                  <c:f>Tabla!$D$881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{0133381D-C08B-406C-90BA-2E53E9295D8C}</c15:txfldGUID>
                      <c15:f>Tabla!$D$881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4C4A-4F80-8C21-C58A7AF99CF6}"/>
                </c:ext>
              </c:extLst>
            </c:dLbl>
            <c:dLbl>
              <c:idx val="2"/>
              <c:tx>
                <c:strRef>
                  <c:f>Tabla!$E$881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{271CF6E0-81DE-4D92-A32E-59D306D35407}</c15:txfldGUID>
                      <c15:f>Tabla!$E$881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4C4A-4F80-8C21-C58A7AF99CF6}"/>
                </c:ext>
              </c:extLst>
            </c:dLbl>
            <c:dLbl>
              <c:idx val="3"/>
              <c:tx>
                <c:strRef>
                  <c:f>Tabla!$F$881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{CC9A1441-06E8-4EFF-8453-F6C9DDA42111}</c15:txfldGUID>
                      <c15:f>Tabla!$F$881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4C4A-4F80-8C21-C58A7AF99CF6}"/>
                </c:ext>
              </c:extLst>
            </c:dLbl>
            <c:dLbl>
              <c:idx val="4"/>
              <c:tx>
                <c:strRef>
                  <c:f>Tabla!$G$881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{B0DEA66F-4AED-4F99-B0EF-2FEC73E490DC}</c15:txfldGUID>
                      <c15:f>Tabla!$G$881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4C4A-4F80-8C21-C58A7AF99CF6}"/>
                </c:ext>
              </c:extLst>
            </c:dLbl>
            <c:dLbl>
              <c:idx val="5"/>
              <c:tx>
                <c:strRef>
                  <c:f>Tabla!$H$881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{A276B6DB-ADAA-4E7E-8D9D-ECF75BBC1135}</c15:txfldGUID>
                      <c15:f>Tabla!$H$881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4C4A-4F80-8C21-C58A7AF99CF6}"/>
                </c:ext>
              </c:extLst>
            </c:dLbl>
            <c:dLbl>
              <c:idx val="6"/>
              <c:tx>
                <c:strRef>
                  <c:f>Tabla!$I$881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{1FA1D588-592F-42DA-BAB7-ECC31F3E7124}</c15:txfldGUID>
                      <c15:f>Tabla!$I$881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4C4A-4F80-8C21-C58A7AF99CF6}"/>
                </c:ext>
              </c:extLst>
            </c:dLbl>
            <c:dLbl>
              <c:idx val="7"/>
              <c:tx>
                <c:strRef>
                  <c:f>Tabla!$J$881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{4F5B8C4C-C00E-49FC-A007-58DF9A8BD9C9}</c15:txfldGUID>
                      <c15:f>Tabla!$J$881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4C4A-4F80-8C21-C58A7AF99C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Tabla!$C$881:$J$881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C4A-4F80-8C21-C58A7AF99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00197184"/>
        <c:axId val="1100197728"/>
      </c:barChart>
      <c:lineChart>
        <c:grouping val="standard"/>
        <c:varyColors val="0"/>
        <c:ser>
          <c:idx val="1"/>
          <c:order val="2"/>
          <c:tx>
            <c:strRef>
              <c:f>Tabla!$B$876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Tabla!$C$876:$J$876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C4A-4F80-8C21-C58A7AF99CF6}"/>
            </c:ext>
          </c:extLst>
        </c:ser>
        <c:ser>
          <c:idx val="2"/>
          <c:order val="3"/>
          <c:tx>
            <c:strRef>
              <c:f>Tabla!$B$878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C4A-4F80-8C21-C58A7AF99CF6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Tabla!$C$878:$J$878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C4A-4F80-8C21-C58A7AF99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0197184"/>
        <c:axId val="1100197728"/>
      </c:lineChart>
      <c:catAx>
        <c:axId val="1100197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0197728"/>
        <c:crosses val="autoZero"/>
        <c:auto val="1"/>
        <c:lblAlgn val="ctr"/>
        <c:lblOffset val="100"/>
        <c:noMultiLvlLbl val="0"/>
      </c:catAx>
      <c:valAx>
        <c:axId val="110019772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1001971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6833999779525385"/>
          <c:w val="0.99836801305589551"/>
          <c:h val="0.79153514796402369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Tabla!$B$910</c:f>
              <c:strCache>
                <c:ptCount val="1"/>
                <c:pt idx="0">
                  <c:v>ANTERIOR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Tabla!$C$910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{64007C91-559E-4F0D-82F7-FCEDAF434BBA}</c15:txfldGUID>
                      <c15:f>Tabla!$C$910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DED-4937-A80A-93ADD182CA35}"/>
                </c:ext>
              </c:extLst>
            </c:dLbl>
            <c:dLbl>
              <c:idx val="1"/>
              <c:tx>
                <c:strRef>
                  <c:f>Tabla!$D$910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{99A7A177-2BA6-46B4-B248-7882CD73BBF7}</c15:txfldGUID>
                      <c15:f>Tabla!$D$910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DED-4937-A80A-93ADD182CA35}"/>
                </c:ext>
              </c:extLst>
            </c:dLbl>
            <c:dLbl>
              <c:idx val="2"/>
              <c:tx>
                <c:strRef>
                  <c:f>Tabla!$E$910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{FE624AAB-3EF1-4FC3-8BA1-18B847596EA7}</c15:txfldGUID>
                      <c15:f>Tabla!$E$910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DED-4937-A80A-93ADD182CA35}"/>
                </c:ext>
              </c:extLst>
            </c:dLbl>
            <c:dLbl>
              <c:idx val="3"/>
              <c:tx>
                <c:strRef>
                  <c:f>Tabla!$F$910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{8CC35713-0C4E-4CEC-9EAD-4D70E6513BFE}</c15:txfldGUID>
                      <c15:f>Tabla!$F$910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DED-4937-A80A-93ADD182CA35}"/>
                </c:ext>
              </c:extLst>
            </c:dLbl>
            <c:dLbl>
              <c:idx val="4"/>
              <c:tx>
                <c:strRef>
                  <c:f>Tabla!$G$910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{4CA5D657-E001-4B46-AF46-C29C08135748}</c15:txfldGUID>
                      <c15:f>Tabla!$G$910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DED-4937-A80A-93ADD182CA35}"/>
                </c:ext>
              </c:extLst>
            </c:dLbl>
            <c:dLbl>
              <c:idx val="5"/>
              <c:tx>
                <c:strRef>
                  <c:f>Tabla!$H$910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{B9AF1DBB-3415-4A39-B9C8-BB5131820484}</c15:txfldGUID>
                      <c15:f>Tabla!$H$910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DED-4937-A80A-93ADD182CA35}"/>
                </c:ext>
              </c:extLst>
            </c:dLbl>
            <c:dLbl>
              <c:idx val="6"/>
              <c:tx>
                <c:strRef>
                  <c:f>Tabla!$I$910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{E09F917C-B377-4216-9E15-1399E2AF981F}</c15:txfldGUID>
                      <c15:f>Tabla!$I$910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DED-4937-A80A-93ADD182CA35}"/>
                </c:ext>
              </c:extLst>
            </c:dLbl>
            <c:dLbl>
              <c:idx val="7"/>
              <c:tx>
                <c:strRef>
                  <c:f>Tabla!$J$910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{04325695-55D6-463F-8C1A-2B33A40D8909}</c15:txfldGUID>
                      <c15:f>Tabla!$J$910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DED-4937-A80A-93ADD182C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Tabla!$C$910:$J$910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ED-4937-A80A-93ADD182CA35}"/>
            </c:ext>
          </c:extLst>
        </c:ser>
        <c:ser>
          <c:idx val="0"/>
          <c:order val="1"/>
          <c:tx>
            <c:strRef>
              <c:f>Tabla!$B$907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Tabla!$C$911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{90FC3D30-FA03-4F32-8B1C-69CE08BA161C}</c15:txfldGUID>
                      <c15:f>Tabla!$C$911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DED-4937-A80A-93ADD182CA35}"/>
                </c:ext>
              </c:extLst>
            </c:dLbl>
            <c:dLbl>
              <c:idx val="1"/>
              <c:tx>
                <c:strRef>
                  <c:f>Tabla!$D$911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{0C8F5672-7D4E-48AC-BD19-A9EA2615845F}</c15:txfldGUID>
                      <c15:f>Tabla!$D$911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DED-4937-A80A-93ADD182CA35}"/>
                </c:ext>
              </c:extLst>
            </c:dLbl>
            <c:dLbl>
              <c:idx val="2"/>
              <c:tx>
                <c:strRef>
                  <c:f>Tabla!$E$911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{5A31A0CD-7A7E-4206-A24A-D72798E9A6FA}</c15:txfldGUID>
                      <c15:f>Tabla!$E$911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DED-4937-A80A-93ADD182CA35}"/>
                </c:ext>
              </c:extLst>
            </c:dLbl>
            <c:dLbl>
              <c:idx val="3"/>
              <c:tx>
                <c:strRef>
                  <c:f>Tabla!$F$911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{E44695F7-03AB-4D00-9FA6-BF29A7A219E3}</c15:txfldGUID>
                      <c15:f>Tabla!$F$911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DED-4937-A80A-93ADD182CA35}"/>
                </c:ext>
              </c:extLst>
            </c:dLbl>
            <c:dLbl>
              <c:idx val="4"/>
              <c:tx>
                <c:strRef>
                  <c:f>Tabla!$G$911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{F02319E6-BBF8-4417-865A-44953784BDA0}</c15:txfldGUID>
                      <c15:f>Tabla!$G$911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DED-4937-A80A-93ADD182CA35}"/>
                </c:ext>
              </c:extLst>
            </c:dLbl>
            <c:dLbl>
              <c:idx val="5"/>
              <c:tx>
                <c:strRef>
                  <c:f>Tabla!$H$911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{4FC8D9BE-922A-493F-A45B-8C95F8824B4B}</c15:txfldGUID>
                      <c15:f>Tabla!$H$911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0DED-4937-A80A-93ADD182CA35}"/>
                </c:ext>
              </c:extLst>
            </c:dLbl>
            <c:dLbl>
              <c:idx val="6"/>
              <c:tx>
                <c:strRef>
                  <c:f>Tabla!$I$911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{CCA0688C-24AB-488C-927E-CD4F63FA8BC8}</c15:txfldGUID>
                      <c15:f>Tabla!$I$911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DED-4937-A80A-93ADD182CA35}"/>
                </c:ext>
              </c:extLst>
            </c:dLbl>
            <c:dLbl>
              <c:idx val="7"/>
              <c:tx>
                <c:strRef>
                  <c:f>Tabla!$J$911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{7E8FF454-7B92-44C6-9BE8-4A0B6FDA7F27}</c15:txfldGUID>
                      <c15:f>Tabla!$J$911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DED-4937-A80A-93ADD182C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Tabla!$C$911:$J$911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ED-4937-A80A-93ADD182CA3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15"/>
        <c:axId val="1100209152"/>
        <c:axId val="1100209696"/>
      </c:barChart>
      <c:lineChart>
        <c:grouping val="standard"/>
        <c:varyColors val="0"/>
        <c:ser>
          <c:idx val="1"/>
          <c:order val="2"/>
          <c:tx>
            <c:strRef>
              <c:f>Tabla!$B$906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7150">
                <a:solidFill>
                  <a:srgbClr val="006086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="1" i="0" baseline="0">
                    <a:solidFill>
                      <a:srgbClr val="006086"/>
                    </a:solidFill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Tabla!$C$906:$J$906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DED-4937-A80A-93ADD182CA35}"/>
            </c:ext>
          </c:extLst>
        </c:ser>
        <c:ser>
          <c:idx val="2"/>
          <c:order val="3"/>
          <c:tx>
            <c:strRef>
              <c:f>Tabla!$B$908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DED-4937-A80A-93ADD182CA35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 i="0" baseline="0">
                    <a:latin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81</c:v>
                </c:pt>
                <c:pt idx="1">
                  <c:v>77</c:v>
                </c:pt>
                <c:pt idx="2">
                  <c:v>75</c:v>
                </c:pt>
                <c:pt idx="3">
                  <c:v>83</c:v>
                </c:pt>
                <c:pt idx="4">
                  <c:v>84</c:v>
                </c:pt>
              </c:strCache>
            </c:strRef>
          </c:cat>
          <c:val>
            <c:numRef>
              <c:f>Tabla!$C$908:$J$908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DED-4937-A80A-93ADD182CA3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00209152"/>
        <c:axId val="1100209696"/>
      </c:lineChart>
      <c:catAx>
        <c:axId val="1100209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0209696"/>
        <c:crosses val="autoZero"/>
        <c:auto val="1"/>
        <c:lblAlgn val="ctr"/>
        <c:lblOffset val="100"/>
        <c:noMultiLvlLbl val="0"/>
      </c:catAx>
      <c:valAx>
        <c:axId val="1100209696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10020915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579346764213015"/>
          <c:y val="0.12422110128022845"/>
          <c:w val="0.53392734111231799"/>
          <c:h val="0.65735942693098359"/>
        </c:manualLayout>
      </c:layout>
      <c:doughnutChart>
        <c:varyColors val="0"/>
        <c:ser>
          <c:idx val="0"/>
          <c:order val="0"/>
          <c:spPr>
            <a:ln w="635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BD1934">
                  <a:alpha val="50196"/>
                </a:srgbClr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33CD-4573-A515-3CE3BA1E68FB}"/>
              </c:ext>
            </c:extLst>
          </c:dPt>
          <c:dPt>
            <c:idx val="1"/>
            <c:bubble3D val="0"/>
            <c:spPr>
              <a:solidFill>
                <a:srgbClr val="BD195A">
                  <a:alpha val="49804"/>
                </a:srgbClr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3CD-4573-A515-3CE3BA1E68FB}"/>
              </c:ext>
            </c:extLst>
          </c:dPt>
          <c:dPt>
            <c:idx val="2"/>
            <c:bubble3D val="0"/>
            <c:spPr>
              <a:solidFill>
                <a:srgbClr val="835376">
                  <a:alpha val="50196"/>
                </a:srgbClr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33CD-4573-A515-3CE3BA1E68FB}"/>
              </c:ext>
            </c:extLst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33CD-4573-A515-3CE3BA1E68FB}"/>
              </c:ext>
            </c:extLst>
          </c:dPt>
          <c:dPt>
            <c:idx val="4"/>
            <c:bubble3D val="0"/>
            <c:spPr>
              <a:solidFill>
                <a:srgbClr val="7489B5">
                  <a:alpha val="50196"/>
                </a:srgbClr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33CD-4573-A515-3CE3BA1E68F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Motivo!$B$6:$F$6</c:f>
              <c:numCache>
                <c:formatCode>0</c:formatCode>
                <c:ptCount val="5"/>
                <c:pt idx="0">
                  <c:v>69.545454545454547</c:v>
                </c:pt>
                <c:pt idx="1">
                  <c:v>18.636363636363637</c:v>
                </c:pt>
                <c:pt idx="2">
                  <c:v>9.5454545454545467</c:v>
                </c:pt>
                <c:pt idx="3">
                  <c:v>2.2727272727272729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3CD-4573-A515-3CE3BA1E68FB}"/>
            </c:ext>
          </c:extLst>
        </c:ser>
        <c:ser>
          <c:idx val="1"/>
          <c:order val="1"/>
          <c:spPr>
            <a:ln w="1143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BD1934"/>
              </a:solidFill>
              <a:ln w="1143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33CD-4573-A515-3CE3BA1E68FB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143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33CD-4573-A515-3CE3BA1E68FB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143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0-33CD-4573-A515-3CE3BA1E68FB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143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2-33CD-4573-A515-3CE3BA1E68FB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143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4-33CD-4573-A515-3CE3BA1E68F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Motivo!$B$7:$F$7</c:f>
              <c:numCache>
                <c:formatCode>0</c:formatCode>
                <c:ptCount val="5"/>
                <c:pt idx="0">
                  <c:v>74.861367837338264</c:v>
                </c:pt>
                <c:pt idx="1">
                  <c:v>13.493530499075785</c:v>
                </c:pt>
                <c:pt idx="2">
                  <c:v>9.2421441774491679</c:v>
                </c:pt>
                <c:pt idx="3">
                  <c:v>2.4029574861367835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3CD-4573-A515-3CE3BA1E6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4"/>
      </c:doughnutChart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6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7308885210722361"/>
          <c:w val="0.99836801305589551"/>
          <c:h val="0.78678611055227377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Motivo!$R$83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868686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Motivo!$S$86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{8FC1D2A4-5402-4DED-ACF8-22F80001654F}</c15:txfldGUID>
                      <c15:f>Motivo!$S$86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C2D7-4705-8EBE-BA7B602ADC63}"/>
                </c:ext>
              </c:extLst>
            </c:dLbl>
            <c:dLbl>
              <c:idx val="1"/>
              <c:tx>
                <c:strRef>
                  <c:f>Motivo!$T$86</c:f>
                  <c:strCache>
                    <c:ptCount val="1"/>
                    <c:pt idx="0">
                      <c:v>74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{ED0E86DD-00CC-4CA8-9E6A-D06AA08635E6}</c15:txfldGUID>
                      <c15:f>Motivo!$T$86</c15:f>
                      <c15:dlblFieldTableCache>
                        <c:ptCount val="1"/>
                        <c:pt idx="0">
                          <c:v>74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C2D7-4705-8EBE-BA7B602ADC63}"/>
                </c:ext>
              </c:extLst>
            </c:dLbl>
            <c:dLbl>
              <c:idx val="2"/>
              <c:tx>
                <c:strRef>
                  <c:f>Motivo!$U$86</c:f>
                  <c:strCache>
                    <c:ptCount val="1"/>
                    <c:pt idx="0">
                      <c:v>62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{98B27407-2977-410F-9CAB-67291940EDC6}</c15:txfldGUID>
                      <c15:f>Motivo!$U$86</c15:f>
                      <c15:dlblFieldTableCache>
                        <c:ptCount val="1"/>
                        <c:pt idx="0">
                          <c:v>62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C2D7-4705-8EBE-BA7B602ADC63}"/>
                </c:ext>
              </c:extLst>
            </c:dLbl>
            <c:dLbl>
              <c:idx val="3"/>
              <c:tx>
                <c:strRef>
                  <c:f>Motivo!$V$86</c:f>
                  <c:strCache>
                    <c:ptCount val="1"/>
                    <c:pt idx="0">
                      <c:v>58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{90A994E6-C7D2-4F98-9F81-2CA44A90E881}</c15:txfldGUID>
                      <c15:f>Motivo!$V$86</c15:f>
                      <c15:dlblFieldTableCache>
                        <c:ptCount val="1"/>
                        <c:pt idx="0">
                          <c:v>58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C2D7-4705-8EBE-BA7B602ADC63}"/>
                </c:ext>
              </c:extLst>
            </c:dLbl>
            <c:dLbl>
              <c:idx val="4"/>
              <c:tx>
                <c:strRef>
                  <c:f>Motivo!$W$86</c:f>
                  <c:strCache>
                    <c:ptCount val="1"/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{EC6910E3-C011-434B-A4C7-7D0836DC66E5}</c15:txfldGUID>
                      <c15:f>Motivo!$W$86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C2D7-4705-8EBE-BA7B602ADC63}"/>
                </c:ext>
              </c:extLst>
            </c:dLbl>
            <c:dLbl>
              <c:idx val="5"/>
              <c:tx>
                <c:strRef>
                  <c:f>Motivo2!#REF!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{3E04E6DF-53E7-4B7F-9FF0-5173D61F11B9}</c15:txfldGUID>
                      <c15:f>Motivo2!#REF!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C2D7-4705-8EBE-BA7B602ADC63}"/>
                </c:ext>
              </c:extLst>
            </c:dLbl>
            <c:dLbl>
              <c:idx val="6"/>
              <c:tx>
                <c:strRef>
                  <c:f>Motivo2!#REF!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{75050CAB-AF6F-492E-BF02-639D76F04407}</c15:txfldGUID>
                      <c15:f>Motivo2!#REF!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C2D7-4705-8EBE-BA7B602ADC63}"/>
                </c:ext>
              </c:extLst>
            </c:dLbl>
            <c:dLbl>
              <c:idx val="7"/>
              <c:tx>
                <c:strRef>
                  <c:f>Motivo2!#REF!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{3E5AFB6B-7E9B-4D3B-9864-BBED4C94E6DB}</c15:txfldGUID>
                      <c15:f>Motivo2!#REF!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C2D7-4705-8EBE-BA7B602ADC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Motivo!$Q$89</c:f>
              <c:numCache>
                <c:formatCode>General</c:formatCode>
                <c:ptCount val="1"/>
                <c:pt idx="0">
                  <c:v>13</c:v>
                </c:pt>
              </c:numCache>
            </c:numRef>
          </c:cat>
          <c:val>
            <c:numRef>
              <c:f>Motivo!$S$86:$W$86</c:f>
              <c:numCache>
                <c:formatCode>0</c:formatCode>
                <c:ptCount val="5"/>
                <c:pt idx="0">
                  <c:v>82</c:v>
                </c:pt>
                <c:pt idx="1">
                  <c:v>74</c:v>
                </c:pt>
                <c:pt idx="2">
                  <c:v>62</c:v>
                </c:pt>
                <c:pt idx="3">
                  <c:v>58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D7-4705-8EBE-BA7B602ADC63}"/>
            </c:ext>
          </c:extLst>
        </c:ser>
        <c:ser>
          <c:idx val="0"/>
          <c:order val="1"/>
          <c:tx>
            <c:strRef>
              <c:f>Motivo!$R$83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BD1933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Motivo!$S$83</c:f>
                  <c:strCache>
                    <c:ptCount val="1"/>
                    <c:pt idx="0">
                      <c:v>86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{9986B740-427F-40E7-92CA-364853EE8FEB}</c15:txfldGUID>
                      <c15:f>Motivo!$S$83</c15:f>
                      <c15:dlblFieldTableCache>
                        <c:ptCount val="1"/>
                        <c:pt idx="0">
                          <c:v>86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C2D7-4705-8EBE-BA7B602ADC63}"/>
                </c:ext>
              </c:extLst>
            </c:dLbl>
            <c:dLbl>
              <c:idx val="1"/>
              <c:tx>
                <c:strRef>
                  <c:f>Motivo!$T$83</c:f>
                  <c:strCache>
                    <c:ptCount val="1"/>
                    <c:pt idx="0">
                      <c:v>77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{DC6D71AA-5EF2-4F59-A0B5-8091D2065B96}</c15:txfldGUID>
                      <c15:f>Motivo!$T$83</c15:f>
                      <c15:dlblFieldTableCache>
                        <c:ptCount val="1"/>
                        <c:pt idx="0">
                          <c:v>77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C2D7-4705-8EBE-BA7B602ADC63}"/>
                </c:ext>
              </c:extLst>
            </c:dLbl>
            <c:dLbl>
              <c:idx val="2"/>
              <c:tx>
                <c:strRef>
                  <c:f>Motivo!$U$83</c:f>
                  <c:strCache>
                    <c:ptCount val="1"/>
                    <c:pt idx="0">
                      <c:v>73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{E65EC2B9-4EF3-4C7F-8786-97D605DB95E5}</c15:txfldGUID>
                      <c15:f>Motivo!$U$83</c15:f>
                      <c15:dlblFieldTableCache>
                        <c:ptCount val="1"/>
                        <c:pt idx="0">
                          <c:v>73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C2D7-4705-8EBE-BA7B602ADC63}"/>
                </c:ext>
              </c:extLst>
            </c:dLbl>
            <c:dLbl>
              <c:idx val="3"/>
              <c:tx>
                <c:strRef>
                  <c:f>Motivo!$V$83</c:f>
                  <c:strCache>
                    <c:ptCount val="1"/>
                    <c:pt idx="0">
                      <c:v>54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{0F166C2F-7E63-48DB-8DB4-DA73FA02CE8E}</c15:txfldGUID>
                      <c15:f>Motivo!$V$83</c15:f>
                      <c15:dlblFieldTableCache>
                        <c:ptCount val="1"/>
                        <c:pt idx="0">
                          <c:v>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C2D7-4705-8EBE-BA7B602ADC63}"/>
                </c:ext>
              </c:extLst>
            </c:dLbl>
            <c:dLbl>
              <c:idx val="4"/>
              <c:tx>
                <c:strRef>
                  <c:f>Motivo!$W$83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{1B8490C1-C923-4A15-BF3E-5D205887A927}</c15:txfldGUID>
                      <c15:f>Motivo!$W$83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C2D7-4705-8EBE-BA7B602ADC63}"/>
                </c:ext>
              </c:extLst>
            </c:dLbl>
            <c:dLbl>
              <c:idx val="5"/>
              <c:tx>
                <c:strRef>
                  <c:f>Motivo2!#REF!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{058D42C0-1FD9-4B8F-946E-C12FD414E17C}</c15:txfldGUID>
                      <c15:f>Motivo2!#REF!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C2D7-4705-8EBE-BA7B602ADC63}"/>
                </c:ext>
              </c:extLst>
            </c:dLbl>
            <c:dLbl>
              <c:idx val="6"/>
              <c:tx>
                <c:strRef>
                  <c:f>Motivo2!#REF!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{3E72A0E9-0256-44D1-BF3F-37C04ACE9665}</c15:txfldGUID>
                      <c15:f>Motivo2!#REF!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C2D7-4705-8EBE-BA7B602ADC63}"/>
                </c:ext>
              </c:extLst>
            </c:dLbl>
            <c:dLbl>
              <c:idx val="7"/>
              <c:tx>
                <c:strRef>
                  <c:f>Motivo2!#REF!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{609234B9-F0FB-471A-B7AA-EC528401BCF2}</c15:txfldGUID>
                      <c15:f>Motivo2!#REF!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C2D7-4705-8EBE-BA7B602ADC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600" b="1" i="0" u="none" strike="noStrike" kern="1200" baseline="0">
                    <a:solidFill>
                      <a:sysClr val="window" lastClr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Motivo!$Q$89</c:f>
              <c:numCache>
                <c:formatCode>General</c:formatCode>
                <c:ptCount val="1"/>
                <c:pt idx="0">
                  <c:v>13</c:v>
                </c:pt>
              </c:numCache>
            </c:numRef>
          </c:cat>
          <c:val>
            <c:numRef>
              <c:f>Motivo!$S$83:$W$83</c:f>
              <c:numCache>
                <c:formatCode>0</c:formatCode>
                <c:ptCount val="5"/>
                <c:pt idx="0">
                  <c:v>86</c:v>
                </c:pt>
                <c:pt idx="1">
                  <c:v>77</c:v>
                </c:pt>
                <c:pt idx="2">
                  <c:v>73</c:v>
                </c:pt>
                <c:pt idx="3">
                  <c:v>54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D7-4705-8EBE-BA7B602AD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00200448"/>
        <c:axId val="1100200992"/>
      </c:barChart>
      <c:lineChart>
        <c:grouping val="standard"/>
        <c:varyColors val="0"/>
        <c:ser>
          <c:idx val="1"/>
          <c:order val="2"/>
          <c:tx>
            <c:strRef>
              <c:f>Motivo!$R$82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69850">
              <a:solidFill>
                <a:srgbClr val="006086"/>
              </a:solidFill>
              <a:prstDash val="solid"/>
            </a:ln>
          </c:spPr>
          <c:marker>
            <c:symbol val="circle"/>
            <c:size val="13"/>
            <c:spPr>
              <a:solidFill>
                <a:schemeClr val="bg1"/>
              </a:solidFill>
              <a:ln w="53975">
                <a:solidFill>
                  <a:srgbClr val="006086"/>
                </a:solidFill>
              </a:ln>
            </c:spPr>
          </c:marker>
          <c:dLbls>
            <c:spPr>
              <a:noFill/>
            </c:spPr>
            <c:txPr>
              <a:bodyPr/>
              <a:lstStyle/>
              <a:p>
                <a:pPr algn="ctr">
                  <a:defRPr lang="es-ES"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Motivo!$S$86:$W$86</c:f>
              <c:strCache>
                <c:ptCount val="4"/>
                <c:pt idx="0">
                  <c:v>82</c:v>
                </c:pt>
                <c:pt idx="1">
                  <c:v>74</c:v>
                </c:pt>
                <c:pt idx="2">
                  <c:v>62</c:v>
                </c:pt>
                <c:pt idx="3">
                  <c:v>58</c:v>
                </c:pt>
              </c:strCache>
            </c:strRef>
          </c:cat>
          <c:val>
            <c:numRef>
              <c:f>Motivo!$S$82:$W$82</c:f>
              <c:numCache>
                <c:formatCode>0</c:formatCode>
                <c:ptCount val="5"/>
                <c:pt idx="0">
                  <c:v>91</c:v>
                </c:pt>
                <c:pt idx="1">
                  <c:v>89</c:v>
                </c:pt>
                <c:pt idx="2">
                  <c:v>80</c:v>
                </c:pt>
                <c:pt idx="3">
                  <c:v>69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2D7-4705-8EBE-BA7B602ADC63}"/>
            </c:ext>
          </c:extLst>
        </c:ser>
        <c:ser>
          <c:idx val="2"/>
          <c:order val="3"/>
          <c:tx>
            <c:strRef>
              <c:f>Motivo!$R$84</c:f>
              <c:strCache>
                <c:ptCount val="1"/>
                <c:pt idx="0">
                  <c:v>General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2D7-4705-8EBE-BA7B602ADC63}"/>
                </c:ext>
              </c:extLst>
            </c:dLbl>
            <c:spPr>
              <a:noFill/>
              <a:ln w="19050">
                <a:noFill/>
              </a:ln>
            </c:spPr>
            <c:txPr>
              <a:bodyPr/>
              <a:lstStyle/>
              <a:p>
                <a:pPr>
                  <a:defRPr sz="2400" b="1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Motivo!$S$86:$W$86</c:f>
              <c:strCache>
                <c:ptCount val="4"/>
                <c:pt idx="0">
                  <c:v>82</c:v>
                </c:pt>
                <c:pt idx="1">
                  <c:v>74</c:v>
                </c:pt>
                <c:pt idx="2">
                  <c:v>62</c:v>
                </c:pt>
                <c:pt idx="3">
                  <c:v>58</c:v>
                </c:pt>
              </c:strCache>
            </c:strRef>
          </c:cat>
          <c:val>
            <c:numRef>
              <c:f>Motivo!$S$84:$W$84</c:f>
              <c:numCache>
                <c:formatCode>0</c:formatCode>
                <c:ptCount val="5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2D7-4705-8EBE-BA7B602AD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0200448"/>
        <c:axId val="1100200992"/>
      </c:lineChart>
      <c:catAx>
        <c:axId val="1100200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0200992"/>
        <c:crosses val="autoZero"/>
        <c:auto val="1"/>
        <c:lblAlgn val="ctr"/>
        <c:lblOffset val="100"/>
        <c:noMultiLvlLbl val="0"/>
      </c:catAx>
      <c:valAx>
        <c:axId val="1100200992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10020044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3.4815652878897485E-2"/>
          <c:h val="3.2255444990015224E-2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046A-4E81-8A2E-D8810161D48B}"/>
              </c:ext>
            </c:extLst>
          </c:dPt>
          <c:dPt>
            <c:idx val="1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046A-4E81-8A2E-D8810161D48B}"/>
              </c:ext>
            </c:extLst>
          </c:dPt>
          <c:dPt>
            <c:idx val="2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046A-4E81-8A2E-D8810161D48B}"/>
              </c:ext>
            </c:extLst>
          </c:dPt>
          <c:dPt>
            <c:idx val="3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046A-4E81-8A2E-D8810161D48B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046A-4E81-8A2E-D8810161D48B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046A-4E81-8A2E-D8810161D48B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046A-4E81-8A2E-D8810161D48B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046A-4E81-8A2E-D8810161D48B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046A-4E81-8A2E-D8810161D48B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046A-4E81-8A2E-D8810161D48B}"/>
              </c:ext>
            </c:extLst>
          </c:dPt>
          <c:dLbls>
            <c:delete val="1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4-046A-4E81-8A2E-D8810161D48B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5-046A-4E81-8A2E-D8810161D48B}"/>
            </c:ext>
          </c:extLst>
        </c:ser>
        <c:ser>
          <c:idx val="2"/>
          <c:order val="2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6-046A-4E81-8A2E-D8810161D48B}"/>
            </c:ext>
          </c:extLst>
        </c:ser>
        <c:ser>
          <c:idx val="3"/>
          <c:order val="3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7-046A-4E81-8A2E-D8810161D48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6.7783345263660269E-2"/>
          <c:y val="4.9679127238480551E-2"/>
          <c:w val="0.88373180625149139"/>
          <c:h val="0.91047704168170496"/>
        </c:manualLayout>
      </c:layout>
      <c:overlay val="0"/>
      <c:txPr>
        <a:bodyPr/>
        <a:lstStyle/>
        <a:p>
          <a:pPr>
            <a:defRPr sz="800"/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3.4815652878897485E-2"/>
          <c:h val="3.2255444990015224E-2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D196-460F-9718-D2AAFFFB05BF}"/>
              </c:ext>
            </c:extLst>
          </c:dPt>
          <c:dPt>
            <c:idx val="1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D196-460F-9718-D2AAFFFB05BF}"/>
              </c:ext>
            </c:extLst>
          </c:dPt>
          <c:dPt>
            <c:idx val="2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D196-460F-9718-D2AAFFFB05BF}"/>
              </c:ext>
            </c:extLst>
          </c:dPt>
          <c:dPt>
            <c:idx val="3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D196-460F-9718-D2AAFFFB05BF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D196-460F-9718-D2AAFFFB05BF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D196-460F-9718-D2AAFFFB05BF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D196-460F-9718-D2AAFFFB05BF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D196-460F-9718-D2AAFFFB05BF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D196-460F-9718-D2AAFFFB05BF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D196-460F-9718-D2AAFFFB05BF}"/>
              </c:ext>
            </c:extLst>
          </c:dPt>
          <c:dLbls>
            <c:delete val="1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4-D196-460F-9718-D2AAFFFB05BF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5-D196-460F-9718-D2AAFFFB05BF}"/>
            </c:ext>
          </c:extLst>
        </c:ser>
        <c:ser>
          <c:idx val="2"/>
          <c:order val="2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6-D196-460F-9718-D2AAFFFB05BF}"/>
            </c:ext>
          </c:extLst>
        </c:ser>
        <c:ser>
          <c:idx val="3"/>
          <c:order val="3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7-D196-460F-9718-D2AAFFFB05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6.7783345263660269E-2"/>
          <c:y val="4.9679127238480551E-2"/>
          <c:w val="0.88373180625149139"/>
          <c:h val="0.73486719219020247"/>
        </c:manualLayout>
      </c:layout>
      <c:overlay val="0"/>
      <c:txPr>
        <a:bodyPr/>
        <a:lstStyle/>
        <a:p>
          <a:pPr>
            <a:defRPr sz="800"/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544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0066-4EC3-A82F-574D85E578FB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A-0066-4EC3-A82F-574D85E578FB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0066-4EC3-A82F-574D85E578FB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C-0066-4EC3-A82F-574D85E578FB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0066-4EC3-A82F-574D85E578FB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0795-4B72-8A5F-51C700A45C84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795-4B72-8A5F-51C700A45C84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'TI COPIA'!$L$4:$P$4</c:f>
              <c:numCache>
                <c:formatCode>General</c:formatCode>
                <c:ptCount val="5"/>
                <c:pt idx="0">
                  <c:v>8.8235294117647065</c:v>
                </c:pt>
                <c:pt idx="1">
                  <c:v>42.830882352941174</c:v>
                </c:pt>
                <c:pt idx="2">
                  <c:v>34.375</c:v>
                </c:pt>
                <c:pt idx="3">
                  <c:v>12.132352941176471</c:v>
                </c:pt>
                <c:pt idx="4">
                  <c:v>1.8382352941176472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0066-4EC3-A82F-574D85E578FB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E-0066-4EC3-A82F-574D85E578FB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0-0066-4EC3-A82F-574D85E578FB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2-0066-4EC3-A82F-574D85E578FB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4-0066-4EC3-A82F-574D85E578FB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6-0066-4EC3-A82F-574D85E578FB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D5A3-4812-A21E-A502FC2762AE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D5A3-4812-A21E-A502FC2762AE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0066-4EC3-A82F-574D85E578FB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0066-4EC3-A82F-574D85E578FB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62-0066-4EC3-A82F-574D85E578FB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0066-4EC3-A82F-574D85E578FB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0066-4EC3-A82F-574D85E578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COPIA'!$L$4:$P$4</c:f>
              <c:numCache>
                <c:formatCode>General</c:formatCode>
                <c:ptCount val="5"/>
                <c:pt idx="0">
                  <c:v>8.8235294117647065</c:v>
                </c:pt>
                <c:pt idx="1">
                  <c:v>42.830882352941174</c:v>
                </c:pt>
                <c:pt idx="2">
                  <c:v>34.375</c:v>
                </c:pt>
                <c:pt idx="3">
                  <c:v>12.132352941176471</c:v>
                </c:pt>
                <c:pt idx="4">
                  <c:v>1.8382352941176472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0066-4EC3-A82F-574D85E578F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1">
                <a:solidFill>
                  <a:schemeClr val="bg1">
                    <a:lumMod val="10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n-US" b="1">
                <a:solidFill>
                  <a:schemeClr val="bg1">
                    <a:lumMod val="10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Total Respondentes: 0</a:t>
            </a:r>
          </a:p>
        </c:rich>
      </c:tx>
      <c:layout>
        <c:manualLayout>
          <c:xMode val="edge"/>
          <c:yMode val="edge"/>
          <c:x val="0.40402166669017464"/>
          <c:y val="0.9420924574209246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49143036034161741"/>
          <c:y val="2.8348243705878944E-2"/>
          <c:w val="0.50103603945104247"/>
          <c:h val="0.8807869114236822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BD1933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C6E-486C-BA5E-7D7B74FFC6A5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C6E-486C-BA5E-7D7B74FFC6A5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C6E-486C-BA5E-7D7B74FFC6A5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C6E-486C-BA5E-7D7B74FFC6A5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3C6E-486C-BA5E-7D7B74FFC6A5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1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3C6E-486C-BA5E-7D7B74FFC6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2"/>
        <c:axId val="1102092704"/>
        <c:axId val="1102091616"/>
      </c:barChart>
      <c:valAx>
        <c:axId val="1102091616"/>
        <c:scaling>
          <c:orientation val="minMax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102092704"/>
        <c:crosses val="autoZero"/>
        <c:crossBetween val="between"/>
        <c:majorUnit val="30"/>
      </c:valAx>
      <c:catAx>
        <c:axId val="1102092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1102091616"/>
        <c:crosses val="autoZero"/>
        <c:auto val="1"/>
        <c:lblAlgn val="ctr"/>
        <c:lblOffset val="100"/>
        <c:noMultiLvlLbl val="0"/>
      </c:catAx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542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B1-4384-9D5F-36CC1010E8E3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7B1-4384-9D5F-36CC1010E8E3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7B1-4384-9D5F-36CC1010E8E3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7B1-4384-9D5F-36CC1010E8E3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7B1-4384-9D5F-36CC1010E8E3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6DCF-474E-B350-B68A78571725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DCF-474E-B350-B68A78571725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'TI COPIA'!$R$4:$S$4</c:f>
              <c:numCache>
                <c:formatCode>General</c:formatCode>
                <c:ptCount val="2"/>
                <c:pt idx="0">
                  <c:v>50.553505535055351</c:v>
                </c:pt>
                <c:pt idx="1">
                  <c:v>49.446494464944649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7B1-4384-9D5F-36CC1010E8E3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F7B1-4384-9D5F-36CC1010E8E3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7B1-4384-9D5F-36CC1010E8E3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F7B1-4384-9D5F-36CC1010E8E3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F7B1-4384-9D5F-36CC1010E8E3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7B1-4384-9D5F-36CC1010E8E3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0D54-44C9-9944-D1F158C4F128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0D54-44C9-9944-D1F158C4F128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7B1-4384-9D5F-36CC1010E8E3}"/>
                </c:ext>
              </c:extLst>
            </c:dLbl>
            <c:dLbl>
              <c:idx val="1"/>
              <c:layout>
                <c:manualLayout>
                  <c:x val="-3.4245831506459525E-2"/>
                  <c:y val="-2.1708991714651411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7B1-4384-9D5F-36CC1010E8E3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7B1-4384-9D5F-36CC1010E8E3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7B1-4384-9D5F-36CC1010E8E3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F7B1-4384-9D5F-36CC1010E8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COPIA'!$R$4:$S$4</c:f>
              <c:numCache>
                <c:formatCode>General</c:formatCode>
                <c:ptCount val="2"/>
                <c:pt idx="0">
                  <c:v>50.553505535055351</c:v>
                </c:pt>
                <c:pt idx="1">
                  <c:v>49.446494464944649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7B1-4384-9D5F-36CC1010E8E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543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DB0-4CFC-BA0E-CD9C8FB00E8F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DB0-4CFC-BA0E-CD9C8FB00E8F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DB0-4CFC-BA0E-CD9C8FB00E8F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DB0-4CFC-BA0E-CD9C8FB00E8F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DB0-4CFC-BA0E-CD9C8FB00E8F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433C-4FF1-8FF1-960F06562C6D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33C-4FF1-8FF1-960F06562C6D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'TI COPIA'!$U$4:$Y$4</c:f>
              <c:numCache>
                <c:formatCode>General</c:formatCode>
                <c:ptCount val="5"/>
                <c:pt idx="0">
                  <c:v>0.18416206261510129</c:v>
                </c:pt>
                <c:pt idx="1">
                  <c:v>2.2099447513812152</c:v>
                </c:pt>
                <c:pt idx="2">
                  <c:v>32.044198895027627</c:v>
                </c:pt>
                <c:pt idx="3">
                  <c:v>48.066298342541437</c:v>
                </c:pt>
                <c:pt idx="4">
                  <c:v>17.495395948434624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DB0-4CFC-BA0E-CD9C8FB00E8F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DB0-4CFC-BA0E-CD9C8FB00E8F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DB0-4CFC-BA0E-CD9C8FB00E8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BDB0-4CFC-BA0E-CD9C8FB00E8F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BDB0-4CFC-BA0E-CD9C8FB00E8F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BDB0-4CFC-BA0E-CD9C8FB00E8F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9E5E-4B35-9456-25D1C7726DE4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9E5E-4B35-9456-25D1C7726DE4}"/>
              </c:ext>
            </c:extLst>
          </c:dPt>
          <c:dLbls>
            <c:dLbl>
              <c:idx val="0"/>
              <c:layout>
                <c:manualLayout>
                  <c:x val="3.6871130509412688E-2"/>
                  <c:y val="-6.7050674608996941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DB0-4CFC-BA0E-CD9C8FB00E8F}"/>
                </c:ext>
              </c:extLst>
            </c:dLbl>
            <c:dLbl>
              <c:idx val="1"/>
              <c:layout>
                <c:manualLayout>
                  <c:x val="5.4585333691161315E-2"/>
                  <c:y val="4.6420644735428111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DB0-4CFC-BA0E-CD9C8FB00E8F}"/>
                </c:ext>
              </c:extLst>
            </c:dLbl>
            <c:dLbl>
              <c:idx val="2"/>
              <c:layout>
                <c:manualLayout>
                  <c:x val="2.7364576035808323E-2"/>
                  <c:y val="0.1271486495343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69413131428034"/>
                      <c:h val="0.2299734135551277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BDB0-4CFC-BA0E-CD9C8FB00E8F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DB0-4CFC-BA0E-CD9C8FB00E8F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DB0-4CFC-BA0E-CD9C8FB00E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COPIA'!$U$4:$Y$4</c:f>
              <c:numCache>
                <c:formatCode>General</c:formatCode>
                <c:ptCount val="5"/>
                <c:pt idx="0">
                  <c:v>0.18416206261510129</c:v>
                </c:pt>
                <c:pt idx="1">
                  <c:v>2.2099447513812152</c:v>
                </c:pt>
                <c:pt idx="2">
                  <c:v>32.044198895027627</c:v>
                </c:pt>
                <c:pt idx="3">
                  <c:v>48.066298342541437</c:v>
                </c:pt>
                <c:pt idx="4">
                  <c:v>17.495395948434624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DB0-4CFC-BA0E-CD9C8FB00E8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563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36-4E6E-9A4F-0B1B2ABD5E27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36-4E6E-9A4F-0B1B2ABD5E27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36-4E6E-9A4F-0B1B2ABD5E27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836-4E6E-9A4F-0B1B2ABD5E27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836-4E6E-9A4F-0B1B2ABD5E27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CFC-4277-85D5-8EACC041C9B9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CFC-4277-85D5-8EACC041C9B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CFC-4277-85D5-8EACC041C9B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CFC-4277-85D5-8EACC041C9B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CFC-4277-85D5-8EACC041C9B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CFC-4277-85D5-8EACC041C9B9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COPIA'!$AA$2:$AE$2</c:f>
              <c:strCache>
                <c:ptCount val="5"/>
                <c:pt idx="0">
                  <c:v>Director/VP</c:v>
                </c:pt>
                <c:pt idx="1">
                  <c:v>Líder de área o proceso</c:v>
                </c:pt>
                <c:pt idx="2">
                  <c:v>Gerente con gente a cargo</c:v>
                </c:pt>
                <c:pt idx="3">
                  <c:v>Profesional Senior</c:v>
                </c:pt>
                <c:pt idx="4">
                  <c:v>Profesional Junior o SemiSenior</c:v>
                </c:pt>
              </c:strCache>
            </c:strRef>
          </c:cat>
          <c:val>
            <c:numRef>
              <c:f>'TI COPIA'!$AA$4:$AE$4</c:f>
              <c:numCache>
                <c:formatCode>General</c:formatCode>
                <c:ptCount val="5"/>
                <c:pt idx="0">
                  <c:v>2.8419182948490231</c:v>
                </c:pt>
                <c:pt idx="1">
                  <c:v>11.900532859680284</c:v>
                </c:pt>
                <c:pt idx="2">
                  <c:v>6.74955595026643</c:v>
                </c:pt>
                <c:pt idx="3">
                  <c:v>22.202486678507995</c:v>
                </c:pt>
                <c:pt idx="4">
                  <c:v>56.305506216696266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836-4E6E-9A4F-0B1B2ABD5E27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D836-4E6E-9A4F-0B1B2ABD5E27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D836-4E6E-9A4F-0B1B2ABD5E27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D836-4E6E-9A4F-0B1B2ABD5E27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D836-4E6E-9A4F-0B1B2ABD5E27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D836-4E6E-9A4F-0B1B2ABD5E27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0CFC-4277-85D5-8EACC041C9B9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798B-4B60-B279-54E38C749697}"/>
              </c:ext>
            </c:extLst>
          </c:dPt>
          <c:dPt>
            <c:idx val="7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0CFC-4277-85D5-8EACC041C9B9}"/>
              </c:ext>
            </c:extLst>
          </c:dPt>
          <c:dPt>
            <c:idx val="8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0CFC-4277-85D5-8EACC041C9B9}"/>
              </c:ext>
            </c:extLst>
          </c:dPt>
          <c:dPt>
            <c:idx val="9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0CFC-4277-85D5-8EACC041C9B9}"/>
              </c:ext>
            </c:extLst>
          </c:dPt>
          <c:dPt>
            <c:idx val="1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0CFC-4277-85D5-8EACC041C9B9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36-4E6E-9A4F-0B1B2ABD5E27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36-4E6E-9A4F-0B1B2ABD5E27}"/>
                </c:ext>
              </c:extLst>
            </c:dLbl>
            <c:dLbl>
              <c:idx val="2"/>
              <c:layout>
                <c:manualLayout>
                  <c:x val="5.6195743687667707E-2"/>
                  <c:y val="8.8388035001881454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551274381786504"/>
                      <c:h val="0.217297358622894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836-4E6E-9A4F-0B1B2ABD5E27}"/>
                </c:ext>
              </c:extLst>
            </c:dLbl>
            <c:dLbl>
              <c:idx val="3"/>
              <c:layout>
                <c:manualLayout>
                  <c:x val="5.080887408492181E-2"/>
                  <c:y val="-5.7972157261599504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836-4E6E-9A4F-0B1B2ABD5E27}"/>
                </c:ext>
              </c:extLst>
            </c:dLbl>
            <c:dLbl>
              <c:idx val="4"/>
              <c:layout>
                <c:manualLayout>
                  <c:x val="-2.4342733435208777E-2"/>
                  <c:y val="-2.718098844615854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836-4E6E-9A4F-0B1B2ABD5E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COPIA'!$AA$4:$AE$4</c:f>
              <c:numCache>
                <c:formatCode>General</c:formatCode>
                <c:ptCount val="5"/>
                <c:pt idx="0">
                  <c:v>2.8419182948490231</c:v>
                </c:pt>
                <c:pt idx="1">
                  <c:v>11.900532859680284</c:v>
                </c:pt>
                <c:pt idx="2">
                  <c:v>6.74955595026643</c:v>
                </c:pt>
                <c:pt idx="3">
                  <c:v>22.202486678507995</c:v>
                </c:pt>
                <c:pt idx="4">
                  <c:v>56.305506216696266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836-4E6E-9A4F-0B1B2ABD5E2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541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810-496E-8705-0F07A597279F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810-496E-8705-0F07A597279F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810-496E-8705-0F07A597279F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810-496E-8705-0F07A597279F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810-496E-8705-0F07A597279F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B5E-4BED-971D-3692551FBF6E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C9AF-45C7-9D59-1ECAAA83BFAC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COPIA'!$AG$2:$AL$2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'TI COPIA'!$AG$4:$AL$4</c:f>
              <c:numCache>
                <c:formatCode>General</c:formatCode>
                <c:ptCount val="6"/>
                <c:pt idx="0">
                  <c:v>21.626617375231053</c:v>
                </c:pt>
                <c:pt idx="1">
                  <c:v>38.262476894639555</c:v>
                </c:pt>
                <c:pt idx="2">
                  <c:v>29.390018484288355</c:v>
                </c:pt>
                <c:pt idx="3">
                  <c:v>4.066543438077634</c:v>
                </c:pt>
                <c:pt idx="4">
                  <c:v>5.5452865064695009</c:v>
                </c:pt>
                <c:pt idx="5">
                  <c:v>1.1090573012939002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10-496E-8705-0F07A597279F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810-496E-8705-0F07A597279F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810-496E-8705-0F07A597279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3810-496E-8705-0F07A597279F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3810-496E-8705-0F07A597279F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3810-496E-8705-0F07A597279F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8B5E-4BED-971D-3692551FBF6E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A959-46F5-AE53-FA848D65A4D3}"/>
              </c:ext>
            </c:extLst>
          </c:dPt>
          <c:dLbls>
            <c:dLbl>
              <c:idx val="0"/>
              <c:layout>
                <c:manualLayout>
                  <c:x val="5.4013986951058926E-2"/>
                  <c:y val="1.9569034094595272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810-496E-8705-0F07A597279F}"/>
                </c:ext>
              </c:extLst>
            </c:dLbl>
            <c:dLbl>
              <c:idx val="1"/>
              <c:layout>
                <c:manualLayout>
                  <c:x val="-1.5544533570118214E-2"/>
                  <c:y val="-5.0762443078358317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810-496E-8705-0F07A597279F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810-496E-8705-0F07A597279F}"/>
                </c:ext>
              </c:extLst>
            </c:dLbl>
            <c:dLbl>
              <c:idx val="3"/>
              <c:layout>
                <c:manualLayout>
                  <c:x val="-4.5814559942138872E-2"/>
                  <c:y val="5.40728563743089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025188218624062"/>
                      <c:h val="0.1092253399994077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2-3810-496E-8705-0F07A597279F}"/>
                </c:ext>
              </c:extLst>
            </c:dLbl>
            <c:dLbl>
              <c:idx val="4"/>
              <c:layout>
                <c:manualLayout>
                  <c:x val="-1.3433581616378705E-2"/>
                  <c:y val="-1.3448595602906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609869695884253"/>
                      <c:h val="0.115563367465524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4-3810-496E-8705-0F07A597279F}"/>
                </c:ext>
              </c:extLst>
            </c:dLbl>
            <c:dLbl>
              <c:idx val="5"/>
              <c:layout>
                <c:manualLayout>
                  <c:x val="5.6103955164987916E-2"/>
                  <c:y val="-1.373239284325242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32980303385606"/>
                      <c:h val="9.591548232056312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7-8B5E-4BED-971D-3692551FBF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COPIA'!$AG$4:$AL$4</c:f>
              <c:numCache>
                <c:formatCode>General</c:formatCode>
                <c:ptCount val="6"/>
                <c:pt idx="0">
                  <c:v>21.626617375231053</c:v>
                </c:pt>
                <c:pt idx="1">
                  <c:v>38.262476894639555</c:v>
                </c:pt>
                <c:pt idx="2">
                  <c:v>29.390018484288355</c:v>
                </c:pt>
                <c:pt idx="3">
                  <c:v>4.066543438077634</c:v>
                </c:pt>
                <c:pt idx="4">
                  <c:v>5.5452865064695009</c:v>
                </c:pt>
                <c:pt idx="5">
                  <c:v>1.1090573012939002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810-496E-8705-0F07A597279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541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12-4B72-993A-0431698D42A2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12-4B72-993A-0431698D42A2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C12-4B72-993A-0431698D42A2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C12-4B72-993A-0431698D42A2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C12-4B72-993A-0431698D42A2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623E-49CF-9056-89FD4C10351C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23E-49CF-9056-89FD4C10351C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COPIA'!$AN$2:$AO$2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'TI COPIA'!$AN$4:$AO$4</c:f>
              <c:numCache>
                <c:formatCode>General</c:formatCode>
                <c:ptCount val="2"/>
                <c:pt idx="0">
                  <c:v>98.706099815157117</c:v>
                </c:pt>
                <c:pt idx="1">
                  <c:v>1.2939001848428837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C12-4B72-993A-0431698D42A2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C12-4B72-993A-0431698D42A2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EC12-4B72-993A-0431698D42A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EC12-4B72-993A-0431698D42A2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EC12-4B72-993A-0431698D42A2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EC12-4B72-993A-0431698D42A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C392-47F6-9E9E-0845C0177156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C392-47F6-9E9E-0845C0177156}"/>
              </c:ext>
            </c:extLst>
          </c:dPt>
          <c:dLbls>
            <c:dLbl>
              <c:idx val="0"/>
              <c:layout>
                <c:manualLayout>
                  <c:x val="-4.2609385720037397E-2"/>
                  <c:y val="-1.0008427413948385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C12-4B72-993A-0431698D42A2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C12-4B72-993A-0431698D42A2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EC12-4B72-993A-0431698D42A2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C12-4B72-993A-0431698D42A2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C12-4B72-993A-0431698D42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COPIA'!$AN$4:$AO$4</c:f>
              <c:numCache>
                <c:formatCode>General</c:formatCode>
                <c:ptCount val="2"/>
                <c:pt idx="0">
                  <c:v>98.706099815157117</c:v>
                </c:pt>
                <c:pt idx="1">
                  <c:v>1.2939001848428837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C12-4B72-993A-0431698D42A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563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9B3-4192-8724-80D2AA927589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9B3-4192-8724-80D2AA927589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9B3-4192-8724-80D2AA927589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9B3-4192-8724-80D2AA927589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9B3-4192-8724-80D2AA927589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1F7-47E0-913C-21145F20AACB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1F7-47E0-913C-21145F20AAC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1F7-47E0-913C-21145F20AAC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1F7-47E0-913C-21145F20AAC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1F7-47E0-913C-21145F20AACB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COPIA'!$AQ$2:$AZ$2</c:f>
              <c:strCache>
                <c:ptCount val="10"/>
                <c:pt idx="0">
                  <c:v>Consultoría</c:v>
                </c:pt>
                <c:pt idx="1">
                  <c:v>Educación</c:v>
                </c:pt>
                <c:pt idx="2">
                  <c:v>Ventas</c:v>
                </c:pt>
                <c:pt idx="3">
                  <c:v>Preventas</c:v>
                </c:pt>
                <c:pt idx="4">
                  <c:v>Staff</c:v>
                </c:pt>
                <c:pt idx="5">
                  <c:v>Marketing</c:v>
                </c:pt>
                <c:pt idx="6">
                  <c:v>Soporte</c:v>
                </c:pt>
                <c:pt idx="7">
                  <c:v>Solution Delivery Center</c:v>
                </c:pt>
                <c:pt idx="8">
                  <c:v>Global Finance Shared Services Organization</c:v>
                </c:pt>
                <c:pt idx="9">
                  <c:v>Operaciones</c:v>
                </c:pt>
              </c:strCache>
            </c:strRef>
          </c:cat>
          <c:val>
            <c:numRef>
              <c:f>'TI COPIA'!$AQ$4:$AZ$4</c:f>
              <c:numCache>
                <c:formatCode>General</c:formatCode>
                <c:ptCount val="10"/>
                <c:pt idx="0">
                  <c:v>11.900532859680284</c:v>
                </c:pt>
                <c:pt idx="1">
                  <c:v>0.71047957371225579</c:v>
                </c:pt>
                <c:pt idx="2">
                  <c:v>11.72291296625222</c:v>
                </c:pt>
                <c:pt idx="3">
                  <c:v>1.4209591474245116</c:v>
                </c:pt>
                <c:pt idx="4">
                  <c:v>21.847246891651864</c:v>
                </c:pt>
                <c:pt idx="5">
                  <c:v>2.4866785079928952</c:v>
                </c:pt>
                <c:pt idx="6">
                  <c:v>3.9076376554174073</c:v>
                </c:pt>
                <c:pt idx="7">
                  <c:v>9.2362344582593252</c:v>
                </c:pt>
                <c:pt idx="8">
                  <c:v>34.458259325044402</c:v>
                </c:pt>
                <c:pt idx="9">
                  <c:v>2.3090586145648313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9B3-4192-8724-80D2AA927589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9B3-4192-8724-80D2AA927589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9B3-4192-8724-80D2AA92758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B9B3-4192-8724-80D2AA927589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B9B3-4192-8724-80D2AA927589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B9B3-4192-8724-80D2AA92758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31F7-47E0-913C-21145F20AACB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31F7-47E0-913C-21145F20AACB}"/>
              </c:ext>
            </c:extLst>
          </c:dPt>
          <c:dPt>
            <c:idx val="7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31F7-47E0-913C-21145F20AACB}"/>
              </c:ext>
            </c:extLst>
          </c:dPt>
          <c:dPt>
            <c:idx val="8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31F7-47E0-913C-21145F20AACB}"/>
              </c:ext>
            </c:extLst>
          </c:dPt>
          <c:dPt>
            <c:idx val="9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31F7-47E0-913C-21145F20AACB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9B3-4192-8724-80D2AA927589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9B3-4192-8724-80D2AA927589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B9B3-4192-8724-80D2AA927589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9B3-4192-8724-80D2AA927589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9B3-4192-8724-80D2AA927589}"/>
                </c:ext>
              </c:extLst>
            </c:dLbl>
            <c:dLbl>
              <c:idx val="8"/>
              <c:layout>
                <c:manualLayout>
                  <c:x val="-9.0389606692315938E-2"/>
                  <c:y val="-4.225351644077671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31F7-47E0-913C-21145F20AA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COPIA'!$AQ$4:$AZ$4</c:f>
              <c:numCache>
                <c:formatCode>General</c:formatCode>
                <c:ptCount val="10"/>
                <c:pt idx="0">
                  <c:v>11.900532859680284</c:v>
                </c:pt>
                <c:pt idx="1">
                  <c:v>0.71047957371225579</c:v>
                </c:pt>
                <c:pt idx="2">
                  <c:v>11.72291296625222</c:v>
                </c:pt>
                <c:pt idx="3">
                  <c:v>1.4209591474245116</c:v>
                </c:pt>
                <c:pt idx="4">
                  <c:v>21.847246891651864</c:v>
                </c:pt>
                <c:pt idx="5">
                  <c:v>2.4866785079928952</c:v>
                </c:pt>
                <c:pt idx="6">
                  <c:v>3.9076376554174073</c:v>
                </c:pt>
                <c:pt idx="7">
                  <c:v>9.2362344582593252</c:v>
                </c:pt>
                <c:pt idx="8">
                  <c:v>34.458259325044402</c:v>
                </c:pt>
                <c:pt idx="9">
                  <c:v>2.3090586145648313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9B3-4192-8724-80D2AA92758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268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E15-4C5E-B357-7AC86D8495E0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E15-4C5E-B357-7AC86D8495E0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E15-4C5E-B357-7AC86D8495E0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E15-4C5E-B357-7AC86D8495E0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E15-4C5E-B357-7AC86D8495E0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BBD-4950-85D9-6CE80BE88FEC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BBD-4950-85D9-6CE80BE88FE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BBD-4950-85D9-6CE80BE88FE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BBD-4950-85D9-6CE80BE88FE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BBD-4950-85D9-6CE80BE88FE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BBD-4950-85D9-6CE80BE88FE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BBD-4950-85D9-6CE80BE88FE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BBD-4950-85D9-6CE80BE88FEC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BBD-4950-85D9-6CE80BE88FEC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BBD-4950-85D9-6CE80BE88FEC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BBD-4950-85D9-6CE80BE88FEC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5BBD-4950-85D9-6CE80BE88FEC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5BBD-4950-85D9-6CE80BE88FEC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5BBD-4950-85D9-6CE80BE88FEC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5BBD-4950-85D9-6CE80BE88FEC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5BBD-4950-85D9-6CE80BE88FEC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5BBD-4950-85D9-6CE80BE88FEC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5BBD-4950-85D9-6CE80BE88FEC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COPIA'!$BB$2:$BF$2</c:f>
              <c:strCache>
                <c:ptCount val="5"/>
                <c:pt idx="0">
                  <c:v>Consultoría</c:v>
                </c:pt>
                <c:pt idx="1">
                  <c:v>Educación</c:v>
                </c:pt>
                <c:pt idx="2">
                  <c:v>Ventas</c:v>
                </c:pt>
                <c:pt idx="3">
                  <c:v>Preventas</c:v>
                </c:pt>
                <c:pt idx="4">
                  <c:v>Staff</c:v>
                </c:pt>
              </c:strCache>
            </c:strRef>
          </c:cat>
          <c:val>
            <c:numRef>
              <c:f>'TI COPIA'!$BB$4:$BF$4</c:f>
              <c:numCache>
                <c:formatCode>General</c:formatCode>
                <c:ptCount val="5"/>
                <c:pt idx="0">
                  <c:v>25</c:v>
                </c:pt>
                <c:pt idx="1">
                  <c:v>1.4925373134328357</c:v>
                </c:pt>
                <c:pt idx="2">
                  <c:v>24.626865671641792</c:v>
                </c:pt>
                <c:pt idx="3">
                  <c:v>2.9850746268656714</c:v>
                </c:pt>
                <c:pt idx="4">
                  <c:v>45.895522388059703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15-4C5E-B357-7AC86D8495E0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E15-4C5E-B357-7AC86D8495E0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CE15-4C5E-B357-7AC86D8495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E15-4C5E-B357-7AC86D8495E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CE15-4C5E-B357-7AC86D8495E0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CE15-4C5E-B357-7AC86D8495E0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5BBD-4950-85D9-6CE80BE88FEC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5BBD-4950-85D9-6CE80BE88FEC}"/>
              </c:ext>
            </c:extLst>
          </c:dPt>
          <c:dPt>
            <c:idx val="7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5BBD-4950-85D9-6CE80BE88FEC}"/>
              </c:ext>
            </c:extLst>
          </c:dPt>
          <c:dPt>
            <c:idx val="8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5BBD-4950-85D9-6CE80BE88FEC}"/>
              </c:ext>
            </c:extLst>
          </c:dPt>
          <c:dPt>
            <c:idx val="9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5BBD-4950-85D9-6CE80BE88FEC}"/>
              </c:ext>
            </c:extLst>
          </c:dPt>
          <c:dPt>
            <c:idx val="1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5BBD-4950-85D9-6CE80BE88FEC}"/>
              </c:ext>
            </c:extLst>
          </c:dPt>
          <c:dPt>
            <c:idx val="1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5BBD-4950-85D9-6CE80BE88FEC}"/>
              </c:ext>
            </c:extLst>
          </c:dPt>
          <c:dPt>
            <c:idx val="1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5BBD-4950-85D9-6CE80BE88FEC}"/>
              </c:ext>
            </c:extLst>
          </c:dPt>
          <c:dPt>
            <c:idx val="1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9-5BBD-4950-85D9-6CE80BE88FEC}"/>
              </c:ext>
            </c:extLst>
          </c:dPt>
          <c:dPt>
            <c:idx val="1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B-5BBD-4950-85D9-6CE80BE88FEC}"/>
              </c:ext>
            </c:extLst>
          </c:dPt>
          <c:dPt>
            <c:idx val="1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D-5BBD-4950-85D9-6CE80BE88FEC}"/>
              </c:ext>
            </c:extLst>
          </c:dPt>
          <c:dPt>
            <c:idx val="1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F-5BBD-4950-85D9-6CE80BE88FEC}"/>
              </c:ext>
            </c:extLst>
          </c:dPt>
          <c:dPt>
            <c:idx val="17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1-5BBD-4950-85D9-6CE80BE88FEC}"/>
              </c:ext>
            </c:extLst>
          </c:dPt>
          <c:dPt>
            <c:idx val="18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3-5BBD-4950-85D9-6CE80BE88FEC}"/>
              </c:ext>
            </c:extLst>
          </c:dPt>
          <c:dPt>
            <c:idx val="19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5-5BBD-4950-85D9-6CE80BE88FEC}"/>
              </c:ext>
            </c:extLst>
          </c:dPt>
          <c:dPt>
            <c:idx val="2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7-5BBD-4950-85D9-6CE80BE88FEC}"/>
              </c:ext>
            </c:extLst>
          </c:dPt>
          <c:dPt>
            <c:idx val="2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9-5BBD-4950-85D9-6CE80BE88FEC}"/>
              </c:ext>
            </c:extLst>
          </c:dPt>
          <c:dPt>
            <c:idx val="2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B-5BBD-4950-85D9-6CE80BE88FEC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15-4C5E-B357-7AC86D8495E0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E15-4C5E-B357-7AC86D8495E0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E15-4C5E-B357-7AC86D8495E0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E15-4C5E-B357-7AC86D8495E0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E15-4C5E-B357-7AC86D8495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COPIA'!$BB$4:$BF$4</c:f>
              <c:numCache>
                <c:formatCode>General</c:formatCode>
                <c:ptCount val="5"/>
                <c:pt idx="0">
                  <c:v>25</c:v>
                </c:pt>
                <c:pt idx="1">
                  <c:v>1.4925373134328357</c:v>
                </c:pt>
                <c:pt idx="2">
                  <c:v>24.626865671641792</c:v>
                </c:pt>
                <c:pt idx="3">
                  <c:v>2.9850746268656714</c:v>
                </c:pt>
                <c:pt idx="4">
                  <c:v>45.895522388059703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15-4C5E-B357-7AC86D8495E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295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7C1-4F64-8A64-6BAF305E99C6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C1-4F64-8A64-6BAF305E99C6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7C1-4F64-8A64-6BAF305E99C6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7C1-4F64-8A64-6BAF305E99C6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7C1-4F64-8A64-6BAF305E99C6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7818-4977-9F9C-E9F30EFFB7AC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818-4977-9F9C-E9F30EFFB7AC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COPIA'!$BH$2:$BL$2</c:f>
              <c:strCache>
                <c:ptCount val="5"/>
                <c:pt idx="0">
                  <c:v>Marketing</c:v>
                </c:pt>
                <c:pt idx="1">
                  <c:v>Soporte</c:v>
                </c:pt>
                <c:pt idx="2">
                  <c:v>Solution Delivery Center</c:v>
                </c:pt>
                <c:pt idx="3">
                  <c:v>Global Finance Shared Services Organization</c:v>
                </c:pt>
                <c:pt idx="4">
                  <c:v>Operaciones</c:v>
                </c:pt>
              </c:strCache>
            </c:strRef>
          </c:cat>
          <c:val>
            <c:numRef>
              <c:f>'TI COPIA'!$BH$4:$BL$4</c:f>
              <c:numCache>
                <c:formatCode>General</c:formatCode>
                <c:ptCount val="5"/>
                <c:pt idx="0">
                  <c:v>4.7457627118644066</c:v>
                </c:pt>
                <c:pt idx="1">
                  <c:v>7.4576271186440684</c:v>
                </c:pt>
                <c:pt idx="2">
                  <c:v>17.627118644067796</c:v>
                </c:pt>
                <c:pt idx="3">
                  <c:v>65.762711864406782</c:v>
                </c:pt>
                <c:pt idx="4">
                  <c:v>4.406779661016949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7C1-4F64-8A64-6BAF305E99C6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7C1-4F64-8A64-6BAF305E99C6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67C1-4F64-8A64-6BAF305E99C6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7C1-4F64-8A64-6BAF305E99C6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67C1-4F64-8A64-6BAF305E99C6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7C1-4F64-8A64-6BAF305E99C6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F9F5-4124-BE0C-6970B238BB87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F9F5-4124-BE0C-6970B238BB87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7C1-4F64-8A64-6BAF305E99C6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7C1-4F64-8A64-6BAF305E99C6}"/>
                </c:ext>
              </c:extLst>
            </c:dLbl>
            <c:dLbl>
              <c:idx val="2"/>
              <c:layout>
                <c:manualLayout>
                  <c:x val="4.2169831591376147E-2"/>
                  <c:y val="-5.949927254083702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7C1-4F64-8A64-6BAF305E99C6}"/>
                </c:ext>
              </c:extLst>
            </c:dLbl>
            <c:dLbl>
              <c:idx val="3"/>
              <c:layout>
                <c:manualLayout>
                  <c:x val="-6.7632679511905935E-2"/>
                  <c:y val="6.8788392060729836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7C1-4F64-8A64-6BAF305E99C6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7C1-4F64-8A64-6BAF305E99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COPIA'!$BH$4:$BL$4</c:f>
              <c:numCache>
                <c:formatCode>General</c:formatCode>
                <c:ptCount val="5"/>
                <c:pt idx="0">
                  <c:v>4.7457627118644066</c:v>
                </c:pt>
                <c:pt idx="1">
                  <c:v>7.4576271186440684</c:v>
                </c:pt>
                <c:pt idx="2">
                  <c:v>17.627118644067796</c:v>
                </c:pt>
                <c:pt idx="3">
                  <c:v>65.762711864406782</c:v>
                </c:pt>
                <c:pt idx="4">
                  <c:v>4.406779661016949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7C1-4F64-8A64-6BAF305E99C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541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669-423E-8139-2A41225A8073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669-423E-8139-2A41225A8073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669-423E-8139-2A41225A8073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669-423E-8139-2A41225A8073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669-423E-8139-2A41225A8073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8A4E-4BA4-8917-EC84E598F993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A4E-4BA4-8917-EC84E598F993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COPIA'!$BN$2:$BQ$2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'TI COPIA'!$BN$4:$BQ$4</c:f>
              <c:numCache>
                <c:formatCode>General</c:formatCode>
                <c:ptCount val="4"/>
                <c:pt idx="0">
                  <c:v>74.861367837338264</c:v>
                </c:pt>
                <c:pt idx="1">
                  <c:v>13.493530499075785</c:v>
                </c:pt>
                <c:pt idx="2">
                  <c:v>9.2421441774491679</c:v>
                </c:pt>
                <c:pt idx="3">
                  <c:v>2.4029574861367835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669-423E-8139-2A41225A8073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669-423E-8139-2A41225A8073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E669-423E-8139-2A41225A8073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E669-423E-8139-2A41225A8073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E669-423E-8139-2A41225A8073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E669-423E-8139-2A41225A8073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3B58-4886-8E86-1BCE35E4AA97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3B58-4886-8E86-1BCE35E4AA97}"/>
              </c:ext>
            </c:extLst>
          </c:dPt>
          <c:dLbls>
            <c:dLbl>
              <c:idx val="0"/>
              <c:layout>
                <c:manualLayout>
                  <c:x val="7.1156843392705046E-2"/>
                  <c:y val="-5.226194385472508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69-423E-8139-2A41225A8073}"/>
                </c:ext>
              </c:extLst>
            </c:dLbl>
            <c:dLbl>
              <c:idx val="1"/>
              <c:layout>
                <c:manualLayout>
                  <c:x val="-4.635443107252557E-3"/>
                  <c:y val="2.9519238159117406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669-423E-8139-2A41225A8073}"/>
                </c:ext>
              </c:extLst>
            </c:dLbl>
            <c:dLbl>
              <c:idx val="2"/>
              <c:layout>
                <c:manualLayout>
                  <c:x val="-1.4713282964995073E-2"/>
                  <c:y val="2.47327797789974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356469563085405"/>
                      <c:h val="6.30720236140597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E669-423E-8139-2A41225A8073}"/>
                </c:ext>
              </c:extLst>
            </c:dLbl>
            <c:dLbl>
              <c:idx val="3"/>
              <c:layout>
                <c:manualLayout>
                  <c:x val="1.8081602696324667E-2"/>
                  <c:y val="1.5329542494228384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669-423E-8139-2A41225A8073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669-423E-8139-2A41225A80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COPIA'!$BN$4:$BQ$4</c:f>
              <c:numCache>
                <c:formatCode>General</c:formatCode>
                <c:ptCount val="4"/>
                <c:pt idx="0">
                  <c:v>74.861367837338264</c:v>
                </c:pt>
                <c:pt idx="1">
                  <c:v>13.493530499075785</c:v>
                </c:pt>
                <c:pt idx="2">
                  <c:v>9.2421441774491679</c:v>
                </c:pt>
                <c:pt idx="3">
                  <c:v>2.4029574861367835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669-423E-8139-2A41225A80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528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3C5-4C5D-9E38-6E912CA1AFFE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3C5-4C5D-9E38-6E912CA1AFFE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3C5-4C5D-9E38-6E912CA1AFFE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3C5-4C5D-9E38-6E912CA1AFFE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3C5-4C5D-9E38-6E912CA1AFFE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6FC0-4726-8212-1BF2C52F8F65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FC0-4726-8212-1BF2C52F8F65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COPIA'!$BS$2:$BW$2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'TI COPIA'!$BS$4:$BW$4</c:f>
              <c:numCache>
                <c:formatCode>General</c:formatCode>
                <c:ptCount val="5"/>
                <c:pt idx="0">
                  <c:v>32.765151515151516</c:v>
                </c:pt>
                <c:pt idx="1">
                  <c:v>11.553030303030303</c:v>
                </c:pt>
                <c:pt idx="2">
                  <c:v>1.5151515151515151</c:v>
                </c:pt>
                <c:pt idx="3">
                  <c:v>48.484848484848484</c:v>
                </c:pt>
                <c:pt idx="4">
                  <c:v>5.6818181818181817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3C5-4C5D-9E38-6E912CA1AFFE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3C5-4C5D-9E38-6E912CA1AFFE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63C5-4C5D-9E38-6E912CA1AFFE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3C5-4C5D-9E38-6E912CA1AFFE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63C5-4C5D-9E38-6E912CA1AFFE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3C5-4C5D-9E38-6E912CA1AFFE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BA9C-4478-97BF-D5A69F81E5A5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BA9C-4478-97BF-D5A69F81E5A5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C5-4C5D-9E38-6E912CA1AFFE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3C5-4C5D-9E38-6E912CA1AFFE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3C5-4C5D-9E38-6E912CA1AFFE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3C5-4C5D-9E38-6E912CA1AFFE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3C5-4C5D-9E38-6E912CA1AF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COPIA'!$BS$4:$BW$4</c:f>
              <c:numCache>
                <c:formatCode>General</c:formatCode>
                <c:ptCount val="5"/>
                <c:pt idx="0">
                  <c:v>32.765151515151516</c:v>
                </c:pt>
                <c:pt idx="1">
                  <c:v>11.553030303030303</c:v>
                </c:pt>
                <c:pt idx="2">
                  <c:v>1.5151515151515151</c:v>
                </c:pt>
                <c:pt idx="3">
                  <c:v>48.484848484848484</c:v>
                </c:pt>
                <c:pt idx="4">
                  <c:v>5.6818181818181817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3C5-4C5D-9E38-6E912CA1AFF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DC7-4B62-9F6B-EB8A260B1C85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DC7-4B62-9F6B-EB8A260B1C85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DC7-4B62-9F6B-EB8A260B1C85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DC7-4B62-9F6B-EB8A260B1C85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DC7-4B62-9F6B-EB8A260B1C85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8FB7-471B-A0D2-E05DF7146104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FB7-471B-A0D2-E05DF7146104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7DC7-4B62-9F6B-EB8A260B1C85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7DC7-4B62-9F6B-EB8A260B1C85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DC7-4B62-9F6B-EB8A260B1C8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7DC7-4B62-9F6B-EB8A260B1C8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DC7-4B62-9F6B-EB8A260B1C85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7DC7-4B62-9F6B-EB8A260B1C85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1601-4BA0-8018-CE0513C73E28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1601-4BA0-8018-CE0513C73E28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C7-4B62-9F6B-EB8A260B1C85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C7-4B62-9F6B-EB8A260B1C85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DC7-4B62-9F6B-EB8A260B1C85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C7-4B62-9F6B-EB8A260B1C85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C7-4B62-9F6B-EB8A260B1C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5-7DC7-4B62-9F6B-EB8A260B1C8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5E-4C10-A416-D52AF1869B71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5E-4C10-A416-D52AF1869B71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F5E-4C10-A416-D52AF1869B71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F5E-4C10-A416-D52AF1869B71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F5E-4C10-A416-D52AF1869B71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B722-4103-981D-964EE9C6139D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722-4103-981D-964EE9C6139D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7F5E-4C10-A416-D52AF1869B71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7F5E-4C10-A416-D52AF1869B71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F5E-4C10-A416-D52AF1869B7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7F5E-4C10-A416-D52AF1869B71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F5E-4C10-A416-D52AF1869B71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7F5E-4C10-A416-D52AF1869B71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F742-48F5-9EAE-26CC133E38F7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F742-48F5-9EAE-26CC133E38F7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5E-4C10-A416-D52AF1869B71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F5E-4C10-A416-D52AF1869B71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F5E-4C10-A416-D52AF1869B71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F5E-4C10-A416-D52AF1869B71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F5E-4C10-A416-D52AF1869B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5-7F5E-4C10-A416-D52AF1869B7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F4A-497B-A0B6-9AC29605AEEA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F4A-497B-A0B6-9AC29605AEEA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F4A-497B-A0B6-9AC29605AEEA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F4A-497B-A0B6-9AC29605AEEA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F4A-497B-A0B6-9AC29605AEEA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BD67-4758-B263-1E7C761228EC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D67-4758-B263-1E7C761228EC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0F4A-497B-A0B6-9AC29605AEEA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0F4A-497B-A0B6-9AC29605AEEA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0F4A-497B-A0B6-9AC29605AEE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F4A-497B-A0B6-9AC29605AEEA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0F4A-497B-A0B6-9AC29605AEEA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0F4A-497B-A0B6-9AC29605AEEA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6C1F-47E9-AC9F-D325BBBDE948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6C1F-47E9-AC9F-D325BBBDE948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F4A-497B-A0B6-9AC29605AEEA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F4A-497B-A0B6-9AC29605AEEA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0F4A-497B-A0B6-9AC29605AEEA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F4A-497B-A0B6-9AC29605AEEA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F4A-497B-A0B6-9AC29605AE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5-0F4A-497B-A0B6-9AC29605AEE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8B-485C-ABEF-0BDAC66949A4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8B-485C-ABEF-0BDAC66949A4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28B-485C-ABEF-0BDAC66949A4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28B-485C-ABEF-0BDAC66949A4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28B-485C-ABEF-0BDAC66949A4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03D3-45CB-A88D-7C14939330D1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3D3-45CB-A88D-7C14939330D1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F28B-485C-ABEF-0BDAC66949A4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F28B-485C-ABEF-0BDAC66949A4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28B-485C-ABEF-0BDAC66949A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F28B-485C-ABEF-0BDAC66949A4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F28B-485C-ABEF-0BDAC66949A4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28B-485C-ABEF-0BDAC66949A4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91DD-494C-B082-E00759194311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91DD-494C-B082-E00759194311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8B-485C-ABEF-0BDAC66949A4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28B-485C-ABEF-0BDAC66949A4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28B-485C-ABEF-0BDAC66949A4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28B-485C-ABEF-0BDAC66949A4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F28B-485C-ABEF-0BDAC66949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5-F28B-485C-ABEF-0BDAC66949A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19-4087-B70B-0AC313D4764A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19-4087-B70B-0AC313D4764A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419-4087-B70B-0AC313D4764A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419-4087-B70B-0AC313D4764A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419-4087-B70B-0AC313D4764A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2D5F-4F3D-8192-65E0A32F1D9D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D5F-4F3D-8192-65E0A32F1D9D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1419-4087-B70B-0AC313D4764A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1419-4087-B70B-0AC313D4764A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419-4087-B70B-0AC313D4764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1419-4087-B70B-0AC313D4764A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419-4087-B70B-0AC313D4764A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1419-4087-B70B-0AC313D4764A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5373-4A62-BD77-B0135B4062AB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5373-4A62-BD77-B0135B4062AB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19-4087-B70B-0AC313D4764A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419-4087-B70B-0AC313D4764A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419-4087-B70B-0AC313D4764A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419-4087-B70B-0AC313D4764A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419-4087-B70B-0AC313D476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5-1419-4087-B70B-0AC313D4764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C1-426D-A34A-5622AE952FB7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C1-426D-A34A-5622AE952FB7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C1-426D-A34A-5622AE952FB7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C1-426D-A34A-5622AE952FB7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DC1-426D-A34A-5622AE952FB7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8C54-4B6A-B382-173F781EBC80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C54-4B6A-B382-173F781EBC80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2DC1-426D-A34A-5622AE952FB7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2DC1-426D-A34A-5622AE952FB7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DC1-426D-A34A-5622AE952FB7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2DC1-426D-A34A-5622AE952FB7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2DC1-426D-A34A-5622AE952FB7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2DC1-426D-A34A-5622AE952FB7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8D7-4A56-936A-C5FC473D6161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8D7-4A56-936A-C5FC473D6161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C1-426D-A34A-5622AE952FB7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DC1-426D-A34A-5622AE952FB7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DC1-426D-A34A-5622AE952FB7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DC1-426D-A34A-5622AE952FB7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DC1-426D-A34A-5622AE952F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5-2DC1-426D-A34A-5622AE952FB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8E-40EF-BEFD-807A2B5580BC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8E-40EF-BEFD-807A2B5580BC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8E-40EF-BEFD-807A2B5580BC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48E-40EF-BEFD-807A2B5580BC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48E-40EF-BEFD-807A2B5580BC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9C35-43D6-9072-1805507FD37B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C35-43D6-9072-1805507FD37B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048E-40EF-BEFD-807A2B5580BC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048E-40EF-BEFD-807A2B5580BC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048E-40EF-BEFD-807A2B5580B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48E-40EF-BEFD-807A2B5580B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048E-40EF-BEFD-807A2B5580BC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048E-40EF-BEFD-807A2B5580BC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4914-431D-844B-B1DCF7BEFFA1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4914-431D-844B-B1DCF7BEFFA1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48E-40EF-BEFD-807A2B5580BC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48E-40EF-BEFD-807A2B5580BC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048E-40EF-BEFD-807A2B5580BC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48E-40EF-BEFD-807A2B5580BC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48E-40EF-BEFD-807A2B5580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5-048E-40EF-BEFD-807A2B5580B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593-40D5-B469-862252C55EB7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593-40D5-B469-862252C55EB7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593-40D5-B469-862252C55EB7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593-40D5-B469-862252C55EB7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593-40D5-B469-862252C55EB7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0A1E-492F-BFCA-2EB107C0A7F4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A1E-492F-BFCA-2EB107C0A7F4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B593-40D5-B469-862252C55EB7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593-40D5-B469-862252C55EB7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593-40D5-B469-862252C55EB7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B593-40D5-B469-862252C55EB7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B593-40D5-B469-862252C55EB7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B593-40D5-B469-862252C55EB7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56DE-480B-8829-EF7C9BEFB988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56DE-480B-8829-EF7C9BEFB988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593-40D5-B469-862252C55EB7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593-40D5-B469-862252C55EB7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B593-40D5-B469-862252C55EB7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593-40D5-B469-862252C55EB7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593-40D5-B469-862252C55E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5-B593-40D5-B469-862252C55EB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F0-4A8D-8E3D-A64D590425C7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F0-4A8D-8E3D-A64D590425C7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0F0-4A8D-8E3D-A64D590425C7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0F0-4A8D-8E3D-A64D590425C7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0F0-4A8D-8E3D-A64D590425C7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4AEE-4833-BE03-F62313DFBF15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AEE-4833-BE03-F62313DFBF15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60F0-4A8D-8E3D-A64D590425C7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0F0-4A8D-8E3D-A64D590425C7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60F0-4A8D-8E3D-A64D590425C7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0F0-4A8D-8E3D-A64D590425C7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60F0-4A8D-8E3D-A64D590425C7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0F0-4A8D-8E3D-A64D590425C7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A6FC-4B69-9AE2-05C0AE3577BB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A6FC-4B69-9AE2-05C0AE3577BB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F0-4A8D-8E3D-A64D590425C7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0F0-4A8D-8E3D-A64D590425C7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0F0-4A8D-8E3D-A64D590425C7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0F0-4A8D-8E3D-A64D590425C7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0F0-4A8D-8E3D-A64D590425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5-60F0-4A8D-8E3D-A64D590425C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346-4949-BAB9-195C18E50945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346-4949-BAB9-195C18E50945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346-4949-BAB9-195C18E50945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346-4949-BAB9-195C18E50945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346-4949-BAB9-195C18E50945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ADC8-481D-A3A7-11F52BEF05D8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DC8-481D-A3A7-11F52BEF05D8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E346-4949-BAB9-195C18E50945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346-4949-BAB9-195C18E50945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E346-4949-BAB9-195C18E5094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E346-4949-BAB9-195C18E5094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E346-4949-BAB9-195C18E50945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E346-4949-BAB9-195C18E50945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92F3-4C53-8FE8-96ACF28A23C3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92F3-4C53-8FE8-96ACF28A23C3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346-4949-BAB9-195C18E50945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346-4949-BAB9-195C18E50945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E346-4949-BAB9-195C18E50945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346-4949-BAB9-195C18E50945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346-4949-BAB9-195C18E509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5-E346-4949-BAB9-195C18E5094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0C4-4544-ADDA-B4E23F39988D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C4-4544-ADDA-B4E23F39988D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0C4-4544-ADDA-B4E23F39988D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0C4-4544-ADDA-B4E23F39988D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0C4-4544-ADDA-B4E23F39988D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3FC3-4F9F-8E57-D99E66FEC3B7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FC3-4F9F-8E57-D99E66FEC3B7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00C4-4544-ADDA-B4E23F39988D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00C4-4544-ADDA-B4E23F39988D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00C4-4544-ADDA-B4E23F39988D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0C4-4544-ADDA-B4E23F39988D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00C4-4544-ADDA-B4E23F39988D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00C4-4544-ADDA-B4E23F39988D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1BE9-45DC-B226-97A0979B527E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1BE9-45DC-B226-97A0979B527E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0C4-4544-ADDA-B4E23F39988D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0C4-4544-ADDA-B4E23F39988D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00C4-4544-ADDA-B4E23F39988D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0C4-4544-ADDA-B4E23F39988D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0C4-4544-ADDA-B4E23F3998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5-00C4-4544-ADDA-B4E23F39988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965-47A2-AF4C-7001B9177518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965-47A2-AF4C-7001B9177518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965-47A2-AF4C-7001B9177518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965-47A2-AF4C-7001B9177518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965-47A2-AF4C-7001B9177518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A1FD-45E8-B8F6-C51C1C3CFA06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1FD-45E8-B8F6-C51C1C3CFA06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8965-47A2-AF4C-7001B9177518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8965-47A2-AF4C-7001B9177518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8965-47A2-AF4C-7001B917751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8965-47A2-AF4C-7001B9177518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8965-47A2-AF4C-7001B9177518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8965-47A2-AF4C-7001B9177518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F76A-4402-AE7D-7EA847A66289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F76A-4402-AE7D-7EA847A66289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965-47A2-AF4C-7001B9177518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965-47A2-AF4C-7001B9177518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965-47A2-AF4C-7001B9177518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965-47A2-AF4C-7001B9177518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8965-47A2-AF4C-7001B91775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5-8965-47A2-AF4C-7001B917751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49C-4C89-B5AE-ACD053C2EACC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49C-4C89-B5AE-ACD053C2EACC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9C-4C89-B5AE-ACD053C2EACC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49C-4C89-B5AE-ACD053C2EACC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49C-4C89-B5AE-ACD053C2EACC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49D1-4753-9AD9-7D0A62182136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9D1-4753-9AD9-7D0A62182136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849C-4C89-B5AE-ACD053C2EACC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849C-4C89-B5AE-ACD053C2EACC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849C-4C89-B5AE-ACD053C2EAC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849C-4C89-B5AE-ACD053C2EAC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849C-4C89-B5AE-ACD053C2EACC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849C-4C89-B5AE-ACD053C2EACC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22A5-481D-85D5-2AC0619D7698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22A5-481D-85D5-2AC0619D7698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49C-4C89-B5AE-ACD053C2EACC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49C-4C89-B5AE-ACD053C2EACC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49C-4C89-B5AE-ACD053C2EACC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49C-4C89-B5AE-ACD053C2EACC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849C-4C89-B5AE-ACD053C2EA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5-849C-4C89-B5AE-ACD053C2EAC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834-40E8-AEF9-14962EFE68E9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834-40E8-AEF9-14962EFE68E9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834-40E8-AEF9-14962EFE68E9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834-40E8-AEF9-14962EFE68E9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834-40E8-AEF9-14962EFE68E9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F05E-4E88-936E-1A30C3B55783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05E-4E88-936E-1A30C3B55783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6834-40E8-AEF9-14962EFE68E9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834-40E8-AEF9-14962EFE68E9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6834-40E8-AEF9-14962EFE68E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834-40E8-AEF9-14962EFE68E9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6834-40E8-AEF9-14962EFE68E9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834-40E8-AEF9-14962EFE68E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B4CC-415A-B71E-B0BD89482180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B4CC-415A-B71E-B0BD89482180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834-40E8-AEF9-14962EFE68E9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834-40E8-AEF9-14962EFE68E9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834-40E8-AEF9-14962EFE68E9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834-40E8-AEF9-14962EFE68E9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834-40E8-AEF9-14962EFE68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5-6834-40E8-AEF9-14962EFE68E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7E7-4625-B203-23D8F385EAC9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7E7-4625-B203-23D8F385EAC9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7E7-4625-B203-23D8F385EAC9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7E7-4625-B203-23D8F385EAC9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7E7-4625-B203-23D8F385EAC9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38C0-4BF4-AE18-379BB10B4896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8C0-4BF4-AE18-379BB10B4896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77E7-4625-B203-23D8F385EAC9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77E7-4625-B203-23D8F385EAC9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7E7-4625-B203-23D8F385EAC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77E7-4625-B203-23D8F385EAC9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7E7-4625-B203-23D8F385EAC9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77E7-4625-B203-23D8F385EAC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839-4A78-B50D-D8D8DB881E5E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839-4A78-B50D-D8D8DB881E5E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E7-4625-B203-23D8F385EAC9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7E7-4625-B203-23D8F385EAC9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7E7-4625-B203-23D8F385EAC9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7E7-4625-B203-23D8F385EAC9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7E7-4625-B203-23D8F385EA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5-77E7-4625-B203-23D8F385EAC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F3-4551-B7B6-7B36860CDDB1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F3-4551-B7B6-7B36860CDDB1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F3-4551-B7B6-7B36860CDDB1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F3-4551-B7B6-7B36860CDDB1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1F3-4551-B7B6-7B36860CDDB1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97AB-4C46-8E64-A0B89D699223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7AB-4C46-8E64-A0B89D699223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A1F3-4551-B7B6-7B36860CDDB1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1F3-4551-B7B6-7B36860CDDB1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A1F3-4551-B7B6-7B36860CDDB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A1F3-4551-B7B6-7B36860CDDB1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A1F3-4551-B7B6-7B36860CDDB1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A1F3-4551-B7B6-7B36860CDDB1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1638-49F9-96A9-CA83FC821B83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1638-49F9-96A9-CA83FC821B83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F3-4551-B7B6-7B36860CDDB1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1F3-4551-B7B6-7B36860CDDB1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A1F3-4551-B7B6-7B36860CDDB1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1F3-4551-B7B6-7B36860CDDB1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F3-4551-B7B6-7B36860CDD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5-A1F3-4551-B7B6-7B36860CDDB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B31-4D62-B23D-923E8B992151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B31-4D62-B23D-923E8B992151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B31-4D62-B23D-923E8B992151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B31-4D62-B23D-923E8B992151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B31-4D62-B23D-923E8B992151}"/>
              </c:ext>
            </c:extLst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657D-4A29-96F2-3EEBDD30679F}"/>
              </c:ext>
            </c:extLst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57D-4A29-96F2-3EEBDD30679F}"/>
              </c:ext>
            </c:extLst>
          </c:dPt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4B31-4D62-B23D-923E8B992151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B31-4D62-B23D-923E8B992151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B31-4D62-B23D-923E8B99215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B31-4D62-B23D-923E8B992151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B31-4D62-B23D-923E8B992151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4B31-4D62-B23D-923E8B992151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8CD2-40BB-8001-D11E2FEF7A3D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8CD2-40BB-8001-D11E2FEF7A3D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31-4D62-B23D-923E8B992151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B31-4D62-B23D-923E8B992151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B31-4D62-B23D-923E8B992151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B31-4D62-B23D-923E8B992151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B31-4D62-B23D-923E8B9921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#REF!</c:f>
            </c:multiLvlStr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5-4B31-4D62-B23D-923E8B99215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Demo!$D$2</c:f>
          <c:strCache>
            <c:ptCount val="1"/>
            <c:pt idx="0">
              <c:v>Total Respondentes: 544</c:v>
            </c:pt>
          </c:strCache>
        </c:strRef>
      </c:tx>
      <c:layout>
        <c:manualLayout>
          <c:xMode val="edge"/>
          <c:yMode val="edge"/>
          <c:x val="0.42397143168129947"/>
          <c:y val="0.96123488756392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072390879551416"/>
          <c:y val="2.6114524690801183E-3"/>
          <c:w val="0.76447383509449751"/>
          <c:h val="0.9919639854499627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87-4E5D-B3E0-4BDF44D00609}"/>
              </c:ext>
            </c:extLst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587-4E5D-B3E0-4BDF44D00609}"/>
              </c:ext>
            </c:extLst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587-4E5D-B3E0-4BDF44D00609}"/>
              </c:ext>
            </c:extLst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587-4E5D-B3E0-4BDF44D00609}"/>
              </c:ext>
            </c:extLst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587-4E5D-B3E0-4BDF44D00609}"/>
              </c:ext>
            </c:extLst>
          </c:dPt>
          <c:dLbls>
            <c:dLbl>
              <c:idx val="0"/>
              <c:layout>
                <c:manualLayout>
                  <c:x val="7.0546747010337921E-3"/>
                  <c:y val="-1.42095898843831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87-4E5D-B3E0-4BDF44D00609}"/>
                </c:ext>
              </c:extLst>
            </c:dLbl>
            <c:dLbl>
              <c:idx val="4"/>
              <c:layout>
                <c:manualLayout>
                  <c:x val="0"/>
                  <c:y val="-5.96802775144093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587-4E5D-B3E0-4BDF44D00609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9587-4E5D-B3E0-4BDF44D00609}"/>
            </c:ext>
          </c:extLst>
        </c:ser>
        <c:ser>
          <c:idx val="2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587-4E5D-B3E0-4BDF44D00609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9587-4E5D-B3E0-4BDF44D0060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587-4E5D-B3E0-4BDF44D00609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9587-4E5D-B3E0-4BDF44D00609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9587-4E5D-B3E0-4BDF44D00609}"/>
              </c:ext>
            </c:extLst>
          </c:dPt>
          <c:dLbls>
            <c:dLbl>
              <c:idx val="0"/>
              <c:layout>
                <c:manualLayout>
                  <c:x val="6.3364609547564246E-2"/>
                  <c:y val="6.8929732773811469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587-4E5D-B3E0-4BDF44D00609}"/>
                </c:ext>
              </c:extLst>
            </c:dLbl>
            <c:dLbl>
              <c:idx val="1"/>
              <c:layout>
                <c:manualLayout>
                  <c:x val="5.1468503505098434E-2"/>
                  <c:y val="1.261791060366595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587-4E5D-B3E0-4BDF44D00609}"/>
                </c:ext>
              </c:extLst>
            </c:dLbl>
            <c:dLbl>
              <c:idx val="2"/>
              <c:layout>
                <c:manualLayout>
                  <c:x val="-5.9128856831178273E-2"/>
                  <c:y val="3.8802069140922554E-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43483880703534"/>
                      <c:h val="0.217297301477639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587-4E5D-B3E0-4BDF44D00609}"/>
                </c:ext>
              </c:extLst>
            </c:dLbl>
            <c:dLbl>
              <c:idx val="3"/>
              <c:layout>
                <c:manualLayout>
                  <c:x val="-3.0230138290036325E-2"/>
                  <c:y val="6.8787808599923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587-4E5D-B3E0-4BDF44D00609}"/>
                </c:ext>
              </c:extLst>
            </c:dLbl>
            <c:dLbl>
              <c:idx val="4"/>
              <c:layout>
                <c:manualLayout>
                  <c:x val="1.4618309716680907E-2"/>
                  <c:y val="-8.1668846621977577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587-4E5D-B3E0-4BDF44D006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5-9587-4E5D-B3E0-4BDF44D0060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30"/>
        <c:holeSize val="33"/>
      </c:doughnutChart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s-ES" sz="1200" b="0">
                <a:latin typeface="Arial" panose="020B0604020202020204" pitchFamily="34" charset="0"/>
                <a:cs typeface="Arial" panose="020B0604020202020204" pitchFamily="34" charset="0"/>
              </a:rPr>
              <a:t>Total respondentes:</a:t>
            </a:r>
            <a:r>
              <a:rPr lang="es-ES" sz="1200" b="0" baseline="0">
                <a:latin typeface="Arial" panose="020B0604020202020204" pitchFamily="34" charset="0"/>
                <a:cs typeface="Arial" panose="020B0604020202020204" pitchFamily="34" charset="0"/>
              </a:rPr>
              <a:t>  29</a:t>
            </a:r>
            <a:endParaRPr lang="es-ES" sz="1200" b="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74540322469552511"/>
          <c:y val="0.526570048309178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55380739856693606"/>
          <c:y val="8.1618134978716006E-2"/>
          <c:w val="0.36488587472514283"/>
          <c:h val="0.8766080870325991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BD1933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7660-47CD-AE1E-C25C7B97E34F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660-47CD-AE1E-C25C7B97E34F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60-47CD-AE1E-C25C7B97E34F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60-47CD-AE1E-C25C7B97E34F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60-47CD-AE1E-C25C7B97E34F}"/>
              </c:ext>
            </c:extLst>
          </c:dPt>
          <c:dLbls>
            <c:dLbl>
              <c:idx val="11"/>
              <c:layout>
                <c:manualLayout>
                  <c:x val="-1.2984201591056126E-3"/>
                  <c:y val="1.5780524465730618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bg1">
                          <a:lumMod val="6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660-47CD-AE1E-C25C7B97E34F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bg1">
                          <a:lumMod val="6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6-7660-47CD-AE1E-C25C7B97E34F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bg1">
                          <a:lumMod val="6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7660-47CD-AE1E-C25C7B97E3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Investigacion17!$F$3:$F$16</c:f>
              <c:strCache>
                <c:ptCount val="14"/>
                <c:pt idx="0">
                  <c:v>Horario flexible (márgenes flexibles de entrada y salida, trabajo remoto o home office, etc)</c:v>
                </c:pt>
                <c:pt idx="1">
                  <c:v>Horario reducido (como por ejemplo el viernes corto)</c:v>
                </c:pt>
                <c:pt idx="2">
                  <c:v>Vacaciones pagas, más allá de lo estipulado por ley</c:v>
                </c:pt>
                <c:pt idx="3">
                  <c:v>Oferta de hábitos saludables (menú saludable, frutas, etc)</c:v>
                </c:pt>
                <c:pt idx="4">
                  <c:v>Vacaciones extra sin goce de sueldo</c:v>
                </c:pt>
                <c:pt idx="5">
                  <c:v>Período sabático con mantenimiento del puesto de trabajo</c:v>
                </c:pt>
                <c:pt idx="6">
                  <c:v>Servicio o reintegro por guardería</c:v>
                </c:pt>
                <c:pt idx="7">
                  <c:v>Licencia por maternidad/paternidad con goce de sueldo más allá de lo estipulado por ley</c:v>
                </c:pt>
                <c:pt idx="8">
                  <c:v>Espacios de recreación (sala de juegos, metegol, etc)</c:v>
                </c:pt>
                <c:pt idx="9">
                  <c:v>Gimnasio en el lugar de trabajo o descuento en gimnasio</c:v>
                </c:pt>
                <c:pt idx="10">
                  <c:v>Otros</c:v>
                </c:pt>
                <c:pt idx="11">
                  <c:v>Espacios de relajación (masajes, siestario, reiki, etc)</c:v>
                </c:pt>
                <c:pt idx="12">
                  <c:v>Servicios en el lugar de trabajo (cajero, tintorería, peluquería, etc)</c:v>
                </c:pt>
                <c:pt idx="13">
                  <c:v>Servicios médicos en el lugar de trabajo (atención médica, exámenes de salud, vacunación, etc)</c:v>
                </c:pt>
              </c:strCache>
            </c:strRef>
          </c:cat>
          <c:val>
            <c:numRef>
              <c:f>Investigacion17!$G$3:$G$16</c:f>
              <c:numCache>
                <c:formatCode>0</c:formatCode>
                <c:ptCount val="14"/>
                <c:pt idx="0">
                  <c:v>96.55</c:v>
                </c:pt>
                <c:pt idx="1">
                  <c:v>72.41</c:v>
                </c:pt>
                <c:pt idx="2">
                  <c:v>48.28</c:v>
                </c:pt>
                <c:pt idx="3">
                  <c:v>17.239999999999998</c:v>
                </c:pt>
                <c:pt idx="4">
                  <c:v>13.79</c:v>
                </c:pt>
                <c:pt idx="5">
                  <c:v>10.34</c:v>
                </c:pt>
                <c:pt idx="6">
                  <c:v>10.34</c:v>
                </c:pt>
                <c:pt idx="7">
                  <c:v>6.9</c:v>
                </c:pt>
                <c:pt idx="8">
                  <c:v>6.9</c:v>
                </c:pt>
                <c:pt idx="9">
                  <c:v>6.9</c:v>
                </c:pt>
                <c:pt idx="10">
                  <c:v>6.9</c:v>
                </c:pt>
                <c:pt idx="11">
                  <c:v>3.45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660-47CD-AE1E-C25C7B97E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80"/>
        <c:axId val="478763472"/>
        <c:axId val="477979264"/>
      </c:barChart>
      <c:valAx>
        <c:axId val="477979264"/>
        <c:scaling>
          <c:orientation val="minMax"/>
          <c:max val="100"/>
          <c:min val="0"/>
        </c:scaling>
        <c:delete val="1"/>
        <c:axPos val="t"/>
        <c:numFmt formatCode="0" sourceLinked="1"/>
        <c:majorTickMark val="out"/>
        <c:minorTickMark val="none"/>
        <c:tickLblPos val="nextTo"/>
        <c:crossAx val="478763472"/>
        <c:crosses val="autoZero"/>
        <c:crossBetween val="between"/>
        <c:majorUnit val="30"/>
      </c:valAx>
      <c:catAx>
        <c:axId val="47876347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477979264"/>
        <c:crosses val="autoZero"/>
        <c:auto val="1"/>
        <c:lblAlgn val="ctr"/>
        <c:lblOffset val="100"/>
        <c:noMultiLvlLbl val="0"/>
      </c:catAx>
      <c:spPr>
        <a:noFill/>
        <a:ln w="60325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16" fmlaLink="$D$30" max="4" min="1" page="10" val="4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://www.enconweb.com.ar/TMP/Logos/bdff4feebc940c6e50d30e8806f9b4e8.jpg" TargetMode="Externa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18" Type="http://schemas.openxmlformats.org/officeDocument/2006/relationships/chart" Target="../charts/chart33.xml"/><Relationship Id="rId26" Type="http://schemas.openxmlformats.org/officeDocument/2006/relationships/chart" Target="../charts/chart41.xml"/><Relationship Id="rId3" Type="http://schemas.openxmlformats.org/officeDocument/2006/relationships/chart" Target="../charts/chart18.xml"/><Relationship Id="rId21" Type="http://schemas.openxmlformats.org/officeDocument/2006/relationships/chart" Target="../charts/chart36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17" Type="http://schemas.openxmlformats.org/officeDocument/2006/relationships/chart" Target="../charts/chart32.xml"/><Relationship Id="rId25" Type="http://schemas.openxmlformats.org/officeDocument/2006/relationships/chart" Target="../charts/chart40.xml"/><Relationship Id="rId2" Type="http://schemas.openxmlformats.org/officeDocument/2006/relationships/chart" Target="../charts/chart17.xml"/><Relationship Id="rId16" Type="http://schemas.openxmlformats.org/officeDocument/2006/relationships/chart" Target="../charts/chart31.xml"/><Relationship Id="rId20" Type="http://schemas.openxmlformats.org/officeDocument/2006/relationships/chart" Target="../charts/chart35.xml"/><Relationship Id="rId29" Type="http://schemas.openxmlformats.org/officeDocument/2006/relationships/chart" Target="../charts/chart44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24" Type="http://schemas.openxmlformats.org/officeDocument/2006/relationships/chart" Target="../charts/chart39.xml"/><Relationship Id="rId5" Type="http://schemas.openxmlformats.org/officeDocument/2006/relationships/chart" Target="../charts/chart20.xml"/><Relationship Id="rId15" Type="http://schemas.openxmlformats.org/officeDocument/2006/relationships/chart" Target="../charts/chart30.xml"/><Relationship Id="rId23" Type="http://schemas.openxmlformats.org/officeDocument/2006/relationships/chart" Target="../charts/chart38.xml"/><Relationship Id="rId28" Type="http://schemas.openxmlformats.org/officeDocument/2006/relationships/chart" Target="../charts/chart43.xml"/><Relationship Id="rId10" Type="http://schemas.openxmlformats.org/officeDocument/2006/relationships/chart" Target="../charts/chart25.xml"/><Relationship Id="rId19" Type="http://schemas.openxmlformats.org/officeDocument/2006/relationships/chart" Target="../charts/chart34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Relationship Id="rId22" Type="http://schemas.openxmlformats.org/officeDocument/2006/relationships/chart" Target="../charts/chart37.xml"/><Relationship Id="rId27" Type="http://schemas.openxmlformats.org/officeDocument/2006/relationships/chart" Target="../charts/chart42.xml"/><Relationship Id="rId30" Type="http://schemas.openxmlformats.org/officeDocument/2006/relationships/chart" Target="../charts/chart45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image" Target="../media/image1.emf"/><Relationship Id="rId7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6" Type="http://schemas.openxmlformats.org/officeDocument/2006/relationships/image" Target="../media/image4.emf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7.xml"/><Relationship Id="rId13" Type="http://schemas.openxmlformats.org/officeDocument/2006/relationships/chart" Target="../charts/chart62.xml"/><Relationship Id="rId18" Type="http://schemas.openxmlformats.org/officeDocument/2006/relationships/chart" Target="../charts/chart67.xml"/><Relationship Id="rId26" Type="http://schemas.openxmlformats.org/officeDocument/2006/relationships/chart" Target="../charts/chart75.xml"/><Relationship Id="rId3" Type="http://schemas.openxmlformats.org/officeDocument/2006/relationships/chart" Target="../charts/chart52.xml"/><Relationship Id="rId21" Type="http://schemas.openxmlformats.org/officeDocument/2006/relationships/chart" Target="../charts/chart70.xml"/><Relationship Id="rId7" Type="http://schemas.openxmlformats.org/officeDocument/2006/relationships/chart" Target="../charts/chart56.xml"/><Relationship Id="rId12" Type="http://schemas.openxmlformats.org/officeDocument/2006/relationships/chart" Target="../charts/chart61.xml"/><Relationship Id="rId17" Type="http://schemas.openxmlformats.org/officeDocument/2006/relationships/chart" Target="../charts/chart66.xml"/><Relationship Id="rId25" Type="http://schemas.openxmlformats.org/officeDocument/2006/relationships/chart" Target="../charts/chart74.xml"/><Relationship Id="rId2" Type="http://schemas.openxmlformats.org/officeDocument/2006/relationships/chart" Target="../charts/chart51.xml"/><Relationship Id="rId16" Type="http://schemas.openxmlformats.org/officeDocument/2006/relationships/chart" Target="../charts/chart65.xml"/><Relationship Id="rId20" Type="http://schemas.openxmlformats.org/officeDocument/2006/relationships/chart" Target="../charts/chart69.xml"/><Relationship Id="rId29" Type="http://schemas.openxmlformats.org/officeDocument/2006/relationships/chart" Target="../charts/chart78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11" Type="http://schemas.openxmlformats.org/officeDocument/2006/relationships/chart" Target="../charts/chart60.xml"/><Relationship Id="rId24" Type="http://schemas.openxmlformats.org/officeDocument/2006/relationships/chart" Target="../charts/chart73.xml"/><Relationship Id="rId5" Type="http://schemas.openxmlformats.org/officeDocument/2006/relationships/chart" Target="../charts/chart54.xml"/><Relationship Id="rId15" Type="http://schemas.openxmlformats.org/officeDocument/2006/relationships/chart" Target="../charts/chart64.xml"/><Relationship Id="rId23" Type="http://schemas.openxmlformats.org/officeDocument/2006/relationships/chart" Target="../charts/chart72.xml"/><Relationship Id="rId28" Type="http://schemas.openxmlformats.org/officeDocument/2006/relationships/chart" Target="../charts/chart77.xml"/><Relationship Id="rId10" Type="http://schemas.openxmlformats.org/officeDocument/2006/relationships/chart" Target="../charts/chart59.xml"/><Relationship Id="rId19" Type="http://schemas.openxmlformats.org/officeDocument/2006/relationships/chart" Target="../charts/chart68.xml"/><Relationship Id="rId4" Type="http://schemas.openxmlformats.org/officeDocument/2006/relationships/chart" Target="../charts/chart53.xml"/><Relationship Id="rId9" Type="http://schemas.openxmlformats.org/officeDocument/2006/relationships/chart" Target="../charts/chart58.xml"/><Relationship Id="rId14" Type="http://schemas.openxmlformats.org/officeDocument/2006/relationships/chart" Target="../charts/chart63.xml"/><Relationship Id="rId22" Type="http://schemas.openxmlformats.org/officeDocument/2006/relationships/chart" Target="../charts/chart71.xml"/><Relationship Id="rId27" Type="http://schemas.openxmlformats.org/officeDocument/2006/relationships/chart" Target="../charts/chart76.xml"/><Relationship Id="rId30" Type="http://schemas.openxmlformats.org/officeDocument/2006/relationships/chart" Target="../charts/chart7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4114800</xdr:colOff>
      <xdr:row>0</xdr:row>
      <xdr:rowOff>95250</xdr:rowOff>
    </xdr:from>
    <xdr:to>
      <xdr:col>2</xdr:col>
      <xdr:colOff>4800600</xdr:colOff>
      <xdr:row>0</xdr:row>
      <xdr:rowOff>809625</xdr:rowOff>
    </xdr:to>
    <xdr:pic>
      <xdr:nvPicPr>
        <xdr:cNvPr id="2" name="Picture 1" descr="http://www.enconweb.com.ar/TMP/Logos/bdff4feebc940c6e50d30e8806f9b4e8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95250"/>
          <a:ext cx="6858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20</xdr:row>
      <xdr:rowOff>114300</xdr:rowOff>
    </xdr:from>
    <xdr:to>
      <xdr:col>9</xdr:col>
      <xdr:colOff>133350</xdr:colOff>
      <xdr:row>22</xdr:row>
      <xdr:rowOff>19050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3305175" y="2190750"/>
          <a:ext cx="174307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 = PQ / [ (e/z)^2 + PQ/N ]</a:t>
          </a:r>
        </a:p>
        <a:p>
          <a:pPr algn="l" rtl="0">
            <a:defRPr sz="1000"/>
          </a:pPr>
          <a:endParaRPr lang="es-ES"/>
        </a:p>
      </xdr:txBody>
    </xdr:sp>
    <xdr:clientData/>
  </xdr:twoCellAnchor>
  <xdr:twoCellAnchor>
    <xdr:from>
      <xdr:col>9</xdr:col>
      <xdr:colOff>571500</xdr:colOff>
      <xdr:row>29</xdr:row>
      <xdr:rowOff>38100</xdr:rowOff>
    </xdr:from>
    <xdr:to>
      <xdr:col>12</xdr:col>
      <xdr:colOff>28575</xdr:colOff>
      <xdr:row>30</xdr:row>
      <xdr:rowOff>133350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9906000" y="6515100"/>
          <a:ext cx="1743075" cy="285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 = z x Raíz [ PQ (1/n -1/N) ]</a:t>
          </a:r>
        </a:p>
        <a:p>
          <a:pPr algn="l" rtl="0">
            <a:defRPr sz="1000"/>
          </a:pPr>
          <a:endParaRPr lang="es-E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28</xdr:row>
          <xdr:rowOff>114300</xdr:rowOff>
        </xdr:from>
        <xdr:to>
          <xdr:col>3</xdr:col>
          <xdr:colOff>695325</xdr:colOff>
          <xdr:row>31</xdr:row>
          <xdr:rowOff>38100</xdr:rowOff>
        </xdr:to>
        <xdr:sp macro="" textlink="">
          <xdr:nvSpPr>
            <xdr:cNvPr id="11265" name="Spinner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313152</xdr:colOff>
      <xdr:row>3</xdr:row>
      <xdr:rowOff>22935</xdr:rowOff>
    </xdr:from>
    <xdr:to>
      <xdr:col>9</xdr:col>
      <xdr:colOff>599502</xdr:colOff>
      <xdr:row>4</xdr:row>
      <xdr:rowOff>5194</xdr:rowOff>
    </xdr:to>
    <xdr:sp macro="" textlink="">
      <xdr:nvSpPr>
        <xdr:cNvPr id="247" name="verde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>
          <a:spLocks noChangeAspect="1"/>
        </xdr:cNvSpPr>
      </xdr:nvSpPr>
      <xdr:spPr>
        <a:xfrm>
          <a:off x="10190930" y="1069509"/>
          <a:ext cx="286350" cy="28800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170275</xdr:colOff>
      <xdr:row>3</xdr:row>
      <xdr:rowOff>22934</xdr:rowOff>
    </xdr:from>
    <xdr:to>
      <xdr:col>10</xdr:col>
      <xdr:colOff>456451</xdr:colOff>
      <xdr:row>4</xdr:row>
      <xdr:rowOff>5193</xdr:rowOff>
    </xdr:to>
    <xdr:sp macro="" textlink="">
      <xdr:nvSpPr>
        <xdr:cNvPr id="248" name="colorado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>
          <a:spLocks noChangeAspect="1"/>
        </xdr:cNvSpPr>
      </xdr:nvSpPr>
      <xdr:spPr>
        <a:xfrm>
          <a:off x="10718331" y="1069508"/>
          <a:ext cx="286176" cy="2880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5</xdr:row>
      <xdr:rowOff>0</xdr:rowOff>
    </xdr:from>
    <xdr:to>
      <xdr:col>4</xdr:col>
      <xdr:colOff>695925</xdr:colOff>
      <xdr:row>5</xdr:row>
      <xdr:rowOff>327540</xdr:rowOff>
    </xdr:to>
    <xdr:sp macro="" textlink="">
      <xdr:nvSpPr>
        <xdr:cNvPr id="46" name="3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>
          <a:spLocks noChangeAspect="1"/>
        </xdr:cNvSpPr>
      </xdr:nvSpPr>
      <xdr:spPr>
        <a:xfrm>
          <a:off x="9505950" y="186690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7</xdr:row>
      <xdr:rowOff>0</xdr:rowOff>
    </xdr:from>
    <xdr:to>
      <xdr:col>4</xdr:col>
      <xdr:colOff>695925</xdr:colOff>
      <xdr:row>7</xdr:row>
      <xdr:rowOff>327540</xdr:rowOff>
    </xdr:to>
    <xdr:sp macro="" textlink="">
      <xdr:nvSpPr>
        <xdr:cNvPr id="47" name="5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>
          <a:spLocks noChangeAspect="1"/>
        </xdr:cNvSpPr>
      </xdr:nvSpPr>
      <xdr:spPr>
        <a:xfrm>
          <a:off x="9505950" y="255270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8</xdr:row>
      <xdr:rowOff>0</xdr:rowOff>
    </xdr:from>
    <xdr:to>
      <xdr:col>4</xdr:col>
      <xdr:colOff>695925</xdr:colOff>
      <xdr:row>8</xdr:row>
      <xdr:rowOff>327540</xdr:rowOff>
    </xdr:to>
    <xdr:sp macro="" textlink="">
      <xdr:nvSpPr>
        <xdr:cNvPr id="48" name="6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>
          <a:spLocks noChangeAspect="1"/>
        </xdr:cNvSpPr>
      </xdr:nvSpPr>
      <xdr:spPr>
        <a:xfrm>
          <a:off x="9505950" y="289560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9</xdr:row>
      <xdr:rowOff>0</xdr:rowOff>
    </xdr:from>
    <xdr:to>
      <xdr:col>4</xdr:col>
      <xdr:colOff>695925</xdr:colOff>
      <xdr:row>9</xdr:row>
      <xdr:rowOff>327540</xdr:rowOff>
    </xdr:to>
    <xdr:sp macro="" textlink="">
      <xdr:nvSpPr>
        <xdr:cNvPr id="49" name="7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>
          <a:spLocks noChangeAspect="1"/>
        </xdr:cNvSpPr>
      </xdr:nvSpPr>
      <xdr:spPr>
        <a:xfrm>
          <a:off x="9505950" y="323850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12</xdr:row>
      <xdr:rowOff>0</xdr:rowOff>
    </xdr:from>
    <xdr:to>
      <xdr:col>4</xdr:col>
      <xdr:colOff>695925</xdr:colOff>
      <xdr:row>12</xdr:row>
      <xdr:rowOff>327540</xdr:rowOff>
    </xdr:to>
    <xdr:sp macro="" textlink="">
      <xdr:nvSpPr>
        <xdr:cNvPr id="50" name="10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>
          <a:spLocks noChangeAspect="1"/>
        </xdr:cNvSpPr>
      </xdr:nvSpPr>
      <xdr:spPr>
        <a:xfrm>
          <a:off x="9505950" y="426720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13</xdr:row>
      <xdr:rowOff>0</xdr:rowOff>
    </xdr:from>
    <xdr:to>
      <xdr:col>4</xdr:col>
      <xdr:colOff>695925</xdr:colOff>
      <xdr:row>13</xdr:row>
      <xdr:rowOff>327540</xdr:rowOff>
    </xdr:to>
    <xdr:sp macro="" textlink="">
      <xdr:nvSpPr>
        <xdr:cNvPr id="51" name="11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>
          <a:spLocks noChangeAspect="1"/>
        </xdr:cNvSpPr>
      </xdr:nvSpPr>
      <xdr:spPr>
        <a:xfrm>
          <a:off x="9505950" y="461010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14</xdr:row>
      <xdr:rowOff>0</xdr:rowOff>
    </xdr:from>
    <xdr:to>
      <xdr:col>4</xdr:col>
      <xdr:colOff>695925</xdr:colOff>
      <xdr:row>14</xdr:row>
      <xdr:rowOff>327540</xdr:rowOff>
    </xdr:to>
    <xdr:sp macro="" textlink="">
      <xdr:nvSpPr>
        <xdr:cNvPr id="52" name="1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>
          <a:spLocks noChangeAspect="1"/>
        </xdr:cNvSpPr>
      </xdr:nvSpPr>
      <xdr:spPr>
        <a:xfrm>
          <a:off x="9505950" y="495300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15</xdr:row>
      <xdr:rowOff>0</xdr:rowOff>
    </xdr:from>
    <xdr:to>
      <xdr:col>4</xdr:col>
      <xdr:colOff>695925</xdr:colOff>
      <xdr:row>15</xdr:row>
      <xdr:rowOff>327540</xdr:rowOff>
    </xdr:to>
    <xdr:sp macro="" textlink="">
      <xdr:nvSpPr>
        <xdr:cNvPr id="53" name="13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>
          <a:spLocks noChangeAspect="1"/>
        </xdr:cNvSpPr>
      </xdr:nvSpPr>
      <xdr:spPr>
        <a:xfrm>
          <a:off x="9505950" y="529590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19</xdr:row>
      <xdr:rowOff>0</xdr:rowOff>
    </xdr:from>
    <xdr:to>
      <xdr:col>4</xdr:col>
      <xdr:colOff>695925</xdr:colOff>
      <xdr:row>19</xdr:row>
      <xdr:rowOff>327540</xdr:rowOff>
    </xdr:to>
    <xdr:sp macro="" textlink="">
      <xdr:nvSpPr>
        <xdr:cNvPr id="54" name="15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>
          <a:spLocks noChangeAspect="1"/>
        </xdr:cNvSpPr>
      </xdr:nvSpPr>
      <xdr:spPr>
        <a:xfrm>
          <a:off x="9505950" y="6734175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21</xdr:row>
      <xdr:rowOff>0</xdr:rowOff>
    </xdr:from>
    <xdr:to>
      <xdr:col>4</xdr:col>
      <xdr:colOff>695925</xdr:colOff>
      <xdr:row>21</xdr:row>
      <xdr:rowOff>327540</xdr:rowOff>
    </xdr:to>
    <xdr:sp macro="" textlink="">
      <xdr:nvSpPr>
        <xdr:cNvPr id="55" name="17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>
          <a:spLocks noChangeAspect="1"/>
        </xdr:cNvSpPr>
      </xdr:nvSpPr>
      <xdr:spPr>
        <a:xfrm>
          <a:off x="9505950" y="7419975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26</xdr:row>
      <xdr:rowOff>0</xdr:rowOff>
    </xdr:from>
    <xdr:to>
      <xdr:col>4</xdr:col>
      <xdr:colOff>695925</xdr:colOff>
      <xdr:row>26</xdr:row>
      <xdr:rowOff>327540</xdr:rowOff>
    </xdr:to>
    <xdr:sp macro="" textlink="">
      <xdr:nvSpPr>
        <xdr:cNvPr id="56" name="22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Aspect="1"/>
        </xdr:cNvSpPr>
      </xdr:nvSpPr>
      <xdr:spPr>
        <a:xfrm>
          <a:off x="9505950" y="9134475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29</xdr:row>
      <xdr:rowOff>0</xdr:rowOff>
    </xdr:from>
    <xdr:to>
      <xdr:col>4</xdr:col>
      <xdr:colOff>695925</xdr:colOff>
      <xdr:row>29</xdr:row>
      <xdr:rowOff>327540</xdr:rowOff>
    </xdr:to>
    <xdr:sp macro="" textlink="">
      <xdr:nvSpPr>
        <xdr:cNvPr id="57" name="25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Aspect="1"/>
        </xdr:cNvSpPr>
      </xdr:nvSpPr>
      <xdr:spPr>
        <a:xfrm>
          <a:off x="9505950" y="10163175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30</xdr:row>
      <xdr:rowOff>0</xdr:rowOff>
    </xdr:from>
    <xdr:to>
      <xdr:col>4</xdr:col>
      <xdr:colOff>695925</xdr:colOff>
      <xdr:row>30</xdr:row>
      <xdr:rowOff>327540</xdr:rowOff>
    </xdr:to>
    <xdr:sp macro="" textlink="">
      <xdr:nvSpPr>
        <xdr:cNvPr id="58" name="26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Aspect="1"/>
        </xdr:cNvSpPr>
      </xdr:nvSpPr>
      <xdr:spPr>
        <a:xfrm>
          <a:off x="9505950" y="10506075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31</xdr:row>
      <xdr:rowOff>0</xdr:rowOff>
    </xdr:from>
    <xdr:to>
      <xdr:col>4</xdr:col>
      <xdr:colOff>695925</xdr:colOff>
      <xdr:row>31</xdr:row>
      <xdr:rowOff>327540</xdr:rowOff>
    </xdr:to>
    <xdr:sp macro="" textlink="">
      <xdr:nvSpPr>
        <xdr:cNvPr id="59" name="27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Aspect="1"/>
        </xdr:cNvSpPr>
      </xdr:nvSpPr>
      <xdr:spPr>
        <a:xfrm>
          <a:off x="9505950" y="10848975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34</xdr:row>
      <xdr:rowOff>0</xdr:rowOff>
    </xdr:from>
    <xdr:to>
      <xdr:col>4</xdr:col>
      <xdr:colOff>695925</xdr:colOff>
      <xdr:row>34</xdr:row>
      <xdr:rowOff>327540</xdr:rowOff>
    </xdr:to>
    <xdr:sp macro="" textlink="">
      <xdr:nvSpPr>
        <xdr:cNvPr id="60" name="2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Aspect="1"/>
        </xdr:cNvSpPr>
      </xdr:nvSpPr>
      <xdr:spPr>
        <a:xfrm>
          <a:off x="9505950" y="1194435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35</xdr:row>
      <xdr:rowOff>0</xdr:rowOff>
    </xdr:from>
    <xdr:to>
      <xdr:col>4</xdr:col>
      <xdr:colOff>695925</xdr:colOff>
      <xdr:row>35</xdr:row>
      <xdr:rowOff>327540</xdr:rowOff>
    </xdr:to>
    <xdr:sp macro="" textlink="">
      <xdr:nvSpPr>
        <xdr:cNvPr id="61" name="2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Aspect="1"/>
        </xdr:cNvSpPr>
      </xdr:nvSpPr>
      <xdr:spPr>
        <a:xfrm>
          <a:off x="9505950" y="1228725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36</xdr:row>
      <xdr:rowOff>0</xdr:rowOff>
    </xdr:from>
    <xdr:to>
      <xdr:col>4</xdr:col>
      <xdr:colOff>695925</xdr:colOff>
      <xdr:row>36</xdr:row>
      <xdr:rowOff>327540</xdr:rowOff>
    </xdr:to>
    <xdr:sp macro="" textlink="">
      <xdr:nvSpPr>
        <xdr:cNvPr id="62" name="30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Aspect="1"/>
        </xdr:cNvSpPr>
      </xdr:nvSpPr>
      <xdr:spPr>
        <a:xfrm>
          <a:off x="9505950" y="1263015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37</xdr:row>
      <xdr:rowOff>0</xdr:rowOff>
    </xdr:from>
    <xdr:to>
      <xdr:col>4</xdr:col>
      <xdr:colOff>695925</xdr:colOff>
      <xdr:row>37</xdr:row>
      <xdr:rowOff>327540</xdr:rowOff>
    </xdr:to>
    <xdr:sp macro="" textlink="">
      <xdr:nvSpPr>
        <xdr:cNvPr id="63" name="31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Aspect="1"/>
        </xdr:cNvSpPr>
      </xdr:nvSpPr>
      <xdr:spPr>
        <a:xfrm>
          <a:off x="9505950" y="1297305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45</xdr:row>
      <xdr:rowOff>0</xdr:rowOff>
    </xdr:from>
    <xdr:to>
      <xdr:col>4</xdr:col>
      <xdr:colOff>695925</xdr:colOff>
      <xdr:row>45</xdr:row>
      <xdr:rowOff>327540</xdr:rowOff>
    </xdr:to>
    <xdr:sp macro="" textlink="">
      <xdr:nvSpPr>
        <xdr:cNvPr id="64" name="3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Aspect="1"/>
        </xdr:cNvSpPr>
      </xdr:nvSpPr>
      <xdr:spPr>
        <a:xfrm>
          <a:off x="9505950" y="1571625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49</xdr:row>
      <xdr:rowOff>0</xdr:rowOff>
    </xdr:from>
    <xdr:to>
      <xdr:col>4</xdr:col>
      <xdr:colOff>695925</xdr:colOff>
      <xdr:row>49</xdr:row>
      <xdr:rowOff>327540</xdr:rowOff>
    </xdr:to>
    <xdr:sp macro="" textlink="">
      <xdr:nvSpPr>
        <xdr:cNvPr id="65" name="41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Aspect="1"/>
        </xdr:cNvSpPr>
      </xdr:nvSpPr>
      <xdr:spPr>
        <a:xfrm>
          <a:off x="9505950" y="17154525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50</xdr:row>
      <xdr:rowOff>0</xdr:rowOff>
    </xdr:from>
    <xdr:to>
      <xdr:col>4</xdr:col>
      <xdr:colOff>695925</xdr:colOff>
      <xdr:row>50</xdr:row>
      <xdr:rowOff>327540</xdr:rowOff>
    </xdr:to>
    <xdr:sp macro="" textlink="">
      <xdr:nvSpPr>
        <xdr:cNvPr id="66" name="42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Aspect="1"/>
        </xdr:cNvSpPr>
      </xdr:nvSpPr>
      <xdr:spPr>
        <a:xfrm>
          <a:off x="9505950" y="17497425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51</xdr:row>
      <xdr:rowOff>0</xdr:rowOff>
    </xdr:from>
    <xdr:to>
      <xdr:col>4</xdr:col>
      <xdr:colOff>695925</xdr:colOff>
      <xdr:row>51</xdr:row>
      <xdr:rowOff>327540</xdr:rowOff>
    </xdr:to>
    <xdr:sp macro="" textlink="">
      <xdr:nvSpPr>
        <xdr:cNvPr id="67" name="43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Aspect="1"/>
        </xdr:cNvSpPr>
      </xdr:nvSpPr>
      <xdr:spPr>
        <a:xfrm>
          <a:off x="9505950" y="17840325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52</xdr:row>
      <xdr:rowOff>0</xdr:rowOff>
    </xdr:from>
    <xdr:to>
      <xdr:col>4</xdr:col>
      <xdr:colOff>695925</xdr:colOff>
      <xdr:row>52</xdr:row>
      <xdr:rowOff>327540</xdr:rowOff>
    </xdr:to>
    <xdr:sp macro="" textlink="">
      <xdr:nvSpPr>
        <xdr:cNvPr id="68" name="44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Aspect="1"/>
        </xdr:cNvSpPr>
      </xdr:nvSpPr>
      <xdr:spPr>
        <a:xfrm>
          <a:off x="9505950" y="18183225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53</xdr:row>
      <xdr:rowOff>0</xdr:rowOff>
    </xdr:from>
    <xdr:to>
      <xdr:col>4</xdr:col>
      <xdr:colOff>695925</xdr:colOff>
      <xdr:row>53</xdr:row>
      <xdr:rowOff>327540</xdr:rowOff>
    </xdr:to>
    <xdr:sp macro="" textlink="">
      <xdr:nvSpPr>
        <xdr:cNvPr id="69" name="45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Aspect="1"/>
        </xdr:cNvSpPr>
      </xdr:nvSpPr>
      <xdr:spPr>
        <a:xfrm>
          <a:off x="9505950" y="18526125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54</xdr:row>
      <xdr:rowOff>0</xdr:rowOff>
    </xdr:from>
    <xdr:to>
      <xdr:col>4</xdr:col>
      <xdr:colOff>695925</xdr:colOff>
      <xdr:row>54</xdr:row>
      <xdr:rowOff>327540</xdr:rowOff>
    </xdr:to>
    <xdr:sp macro="" textlink="">
      <xdr:nvSpPr>
        <xdr:cNvPr id="70" name="46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>
          <a:spLocks noChangeAspect="1"/>
        </xdr:cNvSpPr>
      </xdr:nvSpPr>
      <xdr:spPr>
        <a:xfrm>
          <a:off x="9505950" y="18869025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55</xdr:row>
      <xdr:rowOff>0</xdr:rowOff>
    </xdr:from>
    <xdr:to>
      <xdr:col>4</xdr:col>
      <xdr:colOff>695925</xdr:colOff>
      <xdr:row>55</xdr:row>
      <xdr:rowOff>327540</xdr:rowOff>
    </xdr:to>
    <xdr:sp macro="" textlink="">
      <xdr:nvSpPr>
        <xdr:cNvPr id="71" name="47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>
          <a:spLocks noChangeAspect="1"/>
        </xdr:cNvSpPr>
      </xdr:nvSpPr>
      <xdr:spPr>
        <a:xfrm>
          <a:off x="9505950" y="19211925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59</xdr:row>
      <xdr:rowOff>0</xdr:rowOff>
    </xdr:from>
    <xdr:to>
      <xdr:col>4</xdr:col>
      <xdr:colOff>695925</xdr:colOff>
      <xdr:row>59</xdr:row>
      <xdr:rowOff>327540</xdr:rowOff>
    </xdr:to>
    <xdr:sp macro="" textlink="">
      <xdr:nvSpPr>
        <xdr:cNvPr id="72" name="49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>
          <a:spLocks noChangeAspect="1"/>
        </xdr:cNvSpPr>
      </xdr:nvSpPr>
      <xdr:spPr>
        <a:xfrm>
          <a:off x="9505950" y="2065020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62</xdr:row>
      <xdr:rowOff>0</xdr:rowOff>
    </xdr:from>
    <xdr:to>
      <xdr:col>4</xdr:col>
      <xdr:colOff>695925</xdr:colOff>
      <xdr:row>62</xdr:row>
      <xdr:rowOff>327540</xdr:rowOff>
    </xdr:to>
    <xdr:sp macro="" textlink="">
      <xdr:nvSpPr>
        <xdr:cNvPr id="73" name="5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>
          <a:spLocks noChangeAspect="1"/>
        </xdr:cNvSpPr>
      </xdr:nvSpPr>
      <xdr:spPr>
        <a:xfrm>
          <a:off x="9505950" y="2167890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64</xdr:row>
      <xdr:rowOff>0</xdr:rowOff>
    </xdr:from>
    <xdr:to>
      <xdr:col>4</xdr:col>
      <xdr:colOff>695925</xdr:colOff>
      <xdr:row>64</xdr:row>
      <xdr:rowOff>327540</xdr:rowOff>
    </xdr:to>
    <xdr:sp macro="" textlink="">
      <xdr:nvSpPr>
        <xdr:cNvPr id="74" name="54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>
          <a:spLocks noChangeAspect="1"/>
        </xdr:cNvSpPr>
      </xdr:nvSpPr>
      <xdr:spPr>
        <a:xfrm>
          <a:off x="9505950" y="2236470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66</xdr:row>
      <xdr:rowOff>0</xdr:rowOff>
    </xdr:from>
    <xdr:to>
      <xdr:col>4</xdr:col>
      <xdr:colOff>695925</xdr:colOff>
      <xdr:row>66</xdr:row>
      <xdr:rowOff>327540</xdr:rowOff>
    </xdr:to>
    <xdr:sp macro="" textlink="">
      <xdr:nvSpPr>
        <xdr:cNvPr id="75" name="56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>
          <a:spLocks noChangeAspect="1"/>
        </xdr:cNvSpPr>
      </xdr:nvSpPr>
      <xdr:spPr>
        <a:xfrm>
          <a:off x="9505950" y="2305050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67</xdr:row>
      <xdr:rowOff>0</xdr:rowOff>
    </xdr:from>
    <xdr:to>
      <xdr:col>4</xdr:col>
      <xdr:colOff>695925</xdr:colOff>
      <xdr:row>67</xdr:row>
      <xdr:rowOff>327540</xdr:rowOff>
    </xdr:to>
    <xdr:sp macro="" textlink="">
      <xdr:nvSpPr>
        <xdr:cNvPr id="76" name="57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>
          <a:spLocks noChangeAspect="1"/>
        </xdr:cNvSpPr>
      </xdr:nvSpPr>
      <xdr:spPr>
        <a:xfrm>
          <a:off x="9505950" y="2339340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409575</xdr:colOff>
      <xdr:row>70</xdr:row>
      <xdr:rowOff>0</xdr:rowOff>
    </xdr:from>
    <xdr:to>
      <xdr:col>4</xdr:col>
      <xdr:colOff>695925</xdr:colOff>
      <xdr:row>70</xdr:row>
      <xdr:rowOff>327540</xdr:rowOff>
    </xdr:to>
    <xdr:sp macro="" textlink="">
      <xdr:nvSpPr>
        <xdr:cNvPr id="77" name="58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>
          <a:spLocks noChangeAspect="1"/>
        </xdr:cNvSpPr>
      </xdr:nvSpPr>
      <xdr:spPr>
        <a:xfrm>
          <a:off x="9505950" y="2436495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207271</xdr:colOff>
      <xdr:row>23</xdr:row>
      <xdr:rowOff>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775607</xdr:colOff>
      <xdr:row>159</xdr:row>
      <xdr:rowOff>142875</xdr:rowOff>
    </xdr:from>
    <xdr:to>
      <xdr:col>10</xdr:col>
      <xdr:colOff>449036</xdr:colOff>
      <xdr:row>188</xdr:row>
      <xdr:rowOff>149678</xdr:rowOff>
    </xdr:to>
    <xdr:graphicFrame macro="">
      <xdr:nvGraphicFramePr>
        <xdr:cNvPr id="9" name="8 Gráfico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312964</xdr:colOff>
      <xdr:row>122</xdr:row>
      <xdr:rowOff>40821</xdr:rowOff>
    </xdr:from>
    <xdr:to>
      <xdr:col>9</xdr:col>
      <xdr:colOff>884464</xdr:colOff>
      <xdr:row>153</xdr:row>
      <xdr:rowOff>163285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234950</xdr:colOff>
      <xdr:row>192</xdr:row>
      <xdr:rowOff>148167</xdr:rowOff>
    </xdr:from>
    <xdr:to>
      <xdr:col>11</xdr:col>
      <xdr:colOff>158750</xdr:colOff>
      <xdr:row>208</xdr:row>
      <xdr:rowOff>105113</xdr:rowOff>
    </xdr:to>
    <xdr:graphicFrame macro="">
      <xdr:nvGraphicFramePr>
        <xdr:cNvPr id="13" name="12 Gráfico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349250</xdr:colOff>
      <xdr:row>220</xdr:row>
      <xdr:rowOff>100853</xdr:rowOff>
    </xdr:from>
    <xdr:to>
      <xdr:col>11</xdr:col>
      <xdr:colOff>476250</xdr:colOff>
      <xdr:row>233</xdr:row>
      <xdr:rowOff>44824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369271</xdr:colOff>
      <xdr:row>1</xdr:row>
      <xdr:rowOff>95250</xdr:rowOff>
    </xdr:from>
    <xdr:to>
      <xdr:col>3</xdr:col>
      <xdr:colOff>891268</xdr:colOff>
      <xdr:row>20</xdr:row>
      <xdr:rowOff>40447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12</xdr:col>
      <xdr:colOff>207271</xdr:colOff>
      <xdr:row>46</xdr:row>
      <xdr:rowOff>0</xdr:rowOff>
    </xdr:to>
    <xdr:graphicFrame macro="">
      <xdr:nvGraphicFramePr>
        <xdr:cNvPr id="16" name="14 Gráfico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369271</xdr:colOff>
      <xdr:row>24</xdr:row>
      <xdr:rowOff>95250</xdr:rowOff>
    </xdr:from>
    <xdr:to>
      <xdr:col>3</xdr:col>
      <xdr:colOff>891268</xdr:colOff>
      <xdr:row>43</xdr:row>
      <xdr:rowOff>40447</xdr:rowOff>
    </xdr:to>
    <xdr:graphicFrame macro="">
      <xdr:nvGraphicFramePr>
        <xdr:cNvPr id="26" name="16 Gráfico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46</xdr:row>
      <xdr:rowOff>0</xdr:rowOff>
    </xdr:from>
    <xdr:to>
      <xdr:col>12</xdr:col>
      <xdr:colOff>207271</xdr:colOff>
      <xdr:row>69</xdr:row>
      <xdr:rowOff>0</xdr:rowOff>
    </xdr:to>
    <xdr:graphicFrame macro="">
      <xdr:nvGraphicFramePr>
        <xdr:cNvPr id="27" name="14 Gráfico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369271</xdr:colOff>
      <xdr:row>47</xdr:row>
      <xdr:rowOff>95250</xdr:rowOff>
    </xdr:from>
    <xdr:to>
      <xdr:col>3</xdr:col>
      <xdr:colOff>891268</xdr:colOff>
      <xdr:row>66</xdr:row>
      <xdr:rowOff>40447</xdr:rowOff>
    </xdr:to>
    <xdr:graphicFrame macro="">
      <xdr:nvGraphicFramePr>
        <xdr:cNvPr id="28" name="16 Gráfico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69</xdr:row>
      <xdr:rowOff>0</xdr:rowOff>
    </xdr:from>
    <xdr:to>
      <xdr:col>12</xdr:col>
      <xdr:colOff>207271</xdr:colOff>
      <xdr:row>92</xdr:row>
      <xdr:rowOff>0</xdr:rowOff>
    </xdr:to>
    <xdr:graphicFrame macro="">
      <xdr:nvGraphicFramePr>
        <xdr:cNvPr id="29" name="14 Gráfico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369271</xdr:colOff>
      <xdr:row>70</xdr:row>
      <xdr:rowOff>95250</xdr:rowOff>
    </xdr:from>
    <xdr:to>
      <xdr:col>3</xdr:col>
      <xdr:colOff>891268</xdr:colOff>
      <xdr:row>89</xdr:row>
      <xdr:rowOff>40447</xdr:rowOff>
    </xdr:to>
    <xdr:graphicFrame macro="">
      <xdr:nvGraphicFramePr>
        <xdr:cNvPr id="30" name="16 Gráfico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92</xdr:row>
      <xdr:rowOff>0</xdr:rowOff>
    </xdr:from>
    <xdr:to>
      <xdr:col>12</xdr:col>
      <xdr:colOff>207271</xdr:colOff>
      <xdr:row>115</xdr:row>
      <xdr:rowOff>0</xdr:rowOff>
    </xdr:to>
    <xdr:graphicFrame macro="">
      <xdr:nvGraphicFramePr>
        <xdr:cNvPr id="31" name="14 Gráfico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369271</xdr:colOff>
      <xdr:row>93</xdr:row>
      <xdr:rowOff>95250</xdr:rowOff>
    </xdr:from>
    <xdr:to>
      <xdr:col>3</xdr:col>
      <xdr:colOff>891268</xdr:colOff>
      <xdr:row>112</xdr:row>
      <xdr:rowOff>40447</xdr:rowOff>
    </xdr:to>
    <xdr:graphicFrame macro="">
      <xdr:nvGraphicFramePr>
        <xdr:cNvPr id="32" name="16 Gráfico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2214561</xdr:colOff>
      <xdr:row>0</xdr:row>
      <xdr:rowOff>83344</xdr:rowOff>
    </xdr:from>
    <xdr:to>
      <xdr:col>12</xdr:col>
      <xdr:colOff>964406</xdr:colOff>
      <xdr:row>14</xdr:row>
      <xdr:rowOff>333375</xdr:rowOff>
    </xdr:to>
    <xdr:graphicFrame macro="">
      <xdr:nvGraphicFramePr>
        <xdr:cNvPr id="79" name="78 Gráfico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-1</xdr:colOff>
      <xdr:row>16</xdr:row>
      <xdr:rowOff>147546</xdr:rowOff>
    </xdr:from>
    <xdr:to>
      <xdr:col>10</xdr:col>
      <xdr:colOff>0</xdr:colOff>
      <xdr:row>28</xdr:row>
      <xdr:rowOff>30959</xdr:rowOff>
    </xdr:to>
    <xdr:graphicFrame macro="">
      <xdr:nvGraphicFramePr>
        <xdr:cNvPr id="22" name="Tabla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-1</xdr:colOff>
      <xdr:row>47</xdr:row>
      <xdr:rowOff>33618</xdr:rowOff>
    </xdr:from>
    <xdr:to>
      <xdr:col>9</xdr:col>
      <xdr:colOff>1393030</xdr:colOff>
      <xdr:row>58</xdr:row>
      <xdr:rowOff>66676</xdr:rowOff>
    </xdr:to>
    <xdr:graphicFrame macro="">
      <xdr:nvGraphicFramePr>
        <xdr:cNvPr id="23" name="Tabla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2262186</xdr:colOff>
      <xdr:row>77</xdr:row>
      <xdr:rowOff>67235</xdr:rowOff>
    </xdr:from>
    <xdr:to>
      <xdr:col>10</xdr:col>
      <xdr:colOff>0</xdr:colOff>
      <xdr:row>88</xdr:row>
      <xdr:rowOff>66676</xdr:rowOff>
    </xdr:to>
    <xdr:graphicFrame macro="">
      <xdr:nvGraphicFramePr>
        <xdr:cNvPr id="24" name="Tabla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2262186</xdr:colOff>
      <xdr:row>108</xdr:row>
      <xdr:rowOff>2382</xdr:rowOff>
    </xdr:from>
    <xdr:to>
      <xdr:col>10</xdr:col>
      <xdr:colOff>0</xdr:colOff>
      <xdr:row>118</xdr:row>
      <xdr:rowOff>66676</xdr:rowOff>
    </xdr:to>
    <xdr:graphicFrame macro="">
      <xdr:nvGraphicFramePr>
        <xdr:cNvPr id="25" name="Tabla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2262186</xdr:colOff>
      <xdr:row>137</xdr:row>
      <xdr:rowOff>33618</xdr:rowOff>
    </xdr:from>
    <xdr:to>
      <xdr:col>10</xdr:col>
      <xdr:colOff>0</xdr:colOff>
      <xdr:row>148</xdr:row>
      <xdr:rowOff>66676</xdr:rowOff>
    </xdr:to>
    <xdr:graphicFrame macro="">
      <xdr:nvGraphicFramePr>
        <xdr:cNvPr id="26" name="Tabla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2262186</xdr:colOff>
      <xdr:row>167</xdr:row>
      <xdr:rowOff>67235</xdr:rowOff>
    </xdr:from>
    <xdr:to>
      <xdr:col>10</xdr:col>
      <xdr:colOff>0</xdr:colOff>
      <xdr:row>178</xdr:row>
      <xdr:rowOff>66676</xdr:rowOff>
    </xdr:to>
    <xdr:graphicFrame macro="">
      <xdr:nvGraphicFramePr>
        <xdr:cNvPr id="27" name="Tabla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-1</xdr:colOff>
      <xdr:row>196</xdr:row>
      <xdr:rowOff>112059</xdr:rowOff>
    </xdr:from>
    <xdr:to>
      <xdr:col>10</xdr:col>
      <xdr:colOff>0</xdr:colOff>
      <xdr:row>208</xdr:row>
      <xdr:rowOff>66676</xdr:rowOff>
    </xdr:to>
    <xdr:graphicFrame macro="">
      <xdr:nvGraphicFramePr>
        <xdr:cNvPr id="28" name="Tabla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2250281</xdr:colOff>
      <xdr:row>227</xdr:row>
      <xdr:rowOff>22412</xdr:rowOff>
    </xdr:from>
    <xdr:to>
      <xdr:col>10</xdr:col>
      <xdr:colOff>0</xdr:colOff>
      <xdr:row>238</xdr:row>
      <xdr:rowOff>66676</xdr:rowOff>
    </xdr:to>
    <xdr:graphicFrame macro="">
      <xdr:nvGraphicFramePr>
        <xdr:cNvPr id="29" name="Tabla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2250280</xdr:colOff>
      <xdr:row>257</xdr:row>
      <xdr:rowOff>44823</xdr:rowOff>
    </xdr:from>
    <xdr:to>
      <xdr:col>10</xdr:col>
      <xdr:colOff>0</xdr:colOff>
      <xdr:row>268</xdr:row>
      <xdr:rowOff>66676</xdr:rowOff>
    </xdr:to>
    <xdr:graphicFrame macro="">
      <xdr:nvGraphicFramePr>
        <xdr:cNvPr id="30" name="Tabla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2250280</xdr:colOff>
      <xdr:row>286</xdr:row>
      <xdr:rowOff>156883</xdr:rowOff>
    </xdr:from>
    <xdr:to>
      <xdr:col>10</xdr:col>
      <xdr:colOff>0</xdr:colOff>
      <xdr:row>298</xdr:row>
      <xdr:rowOff>66676</xdr:rowOff>
    </xdr:to>
    <xdr:graphicFrame macro="">
      <xdr:nvGraphicFramePr>
        <xdr:cNvPr id="34" name="Tabla10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-1</xdr:colOff>
      <xdr:row>317</xdr:row>
      <xdr:rowOff>56029</xdr:rowOff>
    </xdr:from>
    <xdr:to>
      <xdr:col>10</xdr:col>
      <xdr:colOff>0</xdr:colOff>
      <xdr:row>328</xdr:row>
      <xdr:rowOff>66676</xdr:rowOff>
    </xdr:to>
    <xdr:graphicFrame macro="">
      <xdr:nvGraphicFramePr>
        <xdr:cNvPr id="35" name="Tabla11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2250281</xdr:colOff>
      <xdr:row>347</xdr:row>
      <xdr:rowOff>11284</xdr:rowOff>
    </xdr:from>
    <xdr:to>
      <xdr:col>9</xdr:col>
      <xdr:colOff>1381125</xdr:colOff>
      <xdr:row>358</xdr:row>
      <xdr:rowOff>77260</xdr:rowOff>
    </xdr:to>
    <xdr:graphicFrame macro="">
      <xdr:nvGraphicFramePr>
        <xdr:cNvPr id="36" name="Tabla12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-1</xdr:colOff>
      <xdr:row>377</xdr:row>
      <xdr:rowOff>22411</xdr:rowOff>
    </xdr:from>
    <xdr:to>
      <xdr:col>10</xdr:col>
      <xdr:colOff>0</xdr:colOff>
      <xdr:row>388</xdr:row>
      <xdr:rowOff>66676</xdr:rowOff>
    </xdr:to>
    <xdr:graphicFrame macro="">
      <xdr:nvGraphicFramePr>
        <xdr:cNvPr id="37" name="Tabla13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-1</xdr:colOff>
      <xdr:row>407</xdr:row>
      <xdr:rowOff>33618</xdr:rowOff>
    </xdr:from>
    <xdr:to>
      <xdr:col>10</xdr:col>
      <xdr:colOff>0</xdr:colOff>
      <xdr:row>418</xdr:row>
      <xdr:rowOff>66676</xdr:rowOff>
    </xdr:to>
    <xdr:graphicFrame macro="">
      <xdr:nvGraphicFramePr>
        <xdr:cNvPr id="38" name="Tabla14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2250281</xdr:colOff>
      <xdr:row>437</xdr:row>
      <xdr:rowOff>0</xdr:rowOff>
    </xdr:from>
    <xdr:to>
      <xdr:col>10</xdr:col>
      <xdr:colOff>0</xdr:colOff>
      <xdr:row>448</xdr:row>
      <xdr:rowOff>66676</xdr:rowOff>
    </xdr:to>
    <xdr:graphicFrame macro="">
      <xdr:nvGraphicFramePr>
        <xdr:cNvPr id="39" name="Tabla15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2250280</xdr:colOff>
      <xdr:row>467</xdr:row>
      <xdr:rowOff>11205</xdr:rowOff>
    </xdr:from>
    <xdr:to>
      <xdr:col>10</xdr:col>
      <xdr:colOff>0</xdr:colOff>
      <xdr:row>478</xdr:row>
      <xdr:rowOff>66676</xdr:rowOff>
    </xdr:to>
    <xdr:graphicFrame macro="">
      <xdr:nvGraphicFramePr>
        <xdr:cNvPr id="40" name="Tabla16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-1</xdr:colOff>
      <xdr:row>497</xdr:row>
      <xdr:rowOff>67235</xdr:rowOff>
    </xdr:from>
    <xdr:to>
      <xdr:col>10</xdr:col>
      <xdr:colOff>0</xdr:colOff>
      <xdr:row>508</xdr:row>
      <xdr:rowOff>66676</xdr:rowOff>
    </xdr:to>
    <xdr:graphicFrame macro="">
      <xdr:nvGraphicFramePr>
        <xdr:cNvPr id="41" name="Tabla17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2262186</xdr:colOff>
      <xdr:row>526</xdr:row>
      <xdr:rowOff>164587</xdr:rowOff>
    </xdr:from>
    <xdr:to>
      <xdr:col>10</xdr:col>
      <xdr:colOff>0</xdr:colOff>
      <xdr:row>538</xdr:row>
      <xdr:rowOff>86286</xdr:rowOff>
    </xdr:to>
    <xdr:graphicFrame macro="">
      <xdr:nvGraphicFramePr>
        <xdr:cNvPr id="42" name="Tabla18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-1</xdr:colOff>
      <xdr:row>557</xdr:row>
      <xdr:rowOff>67234</xdr:rowOff>
    </xdr:from>
    <xdr:to>
      <xdr:col>10</xdr:col>
      <xdr:colOff>0</xdr:colOff>
      <xdr:row>568</xdr:row>
      <xdr:rowOff>66675</xdr:rowOff>
    </xdr:to>
    <xdr:graphicFrame macro="">
      <xdr:nvGraphicFramePr>
        <xdr:cNvPr id="43" name="Tabla19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2250280</xdr:colOff>
      <xdr:row>586</xdr:row>
      <xdr:rowOff>112059</xdr:rowOff>
    </xdr:from>
    <xdr:to>
      <xdr:col>10</xdr:col>
      <xdr:colOff>0</xdr:colOff>
      <xdr:row>598</xdr:row>
      <xdr:rowOff>66676</xdr:rowOff>
    </xdr:to>
    <xdr:graphicFrame macro="">
      <xdr:nvGraphicFramePr>
        <xdr:cNvPr id="44" name="Tabla20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-1</xdr:colOff>
      <xdr:row>616</xdr:row>
      <xdr:rowOff>112059</xdr:rowOff>
    </xdr:from>
    <xdr:to>
      <xdr:col>10</xdr:col>
      <xdr:colOff>0</xdr:colOff>
      <xdr:row>628</xdr:row>
      <xdr:rowOff>66676</xdr:rowOff>
    </xdr:to>
    <xdr:graphicFrame macro="">
      <xdr:nvGraphicFramePr>
        <xdr:cNvPr id="31" name="Tabla21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2250281</xdr:colOff>
      <xdr:row>646</xdr:row>
      <xdr:rowOff>112059</xdr:rowOff>
    </xdr:from>
    <xdr:to>
      <xdr:col>10</xdr:col>
      <xdr:colOff>0</xdr:colOff>
      <xdr:row>658</xdr:row>
      <xdr:rowOff>66676</xdr:rowOff>
    </xdr:to>
    <xdr:graphicFrame macro="">
      <xdr:nvGraphicFramePr>
        <xdr:cNvPr id="32" name="Tabla22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2262186</xdr:colOff>
      <xdr:row>676</xdr:row>
      <xdr:rowOff>112059</xdr:rowOff>
    </xdr:from>
    <xdr:to>
      <xdr:col>10</xdr:col>
      <xdr:colOff>0</xdr:colOff>
      <xdr:row>688</xdr:row>
      <xdr:rowOff>66676</xdr:rowOff>
    </xdr:to>
    <xdr:graphicFrame macro="">
      <xdr:nvGraphicFramePr>
        <xdr:cNvPr id="33" name="Tabla23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</xdr:col>
      <xdr:colOff>2250280</xdr:colOff>
      <xdr:row>706</xdr:row>
      <xdr:rowOff>112059</xdr:rowOff>
    </xdr:from>
    <xdr:to>
      <xdr:col>10</xdr:col>
      <xdr:colOff>0</xdr:colOff>
      <xdr:row>718</xdr:row>
      <xdr:rowOff>66676</xdr:rowOff>
    </xdr:to>
    <xdr:graphicFrame macro="">
      <xdr:nvGraphicFramePr>
        <xdr:cNvPr id="45" name="Tabla2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-1</xdr:colOff>
      <xdr:row>736</xdr:row>
      <xdr:rowOff>112059</xdr:rowOff>
    </xdr:from>
    <xdr:to>
      <xdr:col>10</xdr:col>
      <xdr:colOff>-1</xdr:colOff>
      <xdr:row>748</xdr:row>
      <xdr:rowOff>66676</xdr:rowOff>
    </xdr:to>
    <xdr:graphicFrame macro="">
      <xdr:nvGraphicFramePr>
        <xdr:cNvPr id="46" name="Tabla2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-1</xdr:colOff>
      <xdr:row>766</xdr:row>
      <xdr:rowOff>112059</xdr:rowOff>
    </xdr:from>
    <xdr:to>
      <xdr:col>10</xdr:col>
      <xdr:colOff>0</xdr:colOff>
      <xdr:row>778</xdr:row>
      <xdr:rowOff>66676</xdr:rowOff>
    </xdr:to>
    <xdr:graphicFrame macro="">
      <xdr:nvGraphicFramePr>
        <xdr:cNvPr id="47" name="Tabla2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2262186</xdr:colOff>
      <xdr:row>796</xdr:row>
      <xdr:rowOff>112059</xdr:rowOff>
    </xdr:from>
    <xdr:to>
      <xdr:col>10</xdr:col>
      <xdr:colOff>0</xdr:colOff>
      <xdr:row>808</xdr:row>
      <xdr:rowOff>66676</xdr:rowOff>
    </xdr:to>
    <xdr:graphicFrame macro="">
      <xdr:nvGraphicFramePr>
        <xdr:cNvPr id="48" name="Tabla2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</xdr:col>
      <xdr:colOff>2250280</xdr:colOff>
      <xdr:row>826</xdr:row>
      <xdr:rowOff>112059</xdr:rowOff>
    </xdr:from>
    <xdr:to>
      <xdr:col>10</xdr:col>
      <xdr:colOff>0</xdr:colOff>
      <xdr:row>838</xdr:row>
      <xdr:rowOff>66676</xdr:rowOff>
    </xdr:to>
    <xdr:graphicFrame macro="">
      <xdr:nvGraphicFramePr>
        <xdr:cNvPr id="49" name="Tabla2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2262186</xdr:colOff>
      <xdr:row>856</xdr:row>
      <xdr:rowOff>112059</xdr:rowOff>
    </xdr:from>
    <xdr:to>
      <xdr:col>10</xdr:col>
      <xdr:colOff>0</xdr:colOff>
      <xdr:row>868</xdr:row>
      <xdr:rowOff>66676</xdr:rowOff>
    </xdr:to>
    <xdr:graphicFrame macro="">
      <xdr:nvGraphicFramePr>
        <xdr:cNvPr id="50" name="Tabla2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2250280</xdr:colOff>
      <xdr:row>886</xdr:row>
      <xdr:rowOff>112059</xdr:rowOff>
    </xdr:from>
    <xdr:to>
      <xdr:col>10</xdr:col>
      <xdr:colOff>0</xdr:colOff>
      <xdr:row>898</xdr:row>
      <xdr:rowOff>66676</xdr:rowOff>
    </xdr:to>
    <xdr:graphicFrame macro="">
      <xdr:nvGraphicFramePr>
        <xdr:cNvPr id="51" name="Tabla3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345281</xdr:colOff>
      <xdr:row>3</xdr:row>
      <xdr:rowOff>177007</xdr:rowOff>
    </xdr:from>
    <xdr:to>
      <xdr:col>8</xdr:col>
      <xdr:colOff>1272427</xdr:colOff>
      <xdr:row>8</xdr:row>
      <xdr:rowOff>146209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GrpSpPr/>
      </xdr:nvGrpSpPr>
      <xdr:grpSpPr>
        <a:xfrm>
          <a:off x="10334625" y="712788"/>
          <a:ext cx="2320177" cy="862171"/>
          <a:chOff x="381748" y="3327400"/>
          <a:chExt cx="2320177" cy="862171"/>
        </a:xfrm>
      </xdr:grpSpPr>
      <xdr:sp macro="" textlink="">
        <xdr:nvSpPr>
          <xdr:cNvPr id="54" name="Rectangle 101">
            <a:extLst>
              <a:ext uri="{FF2B5EF4-FFF2-40B4-BE49-F238E27FC236}">
                <a16:creationId xmlns:a16="http://schemas.microsoft.com/office/drawing/2014/main" id="{00000000-0008-0000-0700-000036000000}"/>
              </a:ext>
            </a:extLst>
          </xdr:cNvPr>
          <xdr:cNvSpPr/>
        </xdr:nvSpPr>
        <xdr:spPr>
          <a:xfrm>
            <a:off x="381748" y="3390900"/>
            <a:ext cx="465977" cy="133350"/>
          </a:xfrm>
          <a:prstGeom prst="rect">
            <a:avLst/>
          </a:prstGeom>
          <a:solidFill>
            <a:srgbClr val="BD19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cxnSp macro="">
        <xdr:nvCxnSpPr>
          <xdr:cNvPr id="55" name="Straight Connector 103">
            <a:extLst>
              <a:ext uri="{FF2B5EF4-FFF2-40B4-BE49-F238E27FC236}">
                <a16:creationId xmlns:a16="http://schemas.microsoft.com/office/drawing/2014/main" id="{00000000-0008-0000-0700-000037000000}"/>
              </a:ext>
            </a:extLst>
          </xdr:cNvPr>
          <xdr:cNvCxnSpPr/>
        </xdr:nvCxnSpPr>
        <xdr:spPr>
          <a:xfrm>
            <a:off x="381748" y="3797148"/>
            <a:ext cx="465977" cy="0"/>
          </a:xfrm>
          <a:prstGeom prst="line">
            <a:avLst/>
          </a:prstGeom>
          <a:ln w="57150">
            <a:solidFill>
              <a:srgbClr val="00608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Straight Connector 104">
            <a:extLst>
              <a:ext uri="{FF2B5EF4-FFF2-40B4-BE49-F238E27FC236}">
                <a16:creationId xmlns:a16="http://schemas.microsoft.com/office/drawing/2014/main" id="{00000000-0008-0000-0700-000038000000}"/>
              </a:ext>
            </a:extLst>
          </xdr:cNvPr>
          <xdr:cNvCxnSpPr/>
        </xdr:nvCxnSpPr>
        <xdr:spPr>
          <a:xfrm>
            <a:off x="381748" y="4076700"/>
            <a:ext cx="465977" cy="0"/>
          </a:xfrm>
          <a:prstGeom prst="line">
            <a:avLst/>
          </a:prstGeom>
          <a:ln w="571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7" name="Elipse 56">
            <a:extLst>
              <a:ext uri="{FF2B5EF4-FFF2-40B4-BE49-F238E27FC236}">
                <a16:creationId xmlns:a16="http://schemas.microsoft.com/office/drawing/2014/main" id="{00000000-0008-0000-0700-000039000000}"/>
              </a:ext>
            </a:extLst>
          </xdr:cNvPr>
          <xdr:cNvSpPr/>
        </xdr:nvSpPr>
        <xdr:spPr>
          <a:xfrm>
            <a:off x="490911" y="3676554"/>
            <a:ext cx="241187" cy="241187"/>
          </a:xfrm>
          <a:prstGeom prst="ellipse">
            <a:avLst/>
          </a:prstGeom>
          <a:solidFill>
            <a:schemeClr val="bg1"/>
          </a:solidFill>
          <a:ln w="57150">
            <a:solidFill>
              <a:srgbClr val="006086"/>
            </a:solidFill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ES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$M$4">
        <xdr:nvSpPr>
          <xdr:cNvPr id="62" name="CuadroTexto 62">
            <a:extLst>
              <a:ext uri="{FF2B5EF4-FFF2-40B4-BE49-F238E27FC236}">
                <a16:creationId xmlns:a16="http://schemas.microsoft.com/office/drawing/2014/main" id="{00000000-0008-0000-0700-00003E000000}"/>
              </a:ext>
            </a:extLst>
          </xdr:cNvPr>
          <xdr:cNvSpPr txBox="1"/>
        </xdr:nvSpPr>
        <xdr:spPr>
          <a:xfrm>
            <a:off x="962025" y="3327400"/>
            <a:ext cx="1739900" cy="247184"/>
          </a:xfrm>
          <a:prstGeom prst="rect">
            <a:avLst/>
          </a:prstGeom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914400" rtl="0" eaLnBrk="1" latinLnBrk="0" hangingPunct="1"/>
            <a:fld id="{C147FA07-0C9C-4E79-ABFC-FDBF830261E8}" type="TxLink">
              <a:rPr lang="en-US" sz="1050" kern="1200">
                <a:solidFill>
                  <a:srgbClr val="7F7F7F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l" defTabSz="914400" rtl="0" eaLnBrk="1" latinLnBrk="0" hangingPunct="1"/>
              <a:t>Prom. Gral 2017</a:t>
            </a:fld>
            <a:endParaRPr lang="es-ES" sz="1050" kern="1200">
              <a:solidFill>
                <a:srgbClr val="7F7F7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">
        <xdr:nvSpPr>
          <xdr:cNvPr id="63" name="CuadroTexto 62">
            <a:extLst>
              <a:ext uri="{FF2B5EF4-FFF2-40B4-BE49-F238E27FC236}">
                <a16:creationId xmlns:a16="http://schemas.microsoft.com/office/drawing/2014/main" id="{00000000-0008-0000-0700-00003F000000}"/>
              </a:ext>
            </a:extLst>
          </xdr:cNvPr>
          <xdr:cNvSpPr txBox="1"/>
        </xdr:nvSpPr>
        <xdr:spPr>
          <a:xfrm>
            <a:off x="962025" y="3635375"/>
            <a:ext cx="1739900" cy="246221"/>
          </a:xfrm>
          <a:prstGeom prst="rect">
            <a:avLst/>
          </a:prstGeom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sp macro="" textlink="">
        <xdr:nvSpPr>
          <xdr:cNvPr id="64" name="CuadroTexto 62">
            <a:extLst>
              <a:ext uri="{FF2B5EF4-FFF2-40B4-BE49-F238E27FC236}">
                <a16:creationId xmlns:a16="http://schemas.microsoft.com/office/drawing/2014/main" id="{00000000-0008-0000-0700-000040000000}"/>
              </a:ext>
            </a:extLst>
          </xdr:cNvPr>
          <xdr:cNvSpPr txBox="1"/>
        </xdr:nvSpPr>
        <xdr:spPr>
          <a:xfrm>
            <a:off x="962025" y="3943350"/>
            <a:ext cx="1739900" cy="246221"/>
          </a:xfrm>
          <a:prstGeom prst="rect">
            <a:avLst/>
          </a:prstGeom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>
    <xdr:from>
      <xdr:col>5</xdr:col>
      <xdr:colOff>342900</xdr:colOff>
      <xdr:row>2</xdr:row>
      <xdr:rowOff>52387</xdr:rowOff>
    </xdr:from>
    <xdr:to>
      <xdr:col>6</xdr:col>
      <xdr:colOff>1267664</xdr:colOff>
      <xdr:row>8</xdr:row>
      <xdr:rowOff>173595</xdr:rowOff>
    </xdr:to>
    <xdr:grpSp>
      <xdr:nvGrpSpPr>
        <xdr:cNvPr id="65" name="Grupo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GrpSpPr/>
      </xdr:nvGrpSpPr>
      <xdr:grpSpPr>
        <a:xfrm>
          <a:off x="7546181" y="409575"/>
          <a:ext cx="2317796" cy="1192770"/>
          <a:chOff x="381748" y="3019425"/>
          <a:chExt cx="2320177" cy="1178482"/>
        </a:xfrm>
      </xdr:grpSpPr>
      <xdr:sp macro="" textlink="">
        <xdr:nvSpPr>
          <xdr:cNvPr id="68" name="Rectangle 100">
            <a:extLst>
              <a:ext uri="{FF2B5EF4-FFF2-40B4-BE49-F238E27FC236}">
                <a16:creationId xmlns:a16="http://schemas.microsoft.com/office/drawing/2014/main" id="{00000000-0008-0000-0700-000044000000}"/>
              </a:ext>
            </a:extLst>
          </xdr:cNvPr>
          <xdr:cNvSpPr/>
        </xdr:nvSpPr>
        <xdr:spPr>
          <a:xfrm>
            <a:off x="381748" y="3067050"/>
            <a:ext cx="465977" cy="152400"/>
          </a:xfrm>
          <a:prstGeom prst="rect">
            <a:avLst/>
          </a:prstGeom>
          <a:solidFill>
            <a:srgbClr val="BD19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9" name="Rectangle 101">
            <a:extLst>
              <a:ext uri="{FF2B5EF4-FFF2-40B4-BE49-F238E27FC236}">
                <a16:creationId xmlns:a16="http://schemas.microsoft.com/office/drawing/2014/main" id="{00000000-0008-0000-0700-000045000000}"/>
              </a:ext>
            </a:extLst>
          </xdr:cNvPr>
          <xdr:cNvSpPr/>
        </xdr:nvSpPr>
        <xdr:spPr>
          <a:xfrm>
            <a:off x="381748" y="3390900"/>
            <a:ext cx="465977" cy="133350"/>
          </a:xfrm>
          <a:prstGeom prst="rect">
            <a:avLst/>
          </a:prstGeom>
          <a:solidFill>
            <a:srgbClr val="86868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cxnSp macro="">
        <xdr:nvCxnSpPr>
          <xdr:cNvPr id="70" name="Straight Connector 103">
            <a:extLst>
              <a:ext uri="{FF2B5EF4-FFF2-40B4-BE49-F238E27FC236}">
                <a16:creationId xmlns:a16="http://schemas.microsoft.com/office/drawing/2014/main" id="{00000000-0008-0000-0700-000046000000}"/>
              </a:ext>
            </a:extLst>
          </xdr:cNvPr>
          <xdr:cNvCxnSpPr/>
        </xdr:nvCxnSpPr>
        <xdr:spPr>
          <a:xfrm>
            <a:off x="381748" y="3797148"/>
            <a:ext cx="465977" cy="0"/>
          </a:xfrm>
          <a:prstGeom prst="line">
            <a:avLst/>
          </a:prstGeom>
          <a:ln w="57150">
            <a:solidFill>
              <a:srgbClr val="00608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Straight Connector 104">
            <a:extLst>
              <a:ext uri="{FF2B5EF4-FFF2-40B4-BE49-F238E27FC236}">
                <a16:creationId xmlns:a16="http://schemas.microsoft.com/office/drawing/2014/main" id="{00000000-0008-0000-0700-000056000000}"/>
              </a:ext>
            </a:extLst>
          </xdr:cNvPr>
          <xdr:cNvCxnSpPr/>
        </xdr:nvCxnSpPr>
        <xdr:spPr>
          <a:xfrm>
            <a:off x="381748" y="4076700"/>
            <a:ext cx="465977" cy="0"/>
          </a:xfrm>
          <a:prstGeom prst="line">
            <a:avLst/>
          </a:prstGeom>
          <a:ln w="571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7" name="Elipse 86">
            <a:extLst>
              <a:ext uri="{FF2B5EF4-FFF2-40B4-BE49-F238E27FC236}">
                <a16:creationId xmlns:a16="http://schemas.microsoft.com/office/drawing/2014/main" id="{00000000-0008-0000-0700-000057000000}"/>
              </a:ext>
            </a:extLst>
          </xdr:cNvPr>
          <xdr:cNvSpPr/>
        </xdr:nvSpPr>
        <xdr:spPr>
          <a:xfrm>
            <a:off x="490911" y="3676554"/>
            <a:ext cx="241187" cy="241187"/>
          </a:xfrm>
          <a:prstGeom prst="ellipse">
            <a:avLst/>
          </a:prstGeom>
          <a:solidFill>
            <a:schemeClr val="bg1"/>
          </a:solidFill>
          <a:ln w="57150">
            <a:solidFill>
              <a:srgbClr val="006086"/>
            </a:solidFill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ES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$M$3">
        <xdr:nvSpPr>
          <xdr:cNvPr id="88" name="CuadroTexto 62">
            <a:extLst>
              <a:ext uri="{FF2B5EF4-FFF2-40B4-BE49-F238E27FC236}">
                <a16:creationId xmlns:a16="http://schemas.microsoft.com/office/drawing/2014/main" id="{00000000-0008-0000-0700-000058000000}"/>
              </a:ext>
            </a:extLst>
          </xdr:cNvPr>
          <xdr:cNvSpPr txBox="1"/>
        </xdr:nvSpPr>
        <xdr:spPr>
          <a:xfrm>
            <a:off x="962025" y="3019425"/>
            <a:ext cx="1739900" cy="24422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914400" rtl="0" eaLnBrk="1" latinLnBrk="0" hangingPunct="1"/>
            <a:fld id="{1E02A563-6052-483A-B61C-DCA688BCCE36}" type="TxLink">
              <a:rPr lang="en-US" sz="1050" kern="1200">
                <a:solidFill>
                  <a:srgbClr val="7F7F7F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l" defTabSz="914400" rtl="0" eaLnBrk="1" latinLnBrk="0" hangingPunct="1"/>
              <a:t>Prom. Gral 2016</a:t>
            </a:fld>
            <a:endParaRPr lang="es-ES" sz="1050" kern="1200">
              <a:solidFill>
                <a:srgbClr val="7F7F7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M$4">
        <xdr:nvSpPr>
          <xdr:cNvPr id="89" name="CuadroTexto 62">
            <a:extLst>
              <a:ext uri="{FF2B5EF4-FFF2-40B4-BE49-F238E27FC236}">
                <a16:creationId xmlns:a16="http://schemas.microsoft.com/office/drawing/2014/main" id="{00000000-0008-0000-0700-000059000000}"/>
              </a:ext>
            </a:extLst>
          </xdr:cNvPr>
          <xdr:cNvSpPr txBox="1"/>
        </xdr:nvSpPr>
        <xdr:spPr>
          <a:xfrm>
            <a:off x="962025" y="3327400"/>
            <a:ext cx="1739900" cy="24422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914400" rtl="0" eaLnBrk="1" latinLnBrk="0" hangingPunct="1"/>
            <a:fld id="{C147FA07-0C9C-4E79-ABFC-FDBF830261E8}" type="TxLink">
              <a:rPr lang="en-US" sz="1050" kern="1200">
                <a:solidFill>
                  <a:srgbClr val="7F7F7F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l" defTabSz="914400" rtl="0" eaLnBrk="1" latinLnBrk="0" hangingPunct="1"/>
              <a:t>Prom. Gral 2017</a:t>
            </a:fld>
            <a:endParaRPr lang="es-ES" sz="1050" kern="1200">
              <a:solidFill>
                <a:srgbClr val="7F7F7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">
        <xdr:nvSpPr>
          <xdr:cNvPr id="90" name="CuadroTexto 89">
            <a:extLst>
              <a:ext uri="{FF2B5EF4-FFF2-40B4-BE49-F238E27FC236}">
                <a16:creationId xmlns:a16="http://schemas.microsoft.com/office/drawing/2014/main" id="{00000000-0008-0000-0700-00005A000000}"/>
              </a:ext>
            </a:extLst>
          </xdr:cNvPr>
          <xdr:cNvSpPr txBox="1"/>
        </xdr:nvSpPr>
        <xdr:spPr>
          <a:xfrm>
            <a:off x="962025" y="3635375"/>
            <a:ext cx="1739900" cy="25455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sp macro="" textlink="">
        <xdr:nvSpPr>
          <xdr:cNvPr id="91" name="CuadroTexto 62">
            <a:extLst>
              <a:ext uri="{FF2B5EF4-FFF2-40B4-BE49-F238E27FC236}">
                <a16:creationId xmlns:a16="http://schemas.microsoft.com/office/drawing/2014/main" id="{00000000-0008-0000-0700-00005B000000}"/>
              </a:ext>
            </a:extLst>
          </xdr:cNvPr>
          <xdr:cNvSpPr txBox="1"/>
        </xdr:nvSpPr>
        <xdr:spPr>
          <a:xfrm>
            <a:off x="962025" y="3943350"/>
            <a:ext cx="1739900" cy="25455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65898</xdr:rowOff>
    </xdr:from>
    <xdr:to>
      <xdr:col>14</xdr:col>
      <xdr:colOff>334309</xdr:colOff>
      <xdr:row>47</xdr:row>
      <xdr:rowOff>238125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255395</xdr:colOff>
      <xdr:row>26</xdr:row>
      <xdr:rowOff>46928</xdr:rowOff>
    </xdr:from>
    <xdr:to>
      <xdr:col>9</xdr:col>
      <xdr:colOff>740826</xdr:colOff>
      <xdr:row>32</xdr:row>
      <xdr:rowOff>21752</xdr:rowOff>
    </xdr:to>
    <xdr:sp macro="" textlink="">
      <xdr:nvSpPr>
        <xdr:cNvPr id="9" name="TextBox 3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>
          <a:off x="4854609" y="4700571"/>
          <a:ext cx="1982217" cy="103618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A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AR" sz="1600">
              <a:solidFill>
                <a:schemeClr val="tx1">
                  <a:lumMod val="85000"/>
                  <a:lumOff val="1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 motivo por el que permanezco en esta empresa es…</a:t>
          </a:r>
        </a:p>
      </xdr:txBody>
    </xdr:sp>
    <xdr:clientData/>
  </xdr:twoCellAnchor>
  <xdr:twoCellAnchor>
    <xdr:from>
      <xdr:col>18</xdr:col>
      <xdr:colOff>31750</xdr:colOff>
      <xdr:row>66</xdr:row>
      <xdr:rowOff>147546</xdr:rowOff>
    </xdr:from>
    <xdr:to>
      <xdr:col>23</xdr:col>
      <xdr:colOff>0</xdr:colOff>
      <xdr:row>78</xdr:row>
      <xdr:rowOff>30959</xdr:rowOff>
    </xdr:to>
    <xdr:graphicFrame macro="">
      <xdr:nvGraphicFramePr>
        <xdr:cNvPr id="11" name="Tabla1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283100</xdr:colOff>
      <xdr:row>52</xdr:row>
      <xdr:rowOff>26195</xdr:rowOff>
    </xdr:from>
    <xdr:to>
      <xdr:col>21</xdr:col>
      <xdr:colOff>730776</xdr:colOff>
      <xdr:row>57</xdr:row>
      <xdr:rowOff>71439</xdr:rowOff>
    </xdr:to>
    <xdr:grpSp>
      <xdr:nvGrpSpPr>
        <xdr:cNvPr id="12" name="CH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>
          <a:grpSpLocks noChangeAspect="1"/>
        </xdr:cNvGrpSpPr>
      </xdr:nvGrpSpPr>
      <xdr:grpSpPr bwMode="auto">
        <a:xfrm>
          <a:off x="17264814" y="9469552"/>
          <a:ext cx="2230212" cy="929708"/>
          <a:chOff x="55" y="33"/>
          <a:chExt cx="149" cy="100"/>
        </a:xfrm>
      </xdr:grpSpPr>
      <xdr:sp macro="" textlink="">
        <xdr:nvSpPr>
          <xdr:cNvPr id="13" name="AutoShape 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55" y="33"/>
            <a:ext cx="149" cy="1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pic>
        <xdr:nvPicPr>
          <xdr:cNvPr id="14" name="60 Imagen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51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5" name="70 Imagen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51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6" name="71 Imagen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69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7" name="72 Imagen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69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8" name="Freeform 10">
            <a:extLst>
              <a:ext uri="{FF2B5EF4-FFF2-40B4-BE49-F238E27FC236}">
                <a16:creationId xmlns:a16="http://schemas.microsoft.com/office/drawing/2014/main" id="{00000000-0008-0000-0800-000012000000}"/>
              </a:ext>
            </a:extLst>
          </xdr:cNvPr>
          <xdr:cNvSpPr>
            <a:spLocks/>
          </xdr:cNvSpPr>
        </xdr:nvSpPr>
        <xdr:spPr bwMode="auto">
          <a:xfrm>
            <a:off x="66" y="90"/>
            <a:ext cx="30" cy="3"/>
          </a:xfrm>
          <a:custGeom>
            <a:avLst/>
            <a:gdLst>
              <a:gd name="T0" fmla="*/ 24 w 576"/>
              <a:gd name="T1" fmla="*/ 0 h 48"/>
              <a:gd name="T2" fmla="*/ 552 w 576"/>
              <a:gd name="T3" fmla="*/ 0 h 48"/>
              <a:gd name="T4" fmla="*/ 576 w 576"/>
              <a:gd name="T5" fmla="*/ 24 h 48"/>
              <a:gd name="T6" fmla="*/ 552 w 576"/>
              <a:gd name="T7" fmla="*/ 48 h 48"/>
              <a:gd name="T8" fmla="*/ 24 w 576"/>
              <a:gd name="T9" fmla="*/ 48 h 48"/>
              <a:gd name="T10" fmla="*/ 0 w 576"/>
              <a:gd name="T11" fmla="*/ 24 h 48"/>
              <a:gd name="T12" fmla="*/ 24 w 576"/>
              <a:gd name="T13" fmla="*/ 0 h 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576" h="48">
                <a:moveTo>
                  <a:pt x="24" y="0"/>
                </a:moveTo>
                <a:lnTo>
                  <a:pt x="552" y="0"/>
                </a:lnTo>
                <a:cubicBezTo>
                  <a:pt x="566" y="0"/>
                  <a:pt x="576" y="11"/>
                  <a:pt x="576" y="24"/>
                </a:cubicBezTo>
                <a:cubicBezTo>
                  <a:pt x="576" y="38"/>
                  <a:pt x="566" y="48"/>
                  <a:pt x="552" y="48"/>
                </a:cubicBezTo>
                <a:lnTo>
                  <a:pt x="24" y="48"/>
                </a:lnTo>
                <a:cubicBezTo>
                  <a:pt x="11" y="48"/>
                  <a:pt x="0" y="38"/>
                  <a:pt x="0" y="24"/>
                </a:cubicBezTo>
                <a:cubicBezTo>
                  <a:pt x="0" y="11"/>
                  <a:pt x="11" y="0"/>
                  <a:pt x="24" y="0"/>
                </a:cubicBezTo>
                <a:close/>
              </a:path>
            </a:pathLst>
          </a:custGeom>
          <a:solidFill>
            <a:srgbClr val="632523"/>
          </a:solidFill>
          <a:ln w="9525" cap="flat">
            <a:solidFill>
              <a:srgbClr val="632523"/>
            </a:solidFill>
            <a:prstDash val="solid"/>
            <a:bevel/>
            <a:headEnd/>
            <a:tailEnd/>
          </a:ln>
        </xdr:spPr>
      </xdr:sp>
      <xdr:sp macro="" textlink="">
        <xdr:nvSpPr>
          <xdr:cNvPr id="19" name="Freeform 12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>
            <a:spLocks noEditPoints="1"/>
          </xdr:cNvSpPr>
        </xdr:nvSpPr>
        <xdr:spPr bwMode="auto">
          <a:xfrm>
            <a:off x="66" y="109"/>
            <a:ext cx="30" cy="2"/>
          </a:xfrm>
          <a:custGeom>
            <a:avLst/>
            <a:gdLst>
              <a:gd name="T0" fmla="*/ 16 w 576"/>
              <a:gd name="T1" fmla="*/ 0 h 32"/>
              <a:gd name="T2" fmla="*/ 80 w 576"/>
              <a:gd name="T3" fmla="*/ 0 h 32"/>
              <a:gd name="T4" fmla="*/ 96 w 576"/>
              <a:gd name="T5" fmla="*/ 16 h 32"/>
              <a:gd name="T6" fmla="*/ 80 w 576"/>
              <a:gd name="T7" fmla="*/ 32 h 32"/>
              <a:gd name="T8" fmla="*/ 16 w 576"/>
              <a:gd name="T9" fmla="*/ 32 h 32"/>
              <a:gd name="T10" fmla="*/ 0 w 576"/>
              <a:gd name="T11" fmla="*/ 16 h 32"/>
              <a:gd name="T12" fmla="*/ 16 w 576"/>
              <a:gd name="T13" fmla="*/ 0 h 32"/>
              <a:gd name="T14" fmla="*/ 144 w 576"/>
              <a:gd name="T15" fmla="*/ 0 h 32"/>
              <a:gd name="T16" fmla="*/ 208 w 576"/>
              <a:gd name="T17" fmla="*/ 0 h 32"/>
              <a:gd name="T18" fmla="*/ 224 w 576"/>
              <a:gd name="T19" fmla="*/ 16 h 32"/>
              <a:gd name="T20" fmla="*/ 208 w 576"/>
              <a:gd name="T21" fmla="*/ 32 h 32"/>
              <a:gd name="T22" fmla="*/ 144 w 576"/>
              <a:gd name="T23" fmla="*/ 32 h 32"/>
              <a:gd name="T24" fmla="*/ 128 w 576"/>
              <a:gd name="T25" fmla="*/ 16 h 32"/>
              <a:gd name="T26" fmla="*/ 144 w 576"/>
              <a:gd name="T27" fmla="*/ 0 h 32"/>
              <a:gd name="T28" fmla="*/ 272 w 576"/>
              <a:gd name="T29" fmla="*/ 0 h 32"/>
              <a:gd name="T30" fmla="*/ 336 w 576"/>
              <a:gd name="T31" fmla="*/ 0 h 32"/>
              <a:gd name="T32" fmla="*/ 352 w 576"/>
              <a:gd name="T33" fmla="*/ 16 h 32"/>
              <a:gd name="T34" fmla="*/ 336 w 576"/>
              <a:gd name="T35" fmla="*/ 32 h 32"/>
              <a:gd name="T36" fmla="*/ 272 w 576"/>
              <a:gd name="T37" fmla="*/ 32 h 32"/>
              <a:gd name="T38" fmla="*/ 256 w 576"/>
              <a:gd name="T39" fmla="*/ 16 h 32"/>
              <a:gd name="T40" fmla="*/ 272 w 576"/>
              <a:gd name="T41" fmla="*/ 0 h 32"/>
              <a:gd name="T42" fmla="*/ 400 w 576"/>
              <a:gd name="T43" fmla="*/ 0 h 32"/>
              <a:gd name="T44" fmla="*/ 464 w 576"/>
              <a:gd name="T45" fmla="*/ 0 h 32"/>
              <a:gd name="T46" fmla="*/ 480 w 576"/>
              <a:gd name="T47" fmla="*/ 16 h 32"/>
              <a:gd name="T48" fmla="*/ 464 w 576"/>
              <a:gd name="T49" fmla="*/ 32 h 32"/>
              <a:gd name="T50" fmla="*/ 400 w 576"/>
              <a:gd name="T51" fmla="*/ 32 h 32"/>
              <a:gd name="T52" fmla="*/ 384 w 576"/>
              <a:gd name="T53" fmla="*/ 16 h 32"/>
              <a:gd name="T54" fmla="*/ 400 w 576"/>
              <a:gd name="T55" fmla="*/ 0 h 32"/>
              <a:gd name="T56" fmla="*/ 528 w 576"/>
              <a:gd name="T57" fmla="*/ 0 h 32"/>
              <a:gd name="T58" fmla="*/ 560 w 576"/>
              <a:gd name="T59" fmla="*/ 0 h 32"/>
              <a:gd name="T60" fmla="*/ 576 w 576"/>
              <a:gd name="T61" fmla="*/ 16 h 32"/>
              <a:gd name="T62" fmla="*/ 560 w 576"/>
              <a:gd name="T63" fmla="*/ 32 h 32"/>
              <a:gd name="T64" fmla="*/ 528 w 576"/>
              <a:gd name="T65" fmla="*/ 32 h 32"/>
              <a:gd name="T66" fmla="*/ 512 w 576"/>
              <a:gd name="T67" fmla="*/ 16 h 32"/>
              <a:gd name="T68" fmla="*/ 528 w 576"/>
              <a:gd name="T69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76" h="32">
                <a:moveTo>
                  <a:pt x="16" y="0"/>
                </a:moveTo>
                <a:lnTo>
                  <a:pt x="80" y="0"/>
                </a:lnTo>
                <a:cubicBezTo>
                  <a:pt x="89" y="0"/>
                  <a:pt x="96" y="8"/>
                  <a:pt x="96" y="16"/>
                </a:cubicBezTo>
                <a:cubicBezTo>
                  <a:pt x="96" y="25"/>
                  <a:pt x="89" y="32"/>
                  <a:pt x="80" y="32"/>
                </a:cubicBezTo>
                <a:lnTo>
                  <a:pt x="16" y="32"/>
                </a:lnTo>
                <a:cubicBezTo>
                  <a:pt x="8" y="32"/>
                  <a:pt x="0" y="25"/>
                  <a:pt x="0" y="16"/>
                </a:cubicBezTo>
                <a:cubicBezTo>
                  <a:pt x="0" y="8"/>
                  <a:pt x="8" y="0"/>
                  <a:pt x="16" y="0"/>
                </a:cubicBezTo>
                <a:close/>
                <a:moveTo>
                  <a:pt x="144" y="0"/>
                </a:moveTo>
                <a:lnTo>
                  <a:pt x="208" y="0"/>
                </a:lnTo>
                <a:cubicBezTo>
                  <a:pt x="217" y="0"/>
                  <a:pt x="224" y="8"/>
                  <a:pt x="224" y="16"/>
                </a:cubicBezTo>
                <a:cubicBezTo>
                  <a:pt x="224" y="25"/>
                  <a:pt x="217" y="32"/>
                  <a:pt x="208" y="32"/>
                </a:cubicBezTo>
                <a:lnTo>
                  <a:pt x="144" y="32"/>
                </a:lnTo>
                <a:cubicBezTo>
                  <a:pt x="136" y="32"/>
                  <a:pt x="128" y="25"/>
                  <a:pt x="128" y="16"/>
                </a:cubicBezTo>
                <a:cubicBezTo>
                  <a:pt x="128" y="8"/>
                  <a:pt x="136" y="0"/>
                  <a:pt x="144" y="0"/>
                </a:cubicBezTo>
                <a:close/>
                <a:moveTo>
                  <a:pt x="272" y="0"/>
                </a:moveTo>
                <a:lnTo>
                  <a:pt x="336" y="0"/>
                </a:lnTo>
                <a:cubicBezTo>
                  <a:pt x="345" y="0"/>
                  <a:pt x="352" y="8"/>
                  <a:pt x="352" y="16"/>
                </a:cubicBezTo>
                <a:cubicBezTo>
                  <a:pt x="352" y="25"/>
                  <a:pt x="345" y="32"/>
                  <a:pt x="336" y="32"/>
                </a:cubicBezTo>
                <a:lnTo>
                  <a:pt x="272" y="32"/>
                </a:lnTo>
                <a:cubicBezTo>
                  <a:pt x="264" y="32"/>
                  <a:pt x="256" y="25"/>
                  <a:pt x="256" y="16"/>
                </a:cubicBezTo>
                <a:cubicBezTo>
                  <a:pt x="256" y="8"/>
                  <a:pt x="264" y="0"/>
                  <a:pt x="272" y="0"/>
                </a:cubicBezTo>
                <a:close/>
                <a:moveTo>
                  <a:pt x="400" y="0"/>
                </a:moveTo>
                <a:lnTo>
                  <a:pt x="464" y="0"/>
                </a:lnTo>
                <a:cubicBezTo>
                  <a:pt x="473" y="0"/>
                  <a:pt x="480" y="8"/>
                  <a:pt x="480" y="16"/>
                </a:cubicBezTo>
                <a:cubicBezTo>
                  <a:pt x="480" y="25"/>
                  <a:pt x="473" y="32"/>
                  <a:pt x="464" y="32"/>
                </a:cubicBezTo>
                <a:lnTo>
                  <a:pt x="400" y="32"/>
                </a:lnTo>
                <a:cubicBezTo>
                  <a:pt x="392" y="32"/>
                  <a:pt x="384" y="25"/>
                  <a:pt x="384" y="16"/>
                </a:cubicBezTo>
                <a:cubicBezTo>
                  <a:pt x="384" y="8"/>
                  <a:pt x="392" y="0"/>
                  <a:pt x="400" y="0"/>
                </a:cubicBezTo>
                <a:close/>
                <a:moveTo>
                  <a:pt x="528" y="0"/>
                </a:moveTo>
                <a:lnTo>
                  <a:pt x="560" y="0"/>
                </a:lnTo>
                <a:cubicBezTo>
                  <a:pt x="569" y="0"/>
                  <a:pt x="576" y="8"/>
                  <a:pt x="576" y="16"/>
                </a:cubicBezTo>
                <a:cubicBezTo>
                  <a:pt x="576" y="25"/>
                  <a:pt x="569" y="32"/>
                  <a:pt x="560" y="32"/>
                </a:cubicBezTo>
                <a:lnTo>
                  <a:pt x="528" y="32"/>
                </a:lnTo>
                <a:cubicBezTo>
                  <a:pt x="520" y="32"/>
                  <a:pt x="512" y="25"/>
                  <a:pt x="512" y="16"/>
                </a:cubicBezTo>
                <a:cubicBezTo>
                  <a:pt x="512" y="8"/>
                  <a:pt x="520" y="0"/>
                  <a:pt x="528" y="0"/>
                </a:cubicBezTo>
                <a:close/>
              </a:path>
            </a:pathLst>
          </a:custGeom>
          <a:solidFill>
            <a:srgbClr val="215968"/>
          </a:solidFill>
          <a:ln w="9525" cap="flat">
            <a:solidFill>
              <a:srgbClr val="215968"/>
            </a:solidFill>
            <a:prstDash val="solid"/>
            <a:bevel/>
            <a:headEnd/>
            <a:tailEnd/>
          </a:ln>
        </xdr:spPr>
      </xdr:sp>
      <xdr:sp macro="" textlink="">
        <xdr:nvSpPr>
          <xdr:cNvPr id="20" name="Oval 13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79" y="107"/>
            <a:ext cx="5" cy="6"/>
          </a:xfrm>
          <a:prstGeom prst="ellipse">
            <a:avLst/>
          </a:pr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1" name="Freeform 1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SpPr>
            <a:spLocks noEditPoints="1"/>
          </xdr:cNvSpPr>
        </xdr:nvSpPr>
        <xdr:spPr bwMode="auto">
          <a:xfrm>
            <a:off x="78" y="106"/>
            <a:ext cx="6" cy="8"/>
          </a:xfrm>
          <a:custGeom>
            <a:avLst/>
            <a:gdLst>
              <a:gd name="T0" fmla="*/ 128 w 129"/>
              <a:gd name="T1" fmla="*/ 75 h 145"/>
              <a:gd name="T2" fmla="*/ 122 w 129"/>
              <a:gd name="T3" fmla="*/ 102 h 145"/>
              <a:gd name="T4" fmla="*/ 108 w 129"/>
              <a:gd name="T5" fmla="*/ 125 h 145"/>
              <a:gd name="T6" fmla="*/ 87 w 129"/>
              <a:gd name="T7" fmla="*/ 140 h 145"/>
              <a:gd name="T8" fmla="*/ 61 w 129"/>
              <a:gd name="T9" fmla="*/ 144 h 145"/>
              <a:gd name="T10" fmla="*/ 37 w 129"/>
              <a:gd name="T11" fmla="*/ 137 h 145"/>
              <a:gd name="T12" fmla="*/ 16 w 129"/>
              <a:gd name="T13" fmla="*/ 120 h 145"/>
              <a:gd name="T14" fmla="*/ 5 w 129"/>
              <a:gd name="T15" fmla="*/ 97 h 145"/>
              <a:gd name="T16" fmla="*/ 1 w 129"/>
              <a:gd name="T17" fmla="*/ 69 h 145"/>
              <a:gd name="T18" fmla="*/ 6 w 129"/>
              <a:gd name="T19" fmla="*/ 44 h 145"/>
              <a:gd name="T20" fmla="*/ 21 w 129"/>
              <a:gd name="T21" fmla="*/ 21 h 145"/>
              <a:gd name="T22" fmla="*/ 42 w 129"/>
              <a:gd name="T23" fmla="*/ 6 h 145"/>
              <a:gd name="T24" fmla="*/ 69 w 129"/>
              <a:gd name="T25" fmla="*/ 1 h 145"/>
              <a:gd name="T26" fmla="*/ 93 w 129"/>
              <a:gd name="T27" fmla="*/ 9 h 145"/>
              <a:gd name="T28" fmla="*/ 112 w 129"/>
              <a:gd name="T29" fmla="*/ 26 h 145"/>
              <a:gd name="T30" fmla="*/ 124 w 129"/>
              <a:gd name="T31" fmla="*/ 48 h 145"/>
              <a:gd name="T32" fmla="*/ 93 w 129"/>
              <a:gd name="T33" fmla="*/ 54 h 145"/>
              <a:gd name="T34" fmla="*/ 84 w 129"/>
              <a:gd name="T35" fmla="*/ 41 h 145"/>
              <a:gd name="T36" fmla="*/ 73 w 129"/>
              <a:gd name="T37" fmla="*/ 34 h 145"/>
              <a:gd name="T38" fmla="*/ 60 w 129"/>
              <a:gd name="T39" fmla="*/ 32 h 145"/>
              <a:gd name="T40" fmla="*/ 51 w 129"/>
              <a:gd name="T41" fmla="*/ 37 h 145"/>
              <a:gd name="T42" fmla="*/ 40 w 129"/>
              <a:gd name="T43" fmla="*/ 46 h 145"/>
              <a:gd name="T44" fmla="*/ 34 w 129"/>
              <a:gd name="T45" fmla="*/ 59 h 145"/>
              <a:gd name="T46" fmla="*/ 32 w 129"/>
              <a:gd name="T47" fmla="*/ 75 h 145"/>
              <a:gd name="T48" fmla="*/ 36 w 129"/>
              <a:gd name="T49" fmla="*/ 92 h 145"/>
              <a:gd name="T50" fmla="*/ 44 w 129"/>
              <a:gd name="T51" fmla="*/ 105 h 145"/>
              <a:gd name="T52" fmla="*/ 56 w 129"/>
              <a:gd name="T53" fmla="*/ 112 h 145"/>
              <a:gd name="T54" fmla="*/ 68 w 129"/>
              <a:gd name="T55" fmla="*/ 113 h 145"/>
              <a:gd name="T56" fmla="*/ 80 w 129"/>
              <a:gd name="T57" fmla="*/ 109 h 145"/>
              <a:gd name="T58" fmla="*/ 88 w 129"/>
              <a:gd name="T59" fmla="*/ 100 h 145"/>
              <a:gd name="T60" fmla="*/ 94 w 129"/>
              <a:gd name="T61" fmla="*/ 87 h 145"/>
              <a:gd name="T62" fmla="*/ 97 w 129"/>
              <a:gd name="T63" fmla="*/ 70 h 145"/>
              <a:gd name="T64" fmla="*/ 93 w 129"/>
              <a:gd name="T65" fmla="*/ 54 h 14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129" h="145">
                <a:moveTo>
                  <a:pt x="128" y="69"/>
                </a:moveTo>
                <a:cubicBezTo>
                  <a:pt x="129" y="71"/>
                  <a:pt x="129" y="73"/>
                  <a:pt x="128" y="75"/>
                </a:cubicBezTo>
                <a:lnTo>
                  <a:pt x="124" y="97"/>
                </a:lnTo>
                <a:cubicBezTo>
                  <a:pt x="124" y="99"/>
                  <a:pt x="123" y="101"/>
                  <a:pt x="122" y="102"/>
                </a:cubicBezTo>
                <a:lnTo>
                  <a:pt x="112" y="120"/>
                </a:lnTo>
                <a:cubicBezTo>
                  <a:pt x="111" y="122"/>
                  <a:pt x="110" y="124"/>
                  <a:pt x="108" y="125"/>
                </a:cubicBezTo>
                <a:lnTo>
                  <a:pt x="93" y="137"/>
                </a:lnTo>
                <a:cubicBezTo>
                  <a:pt x="92" y="139"/>
                  <a:pt x="89" y="140"/>
                  <a:pt x="87" y="140"/>
                </a:cubicBezTo>
                <a:lnTo>
                  <a:pt x="68" y="144"/>
                </a:lnTo>
                <a:cubicBezTo>
                  <a:pt x="66" y="145"/>
                  <a:pt x="63" y="145"/>
                  <a:pt x="61" y="144"/>
                </a:cubicBezTo>
                <a:lnTo>
                  <a:pt x="43" y="140"/>
                </a:lnTo>
                <a:cubicBezTo>
                  <a:pt x="41" y="140"/>
                  <a:pt x="39" y="139"/>
                  <a:pt x="37" y="137"/>
                </a:cubicBezTo>
                <a:lnTo>
                  <a:pt x="21" y="125"/>
                </a:lnTo>
                <a:cubicBezTo>
                  <a:pt x="19" y="124"/>
                  <a:pt x="18" y="122"/>
                  <a:pt x="16" y="120"/>
                </a:cubicBezTo>
                <a:lnTo>
                  <a:pt x="6" y="102"/>
                </a:lnTo>
                <a:cubicBezTo>
                  <a:pt x="6" y="101"/>
                  <a:pt x="5" y="99"/>
                  <a:pt x="5" y="97"/>
                </a:cubicBezTo>
                <a:lnTo>
                  <a:pt x="1" y="75"/>
                </a:lnTo>
                <a:cubicBezTo>
                  <a:pt x="0" y="73"/>
                  <a:pt x="0" y="71"/>
                  <a:pt x="1" y="69"/>
                </a:cubicBezTo>
                <a:lnTo>
                  <a:pt x="5" y="48"/>
                </a:lnTo>
                <a:cubicBezTo>
                  <a:pt x="5" y="47"/>
                  <a:pt x="6" y="45"/>
                  <a:pt x="6" y="44"/>
                </a:cubicBezTo>
                <a:lnTo>
                  <a:pt x="16" y="26"/>
                </a:lnTo>
                <a:cubicBezTo>
                  <a:pt x="18" y="24"/>
                  <a:pt x="19" y="22"/>
                  <a:pt x="21" y="21"/>
                </a:cubicBezTo>
                <a:lnTo>
                  <a:pt x="37" y="9"/>
                </a:lnTo>
                <a:cubicBezTo>
                  <a:pt x="38" y="7"/>
                  <a:pt x="40" y="7"/>
                  <a:pt x="42" y="6"/>
                </a:cubicBezTo>
                <a:lnTo>
                  <a:pt x="60" y="1"/>
                </a:lnTo>
                <a:cubicBezTo>
                  <a:pt x="63" y="0"/>
                  <a:pt x="66" y="0"/>
                  <a:pt x="69" y="1"/>
                </a:cubicBezTo>
                <a:lnTo>
                  <a:pt x="88" y="6"/>
                </a:lnTo>
                <a:cubicBezTo>
                  <a:pt x="90" y="7"/>
                  <a:pt x="92" y="8"/>
                  <a:pt x="93" y="9"/>
                </a:cubicBezTo>
                <a:lnTo>
                  <a:pt x="108" y="21"/>
                </a:lnTo>
                <a:cubicBezTo>
                  <a:pt x="110" y="22"/>
                  <a:pt x="111" y="24"/>
                  <a:pt x="112" y="26"/>
                </a:cubicBezTo>
                <a:lnTo>
                  <a:pt x="122" y="44"/>
                </a:lnTo>
                <a:cubicBezTo>
                  <a:pt x="123" y="45"/>
                  <a:pt x="124" y="47"/>
                  <a:pt x="124" y="48"/>
                </a:cubicBezTo>
                <a:lnTo>
                  <a:pt x="128" y="69"/>
                </a:lnTo>
                <a:close/>
                <a:moveTo>
                  <a:pt x="93" y="54"/>
                </a:moveTo>
                <a:lnTo>
                  <a:pt x="94" y="59"/>
                </a:lnTo>
                <a:lnTo>
                  <a:pt x="84" y="41"/>
                </a:lnTo>
                <a:lnTo>
                  <a:pt x="88" y="46"/>
                </a:lnTo>
                <a:lnTo>
                  <a:pt x="73" y="34"/>
                </a:lnTo>
                <a:lnTo>
                  <a:pt x="79" y="37"/>
                </a:lnTo>
                <a:lnTo>
                  <a:pt x="60" y="32"/>
                </a:lnTo>
                <a:lnTo>
                  <a:pt x="69" y="32"/>
                </a:lnTo>
                <a:lnTo>
                  <a:pt x="51" y="37"/>
                </a:lnTo>
                <a:lnTo>
                  <a:pt x="56" y="34"/>
                </a:lnTo>
                <a:lnTo>
                  <a:pt x="40" y="46"/>
                </a:lnTo>
                <a:lnTo>
                  <a:pt x="44" y="41"/>
                </a:lnTo>
                <a:lnTo>
                  <a:pt x="34" y="59"/>
                </a:lnTo>
                <a:lnTo>
                  <a:pt x="36" y="54"/>
                </a:lnTo>
                <a:lnTo>
                  <a:pt x="32" y="75"/>
                </a:lnTo>
                <a:lnTo>
                  <a:pt x="32" y="70"/>
                </a:lnTo>
                <a:lnTo>
                  <a:pt x="36" y="92"/>
                </a:lnTo>
                <a:lnTo>
                  <a:pt x="34" y="87"/>
                </a:lnTo>
                <a:lnTo>
                  <a:pt x="44" y="105"/>
                </a:lnTo>
                <a:lnTo>
                  <a:pt x="40" y="100"/>
                </a:lnTo>
                <a:lnTo>
                  <a:pt x="56" y="112"/>
                </a:lnTo>
                <a:lnTo>
                  <a:pt x="50" y="109"/>
                </a:lnTo>
                <a:lnTo>
                  <a:pt x="68" y="113"/>
                </a:lnTo>
                <a:lnTo>
                  <a:pt x="61" y="113"/>
                </a:lnTo>
                <a:lnTo>
                  <a:pt x="80" y="109"/>
                </a:lnTo>
                <a:lnTo>
                  <a:pt x="73" y="112"/>
                </a:lnTo>
                <a:lnTo>
                  <a:pt x="88" y="100"/>
                </a:lnTo>
                <a:lnTo>
                  <a:pt x="84" y="105"/>
                </a:lnTo>
                <a:lnTo>
                  <a:pt x="94" y="87"/>
                </a:lnTo>
                <a:lnTo>
                  <a:pt x="93" y="92"/>
                </a:lnTo>
                <a:lnTo>
                  <a:pt x="97" y="70"/>
                </a:lnTo>
                <a:lnTo>
                  <a:pt x="97" y="75"/>
                </a:lnTo>
                <a:lnTo>
                  <a:pt x="93" y="54"/>
                </a:lnTo>
                <a:close/>
              </a:path>
            </a:pathLst>
          </a:custGeom>
          <a:solidFill>
            <a:srgbClr val="215968"/>
          </a:solidFill>
          <a:ln w="9525" cap="flat">
            <a:solidFill>
              <a:srgbClr val="215968"/>
            </a:solidFill>
            <a:prstDash val="solid"/>
            <a:bevel/>
            <a:headEnd/>
            <a:tailEnd/>
          </a:ln>
        </xdr:spPr>
      </xdr:sp>
    </xdr:grpSp>
    <xdr:clientData/>
  </xdr:twoCellAnchor>
  <xdr:twoCellAnchor>
    <xdr:from>
      <xdr:col>22</xdr:col>
      <xdr:colOff>261937</xdr:colOff>
      <xdr:row>52</xdr:row>
      <xdr:rowOff>26195</xdr:rowOff>
    </xdr:from>
    <xdr:to>
      <xdr:col>23</xdr:col>
      <xdr:colOff>0</xdr:colOff>
      <xdr:row>57</xdr:row>
      <xdr:rowOff>71439</xdr:rowOff>
    </xdr:to>
    <xdr:grpSp>
      <xdr:nvGrpSpPr>
        <xdr:cNvPr id="22" name="CH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>
          <a:grpSpLocks noChangeAspect="1"/>
        </xdr:cNvGrpSpPr>
      </xdr:nvGrpSpPr>
      <xdr:grpSpPr bwMode="auto">
        <a:xfrm>
          <a:off x="20808723" y="9469552"/>
          <a:ext cx="1520598" cy="929708"/>
          <a:chOff x="55" y="33"/>
          <a:chExt cx="149" cy="100"/>
        </a:xfrm>
      </xdr:grpSpPr>
      <xdr:sp macro="" textlink="">
        <xdr:nvSpPr>
          <xdr:cNvPr id="23" name="AutoShape 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55" y="33"/>
            <a:ext cx="149" cy="1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pic>
        <xdr:nvPicPr>
          <xdr:cNvPr id="24" name="79 Imagen">
            <a:extLst>
              <a:ext uri="{FF2B5EF4-FFF2-40B4-BE49-F238E27FC236}">
                <a16:creationId xmlns:a16="http://schemas.microsoft.com/office/drawing/2014/main" id="{00000000-0008-0000-0800-00001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69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5" name="80 Imagen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69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6" name="Freeform 10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>
            <a:spLocks/>
          </xdr:cNvSpPr>
        </xdr:nvSpPr>
        <xdr:spPr bwMode="auto">
          <a:xfrm>
            <a:off x="66" y="90"/>
            <a:ext cx="30" cy="3"/>
          </a:xfrm>
          <a:custGeom>
            <a:avLst/>
            <a:gdLst>
              <a:gd name="T0" fmla="*/ 24 w 576"/>
              <a:gd name="T1" fmla="*/ 0 h 48"/>
              <a:gd name="T2" fmla="*/ 552 w 576"/>
              <a:gd name="T3" fmla="*/ 0 h 48"/>
              <a:gd name="T4" fmla="*/ 576 w 576"/>
              <a:gd name="T5" fmla="*/ 24 h 48"/>
              <a:gd name="T6" fmla="*/ 552 w 576"/>
              <a:gd name="T7" fmla="*/ 48 h 48"/>
              <a:gd name="T8" fmla="*/ 24 w 576"/>
              <a:gd name="T9" fmla="*/ 48 h 48"/>
              <a:gd name="T10" fmla="*/ 0 w 576"/>
              <a:gd name="T11" fmla="*/ 24 h 48"/>
              <a:gd name="T12" fmla="*/ 24 w 576"/>
              <a:gd name="T13" fmla="*/ 0 h 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576" h="48">
                <a:moveTo>
                  <a:pt x="24" y="0"/>
                </a:moveTo>
                <a:lnTo>
                  <a:pt x="552" y="0"/>
                </a:lnTo>
                <a:cubicBezTo>
                  <a:pt x="566" y="0"/>
                  <a:pt x="576" y="11"/>
                  <a:pt x="576" y="24"/>
                </a:cubicBezTo>
                <a:cubicBezTo>
                  <a:pt x="576" y="38"/>
                  <a:pt x="566" y="48"/>
                  <a:pt x="552" y="48"/>
                </a:cubicBezTo>
                <a:lnTo>
                  <a:pt x="24" y="48"/>
                </a:lnTo>
                <a:cubicBezTo>
                  <a:pt x="11" y="48"/>
                  <a:pt x="0" y="38"/>
                  <a:pt x="0" y="24"/>
                </a:cubicBezTo>
                <a:cubicBezTo>
                  <a:pt x="0" y="11"/>
                  <a:pt x="11" y="0"/>
                  <a:pt x="24" y="0"/>
                </a:cubicBezTo>
                <a:close/>
              </a:path>
            </a:pathLst>
          </a:custGeom>
          <a:solidFill>
            <a:srgbClr val="632523"/>
          </a:solidFill>
          <a:ln w="9525" cap="flat">
            <a:solidFill>
              <a:srgbClr val="632523"/>
            </a:solidFill>
            <a:prstDash val="solid"/>
            <a:bevel/>
            <a:headEnd/>
            <a:tailEnd/>
          </a:ln>
        </xdr:spPr>
      </xdr:sp>
      <xdr:sp macro="" textlink="">
        <xdr:nvSpPr>
          <xdr:cNvPr id="27" name="Freeform 12">
            <a:extLst>
              <a:ext uri="{FF2B5EF4-FFF2-40B4-BE49-F238E27FC236}">
                <a16:creationId xmlns:a16="http://schemas.microsoft.com/office/drawing/2014/main" id="{00000000-0008-0000-0800-00001B000000}"/>
              </a:ext>
            </a:extLst>
          </xdr:cNvPr>
          <xdr:cNvSpPr>
            <a:spLocks noEditPoints="1"/>
          </xdr:cNvSpPr>
        </xdr:nvSpPr>
        <xdr:spPr bwMode="auto">
          <a:xfrm>
            <a:off x="66" y="109"/>
            <a:ext cx="30" cy="2"/>
          </a:xfrm>
          <a:custGeom>
            <a:avLst/>
            <a:gdLst>
              <a:gd name="T0" fmla="*/ 16 w 576"/>
              <a:gd name="T1" fmla="*/ 0 h 32"/>
              <a:gd name="T2" fmla="*/ 80 w 576"/>
              <a:gd name="T3" fmla="*/ 0 h 32"/>
              <a:gd name="T4" fmla="*/ 96 w 576"/>
              <a:gd name="T5" fmla="*/ 16 h 32"/>
              <a:gd name="T6" fmla="*/ 80 w 576"/>
              <a:gd name="T7" fmla="*/ 32 h 32"/>
              <a:gd name="T8" fmla="*/ 16 w 576"/>
              <a:gd name="T9" fmla="*/ 32 h 32"/>
              <a:gd name="T10" fmla="*/ 0 w 576"/>
              <a:gd name="T11" fmla="*/ 16 h 32"/>
              <a:gd name="T12" fmla="*/ 16 w 576"/>
              <a:gd name="T13" fmla="*/ 0 h 32"/>
              <a:gd name="T14" fmla="*/ 144 w 576"/>
              <a:gd name="T15" fmla="*/ 0 h 32"/>
              <a:gd name="T16" fmla="*/ 208 w 576"/>
              <a:gd name="T17" fmla="*/ 0 h 32"/>
              <a:gd name="T18" fmla="*/ 224 w 576"/>
              <a:gd name="T19" fmla="*/ 16 h 32"/>
              <a:gd name="T20" fmla="*/ 208 w 576"/>
              <a:gd name="T21" fmla="*/ 32 h 32"/>
              <a:gd name="T22" fmla="*/ 144 w 576"/>
              <a:gd name="T23" fmla="*/ 32 h 32"/>
              <a:gd name="T24" fmla="*/ 128 w 576"/>
              <a:gd name="T25" fmla="*/ 16 h 32"/>
              <a:gd name="T26" fmla="*/ 144 w 576"/>
              <a:gd name="T27" fmla="*/ 0 h 32"/>
              <a:gd name="T28" fmla="*/ 272 w 576"/>
              <a:gd name="T29" fmla="*/ 0 h 32"/>
              <a:gd name="T30" fmla="*/ 336 w 576"/>
              <a:gd name="T31" fmla="*/ 0 h 32"/>
              <a:gd name="T32" fmla="*/ 352 w 576"/>
              <a:gd name="T33" fmla="*/ 16 h 32"/>
              <a:gd name="T34" fmla="*/ 336 w 576"/>
              <a:gd name="T35" fmla="*/ 32 h 32"/>
              <a:gd name="T36" fmla="*/ 272 w 576"/>
              <a:gd name="T37" fmla="*/ 32 h 32"/>
              <a:gd name="T38" fmla="*/ 256 w 576"/>
              <a:gd name="T39" fmla="*/ 16 h 32"/>
              <a:gd name="T40" fmla="*/ 272 w 576"/>
              <a:gd name="T41" fmla="*/ 0 h 32"/>
              <a:gd name="T42" fmla="*/ 400 w 576"/>
              <a:gd name="T43" fmla="*/ 0 h 32"/>
              <a:gd name="T44" fmla="*/ 464 w 576"/>
              <a:gd name="T45" fmla="*/ 0 h 32"/>
              <a:gd name="T46" fmla="*/ 480 w 576"/>
              <a:gd name="T47" fmla="*/ 16 h 32"/>
              <a:gd name="T48" fmla="*/ 464 w 576"/>
              <a:gd name="T49" fmla="*/ 32 h 32"/>
              <a:gd name="T50" fmla="*/ 400 w 576"/>
              <a:gd name="T51" fmla="*/ 32 h 32"/>
              <a:gd name="T52" fmla="*/ 384 w 576"/>
              <a:gd name="T53" fmla="*/ 16 h 32"/>
              <a:gd name="T54" fmla="*/ 400 w 576"/>
              <a:gd name="T55" fmla="*/ 0 h 32"/>
              <a:gd name="T56" fmla="*/ 528 w 576"/>
              <a:gd name="T57" fmla="*/ 0 h 32"/>
              <a:gd name="T58" fmla="*/ 560 w 576"/>
              <a:gd name="T59" fmla="*/ 0 h 32"/>
              <a:gd name="T60" fmla="*/ 576 w 576"/>
              <a:gd name="T61" fmla="*/ 16 h 32"/>
              <a:gd name="T62" fmla="*/ 560 w 576"/>
              <a:gd name="T63" fmla="*/ 32 h 32"/>
              <a:gd name="T64" fmla="*/ 528 w 576"/>
              <a:gd name="T65" fmla="*/ 32 h 32"/>
              <a:gd name="T66" fmla="*/ 512 w 576"/>
              <a:gd name="T67" fmla="*/ 16 h 32"/>
              <a:gd name="T68" fmla="*/ 528 w 576"/>
              <a:gd name="T69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76" h="32">
                <a:moveTo>
                  <a:pt x="16" y="0"/>
                </a:moveTo>
                <a:lnTo>
                  <a:pt x="80" y="0"/>
                </a:lnTo>
                <a:cubicBezTo>
                  <a:pt x="89" y="0"/>
                  <a:pt x="96" y="8"/>
                  <a:pt x="96" y="16"/>
                </a:cubicBezTo>
                <a:cubicBezTo>
                  <a:pt x="96" y="25"/>
                  <a:pt x="89" y="32"/>
                  <a:pt x="80" y="32"/>
                </a:cubicBezTo>
                <a:lnTo>
                  <a:pt x="16" y="32"/>
                </a:lnTo>
                <a:cubicBezTo>
                  <a:pt x="8" y="32"/>
                  <a:pt x="0" y="25"/>
                  <a:pt x="0" y="16"/>
                </a:cubicBezTo>
                <a:cubicBezTo>
                  <a:pt x="0" y="8"/>
                  <a:pt x="8" y="0"/>
                  <a:pt x="16" y="0"/>
                </a:cubicBezTo>
                <a:close/>
                <a:moveTo>
                  <a:pt x="144" y="0"/>
                </a:moveTo>
                <a:lnTo>
                  <a:pt x="208" y="0"/>
                </a:lnTo>
                <a:cubicBezTo>
                  <a:pt x="217" y="0"/>
                  <a:pt x="224" y="8"/>
                  <a:pt x="224" y="16"/>
                </a:cubicBezTo>
                <a:cubicBezTo>
                  <a:pt x="224" y="25"/>
                  <a:pt x="217" y="32"/>
                  <a:pt x="208" y="32"/>
                </a:cubicBezTo>
                <a:lnTo>
                  <a:pt x="144" y="32"/>
                </a:lnTo>
                <a:cubicBezTo>
                  <a:pt x="136" y="32"/>
                  <a:pt x="128" y="25"/>
                  <a:pt x="128" y="16"/>
                </a:cubicBezTo>
                <a:cubicBezTo>
                  <a:pt x="128" y="8"/>
                  <a:pt x="136" y="0"/>
                  <a:pt x="144" y="0"/>
                </a:cubicBezTo>
                <a:close/>
                <a:moveTo>
                  <a:pt x="272" y="0"/>
                </a:moveTo>
                <a:lnTo>
                  <a:pt x="336" y="0"/>
                </a:lnTo>
                <a:cubicBezTo>
                  <a:pt x="345" y="0"/>
                  <a:pt x="352" y="8"/>
                  <a:pt x="352" y="16"/>
                </a:cubicBezTo>
                <a:cubicBezTo>
                  <a:pt x="352" y="25"/>
                  <a:pt x="345" y="32"/>
                  <a:pt x="336" y="32"/>
                </a:cubicBezTo>
                <a:lnTo>
                  <a:pt x="272" y="32"/>
                </a:lnTo>
                <a:cubicBezTo>
                  <a:pt x="264" y="32"/>
                  <a:pt x="256" y="25"/>
                  <a:pt x="256" y="16"/>
                </a:cubicBezTo>
                <a:cubicBezTo>
                  <a:pt x="256" y="8"/>
                  <a:pt x="264" y="0"/>
                  <a:pt x="272" y="0"/>
                </a:cubicBezTo>
                <a:close/>
                <a:moveTo>
                  <a:pt x="400" y="0"/>
                </a:moveTo>
                <a:lnTo>
                  <a:pt x="464" y="0"/>
                </a:lnTo>
                <a:cubicBezTo>
                  <a:pt x="473" y="0"/>
                  <a:pt x="480" y="8"/>
                  <a:pt x="480" y="16"/>
                </a:cubicBezTo>
                <a:cubicBezTo>
                  <a:pt x="480" y="25"/>
                  <a:pt x="473" y="32"/>
                  <a:pt x="464" y="32"/>
                </a:cubicBezTo>
                <a:lnTo>
                  <a:pt x="400" y="32"/>
                </a:lnTo>
                <a:cubicBezTo>
                  <a:pt x="392" y="32"/>
                  <a:pt x="384" y="25"/>
                  <a:pt x="384" y="16"/>
                </a:cubicBezTo>
                <a:cubicBezTo>
                  <a:pt x="384" y="8"/>
                  <a:pt x="392" y="0"/>
                  <a:pt x="400" y="0"/>
                </a:cubicBezTo>
                <a:close/>
                <a:moveTo>
                  <a:pt x="528" y="0"/>
                </a:moveTo>
                <a:lnTo>
                  <a:pt x="560" y="0"/>
                </a:lnTo>
                <a:cubicBezTo>
                  <a:pt x="569" y="0"/>
                  <a:pt x="576" y="8"/>
                  <a:pt x="576" y="16"/>
                </a:cubicBezTo>
                <a:cubicBezTo>
                  <a:pt x="576" y="25"/>
                  <a:pt x="569" y="32"/>
                  <a:pt x="560" y="32"/>
                </a:cubicBezTo>
                <a:lnTo>
                  <a:pt x="528" y="32"/>
                </a:lnTo>
                <a:cubicBezTo>
                  <a:pt x="520" y="32"/>
                  <a:pt x="512" y="25"/>
                  <a:pt x="512" y="16"/>
                </a:cubicBezTo>
                <a:cubicBezTo>
                  <a:pt x="512" y="8"/>
                  <a:pt x="520" y="0"/>
                  <a:pt x="528" y="0"/>
                </a:cubicBezTo>
                <a:close/>
              </a:path>
            </a:pathLst>
          </a:custGeom>
          <a:solidFill>
            <a:srgbClr val="215968"/>
          </a:solidFill>
          <a:ln w="9525" cap="flat">
            <a:solidFill>
              <a:srgbClr val="215968"/>
            </a:solidFill>
            <a:prstDash val="solid"/>
            <a:bevel/>
            <a:headEnd/>
            <a:tailEnd/>
          </a:ln>
        </xdr:spPr>
      </xdr:sp>
      <xdr:sp macro="" textlink="">
        <xdr:nvSpPr>
          <xdr:cNvPr id="28" name="Oval 13">
            <a:extLst>
              <a:ext uri="{FF2B5EF4-FFF2-40B4-BE49-F238E27FC236}">
                <a16:creationId xmlns:a16="http://schemas.microsoft.com/office/drawing/2014/main" id="{00000000-0008-0000-08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79" y="107"/>
            <a:ext cx="5" cy="6"/>
          </a:xfrm>
          <a:prstGeom prst="ellipse">
            <a:avLst/>
          </a:pr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9" name="Freeform 14">
            <a:extLst>
              <a:ext uri="{FF2B5EF4-FFF2-40B4-BE49-F238E27FC236}">
                <a16:creationId xmlns:a16="http://schemas.microsoft.com/office/drawing/2014/main" id="{00000000-0008-0000-0800-00001D000000}"/>
              </a:ext>
            </a:extLst>
          </xdr:cNvPr>
          <xdr:cNvSpPr>
            <a:spLocks noEditPoints="1"/>
          </xdr:cNvSpPr>
        </xdr:nvSpPr>
        <xdr:spPr bwMode="auto">
          <a:xfrm>
            <a:off x="78" y="106"/>
            <a:ext cx="6" cy="8"/>
          </a:xfrm>
          <a:custGeom>
            <a:avLst/>
            <a:gdLst>
              <a:gd name="T0" fmla="*/ 128 w 129"/>
              <a:gd name="T1" fmla="*/ 75 h 145"/>
              <a:gd name="T2" fmla="*/ 122 w 129"/>
              <a:gd name="T3" fmla="*/ 102 h 145"/>
              <a:gd name="T4" fmla="*/ 108 w 129"/>
              <a:gd name="T5" fmla="*/ 125 h 145"/>
              <a:gd name="T6" fmla="*/ 87 w 129"/>
              <a:gd name="T7" fmla="*/ 140 h 145"/>
              <a:gd name="T8" fmla="*/ 61 w 129"/>
              <a:gd name="T9" fmla="*/ 144 h 145"/>
              <a:gd name="T10" fmla="*/ 37 w 129"/>
              <a:gd name="T11" fmla="*/ 137 h 145"/>
              <a:gd name="T12" fmla="*/ 16 w 129"/>
              <a:gd name="T13" fmla="*/ 120 h 145"/>
              <a:gd name="T14" fmla="*/ 5 w 129"/>
              <a:gd name="T15" fmla="*/ 97 h 145"/>
              <a:gd name="T16" fmla="*/ 1 w 129"/>
              <a:gd name="T17" fmla="*/ 69 h 145"/>
              <a:gd name="T18" fmla="*/ 6 w 129"/>
              <a:gd name="T19" fmla="*/ 44 h 145"/>
              <a:gd name="T20" fmla="*/ 21 w 129"/>
              <a:gd name="T21" fmla="*/ 21 h 145"/>
              <a:gd name="T22" fmla="*/ 42 w 129"/>
              <a:gd name="T23" fmla="*/ 6 h 145"/>
              <a:gd name="T24" fmla="*/ 69 w 129"/>
              <a:gd name="T25" fmla="*/ 1 h 145"/>
              <a:gd name="T26" fmla="*/ 93 w 129"/>
              <a:gd name="T27" fmla="*/ 9 h 145"/>
              <a:gd name="T28" fmla="*/ 112 w 129"/>
              <a:gd name="T29" fmla="*/ 26 h 145"/>
              <a:gd name="T30" fmla="*/ 124 w 129"/>
              <a:gd name="T31" fmla="*/ 48 h 145"/>
              <a:gd name="T32" fmla="*/ 93 w 129"/>
              <a:gd name="T33" fmla="*/ 54 h 145"/>
              <a:gd name="T34" fmla="*/ 84 w 129"/>
              <a:gd name="T35" fmla="*/ 41 h 145"/>
              <a:gd name="T36" fmla="*/ 73 w 129"/>
              <a:gd name="T37" fmla="*/ 34 h 145"/>
              <a:gd name="T38" fmla="*/ 60 w 129"/>
              <a:gd name="T39" fmla="*/ 32 h 145"/>
              <a:gd name="T40" fmla="*/ 51 w 129"/>
              <a:gd name="T41" fmla="*/ 37 h 145"/>
              <a:gd name="T42" fmla="*/ 40 w 129"/>
              <a:gd name="T43" fmla="*/ 46 h 145"/>
              <a:gd name="T44" fmla="*/ 34 w 129"/>
              <a:gd name="T45" fmla="*/ 59 h 145"/>
              <a:gd name="T46" fmla="*/ 32 w 129"/>
              <a:gd name="T47" fmla="*/ 75 h 145"/>
              <a:gd name="T48" fmla="*/ 36 w 129"/>
              <a:gd name="T49" fmla="*/ 92 h 145"/>
              <a:gd name="T50" fmla="*/ 44 w 129"/>
              <a:gd name="T51" fmla="*/ 105 h 145"/>
              <a:gd name="T52" fmla="*/ 56 w 129"/>
              <a:gd name="T53" fmla="*/ 112 h 145"/>
              <a:gd name="T54" fmla="*/ 68 w 129"/>
              <a:gd name="T55" fmla="*/ 113 h 145"/>
              <a:gd name="T56" fmla="*/ 80 w 129"/>
              <a:gd name="T57" fmla="*/ 109 h 145"/>
              <a:gd name="T58" fmla="*/ 88 w 129"/>
              <a:gd name="T59" fmla="*/ 100 h 145"/>
              <a:gd name="T60" fmla="*/ 94 w 129"/>
              <a:gd name="T61" fmla="*/ 87 h 145"/>
              <a:gd name="T62" fmla="*/ 97 w 129"/>
              <a:gd name="T63" fmla="*/ 70 h 145"/>
              <a:gd name="T64" fmla="*/ 93 w 129"/>
              <a:gd name="T65" fmla="*/ 54 h 14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129" h="145">
                <a:moveTo>
                  <a:pt x="128" y="69"/>
                </a:moveTo>
                <a:cubicBezTo>
                  <a:pt x="129" y="71"/>
                  <a:pt x="129" y="73"/>
                  <a:pt x="128" y="75"/>
                </a:cubicBezTo>
                <a:lnTo>
                  <a:pt x="124" y="97"/>
                </a:lnTo>
                <a:cubicBezTo>
                  <a:pt x="124" y="99"/>
                  <a:pt x="123" y="101"/>
                  <a:pt x="122" y="102"/>
                </a:cubicBezTo>
                <a:lnTo>
                  <a:pt x="112" y="120"/>
                </a:lnTo>
                <a:cubicBezTo>
                  <a:pt x="111" y="122"/>
                  <a:pt x="110" y="124"/>
                  <a:pt x="108" y="125"/>
                </a:cubicBezTo>
                <a:lnTo>
                  <a:pt x="93" y="137"/>
                </a:lnTo>
                <a:cubicBezTo>
                  <a:pt x="92" y="139"/>
                  <a:pt x="89" y="140"/>
                  <a:pt x="87" y="140"/>
                </a:cubicBezTo>
                <a:lnTo>
                  <a:pt x="68" y="144"/>
                </a:lnTo>
                <a:cubicBezTo>
                  <a:pt x="66" y="145"/>
                  <a:pt x="63" y="145"/>
                  <a:pt x="61" y="144"/>
                </a:cubicBezTo>
                <a:lnTo>
                  <a:pt x="43" y="140"/>
                </a:lnTo>
                <a:cubicBezTo>
                  <a:pt x="41" y="140"/>
                  <a:pt x="39" y="139"/>
                  <a:pt x="37" y="137"/>
                </a:cubicBezTo>
                <a:lnTo>
                  <a:pt x="21" y="125"/>
                </a:lnTo>
                <a:cubicBezTo>
                  <a:pt x="19" y="124"/>
                  <a:pt x="18" y="122"/>
                  <a:pt x="16" y="120"/>
                </a:cubicBezTo>
                <a:lnTo>
                  <a:pt x="6" y="102"/>
                </a:lnTo>
                <a:cubicBezTo>
                  <a:pt x="6" y="101"/>
                  <a:pt x="5" y="99"/>
                  <a:pt x="5" y="97"/>
                </a:cubicBezTo>
                <a:lnTo>
                  <a:pt x="1" y="75"/>
                </a:lnTo>
                <a:cubicBezTo>
                  <a:pt x="0" y="73"/>
                  <a:pt x="0" y="71"/>
                  <a:pt x="1" y="69"/>
                </a:cubicBezTo>
                <a:lnTo>
                  <a:pt x="5" y="48"/>
                </a:lnTo>
                <a:cubicBezTo>
                  <a:pt x="5" y="47"/>
                  <a:pt x="6" y="45"/>
                  <a:pt x="6" y="44"/>
                </a:cubicBezTo>
                <a:lnTo>
                  <a:pt x="16" y="26"/>
                </a:lnTo>
                <a:cubicBezTo>
                  <a:pt x="18" y="24"/>
                  <a:pt x="19" y="22"/>
                  <a:pt x="21" y="21"/>
                </a:cubicBezTo>
                <a:lnTo>
                  <a:pt x="37" y="9"/>
                </a:lnTo>
                <a:cubicBezTo>
                  <a:pt x="38" y="7"/>
                  <a:pt x="40" y="7"/>
                  <a:pt x="42" y="6"/>
                </a:cubicBezTo>
                <a:lnTo>
                  <a:pt x="60" y="1"/>
                </a:lnTo>
                <a:cubicBezTo>
                  <a:pt x="63" y="0"/>
                  <a:pt x="66" y="0"/>
                  <a:pt x="69" y="1"/>
                </a:cubicBezTo>
                <a:lnTo>
                  <a:pt x="88" y="6"/>
                </a:lnTo>
                <a:cubicBezTo>
                  <a:pt x="90" y="7"/>
                  <a:pt x="92" y="8"/>
                  <a:pt x="93" y="9"/>
                </a:cubicBezTo>
                <a:lnTo>
                  <a:pt x="108" y="21"/>
                </a:lnTo>
                <a:cubicBezTo>
                  <a:pt x="110" y="22"/>
                  <a:pt x="111" y="24"/>
                  <a:pt x="112" y="26"/>
                </a:cubicBezTo>
                <a:lnTo>
                  <a:pt x="122" y="44"/>
                </a:lnTo>
                <a:cubicBezTo>
                  <a:pt x="123" y="45"/>
                  <a:pt x="124" y="47"/>
                  <a:pt x="124" y="48"/>
                </a:cubicBezTo>
                <a:lnTo>
                  <a:pt x="128" y="69"/>
                </a:lnTo>
                <a:close/>
                <a:moveTo>
                  <a:pt x="93" y="54"/>
                </a:moveTo>
                <a:lnTo>
                  <a:pt x="94" y="59"/>
                </a:lnTo>
                <a:lnTo>
                  <a:pt x="84" y="41"/>
                </a:lnTo>
                <a:lnTo>
                  <a:pt x="88" y="46"/>
                </a:lnTo>
                <a:lnTo>
                  <a:pt x="73" y="34"/>
                </a:lnTo>
                <a:lnTo>
                  <a:pt x="79" y="37"/>
                </a:lnTo>
                <a:lnTo>
                  <a:pt x="60" y="32"/>
                </a:lnTo>
                <a:lnTo>
                  <a:pt x="69" y="32"/>
                </a:lnTo>
                <a:lnTo>
                  <a:pt x="51" y="37"/>
                </a:lnTo>
                <a:lnTo>
                  <a:pt x="56" y="34"/>
                </a:lnTo>
                <a:lnTo>
                  <a:pt x="40" y="46"/>
                </a:lnTo>
                <a:lnTo>
                  <a:pt x="44" y="41"/>
                </a:lnTo>
                <a:lnTo>
                  <a:pt x="34" y="59"/>
                </a:lnTo>
                <a:lnTo>
                  <a:pt x="36" y="54"/>
                </a:lnTo>
                <a:lnTo>
                  <a:pt x="32" y="75"/>
                </a:lnTo>
                <a:lnTo>
                  <a:pt x="32" y="70"/>
                </a:lnTo>
                <a:lnTo>
                  <a:pt x="36" y="92"/>
                </a:lnTo>
                <a:lnTo>
                  <a:pt x="34" y="87"/>
                </a:lnTo>
                <a:lnTo>
                  <a:pt x="44" y="105"/>
                </a:lnTo>
                <a:lnTo>
                  <a:pt x="40" y="100"/>
                </a:lnTo>
                <a:lnTo>
                  <a:pt x="56" y="112"/>
                </a:lnTo>
                <a:lnTo>
                  <a:pt x="50" y="109"/>
                </a:lnTo>
                <a:lnTo>
                  <a:pt x="68" y="113"/>
                </a:lnTo>
                <a:lnTo>
                  <a:pt x="61" y="113"/>
                </a:lnTo>
                <a:lnTo>
                  <a:pt x="80" y="109"/>
                </a:lnTo>
                <a:lnTo>
                  <a:pt x="73" y="112"/>
                </a:lnTo>
                <a:lnTo>
                  <a:pt x="88" y="100"/>
                </a:lnTo>
                <a:lnTo>
                  <a:pt x="84" y="105"/>
                </a:lnTo>
                <a:lnTo>
                  <a:pt x="94" y="87"/>
                </a:lnTo>
                <a:lnTo>
                  <a:pt x="93" y="92"/>
                </a:lnTo>
                <a:lnTo>
                  <a:pt x="97" y="70"/>
                </a:lnTo>
                <a:lnTo>
                  <a:pt x="97" y="75"/>
                </a:lnTo>
                <a:lnTo>
                  <a:pt x="93" y="54"/>
                </a:lnTo>
                <a:close/>
              </a:path>
            </a:pathLst>
          </a:custGeom>
          <a:solidFill>
            <a:srgbClr val="215968"/>
          </a:solidFill>
          <a:ln w="9525" cap="flat">
            <a:solidFill>
              <a:srgbClr val="215968"/>
            </a:solidFill>
            <a:prstDash val="solid"/>
            <a:bevel/>
            <a:headEnd/>
            <a:tailEnd/>
          </a:ln>
        </xdr:spPr>
      </xdr:sp>
    </xdr:grpSp>
    <xdr:clientData/>
  </xdr:twoCellAnchor>
  <xdr:twoCellAnchor>
    <xdr:from>
      <xdr:col>20</xdr:col>
      <xdr:colOff>148166</xdr:colOff>
      <xdr:row>52</xdr:row>
      <xdr:rowOff>84667</xdr:rowOff>
    </xdr:from>
    <xdr:to>
      <xdr:col>22</xdr:col>
      <xdr:colOff>74083</xdr:colOff>
      <xdr:row>57</xdr:row>
      <xdr:rowOff>52916</xdr:rowOff>
    </xdr:to>
    <xdr:graphicFrame macro="">
      <xdr:nvGraphicFramePr>
        <xdr:cNvPr id="30" name="DemoT3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137584</xdr:colOff>
      <xdr:row>53</xdr:row>
      <xdr:rowOff>52916</xdr:rowOff>
    </xdr:from>
    <xdr:to>
      <xdr:col>23</xdr:col>
      <xdr:colOff>0</xdr:colOff>
      <xdr:row>58</xdr:row>
      <xdr:rowOff>21166</xdr:rowOff>
    </xdr:to>
    <xdr:graphicFrame macro="">
      <xdr:nvGraphicFramePr>
        <xdr:cNvPr id="31" name="DemoT3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640728</xdr:colOff>
      <xdr:row>20</xdr:row>
      <xdr:rowOff>75193</xdr:rowOff>
    </xdr:from>
    <xdr:to>
      <xdr:col>14</xdr:col>
      <xdr:colOff>443878</xdr:colOff>
      <xdr:row>26</xdr:row>
      <xdr:rowOff>68843</xdr:rowOff>
    </xdr:to>
    <xdr:sp macro="" textlink="">
      <xdr:nvSpPr>
        <xdr:cNvPr id="8" name="banner1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7794003" y="3742318"/>
          <a:ext cx="2032000" cy="10795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0" i="0">
              <a:solidFill>
                <a:srgbClr val="000000"/>
              </a:solidFill>
              <a:latin typeface="Arial" panose="020B0604020202020204" pitchFamily="34" charset="0"/>
            </a:rPr>
            <a:t>El hecho de que puedo armonizar el trabajo con mi vida personal</a:t>
          </a:r>
        </a:p>
      </xdr:txBody>
    </xdr:sp>
    <xdr:clientData/>
  </xdr:twoCellAnchor>
  <xdr:twoCellAnchor>
    <xdr:from>
      <xdr:col>11</xdr:col>
      <xdr:colOff>208926</xdr:colOff>
      <xdr:row>37</xdr:row>
      <xdr:rowOff>70722</xdr:rowOff>
    </xdr:from>
    <xdr:to>
      <xdr:col>14</xdr:col>
      <xdr:colOff>12076</xdr:colOff>
      <xdr:row>42</xdr:row>
      <xdr:rowOff>29447</xdr:rowOff>
    </xdr:to>
    <xdr:sp macro="" textlink="">
      <xdr:nvSpPr>
        <xdr:cNvPr id="10" name="banner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7362201" y="6814422"/>
          <a:ext cx="2032000" cy="8636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0" i="0">
              <a:solidFill>
                <a:srgbClr val="000000"/>
              </a:solidFill>
              <a:latin typeface="Arial" panose="020B0604020202020204" pitchFamily="34" charset="0"/>
            </a:rPr>
            <a:t>La remuneración y los beneficios que me brinda la empresa</a:t>
          </a:r>
        </a:p>
      </xdr:txBody>
    </xdr:sp>
    <xdr:clientData/>
  </xdr:twoCellAnchor>
  <xdr:twoCellAnchor>
    <xdr:from>
      <xdr:col>7</xdr:col>
      <xdr:colOff>169129</xdr:colOff>
      <xdr:row>40</xdr:row>
      <xdr:rowOff>28518</xdr:rowOff>
    </xdr:from>
    <xdr:to>
      <xdr:col>9</xdr:col>
      <xdr:colOff>715229</xdr:colOff>
      <xdr:row>44</xdr:row>
      <xdr:rowOff>168218</xdr:rowOff>
    </xdr:to>
    <xdr:sp macro="" textlink="">
      <xdr:nvSpPr>
        <xdr:cNvPr id="32" name="banner3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4750654" y="7315143"/>
          <a:ext cx="2032000" cy="8636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0" i="0">
              <a:solidFill>
                <a:srgbClr val="000000"/>
              </a:solidFill>
              <a:latin typeface="Arial" panose="020B0604020202020204" pitchFamily="34" charset="0"/>
            </a:rPr>
            <a:t>El saber que el despido es un recurso de última instancia</a:t>
          </a:r>
        </a:p>
      </xdr:txBody>
    </xdr:sp>
    <xdr:clientData/>
  </xdr:twoCellAnchor>
  <xdr:twoCellAnchor>
    <xdr:from>
      <xdr:col>2</xdr:col>
      <xdr:colOff>483356</xdr:colOff>
      <xdr:row>32</xdr:row>
      <xdr:rowOff>10977</xdr:rowOff>
    </xdr:from>
    <xdr:to>
      <xdr:col>5</xdr:col>
      <xdr:colOff>581781</xdr:colOff>
      <xdr:row>36</xdr:row>
      <xdr:rowOff>150677</xdr:rowOff>
    </xdr:to>
    <xdr:sp macro="" textlink="">
      <xdr:nvSpPr>
        <xdr:cNvPr id="33" name="banner4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1645406" y="5849802"/>
          <a:ext cx="2032000" cy="8636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0" i="0">
              <a:solidFill>
                <a:srgbClr val="000000"/>
              </a:solidFill>
              <a:latin typeface="Arial" panose="020B0604020202020204" pitchFamily="34" charset="0"/>
            </a:rPr>
            <a:t>La oportunidad de crecer y desarrollarme profesionalmente</a:t>
          </a:r>
        </a:p>
      </xdr:txBody>
    </xdr:sp>
    <xdr:clientData/>
  </xdr:twoCellAnchor>
  <xdr:twoCellAnchor>
    <xdr:from>
      <xdr:col>5</xdr:col>
      <xdr:colOff>356382</xdr:colOff>
      <xdr:row>14</xdr:row>
      <xdr:rowOff>45544</xdr:rowOff>
    </xdr:from>
    <xdr:to>
      <xdr:col>8</xdr:col>
      <xdr:colOff>159532</xdr:colOff>
      <xdr:row>16</xdr:row>
      <xdr:rowOff>115394</xdr:rowOff>
    </xdr:to>
    <xdr:sp macro="" textlink="">
      <xdr:nvSpPr>
        <xdr:cNvPr id="34" name="banner5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3452007" y="2626819"/>
          <a:ext cx="2032000" cy="431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0" i="0">
              <a:solidFill>
                <a:srgbClr val="000000"/>
              </a:solidFill>
              <a:latin typeface="Arial" panose="020B0604020202020204" pitchFamily="34" charset="0"/>
            </a:rPr>
            <a:t>Otro motivo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31</xdr:row>
          <xdr:rowOff>161925</xdr:rowOff>
        </xdr:from>
        <xdr:to>
          <xdr:col>5</xdr:col>
          <xdr:colOff>390525</xdr:colOff>
          <xdr:row>33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Corregir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508000</xdr:colOff>
      <xdr:row>33</xdr:row>
      <xdr:rowOff>232833</xdr:rowOff>
    </xdr:from>
    <xdr:to>
      <xdr:col>3</xdr:col>
      <xdr:colOff>2561167</xdr:colOff>
      <xdr:row>53</xdr:row>
      <xdr:rowOff>52917</xdr:rowOff>
    </xdr:to>
    <xdr:graphicFrame macro="">
      <xdr:nvGraphicFramePr>
        <xdr:cNvPr id="32" name="DemoG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671</xdr:row>
      <xdr:rowOff>38100</xdr:rowOff>
    </xdr:from>
    <xdr:to>
      <xdr:col>3</xdr:col>
      <xdr:colOff>2988469</xdr:colOff>
      <xdr:row>692</xdr:row>
      <xdr:rowOff>61913</xdr:rowOff>
    </xdr:to>
    <xdr:graphicFrame macro="">
      <xdr:nvGraphicFramePr>
        <xdr:cNvPr id="63" name="DemoG30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508000</xdr:colOff>
      <xdr:row>55</xdr:row>
      <xdr:rowOff>232833</xdr:rowOff>
    </xdr:from>
    <xdr:to>
      <xdr:col>3</xdr:col>
      <xdr:colOff>2561167</xdr:colOff>
      <xdr:row>75</xdr:row>
      <xdr:rowOff>52917</xdr:rowOff>
    </xdr:to>
    <xdr:graphicFrame macro="">
      <xdr:nvGraphicFramePr>
        <xdr:cNvPr id="65" name="DemoG2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508000</xdr:colOff>
      <xdr:row>77</xdr:row>
      <xdr:rowOff>232833</xdr:rowOff>
    </xdr:from>
    <xdr:to>
      <xdr:col>3</xdr:col>
      <xdr:colOff>2561167</xdr:colOff>
      <xdr:row>97</xdr:row>
      <xdr:rowOff>52917</xdr:rowOff>
    </xdr:to>
    <xdr:graphicFrame macro="">
      <xdr:nvGraphicFramePr>
        <xdr:cNvPr id="66" name="DemoG3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508000</xdr:colOff>
      <xdr:row>99</xdr:row>
      <xdr:rowOff>232833</xdr:rowOff>
    </xdr:from>
    <xdr:to>
      <xdr:col>3</xdr:col>
      <xdr:colOff>2561167</xdr:colOff>
      <xdr:row>119</xdr:row>
      <xdr:rowOff>52917</xdr:rowOff>
    </xdr:to>
    <xdr:graphicFrame macro="">
      <xdr:nvGraphicFramePr>
        <xdr:cNvPr id="67" name="DemoG4">
          <a:extLs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508000</xdr:colOff>
      <xdr:row>121</xdr:row>
      <xdr:rowOff>232833</xdr:rowOff>
    </xdr:from>
    <xdr:to>
      <xdr:col>3</xdr:col>
      <xdr:colOff>2561167</xdr:colOff>
      <xdr:row>141</xdr:row>
      <xdr:rowOff>52917</xdr:rowOff>
    </xdr:to>
    <xdr:graphicFrame macro="">
      <xdr:nvGraphicFramePr>
        <xdr:cNvPr id="68" name="DemoG5">
          <a:extLs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508000</xdr:colOff>
      <xdr:row>143</xdr:row>
      <xdr:rowOff>232833</xdr:rowOff>
    </xdr:from>
    <xdr:to>
      <xdr:col>3</xdr:col>
      <xdr:colOff>2561167</xdr:colOff>
      <xdr:row>163</xdr:row>
      <xdr:rowOff>52917</xdr:rowOff>
    </xdr:to>
    <xdr:graphicFrame macro="">
      <xdr:nvGraphicFramePr>
        <xdr:cNvPr id="69" name="DemoG6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508000</xdr:colOff>
      <xdr:row>165</xdr:row>
      <xdr:rowOff>232833</xdr:rowOff>
    </xdr:from>
    <xdr:to>
      <xdr:col>3</xdr:col>
      <xdr:colOff>2561167</xdr:colOff>
      <xdr:row>185</xdr:row>
      <xdr:rowOff>52917</xdr:rowOff>
    </xdr:to>
    <xdr:graphicFrame macro="">
      <xdr:nvGraphicFramePr>
        <xdr:cNvPr id="70" name="DemoG7">
          <a:extLs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508000</xdr:colOff>
      <xdr:row>187</xdr:row>
      <xdr:rowOff>232833</xdr:rowOff>
    </xdr:from>
    <xdr:to>
      <xdr:col>3</xdr:col>
      <xdr:colOff>2561167</xdr:colOff>
      <xdr:row>207</xdr:row>
      <xdr:rowOff>52917</xdr:rowOff>
    </xdr:to>
    <xdr:graphicFrame macro="">
      <xdr:nvGraphicFramePr>
        <xdr:cNvPr id="71" name="DemoG8">
          <a:extLs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508000</xdr:colOff>
      <xdr:row>209</xdr:row>
      <xdr:rowOff>232833</xdr:rowOff>
    </xdr:from>
    <xdr:to>
      <xdr:col>3</xdr:col>
      <xdr:colOff>2561167</xdr:colOff>
      <xdr:row>229</xdr:row>
      <xdr:rowOff>52917</xdr:rowOff>
    </xdr:to>
    <xdr:graphicFrame macro="">
      <xdr:nvGraphicFramePr>
        <xdr:cNvPr id="72" name="DemoG9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508000</xdr:colOff>
      <xdr:row>231</xdr:row>
      <xdr:rowOff>232833</xdr:rowOff>
    </xdr:from>
    <xdr:to>
      <xdr:col>3</xdr:col>
      <xdr:colOff>2561167</xdr:colOff>
      <xdr:row>251</xdr:row>
      <xdr:rowOff>52917</xdr:rowOff>
    </xdr:to>
    <xdr:graphicFrame macro="">
      <xdr:nvGraphicFramePr>
        <xdr:cNvPr id="73" name="DemoG10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508000</xdr:colOff>
      <xdr:row>253</xdr:row>
      <xdr:rowOff>232833</xdr:rowOff>
    </xdr:from>
    <xdr:to>
      <xdr:col>3</xdr:col>
      <xdr:colOff>2561167</xdr:colOff>
      <xdr:row>273</xdr:row>
      <xdr:rowOff>52917</xdr:rowOff>
    </xdr:to>
    <xdr:graphicFrame macro="">
      <xdr:nvGraphicFramePr>
        <xdr:cNvPr id="74" name="DemoG11">
          <a:extLs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508000</xdr:colOff>
      <xdr:row>275</xdr:row>
      <xdr:rowOff>232833</xdr:rowOff>
    </xdr:from>
    <xdr:to>
      <xdr:col>3</xdr:col>
      <xdr:colOff>2561167</xdr:colOff>
      <xdr:row>295</xdr:row>
      <xdr:rowOff>52917</xdr:rowOff>
    </xdr:to>
    <xdr:graphicFrame macro="">
      <xdr:nvGraphicFramePr>
        <xdr:cNvPr id="75" name="DemoG12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508000</xdr:colOff>
      <xdr:row>297</xdr:row>
      <xdr:rowOff>232833</xdr:rowOff>
    </xdr:from>
    <xdr:to>
      <xdr:col>3</xdr:col>
      <xdr:colOff>2561167</xdr:colOff>
      <xdr:row>317</xdr:row>
      <xdr:rowOff>52917</xdr:rowOff>
    </xdr:to>
    <xdr:graphicFrame macro="">
      <xdr:nvGraphicFramePr>
        <xdr:cNvPr id="76" name="DemoG13">
          <a:extLs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508000</xdr:colOff>
      <xdr:row>319</xdr:row>
      <xdr:rowOff>232833</xdr:rowOff>
    </xdr:from>
    <xdr:to>
      <xdr:col>3</xdr:col>
      <xdr:colOff>2561167</xdr:colOff>
      <xdr:row>339</xdr:row>
      <xdr:rowOff>52917</xdr:rowOff>
    </xdr:to>
    <xdr:graphicFrame macro="">
      <xdr:nvGraphicFramePr>
        <xdr:cNvPr id="77" name="DemoG14">
          <a:extLs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508000</xdr:colOff>
      <xdr:row>341</xdr:row>
      <xdr:rowOff>232833</xdr:rowOff>
    </xdr:from>
    <xdr:to>
      <xdr:col>3</xdr:col>
      <xdr:colOff>2561167</xdr:colOff>
      <xdr:row>361</xdr:row>
      <xdr:rowOff>52917</xdr:rowOff>
    </xdr:to>
    <xdr:graphicFrame macro="">
      <xdr:nvGraphicFramePr>
        <xdr:cNvPr id="78" name="DemoG15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508000</xdr:colOff>
      <xdr:row>363</xdr:row>
      <xdr:rowOff>232833</xdr:rowOff>
    </xdr:from>
    <xdr:to>
      <xdr:col>3</xdr:col>
      <xdr:colOff>2561167</xdr:colOff>
      <xdr:row>383</xdr:row>
      <xdr:rowOff>52917</xdr:rowOff>
    </xdr:to>
    <xdr:graphicFrame macro="">
      <xdr:nvGraphicFramePr>
        <xdr:cNvPr id="79" name="DemoG16">
          <a:extLs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508000</xdr:colOff>
      <xdr:row>385</xdr:row>
      <xdr:rowOff>232833</xdr:rowOff>
    </xdr:from>
    <xdr:to>
      <xdr:col>3</xdr:col>
      <xdr:colOff>2561167</xdr:colOff>
      <xdr:row>405</xdr:row>
      <xdr:rowOff>52917</xdr:rowOff>
    </xdr:to>
    <xdr:graphicFrame macro="">
      <xdr:nvGraphicFramePr>
        <xdr:cNvPr id="80" name="DemoG17">
          <a:extLs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508000</xdr:colOff>
      <xdr:row>407</xdr:row>
      <xdr:rowOff>232833</xdr:rowOff>
    </xdr:from>
    <xdr:to>
      <xdr:col>3</xdr:col>
      <xdr:colOff>2561167</xdr:colOff>
      <xdr:row>427</xdr:row>
      <xdr:rowOff>52917</xdr:rowOff>
    </xdr:to>
    <xdr:graphicFrame macro="">
      <xdr:nvGraphicFramePr>
        <xdr:cNvPr id="81" name="DemoG18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508000</xdr:colOff>
      <xdr:row>429</xdr:row>
      <xdr:rowOff>232833</xdr:rowOff>
    </xdr:from>
    <xdr:to>
      <xdr:col>3</xdr:col>
      <xdr:colOff>2561167</xdr:colOff>
      <xdr:row>449</xdr:row>
      <xdr:rowOff>52917</xdr:rowOff>
    </xdr:to>
    <xdr:graphicFrame macro="">
      <xdr:nvGraphicFramePr>
        <xdr:cNvPr id="82" name="DemoG19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508000</xdr:colOff>
      <xdr:row>451</xdr:row>
      <xdr:rowOff>232833</xdr:rowOff>
    </xdr:from>
    <xdr:to>
      <xdr:col>3</xdr:col>
      <xdr:colOff>2561167</xdr:colOff>
      <xdr:row>471</xdr:row>
      <xdr:rowOff>52917</xdr:rowOff>
    </xdr:to>
    <xdr:graphicFrame macro="">
      <xdr:nvGraphicFramePr>
        <xdr:cNvPr id="83" name="DemoG20">
          <a:extLs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508000</xdr:colOff>
      <xdr:row>473</xdr:row>
      <xdr:rowOff>232833</xdr:rowOff>
    </xdr:from>
    <xdr:to>
      <xdr:col>3</xdr:col>
      <xdr:colOff>2561167</xdr:colOff>
      <xdr:row>493</xdr:row>
      <xdr:rowOff>52917</xdr:rowOff>
    </xdr:to>
    <xdr:graphicFrame macro="">
      <xdr:nvGraphicFramePr>
        <xdr:cNvPr id="84" name="DemoG21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508000</xdr:colOff>
      <xdr:row>495</xdr:row>
      <xdr:rowOff>232833</xdr:rowOff>
    </xdr:from>
    <xdr:to>
      <xdr:col>3</xdr:col>
      <xdr:colOff>2561167</xdr:colOff>
      <xdr:row>515</xdr:row>
      <xdr:rowOff>52917</xdr:rowOff>
    </xdr:to>
    <xdr:graphicFrame macro="">
      <xdr:nvGraphicFramePr>
        <xdr:cNvPr id="85" name="DemoG22">
          <a:extLs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</xdr:col>
      <xdr:colOff>508000</xdr:colOff>
      <xdr:row>517</xdr:row>
      <xdr:rowOff>232833</xdr:rowOff>
    </xdr:from>
    <xdr:to>
      <xdr:col>3</xdr:col>
      <xdr:colOff>2561167</xdr:colOff>
      <xdr:row>537</xdr:row>
      <xdr:rowOff>52917</xdr:rowOff>
    </xdr:to>
    <xdr:graphicFrame macro="">
      <xdr:nvGraphicFramePr>
        <xdr:cNvPr id="86" name="DemoG23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508000</xdr:colOff>
      <xdr:row>539</xdr:row>
      <xdr:rowOff>232833</xdr:rowOff>
    </xdr:from>
    <xdr:to>
      <xdr:col>3</xdr:col>
      <xdr:colOff>2561167</xdr:colOff>
      <xdr:row>559</xdr:row>
      <xdr:rowOff>52917</xdr:rowOff>
    </xdr:to>
    <xdr:graphicFrame macro="">
      <xdr:nvGraphicFramePr>
        <xdr:cNvPr id="87" name="DemoG24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</xdr:col>
      <xdr:colOff>508000</xdr:colOff>
      <xdr:row>561</xdr:row>
      <xdr:rowOff>232833</xdr:rowOff>
    </xdr:from>
    <xdr:to>
      <xdr:col>3</xdr:col>
      <xdr:colOff>2561167</xdr:colOff>
      <xdr:row>581</xdr:row>
      <xdr:rowOff>52917</xdr:rowOff>
    </xdr:to>
    <xdr:graphicFrame macro="">
      <xdr:nvGraphicFramePr>
        <xdr:cNvPr id="88" name="DemoG25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508000</xdr:colOff>
      <xdr:row>583</xdr:row>
      <xdr:rowOff>232833</xdr:rowOff>
    </xdr:from>
    <xdr:to>
      <xdr:col>3</xdr:col>
      <xdr:colOff>2561167</xdr:colOff>
      <xdr:row>603</xdr:row>
      <xdr:rowOff>52917</xdr:rowOff>
    </xdr:to>
    <xdr:graphicFrame macro="">
      <xdr:nvGraphicFramePr>
        <xdr:cNvPr id="89" name="DemoG26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</xdr:col>
      <xdr:colOff>508000</xdr:colOff>
      <xdr:row>605</xdr:row>
      <xdr:rowOff>232833</xdr:rowOff>
    </xdr:from>
    <xdr:to>
      <xdr:col>3</xdr:col>
      <xdr:colOff>2561167</xdr:colOff>
      <xdr:row>625</xdr:row>
      <xdr:rowOff>52917</xdr:rowOff>
    </xdr:to>
    <xdr:graphicFrame macro="">
      <xdr:nvGraphicFramePr>
        <xdr:cNvPr id="90" name="DemoG27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508000</xdr:colOff>
      <xdr:row>627</xdr:row>
      <xdr:rowOff>232833</xdr:rowOff>
    </xdr:from>
    <xdr:to>
      <xdr:col>3</xdr:col>
      <xdr:colOff>2561167</xdr:colOff>
      <xdr:row>647</xdr:row>
      <xdr:rowOff>52917</xdr:rowOff>
    </xdr:to>
    <xdr:graphicFrame macro="">
      <xdr:nvGraphicFramePr>
        <xdr:cNvPr id="91" name="DemoG28">
          <a:extLs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508000</xdr:colOff>
      <xdr:row>649</xdr:row>
      <xdr:rowOff>232833</xdr:rowOff>
    </xdr:from>
    <xdr:to>
      <xdr:col>3</xdr:col>
      <xdr:colOff>2561167</xdr:colOff>
      <xdr:row>669</xdr:row>
      <xdr:rowOff>52917</xdr:rowOff>
    </xdr:to>
    <xdr:graphicFrame macro="">
      <xdr:nvGraphicFramePr>
        <xdr:cNvPr id="92" name="DemoG30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428625</xdr:colOff>
      <xdr:row>17</xdr:row>
      <xdr:rowOff>104775</xdr:rowOff>
    </xdr:from>
    <xdr:to>
      <xdr:col>5</xdr:col>
      <xdr:colOff>438150</xdr:colOff>
      <xdr:row>17</xdr:row>
      <xdr:rowOff>114300</xdr:rowOff>
    </xdr:to>
    <xdr:sp macro="" textlink="">
      <xdr:nvSpPr>
        <xdr:cNvPr id="2" name="Pie0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EditPoints="1" noChangeArrowheads="1"/>
        </xdr:cNvSpPr>
      </xdr:nvSpPr>
      <xdr:spPr bwMode="auto">
        <a:xfrm>
          <a:off x="4238625" y="2857500"/>
          <a:ext cx="9525" cy="9525"/>
        </a:xfrm>
        <a:custGeom>
          <a:avLst/>
          <a:gdLst>
            <a:gd name="T0" fmla="*/ 78 w 21600"/>
            <a:gd name="T1" fmla="*/ 0 h 21600"/>
            <a:gd name="T2" fmla="*/ 79 w 21600"/>
            <a:gd name="T3" fmla="*/ 79 h 21600"/>
            <a:gd name="T4" fmla="*/ 78 w 21600"/>
            <a:gd name="T5" fmla="*/ 0 h 21600"/>
            <a:gd name="T6" fmla="*/ 0 60000 65536"/>
            <a:gd name="T7" fmla="*/ 0 60000 65536"/>
            <a:gd name="T8" fmla="*/ 0 60000 65536"/>
            <a:gd name="T9" fmla="*/ 3163 w 21600"/>
            <a:gd name="T10" fmla="*/ 3163 h 21600"/>
            <a:gd name="T11" fmla="*/ 18437 w 21600"/>
            <a:gd name="T12" fmla="*/ 18437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>
              <a:moveTo>
                <a:pt x="10611" y="1"/>
              </a:moveTo>
              <a:cubicBezTo>
                <a:pt x="4720" y="104"/>
                <a:pt x="0" y="4909"/>
                <a:pt x="0" y="10799"/>
              </a:cubicBezTo>
              <a:cubicBezTo>
                <a:pt x="0" y="16764"/>
                <a:pt x="4835" y="21600"/>
                <a:pt x="10800" y="21600"/>
              </a:cubicBezTo>
              <a:cubicBezTo>
                <a:pt x="16764" y="21600"/>
                <a:pt x="21600" y="16764"/>
                <a:pt x="21600" y="10800"/>
              </a:cubicBezTo>
              <a:cubicBezTo>
                <a:pt x="21600" y="4835"/>
                <a:pt x="16764" y="0"/>
                <a:pt x="10800" y="0"/>
              </a:cubicBezTo>
              <a:cubicBezTo>
                <a:pt x="10737" y="-1"/>
                <a:pt x="10674" y="0"/>
                <a:pt x="10611" y="1"/>
              </a:cubicBezTo>
              <a:lnTo>
                <a:pt x="10800" y="10800"/>
              </a:lnTo>
              <a:lnTo>
                <a:pt x="10611" y="1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428625</xdr:colOff>
      <xdr:row>17</xdr:row>
      <xdr:rowOff>104775</xdr:rowOff>
    </xdr:from>
    <xdr:to>
      <xdr:col>5</xdr:col>
      <xdr:colOff>438150</xdr:colOff>
      <xdr:row>17</xdr:row>
      <xdr:rowOff>114300</xdr:rowOff>
    </xdr:to>
    <xdr:sp macro="" textlink="">
      <xdr:nvSpPr>
        <xdr:cNvPr id="3" name="Pie0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EditPoints="1" noChangeArrowheads="1"/>
        </xdr:cNvSpPr>
      </xdr:nvSpPr>
      <xdr:spPr bwMode="auto">
        <a:xfrm>
          <a:off x="4238625" y="2857500"/>
          <a:ext cx="9525" cy="9525"/>
        </a:xfrm>
        <a:custGeom>
          <a:avLst/>
          <a:gdLst>
            <a:gd name="T0" fmla="*/ 79 w 21600"/>
            <a:gd name="T1" fmla="*/ 0 h 21600"/>
            <a:gd name="T2" fmla="*/ 79 w 21600"/>
            <a:gd name="T3" fmla="*/ 79 h 21600"/>
            <a:gd name="T4" fmla="*/ 78 w 21600"/>
            <a:gd name="T5" fmla="*/ 0 h 21600"/>
            <a:gd name="T6" fmla="*/ 0 60000 65536"/>
            <a:gd name="T7" fmla="*/ 0 60000 65536"/>
            <a:gd name="T8" fmla="*/ 0 60000 65536"/>
            <a:gd name="T9" fmla="*/ 3163 w 21600"/>
            <a:gd name="T10" fmla="*/ 3163 h 21600"/>
            <a:gd name="T11" fmla="*/ 18437 w 21600"/>
            <a:gd name="T12" fmla="*/ 18437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>
              <a:moveTo>
                <a:pt x="10799" y="0"/>
              </a:moveTo>
              <a:cubicBezTo>
                <a:pt x="10736" y="0"/>
                <a:pt x="10673" y="0"/>
                <a:pt x="10611" y="1"/>
              </a:cubicBezTo>
              <a:lnTo>
                <a:pt x="10800" y="10800"/>
              </a:lnTo>
              <a:lnTo>
                <a:pt x="10799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542925</xdr:colOff>
      <xdr:row>4</xdr:row>
      <xdr:rowOff>38100</xdr:rowOff>
    </xdr:from>
    <xdr:to>
      <xdr:col>8</xdr:col>
      <xdr:colOff>323850</xdr:colOff>
      <xdr:row>31</xdr:row>
      <xdr:rowOff>19050</xdr:rowOff>
    </xdr:to>
    <xdr:grpSp>
      <xdr:nvGrpSpPr>
        <xdr:cNvPr id="4" name="Referencia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>
          <a:grpSpLocks/>
        </xdr:cNvGrpSpPr>
      </xdr:nvGrpSpPr>
      <xdr:grpSpPr bwMode="auto">
        <a:xfrm>
          <a:off x="2066925" y="685800"/>
          <a:ext cx="4352925" cy="4352925"/>
          <a:chOff x="458" y="27"/>
          <a:chExt cx="457" cy="457"/>
        </a:xfrm>
      </xdr:grpSpPr>
      <xdr:sp macro="" textlink="">
        <xdr:nvSpPr>
          <xdr:cNvPr id="5" name="Oval 5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58" y="27"/>
            <a:ext cx="457" cy="457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6" name="Oval 6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515" y="84"/>
            <a:ext cx="343" cy="343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7" name="Oval 7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572" y="141"/>
            <a:ext cx="229" cy="229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8" name="Oval 8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629" y="198"/>
            <a:ext cx="114" cy="114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228600</xdr:colOff>
      <xdr:row>2</xdr:row>
      <xdr:rowOff>38100</xdr:rowOff>
    </xdr:from>
    <xdr:to>
      <xdr:col>8</xdr:col>
      <xdr:colOff>638175</xdr:colOff>
      <xdr:row>33</xdr:row>
      <xdr:rowOff>0</xdr:rowOff>
    </xdr:to>
    <xdr:grpSp>
      <xdr:nvGrpSpPr>
        <xdr:cNvPr id="9" name="Axis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pSpPr>
          <a:grpSpLocks/>
        </xdr:cNvGrpSpPr>
      </xdr:nvGrpSpPr>
      <xdr:grpSpPr bwMode="auto">
        <a:xfrm>
          <a:off x="1752600" y="361950"/>
          <a:ext cx="4981575" cy="4981575"/>
          <a:chOff x="421" y="1"/>
          <a:chExt cx="523" cy="523"/>
        </a:xfrm>
      </xdr:grpSpPr>
      <xdr:sp macro="" textlink="">
        <xdr:nvSpPr>
          <xdr:cNvPr id="10" name="Line 10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421" y="262"/>
            <a:ext cx="52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11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421" y="263"/>
            <a:ext cx="52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</xdr:col>
      <xdr:colOff>0</xdr:colOff>
      <xdr:row>17</xdr:row>
      <xdr:rowOff>104775</xdr:rowOff>
    </xdr:from>
    <xdr:to>
      <xdr:col>5</xdr:col>
      <xdr:colOff>466725</xdr:colOff>
      <xdr:row>32</xdr:row>
      <xdr:rowOff>133350</xdr:rowOff>
    </xdr:to>
    <xdr:grpSp>
      <xdr:nvGrpSpPr>
        <xdr:cNvPr id="12" name="RangeValues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pSpPr>
          <a:grpSpLocks/>
        </xdr:cNvGrpSpPr>
      </xdr:nvGrpSpPr>
      <xdr:grpSpPr bwMode="auto">
        <a:xfrm>
          <a:off x="3810000" y="2857500"/>
          <a:ext cx="466725" cy="2457450"/>
          <a:chOff x="467" y="409"/>
          <a:chExt cx="49" cy="258"/>
        </a:xfrm>
      </xdr:grpSpPr>
      <xdr:sp macro="" textlink="">
        <xdr:nvSpPr>
          <xdr:cNvPr id="13" name="Text Box 13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85" y="409"/>
            <a:ext cx="31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0%</a:t>
            </a:r>
          </a:p>
        </xdr:txBody>
      </xdr:sp>
      <xdr:sp macro="" textlink="">
        <xdr:nvSpPr>
          <xdr:cNvPr id="14" name="Text Box 14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67" y="466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25%</a:t>
            </a:r>
          </a:p>
        </xdr:txBody>
      </xdr:sp>
      <xdr:sp macro="" textlink="">
        <xdr:nvSpPr>
          <xdr:cNvPr id="15" name="Text Box 15">
            <a:extLst>
              <a:ext uri="{FF2B5EF4-FFF2-40B4-BE49-F238E27FC236}">
                <a16:creationId xmlns:a16="http://schemas.microsoft.com/office/drawing/2014/main" id="{00000000-0008-0000-0D00-00000F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67" y="525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50%</a:t>
            </a:r>
          </a:p>
        </xdr:txBody>
      </xdr:sp>
      <xdr:sp macro="" textlink="">
        <xdr:nvSpPr>
          <xdr:cNvPr id="16" name="Text Box 16">
            <a:extLst>
              <a:ext uri="{FF2B5EF4-FFF2-40B4-BE49-F238E27FC236}">
                <a16:creationId xmlns:a16="http://schemas.microsoft.com/office/drawing/2014/main" id="{00000000-0008-0000-0D00-000010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67" y="581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75%</a:t>
            </a:r>
          </a:p>
        </xdr:txBody>
      </xdr:sp>
      <xdr:sp macro="" textlink="">
        <xdr:nvSpPr>
          <xdr:cNvPr id="17" name="Text Box 17">
            <a:extLst>
              <a:ext uri="{FF2B5EF4-FFF2-40B4-BE49-F238E27FC236}">
                <a16:creationId xmlns:a16="http://schemas.microsoft.com/office/drawing/2014/main" id="{00000000-0008-0000-0D00-00001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67" y="643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100%</a:t>
            </a:r>
          </a:p>
        </xdr:txBody>
      </xdr:sp>
    </xdr:grpSp>
    <xdr:clientData/>
  </xdr:twoCellAnchor>
  <xdr:twoCellAnchor>
    <xdr:from>
      <xdr:col>4</xdr:col>
      <xdr:colOff>123823</xdr:colOff>
      <xdr:row>10</xdr:row>
      <xdr:rowOff>152398</xdr:rowOff>
    </xdr:from>
    <xdr:to>
      <xdr:col>6</xdr:col>
      <xdr:colOff>752474</xdr:colOff>
      <xdr:row>24</xdr:row>
      <xdr:rowOff>47625</xdr:rowOff>
    </xdr:to>
    <xdr:sp macro="" textlink="">
      <xdr:nvSpPr>
        <xdr:cNvPr id="18" name="17 Circular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>
        <a:xfrm>
          <a:off x="3171823" y="1771648"/>
          <a:ext cx="2152651" cy="2162177"/>
        </a:xfrm>
        <a:prstGeom prst="pie">
          <a:avLst>
            <a:gd name="adj1" fmla="val 16178004"/>
            <a:gd name="adj2" fmla="val 20052051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ES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45</xdr:row>
      <xdr:rowOff>95250</xdr:rowOff>
    </xdr:from>
    <xdr:to>
      <xdr:col>8</xdr:col>
      <xdr:colOff>19050</xdr:colOff>
      <xdr:row>47</xdr:row>
      <xdr:rowOff>123825</xdr:rowOff>
    </xdr:to>
    <xdr:sp macro="" textlink="">
      <xdr:nvSpPr>
        <xdr:cNvPr id="2" name="1 Elips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972175" y="8667750"/>
          <a:ext cx="771525" cy="40957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685800</xdr:colOff>
      <xdr:row>46</xdr:row>
      <xdr:rowOff>104775</xdr:rowOff>
    </xdr:from>
    <xdr:to>
      <xdr:col>3</xdr:col>
      <xdr:colOff>76200</xdr:colOff>
      <xdr:row>48</xdr:row>
      <xdr:rowOff>133350</xdr:rowOff>
    </xdr:to>
    <xdr:sp macro="" textlink="">
      <xdr:nvSpPr>
        <xdr:cNvPr id="3" name="2 Elipse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981200" y="8867775"/>
          <a:ext cx="771525" cy="40957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76200</xdr:colOff>
      <xdr:row>46</xdr:row>
      <xdr:rowOff>109538</xdr:rowOff>
    </xdr:from>
    <xdr:to>
      <xdr:col>7</xdr:col>
      <xdr:colOff>9525</xdr:colOff>
      <xdr:row>47</xdr:row>
      <xdr:rowOff>119063</xdr:rowOff>
    </xdr:to>
    <xdr:cxnSp macro="">
      <xdr:nvCxnSpPr>
        <xdr:cNvPr id="4" name="3 Conector recto de flecha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CxnSpPr>
          <a:stCxn id="3" idx="6"/>
          <a:endCxn id="2" idx="2"/>
        </xdr:cNvCxnSpPr>
      </xdr:nvCxnSpPr>
      <xdr:spPr>
        <a:xfrm flipV="1">
          <a:off x="2752725" y="8872538"/>
          <a:ext cx="3219450" cy="200025"/>
        </a:xfrm>
        <a:prstGeom prst="straightConnector1">
          <a:avLst/>
        </a:prstGeom>
        <a:ln w="28575"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45</xdr:row>
      <xdr:rowOff>95250</xdr:rowOff>
    </xdr:from>
    <xdr:to>
      <xdr:col>8</xdr:col>
      <xdr:colOff>19050</xdr:colOff>
      <xdr:row>47</xdr:row>
      <xdr:rowOff>123825</xdr:rowOff>
    </xdr:to>
    <xdr:sp macro="" textlink="">
      <xdr:nvSpPr>
        <xdr:cNvPr id="5" name="1 Elipse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972175" y="8420100"/>
          <a:ext cx="771525" cy="40005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685800</xdr:colOff>
      <xdr:row>46</xdr:row>
      <xdr:rowOff>104775</xdr:rowOff>
    </xdr:from>
    <xdr:to>
      <xdr:col>3</xdr:col>
      <xdr:colOff>76200</xdr:colOff>
      <xdr:row>48</xdr:row>
      <xdr:rowOff>133350</xdr:rowOff>
    </xdr:to>
    <xdr:sp macro="" textlink="">
      <xdr:nvSpPr>
        <xdr:cNvPr id="6" name="2 Elipse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981200" y="8620125"/>
          <a:ext cx="771525" cy="3905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76200</xdr:colOff>
      <xdr:row>46</xdr:row>
      <xdr:rowOff>109538</xdr:rowOff>
    </xdr:from>
    <xdr:to>
      <xdr:col>7</xdr:col>
      <xdr:colOff>9525</xdr:colOff>
      <xdr:row>47</xdr:row>
      <xdr:rowOff>119063</xdr:rowOff>
    </xdr:to>
    <xdr:cxnSp macro="">
      <xdr:nvCxnSpPr>
        <xdr:cNvPr id="7" name="3 Conector recto de flecha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CxnSpPr>
          <a:stCxn id="6" idx="6"/>
          <a:endCxn id="5" idx="2"/>
        </xdr:cNvCxnSpPr>
      </xdr:nvCxnSpPr>
      <xdr:spPr>
        <a:xfrm flipV="1">
          <a:off x="2752725" y="8624888"/>
          <a:ext cx="3219450" cy="190500"/>
        </a:xfrm>
        <a:prstGeom prst="straightConnector1">
          <a:avLst/>
        </a:prstGeom>
        <a:ln w="28575"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291352</xdr:colOff>
      <xdr:row>3</xdr:row>
      <xdr:rowOff>56030</xdr:rowOff>
    </xdr:from>
    <xdr:to>
      <xdr:col>7</xdr:col>
      <xdr:colOff>577702</xdr:colOff>
      <xdr:row>3</xdr:row>
      <xdr:rowOff>383570</xdr:rowOff>
    </xdr:to>
    <xdr:sp macro="" textlink="">
      <xdr:nvSpPr>
        <xdr:cNvPr id="2" name="verd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 noChangeAspect="1"/>
        </xdr:cNvSpPr>
      </xdr:nvSpPr>
      <xdr:spPr>
        <a:xfrm>
          <a:off x="13026277" y="81803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148475</xdr:colOff>
      <xdr:row>3</xdr:row>
      <xdr:rowOff>56029</xdr:rowOff>
    </xdr:from>
    <xdr:to>
      <xdr:col>8</xdr:col>
      <xdr:colOff>434651</xdr:colOff>
      <xdr:row>3</xdr:row>
      <xdr:rowOff>383569</xdr:rowOff>
    </xdr:to>
    <xdr:sp macro="" textlink="">
      <xdr:nvSpPr>
        <xdr:cNvPr id="3" name="colorado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 noChangeAspect="1"/>
        </xdr:cNvSpPr>
      </xdr:nvSpPr>
      <xdr:spPr>
        <a:xfrm>
          <a:off x="13645400" y="818029"/>
          <a:ext cx="286176" cy="32754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291352</xdr:colOff>
      <xdr:row>3</xdr:row>
      <xdr:rowOff>56030</xdr:rowOff>
    </xdr:from>
    <xdr:to>
      <xdr:col>7</xdr:col>
      <xdr:colOff>577702</xdr:colOff>
      <xdr:row>3</xdr:row>
      <xdr:rowOff>383570</xdr:rowOff>
    </xdr:to>
    <xdr:sp macro="" textlink="">
      <xdr:nvSpPr>
        <xdr:cNvPr id="2" name="verd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ChangeAspect="1"/>
        </xdr:cNvSpPr>
      </xdr:nvSpPr>
      <xdr:spPr>
        <a:xfrm>
          <a:off x="13026277" y="818030"/>
          <a:ext cx="286350" cy="327540"/>
        </a:xfrm>
        <a:prstGeom prst="ellipse">
          <a:avLst/>
        </a:prstGeom>
        <a:noFill/>
        <a:ln w="317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148475</xdr:colOff>
      <xdr:row>3</xdr:row>
      <xdr:rowOff>56029</xdr:rowOff>
    </xdr:from>
    <xdr:to>
      <xdr:col>8</xdr:col>
      <xdr:colOff>434651</xdr:colOff>
      <xdr:row>3</xdr:row>
      <xdr:rowOff>383569</xdr:rowOff>
    </xdr:to>
    <xdr:sp macro="" textlink="">
      <xdr:nvSpPr>
        <xdr:cNvPr id="3" name="colorado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 noChangeAspect="1"/>
        </xdr:cNvSpPr>
      </xdr:nvSpPr>
      <xdr:spPr>
        <a:xfrm>
          <a:off x="13645400" y="818029"/>
          <a:ext cx="286176" cy="32754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266699</xdr:colOff>
      <xdr:row>17</xdr:row>
      <xdr:rowOff>95250</xdr:rowOff>
    </xdr:from>
    <xdr:to>
      <xdr:col>20</xdr:col>
      <xdr:colOff>484909</xdr:colOff>
      <xdr:row>50</xdr:row>
      <xdr:rowOff>145675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riana.orellana/Desktop/ADRIANA/Mejoras%20ENCON/Francisco-template%20PPT/9-novena%20macro/TI%20-%20Informe%202017%20(Office%202013)-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 COPIA"/>
      <sheetName val="Ficha técnica"/>
      <sheetName val="DetalleDimension"/>
      <sheetName val="Dimensiones"/>
      <sheetName val="Confianza"/>
      <sheetName val="Sintesis"/>
      <sheetName val="Evolucion Sintesis"/>
      <sheetName val="Tabla"/>
      <sheetName val="Motivo"/>
      <sheetName val="Demo"/>
      <sheetName val="Indice"/>
      <sheetName val="Indice3"/>
      <sheetName val="Indice2"/>
      <sheetName val="Radar"/>
      <sheetName val="Instrucciones USO"/>
      <sheetName val="Hoja2"/>
      <sheetName val="MiJefe"/>
      <sheetName val="Adicionales Cliente"/>
    </sheetNames>
    <sheetDataSet>
      <sheetData sheetId="0"/>
      <sheetData sheetId="1"/>
      <sheetData sheetId="2">
        <row r="3">
          <cell r="E3">
            <v>2017</v>
          </cell>
          <cell r="F3">
            <v>2017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L76"/>
  <sheetViews>
    <sheetView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73.710937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1" width="5" customWidth="1"/>
    <col min="32" max="32" width="0.7109375" customWidth="1"/>
    <col min="33" max="38" width="5" customWidth="1"/>
    <col min="39" max="39" width="0.7109375" customWidth="1"/>
    <col min="40" max="41" width="5" customWidth="1"/>
    <col min="42" max="42" width="0.7109375" customWidth="1"/>
    <col min="43" max="52" width="5" customWidth="1"/>
    <col min="53" max="53" width="0.7109375" customWidth="1"/>
    <col min="54" max="58" width="5" customWidth="1"/>
    <col min="59" max="59" width="0.7109375" customWidth="1"/>
    <col min="60" max="64" width="5" customWidth="1"/>
    <col min="65" max="65" width="0.7109375" customWidth="1"/>
    <col min="66" max="69" width="5" customWidth="1"/>
    <col min="70" max="70" width="0.7109375" customWidth="1"/>
    <col min="71" max="75" width="5" customWidth="1"/>
    <col min="76" max="76" width="0.7109375" customWidth="1"/>
  </cols>
  <sheetData>
    <row r="1" spans="1:324" ht="67.5" customHeight="1">
      <c r="A1" s="433" t="s">
        <v>846</v>
      </c>
      <c r="B1" s="433"/>
      <c r="C1" s="390"/>
      <c r="D1" s="428" t="s">
        <v>483</v>
      </c>
      <c r="E1" s="429"/>
      <c r="F1" s="429"/>
      <c r="G1" s="429"/>
      <c r="H1" s="429"/>
      <c r="I1" s="429"/>
      <c r="J1" s="429"/>
      <c r="K1" s="391"/>
      <c r="L1" s="428" t="s">
        <v>292</v>
      </c>
      <c r="M1" s="429"/>
      <c r="N1" s="429"/>
      <c r="O1" s="429"/>
      <c r="P1" s="430"/>
      <c r="Q1" s="391"/>
      <c r="R1" s="428" t="s">
        <v>293</v>
      </c>
      <c r="S1" s="430"/>
      <c r="T1" s="391"/>
      <c r="U1" s="428" t="s">
        <v>806</v>
      </c>
      <c r="V1" s="429"/>
      <c r="W1" s="429"/>
      <c r="X1" s="429"/>
      <c r="Y1" s="430"/>
      <c r="Z1" s="391"/>
      <c r="AA1" s="428" t="s">
        <v>274</v>
      </c>
      <c r="AB1" s="429"/>
      <c r="AC1" s="429"/>
      <c r="AD1" s="429"/>
      <c r="AE1" s="430"/>
      <c r="AF1" s="391"/>
      <c r="AG1" s="428" t="s">
        <v>813</v>
      </c>
      <c r="AH1" s="429"/>
      <c r="AI1" s="429"/>
      <c r="AJ1" s="429"/>
      <c r="AK1" s="429"/>
      <c r="AL1" s="430"/>
      <c r="AM1" s="391"/>
      <c r="AN1" s="428" t="s">
        <v>834</v>
      </c>
      <c r="AO1" s="430"/>
      <c r="AP1" s="391"/>
      <c r="AQ1" s="428" t="s">
        <v>843</v>
      </c>
      <c r="AR1" s="429"/>
      <c r="AS1" s="429"/>
      <c r="AT1" s="429"/>
      <c r="AU1" s="429"/>
      <c r="AV1" s="429"/>
      <c r="AW1" s="429"/>
      <c r="AX1" s="429"/>
      <c r="AY1" s="429"/>
      <c r="AZ1" s="430"/>
      <c r="BA1" s="391"/>
      <c r="BB1" s="428" t="s">
        <v>844</v>
      </c>
      <c r="BC1" s="429"/>
      <c r="BD1" s="429"/>
      <c r="BE1" s="429"/>
      <c r="BF1" s="430"/>
      <c r="BG1" s="391"/>
      <c r="BH1" s="429" t="s">
        <v>845</v>
      </c>
      <c r="BI1" s="429"/>
      <c r="BJ1" s="429"/>
      <c r="BK1" s="429"/>
      <c r="BL1" s="430"/>
      <c r="BM1" s="391"/>
      <c r="BN1" s="428" t="s">
        <v>820</v>
      </c>
      <c r="BO1" s="429"/>
      <c r="BP1" s="429"/>
      <c r="BQ1" s="430"/>
      <c r="BR1" s="391"/>
      <c r="BS1" s="428" t="s">
        <v>821</v>
      </c>
      <c r="BT1" s="429"/>
      <c r="BU1" s="429"/>
      <c r="BV1" s="429"/>
      <c r="BW1" s="430"/>
      <c r="BX1" s="391"/>
    </row>
    <row r="2" spans="1:324" ht="112.5" customHeight="1">
      <c r="A2" s="431" t="s">
        <v>847</v>
      </c>
      <c r="B2" s="431"/>
      <c r="C2" s="432"/>
      <c r="D2" s="392">
        <v>2017</v>
      </c>
      <c r="E2" s="392">
        <v>2016</v>
      </c>
      <c r="F2" s="392" t="s">
        <v>848</v>
      </c>
      <c r="G2" s="392" t="s">
        <v>849</v>
      </c>
      <c r="H2" s="392" t="s">
        <v>850</v>
      </c>
      <c r="I2" s="392" t="s">
        <v>851</v>
      </c>
      <c r="J2" s="392" t="s">
        <v>852</v>
      </c>
      <c r="K2" s="391"/>
      <c r="L2" s="392" t="s">
        <v>407</v>
      </c>
      <c r="M2" s="392" t="s">
        <v>408</v>
      </c>
      <c r="N2" s="392" t="s">
        <v>210</v>
      </c>
      <c r="O2" s="392" t="s">
        <v>409</v>
      </c>
      <c r="P2" s="392" t="s">
        <v>410</v>
      </c>
      <c r="Q2" s="391"/>
      <c r="R2" s="392" t="s">
        <v>801</v>
      </c>
      <c r="S2" s="392" t="s">
        <v>802</v>
      </c>
      <c r="T2" s="391"/>
      <c r="U2" s="392" t="s">
        <v>826</v>
      </c>
      <c r="V2" s="392" t="s">
        <v>803</v>
      </c>
      <c r="W2" s="392" t="s">
        <v>804</v>
      </c>
      <c r="X2" s="392" t="s">
        <v>805</v>
      </c>
      <c r="Y2" s="392" t="s">
        <v>479</v>
      </c>
      <c r="Z2" s="391"/>
      <c r="AA2" s="392" t="s">
        <v>827</v>
      </c>
      <c r="AB2" s="392" t="s">
        <v>828</v>
      </c>
      <c r="AC2" s="392" t="s">
        <v>829</v>
      </c>
      <c r="AD2" s="392" t="s">
        <v>830</v>
      </c>
      <c r="AE2" s="392" t="s">
        <v>831</v>
      </c>
      <c r="AF2" s="391"/>
      <c r="AG2" s="392" t="s">
        <v>807</v>
      </c>
      <c r="AH2" s="392" t="s">
        <v>808</v>
      </c>
      <c r="AI2" s="392" t="s">
        <v>809</v>
      </c>
      <c r="AJ2" s="392" t="s">
        <v>810</v>
      </c>
      <c r="AK2" s="392" t="s">
        <v>811</v>
      </c>
      <c r="AL2" s="392" t="s">
        <v>812</v>
      </c>
      <c r="AM2" s="391"/>
      <c r="AN2" s="392" t="s">
        <v>832</v>
      </c>
      <c r="AO2" s="392" t="s">
        <v>833</v>
      </c>
      <c r="AP2" s="391"/>
      <c r="AQ2" s="392" t="s">
        <v>835</v>
      </c>
      <c r="AR2" s="392" t="s">
        <v>836</v>
      </c>
      <c r="AS2" s="392" t="s">
        <v>837</v>
      </c>
      <c r="AT2" s="392" t="s">
        <v>838</v>
      </c>
      <c r="AU2" s="392" t="s">
        <v>839</v>
      </c>
      <c r="AV2" s="392" t="s">
        <v>815</v>
      </c>
      <c r="AW2" s="392" t="s">
        <v>840</v>
      </c>
      <c r="AX2" s="392" t="s">
        <v>841</v>
      </c>
      <c r="AY2" s="392" t="s">
        <v>842</v>
      </c>
      <c r="AZ2" s="392" t="s">
        <v>814</v>
      </c>
      <c r="BA2" s="391"/>
      <c r="BB2" s="392" t="s">
        <v>835</v>
      </c>
      <c r="BC2" s="392" t="s">
        <v>836</v>
      </c>
      <c r="BD2" s="392" t="s">
        <v>837</v>
      </c>
      <c r="BE2" s="392" t="s">
        <v>838</v>
      </c>
      <c r="BF2" s="392" t="s">
        <v>839</v>
      </c>
      <c r="BG2" s="391"/>
      <c r="BH2" s="392" t="s">
        <v>815</v>
      </c>
      <c r="BI2" s="392" t="s">
        <v>840</v>
      </c>
      <c r="BJ2" s="392" t="s">
        <v>841</v>
      </c>
      <c r="BK2" s="392" t="s">
        <v>842</v>
      </c>
      <c r="BL2" s="392" t="s">
        <v>814</v>
      </c>
      <c r="BM2" s="391"/>
      <c r="BN2" s="392" t="s">
        <v>816</v>
      </c>
      <c r="BO2" s="392" t="s">
        <v>817</v>
      </c>
      <c r="BP2" s="392" t="s">
        <v>818</v>
      </c>
      <c r="BQ2" s="392" t="s">
        <v>819</v>
      </c>
      <c r="BR2" s="391"/>
      <c r="BS2" s="392" t="s">
        <v>190</v>
      </c>
      <c r="BT2" s="392" t="s">
        <v>187</v>
      </c>
      <c r="BU2" s="392" t="s">
        <v>188</v>
      </c>
      <c r="BV2" s="392" t="s">
        <v>0</v>
      </c>
      <c r="BW2" s="392" t="s">
        <v>1</v>
      </c>
      <c r="BX2" s="391"/>
    </row>
    <row r="3" spans="1:324">
      <c r="A3" s="393"/>
      <c r="B3" s="393"/>
      <c r="C3" s="394" t="s">
        <v>2</v>
      </c>
      <c r="D3" s="395">
        <v>563</v>
      </c>
      <c r="E3" s="395">
        <v>449</v>
      </c>
      <c r="F3" s="395"/>
      <c r="G3" s="395"/>
      <c r="H3" s="395"/>
      <c r="I3" s="395"/>
      <c r="J3" s="395"/>
      <c r="K3" s="391"/>
      <c r="L3" s="395">
        <v>48</v>
      </c>
      <c r="M3" s="395">
        <v>233</v>
      </c>
      <c r="N3" s="395">
        <v>187</v>
      </c>
      <c r="O3" s="395">
        <v>66</v>
      </c>
      <c r="P3" s="395">
        <v>10</v>
      </c>
      <c r="Q3" s="391"/>
      <c r="R3" s="395">
        <v>274</v>
      </c>
      <c r="S3" s="395">
        <v>268</v>
      </c>
      <c r="T3" s="391"/>
      <c r="U3" s="395">
        <v>1</v>
      </c>
      <c r="V3" s="395">
        <v>12</v>
      </c>
      <c r="W3" s="395">
        <v>174</v>
      </c>
      <c r="X3" s="395">
        <v>261</v>
      </c>
      <c r="Y3" s="395">
        <v>95</v>
      </c>
      <c r="Z3" s="391"/>
      <c r="AA3" s="395">
        <v>16</v>
      </c>
      <c r="AB3" s="395">
        <v>67</v>
      </c>
      <c r="AC3" s="395">
        <v>38</v>
      </c>
      <c r="AD3" s="395">
        <v>125</v>
      </c>
      <c r="AE3" s="395">
        <v>317</v>
      </c>
      <c r="AF3" s="391"/>
      <c r="AG3" s="395">
        <v>117</v>
      </c>
      <c r="AH3" s="395">
        <v>207</v>
      </c>
      <c r="AI3" s="395">
        <v>159</v>
      </c>
      <c r="AJ3" s="395">
        <v>22</v>
      </c>
      <c r="AK3" s="395">
        <v>30</v>
      </c>
      <c r="AL3" s="395">
        <v>6</v>
      </c>
      <c r="AM3" s="391"/>
      <c r="AN3" s="395">
        <v>534</v>
      </c>
      <c r="AO3" s="395">
        <v>7</v>
      </c>
      <c r="AP3" s="391"/>
      <c r="AQ3" s="395">
        <v>67</v>
      </c>
      <c r="AR3" s="395">
        <v>4</v>
      </c>
      <c r="AS3" s="395">
        <v>66</v>
      </c>
      <c r="AT3" s="395">
        <v>8</v>
      </c>
      <c r="AU3" s="395">
        <v>123</v>
      </c>
      <c r="AV3" s="395">
        <v>14</v>
      </c>
      <c r="AW3" s="395">
        <v>22</v>
      </c>
      <c r="AX3" s="395">
        <v>52</v>
      </c>
      <c r="AY3" s="395">
        <v>194</v>
      </c>
      <c r="AZ3" s="395">
        <v>13</v>
      </c>
      <c r="BA3" s="391"/>
      <c r="BB3" s="395">
        <v>67</v>
      </c>
      <c r="BC3" s="395">
        <v>4</v>
      </c>
      <c r="BD3" s="395">
        <v>66</v>
      </c>
      <c r="BE3" s="395">
        <v>8</v>
      </c>
      <c r="BF3" s="395">
        <v>123</v>
      </c>
      <c r="BG3" s="391"/>
      <c r="BH3" s="395">
        <v>14</v>
      </c>
      <c r="BI3" s="395">
        <v>22</v>
      </c>
      <c r="BJ3" s="395">
        <v>52</v>
      </c>
      <c r="BK3" s="395">
        <v>194</v>
      </c>
      <c r="BL3" s="395">
        <v>13</v>
      </c>
      <c r="BM3" s="391"/>
      <c r="BN3" s="395">
        <v>405</v>
      </c>
      <c r="BO3" s="395">
        <v>73</v>
      </c>
      <c r="BP3" s="395">
        <v>50</v>
      </c>
      <c r="BQ3" s="395">
        <v>13</v>
      </c>
      <c r="BR3" s="391"/>
      <c r="BS3" s="395">
        <v>173</v>
      </c>
      <c r="BT3" s="395">
        <v>61</v>
      </c>
      <c r="BU3" s="395">
        <v>8</v>
      </c>
      <c r="BV3" s="395">
        <v>256</v>
      </c>
      <c r="BW3" s="395">
        <v>30</v>
      </c>
      <c r="BX3" s="391"/>
    </row>
    <row r="4" spans="1:324" ht="4.5" customHeight="1">
      <c r="A4" s="396"/>
      <c r="B4" s="397"/>
      <c r="C4" s="397"/>
      <c r="D4" s="397"/>
      <c r="E4" s="397"/>
      <c r="F4" s="397"/>
      <c r="G4" s="397"/>
      <c r="H4" s="397"/>
      <c r="I4" s="397"/>
      <c r="J4" s="397"/>
      <c r="K4" s="397"/>
      <c r="L4" s="397">
        <v>8.8235294117647065</v>
      </c>
      <c r="M4" s="397">
        <v>42.830882352941174</v>
      </c>
      <c r="N4" s="397">
        <v>34.375</v>
      </c>
      <c r="O4" s="397">
        <v>12.132352941176471</v>
      </c>
      <c r="P4" s="397">
        <v>1.8382352941176472</v>
      </c>
      <c r="Q4" s="397">
        <v>0</v>
      </c>
      <c r="R4" s="397">
        <v>50.553505535055351</v>
      </c>
      <c r="S4" s="397">
        <v>49.446494464944649</v>
      </c>
      <c r="T4" s="397">
        <v>0</v>
      </c>
      <c r="U4" s="397">
        <v>0.18416206261510129</v>
      </c>
      <c r="V4" s="397">
        <v>2.2099447513812152</v>
      </c>
      <c r="W4" s="397">
        <v>32.044198895027627</v>
      </c>
      <c r="X4" s="397">
        <v>48.066298342541437</v>
      </c>
      <c r="Y4" s="397">
        <v>17.495395948434624</v>
      </c>
      <c r="Z4" s="397">
        <v>0</v>
      </c>
      <c r="AA4" s="397">
        <v>2.8419182948490231</v>
      </c>
      <c r="AB4" s="397">
        <v>11.900532859680284</v>
      </c>
      <c r="AC4" s="397">
        <v>6.74955595026643</v>
      </c>
      <c r="AD4" s="397">
        <v>22.202486678507995</v>
      </c>
      <c r="AE4" s="397">
        <v>56.305506216696266</v>
      </c>
      <c r="AF4" s="397">
        <v>0</v>
      </c>
      <c r="AG4" s="397">
        <v>21.626617375231053</v>
      </c>
      <c r="AH4" s="397">
        <v>38.262476894639555</v>
      </c>
      <c r="AI4" s="397">
        <v>29.390018484288355</v>
      </c>
      <c r="AJ4" s="397">
        <v>4.066543438077634</v>
      </c>
      <c r="AK4" s="397">
        <v>5.5452865064695009</v>
      </c>
      <c r="AL4" s="397">
        <v>1.1090573012939002</v>
      </c>
      <c r="AM4" s="397">
        <v>0</v>
      </c>
      <c r="AN4" s="397">
        <v>98.706099815157117</v>
      </c>
      <c r="AO4" s="397">
        <v>1.2939001848428837</v>
      </c>
      <c r="AP4" s="397">
        <v>0</v>
      </c>
      <c r="AQ4" s="397">
        <v>11.900532859680284</v>
      </c>
      <c r="AR4" s="397">
        <v>0.71047957371225579</v>
      </c>
      <c r="AS4" s="397">
        <v>11.72291296625222</v>
      </c>
      <c r="AT4" s="397">
        <v>1.4209591474245116</v>
      </c>
      <c r="AU4" s="397">
        <v>21.847246891651864</v>
      </c>
      <c r="AV4" s="397">
        <v>2.4866785079928952</v>
      </c>
      <c r="AW4" s="397">
        <v>3.9076376554174073</v>
      </c>
      <c r="AX4" s="397">
        <v>9.2362344582593252</v>
      </c>
      <c r="AY4" s="397">
        <v>34.458259325044402</v>
      </c>
      <c r="AZ4" s="397">
        <v>2.3090586145648313</v>
      </c>
      <c r="BA4" s="397">
        <v>0</v>
      </c>
      <c r="BB4" s="397">
        <v>25</v>
      </c>
      <c r="BC4" s="397">
        <v>1.4925373134328357</v>
      </c>
      <c r="BD4" s="397">
        <v>24.626865671641792</v>
      </c>
      <c r="BE4" s="397">
        <v>2.9850746268656714</v>
      </c>
      <c r="BF4" s="397">
        <v>45.895522388059703</v>
      </c>
      <c r="BG4" s="397">
        <v>0</v>
      </c>
      <c r="BH4" s="397">
        <v>4.7457627118644066</v>
      </c>
      <c r="BI4" s="397">
        <v>7.4576271186440684</v>
      </c>
      <c r="BJ4" s="397">
        <v>17.627118644067796</v>
      </c>
      <c r="BK4" s="397">
        <v>65.762711864406782</v>
      </c>
      <c r="BL4" s="397">
        <v>4.406779661016949</v>
      </c>
      <c r="BM4" s="397">
        <v>0</v>
      </c>
      <c r="BN4" s="397">
        <v>74.861367837338264</v>
      </c>
      <c r="BO4" s="397">
        <v>13.493530499075785</v>
      </c>
      <c r="BP4" s="397">
        <v>9.2421441774491679</v>
      </c>
      <c r="BQ4" s="397">
        <v>2.4029574861367835</v>
      </c>
      <c r="BR4" s="397">
        <v>0</v>
      </c>
      <c r="BS4" s="397">
        <v>32.765151515151516</v>
      </c>
      <c r="BT4" s="397">
        <v>11.553030303030303</v>
      </c>
      <c r="BU4" s="397">
        <v>1.5151515151515151</v>
      </c>
      <c r="BV4" s="397">
        <v>48.484848484848484</v>
      </c>
      <c r="BW4" s="397">
        <v>5.6818181818181817</v>
      </c>
      <c r="BX4" s="397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</row>
    <row r="5" spans="1:324" ht="13.5" customHeight="1">
      <c r="A5" s="425" t="s">
        <v>3</v>
      </c>
      <c r="B5" s="398">
        <v>1</v>
      </c>
      <c r="C5" s="399" t="s">
        <v>4</v>
      </c>
      <c r="D5" s="400">
        <v>80.180000000000007</v>
      </c>
      <c r="E5" s="400">
        <v>75.95</v>
      </c>
      <c r="F5" s="400">
        <v>71.930000000000007</v>
      </c>
      <c r="G5" s="401">
        <v>54</v>
      </c>
      <c r="H5" s="402">
        <v>4.230000000000004</v>
      </c>
      <c r="I5" s="402">
        <v>8.25</v>
      </c>
      <c r="J5" s="402">
        <v>26.180000000000007</v>
      </c>
      <c r="K5" s="391"/>
      <c r="L5" s="400">
        <v>81.25</v>
      </c>
      <c r="M5" s="400">
        <v>80.260000000000005</v>
      </c>
      <c r="N5" s="400">
        <v>77.540000000000006</v>
      </c>
      <c r="O5" s="403">
        <v>89.39</v>
      </c>
      <c r="P5" s="400">
        <v>70</v>
      </c>
      <c r="Q5" s="391"/>
      <c r="R5" s="400">
        <v>79.2</v>
      </c>
      <c r="S5" s="400">
        <v>82.09</v>
      </c>
      <c r="T5" s="391"/>
      <c r="U5" s="400" t="s">
        <v>800</v>
      </c>
      <c r="V5" s="400">
        <v>83.33</v>
      </c>
      <c r="W5" s="400">
        <v>79.31</v>
      </c>
      <c r="X5" s="400">
        <v>79.69</v>
      </c>
      <c r="Y5" s="400">
        <v>84.21</v>
      </c>
      <c r="Z5" s="391"/>
      <c r="AA5" s="403">
        <v>93.33</v>
      </c>
      <c r="AB5" s="400">
        <v>79.099999999999994</v>
      </c>
      <c r="AC5" s="403">
        <v>89.47</v>
      </c>
      <c r="AD5" s="400">
        <v>76.61</v>
      </c>
      <c r="AE5" s="400">
        <v>80.06</v>
      </c>
      <c r="AF5" s="391"/>
      <c r="AG5" s="400">
        <v>82.91</v>
      </c>
      <c r="AH5" s="400">
        <v>77.78</v>
      </c>
      <c r="AI5" s="400">
        <v>82.39</v>
      </c>
      <c r="AJ5" s="400">
        <v>72.73</v>
      </c>
      <c r="AK5" s="400">
        <v>83.33</v>
      </c>
      <c r="AL5" s="403">
        <v>100</v>
      </c>
      <c r="AM5" s="391"/>
      <c r="AN5" s="400">
        <v>79.959999999999994</v>
      </c>
      <c r="AO5" s="403">
        <v>100</v>
      </c>
      <c r="AP5" s="391"/>
      <c r="AQ5" s="400">
        <v>72.73</v>
      </c>
      <c r="AR5" s="400" t="s">
        <v>800</v>
      </c>
      <c r="AS5" s="400">
        <v>83.08</v>
      </c>
      <c r="AT5" s="400">
        <v>75</v>
      </c>
      <c r="AU5" s="400">
        <v>83.74</v>
      </c>
      <c r="AV5" s="400">
        <v>78.569999999999993</v>
      </c>
      <c r="AW5" s="400">
        <v>72.73</v>
      </c>
      <c r="AX5" s="400">
        <v>76.92</v>
      </c>
      <c r="AY5" s="400">
        <v>82.38</v>
      </c>
      <c r="AZ5" s="400">
        <v>84.62</v>
      </c>
      <c r="BA5" s="391"/>
      <c r="BB5" s="400">
        <v>72.73</v>
      </c>
      <c r="BC5" s="400" t="s">
        <v>800</v>
      </c>
      <c r="BD5" s="400">
        <v>83.08</v>
      </c>
      <c r="BE5" s="400">
        <v>75</v>
      </c>
      <c r="BF5" s="400">
        <v>83.74</v>
      </c>
      <c r="BG5" s="391"/>
      <c r="BH5" s="400">
        <v>78.569999999999993</v>
      </c>
      <c r="BI5" s="400">
        <v>72.73</v>
      </c>
      <c r="BJ5" s="400">
        <v>76.92</v>
      </c>
      <c r="BK5" s="400">
        <v>82.38</v>
      </c>
      <c r="BL5" s="400">
        <v>84.62</v>
      </c>
      <c r="BM5" s="391"/>
      <c r="BN5" s="400">
        <v>84.69</v>
      </c>
      <c r="BO5" s="400">
        <v>73.97</v>
      </c>
      <c r="BP5" s="400">
        <v>66</v>
      </c>
      <c r="BQ5" s="404">
        <v>38.46</v>
      </c>
      <c r="BR5" s="391"/>
      <c r="BS5" s="400">
        <v>77.459999999999994</v>
      </c>
      <c r="BT5" s="400">
        <v>77.05</v>
      </c>
      <c r="BU5" s="404">
        <v>25</v>
      </c>
      <c r="BV5" s="403">
        <v>85.55</v>
      </c>
      <c r="BW5" s="400">
        <v>76.67</v>
      </c>
      <c r="BX5" s="391"/>
    </row>
    <row r="6" spans="1:324">
      <c r="A6" s="426"/>
      <c r="B6" s="398">
        <v>2</v>
      </c>
      <c r="C6" s="399" t="s">
        <v>5</v>
      </c>
      <c r="D6" s="400">
        <v>77.62</v>
      </c>
      <c r="E6" s="400">
        <v>73.05</v>
      </c>
      <c r="F6" s="400">
        <v>72.400000000000006</v>
      </c>
      <c r="G6" s="401">
        <v>56</v>
      </c>
      <c r="H6" s="402">
        <v>4.5700000000000074</v>
      </c>
      <c r="I6" s="402">
        <v>5.2199999999999989</v>
      </c>
      <c r="J6" s="402">
        <v>21.620000000000005</v>
      </c>
      <c r="K6" s="391"/>
      <c r="L6" s="400">
        <v>79.17</v>
      </c>
      <c r="M6" s="400">
        <v>74.680000000000007</v>
      </c>
      <c r="N6" s="400">
        <v>78.069999999999993</v>
      </c>
      <c r="O6" s="400">
        <v>84.85</v>
      </c>
      <c r="P6" s="400">
        <v>70</v>
      </c>
      <c r="Q6" s="391"/>
      <c r="R6" s="400">
        <v>77.010000000000005</v>
      </c>
      <c r="S6" s="400">
        <v>78.36</v>
      </c>
      <c r="T6" s="391"/>
      <c r="U6" s="400" t="s">
        <v>800</v>
      </c>
      <c r="V6" s="403">
        <v>91.67</v>
      </c>
      <c r="W6" s="400">
        <v>78.16</v>
      </c>
      <c r="X6" s="400">
        <v>75.48</v>
      </c>
      <c r="Y6" s="400">
        <v>80</v>
      </c>
      <c r="Z6" s="391"/>
      <c r="AA6" s="403">
        <v>87.51</v>
      </c>
      <c r="AB6" s="400">
        <v>80.599999999999994</v>
      </c>
      <c r="AC6" s="400">
        <v>81.58</v>
      </c>
      <c r="AD6" s="400">
        <v>75.2</v>
      </c>
      <c r="AE6" s="400">
        <v>76.97</v>
      </c>
      <c r="AF6" s="391"/>
      <c r="AG6" s="400">
        <v>76.92</v>
      </c>
      <c r="AH6" s="400">
        <v>78.260000000000005</v>
      </c>
      <c r="AI6" s="400">
        <v>72.33</v>
      </c>
      <c r="AJ6" s="403">
        <v>86.36</v>
      </c>
      <c r="AK6" s="403">
        <v>93.33</v>
      </c>
      <c r="AL6" s="403">
        <v>100</v>
      </c>
      <c r="AM6" s="391"/>
      <c r="AN6" s="400">
        <v>76.97</v>
      </c>
      <c r="AO6" s="403">
        <v>100</v>
      </c>
      <c r="AP6" s="391"/>
      <c r="AQ6" s="400">
        <v>77.61</v>
      </c>
      <c r="AR6" s="400" t="s">
        <v>800</v>
      </c>
      <c r="AS6" s="400">
        <v>78.790000000000006</v>
      </c>
      <c r="AT6" s="400">
        <v>75</v>
      </c>
      <c r="AU6" s="400">
        <v>78.86</v>
      </c>
      <c r="AV6" s="403">
        <v>92.86</v>
      </c>
      <c r="AW6" s="403">
        <v>86.36</v>
      </c>
      <c r="AX6" s="400">
        <v>73.08</v>
      </c>
      <c r="AY6" s="400">
        <v>76.8</v>
      </c>
      <c r="AZ6" s="400">
        <v>76.92</v>
      </c>
      <c r="BA6" s="391"/>
      <c r="BB6" s="400">
        <v>77.61</v>
      </c>
      <c r="BC6" s="400" t="s">
        <v>800</v>
      </c>
      <c r="BD6" s="400">
        <v>78.790000000000006</v>
      </c>
      <c r="BE6" s="400">
        <v>75</v>
      </c>
      <c r="BF6" s="400">
        <v>78.86</v>
      </c>
      <c r="BG6" s="391"/>
      <c r="BH6" s="403">
        <v>92.86</v>
      </c>
      <c r="BI6" s="403">
        <v>86.36</v>
      </c>
      <c r="BJ6" s="400">
        <v>73.08</v>
      </c>
      <c r="BK6" s="400">
        <v>76.8</v>
      </c>
      <c r="BL6" s="400">
        <v>76.92</v>
      </c>
      <c r="BM6" s="391"/>
      <c r="BN6" s="400">
        <v>83.21</v>
      </c>
      <c r="BO6" s="400">
        <v>67.12</v>
      </c>
      <c r="BP6" s="401">
        <v>56</v>
      </c>
      <c r="BQ6" s="404">
        <v>30.77</v>
      </c>
      <c r="BR6" s="391"/>
      <c r="BS6" s="400">
        <v>78.03</v>
      </c>
      <c r="BT6" s="400">
        <v>73.77</v>
      </c>
      <c r="BU6" s="404">
        <v>12.51</v>
      </c>
      <c r="BV6" s="400">
        <v>81.25</v>
      </c>
      <c r="BW6" s="400">
        <v>66.67</v>
      </c>
      <c r="BX6" s="391"/>
    </row>
    <row r="7" spans="1:324">
      <c r="A7" s="426"/>
      <c r="B7" s="398">
        <v>3</v>
      </c>
      <c r="C7" s="399" t="s">
        <v>6</v>
      </c>
      <c r="D7" s="403">
        <v>85.61</v>
      </c>
      <c r="E7" s="400">
        <v>80.400000000000006</v>
      </c>
      <c r="F7" s="400">
        <v>81.36</v>
      </c>
      <c r="G7" s="400">
        <v>67</v>
      </c>
      <c r="H7" s="402">
        <v>5.2099999999999937</v>
      </c>
      <c r="I7" s="402">
        <v>4.25</v>
      </c>
      <c r="J7" s="402">
        <v>18.61</v>
      </c>
      <c r="K7" s="391"/>
      <c r="L7" s="400">
        <v>85.42</v>
      </c>
      <c r="M7" s="403">
        <v>86.7</v>
      </c>
      <c r="N7" s="400">
        <v>82.35</v>
      </c>
      <c r="O7" s="403">
        <v>92.42</v>
      </c>
      <c r="P7" s="400">
        <v>70</v>
      </c>
      <c r="Q7" s="391"/>
      <c r="R7" s="400">
        <v>85.4</v>
      </c>
      <c r="S7" s="403">
        <v>85.82</v>
      </c>
      <c r="T7" s="391"/>
      <c r="U7" s="400" t="s">
        <v>800</v>
      </c>
      <c r="V7" s="403">
        <v>91.67</v>
      </c>
      <c r="W7" s="400">
        <v>84.48</v>
      </c>
      <c r="X7" s="400">
        <v>84.29</v>
      </c>
      <c r="Y7" s="403">
        <v>89.47</v>
      </c>
      <c r="Z7" s="391"/>
      <c r="AA7" s="403">
        <v>93.75</v>
      </c>
      <c r="AB7" s="403">
        <v>86.57</v>
      </c>
      <c r="AC7" s="403">
        <v>92.11</v>
      </c>
      <c r="AD7" s="400">
        <v>84</v>
      </c>
      <c r="AE7" s="400">
        <v>84.86</v>
      </c>
      <c r="AF7" s="391"/>
      <c r="AG7" s="403">
        <v>88.89</v>
      </c>
      <c r="AH7" s="400">
        <v>85.02</v>
      </c>
      <c r="AI7" s="400">
        <v>82.39</v>
      </c>
      <c r="AJ7" s="403">
        <v>86.36</v>
      </c>
      <c r="AK7" s="403">
        <v>90</v>
      </c>
      <c r="AL7" s="403">
        <v>100</v>
      </c>
      <c r="AM7" s="391"/>
      <c r="AN7" s="400">
        <v>85.21</v>
      </c>
      <c r="AO7" s="403">
        <v>100</v>
      </c>
      <c r="AP7" s="391"/>
      <c r="AQ7" s="400">
        <v>80.599999999999994</v>
      </c>
      <c r="AR7" s="400" t="s">
        <v>800</v>
      </c>
      <c r="AS7" s="403">
        <v>89.39</v>
      </c>
      <c r="AT7" s="400">
        <v>75</v>
      </c>
      <c r="AU7" s="403">
        <v>89.43</v>
      </c>
      <c r="AV7" s="403">
        <v>92.86</v>
      </c>
      <c r="AW7" s="403">
        <v>95.45</v>
      </c>
      <c r="AX7" s="400">
        <v>76.92</v>
      </c>
      <c r="AY7" s="403">
        <v>85.57</v>
      </c>
      <c r="AZ7" s="403">
        <v>92.31</v>
      </c>
      <c r="BA7" s="391"/>
      <c r="BB7" s="400">
        <v>80.599999999999994</v>
      </c>
      <c r="BC7" s="400" t="s">
        <v>800</v>
      </c>
      <c r="BD7" s="403">
        <v>89.39</v>
      </c>
      <c r="BE7" s="400">
        <v>75</v>
      </c>
      <c r="BF7" s="403">
        <v>89.43</v>
      </c>
      <c r="BG7" s="391"/>
      <c r="BH7" s="403">
        <v>92.86</v>
      </c>
      <c r="BI7" s="403">
        <v>95.45</v>
      </c>
      <c r="BJ7" s="400">
        <v>76.92</v>
      </c>
      <c r="BK7" s="403">
        <v>85.57</v>
      </c>
      <c r="BL7" s="403">
        <v>92.31</v>
      </c>
      <c r="BM7" s="391"/>
      <c r="BN7" s="403">
        <v>88.89</v>
      </c>
      <c r="BO7" s="400">
        <v>83.56</v>
      </c>
      <c r="BP7" s="400">
        <v>74</v>
      </c>
      <c r="BQ7" s="404">
        <v>30.77</v>
      </c>
      <c r="BR7" s="391"/>
      <c r="BS7" s="400">
        <v>84.97</v>
      </c>
      <c r="BT7" s="400">
        <v>81.97</v>
      </c>
      <c r="BU7" s="404">
        <v>25</v>
      </c>
      <c r="BV7" s="403">
        <v>90.23</v>
      </c>
      <c r="BW7" s="400">
        <v>70</v>
      </c>
      <c r="BX7" s="391"/>
    </row>
    <row r="8" spans="1:324">
      <c r="A8" s="426"/>
      <c r="B8" s="398">
        <v>4</v>
      </c>
      <c r="C8" s="399" t="s">
        <v>7</v>
      </c>
      <c r="D8" s="403">
        <v>88.57</v>
      </c>
      <c r="E8" s="400">
        <v>85.08</v>
      </c>
      <c r="F8" s="400">
        <v>84.9</v>
      </c>
      <c r="G8" s="400">
        <v>71</v>
      </c>
      <c r="H8" s="402">
        <v>3.4899999999999949</v>
      </c>
      <c r="I8" s="402">
        <v>3.6699999999999875</v>
      </c>
      <c r="J8" s="402">
        <v>17.569999999999993</v>
      </c>
      <c r="K8" s="391"/>
      <c r="L8" s="403">
        <v>93.75</v>
      </c>
      <c r="M8" s="403">
        <v>89.27</v>
      </c>
      <c r="N8" s="400">
        <v>85.03</v>
      </c>
      <c r="O8" s="403">
        <v>95.45</v>
      </c>
      <c r="P8" s="400">
        <v>70</v>
      </c>
      <c r="Q8" s="391"/>
      <c r="R8" s="403">
        <v>89.42</v>
      </c>
      <c r="S8" s="403">
        <v>87.69</v>
      </c>
      <c r="T8" s="391"/>
      <c r="U8" s="400" t="s">
        <v>800</v>
      </c>
      <c r="V8" s="403">
        <v>91.67</v>
      </c>
      <c r="W8" s="403">
        <v>89.66</v>
      </c>
      <c r="X8" s="403">
        <v>86.21</v>
      </c>
      <c r="Y8" s="403">
        <v>92.63</v>
      </c>
      <c r="Z8" s="391"/>
      <c r="AA8" s="403">
        <v>93.33</v>
      </c>
      <c r="AB8" s="403">
        <v>89.55</v>
      </c>
      <c r="AC8" s="403">
        <v>100</v>
      </c>
      <c r="AD8" s="400">
        <v>83.87</v>
      </c>
      <c r="AE8" s="403">
        <v>88.61</v>
      </c>
      <c r="AF8" s="391"/>
      <c r="AG8" s="403">
        <v>89.74</v>
      </c>
      <c r="AH8" s="403">
        <v>87.92</v>
      </c>
      <c r="AI8" s="403">
        <v>87.42</v>
      </c>
      <c r="AJ8" s="403">
        <v>86.36</v>
      </c>
      <c r="AK8" s="403">
        <v>93.33</v>
      </c>
      <c r="AL8" s="403">
        <v>100</v>
      </c>
      <c r="AM8" s="391"/>
      <c r="AN8" s="403">
        <v>88.39</v>
      </c>
      <c r="AO8" s="403">
        <v>100</v>
      </c>
      <c r="AP8" s="391"/>
      <c r="AQ8" s="403">
        <v>86.36</v>
      </c>
      <c r="AR8" s="400" t="s">
        <v>800</v>
      </c>
      <c r="AS8" s="403">
        <v>89.23</v>
      </c>
      <c r="AT8" s="400">
        <v>75</v>
      </c>
      <c r="AU8" s="403">
        <v>86.99</v>
      </c>
      <c r="AV8" s="403">
        <v>85.71</v>
      </c>
      <c r="AW8" s="403">
        <v>95.45</v>
      </c>
      <c r="AX8" s="403">
        <v>90.38</v>
      </c>
      <c r="AY8" s="403">
        <v>90.16</v>
      </c>
      <c r="AZ8" s="403">
        <v>100</v>
      </c>
      <c r="BA8" s="391"/>
      <c r="BB8" s="403">
        <v>86.36</v>
      </c>
      <c r="BC8" s="400" t="s">
        <v>800</v>
      </c>
      <c r="BD8" s="403">
        <v>89.23</v>
      </c>
      <c r="BE8" s="400">
        <v>75</v>
      </c>
      <c r="BF8" s="403">
        <v>86.99</v>
      </c>
      <c r="BG8" s="391"/>
      <c r="BH8" s="403">
        <v>85.71</v>
      </c>
      <c r="BI8" s="403">
        <v>95.45</v>
      </c>
      <c r="BJ8" s="403">
        <v>90.38</v>
      </c>
      <c r="BK8" s="403">
        <v>90.16</v>
      </c>
      <c r="BL8" s="403">
        <v>100</v>
      </c>
      <c r="BM8" s="391"/>
      <c r="BN8" s="403">
        <v>92.1</v>
      </c>
      <c r="BO8" s="400">
        <v>82.19</v>
      </c>
      <c r="BP8" s="400">
        <v>78</v>
      </c>
      <c r="BQ8" s="401">
        <v>53.85</v>
      </c>
      <c r="BR8" s="391"/>
      <c r="BS8" s="403">
        <v>90.17</v>
      </c>
      <c r="BT8" s="400">
        <v>85.25</v>
      </c>
      <c r="BU8" s="404">
        <v>25</v>
      </c>
      <c r="BV8" s="403">
        <v>91.41</v>
      </c>
      <c r="BW8" s="400">
        <v>73.33</v>
      </c>
      <c r="BX8" s="391"/>
    </row>
    <row r="9" spans="1:324">
      <c r="A9" s="426"/>
      <c r="B9" s="398">
        <v>5</v>
      </c>
      <c r="C9" s="399" t="s">
        <v>8</v>
      </c>
      <c r="D9" s="400">
        <v>84.66</v>
      </c>
      <c r="E9" s="400">
        <v>78.099999999999994</v>
      </c>
      <c r="F9" s="400">
        <v>82.09</v>
      </c>
      <c r="G9" s="400">
        <v>63</v>
      </c>
      <c r="H9" s="402">
        <v>6.5600000000000023</v>
      </c>
      <c r="I9" s="402">
        <v>2.5699999999999932</v>
      </c>
      <c r="J9" s="402">
        <v>21.659999999999997</v>
      </c>
      <c r="K9" s="391"/>
      <c r="L9" s="403">
        <v>91.67</v>
      </c>
      <c r="M9" s="403">
        <v>87.45</v>
      </c>
      <c r="N9" s="400">
        <v>79.14</v>
      </c>
      <c r="O9" s="400">
        <v>84.85</v>
      </c>
      <c r="P9" s="400">
        <v>70</v>
      </c>
      <c r="Q9" s="391"/>
      <c r="R9" s="400">
        <v>82.78</v>
      </c>
      <c r="S9" s="403">
        <v>86.52</v>
      </c>
      <c r="T9" s="391"/>
      <c r="U9" s="400" t="s">
        <v>800</v>
      </c>
      <c r="V9" s="403">
        <v>100</v>
      </c>
      <c r="W9" s="403">
        <v>90.12</v>
      </c>
      <c r="X9" s="400">
        <v>80.08</v>
      </c>
      <c r="Y9" s="400">
        <v>84.21</v>
      </c>
      <c r="Z9" s="391"/>
      <c r="AA9" s="403">
        <v>93.33</v>
      </c>
      <c r="AB9" s="400">
        <v>74.63</v>
      </c>
      <c r="AC9" s="403">
        <v>86.84</v>
      </c>
      <c r="AD9" s="400">
        <v>83.74</v>
      </c>
      <c r="AE9" s="403">
        <v>86.49</v>
      </c>
      <c r="AF9" s="391"/>
      <c r="AG9" s="403">
        <v>87.93</v>
      </c>
      <c r="AH9" s="403">
        <v>85.92</v>
      </c>
      <c r="AI9" s="400">
        <v>81.13</v>
      </c>
      <c r="AJ9" s="400">
        <v>77.27</v>
      </c>
      <c r="AK9" s="400">
        <v>80</v>
      </c>
      <c r="AL9" s="403">
        <v>100</v>
      </c>
      <c r="AM9" s="391"/>
      <c r="AN9" s="400">
        <v>84.4</v>
      </c>
      <c r="AO9" s="403">
        <v>100</v>
      </c>
      <c r="AP9" s="391"/>
      <c r="AQ9" s="400">
        <v>78.459999999999994</v>
      </c>
      <c r="AR9" s="400" t="s">
        <v>800</v>
      </c>
      <c r="AS9" s="403">
        <v>88.89</v>
      </c>
      <c r="AT9" s="400">
        <v>75</v>
      </c>
      <c r="AU9" s="403">
        <v>86.89</v>
      </c>
      <c r="AV9" s="403">
        <v>100</v>
      </c>
      <c r="AW9" s="400">
        <v>68.180000000000007</v>
      </c>
      <c r="AX9" s="400">
        <v>80.77</v>
      </c>
      <c r="AY9" s="403">
        <v>86.39</v>
      </c>
      <c r="AZ9" s="403">
        <v>92.31</v>
      </c>
      <c r="BA9" s="391"/>
      <c r="BB9" s="400">
        <v>78.459999999999994</v>
      </c>
      <c r="BC9" s="400" t="s">
        <v>800</v>
      </c>
      <c r="BD9" s="403">
        <v>88.89</v>
      </c>
      <c r="BE9" s="400">
        <v>75</v>
      </c>
      <c r="BF9" s="403">
        <v>86.89</v>
      </c>
      <c r="BG9" s="391"/>
      <c r="BH9" s="403">
        <v>100</v>
      </c>
      <c r="BI9" s="400">
        <v>68.180000000000007</v>
      </c>
      <c r="BJ9" s="400">
        <v>80.77</v>
      </c>
      <c r="BK9" s="403">
        <v>86.39</v>
      </c>
      <c r="BL9" s="403">
        <v>92.31</v>
      </c>
      <c r="BM9" s="391"/>
      <c r="BN9" s="403">
        <v>88.86</v>
      </c>
      <c r="BO9" s="400">
        <v>70.83</v>
      </c>
      <c r="BP9" s="400">
        <v>74</v>
      </c>
      <c r="BQ9" s="401">
        <v>53.85</v>
      </c>
      <c r="BR9" s="391"/>
      <c r="BS9" s="400">
        <v>82.66</v>
      </c>
      <c r="BT9" s="400">
        <v>80.33</v>
      </c>
      <c r="BU9" s="404">
        <v>37.51</v>
      </c>
      <c r="BV9" s="403">
        <v>89.02</v>
      </c>
      <c r="BW9" s="400">
        <v>75.86</v>
      </c>
      <c r="BX9" s="391"/>
    </row>
    <row r="10" spans="1:324">
      <c r="A10" s="426"/>
      <c r="B10" s="398">
        <v>6</v>
      </c>
      <c r="C10" s="399" t="s">
        <v>9</v>
      </c>
      <c r="D10" s="400">
        <v>84.74</v>
      </c>
      <c r="E10" s="400">
        <v>77.3</v>
      </c>
      <c r="F10" s="400">
        <v>78.010000000000005</v>
      </c>
      <c r="G10" s="401">
        <v>58</v>
      </c>
      <c r="H10" s="402">
        <v>7.4399999999999977</v>
      </c>
      <c r="I10" s="402">
        <v>6.7299999999999898</v>
      </c>
      <c r="J10" s="402">
        <v>26.739999999999995</v>
      </c>
      <c r="K10" s="391"/>
      <c r="L10" s="400">
        <v>83.33</v>
      </c>
      <c r="M10" s="400">
        <v>84.55</v>
      </c>
      <c r="N10" s="403">
        <v>86.1</v>
      </c>
      <c r="O10" s="403">
        <v>87.88</v>
      </c>
      <c r="P10" s="401">
        <v>60</v>
      </c>
      <c r="Q10" s="391"/>
      <c r="R10" s="400">
        <v>83.94</v>
      </c>
      <c r="S10" s="403">
        <v>85.82</v>
      </c>
      <c r="T10" s="391"/>
      <c r="U10" s="400" t="s">
        <v>800</v>
      </c>
      <c r="V10" s="403">
        <v>91.67</v>
      </c>
      <c r="W10" s="400">
        <v>82.76</v>
      </c>
      <c r="X10" s="400">
        <v>85.06</v>
      </c>
      <c r="Y10" s="403">
        <v>87.37</v>
      </c>
      <c r="Z10" s="391"/>
      <c r="AA10" s="403">
        <v>93.33</v>
      </c>
      <c r="AB10" s="403">
        <v>86.57</v>
      </c>
      <c r="AC10" s="400">
        <v>84.21</v>
      </c>
      <c r="AD10" s="403">
        <v>88.62</v>
      </c>
      <c r="AE10" s="400">
        <v>82.48</v>
      </c>
      <c r="AF10" s="391"/>
      <c r="AG10" s="403">
        <v>87.18</v>
      </c>
      <c r="AH10" s="400">
        <v>83.57</v>
      </c>
      <c r="AI10" s="400">
        <v>83.02</v>
      </c>
      <c r="AJ10" s="403">
        <v>95.45</v>
      </c>
      <c r="AK10" s="403">
        <v>86.67</v>
      </c>
      <c r="AL10" s="403">
        <v>100</v>
      </c>
      <c r="AM10" s="391"/>
      <c r="AN10" s="400">
        <v>84.83</v>
      </c>
      <c r="AO10" s="403">
        <v>100</v>
      </c>
      <c r="AP10" s="391"/>
      <c r="AQ10" s="400">
        <v>81.819999999999993</v>
      </c>
      <c r="AR10" s="400" t="s">
        <v>800</v>
      </c>
      <c r="AS10" s="403">
        <v>87.3</v>
      </c>
      <c r="AT10" s="400">
        <v>75</v>
      </c>
      <c r="AU10" s="403">
        <v>90.24</v>
      </c>
      <c r="AV10" s="403">
        <v>100</v>
      </c>
      <c r="AW10" s="403">
        <v>90.91</v>
      </c>
      <c r="AX10" s="403">
        <v>90.38</v>
      </c>
      <c r="AY10" s="400">
        <v>79.69</v>
      </c>
      <c r="AZ10" s="400">
        <v>84.62</v>
      </c>
      <c r="BA10" s="391"/>
      <c r="BB10" s="400">
        <v>81.819999999999993</v>
      </c>
      <c r="BC10" s="400" t="s">
        <v>800</v>
      </c>
      <c r="BD10" s="403">
        <v>87.3</v>
      </c>
      <c r="BE10" s="400">
        <v>75</v>
      </c>
      <c r="BF10" s="403">
        <v>90.24</v>
      </c>
      <c r="BG10" s="391"/>
      <c r="BH10" s="403">
        <v>100</v>
      </c>
      <c r="BI10" s="403">
        <v>90.91</v>
      </c>
      <c r="BJ10" s="403">
        <v>90.38</v>
      </c>
      <c r="BK10" s="400">
        <v>79.69</v>
      </c>
      <c r="BL10" s="400">
        <v>84.62</v>
      </c>
      <c r="BM10" s="391"/>
      <c r="BN10" s="403">
        <v>88.89</v>
      </c>
      <c r="BO10" s="400">
        <v>76.709999999999994</v>
      </c>
      <c r="BP10" s="400">
        <v>70</v>
      </c>
      <c r="BQ10" s="400">
        <v>61.54</v>
      </c>
      <c r="BR10" s="391"/>
      <c r="BS10" s="400">
        <v>82.66</v>
      </c>
      <c r="BT10" s="403">
        <v>86.89</v>
      </c>
      <c r="BU10" s="404">
        <v>37.51</v>
      </c>
      <c r="BV10" s="403">
        <v>88.28</v>
      </c>
      <c r="BW10" s="400">
        <v>73.33</v>
      </c>
      <c r="BX10" s="391"/>
    </row>
    <row r="11" spans="1:324">
      <c r="A11" s="426"/>
      <c r="B11" s="398">
        <v>7</v>
      </c>
      <c r="C11" s="399" t="s">
        <v>10</v>
      </c>
      <c r="D11" s="400">
        <v>75.040000000000006</v>
      </c>
      <c r="E11" s="400">
        <v>68.61</v>
      </c>
      <c r="F11" s="400">
        <v>68.849999999999994</v>
      </c>
      <c r="G11" s="401">
        <v>48</v>
      </c>
      <c r="H11" s="402">
        <v>6.4300000000000068</v>
      </c>
      <c r="I11" s="402">
        <v>6.1900000000000119</v>
      </c>
      <c r="J11" s="402">
        <v>27.040000000000006</v>
      </c>
      <c r="K11" s="391"/>
      <c r="L11" s="400">
        <v>68.75</v>
      </c>
      <c r="M11" s="400">
        <v>74.680000000000007</v>
      </c>
      <c r="N11" s="400">
        <v>77.010000000000005</v>
      </c>
      <c r="O11" s="400">
        <v>77.27</v>
      </c>
      <c r="P11" s="400">
        <v>70</v>
      </c>
      <c r="Q11" s="391"/>
      <c r="R11" s="400">
        <v>77.739999999999995</v>
      </c>
      <c r="S11" s="400">
        <v>72.760000000000005</v>
      </c>
      <c r="T11" s="391"/>
      <c r="U11" s="400" t="s">
        <v>800</v>
      </c>
      <c r="V11" s="400">
        <v>83.33</v>
      </c>
      <c r="W11" s="400">
        <v>77.010000000000005</v>
      </c>
      <c r="X11" s="400">
        <v>71.260000000000005</v>
      </c>
      <c r="Y11" s="400">
        <v>81.05</v>
      </c>
      <c r="Z11" s="391"/>
      <c r="AA11" s="403">
        <v>93.33</v>
      </c>
      <c r="AB11" s="400">
        <v>76.12</v>
      </c>
      <c r="AC11" s="400">
        <v>84.21</v>
      </c>
      <c r="AD11" s="400">
        <v>78.05</v>
      </c>
      <c r="AE11" s="400">
        <v>71.66</v>
      </c>
      <c r="AF11" s="391"/>
      <c r="AG11" s="400">
        <v>74.36</v>
      </c>
      <c r="AH11" s="400">
        <v>75.849999999999994</v>
      </c>
      <c r="AI11" s="400">
        <v>72.959999999999994</v>
      </c>
      <c r="AJ11" s="403">
        <v>86.36</v>
      </c>
      <c r="AK11" s="400">
        <v>76.67</v>
      </c>
      <c r="AL11" s="400">
        <v>83.33</v>
      </c>
      <c r="AM11" s="391"/>
      <c r="AN11" s="400">
        <v>74.91</v>
      </c>
      <c r="AO11" s="403">
        <v>100</v>
      </c>
      <c r="AP11" s="391"/>
      <c r="AQ11" s="400">
        <v>74.239999999999995</v>
      </c>
      <c r="AR11" s="400" t="s">
        <v>800</v>
      </c>
      <c r="AS11" s="400">
        <v>82.54</v>
      </c>
      <c r="AT11" s="400">
        <v>75</v>
      </c>
      <c r="AU11" s="400">
        <v>73.98</v>
      </c>
      <c r="AV11" s="403">
        <v>85.71</v>
      </c>
      <c r="AW11" s="400">
        <v>72.73</v>
      </c>
      <c r="AX11" s="400">
        <v>78.849999999999994</v>
      </c>
      <c r="AY11" s="400">
        <v>72.400000000000006</v>
      </c>
      <c r="AZ11" s="400">
        <v>84.62</v>
      </c>
      <c r="BA11" s="391"/>
      <c r="BB11" s="400">
        <v>74.239999999999995</v>
      </c>
      <c r="BC11" s="400" t="s">
        <v>800</v>
      </c>
      <c r="BD11" s="400">
        <v>82.54</v>
      </c>
      <c r="BE11" s="400">
        <v>75</v>
      </c>
      <c r="BF11" s="400">
        <v>73.98</v>
      </c>
      <c r="BG11" s="391"/>
      <c r="BH11" s="403">
        <v>85.71</v>
      </c>
      <c r="BI11" s="400">
        <v>72.73</v>
      </c>
      <c r="BJ11" s="400">
        <v>78.849999999999994</v>
      </c>
      <c r="BK11" s="400">
        <v>72.400000000000006</v>
      </c>
      <c r="BL11" s="400">
        <v>84.62</v>
      </c>
      <c r="BM11" s="391"/>
      <c r="BN11" s="400">
        <v>80</v>
      </c>
      <c r="BO11" s="400">
        <v>65.75</v>
      </c>
      <c r="BP11" s="401">
        <v>56</v>
      </c>
      <c r="BQ11" s="401">
        <v>46.15</v>
      </c>
      <c r="BR11" s="391"/>
      <c r="BS11" s="400">
        <v>73.41</v>
      </c>
      <c r="BT11" s="400">
        <v>78.69</v>
      </c>
      <c r="BU11" s="404">
        <v>12.51</v>
      </c>
      <c r="BV11" s="400">
        <v>79.69</v>
      </c>
      <c r="BW11" s="401">
        <v>53.33</v>
      </c>
      <c r="BX11" s="391"/>
    </row>
    <row r="12" spans="1:324">
      <c r="A12" s="426"/>
      <c r="B12" s="398">
        <v>8</v>
      </c>
      <c r="C12" s="399" t="s">
        <v>11</v>
      </c>
      <c r="D12" s="403">
        <v>86</v>
      </c>
      <c r="E12" s="403">
        <v>86.58</v>
      </c>
      <c r="F12" s="400">
        <v>82.88</v>
      </c>
      <c r="G12" s="400">
        <v>67</v>
      </c>
      <c r="H12" s="402">
        <v>-0.57999999999999829</v>
      </c>
      <c r="I12" s="402">
        <v>3.1200000000000045</v>
      </c>
      <c r="J12" s="402">
        <v>19</v>
      </c>
      <c r="K12" s="391"/>
      <c r="L12" s="403">
        <v>87.51</v>
      </c>
      <c r="M12" s="400">
        <v>85.41</v>
      </c>
      <c r="N12" s="400">
        <v>84.49</v>
      </c>
      <c r="O12" s="403">
        <v>90.91</v>
      </c>
      <c r="P12" s="400">
        <v>80</v>
      </c>
      <c r="Q12" s="391"/>
      <c r="R12" s="403">
        <v>87.23</v>
      </c>
      <c r="S12" s="400">
        <v>84.33</v>
      </c>
      <c r="T12" s="391"/>
      <c r="U12" s="400" t="s">
        <v>800</v>
      </c>
      <c r="V12" s="403">
        <v>91.67</v>
      </c>
      <c r="W12" s="403">
        <v>85.63</v>
      </c>
      <c r="X12" s="403">
        <v>85.82</v>
      </c>
      <c r="Y12" s="400">
        <v>85.26</v>
      </c>
      <c r="Z12" s="391"/>
      <c r="AA12" s="403">
        <v>100</v>
      </c>
      <c r="AB12" s="403">
        <v>88.06</v>
      </c>
      <c r="AC12" s="403">
        <v>89.47</v>
      </c>
      <c r="AD12" s="403">
        <v>86.99</v>
      </c>
      <c r="AE12" s="400">
        <v>84.08</v>
      </c>
      <c r="AF12" s="391"/>
      <c r="AG12" s="403">
        <v>87.18</v>
      </c>
      <c r="AH12" s="403">
        <v>85.51</v>
      </c>
      <c r="AI12" s="400">
        <v>84.28</v>
      </c>
      <c r="AJ12" s="403">
        <v>90.91</v>
      </c>
      <c r="AK12" s="403">
        <v>90</v>
      </c>
      <c r="AL12" s="400">
        <v>83.33</v>
      </c>
      <c r="AM12" s="391"/>
      <c r="AN12" s="403">
        <v>85.58</v>
      </c>
      <c r="AO12" s="403">
        <v>100</v>
      </c>
      <c r="AP12" s="391"/>
      <c r="AQ12" s="403">
        <v>89.39</v>
      </c>
      <c r="AR12" s="400" t="s">
        <v>800</v>
      </c>
      <c r="AS12" s="400">
        <v>84.13</v>
      </c>
      <c r="AT12" s="400">
        <v>75</v>
      </c>
      <c r="AU12" s="403">
        <v>86.18</v>
      </c>
      <c r="AV12" s="403">
        <v>85.71</v>
      </c>
      <c r="AW12" s="403">
        <v>100</v>
      </c>
      <c r="AX12" s="403">
        <v>94.23</v>
      </c>
      <c r="AY12" s="400">
        <v>83.85</v>
      </c>
      <c r="AZ12" s="400">
        <v>61.54</v>
      </c>
      <c r="BA12" s="391"/>
      <c r="BB12" s="403">
        <v>89.39</v>
      </c>
      <c r="BC12" s="400" t="s">
        <v>800</v>
      </c>
      <c r="BD12" s="400">
        <v>84.13</v>
      </c>
      <c r="BE12" s="400">
        <v>75</v>
      </c>
      <c r="BF12" s="403">
        <v>86.18</v>
      </c>
      <c r="BG12" s="391"/>
      <c r="BH12" s="403">
        <v>85.71</v>
      </c>
      <c r="BI12" s="403">
        <v>100</v>
      </c>
      <c r="BJ12" s="403">
        <v>94.23</v>
      </c>
      <c r="BK12" s="400">
        <v>83.85</v>
      </c>
      <c r="BL12" s="400">
        <v>61.54</v>
      </c>
      <c r="BM12" s="391"/>
      <c r="BN12" s="403">
        <v>89.38</v>
      </c>
      <c r="BO12" s="400">
        <v>79.45</v>
      </c>
      <c r="BP12" s="400">
        <v>74</v>
      </c>
      <c r="BQ12" s="400">
        <v>61.54</v>
      </c>
      <c r="BR12" s="391"/>
      <c r="BS12" s="403">
        <v>87.86</v>
      </c>
      <c r="BT12" s="400">
        <v>83.61</v>
      </c>
      <c r="BU12" s="404">
        <v>25</v>
      </c>
      <c r="BV12" s="403">
        <v>88.67</v>
      </c>
      <c r="BW12" s="400">
        <v>70</v>
      </c>
      <c r="BX12" s="391"/>
    </row>
    <row r="13" spans="1:324">
      <c r="A13" s="426"/>
      <c r="B13" s="398">
        <v>9</v>
      </c>
      <c r="C13" s="399" t="s">
        <v>12</v>
      </c>
      <c r="D13" s="403">
        <v>88.33</v>
      </c>
      <c r="E13" s="403">
        <v>88.14</v>
      </c>
      <c r="F13" s="403">
        <v>86.01</v>
      </c>
      <c r="G13" s="400">
        <v>71</v>
      </c>
      <c r="H13" s="402">
        <v>0.18999999999999773</v>
      </c>
      <c r="I13" s="402">
        <v>2.3199999999999932</v>
      </c>
      <c r="J13" s="402">
        <v>17.329999999999998</v>
      </c>
      <c r="K13" s="391"/>
      <c r="L13" s="403">
        <v>89.58</v>
      </c>
      <c r="M13" s="403">
        <v>87.55</v>
      </c>
      <c r="N13" s="403">
        <v>87.7</v>
      </c>
      <c r="O13" s="403">
        <v>92.42</v>
      </c>
      <c r="P13" s="400">
        <v>80</v>
      </c>
      <c r="Q13" s="391"/>
      <c r="R13" s="403">
        <v>87.59</v>
      </c>
      <c r="S13" s="403">
        <v>88.81</v>
      </c>
      <c r="T13" s="391"/>
      <c r="U13" s="400" t="s">
        <v>800</v>
      </c>
      <c r="V13" s="403">
        <v>100</v>
      </c>
      <c r="W13" s="403">
        <v>89.66</v>
      </c>
      <c r="X13" s="403">
        <v>87.36</v>
      </c>
      <c r="Y13" s="403">
        <v>86.32</v>
      </c>
      <c r="Z13" s="391"/>
      <c r="AA13" s="403">
        <v>100</v>
      </c>
      <c r="AB13" s="403">
        <v>91.04</v>
      </c>
      <c r="AC13" s="403">
        <v>86.84</v>
      </c>
      <c r="AD13" s="403">
        <v>88.62</v>
      </c>
      <c r="AE13" s="403">
        <v>87.26</v>
      </c>
      <c r="AF13" s="391"/>
      <c r="AG13" s="403">
        <v>88.03</v>
      </c>
      <c r="AH13" s="403">
        <v>88.41</v>
      </c>
      <c r="AI13" s="403">
        <v>85.53</v>
      </c>
      <c r="AJ13" s="403">
        <v>95.45</v>
      </c>
      <c r="AK13" s="403">
        <v>93.33</v>
      </c>
      <c r="AL13" s="403">
        <v>100</v>
      </c>
      <c r="AM13" s="391"/>
      <c r="AN13" s="403">
        <v>88.01</v>
      </c>
      <c r="AO13" s="403">
        <v>100</v>
      </c>
      <c r="AP13" s="391"/>
      <c r="AQ13" s="403">
        <v>87.88</v>
      </c>
      <c r="AR13" s="400" t="s">
        <v>800</v>
      </c>
      <c r="AS13" s="403">
        <v>87.3</v>
      </c>
      <c r="AT13" s="403">
        <v>87.51</v>
      </c>
      <c r="AU13" s="403">
        <v>88.62</v>
      </c>
      <c r="AV13" s="403">
        <v>100</v>
      </c>
      <c r="AW13" s="403">
        <v>95.45</v>
      </c>
      <c r="AX13" s="403">
        <v>92.31</v>
      </c>
      <c r="AY13" s="403">
        <v>86.46</v>
      </c>
      <c r="AZ13" s="400">
        <v>84.62</v>
      </c>
      <c r="BA13" s="391"/>
      <c r="BB13" s="403">
        <v>87.88</v>
      </c>
      <c r="BC13" s="400" t="s">
        <v>800</v>
      </c>
      <c r="BD13" s="403">
        <v>87.3</v>
      </c>
      <c r="BE13" s="403">
        <v>87.51</v>
      </c>
      <c r="BF13" s="403">
        <v>88.62</v>
      </c>
      <c r="BG13" s="391"/>
      <c r="BH13" s="403">
        <v>100</v>
      </c>
      <c r="BI13" s="403">
        <v>95.45</v>
      </c>
      <c r="BJ13" s="403">
        <v>92.31</v>
      </c>
      <c r="BK13" s="403">
        <v>86.46</v>
      </c>
      <c r="BL13" s="400">
        <v>84.62</v>
      </c>
      <c r="BM13" s="391"/>
      <c r="BN13" s="403">
        <v>90.37</v>
      </c>
      <c r="BO13" s="400">
        <v>84.93</v>
      </c>
      <c r="BP13" s="400">
        <v>84</v>
      </c>
      <c r="BQ13" s="401">
        <v>53.85</v>
      </c>
      <c r="BR13" s="391"/>
      <c r="BS13" s="403">
        <v>90.17</v>
      </c>
      <c r="BT13" s="400">
        <v>85.25</v>
      </c>
      <c r="BU13" s="404">
        <v>25</v>
      </c>
      <c r="BV13" s="403">
        <v>92.19</v>
      </c>
      <c r="BW13" s="400">
        <v>70</v>
      </c>
      <c r="BX13" s="391"/>
    </row>
    <row r="14" spans="1:324">
      <c r="A14" s="426"/>
      <c r="B14" s="398">
        <v>10</v>
      </c>
      <c r="C14" s="399" t="s">
        <v>13</v>
      </c>
      <c r="D14" s="400">
        <v>80.86</v>
      </c>
      <c r="E14" s="400">
        <v>75.67</v>
      </c>
      <c r="F14" s="400">
        <v>77.41</v>
      </c>
      <c r="G14" s="401">
        <v>58</v>
      </c>
      <c r="H14" s="402">
        <v>5.1899999999999977</v>
      </c>
      <c r="I14" s="402">
        <v>3.4500000000000028</v>
      </c>
      <c r="J14" s="402">
        <v>22.86</v>
      </c>
      <c r="K14" s="391"/>
      <c r="L14" s="400">
        <v>79.17</v>
      </c>
      <c r="M14" s="400">
        <v>82.76</v>
      </c>
      <c r="N14" s="400">
        <v>78.069999999999993</v>
      </c>
      <c r="O14" s="400">
        <v>83.33</v>
      </c>
      <c r="P14" s="400">
        <v>70</v>
      </c>
      <c r="Q14" s="391"/>
      <c r="R14" s="400">
        <v>77.37</v>
      </c>
      <c r="S14" s="400">
        <v>83.9</v>
      </c>
      <c r="T14" s="391"/>
      <c r="U14" s="400" t="s">
        <v>800</v>
      </c>
      <c r="V14" s="403">
        <v>100</v>
      </c>
      <c r="W14" s="400">
        <v>82.08</v>
      </c>
      <c r="X14" s="400">
        <v>78.16</v>
      </c>
      <c r="Y14" s="400">
        <v>82.11</v>
      </c>
      <c r="Z14" s="391"/>
      <c r="AA14" s="403">
        <v>93.33</v>
      </c>
      <c r="AB14" s="400">
        <v>79.099999999999994</v>
      </c>
      <c r="AC14" s="403">
        <v>86.84</v>
      </c>
      <c r="AD14" s="400">
        <v>77.42</v>
      </c>
      <c r="AE14" s="400">
        <v>81.27</v>
      </c>
      <c r="AF14" s="391"/>
      <c r="AG14" s="400">
        <v>79.489999999999995</v>
      </c>
      <c r="AH14" s="400">
        <v>83.49</v>
      </c>
      <c r="AI14" s="400">
        <v>78.62</v>
      </c>
      <c r="AJ14" s="400">
        <v>77.27</v>
      </c>
      <c r="AK14" s="400">
        <v>80</v>
      </c>
      <c r="AL14" s="400">
        <v>83.33</v>
      </c>
      <c r="AM14" s="391"/>
      <c r="AN14" s="400">
        <v>80.489999999999995</v>
      </c>
      <c r="AO14" s="403">
        <v>85.71</v>
      </c>
      <c r="AP14" s="391"/>
      <c r="AQ14" s="400">
        <v>71.209999999999994</v>
      </c>
      <c r="AR14" s="400" t="s">
        <v>800</v>
      </c>
      <c r="AS14" s="400">
        <v>84.62</v>
      </c>
      <c r="AT14" s="400">
        <v>75</v>
      </c>
      <c r="AU14" s="400">
        <v>82.79</v>
      </c>
      <c r="AV14" s="403">
        <v>100</v>
      </c>
      <c r="AW14" s="400">
        <v>63.64</v>
      </c>
      <c r="AX14" s="400">
        <v>78.849999999999994</v>
      </c>
      <c r="AY14" s="400">
        <v>83.42</v>
      </c>
      <c r="AZ14" s="403">
        <v>92.31</v>
      </c>
      <c r="BA14" s="391"/>
      <c r="BB14" s="400">
        <v>71.209999999999994</v>
      </c>
      <c r="BC14" s="400" t="s">
        <v>800</v>
      </c>
      <c r="BD14" s="400">
        <v>84.62</v>
      </c>
      <c r="BE14" s="400">
        <v>75</v>
      </c>
      <c r="BF14" s="400">
        <v>82.79</v>
      </c>
      <c r="BG14" s="391"/>
      <c r="BH14" s="403">
        <v>100</v>
      </c>
      <c r="BI14" s="400">
        <v>63.64</v>
      </c>
      <c r="BJ14" s="400">
        <v>78.849999999999994</v>
      </c>
      <c r="BK14" s="400">
        <v>83.42</v>
      </c>
      <c r="BL14" s="403">
        <v>92.31</v>
      </c>
      <c r="BM14" s="391"/>
      <c r="BN14" s="400">
        <v>84.94</v>
      </c>
      <c r="BO14" s="400">
        <v>72.22</v>
      </c>
      <c r="BP14" s="400">
        <v>68</v>
      </c>
      <c r="BQ14" s="404">
        <v>38.46</v>
      </c>
      <c r="BR14" s="391"/>
      <c r="BS14" s="400">
        <v>81.510000000000005</v>
      </c>
      <c r="BT14" s="400">
        <v>77.05</v>
      </c>
      <c r="BU14" s="404">
        <v>12.51</v>
      </c>
      <c r="BV14" s="400">
        <v>83.2</v>
      </c>
      <c r="BW14" s="400">
        <v>75.86</v>
      </c>
      <c r="BX14" s="391"/>
    </row>
    <row r="15" spans="1:324">
      <c r="A15" s="426"/>
      <c r="B15" s="398">
        <v>11</v>
      </c>
      <c r="C15" s="399" t="s">
        <v>14</v>
      </c>
      <c r="D15" s="400">
        <v>80.430000000000007</v>
      </c>
      <c r="E15" s="400">
        <v>75.23</v>
      </c>
      <c r="F15" s="400">
        <v>74.319999999999993</v>
      </c>
      <c r="G15" s="401">
        <v>54</v>
      </c>
      <c r="H15" s="402">
        <v>5.2000000000000028</v>
      </c>
      <c r="I15" s="402">
        <v>6.1100000000000136</v>
      </c>
      <c r="J15" s="402">
        <v>26.430000000000007</v>
      </c>
      <c r="K15" s="391"/>
      <c r="L15" s="400">
        <v>83.33</v>
      </c>
      <c r="M15" s="400">
        <v>81.12</v>
      </c>
      <c r="N15" s="400">
        <v>78.61</v>
      </c>
      <c r="O15" s="400">
        <v>84.85</v>
      </c>
      <c r="P15" s="400">
        <v>70</v>
      </c>
      <c r="Q15" s="391"/>
      <c r="R15" s="400">
        <v>80.66</v>
      </c>
      <c r="S15" s="400">
        <v>80.97</v>
      </c>
      <c r="T15" s="391"/>
      <c r="U15" s="400" t="s">
        <v>800</v>
      </c>
      <c r="V15" s="403">
        <v>100</v>
      </c>
      <c r="W15" s="400">
        <v>82.18</v>
      </c>
      <c r="X15" s="400">
        <v>77.39</v>
      </c>
      <c r="Y15" s="400">
        <v>84.21</v>
      </c>
      <c r="Z15" s="391"/>
      <c r="AA15" s="403">
        <v>86.67</v>
      </c>
      <c r="AB15" s="400">
        <v>82.09</v>
      </c>
      <c r="AC15" s="400">
        <v>76.319999999999993</v>
      </c>
      <c r="AD15" s="400">
        <v>79.67</v>
      </c>
      <c r="AE15" s="400">
        <v>80.569999999999993</v>
      </c>
      <c r="AF15" s="391"/>
      <c r="AG15" s="400">
        <v>82.91</v>
      </c>
      <c r="AH15" s="400">
        <v>83.09</v>
      </c>
      <c r="AI15" s="400">
        <v>74.84</v>
      </c>
      <c r="AJ15" s="403">
        <v>90.91</v>
      </c>
      <c r="AK15" s="400">
        <v>80</v>
      </c>
      <c r="AL15" s="400">
        <v>83.33</v>
      </c>
      <c r="AM15" s="391"/>
      <c r="AN15" s="400">
        <v>80.34</v>
      </c>
      <c r="AO15" s="403">
        <v>100</v>
      </c>
      <c r="AP15" s="391"/>
      <c r="AQ15" s="400">
        <v>71.209999999999994</v>
      </c>
      <c r="AR15" s="400" t="s">
        <v>800</v>
      </c>
      <c r="AS15" s="403">
        <v>90.48</v>
      </c>
      <c r="AT15" s="400">
        <v>62.51</v>
      </c>
      <c r="AU15" s="400">
        <v>82.93</v>
      </c>
      <c r="AV15" s="403">
        <v>92.86</v>
      </c>
      <c r="AW15" s="403">
        <v>95.45</v>
      </c>
      <c r="AX15" s="400">
        <v>73.08</v>
      </c>
      <c r="AY15" s="400">
        <v>79.17</v>
      </c>
      <c r="AZ15" s="400">
        <v>84.62</v>
      </c>
      <c r="BA15" s="391"/>
      <c r="BB15" s="400">
        <v>71.209999999999994</v>
      </c>
      <c r="BC15" s="400" t="s">
        <v>800</v>
      </c>
      <c r="BD15" s="403">
        <v>90.48</v>
      </c>
      <c r="BE15" s="400">
        <v>62.51</v>
      </c>
      <c r="BF15" s="400">
        <v>82.93</v>
      </c>
      <c r="BG15" s="391"/>
      <c r="BH15" s="403">
        <v>92.86</v>
      </c>
      <c r="BI15" s="403">
        <v>95.45</v>
      </c>
      <c r="BJ15" s="400">
        <v>73.08</v>
      </c>
      <c r="BK15" s="400">
        <v>79.17</v>
      </c>
      <c r="BL15" s="400">
        <v>84.62</v>
      </c>
      <c r="BM15" s="391"/>
      <c r="BN15" s="403">
        <v>85.68</v>
      </c>
      <c r="BO15" s="400">
        <v>69.86</v>
      </c>
      <c r="BP15" s="400">
        <v>64</v>
      </c>
      <c r="BQ15" s="401">
        <v>46.15</v>
      </c>
      <c r="BR15" s="391"/>
      <c r="BS15" s="400">
        <v>81.510000000000005</v>
      </c>
      <c r="BT15" s="400">
        <v>75.41</v>
      </c>
      <c r="BU15" s="404">
        <v>12.51</v>
      </c>
      <c r="BV15" s="400">
        <v>84.77</v>
      </c>
      <c r="BW15" s="400">
        <v>70</v>
      </c>
      <c r="BX15" s="391"/>
    </row>
    <row r="16" spans="1:324">
      <c r="A16" s="426"/>
      <c r="B16" s="398">
        <v>12</v>
      </c>
      <c r="C16" s="399" t="s">
        <v>15</v>
      </c>
      <c r="D16" s="400">
        <v>80.430000000000007</v>
      </c>
      <c r="E16" s="400">
        <v>73.09</v>
      </c>
      <c r="F16" s="400">
        <v>74.2</v>
      </c>
      <c r="G16" s="401">
        <v>53</v>
      </c>
      <c r="H16" s="402">
        <v>7.3400000000000034</v>
      </c>
      <c r="I16" s="402">
        <v>6.230000000000004</v>
      </c>
      <c r="J16" s="402">
        <v>27.430000000000007</v>
      </c>
      <c r="K16" s="391"/>
      <c r="L16" s="400">
        <v>83.33</v>
      </c>
      <c r="M16" s="400">
        <v>77.680000000000007</v>
      </c>
      <c r="N16" s="400">
        <v>81.28</v>
      </c>
      <c r="O16" s="403">
        <v>87.88</v>
      </c>
      <c r="P16" s="400">
        <v>70</v>
      </c>
      <c r="Q16" s="391"/>
      <c r="R16" s="400">
        <v>81.39</v>
      </c>
      <c r="S16" s="400">
        <v>79.849999999999994</v>
      </c>
      <c r="T16" s="391"/>
      <c r="U16" s="400" t="s">
        <v>800</v>
      </c>
      <c r="V16" s="403">
        <v>91.67</v>
      </c>
      <c r="W16" s="400">
        <v>82.76</v>
      </c>
      <c r="X16" s="400">
        <v>78.16</v>
      </c>
      <c r="Y16" s="400">
        <v>82.11</v>
      </c>
      <c r="Z16" s="391"/>
      <c r="AA16" s="403">
        <v>93.33</v>
      </c>
      <c r="AB16" s="400">
        <v>85.07</v>
      </c>
      <c r="AC16" s="400">
        <v>84.21</v>
      </c>
      <c r="AD16" s="400">
        <v>81.3</v>
      </c>
      <c r="AE16" s="400">
        <v>78.03</v>
      </c>
      <c r="AF16" s="391"/>
      <c r="AG16" s="400">
        <v>76.92</v>
      </c>
      <c r="AH16" s="400">
        <v>81.16</v>
      </c>
      <c r="AI16" s="400">
        <v>79.87</v>
      </c>
      <c r="AJ16" s="403">
        <v>86.36</v>
      </c>
      <c r="AK16" s="403">
        <v>90</v>
      </c>
      <c r="AL16" s="403">
        <v>100</v>
      </c>
      <c r="AM16" s="391"/>
      <c r="AN16" s="400">
        <v>80.150000000000006</v>
      </c>
      <c r="AO16" s="403">
        <v>100</v>
      </c>
      <c r="AP16" s="391"/>
      <c r="AQ16" s="400">
        <v>72.73</v>
      </c>
      <c r="AR16" s="400" t="s">
        <v>800</v>
      </c>
      <c r="AS16" s="403">
        <v>87.3</v>
      </c>
      <c r="AT16" s="400">
        <v>75</v>
      </c>
      <c r="AU16" s="400">
        <v>77.239999999999995</v>
      </c>
      <c r="AV16" s="403">
        <v>85.71</v>
      </c>
      <c r="AW16" s="403">
        <v>95.45</v>
      </c>
      <c r="AX16" s="403">
        <v>88.46</v>
      </c>
      <c r="AY16" s="400">
        <v>78.650000000000006</v>
      </c>
      <c r="AZ16" s="403">
        <v>92.31</v>
      </c>
      <c r="BA16" s="391"/>
      <c r="BB16" s="400">
        <v>72.73</v>
      </c>
      <c r="BC16" s="400" t="s">
        <v>800</v>
      </c>
      <c r="BD16" s="403">
        <v>87.3</v>
      </c>
      <c r="BE16" s="400">
        <v>75</v>
      </c>
      <c r="BF16" s="400">
        <v>77.239999999999995</v>
      </c>
      <c r="BG16" s="391"/>
      <c r="BH16" s="403">
        <v>85.71</v>
      </c>
      <c r="BI16" s="403">
        <v>95.45</v>
      </c>
      <c r="BJ16" s="403">
        <v>88.46</v>
      </c>
      <c r="BK16" s="400">
        <v>78.650000000000006</v>
      </c>
      <c r="BL16" s="403">
        <v>92.31</v>
      </c>
      <c r="BM16" s="391"/>
      <c r="BN16" s="403">
        <v>85.93</v>
      </c>
      <c r="BO16" s="400">
        <v>65.75</v>
      </c>
      <c r="BP16" s="400">
        <v>68</v>
      </c>
      <c r="BQ16" s="401">
        <v>46.15</v>
      </c>
      <c r="BR16" s="391"/>
      <c r="BS16" s="400">
        <v>80.349999999999994</v>
      </c>
      <c r="BT16" s="400">
        <v>83.61</v>
      </c>
      <c r="BU16" s="404">
        <v>12.51</v>
      </c>
      <c r="BV16" s="400">
        <v>83.2</v>
      </c>
      <c r="BW16" s="400">
        <v>63.33</v>
      </c>
      <c r="BX16" s="391"/>
    </row>
    <row r="17" spans="1:76">
      <c r="A17" s="426"/>
      <c r="B17" s="398">
        <v>13</v>
      </c>
      <c r="C17" s="399" t="s">
        <v>16</v>
      </c>
      <c r="D17" s="400">
        <v>79.599999999999994</v>
      </c>
      <c r="E17" s="400">
        <v>74.489999999999995</v>
      </c>
      <c r="F17" s="400">
        <v>81.02</v>
      </c>
      <c r="G17" s="400">
        <v>66</v>
      </c>
      <c r="H17" s="402">
        <v>5.1099999999999994</v>
      </c>
      <c r="I17" s="402">
        <v>-1.4200000000000017</v>
      </c>
      <c r="J17" s="402">
        <v>13.599999999999994</v>
      </c>
      <c r="K17" s="391"/>
      <c r="L17" s="400">
        <v>83.33</v>
      </c>
      <c r="M17" s="400">
        <v>81.819999999999993</v>
      </c>
      <c r="N17" s="400">
        <v>77.010000000000005</v>
      </c>
      <c r="O17" s="400">
        <v>80</v>
      </c>
      <c r="P17" s="400">
        <v>80</v>
      </c>
      <c r="Q17" s="391"/>
      <c r="R17" s="400">
        <v>76.099999999999994</v>
      </c>
      <c r="S17" s="400">
        <v>84.27</v>
      </c>
      <c r="T17" s="391"/>
      <c r="U17" s="400" t="s">
        <v>800</v>
      </c>
      <c r="V17" s="400">
        <v>83.33</v>
      </c>
      <c r="W17" s="400">
        <v>84.21</v>
      </c>
      <c r="X17" s="400">
        <v>76.63</v>
      </c>
      <c r="Y17" s="400">
        <v>82.11</v>
      </c>
      <c r="Z17" s="391"/>
      <c r="AA17" s="403">
        <v>86.67</v>
      </c>
      <c r="AB17" s="400">
        <v>73.13</v>
      </c>
      <c r="AC17" s="403">
        <v>86.84</v>
      </c>
      <c r="AD17" s="400">
        <v>72.95</v>
      </c>
      <c r="AE17" s="400">
        <v>82.37</v>
      </c>
      <c r="AF17" s="391"/>
      <c r="AG17" s="400">
        <v>76.52</v>
      </c>
      <c r="AH17" s="400">
        <v>83.01</v>
      </c>
      <c r="AI17" s="400">
        <v>80.510000000000005</v>
      </c>
      <c r="AJ17" s="400">
        <v>68.180000000000007</v>
      </c>
      <c r="AK17" s="400">
        <v>80</v>
      </c>
      <c r="AL17" s="400">
        <v>83.33</v>
      </c>
      <c r="AM17" s="391"/>
      <c r="AN17" s="400">
        <v>80.040000000000006</v>
      </c>
      <c r="AO17" s="403">
        <v>100</v>
      </c>
      <c r="AP17" s="391"/>
      <c r="AQ17" s="401">
        <v>60</v>
      </c>
      <c r="AR17" s="400" t="s">
        <v>800</v>
      </c>
      <c r="AS17" s="403">
        <v>90.32</v>
      </c>
      <c r="AT17" s="400">
        <v>75</v>
      </c>
      <c r="AU17" s="400">
        <v>84.43</v>
      </c>
      <c r="AV17" s="403">
        <v>92.86</v>
      </c>
      <c r="AW17" s="400">
        <v>68.180000000000007</v>
      </c>
      <c r="AX17" s="401">
        <v>48.08</v>
      </c>
      <c r="AY17" s="403">
        <v>89.58</v>
      </c>
      <c r="AZ17" s="400">
        <v>76.92</v>
      </c>
      <c r="BA17" s="391"/>
      <c r="BB17" s="401">
        <v>60</v>
      </c>
      <c r="BC17" s="400" t="s">
        <v>800</v>
      </c>
      <c r="BD17" s="403">
        <v>90.32</v>
      </c>
      <c r="BE17" s="400">
        <v>75</v>
      </c>
      <c r="BF17" s="400">
        <v>84.43</v>
      </c>
      <c r="BG17" s="391"/>
      <c r="BH17" s="403">
        <v>92.86</v>
      </c>
      <c r="BI17" s="400">
        <v>68.180000000000007</v>
      </c>
      <c r="BJ17" s="401">
        <v>48.08</v>
      </c>
      <c r="BK17" s="403">
        <v>89.58</v>
      </c>
      <c r="BL17" s="400">
        <v>76.92</v>
      </c>
      <c r="BM17" s="391"/>
      <c r="BN17" s="400">
        <v>84.37</v>
      </c>
      <c r="BO17" s="400">
        <v>76.39</v>
      </c>
      <c r="BP17" s="401">
        <v>60</v>
      </c>
      <c r="BQ17" s="401">
        <v>46.15</v>
      </c>
      <c r="BR17" s="391"/>
      <c r="BS17" s="400">
        <v>78.61</v>
      </c>
      <c r="BT17" s="400">
        <v>78.69</v>
      </c>
      <c r="BU17" s="400">
        <v>75</v>
      </c>
      <c r="BV17" s="400">
        <v>82.68</v>
      </c>
      <c r="BW17" s="400">
        <v>65.52</v>
      </c>
      <c r="BX17" s="391"/>
    </row>
    <row r="18" spans="1:76">
      <c r="A18" s="427"/>
      <c r="B18" s="398">
        <v>14</v>
      </c>
      <c r="C18" s="399" t="s">
        <v>17</v>
      </c>
      <c r="D18" s="403">
        <v>87.73</v>
      </c>
      <c r="E18" s="400">
        <v>83.75</v>
      </c>
      <c r="F18" s="403">
        <v>86.87</v>
      </c>
      <c r="G18" s="400">
        <v>70</v>
      </c>
      <c r="H18" s="402">
        <v>3.980000000000004</v>
      </c>
      <c r="I18" s="402">
        <v>0.85999999999999943</v>
      </c>
      <c r="J18" s="402">
        <v>17.730000000000004</v>
      </c>
      <c r="K18" s="391"/>
      <c r="L18" s="400">
        <v>85.42</v>
      </c>
      <c r="M18" s="403">
        <v>88.36</v>
      </c>
      <c r="N18" s="403">
        <v>87.1</v>
      </c>
      <c r="O18" s="403">
        <v>90.91</v>
      </c>
      <c r="P18" s="400">
        <v>70</v>
      </c>
      <c r="Q18" s="391"/>
      <c r="R18" s="403">
        <v>86.76</v>
      </c>
      <c r="S18" s="403">
        <v>88.43</v>
      </c>
      <c r="T18" s="391"/>
      <c r="U18" s="400" t="s">
        <v>800</v>
      </c>
      <c r="V18" s="403">
        <v>91.67</v>
      </c>
      <c r="W18" s="403">
        <v>88.37</v>
      </c>
      <c r="X18" s="403">
        <v>86.97</v>
      </c>
      <c r="Y18" s="403">
        <v>87.37</v>
      </c>
      <c r="Z18" s="391"/>
      <c r="AA18" s="403">
        <v>93.33</v>
      </c>
      <c r="AB18" s="403">
        <v>89.55</v>
      </c>
      <c r="AC18" s="403">
        <v>92.11</v>
      </c>
      <c r="AD18" s="403">
        <v>86.07</v>
      </c>
      <c r="AE18" s="403">
        <v>87.18</v>
      </c>
      <c r="AF18" s="391"/>
      <c r="AG18" s="400">
        <v>85.34</v>
      </c>
      <c r="AH18" s="403">
        <v>87.92</v>
      </c>
      <c r="AI18" s="403">
        <v>87.97</v>
      </c>
      <c r="AJ18" s="403">
        <v>86.36</v>
      </c>
      <c r="AK18" s="403">
        <v>93.33</v>
      </c>
      <c r="AL18" s="403">
        <v>100</v>
      </c>
      <c r="AM18" s="391"/>
      <c r="AN18" s="403">
        <v>87.59</v>
      </c>
      <c r="AO18" s="403">
        <v>100</v>
      </c>
      <c r="AP18" s="391"/>
      <c r="AQ18" s="400">
        <v>75.38</v>
      </c>
      <c r="AR18" s="400" t="s">
        <v>800</v>
      </c>
      <c r="AS18" s="403">
        <v>92.06</v>
      </c>
      <c r="AT18" s="400">
        <v>75</v>
      </c>
      <c r="AU18" s="403">
        <v>91.8</v>
      </c>
      <c r="AV18" s="403">
        <v>100</v>
      </c>
      <c r="AW18" s="400">
        <v>81.819999999999993</v>
      </c>
      <c r="AX18" s="403">
        <v>88.46</v>
      </c>
      <c r="AY18" s="403">
        <v>87.96</v>
      </c>
      <c r="AZ18" s="403">
        <v>100</v>
      </c>
      <c r="BA18" s="391"/>
      <c r="BB18" s="400">
        <v>75.38</v>
      </c>
      <c r="BC18" s="400" t="s">
        <v>800</v>
      </c>
      <c r="BD18" s="403">
        <v>92.06</v>
      </c>
      <c r="BE18" s="400">
        <v>75</v>
      </c>
      <c r="BF18" s="403">
        <v>91.8</v>
      </c>
      <c r="BG18" s="391"/>
      <c r="BH18" s="403">
        <v>100</v>
      </c>
      <c r="BI18" s="400">
        <v>81.819999999999993</v>
      </c>
      <c r="BJ18" s="403">
        <v>88.46</v>
      </c>
      <c r="BK18" s="403">
        <v>87.96</v>
      </c>
      <c r="BL18" s="403">
        <v>100</v>
      </c>
      <c r="BM18" s="391"/>
      <c r="BN18" s="403">
        <v>90.84</v>
      </c>
      <c r="BO18" s="400">
        <v>83.56</v>
      </c>
      <c r="BP18" s="400">
        <v>75.510000000000005</v>
      </c>
      <c r="BQ18" s="401">
        <v>53.85</v>
      </c>
      <c r="BR18" s="391"/>
      <c r="BS18" s="403">
        <v>86.13</v>
      </c>
      <c r="BT18" s="403">
        <v>90.16</v>
      </c>
      <c r="BU18" s="401">
        <v>50</v>
      </c>
      <c r="BV18" s="403">
        <v>89.8</v>
      </c>
      <c r="BW18" s="400">
        <v>79.31</v>
      </c>
      <c r="BX18" s="391"/>
    </row>
    <row r="19" spans="1:76">
      <c r="A19" s="422" t="s">
        <v>346</v>
      </c>
      <c r="B19" s="423"/>
      <c r="C19" s="424"/>
      <c r="D19" s="405">
        <v>82.84</v>
      </c>
      <c r="E19" s="405">
        <v>78.25</v>
      </c>
      <c r="F19" s="405">
        <v>78.73</v>
      </c>
      <c r="G19" s="405">
        <v>61</v>
      </c>
      <c r="H19" s="405">
        <v>4.5900000000000034</v>
      </c>
      <c r="I19" s="405">
        <v>4.1099999999999994</v>
      </c>
      <c r="J19" s="405">
        <v>21.840000000000003</v>
      </c>
      <c r="K19" s="391"/>
      <c r="L19" s="405">
        <v>83.93</v>
      </c>
      <c r="M19" s="405">
        <v>83.02</v>
      </c>
      <c r="N19" s="405">
        <v>81.39</v>
      </c>
      <c r="O19" s="405">
        <v>87.32</v>
      </c>
      <c r="P19" s="405">
        <v>71.430000000000007</v>
      </c>
      <c r="Q19" s="391"/>
      <c r="R19" s="405">
        <v>82.33</v>
      </c>
      <c r="S19" s="405">
        <v>83.54</v>
      </c>
      <c r="T19" s="391"/>
      <c r="U19" s="406" t="s">
        <v>800</v>
      </c>
      <c r="V19" s="405">
        <v>92.26</v>
      </c>
      <c r="W19" s="405">
        <v>84.03</v>
      </c>
      <c r="X19" s="405">
        <v>80.900000000000006</v>
      </c>
      <c r="Y19" s="405">
        <v>84.89</v>
      </c>
      <c r="Z19" s="391"/>
      <c r="AA19" s="405">
        <v>92.95</v>
      </c>
      <c r="AB19" s="405">
        <v>82.94</v>
      </c>
      <c r="AC19" s="405">
        <v>87.22</v>
      </c>
      <c r="AD19" s="405">
        <v>81.650000000000006</v>
      </c>
      <c r="AE19" s="405">
        <v>82.28</v>
      </c>
      <c r="AF19" s="391"/>
      <c r="AG19" s="405">
        <v>83.17</v>
      </c>
      <c r="AH19" s="405">
        <v>83.35</v>
      </c>
      <c r="AI19" s="405">
        <v>80.95</v>
      </c>
      <c r="AJ19" s="405">
        <v>84.74</v>
      </c>
      <c r="AK19" s="405">
        <v>86.43</v>
      </c>
      <c r="AL19" s="405">
        <v>94.05</v>
      </c>
      <c r="AM19" s="391"/>
      <c r="AN19" s="405">
        <v>82.63</v>
      </c>
      <c r="AO19" s="405">
        <v>98.98</v>
      </c>
      <c r="AP19" s="391"/>
      <c r="AQ19" s="405">
        <v>77.12</v>
      </c>
      <c r="AR19" s="406" t="s">
        <v>800</v>
      </c>
      <c r="AS19" s="405">
        <v>86.82</v>
      </c>
      <c r="AT19" s="405">
        <v>75</v>
      </c>
      <c r="AU19" s="405">
        <v>84.58</v>
      </c>
      <c r="AV19" s="405">
        <v>92.35</v>
      </c>
      <c r="AW19" s="405">
        <v>84.42</v>
      </c>
      <c r="AX19" s="405">
        <v>80.77</v>
      </c>
      <c r="AY19" s="405">
        <v>83.03</v>
      </c>
      <c r="AZ19" s="405">
        <v>86.26</v>
      </c>
      <c r="BA19" s="391"/>
      <c r="BB19" s="405">
        <v>77.12</v>
      </c>
      <c r="BC19" s="406" t="s">
        <v>800</v>
      </c>
      <c r="BD19" s="405">
        <v>86.82</v>
      </c>
      <c r="BE19" s="405">
        <v>75</v>
      </c>
      <c r="BF19" s="405">
        <v>84.58</v>
      </c>
      <c r="BG19" s="391"/>
      <c r="BH19" s="405">
        <v>92.35</v>
      </c>
      <c r="BI19" s="405">
        <v>84.42</v>
      </c>
      <c r="BJ19" s="405">
        <v>80.77</v>
      </c>
      <c r="BK19" s="405">
        <v>83.03</v>
      </c>
      <c r="BL19" s="405">
        <v>86.26</v>
      </c>
      <c r="BM19" s="391"/>
      <c r="BN19" s="405">
        <v>87.01</v>
      </c>
      <c r="BO19" s="405">
        <v>75.17</v>
      </c>
      <c r="BP19" s="405">
        <v>69.11</v>
      </c>
      <c r="BQ19" s="405">
        <v>47.25</v>
      </c>
      <c r="BR19" s="391"/>
      <c r="BS19" s="405">
        <v>82.54</v>
      </c>
      <c r="BT19" s="405">
        <v>81.260000000000005</v>
      </c>
      <c r="BU19" s="405">
        <v>27.68</v>
      </c>
      <c r="BV19" s="405">
        <v>86.42</v>
      </c>
      <c r="BW19" s="405">
        <v>70.23</v>
      </c>
      <c r="BX19" s="391"/>
    </row>
    <row r="20" spans="1:76" ht="13.5" customHeight="1">
      <c r="A20" s="425" t="s">
        <v>18</v>
      </c>
      <c r="B20" s="398">
        <v>15</v>
      </c>
      <c r="C20" s="399" t="s">
        <v>19</v>
      </c>
      <c r="D20" s="400">
        <v>81.709999999999994</v>
      </c>
      <c r="E20" s="400">
        <v>75.06</v>
      </c>
      <c r="F20" s="400">
        <v>73.25</v>
      </c>
      <c r="G20" s="401">
        <v>54</v>
      </c>
      <c r="H20" s="402">
        <v>6.6499999999999915</v>
      </c>
      <c r="I20" s="402">
        <v>8.4599999999999937</v>
      </c>
      <c r="J20" s="402">
        <v>27.709999999999994</v>
      </c>
      <c r="K20" s="391"/>
      <c r="L20" s="403">
        <v>87.51</v>
      </c>
      <c r="M20" s="403">
        <v>87.98</v>
      </c>
      <c r="N20" s="400">
        <v>76.47</v>
      </c>
      <c r="O20" s="400">
        <v>74.239999999999995</v>
      </c>
      <c r="P20" s="400">
        <v>70</v>
      </c>
      <c r="Q20" s="391"/>
      <c r="R20" s="400">
        <v>78.47</v>
      </c>
      <c r="S20" s="403">
        <v>85.82</v>
      </c>
      <c r="T20" s="391"/>
      <c r="U20" s="400" t="s">
        <v>800</v>
      </c>
      <c r="V20" s="400">
        <v>83.33</v>
      </c>
      <c r="W20" s="400">
        <v>85.06</v>
      </c>
      <c r="X20" s="400">
        <v>78.540000000000006</v>
      </c>
      <c r="Y20" s="400">
        <v>85.26</v>
      </c>
      <c r="Z20" s="391"/>
      <c r="AA20" s="403">
        <v>87.51</v>
      </c>
      <c r="AB20" s="400">
        <v>70.150000000000006</v>
      </c>
      <c r="AC20" s="403">
        <v>89.47</v>
      </c>
      <c r="AD20" s="400">
        <v>76</v>
      </c>
      <c r="AE20" s="400">
        <v>85.17</v>
      </c>
      <c r="AF20" s="391"/>
      <c r="AG20" s="400">
        <v>84.62</v>
      </c>
      <c r="AH20" s="400">
        <v>84.06</v>
      </c>
      <c r="AI20" s="400">
        <v>77.36</v>
      </c>
      <c r="AJ20" s="400">
        <v>77.27</v>
      </c>
      <c r="AK20" s="400">
        <v>80</v>
      </c>
      <c r="AL20" s="403">
        <v>100</v>
      </c>
      <c r="AM20" s="391"/>
      <c r="AN20" s="400">
        <v>81.84</v>
      </c>
      <c r="AO20" s="403">
        <v>85.71</v>
      </c>
      <c r="AP20" s="391"/>
      <c r="AQ20" s="400">
        <v>70.150000000000006</v>
      </c>
      <c r="AR20" s="400" t="s">
        <v>800</v>
      </c>
      <c r="AS20" s="403">
        <v>86.36</v>
      </c>
      <c r="AT20" s="400">
        <v>75</v>
      </c>
      <c r="AU20" s="400">
        <v>84.55</v>
      </c>
      <c r="AV20" s="403">
        <v>100</v>
      </c>
      <c r="AW20" s="401">
        <v>54.55</v>
      </c>
      <c r="AX20" s="400">
        <v>67.31</v>
      </c>
      <c r="AY20" s="403">
        <v>88.66</v>
      </c>
      <c r="AZ20" s="400">
        <v>84.62</v>
      </c>
      <c r="BA20" s="391"/>
      <c r="BB20" s="400">
        <v>70.150000000000006</v>
      </c>
      <c r="BC20" s="400" t="s">
        <v>800</v>
      </c>
      <c r="BD20" s="403">
        <v>86.36</v>
      </c>
      <c r="BE20" s="400">
        <v>75</v>
      </c>
      <c r="BF20" s="400">
        <v>84.55</v>
      </c>
      <c r="BG20" s="391"/>
      <c r="BH20" s="403">
        <v>100</v>
      </c>
      <c r="BI20" s="401">
        <v>54.55</v>
      </c>
      <c r="BJ20" s="400">
        <v>67.31</v>
      </c>
      <c r="BK20" s="403">
        <v>88.66</v>
      </c>
      <c r="BL20" s="400">
        <v>84.62</v>
      </c>
      <c r="BM20" s="391"/>
      <c r="BN20" s="403">
        <v>86.42</v>
      </c>
      <c r="BO20" s="400">
        <v>75.34</v>
      </c>
      <c r="BP20" s="400">
        <v>64</v>
      </c>
      <c r="BQ20" s="401">
        <v>53.85</v>
      </c>
      <c r="BR20" s="391"/>
      <c r="BS20" s="400">
        <v>80.92</v>
      </c>
      <c r="BT20" s="400">
        <v>83.61</v>
      </c>
      <c r="BU20" s="404">
        <v>37.51</v>
      </c>
      <c r="BV20" s="403">
        <v>85.94</v>
      </c>
      <c r="BW20" s="400">
        <v>63.33</v>
      </c>
      <c r="BX20" s="391"/>
    </row>
    <row r="21" spans="1:76">
      <c r="A21" s="426"/>
      <c r="B21" s="398">
        <v>16</v>
      </c>
      <c r="C21" s="399" t="s">
        <v>20</v>
      </c>
      <c r="D21" s="403">
        <v>91.3</v>
      </c>
      <c r="E21" s="403">
        <v>88.86</v>
      </c>
      <c r="F21" s="400">
        <v>82.08</v>
      </c>
      <c r="G21" s="400">
        <v>70</v>
      </c>
      <c r="H21" s="402">
        <v>2.4399999999999977</v>
      </c>
      <c r="I21" s="402">
        <v>9.2199999999999989</v>
      </c>
      <c r="J21" s="402">
        <v>21.299999999999997</v>
      </c>
      <c r="K21" s="391"/>
      <c r="L21" s="403">
        <v>97.92</v>
      </c>
      <c r="M21" s="403">
        <v>92.7</v>
      </c>
      <c r="N21" s="403">
        <v>89.3</v>
      </c>
      <c r="O21" s="400">
        <v>84.85</v>
      </c>
      <c r="P21" s="403">
        <v>90</v>
      </c>
      <c r="Q21" s="391"/>
      <c r="R21" s="403">
        <v>90.15</v>
      </c>
      <c r="S21" s="403">
        <v>91.79</v>
      </c>
      <c r="T21" s="391"/>
      <c r="U21" s="400" t="s">
        <v>800</v>
      </c>
      <c r="V21" s="403">
        <v>100</v>
      </c>
      <c r="W21" s="403">
        <v>94.25</v>
      </c>
      <c r="X21" s="403">
        <v>88.12</v>
      </c>
      <c r="Y21" s="403">
        <v>91.58</v>
      </c>
      <c r="Z21" s="391"/>
      <c r="AA21" s="403">
        <v>100</v>
      </c>
      <c r="AB21" s="400">
        <v>85.07</v>
      </c>
      <c r="AC21" s="403">
        <v>92.11</v>
      </c>
      <c r="AD21" s="403">
        <v>91.2</v>
      </c>
      <c r="AE21" s="403">
        <v>92.11</v>
      </c>
      <c r="AF21" s="391"/>
      <c r="AG21" s="403">
        <v>94.87</v>
      </c>
      <c r="AH21" s="403">
        <v>91.3</v>
      </c>
      <c r="AI21" s="403">
        <v>88.05</v>
      </c>
      <c r="AJ21" s="403">
        <v>90.91</v>
      </c>
      <c r="AK21" s="403">
        <v>86.67</v>
      </c>
      <c r="AL21" s="403">
        <v>100</v>
      </c>
      <c r="AM21" s="391"/>
      <c r="AN21" s="403">
        <v>90.82</v>
      </c>
      <c r="AO21" s="403">
        <v>100</v>
      </c>
      <c r="AP21" s="391"/>
      <c r="AQ21" s="403">
        <v>88.06</v>
      </c>
      <c r="AR21" s="400" t="s">
        <v>800</v>
      </c>
      <c r="AS21" s="403">
        <v>92.42</v>
      </c>
      <c r="AT21" s="400">
        <v>75</v>
      </c>
      <c r="AU21" s="403">
        <v>97.56</v>
      </c>
      <c r="AV21" s="403">
        <v>92.86</v>
      </c>
      <c r="AW21" s="400">
        <v>81.819999999999993</v>
      </c>
      <c r="AX21" s="403">
        <v>86.54</v>
      </c>
      <c r="AY21" s="403">
        <v>91.24</v>
      </c>
      <c r="AZ21" s="403">
        <v>92.31</v>
      </c>
      <c r="BA21" s="391"/>
      <c r="BB21" s="403">
        <v>88.06</v>
      </c>
      <c r="BC21" s="400" t="s">
        <v>800</v>
      </c>
      <c r="BD21" s="403">
        <v>92.42</v>
      </c>
      <c r="BE21" s="400">
        <v>75</v>
      </c>
      <c r="BF21" s="403">
        <v>97.56</v>
      </c>
      <c r="BG21" s="391"/>
      <c r="BH21" s="403">
        <v>92.86</v>
      </c>
      <c r="BI21" s="400">
        <v>81.819999999999993</v>
      </c>
      <c r="BJ21" s="403">
        <v>86.54</v>
      </c>
      <c r="BK21" s="403">
        <v>91.24</v>
      </c>
      <c r="BL21" s="403">
        <v>92.31</v>
      </c>
      <c r="BM21" s="391"/>
      <c r="BN21" s="403">
        <v>93.09</v>
      </c>
      <c r="BO21" s="403">
        <v>89.04</v>
      </c>
      <c r="BP21" s="403">
        <v>86</v>
      </c>
      <c r="BQ21" s="401">
        <v>53.85</v>
      </c>
      <c r="BR21" s="391"/>
      <c r="BS21" s="403">
        <v>89.6</v>
      </c>
      <c r="BT21" s="403">
        <v>90.16</v>
      </c>
      <c r="BU21" s="400">
        <v>62.51</v>
      </c>
      <c r="BV21" s="403">
        <v>94.92</v>
      </c>
      <c r="BW21" s="400">
        <v>73.33</v>
      </c>
      <c r="BX21" s="391"/>
    </row>
    <row r="22" spans="1:76">
      <c r="A22" s="426"/>
      <c r="B22" s="398">
        <v>17</v>
      </c>
      <c r="C22" s="399" t="s">
        <v>21</v>
      </c>
      <c r="D22" s="400">
        <v>79.040000000000006</v>
      </c>
      <c r="E22" s="400">
        <v>72.38</v>
      </c>
      <c r="F22" s="400">
        <v>70.37</v>
      </c>
      <c r="G22" s="401">
        <v>50</v>
      </c>
      <c r="H22" s="402">
        <v>6.6600000000000108</v>
      </c>
      <c r="I22" s="402">
        <v>8.6700000000000017</v>
      </c>
      <c r="J22" s="402">
        <v>29.040000000000006</v>
      </c>
      <c r="K22" s="391"/>
      <c r="L22" s="400">
        <v>75</v>
      </c>
      <c r="M22" s="400">
        <v>79.400000000000006</v>
      </c>
      <c r="N22" s="400">
        <v>78.069999999999993</v>
      </c>
      <c r="O22" s="403">
        <v>86.36</v>
      </c>
      <c r="P22" s="400">
        <v>70</v>
      </c>
      <c r="Q22" s="391"/>
      <c r="R22" s="400">
        <v>80.66</v>
      </c>
      <c r="S22" s="400">
        <v>77.61</v>
      </c>
      <c r="T22" s="391"/>
      <c r="U22" s="400" t="s">
        <v>800</v>
      </c>
      <c r="V22" s="403">
        <v>91.67</v>
      </c>
      <c r="W22" s="400">
        <v>77.59</v>
      </c>
      <c r="X22" s="400">
        <v>77.010000000000005</v>
      </c>
      <c r="Y22" s="403">
        <v>86.32</v>
      </c>
      <c r="Z22" s="391"/>
      <c r="AA22" s="403">
        <v>87.51</v>
      </c>
      <c r="AB22" s="400">
        <v>85.07</v>
      </c>
      <c r="AC22" s="400">
        <v>84.21</v>
      </c>
      <c r="AD22" s="400">
        <v>80</v>
      </c>
      <c r="AE22" s="400">
        <v>76.34</v>
      </c>
      <c r="AF22" s="391"/>
      <c r="AG22" s="400">
        <v>77.78</v>
      </c>
      <c r="AH22" s="400">
        <v>81.64</v>
      </c>
      <c r="AI22" s="400">
        <v>76.73</v>
      </c>
      <c r="AJ22" s="403">
        <v>86.36</v>
      </c>
      <c r="AK22" s="400">
        <v>73.33</v>
      </c>
      <c r="AL22" s="403">
        <v>100</v>
      </c>
      <c r="AM22" s="391"/>
      <c r="AN22" s="400">
        <v>79.03</v>
      </c>
      <c r="AO22" s="403">
        <v>100</v>
      </c>
      <c r="AP22" s="391"/>
      <c r="AQ22" s="400">
        <v>77.61</v>
      </c>
      <c r="AR22" s="400" t="s">
        <v>800</v>
      </c>
      <c r="AS22" s="403">
        <v>86.36</v>
      </c>
      <c r="AT22" s="400">
        <v>75</v>
      </c>
      <c r="AU22" s="400">
        <v>75.61</v>
      </c>
      <c r="AV22" s="403">
        <v>92.86</v>
      </c>
      <c r="AW22" s="403">
        <v>86.36</v>
      </c>
      <c r="AX22" s="400">
        <v>75</v>
      </c>
      <c r="AY22" s="400">
        <v>79.38</v>
      </c>
      <c r="AZ22" s="400">
        <v>84.62</v>
      </c>
      <c r="BA22" s="391"/>
      <c r="BB22" s="400">
        <v>77.61</v>
      </c>
      <c r="BC22" s="400" t="s">
        <v>800</v>
      </c>
      <c r="BD22" s="403">
        <v>86.36</v>
      </c>
      <c r="BE22" s="400">
        <v>75</v>
      </c>
      <c r="BF22" s="400">
        <v>75.61</v>
      </c>
      <c r="BG22" s="391"/>
      <c r="BH22" s="403">
        <v>92.86</v>
      </c>
      <c r="BI22" s="403">
        <v>86.36</v>
      </c>
      <c r="BJ22" s="400">
        <v>75</v>
      </c>
      <c r="BK22" s="400">
        <v>79.38</v>
      </c>
      <c r="BL22" s="400">
        <v>84.62</v>
      </c>
      <c r="BM22" s="391"/>
      <c r="BN22" s="400">
        <v>84.2</v>
      </c>
      <c r="BO22" s="400">
        <v>67.12</v>
      </c>
      <c r="BP22" s="400">
        <v>64</v>
      </c>
      <c r="BQ22" s="401">
        <v>46.15</v>
      </c>
      <c r="BR22" s="391"/>
      <c r="BS22" s="400">
        <v>77.459999999999994</v>
      </c>
      <c r="BT22" s="400">
        <v>77.05</v>
      </c>
      <c r="BU22" s="404">
        <v>12.51</v>
      </c>
      <c r="BV22" s="400">
        <v>83.98</v>
      </c>
      <c r="BW22" s="400">
        <v>63.33</v>
      </c>
      <c r="BX22" s="391"/>
    </row>
    <row r="23" spans="1:76">
      <c r="A23" s="426"/>
      <c r="B23" s="398">
        <v>18</v>
      </c>
      <c r="C23" s="399" t="s">
        <v>22</v>
      </c>
      <c r="D23" s="403">
        <v>86.61</v>
      </c>
      <c r="E23" s="400">
        <v>82.63</v>
      </c>
      <c r="F23" s="400">
        <v>80.94</v>
      </c>
      <c r="G23" s="400">
        <v>66</v>
      </c>
      <c r="H23" s="402">
        <v>3.980000000000004</v>
      </c>
      <c r="I23" s="402">
        <v>5.6700000000000017</v>
      </c>
      <c r="J23" s="402">
        <v>20.61</v>
      </c>
      <c r="K23" s="391"/>
      <c r="L23" s="403">
        <v>93.75</v>
      </c>
      <c r="M23" s="403">
        <v>87.12</v>
      </c>
      <c r="N23" s="403">
        <v>86.1</v>
      </c>
      <c r="O23" s="400">
        <v>83.33</v>
      </c>
      <c r="P23" s="400">
        <v>80</v>
      </c>
      <c r="Q23" s="391"/>
      <c r="R23" s="403">
        <v>86.13</v>
      </c>
      <c r="S23" s="403">
        <v>87.31</v>
      </c>
      <c r="T23" s="391"/>
      <c r="U23" s="400" t="s">
        <v>800</v>
      </c>
      <c r="V23" s="403">
        <v>100</v>
      </c>
      <c r="W23" s="403">
        <v>85.63</v>
      </c>
      <c r="X23" s="403">
        <v>85.82</v>
      </c>
      <c r="Y23" s="403">
        <v>89.47</v>
      </c>
      <c r="Z23" s="391"/>
      <c r="AA23" s="403">
        <v>100</v>
      </c>
      <c r="AB23" s="400">
        <v>80.599999999999994</v>
      </c>
      <c r="AC23" s="403">
        <v>94.74</v>
      </c>
      <c r="AD23" s="400">
        <v>85.48</v>
      </c>
      <c r="AE23" s="403">
        <v>86.71</v>
      </c>
      <c r="AF23" s="391"/>
      <c r="AG23" s="403">
        <v>88.89</v>
      </c>
      <c r="AH23" s="403">
        <v>86.47</v>
      </c>
      <c r="AI23" s="403">
        <v>85.53</v>
      </c>
      <c r="AJ23" s="403">
        <v>90.91</v>
      </c>
      <c r="AK23" s="403">
        <v>86.67</v>
      </c>
      <c r="AL23" s="403">
        <v>100</v>
      </c>
      <c r="AM23" s="391"/>
      <c r="AN23" s="403">
        <v>86.52</v>
      </c>
      <c r="AO23" s="403">
        <v>100</v>
      </c>
      <c r="AP23" s="391"/>
      <c r="AQ23" s="400">
        <v>77.27</v>
      </c>
      <c r="AR23" s="400" t="s">
        <v>800</v>
      </c>
      <c r="AS23" s="400">
        <v>83.08</v>
      </c>
      <c r="AT23" s="400">
        <v>75</v>
      </c>
      <c r="AU23" s="403">
        <v>87.8</v>
      </c>
      <c r="AV23" s="403">
        <v>92.86</v>
      </c>
      <c r="AW23" s="403">
        <v>86.36</v>
      </c>
      <c r="AX23" s="403">
        <v>96.15</v>
      </c>
      <c r="AY23" s="403">
        <v>88.08</v>
      </c>
      <c r="AZ23" s="403">
        <v>92.31</v>
      </c>
      <c r="BA23" s="391"/>
      <c r="BB23" s="400">
        <v>77.27</v>
      </c>
      <c r="BC23" s="400" t="s">
        <v>800</v>
      </c>
      <c r="BD23" s="400">
        <v>83.08</v>
      </c>
      <c r="BE23" s="400">
        <v>75</v>
      </c>
      <c r="BF23" s="403">
        <v>87.8</v>
      </c>
      <c r="BG23" s="391"/>
      <c r="BH23" s="403">
        <v>92.86</v>
      </c>
      <c r="BI23" s="403">
        <v>86.36</v>
      </c>
      <c r="BJ23" s="403">
        <v>96.15</v>
      </c>
      <c r="BK23" s="403">
        <v>88.08</v>
      </c>
      <c r="BL23" s="403">
        <v>92.31</v>
      </c>
      <c r="BM23" s="391"/>
      <c r="BN23" s="403">
        <v>90.62</v>
      </c>
      <c r="BO23" s="400">
        <v>78.08</v>
      </c>
      <c r="BP23" s="400">
        <v>74</v>
      </c>
      <c r="BQ23" s="400">
        <v>61.54</v>
      </c>
      <c r="BR23" s="391"/>
      <c r="BS23" s="403">
        <v>90.17</v>
      </c>
      <c r="BT23" s="400">
        <v>83.61</v>
      </c>
      <c r="BU23" s="404">
        <v>37.51</v>
      </c>
      <c r="BV23" s="403">
        <v>88.28</v>
      </c>
      <c r="BW23" s="400">
        <v>70</v>
      </c>
      <c r="BX23" s="391"/>
    </row>
    <row r="24" spans="1:76">
      <c r="A24" s="426"/>
      <c r="B24" s="398">
        <v>19</v>
      </c>
      <c r="C24" s="399" t="s">
        <v>23</v>
      </c>
      <c r="D24" s="400">
        <v>83.04</v>
      </c>
      <c r="E24" s="400">
        <v>79.959999999999994</v>
      </c>
      <c r="F24" s="400">
        <v>76.94</v>
      </c>
      <c r="G24" s="401">
        <v>56</v>
      </c>
      <c r="H24" s="402">
        <v>3.0800000000000125</v>
      </c>
      <c r="I24" s="402">
        <v>6.1000000000000085</v>
      </c>
      <c r="J24" s="402">
        <v>27.040000000000006</v>
      </c>
      <c r="K24" s="391"/>
      <c r="L24" s="403">
        <v>87.51</v>
      </c>
      <c r="M24" s="400">
        <v>81.55</v>
      </c>
      <c r="N24" s="400">
        <v>80.75</v>
      </c>
      <c r="O24" s="403">
        <v>92.42</v>
      </c>
      <c r="P24" s="400">
        <v>70</v>
      </c>
      <c r="Q24" s="391"/>
      <c r="R24" s="400">
        <v>82.85</v>
      </c>
      <c r="S24" s="400">
        <v>82.84</v>
      </c>
      <c r="T24" s="391"/>
      <c r="U24" s="400" t="s">
        <v>800</v>
      </c>
      <c r="V24" s="400">
        <v>75</v>
      </c>
      <c r="W24" s="400">
        <v>81.03</v>
      </c>
      <c r="X24" s="400">
        <v>83.52</v>
      </c>
      <c r="Y24" s="400">
        <v>85.26</v>
      </c>
      <c r="Z24" s="391"/>
      <c r="AA24" s="403">
        <v>93.33</v>
      </c>
      <c r="AB24" s="400">
        <v>85.07</v>
      </c>
      <c r="AC24" s="400">
        <v>84.21</v>
      </c>
      <c r="AD24" s="400">
        <v>82.26</v>
      </c>
      <c r="AE24" s="400">
        <v>82.28</v>
      </c>
      <c r="AF24" s="391"/>
      <c r="AG24" s="403">
        <v>87.18</v>
      </c>
      <c r="AH24" s="400">
        <v>81.16</v>
      </c>
      <c r="AI24" s="400">
        <v>79.25</v>
      </c>
      <c r="AJ24" s="403">
        <v>86.36</v>
      </c>
      <c r="AK24" s="403">
        <v>93.33</v>
      </c>
      <c r="AL24" s="403">
        <v>100</v>
      </c>
      <c r="AM24" s="391"/>
      <c r="AN24" s="400">
        <v>82.58</v>
      </c>
      <c r="AO24" s="403">
        <v>100</v>
      </c>
      <c r="AP24" s="391"/>
      <c r="AQ24" s="400">
        <v>78.790000000000006</v>
      </c>
      <c r="AR24" s="400" t="s">
        <v>800</v>
      </c>
      <c r="AS24" s="403">
        <v>89.23</v>
      </c>
      <c r="AT24" s="400">
        <v>75</v>
      </c>
      <c r="AU24" s="400">
        <v>84.55</v>
      </c>
      <c r="AV24" s="403">
        <v>92.86</v>
      </c>
      <c r="AW24" s="400">
        <v>81.819999999999993</v>
      </c>
      <c r="AX24" s="400">
        <v>82.69</v>
      </c>
      <c r="AY24" s="400">
        <v>81.87</v>
      </c>
      <c r="AZ24" s="403">
        <v>92.31</v>
      </c>
      <c r="BA24" s="391"/>
      <c r="BB24" s="400">
        <v>78.790000000000006</v>
      </c>
      <c r="BC24" s="400" t="s">
        <v>800</v>
      </c>
      <c r="BD24" s="403">
        <v>89.23</v>
      </c>
      <c r="BE24" s="400">
        <v>75</v>
      </c>
      <c r="BF24" s="400">
        <v>84.55</v>
      </c>
      <c r="BG24" s="391"/>
      <c r="BH24" s="403">
        <v>92.86</v>
      </c>
      <c r="BI24" s="400">
        <v>81.819999999999993</v>
      </c>
      <c r="BJ24" s="400">
        <v>82.69</v>
      </c>
      <c r="BK24" s="400">
        <v>81.87</v>
      </c>
      <c r="BL24" s="403">
        <v>92.31</v>
      </c>
      <c r="BM24" s="391"/>
      <c r="BN24" s="403">
        <v>86.42</v>
      </c>
      <c r="BO24" s="400">
        <v>80.819999999999993</v>
      </c>
      <c r="BP24" s="400">
        <v>70</v>
      </c>
      <c r="BQ24" s="404">
        <v>38.46</v>
      </c>
      <c r="BR24" s="391"/>
      <c r="BS24" s="400">
        <v>79.77</v>
      </c>
      <c r="BT24" s="400">
        <v>80.33</v>
      </c>
      <c r="BU24" s="404">
        <v>25</v>
      </c>
      <c r="BV24" s="403">
        <v>89.06</v>
      </c>
      <c r="BW24" s="400">
        <v>70</v>
      </c>
      <c r="BX24" s="391"/>
    </row>
    <row r="25" spans="1:76">
      <c r="A25" s="426"/>
      <c r="B25" s="398">
        <v>20</v>
      </c>
      <c r="C25" s="399" t="s">
        <v>24</v>
      </c>
      <c r="D25" s="400">
        <v>78.38</v>
      </c>
      <c r="E25" s="400">
        <v>75.39</v>
      </c>
      <c r="F25" s="400">
        <v>69.31</v>
      </c>
      <c r="G25" s="401">
        <v>47</v>
      </c>
      <c r="H25" s="402">
        <v>2.9899999999999949</v>
      </c>
      <c r="I25" s="402">
        <v>9.0699999999999932</v>
      </c>
      <c r="J25" s="402">
        <v>31.379999999999995</v>
      </c>
      <c r="K25" s="391"/>
      <c r="L25" s="400">
        <v>81.25</v>
      </c>
      <c r="M25" s="400">
        <v>77.92</v>
      </c>
      <c r="N25" s="400">
        <v>76.47</v>
      </c>
      <c r="O25" s="400">
        <v>84.85</v>
      </c>
      <c r="P25" s="400">
        <v>70</v>
      </c>
      <c r="Q25" s="391"/>
      <c r="R25" s="400">
        <v>78.39</v>
      </c>
      <c r="S25" s="400">
        <v>78.650000000000006</v>
      </c>
      <c r="T25" s="391"/>
      <c r="U25" s="400" t="s">
        <v>800</v>
      </c>
      <c r="V25" s="400">
        <v>83.33</v>
      </c>
      <c r="W25" s="400">
        <v>77.91</v>
      </c>
      <c r="X25" s="400">
        <v>77.010000000000005</v>
      </c>
      <c r="Y25" s="400">
        <v>83.16</v>
      </c>
      <c r="Z25" s="391"/>
      <c r="AA25" s="403">
        <v>93.33</v>
      </c>
      <c r="AB25" s="400">
        <v>73.13</v>
      </c>
      <c r="AC25" s="403">
        <v>92.11</v>
      </c>
      <c r="AD25" s="400">
        <v>78.05</v>
      </c>
      <c r="AE25" s="400">
        <v>77.239999999999995</v>
      </c>
      <c r="AF25" s="391"/>
      <c r="AG25" s="400">
        <v>81.03</v>
      </c>
      <c r="AH25" s="400">
        <v>79.13</v>
      </c>
      <c r="AI25" s="400">
        <v>74.84</v>
      </c>
      <c r="AJ25" s="400">
        <v>77.27</v>
      </c>
      <c r="AK25" s="400">
        <v>83.33</v>
      </c>
      <c r="AL25" s="403">
        <v>100</v>
      </c>
      <c r="AM25" s="391"/>
      <c r="AN25" s="400">
        <v>78.2</v>
      </c>
      <c r="AO25" s="403">
        <v>100</v>
      </c>
      <c r="AP25" s="391"/>
      <c r="AQ25" s="400">
        <v>75.760000000000005</v>
      </c>
      <c r="AR25" s="400" t="s">
        <v>800</v>
      </c>
      <c r="AS25" s="403">
        <v>85.71</v>
      </c>
      <c r="AT25" s="400">
        <v>75</v>
      </c>
      <c r="AU25" s="400">
        <v>82.64</v>
      </c>
      <c r="AV25" s="400">
        <v>78.569999999999993</v>
      </c>
      <c r="AW25" s="400">
        <v>77.27</v>
      </c>
      <c r="AX25" s="400">
        <v>73.08</v>
      </c>
      <c r="AY25" s="400">
        <v>77.08</v>
      </c>
      <c r="AZ25" s="400">
        <v>76.92</v>
      </c>
      <c r="BA25" s="391"/>
      <c r="BB25" s="400">
        <v>75.760000000000005</v>
      </c>
      <c r="BC25" s="400" t="s">
        <v>800</v>
      </c>
      <c r="BD25" s="403">
        <v>85.71</v>
      </c>
      <c r="BE25" s="400">
        <v>75</v>
      </c>
      <c r="BF25" s="400">
        <v>82.64</v>
      </c>
      <c r="BG25" s="391"/>
      <c r="BH25" s="400">
        <v>78.569999999999993</v>
      </c>
      <c r="BI25" s="400">
        <v>77.27</v>
      </c>
      <c r="BJ25" s="400">
        <v>73.08</v>
      </c>
      <c r="BK25" s="400">
        <v>77.08</v>
      </c>
      <c r="BL25" s="400">
        <v>76.92</v>
      </c>
      <c r="BM25" s="391"/>
      <c r="BN25" s="400">
        <v>82.92</v>
      </c>
      <c r="BO25" s="400">
        <v>70.83</v>
      </c>
      <c r="BP25" s="400">
        <v>64</v>
      </c>
      <c r="BQ25" s="404">
        <v>38.46</v>
      </c>
      <c r="BR25" s="391"/>
      <c r="BS25" s="400">
        <v>77.459999999999994</v>
      </c>
      <c r="BT25" s="400">
        <v>75.41</v>
      </c>
      <c r="BU25" s="404">
        <v>25</v>
      </c>
      <c r="BV25" s="400">
        <v>81.569999999999993</v>
      </c>
      <c r="BW25" s="400">
        <v>72.41</v>
      </c>
      <c r="BX25" s="391"/>
    </row>
    <row r="26" spans="1:76">
      <c r="A26" s="426"/>
      <c r="B26" s="398">
        <v>21</v>
      </c>
      <c r="C26" s="399" t="s">
        <v>25</v>
      </c>
      <c r="D26" s="403">
        <v>94.49</v>
      </c>
      <c r="E26" s="403">
        <v>93.76</v>
      </c>
      <c r="F26" s="403">
        <v>89.53</v>
      </c>
      <c r="G26" s="400">
        <v>79</v>
      </c>
      <c r="H26" s="402">
        <v>0.72999999999998977</v>
      </c>
      <c r="I26" s="402">
        <v>4.9599999999999937</v>
      </c>
      <c r="J26" s="402">
        <v>15.489999999999995</v>
      </c>
      <c r="K26" s="391"/>
      <c r="L26" s="403">
        <v>97.92</v>
      </c>
      <c r="M26" s="403">
        <v>95.28</v>
      </c>
      <c r="N26" s="403">
        <v>93.58</v>
      </c>
      <c r="O26" s="403">
        <v>92.42</v>
      </c>
      <c r="P26" s="400">
        <v>80</v>
      </c>
      <c r="Q26" s="391"/>
      <c r="R26" s="403">
        <v>94.53</v>
      </c>
      <c r="S26" s="403">
        <v>94.03</v>
      </c>
      <c r="T26" s="391"/>
      <c r="U26" s="400" t="s">
        <v>800</v>
      </c>
      <c r="V26" s="403">
        <v>100</v>
      </c>
      <c r="W26" s="403">
        <v>95.98</v>
      </c>
      <c r="X26" s="403">
        <v>93.1</v>
      </c>
      <c r="Y26" s="403">
        <v>93.68</v>
      </c>
      <c r="Z26" s="391"/>
      <c r="AA26" s="403">
        <v>87.51</v>
      </c>
      <c r="AB26" s="403">
        <v>94.03</v>
      </c>
      <c r="AC26" s="403">
        <v>86.84</v>
      </c>
      <c r="AD26" s="403">
        <v>93.6</v>
      </c>
      <c r="AE26" s="403">
        <v>96.21</v>
      </c>
      <c r="AF26" s="391"/>
      <c r="AG26" s="403">
        <v>95.73</v>
      </c>
      <c r="AH26" s="403">
        <v>95.65</v>
      </c>
      <c r="AI26" s="403">
        <v>90.57</v>
      </c>
      <c r="AJ26" s="403">
        <v>95.45</v>
      </c>
      <c r="AK26" s="403">
        <v>96.67</v>
      </c>
      <c r="AL26" s="403">
        <v>100</v>
      </c>
      <c r="AM26" s="391"/>
      <c r="AN26" s="403">
        <v>94.19</v>
      </c>
      <c r="AO26" s="403">
        <v>100</v>
      </c>
      <c r="AP26" s="391"/>
      <c r="AQ26" s="403">
        <v>94.03</v>
      </c>
      <c r="AR26" s="400" t="s">
        <v>800</v>
      </c>
      <c r="AS26" s="403">
        <v>90.91</v>
      </c>
      <c r="AT26" s="403">
        <v>87.51</v>
      </c>
      <c r="AU26" s="403">
        <v>96.75</v>
      </c>
      <c r="AV26" s="403">
        <v>100</v>
      </c>
      <c r="AW26" s="403">
        <v>86.36</v>
      </c>
      <c r="AX26" s="403">
        <v>96.15</v>
      </c>
      <c r="AY26" s="403">
        <v>94.85</v>
      </c>
      <c r="AZ26" s="403">
        <v>92.31</v>
      </c>
      <c r="BA26" s="391"/>
      <c r="BB26" s="403">
        <v>94.03</v>
      </c>
      <c r="BC26" s="400" t="s">
        <v>800</v>
      </c>
      <c r="BD26" s="403">
        <v>90.91</v>
      </c>
      <c r="BE26" s="403">
        <v>87.51</v>
      </c>
      <c r="BF26" s="403">
        <v>96.75</v>
      </c>
      <c r="BG26" s="391"/>
      <c r="BH26" s="403">
        <v>100</v>
      </c>
      <c r="BI26" s="403">
        <v>86.36</v>
      </c>
      <c r="BJ26" s="403">
        <v>96.15</v>
      </c>
      <c r="BK26" s="403">
        <v>94.85</v>
      </c>
      <c r="BL26" s="403">
        <v>92.31</v>
      </c>
      <c r="BM26" s="391"/>
      <c r="BN26" s="403">
        <v>95.8</v>
      </c>
      <c r="BO26" s="403">
        <v>91.78</v>
      </c>
      <c r="BP26" s="403">
        <v>96</v>
      </c>
      <c r="BQ26" s="401">
        <v>53.85</v>
      </c>
      <c r="BR26" s="391"/>
      <c r="BS26" s="403">
        <v>95.95</v>
      </c>
      <c r="BT26" s="403">
        <v>91.8</v>
      </c>
      <c r="BU26" s="400">
        <v>62.51</v>
      </c>
      <c r="BV26" s="403">
        <v>95.7</v>
      </c>
      <c r="BW26" s="403">
        <v>86.67</v>
      </c>
      <c r="BX26" s="391"/>
    </row>
    <row r="27" spans="1:76">
      <c r="A27" s="426"/>
      <c r="B27" s="398">
        <v>22</v>
      </c>
      <c r="C27" s="399" t="s">
        <v>26</v>
      </c>
      <c r="D27" s="403">
        <v>86.36</v>
      </c>
      <c r="E27" s="400">
        <v>79.87</v>
      </c>
      <c r="F27" s="400">
        <v>76.599999999999994</v>
      </c>
      <c r="G27" s="401">
        <v>56</v>
      </c>
      <c r="H27" s="402">
        <v>6.4899999999999949</v>
      </c>
      <c r="I27" s="402">
        <v>9.7600000000000051</v>
      </c>
      <c r="J27" s="402">
        <v>30.36</v>
      </c>
      <c r="K27" s="391"/>
      <c r="L27" s="403">
        <v>91.67</v>
      </c>
      <c r="M27" s="403">
        <v>87.12</v>
      </c>
      <c r="N27" s="400">
        <v>83.96</v>
      </c>
      <c r="O27" s="403">
        <v>89.39</v>
      </c>
      <c r="P27" s="400">
        <v>80</v>
      </c>
      <c r="Q27" s="391"/>
      <c r="R27" s="403">
        <v>86.13</v>
      </c>
      <c r="S27" s="403">
        <v>86.94</v>
      </c>
      <c r="T27" s="391"/>
      <c r="U27" s="400" t="s">
        <v>800</v>
      </c>
      <c r="V27" s="403">
        <v>100</v>
      </c>
      <c r="W27" s="403">
        <v>86.21</v>
      </c>
      <c r="X27" s="403">
        <v>86.97</v>
      </c>
      <c r="Y27" s="400">
        <v>84.21</v>
      </c>
      <c r="Z27" s="391"/>
      <c r="AA27" s="403">
        <v>93.33</v>
      </c>
      <c r="AB27" s="403">
        <v>88.06</v>
      </c>
      <c r="AC27" s="403">
        <v>89.47</v>
      </c>
      <c r="AD27" s="400">
        <v>83.74</v>
      </c>
      <c r="AE27" s="403">
        <v>86.31</v>
      </c>
      <c r="AF27" s="391"/>
      <c r="AG27" s="400">
        <v>84.62</v>
      </c>
      <c r="AH27" s="403">
        <v>86.47</v>
      </c>
      <c r="AI27" s="403">
        <v>86.79</v>
      </c>
      <c r="AJ27" s="403">
        <v>86.36</v>
      </c>
      <c r="AK27" s="403">
        <v>93.33</v>
      </c>
      <c r="AL27" s="400">
        <v>83.33</v>
      </c>
      <c r="AM27" s="391"/>
      <c r="AN27" s="403">
        <v>86.52</v>
      </c>
      <c r="AO27" s="403">
        <v>100</v>
      </c>
      <c r="AP27" s="391"/>
      <c r="AQ27" s="400">
        <v>84.85</v>
      </c>
      <c r="AR27" s="400" t="s">
        <v>800</v>
      </c>
      <c r="AS27" s="400">
        <v>80.95</v>
      </c>
      <c r="AT27" s="400">
        <v>75</v>
      </c>
      <c r="AU27" s="403">
        <v>86.99</v>
      </c>
      <c r="AV27" s="403">
        <v>92.86</v>
      </c>
      <c r="AW27" s="403">
        <v>90.91</v>
      </c>
      <c r="AX27" s="403">
        <v>90.38</v>
      </c>
      <c r="AY27" s="403">
        <v>86.46</v>
      </c>
      <c r="AZ27" s="400">
        <v>84.62</v>
      </c>
      <c r="BA27" s="391"/>
      <c r="BB27" s="400">
        <v>84.85</v>
      </c>
      <c r="BC27" s="400" t="s">
        <v>800</v>
      </c>
      <c r="BD27" s="400">
        <v>80.95</v>
      </c>
      <c r="BE27" s="400">
        <v>75</v>
      </c>
      <c r="BF27" s="403">
        <v>86.99</v>
      </c>
      <c r="BG27" s="391"/>
      <c r="BH27" s="403">
        <v>92.86</v>
      </c>
      <c r="BI27" s="403">
        <v>90.91</v>
      </c>
      <c r="BJ27" s="403">
        <v>90.38</v>
      </c>
      <c r="BK27" s="403">
        <v>86.46</v>
      </c>
      <c r="BL27" s="400">
        <v>84.62</v>
      </c>
      <c r="BM27" s="391"/>
      <c r="BN27" s="403">
        <v>90.62</v>
      </c>
      <c r="BO27" s="400">
        <v>80.819999999999993</v>
      </c>
      <c r="BP27" s="400">
        <v>68</v>
      </c>
      <c r="BQ27" s="400">
        <v>61.54</v>
      </c>
      <c r="BR27" s="391"/>
      <c r="BS27" s="400">
        <v>84.97</v>
      </c>
      <c r="BT27" s="400">
        <v>83.61</v>
      </c>
      <c r="BU27" s="404">
        <v>25</v>
      </c>
      <c r="BV27" s="403">
        <v>91.8</v>
      </c>
      <c r="BW27" s="400">
        <v>73.33</v>
      </c>
      <c r="BX27" s="391"/>
    </row>
    <row r="28" spans="1:76">
      <c r="A28" s="426"/>
      <c r="B28" s="398">
        <v>23</v>
      </c>
      <c r="C28" s="399" t="s">
        <v>27</v>
      </c>
      <c r="D28" s="403">
        <v>88.87</v>
      </c>
      <c r="E28" s="403">
        <v>86.32</v>
      </c>
      <c r="F28" s="400">
        <v>80.63</v>
      </c>
      <c r="G28" s="400">
        <v>64</v>
      </c>
      <c r="H28" s="402">
        <v>2.5500000000000114</v>
      </c>
      <c r="I28" s="402">
        <v>8.2400000000000091</v>
      </c>
      <c r="J28" s="402">
        <v>24.870000000000005</v>
      </c>
      <c r="K28" s="391"/>
      <c r="L28" s="403">
        <v>95.83</v>
      </c>
      <c r="M28" s="403">
        <v>90.56</v>
      </c>
      <c r="N28" s="403">
        <v>88.77</v>
      </c>
      <c r="O28" s="400">
        <v>80.3</v>
      </c>
      <c r="P28" s="400">
        <v>70</v>
      </c>
      <c r="Q28" s="391"/>
      <c r="R28" s="403">
        <v>87.96</v>
      </c>
      <c r="S28" s="403">
        <v>89.55</v>
      </c>
      <c r="T28" s="391"/>
      <c r="U28" s="400" t="s">
        <v>800</v>
      </c>
      <c r="V28" s="403">
        <v>100</v>
      </c>
      <c r="W28" s="403">
        <v>90.8</v>
      </c>
      <c r="X28" s="403">
        <v>88.51</v>
      </c>
      <c r="Y28" s="400">
        <v>84.21</v>
      </c>
      <c r="Z28" s="391"/>
      <c r="AA28" s="400">
        <v>73.33</v>
      </c>
      <c r="AB28" s="400">
        <v>85.07</v>
      </c>
      <c r="AC28" s="400">
        <v>68.42</v>
      </c>
      <c r="AD28" s="403">
        <v>87.8</v>
      </c>
      <c r="AE28" s="403">
        <v>93.31</v>
      </c>
      <c r="AF28" s="391"/>
      <c r="AG28" s="403">
        <v>95.73</v>
      </c>
      <c r="AH28" s="403">
        <v>90.34</v>
      </c>
      <c r="AI28" s="400">
        <v>81.760000000000005</v>
      </c>
      <c r="AJ28" s="403">
        <v>90.91</v>
      </c>
      <c r="AK28" s="400">
        <v>83.33</v>
      </c>
      <c r="AL28" s="403">
        <v>100</v>
      </c>
      <c r="AM28" s="391"/>
      <c r="AN28" s="403">
        <v>88.58</v>
      </c>
      <c r="AO28" s="403">
        <v>100</v>
      </c>
      <c r="AP28" s="391"/>
      <c r="AQ28" s="403">
        <v>90.91</v>
      </c>
      <c r="AR28" s="400" t="s">
        <v>800</v>
      </c>
      <c r="AS28" s="400">
        <v>76.19</v>
      </c>
      <c r="AT28" s="400">
        <v>62.51</v>
      </c>
      <c r="AU28" s="403">
        <v>95.12</v>
      </c>
      <c r="AV28" s="403">
        <v>100</v>
      </c>
      <c r="AW28" s="400">
        <v>81.819999999999993</v>
      </c>
      <c r="AX28" s="403">
        <v>96.15</v>
      </c>
      <c r="AY28" s="403">
        <v>88.54</v>
      </c>
      <c r="AZ28" s="400">
        <v>76.92</v>
      </c>
      <c r="BA28" s="391"/>
      <c r="BB28" s="403">
        <v>90.91</v>
      </c>
      <c r="BC28" s="400" t="s">
        <v>800</v>
      </c>
      <c r="BD28" s="400">
        <v>76.19</v>
      </c>
      <c r="BE28" s="400">
        <v>62.51</v>
      </c>
      <c r="BF28" s="403">
        <v>95.12</v>
      </c>
      <c r="BG28" s="391"/>
      <c r="BH28" s="403">
        <v>100</v>
      </c>
      <c r="BI28" s="400">
        <v>81.819999999999993</v>
      </c>
      <c r="BJ28" s="403">
        <v>96.15</v>
      </c>
      <c r="BK28" s="403">
        <v>88.54</v>
      </c>
      <c r="BL28" s="400">
        <v>76.92</v>
      </c>
      <c r="BM28" s="391"/>
      <c r="BN28" s="403">
        <v>91.6</v>
      </c>
      <c r="BO28" s="403">
        <v>86.3</v>
      </c>
      <c r="BP28" s="400">
        <v>76</v>
      </c>
      <c r="BQ28" s="400">
        <v>61.54</v>
      </c>
      <c r="BR28" s="391"/>
      <c r="BS28" s="403">
        <v>89.6</v>
      </c>
      <c r="BT28" s="403">
        <v>88.52</v>
      </c>
      <c r="BU28" s="404">
        <v>37.51</v>
      </c>
      <c r="BV28" s="403">
        <v>90.63</v>
      </c>
      <c r="BW28" s="400">
        <v>80</v>
      </c>
      <c r="BX28" s="391"/>
    </row>
    <row r="29" spans="1:76">
      <c r="A29" s="426"/>
      <c r="B29" s="398">
        <v>24</v>
      </c>
      <c r="C29" s="399" t="s">
        <v>28</v>
      </c>
      <c r="D29" s="403">
        <v>91.02</v>
      </c>
      <c r="E29" s="403">
        <v>88.76</v>
      </c>
      <c r="F29" s="400">
        <v>84.95</v>
      </c>
      <c r="G29" s="400">
        <v>71</v>
      </c>
      <c r="H29" s="402">
        <v>2.2599999999999909</v>
      </c>
      <c r="I29" s="402">
        <v>6.0699999999999932</v>
      </c>
      <c r="J29" s="402">
        <v>20.019999999999996</v>
      </c>
      <c r="K29" s="391"/>
      <c r="L29" s="403">
        <v>93.75</v>
      </c>
      <c r="M29" s="403">
        <v>91.42</v>
      </c>
      <c r="N29" s="403">
        <v>90.37</v>
      </c>
      <c r="O29" s="403">
        <v>89.39</v>
      </c>
      <c r="P29" s="403">
        <v>90</v>
      </c>
      <c r="Q29" s="391"/>
      <c r="R29" s="403">
        <v>93.07</v>
      </c>
      <c r="S29" s="403">
        <v>89.18</v>
      </c>
      <c r="T29" s="391"/>
      <c r="U29" s="400" t="s">
        <v>800</v>
      </c>
      <c r="V29" s="403">
        <v>100</v>
      </c>
      <c r="W29" s="403">
        <v>93.68</v>
      </c>
      <c r="X29" s="403">
        <v>88.89</v>
      </c>
      <c r="Y29" s="403">
        <v>90.53</v>
      </c>
      <c r="Z29" s="391"/>
      <c r="AA29" s="403">
        <v>86.67</v>
      </c>
      <c r="AB29" s="403">
        <v>89.55</v>
      </c>
      <c r="AC29" s="403">
        <v>92.11</v>
      </c>
      <c r="AD29" s="403">
        <v>90.24</v>
      </c>
      <c r="AE29" s="403">
        <v>91.72</v>
      </c>
      <c r="AF29" s="391"/>
      <c r="AG29" s="403">
        <v>88.89</v>
      </c>
      <c r="AH29" s="403">
        <v>93.24</v>
      </c>
      <c r="AI29" s="403">
        <v>88.68</v>
      </c>
      <c r="AJ29" s="403">
        <v>95.45</v>
      </c>
      <c r="AK29" s="403">
        <v>90</v>
      </c>
      <c r="AL29" s="403">
        <v>100</v>
      </c>
      <c r="AM29" s="391"/>
      <c r="AN29" s="403">
        <v>90.82</v>
      </c>
      <c r="AO29" s="403">
        <v>100</v>
      </c>
      <c r="AP29" s="391"/>
      <c r="AQ29" s="403">
        <v>86.36</v>
      </c>
      <c r="AR29" s="400" t="s">
        <v>800</v>
      </c>
      <c r="AS29" s="403">
        <v>90.48</v>
      </c>
      <c r="AT29" s="403">
        <v>87.51</v>
      </c>
      <c r="AU29" s="403">
        <v>91.06</v>
      </c>
      <c r="AV29" s="403">
        <v>100</v>
      </c>
      <c r="AW29" s="403">
        <v>95.45</v>
      </c>
      <c r="AX29" s="403">
        <v>86.54</v>
      </c>
      <c r="AY29" s="403">
        <v>93.75</v>
      </c>
      <c r="AZ29" s="400">
        <v>84.62</v>
      </c>
      <c r="BA29" s="391"/>
      <c r="BB29" s="403">
        <v>86.36</v>
      </c>
      <c r="BC29" s="400" t="s">
        <v>800</v>
      </c>
      <c r="BD29" s="403">
        <v>90.48</v>
      </c>
      <c r="BE29" s="403">
        <v>87.51</v>
      </c>
      <c r="BF29" s="403">
        <v>91.06</v>
      </c>
      <c r="BG29" s="391"/>
      <c r="BH29" s="403">
        <v>100</v>
      </c>
      <c r="BI29" s="403">
        <v>95.45</v>
      </c>
      <c r="BJ29" s="403">
        <v>86.54</v>
      </c>
      <c r="BK29" s="403">
        <v>93.75</v>
      </c>
      <c r="BL29" s="400">
        <v>84.62</v>
      </c>
      <c r="BM29" s="391"/>
      <c r="BN29" s="403">
        <v>92.59</v>
      </c>
      <c r="BO29" s="403">
        <v>87.67</v>
      </c>
      <c r="BP29" s="403">
        <v>90</v>
      </c>
      <c r="BQ29" s="400">
        <v>61.54</v>
      </c>
      <c r="BR29" s="391"/>
      <c r="BS29" s="403">
        <v>94.8</v>
      </c>
      <c r="BT29" s="403">
        <v>88.52</v>
      </c>
      <c r="BU29" s="404">
        <v>37.51</v>
      </c>
      <c r="BV29" s="403">
        <v>91.8</v>
      </c>
      <c r="BW29" s="400">
        <v>83.33</v>
      </c>
      <c r="BX29" s="391"/>
    </row>
    <row r="30" spans="1:76">
      <c r="A30" s="426"/>
      <c r="B30" s="398">
        <v>25</v>
      </c>
      <c r="C30" s="399" t="s">
        <v>29</v>
      </c>
      <c r="D30" s="400">
        <v>76.44</v>
      </c>
      <c r="E30" s="400">
        <v>65.62</v>
      </c>
      <c r="F30" s="400">
        <v>70.97</v>
      </c>
      <c r="G30" s="401">
        <v>48</v>
      </c>
      <c r="H30" s="402">
        <v>10.819999999999993</v>
      </c>
      <c r="I30" s="402">
        <v>5.4699999999999989</v>
      </c>
      <c r="J30" s="402">
        <v>28.439999999999998</v>
      </c>
      <c r="K30" s="391"/>
      <c r="L30" s="400">
        <v>75</v>
      </c>
      <c r="M30" s="400">
        <v>84.05</v>
      </c>
      <c r="N30" s="400">
        <v>72.19</v>
      </c>
      <c r="O30" s="400">
        <v>69.7</v>
      </c>
      <c r="P30" s="400">
        <v>70</v>
      </c>
      <c r="Q30" s="391"/>
      <c r="R30" s="400">
        <v>73.989999999999995</v>
      </c>
      <c r="S30" s="400">
        <v>80.22</v>
      </c>
      <c r="T30" s="391"/>
      <c r="U30" s="400" t="s">
        <v>800</v>
      </c>
      <c r="V30" s="403">
        <v>91.67</v>
      </c>
      <c r="W30" s="400">
        <v>83.82</v>
      </c>
      <c r="X30" s="400">
        <v>73.180000000000007</v>
      </c>
      <c r="Y30" s="400">
        <v>73.680000000000007</v>
      </c>
      <c r="Z30" s="391"/>
      <c r="AA30" s="400">
        <v>73.33</v>
      </c>
      <c r="AB30" s="400">
        <v>64.180000000000007</v>
      </c>
      <c r="AC30" s="400">
        <v>73.680000000000007</v>
      </c>
      <c r="AD30" s="400">
        <v>75.61</v>
      </c>
      <c r="AE30" s="400">
        <v>79.87</v>
      </c>
      <c r="AF30" s="391"/>
      <c r="AG30" s="400">
        <v>82.76</v>
      </c>
      <c r="AH30" s="400">
        <v>80.19</v>
      </c>
      <c r="AI30" s="400">
        <v>71.7</v>
      </c>
      <c r="AJ30" s="400">
        <v>81.819999999999993</v>
      </c>
      <c r="AK30" s="400">
        <v>63.33</v>
      </c>
      <c r="AL30" s="400">
        <v>66.67</v>
      </c>
      <c r="AM30" s="391"/>
      <c r="AN30" s="400">
        <v>77.3</v>
      </c>
      <c r="AO30" s="403">
        <v>85.71</v>
      </c>
      <c r="AP30" s="391"/>
      <c r="AQ30" s="400">
        <v>72.31</v>
      </c>
      <c r="AR30" s="400" t="s">
        <v>800</v>
      </c>
      <c r="AS30" s="400">
        <v>66.67</v>
      </c>
      <c r="AT30" s="400">
        <v>62.51</v>
      </c>
      <c r="AU30" s="400">
        <v>80.489999999999995</v>
      </c>
      <c r="AV30" s="403">
        <v>92.86</v>
      </c>
      <c r="AW30" s="400">
        <v>68.180000000000007</v>
      </c>
      <c r="AX30" s="400">
        <v>67.31</v>
      </c>
      <c r="AY30" s="400">
        <v>82.29</v>
      </c>
      <c r="AZ30" s="400">
        <v>61.54</v>
      </c>
      <c r="BA30" s="391"/>
      <c r="BB30" s="400">
        <v>72.31</v>
      </c>
      <c r="BC30" s="400" t="s">
        <v>800</v>
      </c>
      <c r="BD30" s="400">
        <v>66.67</v>
      </c>
      <c r="BE30" s="400">
        <v>62.51</v>
      </c>
      <c r="BF30" s="400">
        <v>80.489999999999995</v>
      </c>
      <c r="BG30" s="391"/>
      <c r="BH30" s="403">
        <v>92.86</v>
      </c>
      <c r="BI30" s="400">
        <v>68.180000000000007</v>
      </c>
      <c r="BJ30" s="400">
        <v>67.31</v>
      </c>
      <c r="BK30" s="400">
        <v>82.29</v>
      </c>
      <c r="BL30" s="400">
        <v>61.54</v>
      </c>
      <c r="BM30" s="391"/>
      <c r="BN30" s="400">
        <v>82.18</v>
      </c>
      <c r="BO30" s="400">
        <v>71.23</v>
      </c>
      <c r="BP30" s="401">
        <v>52</v>
      </c>
      <c r="BQ30" s="401">
        <v>53.85</v>
      </c>
      <c r="BR30" s="391"/>
      <c r="BS30" s="403">
        <v>86.13</v>
      </c>
      <c r="BT30" s="400">
        <v>67.209999999999994</v>
      </c>
      <c r="BU30" s="404">
        <v>25</v>
      </c>
      <c r="BV30" s="400">
        <v>76.08</v>
      </c>
      <c r="BW30" s="400">
        <v>63.33</v>
      </c>
      <c r="BX30" s="391"/>
    </row>
    <row r="31" spans="1:76">
      <c r="A31" s="426"/>
      <c r="B31" s="398">
        <v>26</v>
      </c>
      <c r="C31" s="399" t="s">
        <v>30</v>
      </c>
      <c r="D31" s="400">
        <v>83.27</v>
      </c>
      <c r="E31" s="400">
        <v>76.849999999999994</v>
      </c>
      <c r="F31" s="400">
        <v>78.45</v>
      </c>
      <c r="G31" s="401">
        <v>60</v>
      </c>
      <c r="H31" s="402">
        <v>6.4200000000000017</v>
      </c>
      <c r="I31" s="402">
        <v>4.8199999999999932</v>
      </c>
      <c r="J31" s="402">
        <v>23.269999999999996</v>
      </c>
      <c r="K31" s="391"/>
      <c r="L31" s="400">
        <v>85.42</v>
      </c>
      <c r="M31" s="400">
        <v>84.48</v>
      </c>
      <c r="N31" s="400">
        <v>81.819999999999993</v>
      </c>
      <c r="O31" s="403">
        <v>86.36</v>
      </c>
      <c r="P31" s="400">
        <v>70</v>
      </c>
      <c r="Q31" s="391"/>
      <c r="R31" s="400">
        <v>81.680000000000007</v>
      </c>
      <c r="S31" s="403">
        <v>85.82</v>
      </c>
      <c r="T31" s="391"/>
      <c r="U31" s="400" t="s">
        <v>800</v>
      </c>
      <c r="V31" s="403">
        <v>91.67</v>
      </c>
      <c r="W31" s="403">
        <v>85.55</v>
      </c>
      <c r="X31" s="400">
        <v>81.23</v>
      </c>
      <c r="Y31" s="403">
        <v>86.32</v>
      </c>
      <c r="Z31" s="391"/>
      <c r="AA31" s="403">
        <v>86.67</v>
      </c>
      <c r="AB31" s="400">
        <v>80.599999999999994</v>
      </c>
      <c r="AC31" s="403">
        <v>89.47</v>
      </c>
      <c r="AD31" s="400">
        <v>80.489999999999995</v>
      </c>
      <c r="AE31" s="400">
        <v>84.03</v>
      </c>
      <c r="AF31" s="391"/>
      <c r="AG31" s="400">
        <v>84.48</v>
      </c>
      <c r="AH31" s="400">
        <v>85.02</v>
      </c>
      <c r="AI31" s="400">
        <v>81.760000000000005</v>
      </c>
      <c r="AJ31" s="403">
        <v>86.36</v>
      </c>
      <c r="AK31" s="400">
        <v>80</v>
      </c>
      <c r="AL31" s="403">
        <v>100</v>
      </c>
      <c r="AM31" s="391"/>
      <c r="AN31" s="400">
        <v>83.3</v>
      </c>
      <c r="AO31" s="403">
        <v>100</v>
      </c>
      <c r="AP31" s="391"/>
      <c r="AQ31" s="400">
        <v>69.23</v>
      </c>
      <c r="AR31" s="400" t="s">
        <v>800</v>
      </c>
      <c r="AS31" s="403">
        <v>87.3</v>
      </c>
      <c r="AT31" s="400">
        <v>75</v>
      </c>
      <c r="AU31" s="403">
        <v>86.99</v>
      </c>
      <c r="AV31" s="403">
        <v>85.71</v>
      </c>
      <c r="AW31" s="403">
        <v>86.36</v>
      </c>
      <c r="AX31" s="403">
        <v>86.54</v>
      </c>
      <c r="AY31" s="400">
        <v>83.85</v>
      </c>
      <c r="AZ31" s="400">
        <v>84.62</v>
      </c>
      <c r="BA31" s="391"/>
      <c r="BB31" s="400">
        <v>69.23</v>
      </c>
      <c r="BC31" s="400" t="s">
        <v>800</v>
      </c>
      <c r="BD31" s="403">
        <v>87.3</v>
      </c>
      <c r="BE31" s="400">
        <v>75</v>
      </c>
      <c r="BF31" s="403">
        <v>86.99</v>
      </c>
      <c r="BG31" s="391"/>
      <c r="BH31" s="403">
        <v>85.71</v>
      </c>
      <c r="BI31" s="403">
        <v>86.36</v>
      </c>
      <c r="BJ31" s="403">
        <v>86.54</v>
      </c>
      <c r="BK31" s="400">
        <v>83.85</v>
      </c>
      <c r="BL31" s="400">
        <v>84.62</v>
      </c>
      <c r="BM31" s="391"/>
      <c r="BN31" s="403">
        <v>89.6</v>
      </c>
      <c r="BO31" s="400">
        <v>72.599999999999994</v>
      </c>
      <c r="BP31" s="400">
        <v>66</v>
      </c>
      <c r="BQ31" s="404">
        <v>23.08</v>
      </c>
      <c r="BR31" s="391"/>
      <c r="BS31" s="400">
        <v>84.97</v>
      </c>
      <c r="BT31" s="400">
        <v>77.05</v>
      </c>
      <c r="BU31" s="404">
        <v>25</v>
      </c>
      <c r="BV31" s="403">
        <v>87.84</v>
      </c>
      <c r="BW31" s="400">
        <v>66.67</v>
      </c>
      <c r="BX31" s="391"/>
    </row>
    <row r="32" spans="1:76">
      <c r="A32" s="427"/>
      <c r="B32" s="398">
        <v>27</v>
      </c>
      <c r="C32" s="399" t="s">
        <v>31</v>
      </c>
      <c r="D32" s="400">
        <v>78.599999999999994</v>
      </c>
      <c r="E32" s="400">
        <v>68.540000000000006</v>
      </c>
      <c r="F32" s="400">
        <v>72.040000000000006</v>
      </c>
      <c r="G32" s="401">
        <v>48</v>
      </c>
      <c r="H32" s="402">
        <v>10.059999999999988</v>
      </c>
      <c r="I32" s="402">
        <v>6.5599999999999881</v>
      </c>
      <c r="J32" s="402">
        <v>30.599999999999994</v>
      </c>
      <c r="K32" s="391"/>
      <c r="L32" s="403">
        <v>89.58</v>
      </c>
      <c r="M32" s="400">
        <v>81.03</v>
      </c>
      <c r="N32" s="400">
        <v>75.94</v>
      </c>
      <c r="O32" s="400">
        <v>72.73</v>
      </c>
      <c r="P32" s="400">
        <v>80</v>
      </c>
      <c r="Q32" s="391"/>
      <c r="R32" s="400">
        <v>75.459999999999994</v>
      </c>
      <c r="S32" s="400">
        <v>82.46</v>
      </c>
      <c r="T32" s="391"/>
      <c r="U32" s="400" t="s">
        <v>800</v>
      </c>
      <c r="V32" s="403">
        <v>91.67</v>
      </c>
      <c r="W32" s="400">
        <v>81.510000000000005</v>
      </c>
      <c r="X32" s="400">
        <v>78.540000000000006</v>
      </c>
      <c r="Y32" s="400">
        <v>73.680000000000007</v>
      </c>
      <c r="Z32" s="391"/>
      <c r="AA32" s="400">
        <v>73.33</v>
      </c>
      <c r="AB32" s="400">
        <v>77.61</v>
      </c>
      <c r="AC32" s="400">
        <v>76.319999999999993</v>
      </c>
      <c r="AD32" s="400">
        <v>71.540000000000006</v>
      </c>
      <c r="AE32" s="400">
        <v>82.11</v>
      </c>
      <c r="AF32" s="391"/>
      <c r="AG32" s="400">
        <v>81.900000000000006</v>
      </c>
      <c r="AH32" s="400">
        <v>80.680000000000007</v>
      </c>
      <c r="AI32" s="400">
        <v>76.099999999999994</v>
      </c>
      <c r="AJ32" s="400">
        <v>72.73</v>
      </c>
      <c r="AK32" s="400">
        <v>73.33</v>
      </c>
      <c r="AL32" s="403">
        <v>100</v>
      </c>
      <c r="AM32" s="391"/>
      <c r="AN32" s="400">
        <v>78.989999999999995</v>
      </c>
      <c r="AO32" s="403">
        <v>100</v>
      </c>
      <c r="AP32" s="391"/>
      <c r="AQ32" s="400">
        <v>72.31</v>
      </c>
      <c r="AR32" s="400" t="s">
        <v>800</v>
      </c>
      <c r="AS32" s="400">
        <v>77.78</v>
      </c>
      <c r="AT32" s="400">
        <v>75</v>
      </c>
      <c r="AU32" s="400">
        <v>82.93</v>
      </c>
      <c r="AV32" s="403">
        <v>92.86</v>
      </c>
      <c r="AW32" s="400">
        <v>72.73</v>
      </c>
      <c r="AX32" s="400">
        <v>67.31</v>
      </c>
      <c r="AY32" s="400">
        <v>80.209999999999994</v>
      </c>
      <c r="AZ32" s="403">
        <v>92.31</v>
      </c>
      <c r="BA32" s="391"/>
      <c r="BB32" s="400">
        <v>72.31</v>
      </c>
      <c r="BC32" s="400" t="s">
        <v>800</v>
      </c>
      <c r="BD32" s="400">
        <v>77.78</v>
      </c>
      <c r="BE32" s="400">
        <v>75</v>
      </c>
      <c r="BF32" s="400">
        <v>82.93</v>
      </c>
      <c r="BG32" s="391"/>
      <c r="BH32" s="403">
        <v>92.86</v>
      </c>
      <c r="BI32" s="400">
        <v>72.73</v>
      </c>
      <c r="BJ32" s="400">
        <v>67.31</v>
      </c>
      <c r="BK32" s="400">
        <v>80.209999999999994</v>
      </c>
      <c r="BL32" s="403">
        <v>92.31</v>
      </c>
      <c r="BM32" s="391"/>
      <c r="BN32" s="400">
        <v>81.19</v>
      </c>
      <c r="BO32" s="400">
        <v>75.34</v>
      </c>
      <c r="BP32" s="400">
        <v>70</v>
      </c>
      <c r="BQ32" s="400">
        <v>61.54</v>
      </c>
      <c r="BR32" s="391"/>
      <c r="BS32" s="400">
        <v>76.3</v>
      </c>
      <c r="BT32" s="400">
        <v>81.97</v>
      </c>
      <c r="BU32" s="401">
        <v>50</v>
      </c>
      <c r="BV32" s="400">
        <v>81.569999999999993</v>
      </c>
      <c r="BW32" s="400">
        <v>70</v>
      </c>
      <c r="BX32" s="391"/>
    </row>
    <row r="33" spans="1:76">
      <c r="A33" s="422" t="s">
        <v>347</v>
      </c>
      <c r="B33" s="423"/>
      <c r="C33" s="424"/>
      <c r="D33" s="405">
        <v>84.55</v>
      </c>
      <c r="E33" s="405">
        <v>79.540000000000006</v>
      </c>
      <c r="F33" s="405">
        <v>77.39</v>
      </c>
      <c r="G33" s="405">
        <v>59</v>
      </c>
      <c r="H33" s="405">
        <v>5.0099999999999909</v>
      </c>
      <c r="I33" s="405">
        <v>7.1599999999999966</v>
      </c>
      <c r="J33" s="405">
        <v>25.549999999999997</v>
      </c>
      <c r="K33" s="391"/>
      <c r="L33" s="405">
        <v>88.62</v>
      </c>
      <c r="M33" s="405">
        <v>86.2</v>
      </c>
      <c r="N33" s="405">
        <v>82.6</v>
      </c>
      <c r="O33" s="405">
        <v>83.57</v>
      </c>
      <c r="P33" s="405">
        <v>76.150000000000006</v>
      </c>
      <c r="Q33" s="391"/>
      <c r="R33" s="405">
        <v>83.8</v>
      </c>
      <c r="S33" s="405">
        <v>85.56</v>
      </c>
      <c r="T33" s="391"/>
      <c r="U33" s="406" t="s">
        <v>800</v>
      </c>
      <c r="V33" s="405">
        <v>92.95</v>
      </c>
      <c r="W33" s="405">
        <v>86.08</v>
      </c>
      <c r="X33" s="405">
        <v>83.11</v>
      </c>
      <c r="Y33" s="405">
        <v>85.18</v>
      </c>
      <c r="Z33" s="391"/>
      <c r="AA33" s="405">
        <v>87.37</v>
      </c>
      <c r="AB33" s="405">
        <v>81.400000000000006</v>
      </c>
      <c r="AC33" s="405">
        <v>85.63</v>
      </c>
      <c r="AD33" s="405">
        <v>82.77</v>
      </c>
      <c r="AE33" s="405">
        <v>85.65</v>
      </c>
      <c r="AF33" s="391"/>
      <c r="AG33" s="405">
        <v>86.8</v>
      </c>
      <c r="AH33" s="405">
        <v>85.8</v>
      </c>
      <c r="AI33" s="405">
        <v>81.47</v>
      </c>
      <c r="AJ33" s="405">
        <v>86.01</v>
      </c>
      <c r="AK33" s="405">
        <v>83.33</v>
      </c>
      <c r="AL33" s="405">
        <v>96.15</v>
      </c>
      <c r="AM33" s="391"/>
      <c r="AN33" s="405">
        <v>84.51</v>
      </c>
      <c r="AO33" s="405">
        <v>97.8</v>
      </c>
      <c r="AP33" s="391"/>
      <c r="AQ33" s="405">
        <v>79.819999999999993</v>
      </c>
      <c r="AR33" s="406" t="s">
        <v>800</v>
      </c>
      <c r="AS33" s="405">
        <v>84.11</v>
      </c>
      <c r="AT33" s="405">
        <v>75</v>
      </c>
      <c r="AU33" s="405">
        <v>87.16</v>
      </c>
      <c r="AV33" s="405">
        <v>93.41</v>
      </c>
      <c r="AW33" s="405">
        <v>80.77</v>
      </c>
      <c r="AX33" s="405">
        <v>82.4</v>
      </c>
      <c r="AY33" s="405">
        <v>85.87</v>
      </c>
      <c r="AZ33" s="405">
        <v>84.62</v>
      </c>
      <c r="BA33" s="391"/>
      <c r="BB33" s="405">
        <v>79.819999999999993</v>
      </c>
      <c r="BC33" s="406" t="s">
        <v>800</v>
      </c>
      <c r="BD33" s="405">
        <v>84.11</v>
      </c>
      <c r="BE33" s="405">
        <v>75</v>
      </c>
      <c r="BF33" s="405">
        <v>87.16</v>
      </c>
      <c r="BG33" s="391"/>
      <c r="BH33" s="405">
        <v>93.41</v>
      </c>
      <c r="BI33" s="405">
        <v>80.77</v>
      </c>
      <c r="BJ33" s="405">
        <v>82.4</v>
      </c>
      <c r="BK33" s="405">
        <v>85.87</v>
      </c>
      <c r="BL33" s="405">
        <v>84.62</v>
      </c>
      <c r="BM33" s="391"/>
      <c r="BN33" s="405">
        <v>88.25</v>
      </c>
      <c r="BO33" s="405">
        <v>79</v>
      </c>
      <c r="BP33" s="405">
        <v>72.31</v>
      </c>
      <c r="BQ33" s="405">
        <v>51.48</v>
      </c>
      <c r="BR33" s="391"/>
      <c r="BS33" s="405">
        <v>85.24</v>
      </c>
      <c r="BT33" s="405">
        <v>82.22</v>
      </c>
      <c r="BU33" s="405">
        <v>35.58</v>
      </c>
      <c r="BV33" s="405">
        <v>87.63</v>
      </c>
      <c r="BW33" s="405">
        <v>71.98</v>
      </c>
      <c r="BX33" s="391"/>
    </row>
    <row r="34" spans="1:76" ht="13.5" customHeight="1">
      <c r="A34" s="425" t="s">
        <v>32</v>
      </c>
      <c r="B34" s="398">
        <v>28</v>
      </c>
      <c r="C34" s="399" t="s">
        <v>33</v>
      </c>
      <c r="D34" s="401">
        <v>49.82</v>
      </c>
      <c r="E34" s="404">
        <v>36.53</v>
      </c>
      <c r="F34" s="401">
        <v>51.79</v>
      </c>
      <c r="G34" s="404">
        <v>42</v>
      </c>
      <c r="H34" s="402">
        <v>13.29</v>
      </c>
      <c r="I34" s="402">
        <v>-1.9699999999999989</v>
      </c>
      <c r="J34" s="402">
        <v>7.82</v>
      </c>
      <c r="K34" s="391"/>
      <c r="L34" s="401">
        <v>58.33</v>
      </c>
      <c r="M34" s="404">
        <v>39.479999999999997</v>
      </c>
      <c r="N34" s="401">
        <v>54.55</v>
      </c>
      <c r="O34" s="400">
        <v>66.67</v>
      </c>
      <c r="P34" s="400">
        <v>80</v>
      </c>
      <c r="Q34" s="391"/>
      <c r="R34" s="401">
        <v>55.47</v>
      </c>
      <c r="S34" s="401">
        <v>45.15</v>
      </c>
      <c r="T34" s="391"/>
      <c r="U34" s="400" t="s">
        <v>800</v>
      </c>
      <c r="V34" s="401">
        <v>58.33</v>
      </c>
      <c r="W34" s="401">
        <v>46.55</v>
      </c>
      <c r="X34" s="401">
        <v>47.13</v>
      </c>
      <c r="Y34" s="400">
        <v>65.260000000000005</v>
      </c>
      <c r="Z34" s="391"/>
      <c r="AA34" s="400">
        <v>80</v>
      </c>
      <c r="AB34" s="400">
        <v>67.16</v>
      </c>
      <c r="AC34" s="401">
        <v>55.26</v>
      </c>
      <c r="AD34" s="401">
        <v>60.48</v>
      </c>
      <c r="AE34" s="404">
        <v>39.869999999999997</v>
      </c>
      <c r="AF34" s="391"/>
      <c r="AG34" s="400">
        <v>60.68</v>
      </c>
      <c r="AH34" s="404">
        <v>41.55</v>
      </c>
      <c r="AI34" s="401">
        <v>50.94</v>
      </c>
      <c r="AJ34" s="400">
        <v>68.180000000000007</v>
      </c>
      <c r="AK34" s="401">
        <v>53.33</v>
      </c>
      <c r="AL34" s="400">
        <v>66.67</v>
      </c>
      <c r="AM34" s="391"/>
      <c r="AN34" s="401">
        <v>50.19</v>
      </c>
      <c r="AO34" s="400">
        <v>71.430000000000007</v>
      </c>
      <c r="AP34" s="391"/>
      <c r="AQ34" s="400">
        <v>63.64</v>
      </c>
      <c r="AR34" s="400" t="s">
        <v>800</v>
      </c>
      <c r="AS34" s="400">
        <v>76.92</v>
      </c>
      <c r="AT34" s="400">
        <v>75</v>
      </c>
      <c r="AU34" s="401">
        <v>52.03</v>
      </c>
      <c r="AV34" s="400">
        <v>78.569999999999993</v>
      </c>
      <c r="AW34" s="401">
        <v>59.09</v>
      </c>
      <c r="AX34" s="404">
        <v>42.31</v>
      </c>
      <c r="AY34" s="404">
        <v>31.09</v>
      </c>
      <c r="AZ34" s="400">
        <v>69.23</v>
      </c>
      <c r="BA34" s="391"/>
      <c r="BB34" s="400">
        <v>63.64</v>
      </c>
      <c r="BC34" s="400" t="s">
        <v>800</v>
      </c>
      <c r="BD34" s="400">
        <v>76.92</v>
      </c>
      <c r="BE34" s="400">
        <v>75</v>
      </c>
      <c r="BF34" s="401">
        <v>52.03</v>
      </c>
      <c r="BG34" s="391"/>
      <c r="BH34" s="400">
        <v>78.569999999999993</v>
      </c>
      <c r="BI34" s="401">
        <v>59.09</v>
      </c>
      <c r="BJ34" s="404">
        <v>42.31</v>
      </c>
      <c r="BK34" s="404">
        <v>31.09</v>
      </c>
      <c r="BL34" s="400">
        <v>69.23</v>
      </c>
      <c r="BM34" s="391"/>
      <c r="BN34" s="401">
        <v>52.1</v>
      </c>
      <c r="BO34" s="404">
        <v>42.47</v>
      </c>
      <c r="BP34" s="401">
        <v>50</v>
      </c>
      <c r="BQ34" s="404">
        <v>38.46</v>
      </c>
      <c r="BR34" s="391"/>
      <c r="BS34" s="404">
        <v>39.31</v>
      </c>
      <c r="BT34" s="400">
        <v>68.849999999999994</v>
      </c>
      <c r="BU34" s="404">
        <v>12.51</v>
      </c>
      <c r="BV34" s="401">
        <v>55.47</v>
      </c>
      <c r="BW34" s="404">
        <v>36.67</v>
      </c>
      <c r="BX34" s="391"/>
    </row>
    <row r="35" spans="1:76">
      <c r="A35" s="426"/>
      <c r="B35" s="398">
        <v>29</v>
      </c>
      <c r="C35" s="399" t="s">
        <v>34</v>
      </c>
      <c r="D35" s="401">
        <v>45.97</v>
      </c>
      <c r="E35" s="404">
        <v>36.53</v>
      </c>
      <c r="F35" s="401">
        <v>44.68</v>
      </c>
      <c r="G35" s="404">
        <v>32</v>
      </c>
      <c r="H35" s="402">
        <v>9.4399999999999977</v>
      </c>
      <c r="I35" s="402">
        <v>1.2899999999999991</v>
      </c>
      <c r="J35" s="402">
        <v>13.969999999999999</v>
      </c>
      <c r="K35" s="391"/>
      <c r="L35" s="404">
        <v>37.51</v>
      </c>
      <c r="M35" s="404">
        <v>40.520000000000003</v>
      </c>
      <c r="N35" s="401">
        <v>47.59</v>
      </c>
      <c r="O35" s="400">
        <v>63.64</v>
      </c>
      <c r="P35" s="400">
        <v>80</v>
      </c>
      <c r="Q35" s="391"/>
      <c r="R35" s="401">
        <v>47.62</v>
      </c>
      <c r="S35" s="401">
        <v>45.15</v>
      </c>
      <c r="T35" s="391"/>
      <c r="U35" s="400" t="s">
        <v>800</v>
      </c>
      <c r="V35" s="401">
        <v>50</v>
      </c>
      <c r="W35" s="404">
        <v>40.799999999999997</v>
      </c>
      <c r="X35" s="401">
        <v>44.62</v>
      </c>
      <c r="Y35" s="401">
        <v>60</v>
      </c>
      <c r="Z35" s="391"/>
      <c r="AA35" s="400">
        <v>66.67</v>
      </c>
      <c r="AB35" s="401">
        <v>58.21</v>
      </c>
      <c r="AC35" s="400">
        <v>63.16</v>
      </c>
      <c r="AD35" s="401">
        <v>54.84</v>
      </c>
      <c r="AE35" s="404">
        <v>36.83</v>
      </c>
      <c r="AF35" s="391"/>
      <c r="AG35" s="404">
        <v>40.17</v>
      </c>
      <c r="AH35" s="404">
        <v>41.26</v>
      </c>
      <c r="AI35" s="401">
        <v>53.46</v>
      </c>
      <c r="AJ35" s="401">
        <v>45.45</v>
      </c>
      <c r="AK35" s="401">
        <v>56.67</v>
      </c>
      <c r="AL35" s="403">
        <v>100</v>
      </c>
      <c r="AM35" s="391"/>
      <c r="AN35" s="401">
        <v>45.78</v>
      </c>
      <c r="AO35" s="403">
        <v>85.71</v>
      </c>
      <c r="AP35" s="391"/>
      <c r="AQ35" s="401">
        <v>48.48</v>
      </c>
      <c r="AR35" s="400" t="s">
        <v>800</v>
      </c>
      <c r="AS35" s="400">
        <v>72.31</v>
      </c>
      <c r="AT35" s="400">
        <v>62.51</v>
      </c>
      <c r="AU35" s="404">
        <v>36.590000000000003</v>
      </c>
      <c r="AV35" s="400">
        <v>78.569999999999993</v>
      </c>
      <c r="AW35" s="401">
        <v>54.55</v>
      </c>
      <c r="AX35" s="401">
        <v>46.15</v>
      </c>
      <c r="AY35" s="404">
        <v>36.979999999999997</v>
      </c>
      <c r="AZ35" s="400">
        <v>61.54</v>
      </c>
      <c r="BA35" s="391"/>
      <c r="BB35" s="401">
        <v>48.48</v>
      </c>
      <c r="BC35" s="400" t="s">
        <v>800</v>
      </c>
      <c r="BD35" s="400">
        <v>72.31</v>
      </c>
      <c r="BE35" s="400">
        <v>62.51</v>
      </c>
      <c r="BF35" s="404">
        <v>36.590000000000003</v>
      </c>
      <c r="BG35" s="391"/>
      <c r="BH35" s="400">
        <v>78.569999999999993</v>
      </c>
      <c r="BI35" s="401">
        <v>54.55</v>
      </c>
      <c r="BJ35" s="401">
        <v>46.15</v>
      </c>
      <c r="BK35" s="404">
        <v>36.979999999999997</v>
      </c>
      <c r="BL35" s="400">
        <v>61.54</v>
      </c>
      <c r="BM35" s="391"/>
      <c r="BN35" s="401">
        <v>47.65</v>
      </c>
      <c r="BO35" s="404">
        <v>38.36</v>
      </c>
      <c r="BP35" s="401">
        <v>48</v>
      </c>
      <c r="BQ35" s="404">
        <v>33.33</v>
      </c>
      <c r="BR35" s="391"/>
      <c r="BS35" s="404">
        <v>38.15</v>
      </c>
      <c r="BT35" s="401">
        <v>57.38</v>
      </c>
      <c r="BU35" s="404">
        <v>12.51</v>
      </c>
      <c r="BV35" s="401">
        <v>49.8</v>
      </c>
      <c r="BW35" s="404">
        <v>40</v>
      </c>
      <c r="BX35" s="391"/>
    </row>
    <row r="36" spans="1:76">
      <c r="A36" s="426"/>
      <c r="B36" s="398">
        <v>30</v>
      </c>
      <c r="C36" s="399" t="s">
        <v>35</v>
      </c>
      <c r="D36" s="400">
        <v>77.8</v>
      </c>
      <c r="E36" s="400">
        <v>70.38</v>
      </c>
      <c r="F36" s="400">
        <v>65.959999999999994</v>
      </c>
      <c r="G36" s="404">
        <v>42</v>
      </c>
      <c r="H36" s="402">
        <v>7.4200000000000017</v>
      </c>
      <c r="I36" s="402">
        <v>11.840000000000003</v>
      </c>
      <c r="J36" s="402">
        <v>35.799999999999997</v>
      </c>
      <c r="K36" s="391"/>
      <c r="L36" s="400">
        <v>70.83</v>
      </c>
      <c r="M36" s="400">
        <v>77.25</v>
      </c>
      <c r="N36" s="400">
        <v>78.61</v>
      </c>
      <c r="O36" s="400">
        <v>83.33</v>
      </c>
      <c r="P36" s="400">
        <v>70</v>
      </c>
      <c r="Q36" s="391"/>
      <c r="R36" s="400">
        <v>77.010000000000005</v>
      </c>
      <c r="S36" s="400">
        <v>78.36</v>
      </c>
      <c r="T36" s="391"/>
      <c r="U36" s="400" t="s">
        <v>800</v>
      </c>
      <c r="V36" s="400">
        <v>83.33</v>
      </c>
      <c r="W36" s="400">
        <v>74.14</v>
      </c>
      <c r="X36" s="400">
        <v>78.540000000000006</v>
      </c>
      <c r="Y36" s="400">
        <v>81.05</v>
      </c>
      <c r="Z36" s="391"/>
      <c r="AA36" s="403">
        <v>87.51</v>
      </c>
      <c r="AB36" s="400">
        <v>83.58</v>
      </c>
      <c r="AC36" s="403">
        <v>86.84</v>
      </c>
      <c r="AD36" s="400">
        <v>79.2</v>
      </c>
      <c r="AE36" s="400">
        <v>74.45</v>
      </c>
      <c r="AF36" s="391"/>
      <c r="AG36" s="400">
        <v>75.209999999999994</v>
      </c>
      <c r="AH36" s="400">
        <v>79.23</v>
      </c>
      <c r="AI36" s="400">
        <v>76.099999999999994</v>
      </c>
      <c r="AJ36" s="403">
        <v>86.36</v>
      </c>
      <c r="AK36" s="400">
        <v>76.67</v>
      </c>
      <c r="AL36" s="403">
        <v>100</v>
      </c>
      <c r="AM36" s="391"/>
      <c r="AN36" s="400">
        <v>77.53</v>
      </c>
      <c r="AO36" s="403">
        <v>100</v>
      </c>
      <c r="AP36" s="391"/>
      <c r="AQ36" s="400">
        <v>71.64</v>
      </c>
      <c r="AR36" s="400" t="s">
        <v>800</v>
      </c>
      <c r="AS36" s="400">
        <v>84.85</v>
      </c>
      <c r="AT36" s="400">
        <v>62.51</v>
      </c>
      <c r="AU36" s="400">
        <v>77.239999999999995</v>
      </c>
      <c r="AV36" s="403">
        <v>100</v>
      </c>
      <c r="AW36" s="403">
        <v>90.91</v>
      </c>
      <c r="AX36" s="400">
        <v>76.92</v>
      </c>
      <c r="AY36" s="400">
        <v>75.260000000000005</v>
      </c>
      <c r="AZ36" s="403">
        <v>100</v>
      </c>
      <c r="BA36" s="391"/>
      <c r="BB36" s="400">
        <v>71.64</v>
      </c>
      <c r="BC36" s="400" t="s">
        <v>800</v>
      </c>
      <c r="BD36" s="400">
        <v>84.85</v>
      </c>
      <c r="BE36" s="400">
        <v>62.51</v>
      </c>
      <c r="BF36" s="400">
        <v>77.239999999999995</v>
      </c>
      <c r="BG36" s="391"/>
      <c r="BH36" s="403">
        <v>100</v>
      </c>
      <c r="BI36" s="403">
        <v>90.91</v>
      </c>
      <c r="BJ36" s="400">
        <v>76.92</v>
      </c>
      <c r="BK36" s="400">
        <v>75.260000000000005</v>
      </c>
      <c r="BL36" s="403">
        <v>100</v>
      </c>
      <c r="BM36" s="391"/>
      <c r="BN36" s="400">
        <v>80.989999999999995</v>
      </c>
      <c r="BO36" s="400">
        <v>64.38</v>
      </c>
      <c r="BP36" s="400">
        <v>78</v>
      </c>
      <c r="BQ36" s="401">
        <v>46.15</v>
      </c>
      <c r="BR36" s="391"/>
      <c r="BS36" s="400">
        <v>73.989999999999995</v>
      </c>
      <c r="BT36" s="400">
        <v>81.97</v>
      </c>
      <c r="BU36" s="401">
        <v>50</v>
      </c>
      <c r="BV36" s="400">
        <v>82.03</v>
      </c>
      <c r="BW36" s="401">
        <v>56.67</v>
      </c>
      <c r="BX36" s="391"/>
    </row>
    <row r="37" spans="1:76">
      <c r="A37" s="426"/>
      <c r="B37" s="398">
        <v>31</v>
      </c>
      <c r="C37" s="399" t="s">
        <v>36</v>
      </c>
      <c r="D37" s="403">
        <v>93.18</v>
      </c>
      <c r="E37" s="403">
        <v>87.42</v>
      </c>
      <c r="F37" s="403">
        <v>90.62</v>
      </c>
      <c r="G37" s="400">
        <v>79</v>
      </c>
      <c r="H37" s="402">
        <v>5.7600000000000051</v>
      </c>
      <c r="I37" s="402">
        <v>2.5600000000000023</v>
      </c>
      <c r="J37" s="402">
        <v>14.180000000000007</v>
      </c>
      <c r="K37" s="391"/>
      <c r="L37" s="403">
        <v>97.92</v>
      </c>
      <c r="M37" s="403">
        <v>93.99</v>
      </c>
      <c r="N37" s="403">
        <v>90.91</v>
      </c>
      <c r="O37" s="403">
        <v>96.97</v>
      </c>
      <c r="P37" s="400">
        <v>70</v>
      </c>
      <c r="Q37" s="391"/>
      <c r="R37" s="403">
        <v>92.34</v>
      </c>
      <c r="S37" s="403">
        <v>94.03</v>
      </c>
      <c r="T37" s="391"/>
      <c r="U37" s="400" t="s">
        <v>800</v>
      </c>
      <c r="V37" s="403">
        <v>100</v>
      </c>
      <c r="W37" s="403">
        <v>93.68</v>
      </c>
      <c r="X37" s="403">
        <v>93.49</v>
      </c>
      <c r="Y37" s="403">
        <v>90.53</v>
      </c>
      <c r="Z37" s="391"/>
      <c r="AA37" s="403">
        <v>100</v>
      </c>
      <c r="AB37" s="403">
        <v>91.04</v>
      </c>
      <c r="AC37" s="403">
        <v>94.74</v>
      </c>
      <c r="AD37" s="403">
        <v>92.68</v>
      </c>
      <c r="AE37" s="403">
        <v>93.31</v>
      </c>
      <c r="AF37" s="391"/>
      <c r="AG37" s="403">
        <v>96.58</v>
      </c>
      <c r="AH37" s="403">
        <v>91.79</v>
      </c>
      <c r="AI37" s="403">
        <v>90.57</v>
      </c>
      <c r="AJ37" s="403">
        <v>95.45</v>
      </c>
      <c r="AK37" s="403">
        <v>100</v>
      </c>
      <c r="AL37" s="403">
        <v>100</v>
      </c>
      <c r="AM37" s="391"/>
      <c r="AN37" s="403">
        <v>93.07</v>
      </c>
      <c r="AO37" s="403">
        <v>100</v>
      </c>
      <c r="AP37" s="391"/>
      <c r="AQ37" s="403">
        <v>93.94</v>
      </c>
      <c r="AR37" s="400" t="s">
        <v>800</v>
      </c>
      <c r="AS37" s="403">
        <v>92.06</v>
      </c>
      <c r="AT37" s="400">
        <v>75</v>
      </c>
      <c r="AU37" s="403">
        <v>95.93</v>
      </c>
      <c r="AV37" s="403">
        <v>100</v>
      </c>
      <c r="AW37" s="403">
        <v>95.45</v>
      </c>
      <c r="AX37" s="403">
        <v>92.31</v>
      </c>
      <c r="AY37" s="403">
        <v>92.19</v>
      </c>
      <c r="AZ37" s="403">
        <v>92.31</v>
      </c>
      <c r="BA37" s="391"/>
      <c r="BB37" s="403">
        <v>93.94</v>
      </c>
      <c r="BC37" s="400" t="s">
        <v>800</v>
      </c>
      <c r="BD37" s="403">
        <v>92.06</v>
      </c>
      <c r="BE37" s="400">
        <v>75</v>
      </c>
      <c r="BF37" s="403">
        <v>95.93</v>
      </c>
      <c r="BG37" s="391"/>
      <c r="BH37" s="403">
        <v>100</v>
      </c>
      <c r="BI37" s="403">
        <v>95.45</v>
      </c>
      <c r="BJ37" s="403">
        <v>92.31</v>
      </c>
      <c r="BK37" s="403">
        <v>92.19</v>
      </c>
      <c r="BL37" s="403">
        <v>92.31</v>
      </c>
      <c r="BM37" s="391"/>
      <c r="BN37" s="403">
        <v>95.8</v>
      </c>
      <c r="BO37" s="403">
        <v>91.78</v>
      </c>
      <c r="BP37" s="400">
        <v>80</v>
      </c>
      <c r="BQ37" s="400">
        <v>69.23</v>
      </c>
      <c r="BR37" s="391"/>
      <c r="BS37" s="403">
        <v>92.49</v>
      </c>
      <c r="BT37" s="403">
        <v>95.08</v>
      </c>
      <c r="BU37" s="404">
        <v>25</v>
      </c>
      <c r="BV37" s="403">
        <v>97.27</v>
      </c>
      <c r="BW37" s="400">
        <v>73.33</v>
      </c>
      <c r="BX37" s="391"/>
    </row>
    <row r="38" spans="1:76">
      <c r="A38" s="426"/>
      <c r="B38" s="398">
        <v>32</v>
      </c>
      <c r="C38" s="399" t="s">
        <v>37</v>
      </c>
      <c r="D38" s="400">
        <v>66.91</v>
      </c>
      <c r="E38" s="400">
        <v>63.09</v>
      </c>
      <c r="F38" s="401">
        <v>59.33</v>
      </c>
      <c r="G38" s="404">
        <v>38</v>
      </c>
      <c r="H38" s="402">
        <v>3.8199999999999932</v>
      </c>
      <c r="I38" s="402">
        <v>7.5799999999999983</v>
      </c>
      <c r="J38" s="402">
        <v>28.909999999999997</v>
      </c>
      <c r="K38" s="391"/>
      <c r="L38" s="400">
        <v>68.75</v>
      </c>
      <c r="M38" s="400">
        <v>67.39</v>
      </c>
      <c r="N38" s="400">
        <v>64.17</v>
      </c>
      <c r="O38" s="400">
        <v>73.849999999999994</v>
      </c>
      <c r="P38" s="400">
        <v>70</v>
      </c>
      <c r="Q38" s="391"/>
      <c r="R38" s="400">
        <v>72.790000000000006</v>
      </c>
      <c r="S38" s="400">
        <v>62.03</v>
      </c>
      <c r="T38" s="391"/>
      <c r="U38" s="400" t="s">
        <v>800</v>
      </c>
      <c r="V38" s="400">
        <v>75</v>
      </c>
      <c r="W38" s="400">
        <v>68.02</v>
      </c>
      <c r="X38" s="400">
        <v>63.32</v>
      </c>
      <c r="Y38" s="400">
        <v>75.790000000000006</v>
      </c>
      <c r="Z38" s="391"/>
      <c r="AA38" s="403">
        <v>93.33</v>
      </c>
      <c r="AB38" s="400">
        <v>68.180000000000007</v>
      </c>
      <c r="AC38" s="400">
        <v>71.05</v>
      </c>
      <c r="AD38" s="400">
        <v>69.11</v>
      </c>
      <c r="AE38" s="400">
        <v>63.99</v>
      </c>
      <c r="AF38" s="391"/>
      <c r="AG38" s="400">
        <v>73.040000000000006</v>
      </c>
      <c r="AH38" s="400">
        <v>66.510000000000005</v>
      </c>
      <c r="AI38" s="400">
        <v>63.29</v>
      </c>
      <c r="AJ38" s="400">
        <v>72.73</v>
      </c>
      <c r="AK38" s="400">
        <v>66.67</v>
      </c>
      <c r="AL38" s="400">
        <v>83.33</v>
      </c>
      <c r="AM38" s="391"/>
      <c r="AN38" s="400">
        <v>66.98</v>
      </c>
      <c r="AO38" s="403">
        <v>100</v>
      </c>
      <c r="AP38" s="391"/>
      <c r="AQ38" s="400">
        <v>67.69</v>
      </c>
      <c r="AR38" s="400" t="s">
        <v>800</v>
      </c>
      <c r="AS38" s="400">
        <v>82.54</v>
      </c>
      <c r="AT38" s="400">
        <v>75</v>
      </c>
      <c r="AU38" s="400">
        <v>69.67</v>
      </c>
      <c r="AV38" s="400">
        <v>78.569999999999993</v>
      </c>
      <c r="AW38" s="400">
        <v>61.9</v>
      </c>
      <c r="AX38" s="401">
        <v>59.62</v>
      </c>
      <c r="AY38" s="400">
        <v>62.3</v>
      </c>
      <c r="AZ38" s="400">
        <v>61.54</v>
      </c>
      <c r="BA38" s="391"/>
      <c r="BB38" s="400">
        <v>67.69</v>
      </c>
      <c r="BC38" s="400" t="s">
        <v>800</v>
      </c>
      <c r="BD38" s="400">
        <v>82.54</v>
      </c>
      <c r="BE38" s="400">
        <v>75</v>
      </c>
      <c r="BF38" s="400">
        <v>69.67</v>
      </c>
      <c r="BG38" s="391"/>
      <c r="BH38" s="400">
        <v>78.569999999999993</v>
      </c>
      <c r="BI38" s="400">
        <v>61.9</v>
      </c>
      <c r="BJ38" s="401">
        <v>59.62</v>
      </c>
      <c r="BK38" s="400">
        <v>62.3</v>
      </c>
      <c r="BL38" s="400">
        <v>61.54</v>
      </c>
      <c r="BM38" s="391"/>
      <c r="BN38" s="400">
        <v>70.47</v>
      </c>
      <c r="BO38" s="400">
        <v>60.56</v>
      </c>
      <c r="BP38" s="401">
        <v>54</v>
      </c>
      <c r="BQ38" s="401">
        <v>46.15</v>
      </c>
      <c r="BR38" s="391"/>
      <c r="BS38" s="400">
        <v>62.79</v>
      </c>
      <c r="BT38" s="400">
        <v>72.13</v>
      </c>
      <c r="BU38" s="404">
        <v>37.51</v>
      </c>
      <c r="BV38" s="400">
        <v>70.87</v>
      </c>
      <c r="BW38" s="401">
        <v>58.62</v>
      </c>
      <c r="BX38" s="391"/>
    </row>
    <row r="39" spans="1:76">
      <c r="A39" s="426"/>
      <c r="B39" s="398">
        <v>33</v>
      </c>
      <c r="C39" s="399" t="s">
        <v>38</v>
      </c>
      <c r="D39" s="400">
        <v>68.760000000000005</v>
      </c>
      <c r="E39" s="400">
        <v>64.489999999999995</v>
      </c>
      <c r="F39" s="400">
        <v>64.44</v>
      </c>
      <c r="G39" s="401">
        <v>45</v>
      </c>
      <c r="H39" s="402">
        <v>4.2700000000000102</v>
      </c>
      <c r="I39" s="402">
        <v>4.3200000000000074</v>
      </c>
      <c r="J39" s="402">
        <v>23.760000000000005</v>
      </c>
      <c r="K39" s="391"/>
      <c r="L39" s="400">
        <v>72.92</v>
      </c>
      <c r="M39" s="400">
        <v>65.67</v>
      </c>
      <c r="N39" s="400">
        <v>69.52</v>
      </c>
      <c r="O39" s="400">
        <v>75.760000000000005</v>
      </c>
      <c r="P39" s="400">
        <v>70</v>
      </c>
      <c r="Q39" s="391"/>
      <c r="R39" s="400">
        <v>70.069999999999993</v>
      </c>
      <c r="S39" s="400">
        <v>68.28</v>
      </c>
      <c r="T39" s="391"/>
      <c r="U39" s="400" t="s">
        <v>800</v>
      </c>
      <c r="V39" s="400">
        <v>75</v>
      </c>
      <c r="W39" s="400">
        <v>67.819999999999993</v>
      </c>
      <c r="X39" s="400">
        <v>66.67</v>
      </c>
      <c r="Y39" s="400">
        <v>76.84</v>
      </c>
      <c r="Z39" s="391"/>
      <c r="AA39" s="403">
        <v>93.33</v>
      </c>
      <c r="AB39" s="400">
        <v>70.150000000000006</v>
      </c>
      <c r="AC39" s="400">
        <v>76.319999999999993</v>
      </c>
      <c r="AD39" s="400">
        <v>76.42</v>
      </c>
      <c r="AE39" s="400">
        <v>63.38</v>
      </c>
      <c r="AF39" s="391"/>
      <c r="AG39" s="400">
        <v>67.52</v>
      </c>
      <c r="AH39" s="400">
        <v>66.180000000000007</v>
      </c>
      <c r="AI39" s="400">
        <v>71.069999999999993</v>
      </c>
      <c r="AJ39" s="403">
        <v>86.36</v>
      </c>
      <c r="AK39" s="400">
        <v>66.67</v>
      </c>
      <c r="AL39" s="403">
        <v>100</v>
      </c>
      <c r="AM39" s="391"/>
      <c r="AN39" s="400">
        <v>68.540000000000006</v>
      </c>
      <c r="AO39" s="403">
        <v>100</v>
      </c>
      <c r="AP39" s="391"/>
      <c r="AQ39" s="400">
        <v>72.73</v>
      </c>
      <c r="AR39" s="400" t="s">
        <v>800</v>
      </c>
      <c r="AS39" s="400">
        <v>82.54</v>
      </c>
      <c r="AT39" s="400">
        <v>62.51</v>
      </c>
      <c r="AU39" s="400">
        <v>65.849999999999994</v>
      </c>
      <c r="AV39" s="403">
        <v>85.71</v>
      </c>
      <c r="AW39" s="400">
        <v>72.73</v>
      </c>
      <c r="AX39" s="400">
        <v>69.23</v>
      </c>
      <c r="AY39" s="400">
        <v>64.06</v>
      </c>
      <c r="AZ39" s="400">
        <v>69.23</v>
      </c>
      <c r="BA39" s="391"/>
      <c r="BB39" s="400">
        <v>72.73</v>
      </c>
      <c r="BC39" s="400" t="s">
        <v>800</v>
      </c>
      <c r="BD39" s="400">
        <v>82.54</v>
      </c>
      <c r="BE39" s="400">
        <v>62.51</v>
      </c>
      <c r="BF39" s="400">
        <v>65.849999999999994</v>
      </c>
      <c r="BG39" s="391"/>
      <c r="BH39" s="403">
        <v>85.71</v>
      </c>
      <c r="BI39" s="400">
        <v>72.73</v>
      </c>
      <c r="BJ39" s="400">
        <v>69.23</v>
      </c>
      <c r="BK39" s="400">
        <v>64.06</v>
      </c>
      <c r="BL39" s="400">
        <v>69.23</v>
      </c>
      <c r="BM39" s="391"/>
      <c r="BN39" s="400">
        <v>74.319999999999993</v>
      </c>
      <c r="BO39" s="401">
        <v>50.68</v>
      </c>
      <c r="BP39" s="401">
        <v>60</v>
      </c>
      <c r="BQ39" s="404">
        <v>38.46</v>
      </c>
      <c r="BR39" s="391"/>
      <c r="BS39" s="400">
        <v>68.209999999999994</v>
      </c>
      <c r="BT39" s="400">
        <v>75.41</v>
      </c>
      <c r="BU39" s="404">
        <v>12.51</v>
      </c>
      <c r="BV39" s="400">
        <v>71.48</v>
      </c>
      <c r="BW39" s="401">
        <v>46.67</v>
      </c>
      <c r="BX39" s="391"/>
    </row>
    <row r="40" spans="1:76">
      <c r="A40" s="426"/>
      <c r="B40" s="398">
        <v>34</v>
      </c>
      <c r="C40" s="399" t="s">
        <v>39</v>
      </c>
      <c r="D40" s="400">
        <v>71.25</v>
      </c>
      <c r="E40" s="400">
        <v>67.19</v>
      </c>
      <c r="F40" s="400">
        <v>68.69</v>
      </c>
      <c r="G40" s="401">
        <v>44</v>
      </c>
      <c r="H40" s="402">
        <v>4.0600000000000023</v>
      </c>
      <c r="I40" s="402">
        <v>2.5600000000000023</v>
      </c>
      <c r="J40" s="402">
        <v>27.25</v>
      </c>
      <c r="K40" s="391"/>
      <c r="L40" s="400">
        <v>68.75</v>
      </c>
      <c r="M40" s="400">
        <v>72.61</v>
      </c>
      <c r="N40" s="400">
        <v>69.52</v>
      </c>
      <c r="O40" s="400">
        <v>75.760000000000005</v>
      </c>
      <c r="P40" s="400">
        <v>70</v>
      </c>
      <c r="Q40" s="391"/>
      <c r="R40" s="400">
        <v>68.38</v>
      </c>
      <c r="S40" s="400">
        <v>74.91</v>
      </c>
      <c r="T40" s="391"/>
      <c r="U40" s="400" t="s">
        <v>800</v>
      </c>
      <c r="V40" s="400">
        <v>75</v>
      </c>
      <c r="W40" s="400">
        <v>70.930000000000007</v>
      </c>
      <c r="X40" s="400">
        <v>70.38</v>
      </c>
      <c r="Y40" s="400">
        <v>74.739999999999995</v>
      </c>
      <c r="Z40" s="391"/>
      <c r="AA40" s="400">
        <v>80</v>
      </c>
      <c r="AB40" s="400">
        <v>68.66</v>
      </c>
      <c r="AC40" s="400">
        <v>63.16</v>
      </c>
      <c r="AD40" s="400">
        <v>72.36</v>
      </c>
      <c r="AE40" s="400">
        <v>71.94</v>
      </c>
      <c r="AF40" s="391"/>
      <c r="AG40" s="400">
        <v>69.83</v>
      </c>
      <c r="AH40" s="400">
        <v>74.150000000000006</v>
      </c>
      <c r="AI40" s="400">
        <v>69.180000000000007</v>
      </c>
      <c r="AJ40" s="400">
        <v>63.64</v>
      </c>
      <c r="AK40" s="400">
        <v>76.67</v>
      </c>
      <c r="AL40" s="403">
        <v>100</v>
      </c>
      <c r="AM40" s="391"/>
      <c r="AN40" s="400">
        <v>71</v>
      </c>
      <c r="AO40" s="403">
        <v>100</v>
      </c>
      <c r="AP40" s="391"/>
      <c r="AQ40" s="400">
        <v>66.150000000000006</v>
      </c>
      <c r="AR40" s="400" t="s">
        <v>800</v>
      </c>
      <c r="AS40" s="400">
        <v>77.78</v>
      </c>
      <c r="AT40" s="400">
        <v>75</v>
      </c>
      <c r="AU40" s="400">
        <v>72.73</v>
      </c>
      <c r="AV40" s="403">
        <v>85.71</v>
      </c>
      <c r="AW40" s="400">
        <v>68.180000000000007</v>
      </c>
      <c r="AX40" s="400">
        <v>69.23</v>
      </c>
      <c r="AY40" s="400">
        <v>71.73</v>
      </c>
      <c r="AZ40" s="401">
        <v>53.85</v>
      </c>
      <c r="BA40" s="391"/>
      <c r="BB40" s="400">
        <v>66.150000000000006</v>
      </c>
      <c r="BC40" s="400" t="s">
        <v>800</v>
      </c>
      <c r="BD40" s="400">
        <v>77.78</v>
      </c>
      <c r="BE40" s="400">
        <v>75</v>
      </c>
      <c r="BF40" s="400">
        <v>72.73</v>
      </c>
      <c r="BG40" s="391"/>
      <c r="BH40" s="403">
        <v>85.71</v>
      </c>
      <c r="BI40" s="400">
        <v>68.180000000000007</v>
      </c>
      <c r="BJ40" s="400">
        <v>69.23</v>
      </c>
      <c r="BK40" s="400">
        <v>71.73</v>
      </c>
      <c r="BL40" s="401">
        <v>53.85</v>
      </c>
      <c r="BM40" s="391"/>
      <c r="BN40" s="400">
        <v>74.94</v>
      </c>
      <c r="BO40" s="400">
        <v>69.44</v>
      </c>
      <c r="BP40" s="401">
        <v>54</v>
      </c>
      <c r="BQ40" s="401">
        <v>46.15</v>
      </c>
      <c r="BR40" s="391"/>
      <c r="BS40" s="400">
        <v>69.94</v>
      </c>
      <c r="BT40" s="400">
        <v>72.13</v>
      </c>
      <c r="BU40" s="404">
        <v>12.51</v>
      </c>
      <c r="BV40" s="400">
        <v>74.02</v>
      </c>
      <c r="BW40" s="400">
        <v>68.97</v>
      </c>
      <c r="BX40" s="391"/>
    </row>
    <row r="41" spans="1:76">
      <c r="A41" s="426"/>
      <c r="B41" s="398">
        <v>35</v>
      </c>
      <c r="C41" s="399" t="s">
        <v>40</v>
      </c>
      <c r="D41" s="403">
        <v>94.61</v>
      </c>
      <c r="E41" s="403">
        <v>90.16</v>
      </c>
      <c r="F41" s="403">
        <v>88.19</v>
      </c>
      <c r="G41" s="400">
        <v>73</v>
      </c>
      <c r="H41" s="402">
        <v>4.4500000000000028</v>
      </c>
      <c r="I41" s="402">
        <v>6.4200000000000017</v>
      </c>
      <c r="J41" s="402">
        <v>21.61</v>
      </c>
      <c r="K41" s="391"/>
      <c r="L41" s="403">
        <v>97.92</v>
      </c>
      <c r="M41" s="403">
        <v>96.14</v>
      </c>
      <c r="N41" s="403">
        <v>92.51</v>
      </c>
      <c r="O41" s="403">
        <v>96.97</v>
      </c>
      <c r="P41" s="400">
        <v>80</v>
      </c>
      <c r="Q41" s="391"/>
      <c r="R41" s="403">
        <v>95.26</v>
      </c>
      <c r="S41" s="403">
        <v>94.4</v>
      </c>
      <c r="T41" s="391"/>
      <c r="U41" s="400" t="s">
        <v>800</v>
      </c>
      <c r="V41" s="403">
        <v>100</v>
      </c>
      <c r="W41" s="403">
        <v>98.85</v>
      </c>
      <c r="X41" s="403">
        <v>92.72</v>
      </c>
      <c r="Y41" s="403">
        <v>92.63</v>
      </c>
      <c r="Z41" s="391"/>
      <c r="AA41" s="403">
        <v>100</v>
      </c>
      <c r="AB41" s="403">
        <v>94.03</v>
      </c>
      <c r="AC41" s="403">
        <v>94.74</v>
      </c>
      <c r="AD41" s="403">
        <v>94.31</v>
      </c>
      <c r="AE41" s="403">
        <v>94.59</v>
      </c>
      <c r="AF41" s="391"/>
      <c r="AG41" s="403">
        <v>99.15</v>
      </c>
      <c r="AH41" s="403">
        <v>93.24</v>
      </c>
      <c r="AI41" s="403">
        <v>93.08</v>
      </c>
      <c r="AJ41" s="403">
        <v>95.45</v>
      </c>
      <c r="AK41" s="403">
        <v>96.67</v>
      </c>
      <c r="AL41" s="403">
        <v>100</v>
      </c>
      <c r="AM41" s="391"/>
      <c r="AN41" s="403">
        <v>94.76</v>
      </c>
      <c r="AO41" s="403">
        <v>100</v>
      </c>
      <c r="AP41" s="391"/>
      <c r="AQ41" s="403">
        <v>93.94</v>
      </c>
      <c r="AR41" s="400" t="s">
        <v>800</v>
      </c>
      <c r="AS41" s="403">
        <v>95.24</v>
      </c>
      <c r="AT41" s="403">
        <v>87.51</v>
      </c>
      <c r="AU41" s="403">
        <v>97.56</v>
      </c>
      <c r="AV41" s="403">
        <v>100</v>
      </c>
      <c r="AW41" s="403">
        <v>95.45</v>
      </c>
      <c r="AX41" s="403">
        <v>94.23</v>
      </c>
      <c r="AY41" s="403">
        <v>93.23</v>
      </c>
      <c r="AZ41" s="403">
        <v>92.31</v>
      </c>
      <c r="BA41" s="391"/>
      <c r="BB41" s="403">
        <v>93.94</v>
      </c>
      <c r="BC41" s="400" t="s">
        <v>800</v>
      </c>
      <c r="BD41" s="403">
        <v>95.24</v>
      </c>
      <c r="BE41" s="403">
        <v>87.51</v>
      </c>
      <c r="BF41" s="403">
        <v>97.56</v>
      </c>
      <c r="BG41" s="391"/>
      <c r="BH41" s="403">
        <v>100</v>
      </c>
      <c r="BI41" s="403">
        <v>95.45</v>
      </c>
      <c r="BJ41" s="403">
        <v>94.23</v>
      </c>
      <c r="BK41" s="403">
        <v>93.23</v>
      </c>
      <c r="BL41" s="403">
        <v>92.31</v>
      </c>
      <c r="BM41" s="391"/>
      <c r="BN41" s="403">
        <v>96.3</v>
      </c>
      <c r="BO41" s="403">
        <v>94.52</v>
      </c>
      <c r="BP41" s="403">
        <v>92</v>
      </c>
      <c r="BQ41" s="400">
        <v>61.54</v>
      </c>
      <c r="BR41" s="391"/>
      <c r="BS41" s="403">
        <v>94.8</v>
      </c>
      <c r="BT41" s="403">
        <v>96.72</v>
      </c>
      <c r="BU41" s="404">
        <v>37.51</v>
      </c>
      <c r="BV41" s="403">
        <v>97.66</v>
      </c>
      <c r="BW41" s="400">
        <v>83.33</v>
      </c>
      <c r="BX41" s="391"/>
    </row>
    <row r="42" spans="1:76">
      <c r="A42" s="426"/>
      <c r="B42" s="398">
        <v>36</v>
      </c>
      <c r="C42" s="399" t="s">
        <v>41</v>
      </c>
      <c r="D42" s="403">
        <v>97.13</v>
      </c>
      <c r="E42" s="403">
        <v>94.17</v>
      </c>
      <c r="F42" s="403">
        <v>94.83</v>
      </c>
      <c r="G42" s="403">
        <v>88</v>
      </c>
      <c r="H42" s="402">
        <v>2.9599999999999937</v>
      </c>
      <c r="I42" s="402">
        <v>2.2999999999999972</v>
      </c>
      <c r="J42" s="402">
        <v>9.1299999999999955</v>
      </c>
      <c r="K42" s="391"/>
      <c r="L42" s="403">
        <v>100</v>
      </c>
      <c r="M42" s="403">
        <v>97.42</v>
      </c>
      <c r="N42" s="403">
        <v>96.26</v>
      </c>
      <c r="O42" s="403">
        <v>98.48</v>
      </c>
      <c r="P42" s="400">
        <v>80</v>
      </c>
      <c r="Q42" s="391"/>
      <c r="R42" s="403">
        <v>96.35</v>
      </c>
      <c r="S42" s="403">
        <v>97.76</v>
      </c>
      <c r="T42" s="391"/>
      <c r="U42" s="400" t="s">
        <v>800</v>
      </c>
      <c r="V42" s="403">
        <v>100</v>
      </c>
      <c r="W42" s="403">
        <v>99.43</v>
      </c>
      <c r="X42" s="403">
        <v>96.17</v>
      </c>
      <c r="Y42" s="403">
        <v>94.74</v>
      </c>
      <c r="Z42" s="391"/>
      <c r="AA42" s="403">
        <v>100</v>
      </c>
      <c r="AB42" s="403">
        <v>94.03</v>
      </c>
      <c r="AC42" s="403">
        <v>94.74</v>
      </c>
      <c r="AD42" s="403">
        <v>98.37</v>
      </c>
      <c r="AE42" s="403">
        <v>97.45</v>
      </c>
      <c r="AF42" s="391"/>
      <c r="AG42" s="403">
        <v>99.15</v>
      </c>
      <c r="AH42" s="403">
        <v>97.58</v>
      </c>
      <c r="AI42" s="403">
        <v>94.97</v>
      </c>
      <c r="AJ42" s="403">
        <v>95.45</v>
      </c>
      <c r="AK42" s="403">
        <v>96.67</v>
      </c>
      <c r="AL42" s="403">
        <v>100</v>
      </c>
      <c r="AM42" s="391"/>
      <c r="AN42" s="403">
        <v>97</v>
      </c>
      <c r="AO42" s="403">
        <v>100</v>
      </c>
      <c r="AP42" s="391"/>
      <c r="AQ42" s="403">
        <v>96.97</v>
      </c>
      <c r="AR42" s="400" t="s">
        <v>800</v>
      </c>
      <c r="AS42" s="403">
        <v>96.83</v>
      </c>
      <c r="AT42" s="403">
        <v>100</v>
      </c>
      <c r="AU42" s="403">
        <v>98.37</v>
      </c>
      <c r="AV42" s="403">
        <v>100</v>
      </c>
      <c r="AW42" s="403">
        <v>90.91</v>
      </c>
      <c r="AX42" s="403">
        <v>96.15</v>
      </c>
      <c r="AY42" s="403">
        <v>97.4</v>
      </c>
      <c r="AZ42" s="403">
        <v>92.31</v>
      </c>
      <c r="BA42" s="391"/>
      <c r="BB42" s="403">
        <v>96.97</v>
      </c>
      <c r="BC42" s="400" t="s">
        <v>800</v>
      </c>
      <c r="BD42" s="403">
        <v>96.83</v>
      </c>
      <c r="BE42" s="403">
        <v>100</v>
      </c>
      <c r="BF42" s="403">
        <v>98.37</v>
      </c>
      <c r="BG42" s="391"/>
      <c r="BH42" s="403">
        <v>100</v>
      </c>
      <c r="BI42" s="403">
        <v>90.91</v>
      </c>
      <c r="BJ42" s="403">
        <v>96.15</v>
      </c>
      <c r="BK42" s="403">
        <v>97.4</v>
      </c>
      <c r="BL42" s="403">
        <v>92.31</v>
      </c>
      <c r="BM42" s="391"/>
      <c r="BN42" s="403">
        <v>98.27</v>
      </c>
      <c r="BO42" s="403">
        <v>97.26</v>
      </c>
      <c r="BP42" s="403">
        <v>92</v>
      </c>
      <c r="BQ42" s="400">
        <v>76.92</v>
      </c>
      <c r="BR42" s="391"/>
      <c r="BS42" s="403">
        <v>96.53</v>
      </c>
      <c r="BT42" s="403">
        <v>98.36</v>
      </c>
      <c r="BU42" s="400">
        <v>62.51</v>
      </c>
      <c r="BV42" s="403">
        <v>99.61</v>
      </c>
      <c r="BW42" s="403">
        <v>86.67</v>
      </c>
      <c r="BX42" s="391"/>
    </row>
    <row r="43" spans="1:76">
      <c r="A43" s="426"/>
      <c r="B43" s="398">
        <v>37</v>
      </c>
      <c r="C43" s="399" t="s">
        <v>42</v>
      </c>
      <c r="D43" s="403">
        <v>96.22</v>
      </c>
      <c r="E43" s="403">
        <v>94.38</v>
      </c>
      <c r="F43" s="403">
        <v>93.52</v>
      </c>
      <c r="G43" s="403">
        <v>87</v>
      </c>
      <c r="H43" s="402">
        <v>1.8400000000000034</v>
      </c>
      <c r="I43" s="402">
        <v>2.7000000000000028</v>
      </c>
      <c r="J43" s="402">
        <v>9.2199999999999989</v>
      </c>
      <c r="K43" s="391"/>
      <c r="L43" s="403">
        <v>100</v>
      </c>
      <c r="M43" s="403">
        <v>96.98</v>
      </c>
      <c r="N43" s="403">
        <v>94.12</v>
      </c>
      <c r="O43" s="403">
        <v>98.48</v>
      </c>
      <c r="P43" s="400">
        <v>80</v>
      </c>
      <c r="Q43" s="391"/>
      <c r="R43" s="403">
        <v>94.51</v>
      </c>
      <c r="S43" s="403">
        <v>97.76</v>
      </c>
      <c r="T43" s="391"/>
      <c r="U43" s="400" t="s">
        <v>800</v>
      </c>
      <c r="V43" s="403">
        <v>100</v>
      </c>
      <c r="W43" s="403">
        <v>97.11</v>
      </c>
      <c r="X43" s="403">
        <v>95.79</v>
      </c>
      <c r="Y43" s="403">
        <v>94.74</v>
      </c>
      <c r="Z43" s="391"/>
      <c r="AA43" s="403">
        <v>100</v>
      </c>
      <c r="AB43" s="403">
        <v>95.52</v>
      </c>
      <c r="AC43" s="403">
        <v>94.74</v>
      </c>
      <c r="AD43" s="403">
        <v>95.93</v>
      </c>
      <c r="AE43" s="403">
        <v>96.49</v>
      </c>
      <c r="AF43" s="391"/>
      <c r="AG43" s="403">
        <v>98.28</v>
      </c>
      <c r="AH43" s="403">
        <v>96.14</v>
      </c>
      <c r="AI43" s="403">
        <v>93.71</v>
      </c>
      <c r="AJ43" s="403">
        <v>95.45</v>
      </c>
      <c r="AK43" s="403">
        <v>100</v>
      </c>
      <c r="AL43" s="403">
        <v>100</v>
      </c>
      <c r="AM43" s="391"/>
      <c r="AN43" s="403">
        <v>96.25</v>
      </c>
      <c r="AO43" s="403">
        <v>100</v>
      </c>
      <c r="AP43" s="391"/>
      <c r="AQ43" s="403">
        <v>92.31</v>
      </c>
      <c r="AR43" s="400" t="s">
        <v>800</v>
      </c>
      <c r="AS43" s="403">
        <v>96.83</v>
      </c>
      <c r="AT43" s="403">
        <v>100</v>
      </c>
      <c r="AU43" s="403">
        <v>97.56</v>
      </c>
      <c r="AV43" s="403">
        <v>100</v>
      </c>
      <c r="AW43" s="403">
        <v>95.45</v>
      </c>
      <c r="AX43" s="403">
        <v>96.15</v>
      </c>
      <c r="AY43" s="403">
        <v>96.35</v>
      </c>
      <c r="AZ43" s="403">
        <v>92.31</v>
      </c>
      <c r="BA43" s="391"/>
      <c r="BB43" s="403">
        <v>92.31</v>
      </c>
      <c r="BC43" s="400" t="s">
        <v>800</v>
      </c>
      <c r="BD43" s="403">
        <v>96.83</v>
      </c>
      <c r="BE43" s="403">
        <v>100</v>
      </c>
      <c r="BF43" s="403">
        <v>97.56</v>
      </c>
      <c r="BG43" s="391"/>
      <c r="BH43" s="403">
        <v>100</v>
      </c>
      <c r="BI43" s="403">
        <v>95.45</v>
      </c>
      <c r="BJ43" s="403">
        <v>96.15</v>
      </c>
      <c r="BK43" s="403">
        <v>96.35</v>
      </c>
      <c r="BL43" s="403">
        <v>92.31</v>
      </c>
      <c r="BM43" s="391"/>
      <c r="BN43" s="403">
        <v>97.03</v>
      </c>
      <c r="BO43" s="403">
        <v>98.63</v>
      </c>
      <c r="BP43" s="403">
        <v>92</v>
      </c>
      <c r="BQ43" s="400">
        <v>69.23</v>
      </c>
      <c r="BR43" s="391"/>
      <c r="BS43" s="403">
        <v>96.53</v>
      </c>
      <c r="BT43" s="403">
        <v>98.36</v>
      </c>
      <c r="BU43" s="404">
        <v>37.51</v>
      </c>
      <c r="BV43" s="403">
        <v>98.82</v>
      </c>
      <c r="BW43" s="400">
        <v>83.33</v>
      </c>
      <c r="BX43" s="391"/>
    </row>
    <row r="44" spans="1:76">
      <c r="A44" s="426"/>
      <c r="B44" s="398">
        <v>38</v>
      </c>
      <c r="C44" s="399" t="s">
        <v>43</v>
      </c>
      <c r="D44" s="403">
        <v>94.43</v>
      </c>
      <c r="E44" s="403">
        <v>91.26</v>
      </c>
      <c r="F44" s="403">
        <v>92.24</v>
      </c>
      <c r="G44" s="400">
        <v>84</v>
      </c>
      <c r="H44" s="402">
        <v>3.1700000000000017</v>
      </c>
      <c r="I44" s="402">
        <v>2.1900000000000119</v>
      </c>
      <c r="J44" s="402">
        <v>10.430000000000007</v>
      </c>
      <c r="K44" s="391"/>
      <c r="L44" s="403">
        <v>97.92</v>
      </c>
      <c r="M44" s="403">
        <v>94.85</v>
      </c>
      <c r="N44" s="403">
        <v>93.05</v>
      </c>
      <c r="O44" s="403">
        <v>96.97</v>
      </c>
      <c r="P44" s="400">
        <v>80</v>
      </c>
      <c r="Q44" s="391"/>
      <c r="R44" s="403">
        <v>95.26</v>
      </c>
      <c r="S44" s="403">
        <v>93.66</v>
      </c>
      <c r="T44" s="391"/>
      <c r="U44" s="400" t="s">
        <v>800</v>
      </c>
      <c r="V44" s="403">
        <v>100</v>
      </c>
      <c r="W44" s="403">
        <v>94.83</v>
      </c>
      <c r="X44" s="403">
        <v>94.64</v>
      </c>
      <c r="Y44" s="403">
        <v>92.63</v>
      </c>
      <c r="Z44" s="391"/>
      <c r="AA44" s="403">
        <v>100</v>
      </c>
      <c r="AB44" s="403">
        <v>94.03</v>
      </c>
      <c r="AC44" s="403">
        <v>92.11</v>
      </c>
      <c r="AD44" s="403">
        <v>95.12</v>
      </c>
      <c r="AE44" s="403">
        <v>94.27</v>
      </c>
      <c r="AF44" s="391"/>
      <c r="AG44" s="403">
        <v>95.73</v>
      </c>
      <c r="AH44" s="403">
        <v>96.14</v>
      </c>
      <c r="AI44" s="403">
        <v>91.82</v>
      </c>
      <c r="AJ44" s="403">
        <v>86.36</v>
      </c>
      <c r="AK44" s="403">
        <v>96.67</v>
      </c>
      <c r="AL44" s="403">
        <v>100</v>
      </c>
      <c r="AM44" s="391"/>
      <c r="AN44" s="403">
        <v>94.38</v>
      </c>
      <c r="AO44" s="403">
        <v>100</v>
      </c>
      <c r="AP44" s="391"/>
      <c r="AQ44" s="403">
        <v>92.42</v>
      </c>
      <c r="AR44" s="400" t="s">
        <v>800</v>
      </c>
      <c r="AS44" s="403">
        <v>96.83</v>
      </c>
      <c r="AT44" s="403">
        <v>87.51</v>
      </c>
      <c r="AU44" s="403">
        <v>95.93</v>
      </c>
      <c r="AV44" s="403">
        <v>100</v>
      </c>
      <c r="AW44" s="403">
        <v>86.36</v>
      </c>
      <c r="AX44" s="403">
        <v>96.15</v>
      </c>
      <c r="AY44" s="403">
        <v>93.75</v>
      </c>
      <c r="AZ44" s="403">
        <v>92.31</v>
      </c>
      <c r="BA44" s="391"/>
      <c r="BB44" s="403">
        <v>92.42</v>
      </c>
      <c r="BC44" s="400" t="s">
        <v>800</v>
      </c>
      <c r="BD44" s="403">
        <v>96.83</v>
      </c>
      <c r="BE44" s="403">
        <v>87.51</v>
      </c>
      <c r="BF44" s="403">
        <v>95.93</v>
      </c>
      <c r="BG44" s="391"/>
      <c r="BH44" s="403">
        <v>100</v>
      </c>
      <c r="BI44" s="403">
        <v>86.36</v>
      </c>
      <c r="BJ44" s="403">
        <v>96.15</v>
      </c>
      <c r="BK44" s="403">
        <v>93.75</v>
      </c>
      <c r="BL44" s="403">
        <v>92.31</v>
      </c>
      <c r="BM44" s="391"/>
      <c r="BN44" s="403">
        <v>96.54</v>
      </c>
      <c r="BO44" s="403">
        <v>90.41</v>
      </c>
      <c r="BP44" s="403">
        <v>92</v>
      </c>
      <c r="BQ44" s="400">
        <v>61.54</v>
      </c>
      <c r="BR44" s="391"/>
      <c r="BS44" s="403">
        <v>93.06</v>
      </c>
      <c r="BT44" s="403">
        <v>96.72</v>
      </c>
      <c r="BU44" s="404">
        <v>37.51</v>
      </c>
      <c r="BV44" s="403">
        <v>97.66</v>
      </c>
      <c r="BW44" s="403">
        <v>86.67</v>
      </c>
      <c r="BX44" s="391"/>
    </row>
    <row r="45" spans="1:76">
      <c r="A45" s="427"/>
      <c r="B45" s="398">
        <v>39</v>
      </c>
      <c r="C45" s="399" t="s">
        <v>44</v>
      </c>
      <c r="D45" s="403">
        <v>87.57</v>
      </c>
      <c r="E45" s="400">
        <v>79.78</v>
      </c>
      <c r="F45" s="400">
        <v>81.91</v>
      </c>
      <c r="G45" s="400">
        <v>63</v>
      </c>
      <c r="H45" s="402">
        <v>7.789999999999992</v>
      </c>
      <c r="I45" s="402">
        <v>5.6599999999999966</v>
      </c>
      <c r="J45" s="402">
        <v>24.569999999999993</v>
      </c>
      <c r="K45" s="391"/>
      <c r="L45" s="403">
        <v>93.75</v>
      </c>
      <c r="M45" s="403">
        <v>88.79</v>
      </c>
      <c r="N45" s="400">
        <v>85.03</v>
      </c>
      <c r="O45" s="403">
        <v>89.39</v>
      </c>
      <c r="P45" s="400">
        <v>70</v>
      </c>
      <c r="Q45" s="391"/>
      <c r="R45" s="403">
        <v>87.18</v>
      </c>
      <c r="S45" s="403">
        <v>88.43</v>
      </c>
      <c r="T45" s="391"/>
      <c r="U45" s="400" t="s">
        <v>800</v>
      </c>
      <c r="V45" s="403">
        <v>100</v>
      </c>
      <c r="W45" s="403">
        <v>90.17</v>
      </c>
      <c r="X45" s="400">
        <v>85.06</v>
      </c>
      <c r="Y45" s="403">
        <v>88.42</v>
      </c>
      <c r="Z45" s="391"/>
      <c r="AA45" s="403">
        <v>86.67</v>
      </c>
      <c r="AB45" s="400">
        <v>80.599999999999994</v>
      </c>
      <c r="AC45" s="403">
        <v>92.11</v>
      </c>
      <c r="AD45" s="403">
        <v>86.99</v>
      </c>
      <c r="AE45" s="403">
        <v>88.78</v>
      </c>
      <c r="AF45" s="391"/>
      <c r="AG45" s="403">
        <v>93.1</v>
      </c>
      <c r="AH45" s="403">
        <v>85.51</v>
      </c>
      <c r="AI45" s="403">
        <v>86.16</v>
      </c>
      <c r="AJ45" s="403">
        <v>90.91</v>
      </c>
      <c r="AK45" s="403">
        <v>86.67</v>
      </c>
      <c r="AL45" s="403">
        <v>100</v>
      </c>
      <c r="AM45" s="391"/>
      <c r="AN45" s="403">
        <v>87.62</v>
      </c>
      <c r="AO45" s="403">
        <v>100</v>
      </c>
      <c r="AP45" s="391"/>
      <c r="AQ45" s="400">
        <v>78.459999999999994</v>
      </c>
      <c r="AR45" s="400" t="s">
        <v>800</v>
      </c>
      <c r="AS45" s="403">
        <v>93.65</v>
      </c>
      <c r="AT45" s="400">
        <v>75</v>
      </c>
      <c r="AU45" s="403">
        <v>91.87</v>
      </c>
      <c r="AV45" s="403">
        <v>92.86</v>
      </c>
      <c r="AW45" s="400">
        <v>81.819999999999993</v>
      </c>
      <c r="AX45" s="400">
        <v>80.77</v>
      </c>
      <c r="AY45" s="403">
        <v>89.53</v>
      </c>
      <c r="AZ45" s="400">
        <v>76.92</v>
      </c>
      <c r="BA45" s="391"/>
      <c r="BB45" s="400">
        <v>78.459999999999994</v>
      </c>
      <c r="BC45" s="400" t="s">
        <v>800</v>
      </c>
      <c r="BD45" s="403">
        <v>93.65</v>
      </c>
      <c r="BE45" s="400">
        <v>75</v>
      </c>
      <c r="BF45" s="403">
        <v>91.87</v>
      </c>
      <c r="BG45" s="391"/>
      <c r="BH45" s="403">
        <v>92.86</v>
      </c>
      <c r="BI45" s="400">
        <v>81.819999999999993</v>
      </c>
      <c r="BJ45" s="400">
        <v>80.77</v>
      </c>
      <c r="BK45" s="403">
        <v>89.53</v>
      </c>
      <c r="BL45" s="400">
        <v>76.92</v>
      </c>
      <c r="BM45" s="391"/>
      <c r="BN45" s="403">
        <v>91.58</v>
      </c>
      <c r="BO45" s="400">
        <v>84.93</v>
      </c>
      <c r="BP45" s="400">
        <v>72</v>
      </c>
      <c r="BQ45" s="404">
        <v>38.46</v>
      </c>
      <c r="BR45" s="391"/>
      <c r="BS45" s="403">
        <v>86.71</v>
      </c>
      <c r="BT45" s="403">
        <v>86.89</v>
      </c>
      <c r="BU45" s="404">
        <v>12.51</v>
      </c>
      <c r="BV45" s="403">
        <v>92.16</v>
      </c>
      <c r="BW45" s="400">
        <v>76.67</v>
      </c>
      <c r="BX45" s="391"/>
    </row>
    <row r="46" spans="1:76">
      <c r="A46" s="422" t="s">
        <v>348</v>
      </c>
      <c r="B46" s="423"/>
      <c r="C46" s="424"/>
      <c r="D46" s="405">
        <v>78.64</v>
      </c>
      <c r="E46" s="405">
        <v>72.95</v>
      </c>
      <c r="F46" s="405">
        <v>74.680000000000007</v>
      </c>
      <c r="G46" s="405">
        <v>60</v>
      </c>
      <c r="H46" s="405">
        <v>5.6899999999999977</v>
      </c>
      <c r="I46" s="405">
        <v>3.9599999999999937</v>
      </c>
      <c r="J46" s="405">
        <v>18.64</v>
      </c>
      <c r="K46" s="391"/>
      <c r="L46" s="405">
        <v>80.38</v>
      </c>
      <c r="M46" s="405">
        <v>77.59</v>
      </c>
      <c r="N46" s="405">
        <v>77.989999999999995</v>
      </c>
      <c r="O46" s="405">
        <v>84.69</v>
      </c>
      <c r="P46" s="405">
        <v>75</v>
      </c>
      <c r="Q46" s="391"/>
      <c r="R46" s="405">
        <v>79.349999999999994</v>
      </c>
      <c r="S46" s="405">
        <v>78.33</v>
      </c>
      <c r="T46" s="391"/>
      <c r="U46" s="406" t="s">
        <v>800</v>
      </c>
      <c r="V46" s="405">
        <v>84.72</v>
      </c>
      <c r="W46" s="405">
        <v>78.53</v>
      </c>
      <c r="X46" s="405">
        <v>77.38</v>
      </c>
      <c r="Y46" s="405">
        <v>82.28</v>
      </c>
      <c r="Z46" s="391"/>
      <c r="AA46" s="405">
        <v>90.63</v>
      </c>
      <c r="AB46" s="405">
        <v>80.430000000000007</v>
      </c>
      <c r="AC46" s="405">
        <v>81.58</v>
      </c>
      <c r="AD46" s="405">
        <v>81.319999999999993</v>
      </c>
      <c r="AE46" s="405">
        <v>76.28</v>
      </c>
      <c r="AF46" s="391"/>
      <c r="AG46" s="405">
        <v>80.7</v>
      </c>
      <c r="AH46" s="405">
        <v>77.44</v>
      </c>
      <c r="AI46" s="405">
        <v>77.86</v>
      </c>
      <c r="AJ46" s="405">
        <v>81.819999999999993</v>
      </c>
      <c r="AK46" s="405">
        <v>81.11</v>
      </c>
      <c r="AL46" s="405">
        <v>95.83</v>
      </c>
      <c r="AM46" s="391"/>
      <c r="AN46" s="405">
        <v>78.59</v>
      </c>
      <c r="AO46" s="405">
        <v>96.43</v>
      </c>
      <c r="AP46" s="391"/>
      <c r="AQ46" s="405">
        <v>78.2</v>
      </c>
      <c r="AR46" s="406" t="s">
        <v>800</v>
      </c>
      <c r="AS46" s="405">
        <v>87.36</v>
      </c>
      <c r="AT46" s="405">
        <v>78.13</v>
      </c>
      <c r="AU46" s="405">
        <v>79.28</v>
      </c>
      <c r="AV46" s="405">
        <v>91.67</v>
      </c>
      <c r="AW46" s="405">
        <v>79.400000000000006</v>
      </c>
      <c r="AX46" s="405">
        <v>76.599999999999994</v>
      </c>
      <c r="AY46" s="405">
        <v>75.319999999999993</v>
      </c>
      <c r="AZ46" s="405">
        <v>79.489999999999995</v>
      </c>
      <c r="BA46" s="391"/>
      <c r="BB46" s="405">
        <v>78.2</v>
      </c>
      <c r="BC46" s="406" t="s">
        <v>800</v>
      </c>
      <c r="BD46" s="405">
        <v>87.36</v>
      </c>
      <c r="BE46" s="405">
        <v>78.13</v>
      </c>
      <c r="BF46" s="405">
        <v>79.28</v>
      </c>
      <c r="BG46" s="391"/>
      <c r="BH46" s="405">
        <v>91.67</v>
      </c>
      <c r="BI46" s="405">
        <v>79.400000000000006</v>
      </c>
      <c r="BJ46" s="405">
        <v>76.599999999999994</v>
      </c>
      <c r="BK46" s="405">
        <v>75.319999999999993</v>
      </c>
      <c r="BL46" s="405">
        <v>79.489999999999995</v>
      </c>
      <c r="BM46" s="391"/>
      <c r="BN46" s="405">
        <v>81.33</v>
      </c>
      <c r="BO46" s="405">
        <v>73.62</v>
      </c>
      <c r="BP46" s="405">
        <v>72</v>
      </c>
      <c r="BQ46" s="405">
        <v>52.14</v>
      </c>
      <c r="BR46" s="391"/>
      <c r="BS46" s="405">
        <v>76.040000000000006</v>
      </c>
      <c r="BT46" s="405">
        <v>83.33</v>
      </c>
      <c r="BU46" s="405">
        <v>29.17</v>
      </c>
      <c r="BV46" s="405">
        <v>82.24</v>
      </c>
      <c r="BW46" s="405">
        <v>66.47</v>
      </c>
      <c r="BX46" s="391"/>
    </row>
    <row r="47" spans="1:76" ht="13.5" customHeight="1">
      <c r="A47" s="425" t="s">
        <v>45</v>
      </c>
      <c r="B47" s="398">
        <v>40</v>
      </c>
      <c r="C47" s="399" t="s">
        <v>46</v>
      </c>
      <c r="D47" s="400">
        <v>78.989999999999995</v>
      </c>
      <c r="E47" s="400">
        <v>75.06</v>
      </c>
      <c r="F47" s="400">
        <v>77.8</v>
      </c>
      <c r="G47" s="400">
        <v>64</v>
      </c>
      <c r="H47" s="402">
        <v>3.9299999999999926</v>
      </c>
      <c r="I47" s="402">
        <v>1.1899999999999977</v>
      </c>
      <c r="J47" s="402">
        <v>14.989999999999995</v>
      </c>
      <c r="K47" s="391"/>
      <c r="L47" s="400">
        <v>75</v>
      </c>
      <c r="M47" s="400">
        <v>74.25</v>
      </c>
      <c r="N47" s="400">
        <v>81.28</v>
      </c>
      <c r="O47" s="403">
        <v>93.94</v>
      </c>
      <c r="P47" s="400">
        <v>80</v>
      </c>
      <c r="Q47" s="391"/>
      <c r="R47" s="400">
        <v>78.83</v>
      </c>
      <c r="S47" s="400">
        <v>79.48</v>
      </c>
      <c r="T47" s="391"/>
      <c r="U47" s="400" t="s">
        <v>800</v>
      </c>
      <c r="V47" s="400">
        <v>83.33</v>
      </c>
      <c r="W47" s="400">
        <v>76.44</v>
      </c>
      <c r="X47" s="400">
        <v>78.930000000000007</v>
      </c>
      <c r="Y47" s="400">
        <v>84.21</v>
      </c>
      <c r="Z47" s="391"/>
      <c r="AA47" s="403">
        <v>93.33</v>
      </c>
      <c r="AB47" s="403">
        <v>86.57</v>
      </c>
      <c r="AC47" s="400">
        <v>78.95</v>
      </c>
      <c r="AD47" s="400">
        <v>83.74</v>
      </c>
      <c r="AE47" s="400">
        <v>74.84</v>
      </c>
      <c r="AF47" s="391"/>
      <c r="AG47" s="400">
        <v>72.650000000000006</v>
      </c>
      <c r="AH47" s="400">
        <v>81.16</v>
      </c>
      <c r="AI47" s="400">
        <v>78.62</v>
      </c>
      <c r="AJ47" s="400">
        <v>81.819999999999993</v>
      </c>
      <c r="AK47" s="403">
        <v>90</v>
      </c>
      <c r="AL47" s="403">
        <v>100</v>
      </c>
      <c r="AM47" s="391"/>
      <c r="AN47" s="400">
        <v>78.84</v>
      </c>
      <c r="AO47" s="403">
        <v>100</v>
      </c>
      <c r="AP47" s="391"/>
      <c r="AQ47" s="400">
        <v>78.790000000000006</v>
      </c>
      <c r="AR47" s="400" t="s">
        <v>800</v>
      </c>
      <c r="AS47" s="403">
        <v>95.24</v>
      </c>
      <c r="AT47" s="400">
        <v>75</v>
      </c>
      <c r="AU47" s="400">
        <v>69.11</v>
      </c>
      <c r="AV47" s="403">
        <v>100</v>
      </c>
      <c r="AW47" s="400">
        <v>81.819999999999993</v>
      </c>
      <c r="AX47" s="400">
        <v>80.77</v>
      </c>
      <c r="AY47" s="400">
        <v>78.13</v>
      </c>
      <c r="AZ47" s="400">
        <v>84.62</v>
      </c>
      <c r="BA47" s="391"/>
      <c r="BB47" s="400">
        <v>78.790000000000006</v>
      </c>
      <c r="BC47" s="400" t="s">
        <v>800</v>
      </c>
      <c r="BD47" s="403">
        <v>95.24</v>
      </c>
      <c r="BE47" s="400">
        <v>75</v>
      </c>
      <c r="BF47" s="400">
        <v>69.11</v>
      </c>
      <c r="BG47" s="391"/>
      <c r="BH47" s="403">
        <v>100</v>
      </c>
      <c r="BI47" s="400">
        <v>81.819999999999993</v>
      </c>
      <c r="BJ47" s="400">
        <v>80.77</v>
      </c>
      <c r="BK47" s="400">
        <v>78.13</v>
      </c>
      <c r="BL47" s="400">
        <v>84.62</v>
      </c>
      <c r="BM47" s="391"/>
      <c r="BN47" s="400">
        <v>81.73</v>
      </c>
      <c r="BO47" s="400">
        <v>69.86</v>
      </c>
      <c r="BP47" s="400">
        <v>76</v>
      </c>
      <c r="BQ47" s="400">
        <v>61.54</v>
      </c>
      <c r="BR47" s="391"/>
      <c r="BS47" s="400">
        <v>77.459999999999994</v>
      </c>
      <c r="BT47" s="400">
        <v>75.41</v>
      </c>
      <c r="BU47" s="404">
        <v>12.51</v>
      </c>
      <c r="BV47" s="403">
        <v>85.55</v>
      </c>
      <c r="BW47" s="401">
        <v>53.33</v>
      </c>
      <c r="BX47" s="391"/>
    </row>
    <row r="48" spans="1:76">
      <c r="A48" s="426"/>
      <c r="B48" s="398">
        <v>41</v>
      </c>
      <c r="C48" s="399" t="s">
        <v>47</v>
      </c>
      <c r="D48" s="400">
        <v>66.61</v>
      </c>
      <c r="E48" s="400">
        <v>61.47</v>
      </c>
      <c r="F48" s="400">
        <v>74.849999999999994</v>
      </c>
      <c r="G48" s="400">
        <v>62</v>
      </c>
      <c r="H48" s="402">
        <v>5.1400000000000006</v>
      </c>
      <c r="I48" s="402">
        <v>-8.2399999999999949</v>
      </c>
      <c r="J48" s="402">
        <v>4.6099999999999994</v>
      </c>
      <c r="K48" s="391"/>
      <c r="L48" s="401">
        <v>60.42</v>
      </c>
      <c r="M48" s="400">
        <v>62.66</v>
      </c>
      <c r="N48" s="400">
        <v>67.91</v>
      </c>
      <c r="O48" s="400">
        <v>80.3</v>
      </c>
      <c r="P48" s="400">
        <v>80</v>
      </c>
      <c r="Q48" s="391"/>
      <c r="R48" s="400">
        <v>66.42</v>
      </c>
      <c r="S48" s="400">
        <v>66.790000000000006</v>
      </c>
      <c r="T48" s="391"/>
      <c r="U48" s="400" t="s">
        <v>800</v>
      </c>
      <c r="V48" s="401">
        <v>58.33</v>
      </c>
      <c r="W48" s="400">
        <v>65.52</v>
      </c>
      <c r="X48" s="400">
        <v>65.52</v>
      </c>
      <c r="Y48" s="400">
        <v>72.63</v>
      </c>
      <c r="Z48" s="391"/>
      <c r="AA48" s="403">
        <v>93.33</v>
      </c>
      <c r="AB48" s="400">
        <v>77.61</v>
      </c>
      <c r="AC48" s="400">
        <v>81.58</v>
      </c>
      <c r="AD48" s="400">
        <v>72.58</v>
      </c>
      <c r="AE48" s="401">
        <v>58.86</v>
      </c>
      <c r="AF48" s="391"/>
      <c r="AG48" s="400">
        <v>60.68</v>
      </c>
      <c r="AH48" s="400">
        <v>63.77</v>
      </c>
      <c r="AI48" s="400">
        <v>68.55</v>
      </c>
      <c r="AJ48" s="403">
        <v>86.36</v>
      </c>
      <c r="AK48" s="400">
        <v>83.33</v>
      </c>
      <c r="AL48" s="400">
        <v>83.33</v>
      </c>
      <c r="AM48" s="391"/>
      <c r="AN48" s="400">
        <v>66.48</v>
      </c>
      <c r="AO48" s="403">
        <v>100</v>
      </c>
      <c r="AP48" s="391"/>
      <c r="AQ48" s="400">
        <v>75.760000000000005</v>
      </c>
      <c r="AR48" s="400" t="s">
        <v>800</v>
      </c>
      <c r="AS48" s="400">
        <v>78.459999999999994</v>
      </c>
      <c r="AT48" s="400">
        <v>75</v>
      </c>
      <c r="AU48" s="400">
        <v>61.79</v>
      </c>
      <c r="AV48" s="403">
        <v>92.86</v>
      </c>
      <c r="AW48" s="400">
        <v>77.27</v>
      </c>
      <c r="AX48" s="400">
        <v>65.38</v>
      </c>
      <c r="AY48" s="401">
        <v>59.07</v>
      </c>
      <c r="AZ48" s="400">
        <v>69.23</v>
      </c>
      <c r="BA48" s="391"/>
      <c r="BB48" s="400">
        <v>75.760000000000005</v>
      </c>
      <c r="BC48" s="400" t="s">
        <v>800</v>
      </c>
      <c r="BD48" s="400">
        <v>78.459999999999994</v>
      </c>
      <c r="BE48" s="400">
        <v>75</v>
      </c>
      <c r="BF48" s="400">
        <v>61.79</v>
      </c>
      <c r="BG48" s="391"/>
      <c r="BH48" s="403">
        <v>92.86</v>
      </c>
      <c r="BI48" s="400">
        <v>77.27</v>
      </c>
      <c r="BJ48" s="400">
        <v>65.38</v>
      </c>
      <c r="BK48" s="401">
        <v>59.07</v>
      </c>
      <c r="BL48" s="400">
        <v>69.23</v>
      </c>
      <c r="BM48" s="391"/>
      <c r="BN48" s="400">
        <v>69.38</v>
      </c>
      <c r="BO48" s="401">
        <v>58.9</v>
      </c>
      <c r="BP48" s="400">
        <v>64</v>
      </c>
      <c r="BQ48" s="404">
        <v>38.46</v>
      </c>
      <c r="BR48" s="391"/>
      <c r="BS48" s="400">
        <v>60.69</v>
      </c>
      <c r="BT48" s="400">
        <v>67.209999999999994</v>
      </c>
      <c r="BU48" s="404">
        <v>25</v>
      </c>
      <c r="BV48" s="400">
        <v>74.22</v>
      </c>
      <c r="BW48" s="404">
        <v>36.67</v>
      </c>
      <c r="BX48" s="391"/>
    </row>
    <row r="49" spans="1:76">
      <c r="A49" s="426"/>
      <c r="B49" s="398">
        <v>42</v>
      </c>
      <c r="C49" s="399" t="s">
        <v>48</v>
      </c>
      <c r="D49" s="403">
        <v>87.3</v>
      </c>
      <c r="E49" s="400">
        <v>82.14</v>
      </c>
      <c r="F49" s="403">
        <v>87.31</v>
      </c>
      <c r="G49" s="400">
        <v>78</v>
      </c>
      <c r="H49" s="402">
        <v>5.1599999999999966</v>
      </c>
      <c r="I49" s="402">
        <v>-1.0000000000005116E-2</v>
      </c>
      <c r="J49" s="402">
        <v>9.2999999999999972</v>
      </c>
      <c r="K49" s="391"/>
      <c r="L49" s="400">
        <v>77.08</v>
      </c>
      <c r="M49" s="403">
        <v>86.21</v>
      </c>
      <c r="N49" s="403">
        <v>88.77</v>
      </c>
      <c r="O49" s="403">
        <v>92.42</v>
      </c>
      <c r="P49" s="403">
        <v>90</v>
      </c>
      <c r="Q49" s="391"/>
      <c r="R49" s="400">
        <v>84.67</v>
      </c>
      <c r="S49" s="403">
        <v>89.51</v>
      </c>
      <c r="T49" s="391"/>
      <c r="U49" s="400" t="s">
        <v>800</v>
      </c>
      <c r="V49" s="403">
        <v>100</v>
      </c>
      <c r="W49" s="400">
        <v>83.82</v>
      </c>
      <c r="X49" s="403">
        <v>86.59</v>
      </c>
      <c r="Y49" s="403">
        <v>92.63</v>
      </c>
      <c r="Z49" s="391"/>
      <c r="AA49" s="403">
        <v>100</v>
      </c>
      <c r="AB49" s="403">
        <v>86.57</v>
      </c>
      <c r="AC49" s="403">
        <v>86.84</v>
      </c>
      <c r="AD49" s="403">
        <v>92.74</v>
      </c>
      <c r="AE49" s="400">
        <v>84.76</v>
      </c>
      <c r="AF49" s="391"/>
      <c r="AG49" s="400">
        <v>85.47</v>
      </c>
      <c r="AH49" s="403">
        <v>87.38</v>
      </c>
      <c r="AI49" s="400">
        <v>84.91</v>
      </c>
      <c r="AJ49" s="403">
        <v>95.45</v>
      </c>
      <c r="AK49" s="403">
        <v>96.67</v>
      </c>
      <c r="AL49" s="403">
        <v>100</v>
      </c>
      <c r="AM49" s="391"/>
      <c r="AN49" s="403">
        <v>86.87</v>
      </c>
      <c r="AO49" s="403">
        <v>100</v>
      </c>
      <c r="AP49" s="391"/>
      <c r="AQ49" s="403">
        <v>86.36</v>
      </c>
      <c r="AR49" s="400" t="s">
        <v>800</v>
      </c>
      <c r="AS49" s="403">
        <v>92.31</v>
      </c>
      <c r="AT49" s="403">
        <v>87.51</v>
      </c>
      <c r="AU49" s="403">
        <v>87.7</v>
      </c>
      <c r="AV49" s="403">
        <v>100</v>
      </c>
      <c r="AW49" s="403">
        <v>86.36</v>
      </c>
      <c r="AX49" s="403">
        <v>86.54</v>
      </c>
      <c r="AY49" s="400">
        <v>84.97</v>
      </c>
      <c r="AZ49" s="400">
        <v>84.62</v>
      </c>
      <c r="BA49" s="391"/>
      <c r="BB49" s="403">
        <v>86.36</v>
      </c>
      <c r="BC49" s="400" t="s">
        <v>800</v>
      </c>
      <c r="BD49" s="403">
        <v>92.31</v>
      </c>
      <c r="BE49" s="403">
        <v>87.51</v>
      </c>
      <c r="BF49" s="403">
        <v>87.7</v>
      </c>
      <c r="BG49" s="391"/>
      <c r="BH49" s="403">
        <v>100</v>
      </c>
      <c r="BI49" s="403">
        <v>86.36</v>
      </c>
      <c r="BJ49" s="403">
        <v>86.54</v>
      </c>
      <c r="BK49" s="400">
        <v>84.97</v>
      </c>
      <c r="BL49" s="400">
        <v>84.62</v>
      </c>
      <c r="BM49" s="391"/>
      <c r="BN49" s="403">
        <v>89.14</v>
      </c>
      <c r="BO49" s="400">
        <v>81.94</v>
      </c>
      <c r="BP49" s="400">
        <v>82</v>
      </c>
      <c r="BQ49" s="400">
        <v>69.23</v>
      </c>
      <c r="BR49" s="391"/>
      <c r="BS49" s="403">
        <v>85.55</v>
      </c>
      <c r="BT49" s="403">
        <v>86.89</v>
      </c>
      <c r="BU49" s="404">
        <v>25</v>
      </c>
      <c r="BV49" s="403">
        <v>92.58</v>
      </c>
      <c r="BW49" s="400">
        <v>68.97</v>
      </c>
      <c r="BX49" s="391"/>
    </row>
    <row r="50" spans="1:76">
      <c r="A50" s="426"/>
      <c r="B50" s="398">
        <v>43</v>
      </c>
      <c r="C50" s="399" t="s">
        <v>49</v>
      </c>
      <c r="D50" s="400">
        <v>75.84</v>
      </c>
      <c r="E50" s="400">
        <v>69.27</v>
      </c>
      <c r="F50" s="400">
        <v>72.97</v>
      </c>
      <c r="G50" s="401">
        <v>52</v>
      </c>
      <c r="H50" s="402">
        <v>6.5700000000000074</v>
      </c>
      <c r="I50" s="402">
        <v>2.8700000000000045</v>
      </c>
      <c r="J50" s="402">
        <v>23.840000000000003</v>
      </c>
      <c r="K50" s="391"/>
      <c r="L50" s="400">
        <v>70.83</v>
      </c>
      <c r="M50" s="400">
        <v>71.239999999999995</v>
      </c>
      <c r="N50" s="400">
        <v>78.61</v>
      </c>
      <c r="O50" s="403">
        <v>86.36</v>
      </c>
      <c r="P50" s="403">
        <v>90</v>
      </c>
      <c r="Q50" s="391"/>
      <c r="R50" s="400">
        <v>75.91</v>
      </c>
      <c r="S50" s="400">
        <v>75.75</v>
      </c>
      <c r="T50" s="391"/>
      <c r="U50" s="400" t="s">
        <v>800</v>
      </c>
      <c r="V50" s="400">
        <v>75</v>
      </c>
      <c r="W50" s="400">
        <v>71.260000000000005</v>
      </c>
      <c r="X50" s="400">
        <v>74.709999999999994</v>
      </c>
      <c r="Y50" s="403">
        <v>87.37</v>
      </c>
      <c r="Z50" s="391"/>
      <c r="AA50" s="403">
        <v>93.75</v>
      </c>
      <c r="AB50" s="400">
        <v>83.58</v>
      </c>
      <c r="AC50" s="400">
        <v>84.21</v>
      </c>
      <c r="AD50" s="400">
        <v>84</v>
      </c>
      <c r="AE50" s="400">
        <v>69.09</v>
      </c>
      <c r="AF50" s="391"/>
      <c r="AG50" s="400">
        <v>67.52</v>
      </c>
      <c r="AH50" s="400">
        <v>74.400000000000006</v>
      </c>
      <c r="AI50" s="400">
        <v>77.36</v>
      </c>
      <c r="AJ50" s="403">
        <v>86.36</v>
      </c>
      <c r="AK50" s="403">
        <v>100</v>
      </c>
      <c r="AL50" s="400">
        <v>83.33</v>
      </c>
      <c r="AM50" s="391"/>
      <c r="AN50" s="400">
        <v>75.66</v>
      </c>
      <c r="AO50" s="403">
        <v>100</v>
      </c>
      <c r="AP50" s="391"/>
      <c r="AQ50" s="400">
        <v>76.12</v>
      </c>
      <c r="AR50" s="400" t="s">
        <v>800</v>
      </c>
      <c r="AS50" s="403">
        <v>89.39</v>
      </c>
      <c r="AT50" s="400">
        <v>75</v>
      </c>
      <c r="AU50" s="400">
        <v>69.92</v>
      </c>
      <c r="AV50" s="403">
        <v>100</v>
      </c>
      <c r="AW50" s="400">
        <v>81.819999999999993</v>
      </c>
      <c r="AX50" s="400">
        <v>80.77</v>
      </c>
      <c r="AY50" s="400">
        <v>69.069999999999993</v>
      </c>
      <c r="AZ50" s="403">
        <v>100</v>
      </c>
      <c r="BA50" s="391"/>
      <c r="BB50" s="400">
        <v>76.12</v>
      </c>
      <c r="BC50" s="400" t="s">
        <v>800</v>
      </c>
      <c r="BD50" s="403">
        <v>89.39</v>
      </c>
      <c r="BE50" s="400">
        <v>75</v>
      </c>
      <c r="BF50" s="400">
        <v>69.92</v>
      </c>
      <c r="BG50" s="391"/>
      <c r="BH50" s="403">
        <v>100</v>
      </c>
      <c r="BI50" s="400">
        <v>81.819999999999993</v>
      </c>
      <c r="BJ50" s="400">
        <v>80.77</v>
      </c>
      <c r="BK50" s="400">
        <v>69.069999999999993</v>
      </c>
      <c r="BL50" s="403">
        <v>100</v>
      </c>
      <c r="BM50" s="391"/>
      <c r="BN50" s="400">
        <v>76.790000000000006</v>
      </c>
      <c r="BO50" s="400">
        <v>72.599999999999994</v>
      </c>
      <c r="BP50" s="400">
        <v>74</v>
      </c>
      <c r="BQ50" s="400">
        <v>69.23</v>
      </c>
      <c r="BR50" s="391"/>
      <c r="BS50" s="400">
        <v>75.14</v>
      </c>
      <c r="BT50" s="400">
        <v>77.05</v>
      </c>
      <c r="BU50" s="401">
        <v>50</v>
      </c>
      <c r="BV50" s="400">
        <v>78.13</v>
      </c>
      <c r="BW50" s="400">
        <v>63.33</v>
      </c>
      <c r="BX50" s="391"/>
    </row>
    <row r="51" spans="1:76">
      <c r="A51" s="426"/>
      <c r="B51" s="398">
        <v>44</v>
      </c>
      <c r="C51" s="399" t="s">
        <v>50</v>
      </c>
      <c r="D51" s="400">
        <v>83.84</v>
      </c>
      <c r="E51" s="400">
        <v>75.900000000000006</v>
      </c>
      <c r="F51" s="400">
        <v>79.09</v>
      </c>
      <c r="G51" s="400">
        <v>70</v>
      </c>
      <c r="H51" s="402">
        <v>7.9399999999999977</v>
      </c>
      <c r="I51" s="402">
        <v>4.75</v>
      </c>
      <c r="J51" s="402">
        <v>13.840000000000003</v>
      </c>
      <c r="K51" s="391"/>
      <c r="L51" s="400">
        <v>75</v>
      </c>
      <c r="M51" s="400">
        <v>84.12</v>
      </c>
      <c r="N51" s="403">
        <v>85.56</v>
      </c>
      <c r="O51" s="403">
        <v>87.88</v>
      </c>
      <c r="P51" s="400">
        <v>80</v>
      </c>
      <c r="Q51" s="391"/>
      <c r="R51" s="400">
        <v>81.75</v>
      </c>
      <c r="S51" s="403">
        <v>86.57</v>
      </c>
      <c r="T51" s="391"/>
      <c r="U51" s="400" t="s">
        <v>800</v>
      </c>
      <c r="V51" s="403">
        <v>91.67</v>
      </c>
      <c r="W51" s="403">
        <v>88.51</v>
      </c>
      <c r="X51" s="400">
        <v>80.459999999999994</v>
      </c>
      <c r="Y51" s="400">
        <v>85.26</v>
      </c>
      <c r="Z51" s="391"/>
      <c r="AA51" s="403">
        <v>93.33</v>
      </c>
      <c r="AB51" s="400">
        <v>85.07</v>
      </c>
      <c r="AC51" s="403">
        <v>86.84</v>
      </c>
      <c r="AD51" s="400">
        <v>82.93</v>
      </c>
      <c r="AE51" s="400">
        <v>83.12</v>
      </c>
      <c r="AF51" s="391"/>
      <c r="AG51" s="400">
        <v>81.2</v>
      </c>
      <c r="AH51" s="400">
        <v>84.54</v>
      </c>
      <c r="AI51" s="400">
        <v>83.65</v>
      </c>
      <c r="AJ51" s="403">
        <v>86.36</v>
      </c>
      <c r="AK51" s="403">
        <v>93.33</v>
      </c>
      <c r="AL51" s="403">
        <v>100</v>
      </c>
      <c r="AM51" s="391"/>
      <c r="AN51" s="400">
        <v>84.27</v>
      </c>
      <c r="AO51" s="403">
        <v>100</v>
      </c>
      <c r="AP51" s="391"/>
      <c r="AQ51" s="400">
        <v>81.819999999999993</v>
      </c>
      <c r="AR51" s="400" t="s">
        <v>800</v>
      </c>
      <c r="AS51" s="403">
        <v>87.3</v>
      </c>
      <c r="AT51" s="400">
        <v>75</v>
      </c>
      <c r="AU51" s="400">
        <v>79.67</v>
      </c>
      <c r="AV51" s="403">
        <v>100</v>
      </c>
      <c r="AW51" s="400">
        <v>81.819999999999993</v>
      </c>
      <c r="AX51" s="403">
        <v>86.54</v>
      </c>
      <c r="AY51" s="400">
        <v>83.85</v>
      </c>
      <c r="AZ51" s="403">
        <v>92.31</v>
      </c>
      <c r="BA51" s="391"/>
      <c r="BB51" s="400">
        <v>81.819999999999993</v>
      </c>
      <c r="BC51" s="400" t="s">
        <v>800</v>
      </c>
      <c r="BD51" s="403">
        <v>87.3</v>
      </c>
      <c r="BE51" s="400">
        <v>75</v>
      </c>
      <c r="BF51" s="400">
        <v>79.67</v>
      </c>
      <c r="BG51" s="391"/>
      <c r="BH51" s="403">
        <v>100</v>
      </c>
      <c r="BI51" s="400">
        <v>81.819999999999993</v>
      </c>
      <c r="BJ51" s="403">
        <v>86.54</v>
      </c>
      <c r="BK51" s="400">
        <v>83.85</v>
      </c>
      <c r="BL51" s="403">
        <v>92.31</v>
      </c>
      <c r="BM51" s="391"/>
      <c r="BN51" s="403">
        <v>87.65</v>
      </c>
      <c r="BO51" s="400">
        <v>75.34</v>
      </c>
      <c r="BP51" s="400">
        <v>74</v>
      </c>
      <c r="BQ51" s="400">
        <v>61.54</v>
      </c>
      <c r="BR51" s="391"/>
      <c r="BS51" s="400">
        <v>82.66</v>
      </c>
      <c r="BT51" s="400">
        <v>81.97</v>
      </c>
      <c r="BU51" s="404">
        <v>37.51</v>
      </c>
      <c r="BV51" s="403">
        <v>89.84</v>
      </c>
      <c r="BW51" s="401">
        <v>60</v>
      </c>
      <c r="BX51" s="391"/>
    </row>
    <row r="52" spans="1:76">
      <c r="A52" s="426"/>
      <c r="B52" s="398">
        <v>45</v>
      </c>
      <c r="C52" s="399" t="s">
        <v>51</v>
      </c>
      <c r="D52" s="403">
        <v>91.73</v>
      </c>
      <c r="E52" s="400">
        <v>84.72</v>
      </c>
      <c r="F52" s="403">
        <v>85.6</v>
      </c>
      <c r="G52" s="400">
        <v>73</v>
      </c>
      <c r="H52" s="402">
        <v>7.0100000000000051</v>
      </c>
      <c r="I52" s="402">
        <v>6.1300000000000097</v>
      </c>
      <c r="J52" s="402">
        <v>18.730000000000004</v>
      </c>
      <c r="K52" s="391"/>
      <c r="L52" s="403">
        <v>95.83</v>
      </c>
      <c r="M52" s="403">
        <v>92.24</v>
      </c>
      <c r="N52" s="403">
        <v>89.84</v>
      </c>
      <c r="O52" s="403">
        <v>95.45</v>
      </c>
      <c r="P52" s="400">
        <v>80</v>
      </c>
      <c r="Q52" s="391"/>
      <c r="R52" s="403">
        <v>90.51</v>
      </c>
      <c r="S52" s="403">
        <v>93.26</v>
      </c>
      <c r="T52" s="391"/>
      <c r="U52" s="400" t="s">
        <v>800</v>
      </c>
      <c r="V52" s="403">
        <v>100</v>
      </c>
      <c r="W52" s="403">
        <v>93.06</v>
      </c>
      <c r="X52" s="403">
        <v>91.19</v>
      </c>
      <c r="Y52" s="403">
        <v>90.53</v>
      </c>
      <c r="Z52" s="391"/>
      <c r="AA52" s="403">
        <v>93.33</v>
      </c>
      <c r="AB52" s="403">
        <v>92.54</v>
      </c>
      <c r="AC52" s="403">
        <v>92.11</v>
      </c>
      <c r="AD52" s="403">
        <v>93.49</v>
      </c>
      <c r="AE52" s="403">
        <v>90.73</v>
      </c>
      <c r="AF52" s="391"/>
      <c r="AG52" s="403">
        <v>93.16</v>
      </c>
      <c r="AH52" s="403">
        <v>91.26</v>
      </c>
      <c r="AI52" s="403">
        <v>89.94</v>
      </c>
      <c r="AJ52" s="403">
        <v>95.45</v>
      </c>
      <c r="AK52" s="403">
        <v>96.67</v>
      </c>
      <c r="AL52" s="403">
        <v>100</v>
      </c>
      <c r="AM52" s="391"/>
      <c r="AN52" s="403">
        <v>91.74</v>
      </c>
      <c r="AO52" s="403">
        <v>100</v>
      </c>
      <c r="AP52" s="391"/>
      <c r="AQ52" s="403">
        <v>90.91</v>
      </c>
      <c r="AR52" s="400" t="s">
        <v>800</v>
      </c>
      <c r="AS52" s="403">
        <v>93.65</v>
      </c>
      <c r="AT52" s="400">
        <v>75</v>
      </c>
      <c r="AU52" s="403">
        <v>91.8</v>
      </c>
      <c r="AV52" s="403">
        <v>100</v>
      </c>
      <c r="AW52" s="403">
        <v>90.91</v>
      </c>
      <c r="AX52" s="403">
        <v>94.23</v>
      </c>
      <c r="AY52" s="403">
        <v>90.63</v>
      </c>
      <c r="AZ52" s="403">
        <v>92.31</v>
      </c>
      <c r="BA52" s="391"/>
      <c r="BB52" s="403">
        <v>90.91</v>
      </c>
      <c r="BC52" s="400" t="s">
        <v>800</v>
      </c>
      <c r="BD52" s="403">
        <v>93.65</v>
      </c>
      <c r="BE52" s="400">
        <v>75</v>
      </c>
      <c r="BF52" s="403">
        <v>91.8</v>
      </c>
      <c r="BG52" s="391"/>
      <c r="BH52" s="403">
        <v>100</v>
      </c>
      <c r="BI52" s="403">
        <v>90.91</v>
      </c>
      <c r="BJ52" s="403">
        <v>94.23</v>
      </c>
      <c r="BK52" s="403">
        <v>90.63</v>
      </c>
      <c r="BL52" s="403">
        <v>92.31</v>
      </c>
      <c r="BM52" s="391"/>
      <c r="BN52" s="403">
        <v>93.83</v>
      </c>
      <c r="BO52" s="403">
        <v>90.28</v>
      </c>
      <c r="BP52" s="400">
        <v>82</v>
      </c>
      <c r="BQ52" s="400">
        <v>76.92</v>
      </c>
      <c r="BR52" s="391"/>
      <c r="BS52" s="403">
        <v>90.75</v>
      </c>
      <c r="BT52" s="403">
        <v>95.08</v>
      </c>
      <c r="BU52" s="404">
        <v>37.51</v>
      </c>
      <c r="BV52" s="403">
        <v>95.7</v>
      </c>
      <c r="BW52" s="400">
        <v>75.86</v>
      </c>
      <c r="BX52" s="391"/>
    </row>
    <row r="53" spans="1:76">
      <c r="A53" s="426"/>
      <c r="B53" s="398">
        <v>46</v>
      </c>
      <c r="C53" s="399" t="s">
        <v>52</v>
      </c>
      <c r="D53" s="403">
        <v>87.77</v>
      </c>
      <c r="E53" s="400">
        <v>81.88</v>
      </c>
      <c r="F53" s="400">
        <v>78.81</v>
      </c>
      <c r="G53" s="401">
        <v>57</v>
      </c>
      <c r="H53" s="402">
        <v>5.8900000000000006</v>
      </c>
      <c r="I53" s="402">
        <v>8.9599999999999937</v>
      </c>
      <c r="J53" s="402">
        <v>30.769999999999996</v>
      </c>
      <c r="K53" s="391"/>
      <c r="L53" s="403">
        <v>91.67</v>
      </c>
      <c r="M53" s="403">
        <v>88.79</v>
      </c>
      <c r="N53" s="403">
        <v>87.17</v>
      </c>
      <c r="O53" s="403">
        <v>89.39</v>
      </c>
      <c r="P53" s="400">
        <v>70</v>
      </c>
      <c r="Q53" s="391"/>
      <c r="R53" s="403">
        <v>87.59</v>
      </c>
      <c r="S53" s="403">
        <v>88.76</v>
      </c>
      <c r="T53" s="391"/>
      <c r="U53" s="400" t="s">
        <v>800</v>
      </c>
      <c r="V53" s="403">
        <v>100</v>
      </c>
      <c r="W53" s="403">
        <v>89.02</v>
      </c>
      <c r="X53" s="403">
        <v>87.36</v>
      </c>
      <c r="Y53" s="403">
        <v>87.37</v>
      </c>
      <c r="Z53" s="391"/>
      <c r="AA53" s="403">
        <v>93.33</v>
      </c>
      <c r="AB53" s="403">
        <v>88.06</v>
      </c>
      <c r="AC53" s="400">
        <v>84.21</v>
      </c>
      <c r="AD53" s="403">
        <v>92.68</v>
      </c>
      <c r="AE53" s="403">
        <v>85.94</v>
      </c>
      <c r="AF53" s="391"/>
      <c r="AG53" s="403">
        <v>88.89</v>
      </c>
      <c r="AH53" s="403">
        <v>85.92</v>
      </c>
      <c r="AI53" s="403">
        <v>88.05</v>
      </c>
      <c r="AJ53" s="403">
        <v>95.45</v>
      </c>
      <c r="AK53" s="403">
        <v>96.67</v>
      </c>
      <c r="AL53" s="400">
        <v>83.33</v>
      </c>
      <c r="AM53" s="391"/>
      <c r="AN53" s="403">
        <v>88.18</v>
      </c>
      <c r="AO53" s="403">
        <v>100</v>
      </c>
      <c r="AP53" s="391"/>
      <c r="AQ53" s="403">
        <v>86.36</v>
      </c>
      <c r="AR53" s="400" t="s">
        <v>800</v>
      </c>
      <c r="AS53" s="403">
        <v>92.06</v>
      </c>
      <c r="AT53" s="400">
        <v>75</v>
      </c>
      <c r="AU53" s="403">
        <v>86.07</v>
      </c>
      <c r="AV53" s="403">
        <v>100</v>
      </c>
      <c r="AW53" s="403">
        <v>90.91</v>
      </c>
      <c r="AX53" s="403">
        <v>94.23</v>
      </c>
      <c r="AY53" s="400">
        <v>85.42</v>
      </c>
      <c r="AZ53" s="403">
        <v>92.31</v>
      </c>
      <c r="BA53" s="391"/>
      <c r="BB53" s="403">
        <v>86.36</v>
      </c>
      <c r="BC53" s="400" t="s">
        <v>800</v>
      </c>
      <c r="BD53" s="403">
        <v>92.06</v>
      </c>
      <c r="BE53" s="400">
        <v>75</v>
      </c>
      <c r="BF53" s="403">
        <v>86.07</v>
      </c>
      <c r="BG53" s="391"/>
      <c r="BH53" s="403">
        <v>100</v>
      </c>
      <c r="BI53" s="403">
        <v>90.91</v>
      </c>
      <c r="BJ53" s="403">
        <v>94.23</v>
      </c>
      <c r="BK53" s="400">
        <v>85.42</v>
      </c>
      <c r="BL53" s="403">
        <v>92.31</v>
      </c>
      <c r="BM53" s="391"/>
      <c r="BN53" s="403">
        <v>91.6</v>
      </c>
      <c r="BO53" s="400">
        <v>81.94</v>
      </c>
      <c r="BP53" s="400">
        <v>74</v>
      </c>
      <c r="BQ53" s="400">
        <v>69.23</v>
      </c>
      <c r="BR53" s="391"/>
      <c r="BS53" s="403">
        <v>86.71</v>
      </c>
      <c r="BT53" s="403">
        <v>86.89</v>
      </c>
      <c r="BU53" s="401">
        <v>50</v>
      </c>
      <c r="BV53" s="403">
        <v>92.97</v>
      </c>
      <c r="BW53" s="400">
        <v>68.97</v>
      </c>
      <c r="BX53" s="391"/>
    </row>
    <row r="54" spans="1:76">
      <c r="A54" s="427"/>
      <c r="B54" s="398">
        <v>47</v>
      </c>
      <c r="C54" s="399" t="s">
        <v>53</v>
      </c>
      <c r="D54" s="400">
        <v>80.69</v>
      </c>
      <c r="E54" s="400">
        <v>74.099999999999994</v>
      </c>
      <c r="F54" s="400">
        <v>79.37</v>
      </c>
      <c r="G54" s="400">
        <v>62</v>
      </c>
      <c r="H54" s="402">
        <v>6.5900000000000034</v>
      </c>
      <c r="I54" s="402">
        <v>1.3199999999999932</v>
      </c>
      <c r="J54" s="402">
        <v>18.689999999999998</v>
      </c>
      <c r="K54" s="391"/>
      <c r="L54" s="400">
        <v>75</v>
      </c>
      <c r="M54" s="400">
        <v>80.09</v>
      </c>
      <c r="N54" s="400">
        <v>80.75</v>
      </c>
      <c r="O54" s="403">
        <v>87.88</v>
      </c>
      <c r="P54" s="400">
        <v>80</v>
      </c>
      <c r="Q54" s="391"/>
      <c r="R54" s="400">
        <v>81.680000000000007</v>
      </c>
      <c r="S54" s="400">
        <v>79.78</v>
      </c>
      <c r="T54" s="391"/>
      <c r="U54" s="400" t="s">
        <v>800</v>
      </c>
      <c r="V54" s="403">
        <v>91.67</v>
      </c>
      <c r="W54" s="400">
        <v>81.98</v>
      </c>
      <c r="X54" s="400">
        <v>77.39</v>
      </c>
      <c r="Y54" s="403">
        <v>86.32</v>
      </c>
      <c r="Z54" s="391"/>
      <c r="AA54" s="403">
        <v>100</v>
      </c>
      <c r="AB54" s="400">
        <v>79.099999999999994</v>
      </c>
      <c r="AC54" s="403">
        <v>94.74</v>
      </c>
      <c r="AD54" s="400">
        <v>85.37</v>
      </c>
      <c r="AE54" s="400">
        <v>76.53</v>
      </c>
      <c r="AF54" s="391"/>
      <c r="AG54" s="400">
        <v>76.72</v>
      </c>
      <c r="AH54" s="400">
        <v>77.67</v>
      </c>
      <c r="AI54" s="403">
        <v>88.68</v>
      </c>
      <c r="AJ54" s="400">
        <v>72.73</v>
      </c>
      <c r="AK54" s="400">
        <v>80</v>
      </c>
      <c r="AL54" s="403">
        <v>100</v>
      </c>
      <c r="AM54" s="391"/>
      <c r="AN54" s="400">
        <v>80.83</v>
      </c>
      <c r="AO54" s="403">
        <v>100</v>
      </c>
      <c r="AP54" s="391"/>
      <c r="AQ54" s="400">
        <v>83.33</v>
      </c>
      <c r="AR54" s="400" t="s">
        <v>800</v>
      </c>
      <c r="AS54" s="403">
        <v>85.71</v>
      </c>
      <c r="AT54" s="400">
        <v>75</v>
      </c>
      <c r="AU54" s="400">
        <v>76.03</v>
      </c>
      <c r="AV54" s="403">
        <v>92.86</v>
      </c>
      <c r="AW54" s="400">
        <v>68.180000000000007</v>
      </c>
      <c r="AX54" s="400">
        <v>82.69</v>
      </c>
      <c r="AY54" s="400">
        <v>79.58</v>
      </c>
      <c r="AZ54" s="403">
        <v>100</v>
      </c>
      <c r="BA54" s="391"/>
      <c r="BB54" s="400">
        <v>83.33</v>
      </c>
      <c r="BC54" s="400" t="s">
        <v>800</v>
      </c>
      <c r="BD54" s="403">
        <v>85.71</v>
      </c>
      <c r="BE54" s="400">
        <v>75</v>
      </c>
      <c r="BF54" s="400">
        <v>76.03</v>
      </c>
      <c r="BG54" s="391"/>
      <c r="BH54" s="403">
        <v>92.86</v>
      </c>
      <c r="BI54" s="400">
        <v>68.180000000000007</v>
      </c>
      <c r="BJ54" s="400">
        <v>82.69</v>
      </c>
      <c r="BK54" s="400">
        <v>79.58</v>
      </c>
      <c r="BL54" s="403">
        <v>100</v>
      </c>
      <c r="BM54" s="391"/>
      <c r="BN54" s="400">
        <v>83.42</v>
      </c>
      <c r="BO54" s="400">
        <v>75</v>
      </c>
      <c r="BP54" s="400">
        <v>72</v>
      </c>
      <c r="BQ54" s="400">
        <v>61.54</v>
      </c>
      <c r="BR54" s="391"/>
      <c r="BS54" s="400">
        <v>74.569999999999993</v>
      </c>
      <c r="BT54" s="400">
        <v>78.69</v>
      </c>
      <c r="BU54" s="401">
        <v>50</v>
      </c>
      <c r="BV54" s="403">
        <v>86.67</v>
      </c>
      <c r="BW54" s="400">
        <v>72.41</v>
      </c>
      <c r="BX54" s="391"/>
    </row>
    <row r="55" spans="1:76">
      <c r="A55" s="422" t="s">
        <v>349</v>
      </c>
      <c r="B55" s="423"/>
      <c r="C55" s="424"/>
      <c r="D55" s="405">
        <v>81.599999999999994</v>
      </c>
      <c r="E55" s="405">
        <v>75.569999999999993</v>
      </c>
      <c r="F55" s="405">
        <v>79.47</v>
      </c>
      <c r="G55" s="405">
        <v>65</v>
      </c>
      <c r="H55" s="405">
        <v>6.0300000000000011</v>
      </c>
      <c r="I55" s="405">
        <v>2.1299999999999955</v>
      </c>
      <c r="J55" s="405">
        <v>16.599999999999994</v>
      </c>
      <c r="K55" s="391"/>
      <c r="L55" s="405">
        <v>77.599999999999994</v>
      </c>
      <c r="M55" s="405">
        <v>79.95</v>
      </c>
      <c r="N55" s="405">
        <v>82.49</v>
      </c>
      <c r="O55" s="405">
        <v>89.2</v>
      </c>
      <c r="P55" s="405">
        <v>81.25</v>
      </c>
      <c r="Q55" s="391"/>
      <c r="R55" s="405">
        <v>80.92</v>
      </c>
      <c r="S55" s="405">
        <v>82.49</v>
      </c>
      <c r="T55" s="391"/>
      <c r="U55" s="406" t="s">
        <v>800</v>
      </c>
      <c r="V55" s="405">
        <v>87.51</v>
      </c>
      <c r="W55" s="405">
        <v>81.2</v>
      </c>
      <c r="X55" s="405">
        <v>80.27</v>
      </c>
      <c r="Y55" s="405">
        <v>85.79</v>
      </c>
      <c r="Z55" s="391"/>
      <c r="AA55" s="405">
        <v>95.05</v>
      </c>
      <c r="AB55" s="405">
        <v>84.89</v>
      </c>
      <c r="AC55" s="405">
        <v>86.18</v>
      </c>
      <c r="AD55" s="405">
        <v>85.94</v>
      </c>
      <c r="AE55" s="405">
        <v>77.98</v>
      </c>
      <c r="AF55" s="391"/>
      <c r="AG55" s="405">
        <v>78.290000000000006</v>
      </c>
      <c r="AH55" s="405">
        <v>80.760000000000005</v>
      </c>
      <c r="AI55" s="405">
        <v>82.47</v>
      </c>
      <c r="AJ55" s="405">
        <v>87.51</v>
      </c>
      <c r="AK55" s="405">
        <v>92.08</v>
      </c>
      <c r="AL55" s="405">
        <v>93.75</v>
      </c>
      <c r="AM55" s="391"/>
      <c r="AN55" s="405">
        <v>81.61</v>
      </c>
      <c r="AO55" s="405">
        <v>100</v>
      </c>
      <c r="AP55" s="391"/>
      <c r="AQ55" s="405">
        <v>82.43</v>
      </c>
      <c r="AR55" s="406" t="s">
        <v>800</v>
      </c>
      <c r="AS55" s="405">
        <v>89.27</v>
      </c>
      <c r="AT55" s="405">
        <v>76.56</v>
      </c>
      <c r="AU55" s="405">
        <v>77.760000000000005</v>
      </c>
      <c r="AV55" s="405">
        <v>98.21</v>
      </c>
      <c r="AW55" s="405">
        <v>82.39</v>
      </c>
      <c r="AX55" s="405">
        <v>83.89</v>
      </c>
      <c r="AY55" s="405">
        <v>78.84</v>
      </c>
      <c r="AZ55" s="405">
        <v>89.42</v>
      </c>
      <c r="BA55" s="391"/>
      <c r="BB55" s="405">
        <v>82.43</v>
      </c>
      <c r="BC55" s="406" t="s">
        <v>800</v>
      </c>
      <c r="BD55" s="405">
        <v>89.27</v>
      </c>
      <c r="BE55" s="405">
        <v>76.56</v>
      </c>
      <c r="BF55" s="405">
        <v>77.760000000000005</v>
      </c>
      <c r="BG55" s="391"/>
      <c r="BH55" s="405">
        <v>98.21</v>
      </c>
      <c r="BI55" s="405">
        <v>82.39</v>
      </c>
      <c r="BJ55" s="405">
        <v>83.89</v>
      </c>
      <c r="BK55" s="405">
        <v>78.84</v>
      </c>
      <c r="BL55" s="405">
        <v>89.42</v>
      </c>
      <c r="BM55" s="391"/>
      <c r="BN55" s="405">
        <v>84.19</v>
      </c>
      <c r="BO55" s="405">
        <v>75.73</v>
      </c>
      <c r="BP55" s="405">
        <v>74.75</v>
      </c>
      <c r="BQ55" s="405">
        <v>63.46</v>
      </c>
      <c r="BR55" s="391"/>
      <c r="BS55" s="405">
        <v>79.19</v>
      </c>
      <c r="BT55" s="405">
        <v>81.150000000000006</v>
      </c>
      <c r="BU55" s="405">
        <v>35.94</v>
      </c>
      <c r="BV55" s="405">
        <v>86.96</v>
      </c>
      <c r="BW55" s="405">
        <v>62.44</v>
      </c>
      <c r="BX55" s="391"/>
    </row>
    <row r="56" spans="1:76" ht="13.5" customHeight="1">
      <c r="A56" s="425" t="s">
        <v>54</v>
      </c>
      <c r="B56" s="398">
        <v>48</v>
      </c>
      <c r="C56" s="399" t="s">
        <v>55</v>
      </c>
      <c r="D56" s="403">
        <v>90.13</v>
      </c>
      <c r="E56" s="403">
        <v>85.87</v>
      </c>
      <c r="F56" s="403">
        <v>87.45</v>
      </c>
      <c r="G56" s="400">
        <v>76</v>
      </c>
      <c r="H56" s="402">
        <v>4.2599999999999909</v>
      </c>
      <c r="I56" s="402">
        <v>2.6799999999999926</v>
      </c>
      <c r="J56" s="402">
        <v>14.129999999999995</v>
      </c>
      <c r="K56" s="391"/>
      <c r="L56" s="403">
        <v>93.75</v>
      </c>
      <c r="M56" s="403">
        <v>89.7</v>
      </c>
      <c r="N56" s="403">
        <v>90.37</v>
      </c>
      <c r="O56" s="403">
        <v>90.91</v>
      </c>
      <c r="P56" s="400">
        <v>70</v>
      </c>
      <c r="Q56" s="391"/>
      <c r="R56" s="403">
        <v>88.32</v>
      </c>
      <c r="S56" s="403">
        <v>91.79</v>
      </c>
      <c r="T56" s="391"/>
      <c r="U56" s="400" t="s">
        <v>800</v>
      </c>
      <c r="V56" s="403">
        <v>100</v>
      </c>
      <c r="W56" s="403">
        <v>89.66</v>
      </c>
      <c r="X56" s="403">
        <v>89.27</v>
      </c>
      <c r="Y56" s="403">
        <v>91.58</v>
      </c>
      <c r="Z56" s="391"/>
      <c r="AA56" s="403">
        <v>93.33</v>
      </c>
      <c r="AB56" s="403">
        <v>91.04</v>
      </c>
      <c r="AC56" s="403">
        <v>89.47</v>
      </c>
      <c r="AD56" s="403">
        <v>93.49</v>
      </c>
      <c r="AE56" s="403">
        <v>88.54</v>
      </c>
      <c r="AF56" s="391"/>
      <c r="AG56" s="403">
        <v>90.6</v>
      </c>
      <c r="AH56" s="403">
        <v>87.92</v>
      </c>
      <c r="AI56" s="403">
        <v>90.57</v>
      </c>
      <c r="AJ56" s="403">
        <v>90.91</v>
      </c>
      <c r="AK56" s="403">
        <v>96.67</v>
      </c>
      <c r="AL56" s="403">
        <v>100</v>
      </c>
      <c r="AM56" s="391"/>
      <c r="AN56" s="403">
        <v>89.89</v>
      </c>
      <c r="AO56" s="403">
        <v>100</v>
      </c>
      <c r="AP56" s="391"/>
      <c r="AQ56" s="403">
        <v>90.91</v>
      </c>
      <c r="AR56" s="400" t="s">
        <v>800</v>
      </c>
      <c r="AS56" s="403">
        <v>92.06</v>
      </c>
      <c r="AT56" s="400">
        <v>75</v>
      </c>
      <c r="AU56" s="403">
        <v>90.24</v>
      </c>
      <c r="AV56" s="403">
        <v>100</v>
      </c>
      <c r="AW56" s="403">
        <v>95.45</v>
      </c>
      <c r="AX56" s="403">
        <v>86.54</v>
      </c>
      <c r="AY56" s="403">
        <v>89.06</v>
      </c>
      <c r="AZ56" s="403">
        <v>100</v>
      </c>
      <c r="BA56" s="391"/>
      <c r="BB56" s="403">
        <v>90.91</v>
      </c>
      <c r="BC56" s="400" t="s">
        <v>800</v>
      </c>
      <c r="BD56" s="403">
        <v>92.06</v>
      </c>
      <c r="BE56" s="400">
        <v>75</v>
      </c>
      <c r="BF56" s="403">
        <v>90.24</v>
      </c>
      <c r="BG56" s="391"/>
      <c r="BH56" s="403">
        <v>100</v>
      </c>
      <c r="BI56" s="403">
        <v>95.45</v>
      </c>
      <c r="BJ56" s="403">
        <v>86.54</v>
      </c>
      <c r="BK56" s="403">
        <v>89.06</v>
      </c>
      <c r="BL56" s="403">
        <v>100</v>
      </c>
      <c r="BM56" s="391"/>
      <c r="BN56" s="403">
        <v>93.33</v>
      </c>
      <c r="BO56" s="400">
        <v>84.93</v>
      </c>
      <c r="BP56" s="400">
        <v>80</v>
      </c>
      <c r="BQ56" s="401">
        <v>53.85</v>
      </c>
      <c r="BR56" s="391"/>
      <c r="BS56" s="403">
        <v>89.6</v>
      </c>
      <c r="BT56" s="403">
        <v>88.52</v>
      </c>
      <c r="BU56" s="404">
        <v>37.51</v>
      </c>
      <c r="BV56" s="403">
        <v>94.53</v>
      </c>
      <c r="BW56" s="400">
        <v>70</v>
      </c>
      <c r="BX56" s="391"/>
    </row>
    <row r="57" spans="1:76">
      <c r="A57" s="426"/>
      <c r="B57" s="398">
        <v>49</v>
      </c>
      <c r="C57" s="399" t="s">
        <v>56</v>
      </c>
      <c r="D57" s="403">
        <v>89.93</v>
      </c>
      <c r="E57" s="400">
        <v>82.51</v>
      </c>
      <c r="F57" s="400">
        <v>85.47</v>
      </c>
      <c r="G57" s="400">
        <v>65</v>
      </c>
      <c r="H57" s="402">
        <v>7.4200000000000017</v>
      </c>
      <c r="I57" s="402">
        <v>4.460000000000008</v>
      </c>
      <c r="J57" s="402">
        <v>24.930000000000007</v>
      </c>
      <c r="K57" s="391"/>
      <c r="L57" s="403">
        <v>89.58</v>
      </c>
      <c r="M57" s="403">
        <v>90.09</v>
      </c>
      <c r="N57" s="403">
        <v>89.84</v>
      </c>
      <c r="O57" s="403">
        <v>92.42</v>
      </c>
      <c r="P57" s="400">
        <v>80</v>
      </c>
      <c r="Q57" s="391"/>
      <c r="R57" s="403">
        <v>88.69</v>
      </c>
      <c r="S57" s="403">
        <v>91.39</v>
      </c>
      <c r="T57" s="391"/>
      <c r="U57" s="400" t="s">
        <v>800</v>
      </c>
      <c r="V57" s="403">
        <v>100</v>
      </c>
      <c r="W57" s="403">
        <v>89.6</v>
      </c>
      <c r="X57" s="403">
        <v>91.19</v>
      </c>
      <c r="Y57" s="403">
        <v>86.32</v>
      </c>
      <c r="Z57" s="391"/>
      <c r="AA57" s="403">
        <v>100</v>
      </c>
      <c r="AB57" s="403">
        <v>88.06</v>
      </c>
      <c r="AC57" s="403">
        <v>92.11</v>
      </c>
      <c r="AD57" s="403">
        <v>89.43</v>
      </c>
      <c r="AE57" s="403">
        <v>89.78</v>
      </c>
      <c r="AF57" s="391"/>
      <c r="AG57" s="403">
        <v>86.32</v>
      </c>
      <c r="AH57" s="403">
        <v>89.81</v>
      </c>
      <c r="AI57" s="403">
        <v>93.71</v>
      </c>
      <c r="AJ57" s="403">
        <v>90.91</v>
      </c>
      <c r="AK57" s="403">
        <v>86.67</v>
      </c>
      <c r="AL57" s="400">
        <v>83.33</v>
      </c>
      <c r="AM57" s="391"/>
      <c r="AN57" s="403">
        <v>90.06</v>
      </c>
      <c r="AO57" s="403">
        <v>100</v>
      </c>
      <c r="AP57" s="391"/>
      <c r="AQ57" s="403">
        <v>86.36</v>
      </c>
      <c r="AR57" s="400" t="s">
        <v>800</v>
      </c>
      <c r="AS57" s="403">
        <v>90.48</v>
      </c>
      <c r="AT57" s="400">
        <v>75</v>
      </c>
      <c r="AU57" s="403">
        <v>90.16</v>
      </c>
      <c r="AV57" s="403">
        <v>100</v>
      </c>
      <c r="AW57" s="403">
        <v>86.36</v>
      </c>
      <c r="AX57" s="403">
        <v>86.54</v>
      </c>
      <c r="AY57" s="403">
        <v>91.67</v>
      </c>
      <c r="AZ57" s="403">
        <v>100</v>
      </c>
      <c r="BA57" s="391"/>
      <c r="BB57" s="403">
        <v>86.36</v>
      </c>
      <c r="BC57" s="400" t="s">
        <v>800</v>
      </c>
      <c r="BD57" s="403">
        <v>90.48</v>
      </c>
      <c r="BE57" s="400">
        <v>75</v>
      </c>
      <c r="BF57" s="403">
        <v>90.16</v>
      </c>
      <c r="BG57" s="391"/>
      <c r="BH57" s="403">
        <v>100</v>
      </c>
      <c r="BI57" s="403">
        <v>86.36</v>
      </c>
      <c r="BJ57" s="403">
        <v>86.54</v>
      </c>
      <c r="BK57" s="403">
        <v>91.67</v>
      </c>
      <c r="BL57" s="403">
        <v>100</v>
      </c>
      <c r="BM57" s="391"/>
      <c r="BN57" s="403">
        <v>93.33</v>
      </c>
      <c r="BO57" s="400">
        <v>83.33</v>
      </c>
      <c r="BP57" s="400">
        <v>78</v>
      </c>
      <c r="BQ57" s="400">
        <v>69.23</v>
      </c>
      <c r="BR57" s="391"/>
      <c r="BS57" s="403">
        <v>88.44</v>
      </c>
      <c r="BT57" s="403">
        <v>95.08</v>
      </c>
      <c r="BU57" s="401">
        <v>50</v>
      </c>
      <c r="BV57" s="403">
        <v>93.36</v>
      </c>
      <c r="BW57" s="400">
        <v>65.52</v>
      </c>
      <c r="BX57" s="391"/>
    </row>
    <row r="58" spans="1:76">
      <c r="A58" s="426"/>
      <c r="B58" s="398">
        <v>50</v>
      </c>
      <c r="C58" s="399" t="s">
        <v>57</v>
      </c>
      <c r="D58" s="400">
        <v>85.1</v>
      </c>
      <c r="E58" s="400">
        <v>80.27</v>
      </c>
      <c r="F58" s="400">
        <v>81.22</v>
      </c>
      <c r="G58" s="400">
        <v>59</v>
      </c>
      <c r="H58" s="402">
        <v>4.8299999999999983</v>
      </c>
      <c r="I58" s="402">
        <v>3.8799999999999955</v>
      </c>
      <c r="J58" s="402">
        <v>26.099999999999994</v>
      </c>
      <c r="K58" s="391"/>
      <c r="L58" s="403">
        <v>89.58</v>
      </c>
      <c r="M58" s="403">
        <v>85.84</v>
      </c>
      <c r="N58" s="400">
        <v>83.96</v>
      </c>
      <c r="O58" s="403">
        <v>86.36</v>
      </c>
      <c r="P58" s="400">
        <v>70</v>
      </c>
      <c r="Q58" s="391"/>
      <c r="R58" s="400">
        <v>83.58</v>
      </c>
      <c r="S58" s="403">
        <v>87.31</v>
      </c>
      <c r="T58" s="391"/>
      <c r="U58" s="400" t="s">
        <v>800</v>
      </c>
      <c r="V58" s="403">
        <v>100</v>
      </c>
      <c r="W58" s="403">
        <v>85.63</v>
      </c>
      <c r="X58" s="403">
        <v>85.82</v>
      </c>
      <c r="Y58" s="400">
        <v>82.11</v>
      </c>
      <c r="Z58" s="391"/>
      <c r="AA58" s="403">
        <v>93.33</v>
      </c>
      <c r="AB58" s="403">
        <v>88.06</v>
      </c>
      <c r="AC58" s="400">
        <v>84.21</v>
      </c>
      <c r="AD58" s="400">
        <v>82.93</v>
      </c>
      <c r="AE58" s="400">
        <v>85.03</v>
      </c>
      <c r="AF58" s="391"/>
      <c r="AG58" s="400">
        <v>80.34</v>
      </c>
      <c r="AH58" s="403">
        <v>85.99</v>
      </c>
      <c r="AI58" s="403">
        <v>88.05</v>
      </c>
      <c r="AJ58" s="403">
        <v>86.36</v>
      </c>
      <c r="AK58" s="403">
        <v>86.67</v>
      </c>
      <c r="AL58" s="400">
        <v>83.33</v>
      </c>
      <c r="AM58" s="391"/>
      <c r="AN58" s="400">
        <v>85.02</v>
      </c>
      <c r="AO58" s="403">
        <v>100</v>
      </c>
      <c r="AP58" s="391"/>
      <c r="AQ58" s="400">
        <v>78.790000000000006</v>
      </c>
      <c r="AR58" s="400" t="s">
        <v>800</v>
      </c>
      <c r="AS58" s="403">
        <v>88.89</v>
      </c>
      <c r="AT58" s="400">
        <v>75</v>
      </c>
      <c r="AU58" s="400">
        <v>82.93</v>
      </c>
      <c r="AV58" s="403">
        <v>92.86</v>
      </c>
      <c r="AW58" s="403">
        <v>86.36</v>
      </c>
      <c r="AX58" s="400">
        <v>82.69</v>
      </c>
      <c r="AY58" s="403">
        <v>88.02</v>
      </c>
      <c r="AZ58" s="403">
        <v>92.31</v>
      </c>
      <c r="BA58" s="391"/>
      <c r="BB58" s="400">
        <v>78.790000000000006</v>
      </c>
      <c r="BC58" s="400" t="s">
        <v>800</v>
      </c>
      <c r="BD58" s="403">
        <v>88.89</v>
      </c>
      <c r="BE58" s="400">
        <v>75</v>
      </c>
      <c r="BF58" s="400">
        <v>82.93</v>
      </c>
      <c r="BG58" s="391"/>
      <c r="BH58" s="403">
        <v>92.86</v>
      </c>
      <c r="BI58" s="403">
        <v>86.36</v>
      </c>
      <c r="BJ58" s="400">
        <v>82.69</v>
      </c>
      <c r="BK58" s="403">
        <v>88.02</v>
      </c>
      <c r="BL58" s="403">
        <v>92.31</v>
      </c>
      <c r="BM58" s="391"/>
      <c r="BN58" s="403">
        <v>88.15</v>
      </c>
      <c r="BO58" s="400">
        <v>83.56</v>
      </c>
      <c r="BP58" s="400">
        <v>70</v>
      </c>
      <c r="BQ58" s="400">
        <v>61.54</v>
      </c>
      <c r="BR58" s="391"/>
      <c r="BS58" s="400">
        <v>83.24</v>
      </c>
      <c r="BT58" s="403">
        <v>88.52</v>
      </c>
      <c r="BU58" s="404">
        <v>37.51</v>
      </c>
      <c r="BV58" s="403">
        <v>89.45</v>
      </c>
      <c r="BW58" s="400">
        <v>63.33</v>
      </c>
      <c r="BX58" s="391"/>
    </row>
    <row r="59" spans="1:76">
      <c r="A59" s="426"/>
      <c r="B59" s="398">
        <v>51</v>
      </c>
      <c r="C59" s="399" t="s">
        <v>58</v>
      </c>
      <c r="D59" s="403">
        <v>93.96</v>
      </c>
      <c r="E59" s="403">
        <v>89.53</v>
      </c>
      <c r="F59" s="403">
        <v>89.51</v>
      </c>
      <c r="G59" s="400">
        <v>74</v>
      </c>
      <c r="H59" s="402">
        <v>4.4299999999999926</v>
      </c>
      <c r="I59" s="402">
        <v>4.4499999999999886</v>
      </c>
      <c r="J59" s="402">
        <v>19.959999999999994</v>
      </c>
      <c r="K59" s="391"/>
      <c r="L59" s="403">
        <v>100</v>
      </c>
      <c r="M59" s="403">
        <v>95.28</v>
      </c>
      <c r="N59" s="403">
        <v>91.98</v>
      </c>
      <c r="O59" s="403">
        <v>93.94</v>
      </c>
      <c r="P59" s="400">
        <v>70</v>
      </c>
      <c r="Q59" s="391"/>
      <c r="R59" s="403">
        <v>92.7</v>
      </c>
      <c r="S59" s="403">
        <v>95.15</v>
      </c>
      <c r="T59" s="391"/>
      <c r="U59" s="400" t="s">
        <v>800</v>
      </c>
      <c r="V59" s="403">
        <v>100</v>
      </c>
      <c r="W59" s="403">
        <v>96.55</v>
      </c>
      <c r="X59" s="403">
        <v>93.1</v>
      </c>
      <c r="Y59" s="403">
        <v>90.53</v>
      </c>
      <c r="Z59" s="391"/>
      <c r="AA59" s="403">
        <v>93.75</v>
      </c>
      <c r="AB59" s="403">
        <v>89.55</v>
      </c>
      <c r="AC59" s="403">
        <v>97.37</v>
      </c>
      <c r="AD59" s="403">
        <v>90.4</v>
      </c>
      <c r="AE59" s="403">
        <v>95.9</v>
      </c>
      <c r="AF59" s="391"/>
      <c r="AG59" s="403">
        <v>94.87</v>
      </c>
      <c r="AH59" s="403">
        <v>93.72</v>
      </c>
      <c r="AI59" s="403">
        <v>93.08</v>
      </c>
      <c r="AJ59" s="403">
        <v>90.91</v>
      </c>
      <c r="AK59" s="403">
        <v>96.67</v>
      </c>
      <c r="AL59" s="403">
        <v>100</v>
      </c>
      <c r="AM59" s="391"/>
      <c r="AN59" s="403">
        <v>93.82</v>
      </c>
      <c r="AO59" s="403">
        <v>100</v>
      </c>
      <c r="AP59" s="391"/>
      <c r="AQ59" s="403">
        <v>88.06</v>
      </c>
      <c r="AR59" s="400" t="s">
        <v>800</v>
      </c>
      <c r="AS59" s="403">
        <v>89.39</v>
      </c>
      <c r="AT59" s="400">
        <v>75</v>
      </c>
      <c r="AU59" s="403">
        <v>97.56</v>
      </c>
      <c r="AV59" s="403">
        <v>92.86</v>
      </c>
      <c r="AW59" s="403">
        <v>95.45</v>
      </c>
      <c r="AX59" s="403">
        <v>96.15</v>
      </c>
      <c r="AY59" s="403">
        <v>95.88</v>
      </c>
      <c r="AZ59" s="403">
        <v>92.31</v>
      </c>
      <c r="BA59" s="391"/>
      <c r="BB59" s="403">
        <v>88.06</v>
      </c>
      <c r="BC59" s="400" t="s">
        <v>800</v>
      </c>
      <c r="BD59" s="403">
        <v>89.39</v>
      </c>
      <c r="BE59" s="400">
        <v>75</v>
      </c>
      <c r="BF59" s="403">
        <v>97.56</v>
      </c>
      <c r="BG59" s="391"/>
      <c r="BH59" s="403">
        <v>92.86</v>
      </c>
      <c r="BI59" s="403">
        <v>95.45</v>
      </c>
      <c r="BJ59" s="403">
        <v>96.15</v>
      </c>
      <c r="BK59" s="403">
        <v>95.88</v>
      </c>
      <c r="BL59" s="403">
        <v>92.31</v>
      </c>
      <c r="BM59" s="391"/>
      <c r="BN59" s="403">
        <v>96.79</v>
      </c>
      <c r="BO59" s="403">
        <v>93.15</v>
      </c>
      <c r="BP59" s="400">
        <v>80</v>
      </c>
      <c r="BQ59" s="400">
        <v>61.54</v>
      </c>
      <c r="BR59" s="391"/>
      <c r="BS59" s="403">
        <v>94.8</v>
      </c>
      <c r="BT59" s="403">
        <v>93.44</v>
      </c>
      <c r="BU59" s="401">
        <v>50</v>
      </c>
      <c r="BV59" s="403">
        <v>96.09</v>
      </c>
      <c r="BW59" s="400">
        <v>80</v>
      </c>
      <c r="BX59" s="391"/>
    </row>
    <row r="60" spans="1:76">
      <c r="A60" s="426"/>
      <c r="B60" s="398">
        <v>52</v>
      </c>
      <c r="C60" s="399" t="s">
        <v>59</v>
      </c>
      <c r="D60" s="403">
        <v>87.97</v>
      </c>
      <c r="E60" s="400">
        <v>81.349999999999994</v>
      </c>
      <c r="F60" s="400">
        <v>82.63</v>
      </c>
      <c r="G60" s="400">
        <v>68</v>
      </c>
      <c r="H60" s="402">
        <v>6.6200000000000045</v>
      </c>
      <c r="I60" s="402">
        <v>5.3400000000000034</v>
      </c>
      <c r="J60" s="402">
        <v>19.97</v>
      </c>
      <c r="K60" s="391"/>
      <c r="L60" s="400">
        <v>81.25</v>
      </c>
      <c r="M60" s="403">
        <v>90.56</v>
      </c>
      <c r="N60" s="403">
        <v>87.7</v>
      </c>
      <c r="O60" s="403">
        <v>90.91</v>
      </c>
      <c r="P60" s="401">
        <v>60</v>
      </c>
      <c r="Q60" s="391"/>
      <c r="R60" s="403">
        <v>86.49</v>
      </c>
      <c r="S60" s="403">
        <v>89.93</v>
      </c>
      <c r="T60" s="391"/>
      <c r="U60" s="400" t="s">
        <v>800</v>
      </c>
      <c r="V60" s="403">
        <v>91.67</v>
      </c>
      <c r="W60" s="403">
        <v>89.08</v>
      </c>
      <c r="X60" s="403">
        <v>88.51</v>
      </c>
      <c r="Y60" s="400">
        <v>85.26</v>
      </c>
      <c r="Z60" s="391"/>
      <c r="AA60" s="403">
        <v>93.33</v>
      </c>
      <c r="AB60" s="403">
        <v>92.54</v>
      </c>
      <c r="AC60" s="400">
        <v>84.21</v>
      </c>
      <c r="AD60" s="403">
        <v>90.24</v>
      </c>
      <c r="AE60" s="403">
        <v>86.31</v>
      </c>
      <c r="AF60" s="391"/>
      <c r="AG60" s="400">
        <v>85.47</v>
      </c>
      <c r="AH60" s="403">
        <v>88.41</v>
      </c>
      <c r="AI60" s="403">
        <v>88.68</v>
      </c>
      <c r="AJ60" s="403">
        <v>90.91</v>
      </c>
      <c r="AK60" s="403">
        <v>90</v>
      </c>
      <c r="AL60" s="403">
        <v>100</v>
      </c>
      <c r="AM60" s="391"/>
      <c r="AN60" s="403">
        <v>88.01</v>
      </c>
      <c r="AO60" s="403">
        <v>100</v>
      </c>
      <c r="AP60" s="391"/>
      <c r="AQ60" s="403">
        <v>90.91</v>
      </c>
      <c r="AR60" s="400" t="s">
        <v>800</v>
      </c>
      <c r="AS60" s="403">
        <v>87.3</v>
      </c>
      <c r="AT60" s="403">
        <v>87.51</v>
      </c>
      <c r="AU60" s="400">
        <v>85.37</v>
      </c>
      <c r="AV60" s="403">
        <v>100</v>
      </c>
      <c r="AW60" s="403">
        <v>90.91</v>
      </c>
      <c r="AX60" s="403">
        <v>94.23</v>
      </c>
      <c r="AY60" s="403">
        <v>85.94</v>
      </c>
      <c r="AZ60" s="403">
        <v>92.31</v>
      </c>
      <c r="BA60" s="391"/>
      <c r="BB60" s="403">
        <v>90.91</v>
      </c>
      <c r="BC60" s="400" t="s">
        <v>800</v>
      </c>
      <c r="BD60" s="403">
        <v>87.3</v>
      </c>
      <c r="BE60" s="403">
        <v>87.51</v>
      </c>
      <c r="BF60" s="400">
        <v>85.37</v>
      </c>
      <c r="BG60" s="391"/>
      <c r="BH60" s="403">
        <v>100</v>
      </c>
      <c r="BI60" s="403">
        <v>90.91</v>
      </c>
      <c r="BJ60" s="403">
        <v>94.23</v>
      </c>
      <c r="BK60" s="403">
        <v>85.94</v>
      </c>
      <c r="BL60" s="403">
        <v>92.31</v>
      </c>
      <c r="BM60" s="391"/>
      <c r="BN60" s="403">
        <v>91.85</v>
      </c>
      <c r="BO60" s="400">
        <v>80.819999999999993</v>
      </c>
      <c r="BP60" s="400">
        <v>76</v>
      </c>
      <c r="BQ60" s="400">
        <v>61.54</v>
      </c>
      <c r="BR60" s="391"/>
      <c r="BS60" s="403">
        <v>87.28</v>
      </c>
      <c r="BT60" s="400">
        <v>83.61</v>
      </c>
      <c r="BU60" s="404">
        <v>37.51</v>
      </c>
      <c r="BV60" s="403">
        <v>93.36</v>
      </c>
      <c r="BW60" s="400">
        <v>66.67</v>
      </c>
      <c r="BX60" s="391"/>
    </row>
    <row r="61" spans="1:76">
      <c r="A61" s="426"/>
      <c r="B61" s="398">
        <v>53</v>
      </c>
      <c r="C61" s="399" t="s">
        <v>60</v>
      </c>
      <c r="D61" s="403">
        <v>91.38</v>
      </c>
      <c r="E61" s="403">
        <v>88.99</v>
      </c>
      <c r="F61" s="403">
        <v>91.37</v>
      </c>
      <c r="G61" s="400">
        <v>80</v>
      </c>
      <c r="H61" s="402">
        <v>2.3900000000000006</v>
      </c>
      <c r="I61" s="402">
        <v>9.9999999999909051E-3</v>
      </c>
      <c r="J61" s="402">
        <v>11.379999999999995</v>
      </c>
      <c r="K61" s="391"/>
      <c r="L61" s="403">
        <v>91.67</v>
      </c>
      <c r="M61" s="403">
        <v>92.7</v>
      </c>
      <c r="N61" s="403">
        <v>90.37</v>
      </c>
      <c r="O61" s="403">
        <v>90.91</v>
      </c>
      <c r="P61" s="400">
        <v>70</v>
      </c>
      <c r="Q61" s="391"/>
      <c r="R61" s="403">
        <v>89.42</v>
      </c>
      <c r="S61" s="403">
        <v>92.91</v>
      </c>
      <c r="T61" s="391"/>
      <c r="U61" s="400" t="s">
        <v>800</v>
      </c>
      <c r="V61" s="403">
        <v>100</v>
      </c>
      <c r="W61" s="403">
        <v>93.68</v>
      </c>
      <c r="X61" s="403">
        <v>90.04</v>
      </c>
      <c r="Y61" s="403">
        <v>88.42</v>
      </c>
      <c r="Z61" s="391"/>
      <c r="AA61" s="403">
        <v>93.33</v>
      </c>
      <c r="AB61" s="403">
        <v>92.54</v>
      </c>
      <c r="AC61" s="403">
        <v>86.84</v>
      </c>
      <c r="AD61" s="403">
        <v>87.8</v>
      </c>
      <c r="AE61" s="403">
        <v>92.99</v>
      </c>
      <c r="AF61" s="391"/>
      <c r="AG61" s="403">
        <v>91.45</v>
      </c>
      <c r="AH61" s="403">
        <v>92.75</v>
      </c>
      <c r="AI61" s="403">
        <v>87.42</v>
      </c>
      <c r="AJ61" s="403">
        <v>95.45</v>
      </c>
      <c r="AK61" s="403">
        <v>93.33</v>
      </c>
      <c r="AL61" s="403">
        <v>100</v>
      </c>
      <c r="AM61" s="391"/>
      <c r="AN61" s="403">
        <v>91.2</v>
      </c>
      <c r="AO61" s="403">
        <v>100</v>
      </c>
      <c r="AP61" s="391"/>
      <c r="AQ61" s="403">
        <v>87.88</v>
      </c>
      <c r="AR61" s="400" t="s">
        <v>800</v>
      </c>
      <c r="AS61" s="403">
        <v>87.3</v>
      </c>
      <c r="AT61" s="400">
        <v>75</v>
      </c>
      <c r="AU61" s="403">
        <v>93.49</v>
      </c>
      <c r="AV61" s="403">
        <v>100</v>
      </c>
      <c r="AW61" s="403">
        <v>95.45</v>
      </c>
      <c r="AX61" s="403">
        <v>94.23</v>
      </c>
      <c r="AY61" s="403">
        <v>92.71</v>
      </c>
      <c r="AZ61" s="400">
        <v>84.62</v>
      </c>
      <c r="BA61" s="391"/>
      <c r="BB61" s="403">
        <v>87.88</v>
      </c>
      <c r="BC61" s="400" t="s">
        <v>800</v>
      </c>
      <c r="BD61" s="403">
        <v>87.3</v>
      </c>
      <c r="BE61" s="400">
        <v>75</v>
      </c>
      <c r="BF61" s="403">
        <v>93.49</v>
      </c>
      <c r="BG61" s="391"/>
      <c r="BH61" s="403">
        <v>100</v>
      </c>
      <c r="BI61" s="403">
        <v>95.45</v>
      </c>
      <c r="BJ61" s="403">
        <v>94.23</v>
      </c>
      <c r="BK61" s="403">
        <v>92.71</v>
      </c>
      <c r="BL61" s="400">
        <v>84.62</v>
      </c>
      <c r="BM61" s="391"/>
      <c r="BN61" s="403">
        <v>94.81</v>
      </c>
      <c r="BO61" s="400">
        <v>84.93</v>
      </c>
      <c r="BP61" s="400">
        <v>78</v>
      </c>
      <c r="BQ61" s="400">
        <v>61.54</v>
      </c>
      <c r="BR61" s="391"/>
      <c r="BS61" s="403">
        <v>91.91</v>
      </c>
      <c r="BT61" s="403">
        <v>91.8</v>
      </c>
      <c r="BU61" s="404">
        <v>37.51</v>
      </c>
      <c r="BV61" s="403">
        <v>94.14</v>
      </c>
      <c r="BW61" s="400">
        <v>76.67</v>
      </c>
      <c r="BX61" s="391"/>
    </row>
    <row r="62" spans="1:76">
      <c r="A62" s="426"/>
      <c r="B62" s="398">
        <v>54</v>
      </c>
      <c r="C62" s="399" t="s">
        <v>61</v>
      </c>
      <c r="D62" s="400">
        <v>84.84</v>
      </c>
      <c r="E62" s="400">
        <v>78.97</v>
      </c>
      <c r="F62" s="400">
        <v>82.91</v>
      </c>
      <c r="G62" s="400">
        <v>63</v>
      </c>
      <c r="H62" s="402">
        <v>5.8700000000000045</v>
      </c>
      <c r="I62" s="402">
        <v>1.9300000000000068</v>
      </c>
      <c r="J62" s="402">
        <v>21.840000000000003</v>
      </c>
      <c r="K62" s="391"/>
      <c r="L62" s="403">
        <v>91.67</v>
      </c>
      <c r="M62" s="403">
        <v>86.46</v>
      </c>
      <c r="N62" s="400">
        <v>81.819999999999993</v>
      </c>
      <c r="O62" s="403">
        <v>89.06</v>
      </c>
      <c r="P62" s="400">
        <v>70</v>
      </c>
      <c r="Q62" s="391"/>
      <c r="R62" s="400">
        <v>82.96</v>
      </c>
      <c r="S62" s="403">
        <v>87.59</v>
      </c>
      <c r="T62" s="391"/>
      <c r="U62" s="400" t="s">
        <v>800</v>
      </c>
      <c r="V62" s="403">
        <v>91.67</v>
      </c>
      <c r="W62" s="403">
        <v>87.72</v>
      </c>
      <c r="X62" s="403">
        <v>85.66</v>
      </c>
      <c r="Y62" s="400">
        <v>78.95</v>
      </c>
      <c r="Z62" s="391"/>
      <c r="AA62" s="403">
        <v>86.67</v>
      </c>
      <c r="AB62" s="403">
        <v>90.91</v>
      </c>
      <c r="AC62" s="403">
        <v>86.49</v>
      </c>
      <c r="AD62" s="400">
        <v>80.489999999999995</v>
      </c>
      <c r="AE62" s="400">
        <v>84.98</v>
      </c>
      <c r="AF62" s="391"/>
      <c r="AG62" s="400">
        <v>84.21</v>
      </c>
      <c r="AH62" s="400">
        <v>85.44</v>
      </c>
      <c r="AI62" s="400">
        <v>84.08</v>
      </c>
      <c r="AJ62" s="403">
        <v>86.36</v>
      </c>
      <c r="AK62" s="403">
        <v>90</v>
      </c>
      <c r="AL62" s="403">
        <v>100</v>
      </c>
      <c r="AM62" s="391"/>
      <c r="AN62" s="400">
        <v>85.23</v>
      </c>
      <c r="AO62" s="403">
        <v>100</v>
      </c>
      <c r="AP62" s="391"/>
      <c r="AQ62" s="400">
        <v>78.459999999999994</v>
      </c>
      <c r="AR62" s="400" t="s">
        <v>800</v>
      </c>
      <c r="AS62" s="400">
        <v>84.38</v>
      </c>
      <c r="AT62" s="400">
        <v>75</v>
      </c>
      <c r="AU62" s="403">
        <v>86.89</v>
      </c>
      <c r="AV62" s="403">
        <v>92.86</v>
      </c>
      <c r="AW62" s="403">
        <v>85.71</v>
      </c>
      <c r="AX62" s="400">
        <v>84.62</v>
      </c>
      <c r="AY62" s="403">
        <v>86.39</v>
      </c>
      <c r="AZ62" s="403">
        <v>92.31</v>
      </c>
      <c r="BA62" s="391"/>
      <c r="BB62" s="400">
        <v>78.459999999999994</v>
      </c>
      <c r="BC62" s="400" t="s">
        <v>800</v>
      </c>
      <c r="BD62" s="400">
        <v>84.38</v>
      </c>
      <c r="BE62" s="400">
        <v>75</v>
      </c>
      <c r="BF62" s="403">
        <v>86.89</v>
      </c>
      <c r="BG62" s="391"/>
      <c r="BH62" s="403">
        <v>92.86</v>
      </c>
      <c r="BI62" s="403">
        <v>85.71</v>
      </c>
      <c r="BJ62" s="400">
        <v>84.62</v>
      </c>
      <c r="BK62" s="403">
        <v>86.39</v>
      </c>
      <c r="BL62" s="403">
        <v>92.31</v>
      </c>
      <c r="BM62" s="391"/>
      <c r="BN62" s="403">
        <v>87.78</v>
      </c>
      <c r="BO62" s="400">
        <v>80.28</v>
      </c>
      <c r="BP62" s="400">
        <v>78</v>
      </c>
      <c r="BQ62" s="400">
        <v>61.54</v>
      </c>
      <c r="BR62" s="391"/>
      <c r="BS62" s="400">
        <v>85.38</v>
      </c>
      <c r="BT62" s="403">
        <v>86.89</v>
      </c>
      <c r="BU62" s="401">
        <v>50</v>
      </c>
      <c r="BV62" s="403">
        <v>87.35</v>
      </c>
      <c r="BW62" s="400">
        <v>68.97</v>
      </c>
      <c r="BX62" s="391"/>
    </row>
    <row r="63" spans="1:76">
      <c r="A63" s="426"/>
      <c r="B63" s="398">
        <v>55</v>
      </c>
      <c r="C63" s="399" t="s">
        <v>62</v>
      </c>
      <c r="D63" s="400">
        <v>79.489999999999995</v>
      </c>
      <c r="E63" s="400">
        <v>75.06</v>
      </c>
      <c r="F63" s="400">
        <v>77.45</v>
      </c>
      <c r="G63" s="401">
        <v>57</v>
      </c>
      <c r="H63" s="402">
        <v>4.4299999999999926</v>
      </c>
      <c r="I63" s="402">
        <v>2.039999999999992</v>
      </c>
      <c r="J63" s="402">
        <v>22.489999999999995</v>
      </c>
      <c r="K63" s="391"/>
      <c r="L63" s="400">
        <v>81.25</v>
      </c>
      <c r="M63" s="400">
        <v>82.76</v>
      </c>
      <c r="N63" s="400">
        <v>75.94</v>
      </c>
      <c r="O63" s="400">
        <v>80.3</v>
      </c>
      <c r="P63" s="400">
        <v>70</v>
      </c>
      <c r="Q63" s="391"/>
      <c r="R63" s="400">
        <v>78.47</v>
      </c>
      <c r="S63" s="400">
        <v>80.900000000000006</v>
      </c>
      <c r="T63" s="391"/>
      <c r="U63" s="400" t="s">
        <v>800</v>
      </c>
      <c r="V63" s="403">
        <v>91.67</v>
      </c>
      <c r="W63" s="400">
        <v>80.92</v>
      </c>
      <c r="X63" s="400">
        <v>80.459999999999994</v>
      </c>
      <c r="Y63" s="400">
        <v>73.680000000000007</v>
      </c>
      <c r="Z63" s="391"/>
      <c r="AA63" s="403">
        <v>93.33</v>
      </c>
      <c r="AB63" s="400">
        <v>77.61</v>
      </c>
      <c r="AC63" s="400">
        <v>73.680000000000007</v>
      </c>
      <c r="AD63" s="400">
        <v>76.42</v>
      </c>
      <c r="AE63" s="400">
        <v>81.150000000000006</v>
      </c>
      <c r="AF63" s="391"/>
      <c r="AG63" s="400">
        <v>78.63</v>
      </c>
      <c r="AH63" s="400">
        <v>81.55</v>
      </c>
      <c r="AI63" s="400">
        <v>79.25</v>
      </c>
      <c r="AJ63" s="400">
        <v>77.27</v>
      </c>
      <c r="AK63" s="400">
        <v>73.33</v>
      </c>
      <c r="AL63" s="400">
        <v>83.33</v>
      </c>
      <c r="AM63" s="391"/>
      <c r="AN63" s="400">
        <v>79.55</v>
      </c>
      <c r="AO63" s="403">
        <v>100</v>
      </c>
      <c r="AP63" s="391"/>
      <c r="AQ63" s="400">
        <v>65.150000000000006</v>
      </c>
      <c r="AR63" s="400" t="s">
        <v>800</v>
      </c>
      <c r="AS63" s="400">
        <v>84.13</v>
      </c>
      <c r="AT63" s="400">
        <v>75</v>
      </c>
      <c r="AU63" s="400">
        <v>80.33</v>
      </c>
      <c r="AV63" s="403">
        <v>92.86</v>
      </c>
      <c r="AW63" s="400">
        <v>81.819999999999993</v>
      </c>
      <c r="AX63" s="400">
        <v>80.77</v>
      </c>
      <c r="AY63" s="400">
        <v>81.77</v>
      </c>
      <c r="AZ63" s="400">
        <v>84.62</v>
      </c>
      <c r="BA63" s="391"/>
      <c r="BB63" s="400">
        <v>65.150000000000006</v>
      </c>
      <c r="BC63" s="400" t="s">
        <v>800</v>
      </c>
      <c r="BD63" s="400">
        <v>84.13</v>
      </c>
      <c r="BE63" s="400">
        <v>75</v>
      </c>
      <c r="BF63" s="400">
        <v>80.33</v>
      </c>
      <c r="BG63" s="391"/>
      <c r="BH63" s="403">
        <v>92.86</v>
      </c>
      <c r="BI63" s="400">
        <v>81.819999999999993</v>
      </c>
      <c r="BJ63" s="400">
        <v>80.77</v>
      </c>
      <c r="BK63" s="400">
        <v>81.77</v>
      </c>
      <c r="BL63" s="400">
        <v>84.62</v>
      </c>
      <c r="BM63" s="391"/>
      <c r="BN63" s="400">
        <v>83.21</v>
      </c>
      <c r="BO63" s="400">
        <v>72.22</v>
      </c>
      <c r="BP63" s="400">
        <v>70</v>
      </c>
      <c r="BQ63" s="401">
        <v>46.15</v>
      </c>
      <c r="BR63" s="391"/>
      <c r="BS63" s="400">
        <v>76.3</v>
      </c>
      <c r="BT63" s="400">
        <v>80.33</v>
      </c>
      <c r="BU63" s="404">
        <v>25</v>
      </c>
      <c r="BV63" s="403">
        <v>85.55</v>
      </c>
      <c r="BW63" s="400">
        <v>62.07</v>
      </c>
      <c r="BX63" s="391"/>
    </row>
    <row r="64" spans="1:76">
      <c r="A64" s="426"/>
      <c r="B64" s="398">
        <v>56</v>
      </c>
      <c r="C64" s="399" t="s">
        <v>63</v>
      </c>
      <c r="D64" s="400">
        <v>78.739999999999995</v>
      </c>
      <c r="E64" s="400">
        <v>73.2</v>
      </c>
      <c r="F64" s="400">
        <v>75.42</v>
      </c>
      <c r="G64" s="401">
        <v>52</v>
      </c>
      <c r="H64" s="402">
        <v>5.539999999999992</v>
      </c>
      <c r="I64" s="402">
        <v>3.3199999999999932</v>
      </c>
      <c r="J64" s="402">
        <v>26.739999999999995</v>
      </c>
      <c r="K64" s="391"/>
      <c r="L64" s="400">
        <v>83.33</v>
      </c>
      <c r="M64" s="400">
        <v>77.06</v>
      </c>
      <c r="N64" s="400">
        <v>77.540000000000006</v>
      </c>
      <c r="O64" s="403">
        <v>87.88</v>
      </c>
      <c r="P64" s="400">
        <v>70</v>
      </c>
      <c r="Q64" s="391"/>
      <c r="R64" s="400">
        <v>76.92</v>
      </c>
      <c r="S64" s="400">
        <v>80.900000000000006</v>
      </c>
      <c r="T64" s="391"/>
      <c r="U64" s="400" t="s">
        <v>800</v>
      </c>
      <c r="V64" s="400">
        <v>83.33</v>
      </c>
      <c r="W64" s="400">
        <v>80.23</v>
      </c>
      <c r="X64" s="400">
        <v>77.010000000000005</v>
      </c>
      <c r="Y64" s="400">
        <v>81.05</v>
      </c>
      <c r="Z64" s="391"/>
      <c r="AA64" s="403">
        <v>86.67</v>
      </c>
      <c r="AB64" s="400">
        <v>79.099999999999994</v>
      </c>
      <c r="AC64" s="400">
        <v>78.95</v>
      </c>
      <c r="AD64" s="400">
        <v>80.489999999999995</v>
      </c>
      <c r="AE64" s="400">
        <v>77.56</v>
      </c>
      <c r="AF64" s="391"/>
      <c r="AG64" s="400">
        <v>74.14</v>
      </c>
      <c r="AH64" s="400">
        <v>80.099999999999994</v>
      </c>
      <c r="AI64" s="400">
        <v>78.62</v>
      </c>
      <c r="AJ64" s="403">
        <v>86.36</v>
      </c>
      <c r="AK64" s="400">
        <v>83.33</v>
      </c>
      <c r="AL64" s="403">
        <v>100</v>
      </c>
      <c r="AM64" s="391"/>
      <c r="AN64" s="400">
        <v>78.760000000000005</v>
      </c>
      <c r="AO64" s="403">
        <v>100</v>
      </c>
      <c r="AP64" s="391"/>
      <c r="AQ64" s="400">
        <v>72.31</v>
      </c>
      <c r="AR64" s="400" t="s">
        <v>800</v>
      </c>
      <c r="AS64" s="403">
        <v>87.3</v>
      </c>
      <c r="AT64" s="400">
        <v>75</v>
      </c>
      <c r="AU64" s="400">
        <v>73.77</v>
      </c>
      <c r="AV64" s="403">
        <v>92.86</v>
      </c>
      <c r="AW64" s="400">
        <v>77.27</v>
      </c>
      <c r="AX64" s="400">
        <v>82.69</v>
      </c>
      <c r="AY64" s="400">
        <v>79.69</v>
      </c>
      <c r="AZ64" s="400">
        <v>84.62</v>
      </c>
      <c r="BA64" s="391"/>
      <c r="BB64" s="400">
        <v>72.31</v>
      </c>
      <c r="BC64" s="400" t="s">
        <v>800</v>
      </c>
      <c r="BD64" s="403">
        <v>87.3</v>
      </c>
      <c r="BE64" s="400">
        <v>75</v>
      </c>
      <c r="BF64" s="400">
        <v>73.77</v>
      </c>
      <c r="BG64" s="391"/>
      <c r="BH64" s="403">
        <v>92.86</v>
      </c>
      <c r="BI64" s="400">
        <v>77.27</v>
      </c>
      <c r="BJ64" s="400">
        <v>82.69</v>
      </c>
      <c r="BK64" s="400">
        <v>79.69</v>
      </c>
      <c r="BL64" s="400">
        <v>84.62</v>
      </c>
      <c r="BM64" s="391"/>
      <c r="BN64" s="400">
        <v>81.19</v>
      </c>
      <c r="BO64" s="400">
        <v>73.61</v>
      </c>
      <c r="BP64" s="400">
        <v>74</v>
      </c>
      <c r="BQ64" s="401">
        <v>53.85</v>
      </c>
      <c r="BR64" s="391"/>
      <c r="BS64" s="400">
        <v>76.3</v>
      </c>
      <c r="BT64" s="400">
        <v>78.69</v>
      </c>
      <c r="BU64" s="404">
        <v>12.51</v>
      </c>
      <c r="BV64" s="400">
        <v>83.14</v>
      </c>
      <c r="BW64" s="400">
        <v>72.41</v>
      </c>
      <c r="BX64" s="391"/>
    </row>
    <row r="65" spans="1:76">
      <c r="A65" s="427"/>
      <c r="B65" s="398">
        <v>57</v>
      </c>
      <c r="C65" s="399" t="s">
        <v>64</v>
      </c>
      <c r="D65" s="403">
        <v>88.1</v>
      </c>
      <c r="E65" s="400">
        <v>80.849999999999994</v>
      </c>
      <c r="F65" s="400">
        <v>81.459999999999994</v>
      </c>
      <c r="G65" s="400">
        <v>63</v>
      </c>
      <c r="H65" s="402">
        <v>7.25</v>
      </c>
      <c r="I65" s="402">
        <v>6.6400000000000006</v>
      </c>
      <c r="J65" s="402">
        <v>25.099999999999994</v>
      </c>
      <c r="K65" s="391"/>
      <c r="L65" s="403">
        <v>93.75</v>
      </c>
      <c r="M65" s="403">
        <v>86.7</v>
      </c>
      <c r="N65" s="403">
        <v>87.7</v>
      </c>
      <c r="O65" s="403">
        <v>93.94</v>
      </c>
      <c r="P65" s="400">
        <v>80</v>
      </c>
      <c r="Q65" s="391"/>
      <c r="R65" s="403">
        <v>88.69</v>
      </c>
      <c r="S65" s="403">
        <v>88.06</v>
      </c>
      <c r="T65" s="391"/>
      <c r="U65" s="400" t="s">
        <v>800</v>
      </c>
      <c r="V65" s="403">
        <v>91.67</v>
      </c>
      <c r="W65" s="403">
        <v>87.93</v>
      </c>
      <c r="X65" s="403">
        <v>88.12</v>
      </c>
      <c r="Y65" s="403">
        <v>89.47</v>
      </c>
      <c r="Z65" s="391"/>
      <c r="AA65" s="403">
        <v>93.75</v>
      </c>
      <c r="AB65" s="403">
        <v>92.54</v>
      </c>
      <c r="AC65" s="403">
        <v>89.47</v>
      </c>
      <c r="AD65" s="403">
        <v>85.6</v>
      </c>
      <c r="AE65" s="403">
        <v>87.7</v>
      </c>
      <c r="AF65" s="391"/>
      <c r="AG65" s="403">
        <v>86.32</v>
      </c>
      <c r="AH65" s="403">
        <v>89.37</v>
      </c>
      <c r="AI65" s="403">
        <v>86.79</v>
      </c>
      <c r="AJ65" s="403">
        <v>86.36</v>
      </c>
      <c r="AK65" s="403">
        <v>96.67</v>
      </c>
      <c r="AL65" s="403">
        <v>100</v>
      </c>
      <c r="AM65" s="391"/>
      <c r="AN65" s="403">
        <v>88.2</v>
      </c>
      <c r="AO65" s="403">
        <v>100</v>
      </c>
      <c r="AP65" s="391"/>
      <c r="AQ65" s="400">
        <v>85.07</v>
      </c>
      <c r="AR65" s="400" t="s">
        <v>800</v>
      </c>
      <c r="AS65" s="403">
        <v>90.91</v>
      </c>
      <c r="AT65" s="400">
        <v>75</v>
      </c>
      <c r="AU65" s="403">
        <v>87.8</v>
      </c>
      <c r="AV65" s="403">
        <v>100</v>
      </c>
      <c r="AW65" s="403">
        <v>95.45</v>
      </c>
      <c r="AX65" s="403">
        <v>92.31</v>
      </c>
      <c r="AY65" s="403">
        <v>86.6</v>
      </c>
      <c r="AZ65" s="403">
        <v>92.31</v>
      </c>
      <c r="BA65" s="391"/>
      <c r="BB65" s="400">
        <v>85.07</v>
      </c>
      <c r="BC65" s="400" t="s">
        <v>800</v>
      </c>
      <c r="BD65" s="403">
        <v>90.91</v>
      </c>
      <c r="BE65" s="400">
        <v>75</v>
      </c>
      <c r="BF65" s="403">
        <v>87.8</v>
      </c>
      <c r="BG65" s="391"/>
      <c r="BH65" s="403">
        <v>100</v>
      </c>
      <c r="BI65" s="403">
        <v>95.45</v>
      </c>
      <c r="BJ65" s="403">
        <v>92.31</v>
      </c>
      <c r="BK65" s="403">
        <v>86.6</v>
      </c>
      <c r="BL65" s="403">
        <v>92.31</v>
      </c>
      <c r="BM65" s="391"/>
      <c r="BN65" s="403">
        <v>90.37</v>
      </c>
      <c r="BO65" s="403">
        <v>89.04</v>
      </c>
      <c r="BP65" s="400">
        <v>76</v>
      </c>
      <c r="BQ65" s="400">
        <v>69.23</v>
      </c>
      <c r="BR65" s="391"/>
      <c r="BS65" s="403">
        <v>89.6</v>
      </c>
      <c r="BT65" s="403">
        <v>88.52</v>
      </c>
      <c r="BU65" s="404">
        <v>37.51</v>
      </c>
      <c r="BV65" s="403">
        <v>91.02</v>
      </c>
      <c r="BW65" s="400">
        <v>73.33</v>
      </c>
      <c r="BX65" s="391"/>
    </row>
    <row r="66" spans="1:76">
      <c r="A66" s="422" t="s">
        <v>350</v>
      </c>
      <c r="B66" s="423"/>
      <c r="C66" s="424"/>
      <c r="D66" s="405">
        <v>86.96</v>
      </c>
      <c r="E66" s="405">
        <v>81.66</v>
      </c>
      <c r="F66" s="405">
        <v>83.49</v>
      </c>
      <c r="G66" s="405">
        <v>66</v>
      </c>
      <c r="H66" s="405">
        <v>5.2999999999999972</v>
      </c>
      <c r="I66" s="405">
        <v>3.4699999999999989</v>
      </c>
      <c r="J66" s="405">
        <v>20.959999999999994</v>
      </c>
      <c r="K66" s="391"/>
      <c r="L66" s="405">
        <v>89.58</v>
      </c>
      <c r="M66" s="405">
        <v>87.71</v>
      </c>
      <c r="N66" s="405">
        <v>85.72</v>
      </c>
      <c r="O66" s="405">
        <v>89.66</v>
      </c>
      <c r="P66" s="405">
        <v>71</v>
      </c>
      <c r="Q66" s="391"/>
      <c r="R66" s="405">
        <v>85.62</v>
      </c>
      <c r="S66" s="405">
        <v>88.59</v>
      </c>
      <c r="T66" s="391"/>
      <c r="U66" s="406" t="s">
        <v>800</v>
      </c>
      <c r="V66" s="405">
        <v>95</v>
      </c>
      <c r="W66" s="405">
        <v>88.1</v>
      </c>
      <c r="X66" s="405">
        <v>86.92</v>
      </c>
      <c r="Y66" s="405">
        <v>84.74</v>
      </c>
      <c r="Z66" s="391"/>
      <c r="AA66" s="405">
        <v>92.75</v>
      </c>
      <c r="AB66" s="405">
        <v>88.2</v>
      </c>
      <c r="AC66" s="405">
        <v>86.28</v>
      </c>
      <c r="AD66" s="405">
        <v>85.73</v>
      </c>
      <c r="AE66" s="405">
        <v>86.99</v>
      </c>
      <c r="AF66" s="391"/>
      <c r="AG66" s="405">
        <v>85.24</v>
      </c>
      <c r="AH66" s="405">
        <v>87.51</v>
      </c>
      <c r="AI66" s="405">
        <v>87.02</v>
      </c>
      <c r="AJ66" s="405">
        <v>88.18</v>
      </c>
      <c r="AK66" s="405">
        <v>89.33</v>
      </c>
      <c r="AL66" s="405">
        <v>95</v>
      </c>
      <c r="AM66" s="391"/>
      <c r="AN66" s="405">
        <v>86.97</v>
      </c>
      <c r="AO66" s="405">
        <v>100</v>
      </c>
      <c r="AP66" s="391"/>
      <c r="AQ66" s="405">
        <v>82.39</v>
      </c>
      <c r="AR66" s="406" t="s">
        <v>800</v>
      </c>
      <c r="AS66" s="405">
        <v>88.21</v>
      </c>
      <c r="AT66" s="405">
        <v>76.25</v>
      </c>
      <c r="AU66" s="405">
        <v>86.85</v>
      </c>
      <c r="AV66" s="405">
        <v>96.43</v>
      </c>
      <c r="AW66" s="405">
        <v>89.03</v>
      </c>
      <c r="AX66" s="405">
        <v>88.08</v>
      </c>
      <c r="AY66" s="405">
        <v>87.77</v>
      </c>
      <c r="AZ66" s="405">
        <v>91.54</v>
      </c>
      <c r="BA66" s="391"/>
      <c r="BB66" s="405">
        <v>82.39</v>
      </c>
      <c r="BC66" s="406" t="s">
        <v>800</v>
      </c>
      <c r="BD66" s="405">
        <v>88.21</v>
      </c>
      <c r="BE66" s="405">
        <v>76.25</v>
      </c>
      <c r="BF66" s="405">
        <v>86.85</v>
      </c>
      <c r="BG66" s="391"/>
      <c r="BH66" s="405">
        <v>96.43</v>
      </c>
      <c r="BI66" s="405">
        <v>89.03</v>
      </c>
      <c r="BJ66" s="405">
        <v>88.08</v>
      </c>
      <c r="BK66" s="405">
        <v>87.77</v>
      </c>
      <c r="BL66" s="405">
        <v>91.54</v>
      </c>
      <c r="BM66" s="391"/>
      <c r="BN66" s="405">
        <v>90.08</v>
      </c>
      <c r="BO66" s="405">
        <v>82.59</v>
      </c>
      <c r="BP66" s="405">
        <v>76</v>
      </c>
      <c r="BQ66" s="405">
        <v>60</v>
      </c>
      <c r="BR66" s="391"/>
      <c r="BS66" s="405">
        <v>86.28</v>
      </c>
      <c r="BT66" s="405">
        <v>87.54</v>
      </c>
      <c r="BU66" s="405">
        <v>37.51</v>
      </c>
      <c r="BV66" s="405">
        <v>90.8</v>
      </c>
      <c r="BW66" s="405">
        <v>69.900000000000006</v>
      </c>
      <c r="BX66" s="391"/>
    </row>
    <row r="67" spans="1:76" ht="13.5" customHeight="1">
      <c r="A67" s="407" t="s">
        <v>65</v>
      </c>
      <c r="B67" s="398">
        <v>58</v>
      </c>
      <c r="C67" s="399" t="s">
        <v>66</v>
      </c>
      <c r="D67" s="403">
        <v>89.41</v>
      </c>
      <c r="E67" s="400">
        <v>80.900000000000006</v>
      </c>
      <c r="F67" s="400">
        <v>81.900000000000006</v>
      </c>
      <c r="G67" s="400">
        <v>64</v>
      </c>
      <c r="H67" s="400">
        <v>8.5099999999999909</v>
      </c>
      <c r="I67" s="400">
        <v>7.5099999999999909</v>
      </c>
      <c r="J67" s="400">
        <v>25.409999999999997</v>
      </c>
      <c r="K67" s="391"/>
      <c r="L67" s="403">
        <v>91.67</v>
      </c>
      <c r="M67" s="403">
        <v>90.13</v>
      </c>
      <c r="N67" s="403">
        <v>87.17</v>
      </c>
      <c r="O67" s="403">
        <v>92.42</v>
      </c>
      <c r="P67" s="400">
        <v>80</v>
      </c>
      <c r="Q67" s="391"/>
      <c r="R67" s="403">
        <v>88.32</v>
      </c>
      <c r="S67" s="403">
        <v>90.3</v>
      </c>
      <c r="T67" s="391"/>
      <c r="U67" s="400" t="s">
        <v>800</v>
      </c>
      <c r="V67" s="403">
        <v>100</v>
      </c>
      <c r="W67" s="403">
        <v>89.08</v>
      </c>
      <c r="X67" s="403">
        <v>88.89</v>
      </c>
      <c r="Y67" s="403">
        <v>89.47</v>
      </c>
      <c r="Z67" s="391"/>
      <c r="AA67" s="403">
        <v>100</v>
      </c>
      <c r="AB67" s="403">
        <v>88.06</v>
      </c>
      <c r="AC67" s="403">
        <v>92.11</v>
      </c>
      <c r="AD67" s="403">
        <v>90.24</v>
      </c>
      <c r="AE67" s="403">
        <v>88.54</v>
      </c>
      <c r="AF67" s="391"/>
      <c r="AG67" s="403">
        <v>93.16</v>
      </c>
      <c r="AH67" s="403">
        <v>86.96</v>
      </c>
      <c r="AI67" s="403">
        <v>88.05</v>
      </c>
      <c r="AJ67" s="403">
        <v>95.45</v>
      </c>
      <c r="AK67" s="403">
        <v>93.33</v>
      </c>
      <c r="AL67" s="403">
        <v>100</v>
      </c>
      <c r="AM67" s="391"/>
      <c r="AN67" s="403">
        <v>89.33</v>
      </c>
      <c r="AO67" s="403">
        <v>100</v>
      </c>
      <c r="AP67" s="391"/>
      <c r="AQ67" s="403">
        <v>87.88</v>
      </c>
      <c r="AR67" s="400" t="s">
        <v>800</v>
      </c>
      <c r="AS67" s="403">
        <v>93.65</v>
      </c>
      <c r="AT67" s="400">
        <v>75</v>
      </c>
      <c r="AU67" s="403">
        <v>91.06</v>
      </c>
      <c r="AV67" s="403">
        <v>100</v>
      </c>
      <c r="AW67" s="403">
        <v>86.36</v>
      </c>
      <c r="AX67" s="403">
        <v>90.38</v>
      </c>
      <c r="AY67" s="403">
        <v>86.98</v>
      </c>
      <c r="AZ67" s="403">
        <v>92.31</v>
      </c>
      <c r="BA67" s="391"/>
      <c r="BB67" s="403">
        <v>87.88</v>
      </c>
      <c r="BC67" s="400" t="s">
        <v>800</v>
      </c>
      <c r="BD67" s="403">
        <v>93.65</v>
      </c>
      <c r="BE67" s="400">
        <v>75</v>
      </c>
      <c r="BF67" s="403">
        <v>91.06</v>
      </c>
      <c r="BG67" s="391"/>
      <c r="BH67" s="403">
        <v>100</v>
      </c>
      <c r="BI67" s="403">
        <v>86.36</v>
      </c>
      <c r="BJ67" s="403">
        <v>90.38</v>
      </c>
      <c r="BK67" s="403">
        <v>86.98</v>
      </c>
      <c r="BL67" s="403">
        <v>92.31</v>
      </c>
      <c r="BM67" s="391"/>
      <c r="BN67" s="403">
        <v>91.11</v>
      </c>
      <c r="BO67" s="403">
        <v>89.04</v>
      </c>
      <c r="BP67" s="400">
        <v>80</v>
      </c>
      <c r="BQ67" s="400">
        <v>69.23</v>
      </c>
      <c r="BR67" s="391"/>
      <c r="BS67" s="400">
        <v>84.97</v>
      </c>
      <c r="BT67" s="403">
        <v>91.8</v>
      </c>
      <c r="BU67" s="404">
        <v>25</v>
      </c>
      <c r="BV67" s="403">
        <v>94.92</v>
      </c>
      <c r="BW67" s="400">
        <v>76.67</v>
      </c>
      <c r="BX67" s="391"/>
    </row>
    <row r="68" spans="1:76">
      <c r="A68" s="422" t="s">
        <v>164</v>
      </c>
      <c r="B68" s="423"/>
      <c r="C68" s="424"/>
      <c r="D68" s="405">
        <v>83.01</v>
      </c>
      <c r="E68" s="405">
        <v>77.7</v>
      </c>
      <c r="F68" s="405">
        <v>78.569999999999993</v>
      </c>
      <c r="G68" s="405">
        <v>62</v>
      </c>
      <c r="H68" s="405">
        <v>5.3100000000000023</v>
      </c>
      <c r="I68" s="405">
        <v>4.4400000000000119</v>
      </c>
      <c r="J68" s="405">
        <v>21.010000000000005</v>
      </c>
      <c r="K68" s="391"/>
      <c r="L68" s="405">
        <v>84.48</v>
      </c>
      <c r="M68" s="405">
        <v>83.12</v>
      </c>
      <c r="N68" s="405">
        <v>81.96</v>
      </c>
      <c r="O68" s="405">
        <v>86.69</v>
      </c>
      <c r="P68" s="405">
        <v>74.66</v>
      </c>
      <c r="Q68" s="391"/>
      <c r="R68" s="405">
        <v>82.52</v>
      </c>
      <c r="S68" s="405">
        <v>83.76</v>
      </c>
      <c r="T68" s="391"/>
      <c r="U68" s="406" t="s">
        <v>800</v>
      </c>
      <c r="V68" s="405">
        <v>90.8</v>
      </c>
      <c r="W68" s="405">
        <v>83.75</v>
      </c>
      <c r="X68" s="405">
        <v>81.75</v>
      </c>
      <c r="Y68" s="405">
        <v>84.59</v>
      </c>
      <c r="Z68" s="391"/>
      <c r="AA68" s="405">
        <v>91.59</v>
      </c>
      <c r="AB68" s="405">
        <v>83.34</v>
      </c>
      <c r="AC68" s="405">
        <v>85.47</v>
      </c>
      <c r="AD68" s="405">
        <v>83.28</v>
      </c>
      <c r="AE68" s="405">
        <v>82.12</v>
      </c>
      <c r="AF68" s="391"/>
      <c r="AG68" s="405">
        <v>83.33</v>
      </c>
      <c r="AH68" s="405">
        <v>83.1</v>
      </c>
      <c r="AI68" s="405">
        <v>81.81</v>
      </c>
      <c r="AJ68" s="405">
        <v>85.58</v>
      </c>
      <c r="AK68" s="405">
        <v>86.03</v>
      </c>
      <c r="AL68" s="405">
        <v>95.11</v>
      </c>
      <c r="AM68" s="391"/>
      <c r="AN68" s="405">
        <v>82.94</v>
      </c>
      <c r="AO68" s="405">
        <v>98.52</v>
      </c>
      <c r="AP68" s="391"/>
      <c r="AQ68" s="405">
        <v>79.77</v>
      </c>
      <c r="AR68" s="406" t="s">
        <v>800</v>
      </c>
      <c r="AS68" s="405">
        <v>87.02</v>
      </c>
      <c r="AT68" s="405">
        <v>76.08</v>
      </c>
      <c r="AU68" s="405">
        <v>83.62</v>
      </c>
      <c r="AV68" s="405">
        <v>94.09</v>
      </c>
      <c r="AW68" s="405">
        <v>83.11</v>
      </c>
      <c r="AX68" s="405">
        <v>82.13</v>
      </c>
      <c r="AY68" s="405">
        <v>82.38</v>
      </c>
      <c r="AZ68" s="405">
        <v>85.94</v>
      </c>
      <c r="BA68" s="391"/>
      <c r="BB68" s="405">
        <v>79.77</v>
      </c>
      <c r="BC68" s="406" t="s">
        <v>800</v>
      </c>
      <c r="BD68" s="405">
        <v>87.02</v>
      </c>
      <c r="BE68" s="405">
        <v>76.08</v>
      </c>
      <c r="BF68" s="405">
        <v>83.62</v>
      </c>
      <c r="BG68" s="391"/>
      <c r="BH68" s="405">
        <v>94.09</v>
      </c>
      <c r="BI68" s="405">
        <v>83.11</v>
      </c>
      <c r="BJ68" s="405">
        <v>82.13</v>
      </c>
      <c r="BK68" s="405">
        <v>82.38</v>
      </c>
      <c r="BL68" s="405">
        <v>85.94</v>
      </c>
      <c r="BM68" s="391"/>
      <c r="BN68" s="405">
        <v>86.33</v>
      </c>
      <c r="BO68" s="405">
        <v>77.3</v>
      </c>
      <c r="BP68" s="405">
        <v>72.58</v>
      </c>
      <c r="BQ68" s="405">
        <v>54.02</v>
      </c>
      <c r="BR68" s="391"/>
      <c r="BS68" s="405">
        <v>82.02</v>
      </c>
      <c r="BT68" s="405">
        <v>83.15</v>
      </c>
      <c r="BU68" s="405">
        <v>32.54</v>
      </c>
      <c r="BV68" s="405">
        <v>86.8</v>
      </c>
      <c r="BW68" s="405">
        <v>68.819999999999993</v>
      </c>
      <c r="BX68" s="391"/>
    </row>
    <row r="69" spans="1:76">
      <c r="A69" s="408"/>
      <c r="B69" s="408"/>
      <c r="C69" s="408"/>
      <c r="D69" s="408"/>
      <c r="E69" s="408"/>
      <c r="F69" s="408"/>
      <c r="G69" s="408"/>
      <c r="H69" s="408"/>
      <c r="I69" s="408"/>
      <c r="J69" s="408"/>
      <c r="K69" s="408"/>
      <c r="L69" s="408"/>
      <c r="M69" s="408"/>
      <c r="N69" s="408"/>
      <c r="O69" s="408"/>
      <c r="P69" s="408"/>
      <c r="Q69" s="408"/>
      <c r="R69" s="408"/>
      <c r="S69" s="408"/>
      <c r="T69" s="408"/>
      <c r="U69" s="408"/>
      <c r="V69" s="408"/>
      <c r="W69" s="408"/>
      <c r="X69" s="408"/>
      <c r="Y69" s="408"/>
      <c r="Z69" s="408"/>
      <c r="AA69" s="408"/>
      <c r="AB69" s="408"/>
      <c r="AC69" s="408"/>
      <c r="AD69" s="408"/>
      <c r="AE69" s="408"/>
      <c r="AF69" s="408"/>
      <c r="AG69" s="408"/>
      <c r="AH69" s="408"/>
      <c r="AI69" s="408"/>
      <c r="AJ69" s="408"/>
      <c r="AK69" s="408"/>
      <c r="AL69" s="408"/>
      <c r="AM69" s="408"/>
      <c r="AN69" s="408"/>
      <c r="AO69" s="408"/>
      <c r="AP69" s="408"/>
      <c r="AQ69" s="408"/>
      <c r="AR69" s="408"/>
      <c r="AS69" s="408"/>
      <c r="AT69" s="408"/>
      <c r="AU69" s="408"/>
      <c r="AV69" s="408"/>
      <c r="AW69" s="408"/>
      <c r="AX69" s="408"/>
      <c r="AY69" s="408"/>
      <c r="AZ69" s="408"/>
      <c r="BB69" s="408"/>
      <c r="BC69" s="408"/>
      <c r="BD69" s="408"/>
      <c r="BE69" s="408"/>
      <c r="BF69" s="408"/>
      <c r="BH69" s="408"/>
      <c r="BI69" s="408"/>
      <c r="BJ69" s="408"/>
      <c r="BK69" s="408"/>
      <c r="BL69" s="408"/>
    </row>
    <row r="70" spans="1:76">
      <c r="A70" s="408"/>
      <c r="B70" s="408"/>
      <c r="C70" s="409" t="s">
        <v>853</v>
      </c>
      <c r="D70" s="410" t="s">
        <v>472</v>
      </c>
      <c r="E70" s="408"/>
      <c r="F70" s="403"/>
      <c r="G70" s="410" t="s">
        <v>484</v>
      </c>
      <c r="H70" s="408"/>
      <c r="I70" s="401"/>
      <c r="J70" s="410" t="s">
        <v>485</v>
      </c>
      <c r="L70" s="408"/>
      <c r="M70" s="408"/>
      <c r="N70" s="408"/>
      <c r="O70" s="408"/>
      <c r="P70" s="408"/>
      <c r="Q70" s="408"/>
      <c r="R70" s="408"/>
      <c r="S70" s="408"/>
      <c r="T70" s="408"/>
      <c r="U70" s="408"/>
      <c r="V70" s="408"/>
      <c r="W70" s="408"/>
      <c r="X70" s="408"/>
      <c r="Y70" s="408"/>
      <c r="Z70" s="408"/>
      <c r="AA70" s="408"/>
      <c r="AB70" s="408"/>
      <c r="AC70" s="408"/>
      <c r="AD70" s="408"/>
      <c r="AE70" s="408"/>
      <c r="AF70" s="408"/>
      <c r="AG70" s="408"/>
      <c r="AH70" s="408"/>
      <c r="AI70" s="408"/>
      <c r="AJ70" s="408"/>
      <c r="AK70" s="408"/>
      <c r="AL70" s="408"/>
      <c r="AM70" s="408"/>
      <c r="AN70" s="408"/>
      <c r="AO70" s="408"/>
      <c r="AP70" s="408"/>
      <c r="AQ70" s="408"/>
      <c r="AR70" s="408"/>
      <c r="AS70" s="408"/>
      <c r="AT70" s="408"/>
      <c r="AU70" s="408"/>
      <c r="AV70" s="408"/>
      <c r="AW70" s="408"/>
      <c r="AX70" s="408"/>
      <c r="AY70" s="408"/>
      <c r="AZ70" s="408"/>
      <c r="BA70" s="408"/>
      <c r="BB70" s="408"/>
      <c r="BC70" s="408"/>
      <c r="BD70" s="408"/>
      <c r="BE70" s="408"/>
      <c r="BF70" s="408"/>
      <c r="BG70" s="408"/>
      <c r="BH70" s="408"/>
      <c r="BI70" s="408"/>
      <c r="BJ70" s="408"/>
      <c r="BK70" s="408"/>
      <c r="BL70" s="408"/>
      <c r="BM70" s="408"/>
      <c r="BN70" s="408"/>
      <c r="BO70" s="408"/>
      <c r="BP70" s="408"/>
      <c r="BQ70" s="408"/>
      <c r="BR70" s="408"/>
      <c r="BS70" s="408"/>
      <c r="BT70" s="408"/>
      <c r="BU70" s="408"/>
      <c r="BV70" s="408"/>
      <c r="BW70" s="408"/>
    </row>
    <row r="71" spans="1:76">
      <c r="A71" s="408"/>
      <c r="B71" s="408"/>
      <c r="C71" s="408"/>
      <c r="D71" s="408"/>
      <c r="E71" s="408"/>
      <c r="F71" s="400"/>
      <c r="G71" s="410" t="s">
        <v>486</v>
      </c>
      <c r="I71" s="404"/>
      <c r="J71" s="410" t="s">
        <v>487</v>
      </c>
      <c r="L71" s="408"/>
      <c r="M71" s="408"/>
      <c r="N71" s="408"/>
      <c r="O71" s="408"/>
      <c r="P71" s="408"/>
      <c r="Q71" s="408"/>
      <c r="R71" s="408"/>
      <c r="S71" s="408"/>
      <c r="T71" s="408"/>
      <c r="U71" s="408"/>
      <c r="V71" s="408"/>
      <c r="W71" s="408"/>
      <c r="X71" s="408"/>
      <c r="Y71" s="408"/>
      <c r="Z71" s="408"/>
      <c r="AA71" s="408"/>
      <c r="AB71" s="408"/>
      <c r="AC71" s="408"/>
      <c r="AD71" s="408"/>
      <c r="AE71" s="408"/>
      <c r="AF71" s="408"/>
      <c r="AG71" s="408"/>
      <c r="AH71" s="408"/>
      <c r="AI71" s="408"/>
      <c r="AJ71" s="408"/>
      <c r="AK71" s="408"/>
      <c r="AL71" s="408"/>
      <c r="AM71" s="408"/>
      <c r="AN71" s="408"/>
      <c r="AO71" s="408"/>
      <c r="AP71" s="408"/>
      <c r="AQ71" s="408"/>
      <c r="AR71" s="408"/>
      <c r="AS71" s="408"/>
      <c r="AT71" s="408"/>
      <c r="BB71" s="408"/>
      <c r="BC71" s="408"/>
      <c r="BD71" s="408"/>
      <c r="BE71" s="408"/>
    </row>
    <row r="72" spans="1:76">
      <c r="A72" s="408"/>
      <c r="B72" s="408"/>
      <c r="C72" s="408"/>
      <c r="D72" s="408"/>
      <c r="E72" s="408"/>
      <c r="F72" s="408"/>
      <c r="G72" s="408"/>
      <c r="H72" s="408"/>
      <c r="I72" s="408"/>
      <c r="J72" s="408"/>
      <c r="K72" s="408"/>
      <c r="L72" s="408"/>
      <c r="M72" s="408"/>
      <c r="N72" s="408"/>
      <c r="O72" s="408"/>
      <c r="P72" s="408"/>
      <c r="Q72" s="408"/>
      <c r="R72" s="408"/>
      <c r="S72" s="408"/>
      <c r="T72" s="408"/>
      <c r="U72" s="408"/>
      <c r="V72" s="408"/>
      <c r="W72" s="408"/>
      <c r="X72" s="408"/>
      <c r="Y72" s="408"/>
      <c r="Z72" s="408"/>
      <c r="AA72" s="408"/>
      <c r="AB72" s="408"/>
      <c r="AC72" s="408"/>
      <c r="AD72" s="408"/>
      <c r="AE72" s="408"/>
      <c r="AF72" s="408"/>
      <c r="AG72" s="408"/>
      <c r="AH72" s="408"/>
      <c r="AI72" s="408"/>
      <c r="AJ72" s="408"/>
      <c r="AK72" s="408"/>
      <c r="AL72" s="408"/>
      <c r="AM72" s="408"/>
      <c r="AN72" s="408"/>
      <c r="AO72" s="408"/>
      <c r="AP72" s="408"/>
      <c r="AQ72" s="408"/>
      <c r="AR72" s="408"/>
      <c r="AS72" s="408"/>
      <c r="AT72" s="408"/>
      <c r="AU72" s="408"/>
      <c r="AV72" s="408"/>
      <c r="AW72" s="408"/>
      <c r="AX72" s="408"/>
      <c r="AY72" s="408"/>
      <c r="AZ72" s="408"/>
      <c r="BB72" s="408"/>
      <c r="BC72" s="408"/>
      <c r="BD72" s="408"/>
      <c r="BE72" s="408"/>
      <c r="BF72" s="408"/>
      <c r="BH72" s="408"/>
      <c r="BI72" s="408"/>
      <c r="BJ72" s="408"/>
      <c r="BK72" s="408"/>
      <c r="BL72" s="408"/>
    </row>
    <row r="73" spans="1:76">
      <c r="A73" s="408"/>
      <c r="B73" s="408"/>
      <c r="C73" s="411" t="s">
        <v>473</v>
      </c>
      <c r="D73" s="408"/>
      <c r="E73" s="408"/>
      <c r="F73" s="408"/>
      <c r="G73" s="408"/>
      <c r="H73" s="408"/>
      <c r="I73" s="408"/>
      <c r="J73" s="408"/>
      <c r="K73" s="408"/>
      <c r="L73" s="408"/>
      <c r="M73" s="408"/>
      <c r="N73" s="408"/>
      <c r="O73" s="408"/>
      <c r="P73" s="408"/>
      <c r="Q73" s="408"/>
      <c r="R73" s="408"/>
      <c r="S73" s="408"/>
      <c r="T73" s="408"/>
      <c r="U73" s="408"/>
      <c r="V73" s="408"/>
      <c r="W73" s="408"/>
      <c r="X73" s="408"/>
      <c r="Y73" s="408"/>
      <c r="Z73" s="408"/>
      <c r="AA73" s="408"/>
      <c r="AB73" s="408"/>
      <c r="AC73" s="408"/>
      <c r="AD73" s="408"/>
      <c r="AE73" s="408"/>
      <c r="AF73" s="408"/>
      <c r="AG73" s="408"/>
      <c r="AH73" s="408"/>
      <c r="AI73" s="408"/>
      <c r="AJ73" s="408"/>
      <c r="AK73" s="408"/>
      <c r="AL73" s="408"/>
      <c r="AM73" s="408"/>
      <c r="AN73" s="408"/>
      <c r="AO73" s="408"/>
      <c r="AP73" s="408"/>
      <c r="AQ73" s="408"/>
      <c r="AR73" s="408"/>
      <c r="AS73" s="408"/>
      <c r="AT73" s="408"/>
      <c r="BB73" s="408"/>
      <c r="BC73" s="408"/>
      <c r="BD73" s="408"/>
      <c r="BE73" s="408"/>
    </row>
    <row r="74" spans="1:76">
      <c r="A74" s="408"/>
      <c r="B74" s="408"/>
      <c r="C74" s="411" t="s">
        <v>474</v>
      </c>
      <c r="D74" s="408"/>
      <c r="E74" s="408"/>
      <c r="F74" s="408"/>
      <c r="G74" s="408"/>
      <c r="H74" s="408"/>
      <c r="I74" s="408"/>
      <c r="J74" s="408"/>
      <c r="K74" s="408"/>
      <c r="L74" s="408"/>
      <c r="M74" s="408"/>
      <c r="N74" s="408"/>
      <c r="O74" s="408"/>
      <c r="P74" s="408"/>
      <c r="Q74" s="408"/>
      <c r="R74" s="408"/>
      <c r="S74" s="408"/>
      <c r="T74" s="408"/>
      <c r="U74" s="408"/>
      <c r="V74" s="408"/>
      <c r="W74" s="408"/>
      <c r="X74" s="408"/>
      <c r="Y74" s="408"/>
      <c r="Z74" s="408"/>
      <c r="AA74" s="408"/>
      <c r="AB74" s="408"/>
      <c r="AC74" s="408"/>
      <c r="AD74" s="408"/>
      <c r="AE74" s="408"/>
      <c r="AF74" s="408"/>
      <c r="AG74" s="408"/>
      <c r="AH74" s="408"/>
      <c r="AI74" s="408"/>
      <c r="AJ74" s="408"/>
      <c r="AK74" s="408"/>
      <c r="AL74" s="408"/>
      <c r="AM74" s="408"/>
      <c r="AN74" s="408"/>
      <c r="AO74" s="408"/>
      <c r="AP74" s="408"/>
      <c r="AQ74" s="408"/>
      <c r="AR74" s="408"/>
      <c r="AS74" s="408"/>
      <c r="AT74" s="408"/>
      <c r="BB74" s="408"/>
      <c r="BC74" s="408"/>
      <c r="BD74" s="408"/>
      <c r="BE74" s="408"/>
    </row>
    <row r="75" spans="1:76">
      <c r="A75" s="408"/>
      <c r="B75" s="408"/>
      <c r="C75" s="408"/>
      <c r="D75" s="408"/>
      <c r="E75" s="408"/>
      <c r="F75" s="408"/>
      <c r="G75" s="408"/>
      <c r="H75" s="408"/>
      <c r="I75" s="408"/>
      <c r="J75" s="408"/>
      <c r="K75" s="408"/>
      <c r="L75" s="408"/>
      <c r="M75" s="408"/>
      <c r="N75" s="408"/>
      <c r="O75" s="408"/>
      <c r="P75" s="408"/>
      <c r="Q75" s="408"/>
      <c r="R75" s="408"/>
      <c r="S75" s="408"/>
      <c r="T75" s="408"/>
      <c r="U75" s="408"/>
      <c r="V75" s="408"/>
      <c r="W75" s="408"/>
      <c r="X75" s="408"/>
      <c r="Y75" s="408"/>
    </row>
    <row r="76" spans="1:76">
      <c r="A76" s="408"/>
      <c r="B76" s="408"/>
      <c r="C76" s="408"/>
      <c r="D76" s="408"/>
      <c r="E76" s="408"/>
      <c r="F76" s="408"/>
      <c r="G76" s="408"/>
      <c r="H76" s="408"/>
      <c r="I76" s="408"/>
      <c r="J76" s="408"/>
      <c r="K76" s="408"/>
      <c r="L76" s="408"/>
      <c r="M76" s="408"/>
      <c r="N76" s="408"/>
      <c r="O76" s="408"/>
      <c r="P76" s="408"/>
      <c r="Q76" s="408"/>
      <c r="R76" s="408"/>
      <c r="S76" s="408"/>
      <c r="T76" s="408"/>
      <c r="U76" s="408"/>
      <c r="V76" s="408"/>
      <c r="W76" s="408"/>
      <c r="X76" s="408"/>
      <c r="Y76" s="408"/>
      <c r="Z76" s="408"/>
      <c r="AA76" s="408"/>
      <c r="AB76" s="408"/>
      <c r="AC76" s="408"/>
      <c r="AD76" s="408"/>
    </row>
  </sheetData>
  <mergeCells count="25">
    <mergeCell ref="A33:C33"/>
    <mergeCell ref="AG1:AL1"/>
    <mergeCell ref="AN1:AO1"/>
    <mergeCell ref="AQ1:AZ1"/>
    <mergeCell ref="BB1:BF1"/>
    <mergeCell ref="A1:B1"/>
    <mergeCell ref="D1:J1"/>
    <mergeCell ref="L1:P1"/>
    <mergeCell ref="R1:S1"/>
    <mergeCell ref="U1:Y1"/>
    <mergeCell ref="AA1:AE1"/>
    <mergeCell ref="BS1:BW1"/>
    <mergeCell ref="A2:C2"/>
    <mergeCell ref="A5:A18"/>
    <mergeCell ref="A19:C19"/>
    <mergeCell ref="A20:A32"/>
    <mergeCell ref="BH1:BL1"/>
    <mergeCell ref="BN1:BQ1"/>
    <mergeCell ref="A68:C68"/>
    <mergeCell ref="A34:A45"/>
    <mergeCell ref="A46:C46"/>
    <mergeCell ref="A47:A54"/>
    <mergeCell ref="A55:C55"/>
    <mergeCell ref="A56:A65"/>
    <mergeCell ref="A66:C66"/>
  </mergeCells>
  <pageMargins left="0.75" right="0.75" top="1" bottom="1" header="0.5" footer="0.5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2:L48"/>
  <sheetViews>
    <sheetView showGridLines="0" zoomScaleNormal="100" workbookViewId="0">
      <selection activeCell="A2" sqref="A2:B8"/>
    </sheetView>
  </sheetViews>
  <sheetFormatPr baseColWidth="10" defaultColWidth="11.42578125" defaultRowHeight="14.25"/>
  <cols>
    <col min="1" max="1" width="36" style="5" customWidth="1"/>
    <col min="2" max="2" width="12.5703125" style="15" customWidth="1"/>
    <col min="3" max="4" width="11.42578125" style="5"/>
    <col min="5" max="5" width="15.28515625" style="5" customWidth="1"/>
    <col min="6" max="7" width="11.42578125" style="5"/>
    <col min="8" max="8" width="15" style="5" bestFit="1" customWidth="1"/>
    <col min="9" max="9" width="9.140625" style="5" bestFit="1" customWidth="1"/>
    <col min="10" max="16384" width="11.42578125" style="5"/>
  </cols>
  <sheetData>
    <row r="2" spans="1:9" ht="45" customHeight="1">
      <c r="A2" s="6" t="s">
        <v>227</v>
      </c>
      <c r="B2" s="7">
        <v>2017</v>
      </c>
      <c r="C2" s="8"/>
    </row>
    <row r="3" spans="1:9" ht="33.950000000000003" customHeight="1">
      <c r="A3" s="9" t="s">
        <v>228</v>
      </c>
      <c r="B3" s="10">
        <v>5000</v>
      </c>
      <c r="C3" s="8" t="s">
        <v>211</v>
      </c>
    </row>
    <row r="4" spans="1:9" ht="33.950000000000003" customHeight="1">
      <c r="A4" s="11" t="s">
        <v>2</v>
      </c>
      <c r="B4" s="12">
        <v>563</v>
      </c>
    </row>
    <row r="5" spans="1:9" ht="33.950000000000003" customHeight="1">
      <c r="A5" s="11" t="s">
        <v>229</v>
      </c>
      <c r="B5" s="13">
        <f>B4/B3</f>
        <v>0.11260000000000001</v>
      </c>
    </row>
    <row r="6" spans="1:9" ht="33.950000000000003" customHeight="1">
      <c r="A6" s="11" t="str">
        <f>"Margen de error ("&amp;TEXT(VLOOKUP(F30,$H$14:$I$17,2,0),0&amp;"%")&amp;" Conf.)"</f>
        <v>Margen de error (95% Conf.)</v>
      </c>
      <c r="B6" s="13">
        <f>F41</f>
        <v>3.8907344505673042E-2</v>
      </c>
    </row>
    <row r="7" spans="1:9" ht="33.950000000000003" customHeight="1">
      <c r="A7" s="14" t="s">
        <v>230</v>
      </c>
      <c r="B7" s="377">
        <v>42193</v>
      </c>
      <c r="C7" s="8" t="s">
        <v>211</v>
      </c>
    </row>
    <row r="8" spans="1:9" ht="33.950000000000003" customHeight="1">
      <c r="A8" s="11" t="s">
        <v>231</v>
      </c>
      <c r="B8" s="12" t="s">
        <v>291</v>
      </c>
      <c r="C8" s="8" t="s">
        <v>211</v>
      </c>
    </row>
    <row r="10" spans="1:9" ht="23.25">
      <c r="E10" s="16" t="s">
        <v>134</v>
      </c>
    </row>
    <row r="12" spans="1:9">
      <c r="E12" s="434" t="s">
        <v>135</v>
      </c>
      <c r="F12" s="434"/>
      <c r="H12" s="435" t="s">
        <v>136</v>
      </c>
      <c r="I12" s="435"/>
    </row>
    <row r="13" spans="1:9">
      <c r="E13" s="17" t="s">
        <v>137</v>
      </c>
      <c r="F13" s="17">
        <v>1.96</v>
      </c>
      <c r="H13" s="18" t="s">
        <v>137</v>
      </c>
      <c r="I13" s="18" t="s">
        <v>138</v>
      </c>
    </row>
    <row r="14" spans="1:9">
      <c r="E14" s="17" t="s">
        <v>139</v>
      </c>
      <c r="F14" s="17">
        <v>0.05</v>
      </c>
      <c r="G14" s="5">
        <v>1</v>
      </c>
      <c r="H14" s="18">
        <v>1.282</v>
      </c>
      <c r="I14" s="19">
        <v>0.8</v>
      </c>
    </row>
    <row r="15" spans="1:9">
      <c r="E15" s="17" t="s">
        <v>140</v>
      </c>
      <c r="F15" s="17">
        <v>0.5</v>
      </c>
      <c r="G15" s="5">
        <v>2</v>
      </c>
      <c r="H15" s="18">
        <v>1.44</v>
      </c>
      <c r="I15" s="19">
        <v>0.85</v>
      </c>
    </row>
    <row r="16" spans="1:9">
      <c r="E16" s="17" t="s">
        <v>141</v>
      </c>
      <c r="F16" s="17">
        <v>0.5</v>
      </c>
      <c r="G16" s="5">
        <v>3</v>
      </c>
      <c r="H16" s="17">
        <v>1.65</v>
      </c>
      <c r="I16" s="20">
        <v>0.9</v>
      </c>
    </row>
    <row r="17" spans="4:9">
      <c r="E17" s="21" t="s">
        <v>142</v>
      </c>
      <c r="F17" s="21">
        <v>115</v>
      </c>
      <c r="G17" s="5">
        <v>4</v>
      </c>
      <c r="H17" s="17">
        <v>1.96</v>
      </c>
      <c r="I17" s="20">
        <v>0.95</v>
      </c>
    </row>
    <row r="19" spans="4:9">
      <c r="E19" s="435" t="s">
        <v>143</v>
      </c>
      <c r="F19" s="435"/>
    </row>
    <row r="20" spans="4:9">
      <c r="E20" s="17" t="s">
        <v>144</v>
      </c>
      <c r="F20" s="17">
        <f>+(F15*F16)</f>
        <v>0.25</v>
      </c>
    </row>
    <row r="21" spans="4:9">
      <c r="E21" s="17" t="s">
        <v>145</v>
      </c>
      <c r="F21" s="22">
        <f>+F14/F13</f>
        <v>2.5510204081632654E-2</v>
      </c>
    </row>
    <row r="22" spans="4:9">
      <c r="E22" s="17" t="s">
        <v>146</v>
      </c>
      <c r="F22" s="22">
        <f>+F21*F21</f>
        <v>6.5077051228654734E-4</v>
      </c>
    </row>
    <row r="23" spans="4:9">
      <c r="E23" s="17" t="s">
        <v>147</v>
      </c>
      <c r="F23" s="17">
        <f>+F20/F17</f>
        <v>2.1739130434782609E-3</v>
      </c>
    </row>
    <row r="24" spans="4:9" ht="15" thickBot="1">
      <c r="E24" s="23" t="s">
        <v>148</v>
      </c>
      <c r="F24" s="24">
        <f>+F20/(F22+F23)</f>
        <v>88.505489221892788</v>
      </c>
    </row>
    <row r="25" spans="4:9" ht="15" thickBot="1">
      <c r="E25" s="23" t="s">
        <v>149</v>
      </c>
      <c r="F25" s="24">
        <f>+F24*2</f>
        <v>177.01097844378558</v>
      </c>
      <c r="H25" s="25" t="s">
        <v>150</v>
      </c>
      <c r="I25" s="26">
        <f>0.5*0.5/((0.05/1.96)^2+0.5*0.5/275)</f>
        <v>160.2706474907458</v>
      </c>
    </row>
    <row r="27" spans="4:9" ht="23.25">
      <c r="E27" s="16" t="s">
        <v>151</v>
      </c>
    </row>
    <row r="29" spans="4:9">
      <c r="E29" s="434" t="s">
        <v>135</v>
      </c>
      <c r="F29" s="434"/>
      <c r="H29" s="434" t="s">
        <v>135</v>
      </c>
      <c r="I29" s="434"/>
    </row>
    <row r="30" spans="4:9">
      <c r="D30" s="27">
        <v>4</v>
      </c>
      <c r="E30" s="17" t="s">
        <v>137</v>
      </c>
      <c r="F30" s="17">
        <f>VLOOKUP(D30,$G$14:$H$17,2,0)</f>
        <v>1.96</v>
      </c>
      <c r="H30" s="17" t="s">
        <v>137</v>
      </c>
      <c r="I30" s="17">
        <v>1.96</v>
      </c>
    </row>
    <row r="31" spans="4:9">
      <c r="E31" s="17" t="s">
        <v>140</v>
      </c>
      <c r="F31" s="17">
        <v>0.5</v>
      </c>
      <c r="H31" s="17" t="s">
        <v>140</v>
      </c>
      <c r="I31" s="17">
        <v>0.5</v>
      </c>
    </row>
    <row r="32" spans="4:9" ht="15" thickBot="1">
      <c r="E32" s="17" t="s">
        <v>141</v>
      </c>
      <c r="F32" s="17">
        <v>0.5</v>
      </c>
      <c r="H32" s="17" t="s">
        <v>141</v>
      </c>
      <c r="I32" s="17">
        <v>0.5</v>
      </c>
    </row>
    <row r="33" spans="5:12" ht="15" thickBot="1">
      <c r="E33" s="21" t="s">
        <v>142</v>
      </c>
      <c r="F33" s="21">
        <f>$B$3</f>
        <v>5000</v>
      </c>
      <c r="H33" s="21" t="s">
        <v>142</v>
      </c>
      <c r="I33" s="21">
        <f>$B$3</f>
        <v>5000</v>
      </c>
      <c r="L33" s="28">
        <f>1.65*SQRT(0.5*0.5*(1/50-1/100))</f>
        <v>8.2500000000000004E-2</v>
      </c>
    </row>
    <row r="34" spans="5:12">
      <c r="E34" s="21" t="s">
        <v>148</v>
      </c>
      <c r="F34" s="21">
        <f>$B$4</f>
        <v>563</v>
      </c>
      <c r="H34" s="21" t="s">
        <v>148</v>
      </c>
      <c r="I34" s="21">
        <f>$B$4</f>
        <v>563</v>
      </c>
    </row>
    <row r="36" spans="5:12">
      <c r="E36" s="435" t="s">
        <v>143</v>
      </c>
      <c r="F36" s="435"/>
      <c r="H36" s="435" t="s">
        <v>143</v>
      </c>
      <c r="I36" s="435"/>
    </row>
    <row r="37" spans="5:12">
      <c r="E37" s="17" t="s">
        <v>144</v>
      </c>
      <c r="F37" s="17">
        <f>+(F31*F32)</f>
        <v>0.25</v>
      </c>
      <c r="H37" s="17" t="s">
        <v>144</v>
      </c>
      <c r="I37" s="17">
        <f>+(I31*I32)</f>
        <v>0.25</v>
      </c>
    </row>
    <row r="38" spans="5:12">
      <c r="E38" s="17" t="s">
        <v>152</v>
      </c>
      <c r="F38" s="22">
        <f>1/F34-1/F33</f>
        <v>1.5761989342806394E-3</v>
      </c>
      <c r="H38" s="17" t="s">
        <v>152</v>
      </c>
      <c r="I38" s="22">
        <f>1/I34-1/I33</f>
        <v>1.5761989342806394E-3</v>
      </c>
    </row>
    <row r="39" spans="5:12">
      <c r="E39" s="17" t="s">
        <v>153</v>
      </c>
      <c r="F39" s="22">
        <f>+F37*F38</f>
        <v>3.9404973357015985E-4</v>
      </c>
      <c r="H39" s="17" t="s">
        <v>153</v>
      </c>
      <c r="I39" s="22">
        <f>+I37*I38</f>
        <v>3.9404973357015985E-4</v>
      </c>
    </row>
    <row r="40" spans="5:12" ht="15" thickBot="1">
      <c r="E40" s="17" t="s">
        <v>154</v>
      </c>
      <c r="F40" s="17">
        <f>SQRT(F39)</f>
        <v>1.9850685972282164E-2</v>
      </c>
      <c r="H40" s="17" t="s">
        <v>154</v>
      </c>
      <c r="I40" s="17">
        <f>SQRT(I39)</f>
        <v>1.9850685972282164E-2</v>
      </c>
    </row>
    <row r="41" spans="5:12" ht="15" thickBot="1">
      <c r="E41" s="23" t="s">
        <v>155</v>
      </c>
      <c r="F41" s="29">
        <f>+F40*F30</f>
        <v>3.8907344505673042E-2</v>
      </c>
      <c r="H41" s="23" t="s">
        <v>155</v>
      </c>
      <c r="I41" s="29">
        <f>+I40*I30</f>
        <v>3.8907344505673042E-2</v>
      </c>
      <c r="K41" s="25" t="s">
        <v>156</v>
      </c>
    </row>
    <row r="44" spans="5:12" ht="15" thickBot="1"/>
    <row r="45" spans="5:12" ht="18.75">
      <c r="E45" s="30"/>
    </row>
    <row r="46" spans="5:12">
      <c r="E46" s="31">
        <f>+F33</f>
        <v>5000</v>
      </c>
    </row>
    <row r="47" spans="5:12">
      <c r="E47" s="31">
        <f>+F34</f>
        <v>563</v>
      </c>
    </row>
    <row r="48" spans="5:12" ht="15" thickBot="1">
      <c r="E48" s="32">
        <f>E47/E46*100</f>
        <v>11.26</v>
      </c>
    </row>
  </sheetData>
  <mergeCells count="7">
    <mergeCell ref="E12:F12"/>
    <mergeCell ref="H12:I12"/>
    <mergeCell ref="E19:F19"/>
    <mergeCell ref="E29:F29"/>
    <mergeCell ref="E36:F36"/>
    <mergeCell ref="H29:I29"/>
    <mergeCell ref="H36:I36"/>
  </mergeCells>
  <pageMargins left="0.75" right="0.75" top="1" bottom="1" header="0" footer="0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Spinner 1">
              <controlPr defaultSize="0" autoPict="0">
                <anchor moveWithCells="1" sizeWithCells="1">
                  <from>
                    <xdr:col>3</xdr:col>
                    <xdr:colOff>38100</xdr:colOff>
                    <xdr:row>28</xdr:row>
                    <xdr:rowOff>114300</xdr:rowOff>
                  </from>
                  <to>
                    <xdr:col>3</xdr:col>
                    <xdr:colOff>695325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S83"/>
  <sheetViews>
    <sheetView showGridLines="0" topLeftCell="E1" zoomScale="80" zoomScaleNormal="80" workbookViewId="0">
      <selection activeCell="A58" sqref="A58:H68"/>
    </sheetView>
  </sheetViews>
  <sheetFormatPr baseColWidth="10" defaultColWidth="11.42578125" defaultRowHeight="14.25"/>
  <cols>
    <col min="1" max="1" width="9.28515625" style="165" customWidth="1"/>
    <col min="2" max="2" width="25.28515625" style="34" customWidth="1"/>
    <col min="3" max="3" width="4.140625" style="34" customWidth="1"/>
    <col min="4" max="4" width="97.7109375" style="34" customWidth="1"/>
    <col min="5" max="8" width="16.42578125" style="34" customWidth="1"/>
    <col min="9" max="10" width="11.42578125" style="34"/>
    <col min="11" max="11" width="11.85546875" style="34" bestFit="1" customWidth="1"/>
    <col min="12" max="12" width="28.140625" style="36" customWidth="1"/>
    <col min="13" max="13" width="14.5703125" style="36" customWidth="1"/>
    <col min="14" max="14" width="11.42578125" style="37"/>
    <col min="15" max="15" width="13" style="36" bestFit="1" customWidth="1"/>
    <col min="16" max="16384" width="11.42578125" style="34"/>
  </cols>
  <sheetData>
    <row r="1" spans="1:19" ht="34.5" customHeight="1" thickBot="1">
      <c r="A1" s="436" t="s">
        <v>184</v>
      </c>
      <c r="B1" s="436"/>
      <c r="C1" s="33" t="s">
        <v>183</v>
      </c>
      <c r="E1" s="35">
        <v>4</v>
      </c>
      <c r="F1" s="35">
        <v>5</v>
      </c>
      <c r="G1" s="35">
        <v>6</v>
      </c>
      <c r="H1" s="35">
        <v>7</v>
      </c>
      <c r="M1" s="37">
        <f>+F1</f>
        <v>5</v>
      </c>
      <c r="N1" s="37">
        <f>+E1</f>
        <v>4</v>
      </c>
      <c r="O1" s="37">
        <f>+G1</f>
        <v>6</v>
      </c>
      <c r="P1" s="15">
        <f>+H1</f>
        <v>7</v>
      </c>
    </row>
    <row r="2" spans="1:19" ht="24.6" customHeight="1" thickBot="1">
      <c r="A2" s="38" t="s">
        <v>3</v>
      </c>
      <c r="B2" s="39"/>
      <c r="C2" s="40"/>
      <c r="D2" s="39"/>
      <c r="E2" s="39"/>
      <c r="F2" s="39"/>
      <c r="G2" s="39"/>
      <c r="H2" s="39"/>
      <c r="I2" s="41"/>
      <c r="J2" s="41"/>
      <c r="K2" s="41"/>
      <c r="L2" s="42"/>
      <c r="M2" s="43">
        <f>F3</f>
        <v>2016</v>
      </c>
      <c r="N2" s="43">
        <f>E3</f>
        <v>2017</v>
      </c>
      <c r="O2" s="43" t="str">
        <f>G3</f>
        <v>BMK Mejores Argentina 2016</v>
      </c>
      <c r="P2" s="43" t="str">
        <f>H3</f>
        <v>Mercado 2016</v>
      </c>
      <c r="Q2" s="43" t="str">
        <f>+"Dif"&amp;N2&amp;"-"&amp;O2</f>
        <v>Dif2017-BMK Mejores Argentina 2016</v>
      </c>
      <c r="R2" s="43" t="str">
        <f>+"Dif"&amp;N2&amp;"-"&amp;P2</f>
        <v>Dif2017-Mercado 2016</v>
      </c>
    </row>
    <row r="3" spans="1:19" ht="35.1" customHeight="1" thickBot="1">
      <c r="A3" s="44" t="s">
        <v>67</v>
      </c>
      <c r="B3" s="45"/>
      <c r="C3" s="45" t="s">
        <v>68</v>
      </c>
      <c r="D3" s="45" t="s">
        <v>69</v>
      </c>
      <c r="E3" s="46">
        <v>2017</v>
      </c>
      <c r="F3" s="46">
        <v>2016</v>
      </c>
      <c r="G3" s="45" t="s">
        <v>848</v>
      </c>
      <c r="H3" s="45" t="s">
        <v>849</v>
      </c>
      <c r="L3" s="47" t="s">
        <v>126</v>
      </c>
      <c r="M3" s="48">
        <f>ROUND(AVERAGE(F4:F17),0)</f>
        <v>78</v>
      </c>
      <c r="N3" s="48">
        <f>ROUND(AVERAGE(E4:E17),0)</f>
        <v>83</v>
      </c>
      <c r="O3" s="48">
        <f t="shared" ref="O3:P3" si="0">ROUND(AVERAGE(G4:G17),0)</f>
        <v>79</v>
      </c>
      <c r="P3" s="48">
        <f t="shared" si="0"/>
        <v>61</v>
      </c>
      <c r="Q3" s="48">
        <f>+N3-O3</f>
        <v>4</v>
      </c>
      <c r="R3" s="48">
        <f>+N3-P3</f>
        <v>22</v>
      </c>
      <c r="S3" s="49"/>
    </row>
    <row r="4" spans="1:19" ht="27" customHeight="1">
      <c r="A4" s="486" t="s">
        <v>70</v>
      </c>
      <c r="B4" s="488" t="s">
        <v>71</v>
      </c>
      <c r="C4" s="50">
        <v>1</v>
      </c>
      <c r="D4" s="51" t="s">
        <v>4</v>
      </c>
      <c r="E4" s="52">
        <v>80.180000000000007</v>
      </c>
      <c r="F4" s="52">
        <v>75.95</v>
      </c>
      <c r="G4" s="52">
        <v>71.930000000000007</v>
      </c>
      <c r="H4" s="52">
        <v>54</v>
      </c>
      <c r="I4" s="53">
        <f>E4-F4</f>
        <v>4.230000000000004</v>
      </c>
      <c r="J4" s="54"/>
      <c r="K4" s="55"/>
      <c r="L4" s="56" t="s">
        <v>70</v>
      </c>
      <c r="M4" s="57">
        <f>ROUND(AVERAGE(F4:F7),0)</f>
        <v>79</v>
      </c>
      <c r="N4" s="57">
        <f>ROUND(AVERAGE(E4:E7),0)</f>
        <v>83</v>
      </c>
      <c r="O4" s="57">
        <f>ROUND(AVERAGE(G4:G7),0)</f>
        <v>78</v>
      </c>
      <c r="P4" s="57">
        <f>ROUND(AVERAGE(H4:H7),0)</f>
        <v>62</v>
      </c>
      <c r="Q4" s="57">
        <f t="shared" ref="Q4:Q22" si="1">+N4-O4</f>
        <v>5</v>
      </c>
      <c r="R4" s="57">
        <f t="shared" ref="R4:R22" si="2">+N4-P4</f>
        <v>21</v>
      </c>
      <c r="S4" s="49"/>
    </row>
    <row r="5" spans="1:19" ht="27" customHeight="1">
      <c r="A5" s="487"/>
      <c r="B5" s="480"/>
      <c r="C5" s="58">
        <v>2</v>
      </c>
      <c r="D5" s="59" t="s">
        <v>5</v>
      </c>
      <c r="E5" s="60">
        <v>77.62</v>
      </c>
      <c r="F5" s="60">
        <v>73.05</v>
      </c>
      <c r="G5" s="60">
        <v>72.400000000000006</v>
      </c>
      <c r="H5" s="60">
        <v>56</v>
      </c>
      <c r="I5" s="53">
        <f t="shared" ref="I5:I70" si="3">E5-F5</f>
        <v>4.5700000000000074</v>
      </c>
      <c r="J5" s="61"/>
      <c r="L5" s="62" t="s">
        <v>73</v>
      </c>
      <c r="M5" s="63">
        <f>ROUND(AVERAGE(F8:F13),0)</f>
        <v>79</v>
      </c>
      <c r="N5" s="63">
        <f>ROUND(AVERAGE(E8:E13),0)</f>
        <v>83</v>
      </c>
      <c r="O5" s="63">
        <f>ROUND(AVERAGE(G8:G13),0)</f>
        <v>79</v>
      </c>
      <c r="P5" s="63">
        <f>ROUND(AVERAGE(H8:H13),0)</f>
        <v>61</v>
      </c>
      <c r="Q5" s="63">
        <f t="shared" si="1"/>
        <v>4</v>
      </c>
      <c r="R5" s="63">
        <f t="shared" si="2"/>
        <v>22</v>
      </c>
      <c r="S5" s="49"/>
    </row>
    <row r="6" spans="1:19" ht="27" customHeight="1" thickBot="1">
      <c r="A6" s="487"/>
      <c r="B6" s="480" t="s">
        <v>72</v>
      </c>
      <c r="C6" s="58">
        <v>3</v>
      </c>
      <c r="D6" s="59" t="s">
        <v>6</v>
      </c>
      <c r="E6" s="60">
        <v>85.61</v>
      </c>
      <c r="F6" s="60">
        <v>80.400000000000006</v>
      </c>
      <c r="G6" s="60">
        <v>81.36</v>
      </c>
      <c r="H6" s="60">
        <v>67</v>
      </c>
      <c r="I6" s="53">
        <f t="shared" si="3"/>
        <v>5.2099999999999937</v>
      </c>
      <c r="J6" s="61"/>
      <c r="L6" s="64" t="s">
        <v>77</v>
      </c>
      <c r="M6" s="65">
        <f>ROUND(AVERAGE(F14:F17),0)</f>
        <v>77</v>
      </c>
      <c r="N6" s="65">
        <f>ROUND(AVERAGE(E14:E17),0)</f>
        <v>82</v>
      </c>
      <c r="O6" s="65">
        <f>ROUND(AVERAGE(G14:G17),0)</f>
        <v>79</v>
      </c>
      <c r="P6" s="65">
        <f>ROUND(AVERAGE(H14:H17),0)</f>
        <v>61</v>
      </c>
      <c r="Q6" s="65">
        <f t="shared" si="1"/>
        <v>3</v>
      </c>
      <c r="R6" s="65">
        <f t="shared" si="2"/>
        <v>21</v>
      </c>
      <c r="S6" s="49"/>
    </row>
    <row r="7" spans="1:19" ht="27" customHeight="1" thickBot="1">
      <c r="A7" s="487"/>
      <c r="B7" s="480"/>
      <c r="C7" s="58">
        <v>4</v>
      </c>
      <c r="D7" s="59" t="s">
        <v>7</v>
      </c>
      <c r="E7" s="60">
        <v>88.57</v>
      </c>
      <c r="F7" s="60">
        <v>85.08</v>
      </c>
      <c r="G7" s="60">
        <v>84.9</v>
      </c>
      <c r="H7" s="60">
        <v>71</v>
      </c>
      <c r="I7" s="53">
        <f t="shared" si="3"/>
        <v>3.4899999999999949</v>
      </c>
      <c r="L7" s="66" t="s">
        <v>127</v>
      </c>
      <c r="M7" s="67">
        <f>ROUND(AVERAGE(F20:F32),0)</f>
        <v>80</v>
      </c>
      <c r="N7" s="67">
        <f>ROUND(AVERAGE(E20:E32),0)</f>
        <v>85</v>
      </c>
      <c r="O7" s="67">
        <f t="shared" ref="O7:P7" si="4">ROUND(AVERAGE(G20:G32),0)</f>
        <v>77</v>
      </c>
      <c r="P7" s="67">
        <f t="shared" si="4"/>
        <v>59</v>
      </c>
      <c r="Q7" s="67">
        <f t="shared" si="1"/>
        <v>8</v>
      </c>
      <c r="R7" s="67">
        <f t="shared" si="2"/>
        <v>26</v>
      </c>
      <c r="S7" s="49"/>
    </row>
    <row r="8" spans="1:19" ht="27" customHeight="1">
      <c r="A8" s="483" t="s">
        <v>73</v>
      </c>
      <c r="B8" s="480" t="s">
        <v>74</v>
      </c>
      <c r="C8" s="58">
        <v>5</v>
      </c>
      <c r="D8" s="59" t="s">
        <v>8</v>
      </c>
      <c r="E8" s="60">
        <v>84.66</v>
      </c>
      <c r="F8" s="60">
        <v>78.099999999999994</v>
      </c>
      <c r="G8" s="60">
        <v>82.09</v>
      </c>
      <c r="H8" s="60">
        <v>63</v>
      </c>
      <c r="I8" s="53">
        <f t="shared" si="3"/>
        <v>6.5600000000000023</v>
      </c>
      <c r="L8" s="68" t="s">
        <v>80</v>
      </c>
      <c r="M8" s="69">
        <f>ROUND(AVERAGE(F20:F23),0)</f>
        <v>80</v>
      </c>
      <c r="N8" s="69">
        <f>ROUND(AVERAGE(E20:E23),0)</f>
        <v>85</v>
      </c>
      <c r="O8" s="69">
        <f t="shared" ref="O8:P8" si="5">ROUND(AVERAGE(G20:G23),0)</f>
        <v>77</v>
      </c>
      <c r="P8" s="69">
        <f t="shared" si="5"/>
        <v>60</v>
      </c>
      <c r="Q8" s="69">
        <f t="shared" si="1"/>
        <v>8</v>
      </c>
      <c r="R8" s="69">
        <f t="shared" si="2"/>
        <v>25</v>
      </c>
      <c r="S8" s="49"/>
    </row>
    <row r="9" spans="1:19" ht="27" customHeight="1">
      <c r="A9" s="484"/>
      <c r="B9" s="480"/>
      <c r="C9" s="58">
        <v>6</v>
      </c>
      <c r="D9" s="59" t="s">
        <v>9</v>
      </c>
      <c r="E9" s="60">
        <v>84.74</v>
      </c>
      <c r="F9" s="60">
        <v>77.3</v>
      </c>
      <c r="G9" s="60">
        <v>78.010000000000005</v>
      </c>
      <c r="H9" s="60">
        <v>58</v>
      </c>
      <c r="I9" s="53">
        <f t="shared" si="3"/>
        <v>7.4399999999999977</v>
      </c>
      <c r="L9" s="68" t="s">
        <v>83</v>
      </c>
      <c r="M9" s="70">
        <f>ROUND(AVERAGE(F24:F25),0)</f>
        <v>78</v>
      </c>
      <c r="N9" s="70">
        <f>ROUND(AVERAGE(E24:E25),0)</f>
        <v>81</v>
      </c>
      <c r="O9" s="70">
        <f>ROUND(AVERAGE(G24:G25),0)</f>
        <v>73</v>
      </c>
      <c r="P9" s="70">
        <f>ROUND(AVERAGE(H24:H25),0)</f>
        <v>52</v>
      </c>
      <c r="Q9" s="70">
        <f t="shared" si="1"/>
        <v>8</v>
      </c>
      <c r="R9" s="70">
        <f t="shared" si="2"/>
        <v>29</v>
      </c>
      <c r="S9" s="49"/>
    </row>
    <row r="10" spans="1:19" ht="27" customHeight="1" thickBot="1">
      <c r="A10" s="484"/>
      <c r="B10" s="480"/>
      <c r="C10" s="58">
        <v>7</v>
      </c>
      <c r="D10" s="59" t="s">
        <v>10</v>
      </c>
      <c r="E10" s="60">
        <v>75.040000000000006</v>
      </c>
      <c r="F10" s="60">
        <v>68.61</v>
      </c>
      <c r="G10" s="60">
        <v>68.849999999999994</v>
      </c>
      <c r="H10" s="60">
        <v>48</v>
      </c>
      <c r="I10" s="53">
        <f t="shared" si="3"/>
        <v>6.4300000000000068</v>
      </c>
      <c r="L10" s="71" t="s">
        <v>85</v>
      </c>
      <c r="M10" s="72">
        <f>ROUND(AVERAGE(F26:F32),0)</f>
        <v>80</v>
      </c>
      <c r="N10" s="72">
        <f>ROUND(AVERAGE(E26:E32),0)</f>
        <v>86</v>
      </c>
      <c r="O10" s="72">
        <f>ROUND(AVERAGE(G26:G32),0)</f>
        <v>79</v>
      </c>
      <c r="P10" s="72">
        <f>ROUND(AVERAGE(H26:H32),0)</f>
        <v>61</v>
      </c>
      <c r="Q10" s="72">
        <f t="shared" si="1"/>
        <v>7</v>
      </c>
      <c r="R10" s="72">
        <f t="shared" si="2"/>
        <v>25</v>
      </c>
      <c r="S10" s="49"/>
    </row>
    <row r="11" spans="1:19" ht="27" customHeight="1" thickBot="1">
      <c r="A11" s="484"/>
      <c r="B11" s="480" t="s">
        <v>75</v>
      </c>
      <c r="C11" s="58">
        <v>8</v>
      </c>
      <c r="D11" s="59" t="s">
        <v>11</v>
      </c>
      <c r="E11" s="60">
        <v>86</v>
      </c>
      <c r="F11" s="60">
        <v>86.58</v>
      </c>
      <c r="G11" s="60">
        <v>82.88</v>
      </c>
      <c r="H11" s="60">
        <v>67</v>
      </c>
      <c r="I11" s="53">
        <f t="shared" si="3"/>
        <v>-0.57999999999999829</v>
      </c>
      <c r="L11" s="73" t="s">
        <v>125</v>
      </c>
      <c r="M11" s="74">
        <f>ROUND(AVERAGE(F35:F46),0)</f>
        <v>73</v>
      </c>
      <c r="N11" s="74">
        <f>ROUND(AVERAGE(E35:E46),0)</f>
        <v>79</v>
      </c>
      <c r="O11" s="74">
        <f t="shared" ref="O11:P11" si="6">ROUND(AVERAGE(G35:G46),0)</f>
        <v>75</v>
      </c>
      <c r="P11" s="74">
        <f t="shared" si="6"/>
        <v>60</v>
      </c>
      <c r="Q11" s="74">
        <f t="shared" si="1"/>
        <v>4</v>
      </c>
      <c r="R11" s="74">
        <f t="shared" si="2"/>
        <v>19</v>
      </c>
      <c r="S11" s="49"/>
    </row>
    <row r="12" spans="1:19" ht="27" customHeight="1">
      <c r="A12" s="484"/>
      <c r="B12" s="480"/>
      <c r="C12" s="58">
        <v>9</v>
      </c>
      <c r="D12" s="59" t="s">
        <v>12</v>
      </c>
      <c r="E12" s="60">
        <v>88.33</v>
      </c>
      <c r="F12" s="60">
        <v>88.14</v>
      </c>
      <c r="G12" s="60">
        <v>86.01</v>
      </c>
      <c r="H12" s="60">
        <v>71</v>
      </c>
      <c r="I12" s="53">
        <f t="shared" si="3"/>
        <v>0.18999999999999773</v>
      </c>
      <c r="L12" s="75" t="s">
        <v>88</v>
      </c>
      <c r="M12" s="76">
        <f>ROUND(AVERAGE(F35:F38),0)</f>
        <v>58</v>
      </c>
      <c r="N12" s="76">
        <f>ROUND(AVERAGE(E35:E38),0)</f>
        <v>67</v>
      </c>
      <c r="O12" s="76">
        <f>ROUND(AVERAGE(G35:G38),0)</f>
        <v>63</v>
      </c>
      <c r="P12" s="76">
        <f>ROUND(AVERAGE(H35:H38),0)</f>
        <v>49</v>
      </c>
      <c r="Q12" s="76">
        <f t="shared" si="1"/>
        <v>4</v>
      </c>
      <c r="R12" s="76">
        <f t="shared" si="2"/>
        <v>18</v>
      </c>
      <c r="S12" s="49"/>
    </row>
    <row r="13" spans="1:19" ht="27" customHeight="1">
      <c r="A13" s="485"/>
      <c r="B13" s="77" t="s">
        <v>76</v>
      </c>
      <c r="C13" s="58">
        <v>10</v>
      </c>
      <c r="D13" s="59" t="s">
        <v>13</v>
      </c>
      <c r="E13" s="60">
        <v>80.86</v>
      </c>
      <c r="F13" s="60">
        <v>75.67</v>
      </c>
      <c r="G13" s="60">
        <v>77.41</v>
      </c>
      <c r="H13" s="60">
        <v>58</v>
      </c>
      <c r="I13" s="53">
        <f t="shared" si="3"/>
        <v>5.1899999999999977</v>
      </c>
      <c r="L13" s="78" t="s">
        <v>91</v>
      </c>
      <c r="M13" s="79">
        <f>ROUND(AVERAGE(F39:F41),0)</f>
        <v>65</v>
      </c>
      <c r="N13" s="79">
        <f>ROUND(AVERAGE(E39:E41),0)</f>
        <v>69</v>
      </c>
      <c r="O13" s="79">
        <f>ROUND(AVERAGE(G39:G41),0)</f>
        <v>64</v>
      </c>
      <c r="P13" s="79">
        <f>ROUND(AVERAGE(H39:H41),0)</f>
        <v>42</v>
      </c>
      <c r="Q13" s="79">
        <f t="shared" si="1"/>
        <v>5</v>
      </c>
      <c r="R13" s="79">
        <f t="shared" si="2"/>
        <v>27</v>
      </c>
      <c r="S13" s="49"/>
    </row>
    <row r="14" spans="1:19" ht="27" customHeight="1" thickBot="1">
      <c r="A14" s="478" t="s">
        <v>77</v>
      </c>
      <c r="B14" s="480" t="s">
        <v>78</v>
      </c>
      <c r="C14" s="58">
        <v>11</v>
      </c>
      <c r="D14" s="59" t="s">
        <v>14</v>
      </c>
      <c r="E14" s="60">
        <v>80.430000000000007</v>
      </c>
      <c r="F14" s="60">
        <v>75.23</v>
      </c>
      <c r="G14" s="60">
        <v>74.319999999999993</v>
      </c>
      <c r="H14" s="60">
        <v>54</v>
      </c>
      <c r="I14" s="53">
        <f t="shared" si="3"/>
        <v>5.2000000000000028</v>
      </c>
      <c r="L14" s="80" t="s">
        <v>92</v>
      </c>
      <c r="M14" s="81">
        <f>ROUND(AVERAGE(F42:F46),0)</f>
        <v>90</v>
      </c>
      <c r="N14" s="81">
        <f>ROUND(AVERAGE(E42:E46),0)</f>
        <v>94</v>
      </c>
      <c r="O14" s="81">
        <f>ROUND(AVERAGE(G42:G46),0)</f>
        <v>90</v>
      </c>
      <c r="P14" s="81">
        <f>ROUND(AVERAGE(H42:H46),0)</f>
        <v>79</v>
      </c>
      <c r="Q14" s="81">
        <f t="shared" si="1"/>
        <v>4</v>
      </c>
      <c r="R14" s="81">
        <f t="shared" si="2"/>
        <v>15</v>
      </c>
      <c r="S14" s="49"/>
    </row>
    <row r="15" spans="1:19" ht="27" customHeight="1" thickBot="1">
      <c r="A15" s="478"/>
      <c r="B15" s="480"/>
      <c r="C15" s="58">
        <v>12</v>
      </c>
      <c r="D15" s="59" t="s">
        <v>15</v>
      </c>
      <c r="E15" s="60">
        <v>80.430000000000007</v>
      </c>
      <c r="F15" s="60">
        <v>73.09</v>
      </c>
      <c r="G15" s="60">
        <v>74.2</v>
      </c>
      <c r="H15" s="60">
        <v>53</v>
      </c>
      <c r="I15" s="53">
        <f t="shared" si="3"/>
        <v>7.3400000000000034</v>
      </c>
      <c r="L15" s="82" t="s">
        <v>202</v>
      </c>
      <c r="M15" s="83">
        <f>ROUND(AVERAGE(F49:F56),0)</f>
        <v>76</v>
      </c>
      <c r="N15" s="83">
        <f>ROUND(AVERAGE(E49:E56),0)</f>
        <v>82</v>
      </c>
      <c r="O15" s="83">
        <f t="shared" ref="O15:P15" si="7">ROUND(AVERAGE(G49:G56),0)</f>
        <v>79</v>
      </c>
      <c r="P15" s="83">
        <f t="shared" si="7"/>
        <v>65</v>
      </c>
      <c r="Q15" s="83">
        <f t="shared" si="1"/>
        <v>3</v>
      </c>
      <c r="R15" s="83">
        <f t="shared" si="2"/>
        <v>17</v>
      </c>
      <c r="S15" s="49"/>
    </row>
    <row r="16" spans="1:19" ht="27" customHeight="1">
      <c r="A16" s="478"/>
      <c r="B16" s="480"/>
      <c r="C16" s="58">
        <v>13</v>
      </c>
      <c r="D16" s="59" t="s">
        <v>16</v>
      </c>
      <c r="E16" s="60">
        <v>79.599999999999994</v>
      </c>
      <c r="F16" s="60">
        <v>74.489999999999995</v>
      </c>
      <c r="G16" s="60">
        <v>81.02</v>
      </c>
      <c r="H16" s="60">
        <v>66</v>
      </c>
      <c r="I16" s="53">
        <f t="shared" si="3"/>
        <v>5.1099999999999994</v>
      </c>
      <c r="L16" s="84" t="s">
        <v>95</v>
      </c>
      <c r="M16" s="85">
        <f>ROUND(AVERAGE(F49:F50),0)</f>
        <v>68</v>
      </c>
      <c r="N16" s="85">
        <f>ROUND(AVERAGE(E49:E50),0)</f>
        <v>73</v>
      </c>
      <c r="O16" s="85">
        <f>ROUND(AVERAGE(G49:G50),0)</f>
        <v>76</v>
      </c>
      <c r="P16" s="85">
        <f>ROUND(AVERAGE(H49:H50),0)</f>
        <v>63</v>
      </c>
      <c r="Q16" s="85">
        <f t="shared" si="1"/>
        <v>-3</v>
      </c>
      <c r="R16" s="85">
        <f t="shared" si="2"/>
        <v>10</v>
      </c>
      <c r="S16" s="49"/>
    </row>
    <row r="17" spans="1:19" ht="27" customHeight="1" thickBot="1">
      <c r="A17" s="479"/>
      <c r="B17" s="86" t="s">
        <v>79</v>
      </c>
      <c r="C17" s="87">
        <v>14</v>
      </c>
      <c r="D17" s="88" t="s">
        <v>17</v>
      </c>
      <c r="E17" s="89">
        <v>87.73</v>
      </c>
      <c r="F17" s="89">
        <v>83.75</v>
      </c>
      <c r="G17" s="89">
        <v>86.87</v>
      </c>
      <c r="H17" s="89">
        <v>70</v>
      </c>
      <c r="I17" s="53">
        <f t="shared" si="3"/>
        <v>3.980000000000004</v>
      </c>
      <c r="L17" s="90" t="s">
        <v>96</v>
      </c>
      <c r="M17" s="91">
        <f>ROUND(AVERAGE(F51:F52),0)</f>
        <v>76</v>
      </c>
      <c r="N17" s="91">
        <f>ROUND(AVERAGE(E51:E52),0)</f>
        <v>82</v>
      </c>
      <c r="O17" s="91">
        <f>ROUND(AVERAGE(G51:G52),0)</f>
        <v>80</v>
      </c>
      <c r="P17" s="91">
        <f>ROUND(AVERAGE(H51:H52),0)</f>
        <v>65</v>
      </c>
      <c r="Q17" s="91">
        <f t="shared" si="1"/>
        <v>2</v>
      </c>
      <c r="R17" s="91">
        <f t="shared" si="2"/>
        <v>17</v>
      </c>
      <c r="S17" s="49"/>
    </row>
    <row r="18" spans="1:19" ht="24.95" customHeight="1" thickBot="1">
      <c r="A18" s="92" t="s">
        <v>18</v>
      </c>
      <c r="B18" s="92"/>
      <c r="C18" s="92"/>
      <c r="D18" s="92"/>
      <c r="E18" s="93"/>
      <c r="F18" s="93"/>
      <c r="G18" s="93"/>
      <c r="H18" s="93"/>
      <c r="I18" s="15"/>
      <c r="J18" s="41"/>
      <c r="L18" s="94" t="s">
        <v>97</v>
      </c>
      <c r="M18" s="95">
        <f>ROUND(AVERAGE(F53:F56),0)</f>
        <v>79</v>
      </c>
      <c r="N18" s="95">
        <f>ROUND(AVERAGE(E53:E56),0)</f>
        <v>86</v>
      </c>
      <c r="O18" s="95">
        <f>ROUND(AVERAGE(G53:G56),0)</f>
        <v>81</v>
      </c>
      <c r="P18" s="95">
        <f>ROUND(AVERAGE(H53:H56),0)</f>
        <v>66</v>
      </c>
      <c r="Q18" s="95">
        <f t="shared" si="1"/>
        <v>5</v>
      </c>
      <c r="R18" s="95">
        <f t="shared" si="2"/>
        <v>20</v>
      </c>
      <c r="S18" s="49"/>
    </row>
    <row r="19" spans="1:19" ht="35.1" customHeight="1" thickBot="1">
      <c r="A19" s="44" t="s">
        <v>67</v>
      </c>
      <c r="B19" s="45"/>
      <c r="C19" s="45" t="s">
        <v>68</v>
      </c>
      <c r="D19" s="45" t="s">
        <v>69</v>
      </c>
      <c r="E19" s="46">
        <f>$E$3</f>
        <v>2017</v>
      </c>
      <c r="F19" s="46">
        <f>$F$3</f>
        <v>2016</v>
      </c>
      <c r="G19" s="45" t="str">
        <f>$G$3</f>
        <v>BMK Mejores Argentina 2016</v>
      </c>
      <c r="H19" s="45" t="str">
        <f>$H$3</f>
        <v>Mercado 2016</v>
      </c>
      <c r="I19" s="53">
        <f t="shared" si="3"/>
        <v>1</v>
      </c>
      <c r="L19" s="96" t="s">
        <v>335</v>
      </c>
      <c r="M19" s="97">
        <f>ROUND(AVERAGE(F59:F68),0)</f>
        <v>82</v>
      </c>
      <c r="N19" s="97">
        <f>ROUND(AVERAGE(E59:E68),0)</f>
        <v>87</v>
      </c>
      <c r="O19" s="97">
        <f t="shared" ref="O19:P19" si="8">ROUND(AVERAGE(G59:G68),0)</f>
        <v>83</v>
      </c>
      <c r="P19" s="97">
        <f t="shared" si="8"/>
        <v>66</v>
      </c>
      <c r="Q19" s="97">
        <f t="shared" si="1"/>
        <v>4</v>
      </c>
      <c r="R19" s="97">
        <f t="shared" si="2"/>
        <v>21</v>
      </c>
      <c r="S19" s="49"/>
    </row>
    <row r="20" spans="1:19" ht="27" customHeight="1">
      <c r="A20" s="481" t="s">
        <v>80</v>
      </c>
      <c r="B20" s="482" t="s">
        <v>81</v>
      </c>
      <c r="C20" s="98">
        <v>15</v>
      </c>
      <c r="D20" s="51" t="s">
        <v>19</v>
      </c>
      <c r="E20" s="99">
        <v>81.709999999999994</v>
      </c>
      <c r="F20" s="99">
        <v>75.06</v>
      </c>
      <c r="G20" s="99">
        <v>73.25</v>
      </c>
      <c r="H20" s="99">
        <v>54</v>
      </c>
      <c r="I20" s="53">
        <f t="shared" si="3"/>
        <v>6.6499999999999915</v>
      </c>
      <c r="L20" s="100" t="s">
        <v>98</v>
      </c>
      <c r="M20" s="101">
        <f>ROUND(AVERAGE(F59:F61),0)</f>
        <v>83</v>
      </c>
      <c r="N20" s="101">
        <f>ROUND(AVERAGE(E59:E61),0)</f>
        <v>88</v>
      </c>
      <c r="O20" s="101">
        <f>ROUND(AVERAGE(G59:G61),0)</f>
        <v>85</v>
      </c>
      <c r="P20" s="101">
        <f>ROUND(AVERAGE(H59:H61),0)</f>
        <v>67</v>
      </c>
      <c r="Q20" s="101">
        <f t="shared" si="1"/>
        <v>3</v>
      </c>
      <c r="R20" s="101">
        <f t="shared" si="2"/>
        <v>21</v>
      </c>
      <c r="S20" s="49"/>
    </row>
    <row r="21" spans="1:19" ht="27" customHeight="1">
      <c r="A21" s="468"/>
      <c r="B21" s="467"/>
      <c r="C21" s="102">
        <v>16</v>
      </c>
      <c r="D21" s="59" t="s">
        <v>20</v>
      </c>
      <c r="E21" s="103">
        <v>91.3</v>
      </c>
      <c r="F21" s="103">
        <v>88.86</v>
      </c>
      <c r="G21" s="103">
        <v>82.08</v>
      </c>
      <c r="H21" s="103">
        <v>70</v>
      </c>
      <c r="I21" s="53">
        <f t="shared" si="3"/>
        <v>2.4399999999999977</v>
      </c>
      <c r="L21" s="104" t="s">
        <v>99</v>
      </c>
      <c r="M21" s="105">
        <f>ROUND(AVERAGE(F62:F65),0)</f>
        <v>85</v>
      </c>
      <c r="N21" s="105">
        <f>ROUND(AVERAGE(E62:E65),0)</f>
        <v>90</v>
      </c>
      <c r="O21" s="105">
        <f>ROUND(AVERAGE(G62:G65),0)</f>
        <v>87</v>
      </c>
      <c r="P21" s="105">
        <f>ROUND(AVERAGE(H62:H65),0)</f>
        <v>71</v>
      </c>
      <c r="Q21" s="105">
        <f t="shared" si="1"/>
        <v>3</v>
      </c>
      <c r="R21" s="105">
        <f t="shared" si="2"/>
        <v>19</v>
      </c>
      <c r="S21" s="49"/>
    </row>
    <row r="22" spans="1:19" ht="27" customHeight="1" thickBot="1">
      <c r="A22" s="468"/>
      <c r="B22" s="467" t="s">
        <v>82</v>
      </c>
      <c r="C22" s="102">
        <v>17</v>
      </c>
      <c r="D22" s="59" t="s">
        <v>21</v>
      </c>
      <c r="E22" s="103">
        <v>79.040000000000006</v>
      </c>
      <c r="F22" s="103">
        <v>72.38</v>
      </c>
      <c r="G22" s="103">
        <v>70.37</v>
      </c>
      <c r="H22" s="103">
        <v>50</v>
      </c>
      <c r="I22" s="53">
        <f t="shared" si="3"/>
        <v>6.6600000000000108</v>
      </c>
      <c r="L22" s="106" t="s">
        <v>102</v>
      </c>
      <c r="M22" s="107">
        <f>ROUND(AVERAGE(F66:F68),0)</f>
        <v>76</v>
      </c>
      <c r="N22" s="107">
        <f>ROUND(AVERAGE(E66:E68),0)</f>
        <v>82</v>
      </c>
      <c r="O22" s="107">
        <f>ROUND(AVERAGE(G66:G68),0)</f>
        <v>78</v>
      </c>
      <c r="P22" s="107">
        <f>ROUND(AVERAGE(H66:H68),0)</f>
        <v>57</v>
      </c>
      <c r="Q22" s="107">
        <f t="shared" si="1"/>
        <v>4</v>
      </c>
      <c r="R22" s="107">
        <f t="shared" si="2"/>
        <v>25</v>
      </c>
      <c r="S22" s="49"/>
    </row>
    <row r="23" spans="1:19" ht="27" customHeight="1" thickBot="1">
      <c r="A23" s="468"/>
      <c r="B23" s="467"/>
      <c r="C23" s="102">
        <v>18</v>
      </c>
      <c r="D23" s="59" t="s">
        <v>22</v>
      </c>
      <c r="E23" s="103">
        <v>86.61</v>
      </c>
      <c r="F23" s="103">
        <v>82.63</v>
      </c>
      <c r="G23" s="103">
        <v>80.94</v>
      </c>
      <c r="H23" s="103">
        <v>66</v>
      </c>
      <c r="I23" s="53">
        <f t="shared" si="3"/>
        <v>3.980000000000004</v>
      </c>
      <c r="M23" s="108">
        <f>$M$2</f>
        <v>2016</v>
      </c>
      <c r="N23" s="108">
        <f>$N$2</f>
        <v>2017</v>
      </c>
      <c r="O23" s="108" t="str">
        <f>O$2</f>
        <v>BMK Mejores Argentina 2016</v>
      </c>
      <c r="P23" s="108" t="str">
        <f>P$2</f>
        <v>Mercado 2016</v>
      </c>
      <c r="Q23" s="49"/>
      <c r="R23" s="49"/>
      <c r="S23" s="49"/>
    </row>
    <row r="24" spans="1:19" ht="27" customHeight="1" thickBot="1">
      <c r="A24" s="465" t="s">
        <v>83</v>
      </c>
      <c r="B24" s="467" t="s">
        <v>84</v>
      </c>
      <c r="C24" s="102">
        <v>19</v>
      </c>
      <c r="D24" s="59" t="s">
        <v>23</v>
      </c>
      <c r="E24" s="103">
        <v>83.04</v>
      </c>
      <c r="F24" s="103">
        <v>79.959999999999994</v>
      </c>
      <c r="G24" s="103">
        <v>76.94</v>
      </c>
      <c r="H24" s="103">
        <v>56</v>
      </c>
      <c r="I24" s="53">
        <f t="shared" si="3"/>
        <v>3.0800000000000125</v>
      </c>
      <c r="L24" s="47" t="s">
        <v>3</v>
      </c>
      <c r="M24" s="48">
        <f>M3</f>
        <v>78</v>
      </c>
      <c r="N24" s="48">
        <f t="shared" ref="N24:P24" si="9">N3</f>
        <v>83</v>
      </c>
      <c r="O24" s="48">
        <f t="shared" si="9"/>
        <v>79</v>
      </c>
      <c r="P24" s="48">
        <f t="shared" si="9"/>
        <v>61</v>
      </c>
      <c r="Q24" s="49"/>
      <c r="R24" s="49"/>
      <c r="S24" s="49"/>
    </row>
    <row r="25" spans="1:19" ht="27" customHeight="1" thickBot="1">
      <c r="A25" s="466"/>
      <c r="B25" s="467"/>
      <c r="C25" s="102">
        <v>20</v>
      </c>
      <c r="D25" s="59" t="s">
        <v>24</v>
      </c>
      <c r="E25" s="103">
        <v>78.38</v>
      </c>
      <c r="F25" s="103">
        <v>75.39</v>
      </c>
      <c r="G25" s="103">
        <v>69.31</v>
      </c>
      <c r="H25" s="103">
        <v>47</v>
      </c>
      <c r="I25" s="53">
        <f t="shared" si="3"/>
        <v>2.9899999999999949</v>
      </c>
      <c r="L25" s="66" t="s">
        <v>18</v>
      </c>
      <c r="M25" s="67">
        <f>M7</f>
        <v>80</v>
      </c>
      <c r="N25" s="67">
        <f t="shared" ref="N25:P25" si="10">N7</f>
        <v>85</v>
      </c>
      <c r="O25" s="67">
        <f t="shared" si="10"/>
        <v>77</v>
      </c>
      <c r="P25" s="67">
        <f t="shared" si="10"/>
        <v>59</v>
      </c>
      <c r="Q25" s="49"/>
      <c r="R25" s="49"/>
      <c r="S25" s="49"/>
    </row>
    <row r="26" spans="1:19" ht="27" customHeight="1" thickBot="1">
      <c r="A26" s="468" t="s">
        <v>85</v>
      </c>
      <c r="B26" s="467" t="s">
        <v>86</v>
      </c>
      <c r="C26" s="102">
        <v>21</v>
      </c>
      <c r="D26" s="59" t="s">
        <v>25</v>
      </c>
      <c r="E26" s="103">
        <v>94.49</v>
      </c>
      <c r="F26" s="103">
        <v>93.76</v>
      </c>
      <c r="G26" s="103">
        <v>89.53</v>
      </c>
      <c r="H26" s="103">
        <v>79</v>
      </c>
      <c r="I26" s="53">
        <f t="shared" si="3"/>
        <v>0.72999999999998977</v>
      </c>
      <c r="L26" s="73" t="s">
        <v>32</v>
      </c>
      <c r="M26" s="74">
        <f>M11</f>
        <v>73</v>
      </c>
      <c r="N26" s="74">
        <f t="shared" ref="N26:P26" si="11">N11</f>
        <v>79</v>
      </c>
      <c r="O26" s="74">
        <f t="shared" si="11"/>
        <v>75</v>
      </c>
      <c r="P26" s="74">
        <f t="shared" si="11"/>
        <v>60</v>
      </c>
      <c r="Q26" s="49"/>
      <c r="R26" s="49"/>
      <c r="S26" s="49"/>
    </row>
    <row r="27" spans="1:19" ht="27" customHeight="1" thickBot="1">
      <c r="A27" s="468"/>
      <c r="B27" s="467"/>
      <c r="C27" s="102">
        <v>22</v>
      </c>
      <c r="D27" s="59" t="s">
        <v>26</v>
      </c>
      <c r="E27" s="103">
        <v>86.36</v>
      </c>
      <c r="F27" s="103">
        <v>79.87</v>
      </c>
      <c r="G27" s="103">
        <v>76.599999999999994</v>
      </c>
      <c r="H27" s="103">
        <v>56</v>
      </c>
      <c r="I27" s="53">
        <f t="shared" si="3"/>
        <v>6.4899999999999949</v>
      </c>
      <c r="L27" s="82" t="s">
        <v>45</v>
      </c>
      <c r="M27" s="83">
        <f>M15</f>
        <v>76</v>
      </c>
      <c r="N27" s="83">
        <f t="shared" ref="N27:P27" si="12">N15</f>
        <v>82</v>
      </c>
      <c r="O27" s="83">
        <f t="shared" si="12"/>
        <v>79</v>
      </c>
      <c r="P27" s="83">
        <f t="shared" si="12"/>
        <v>65</v>
      </c>
      <c r="Q27" s="49"/>
      <c r="R27" s="49"/>
      <c r="S27" s="49"/>
    </row>
    <row r="28" spans="1:19" ht="27" customHeight="1" thickBot="1">
      <c r="A28" s="468"/>
      <c r="B28" s="467"/>
      <c r="C28" s="102">
        <v>23</v>
      </c>
      <c r="D28" s="59" t="s">
        <v>27</v>
      </c>
      <c r="E28" s="103">
        <v>88.87</v>
      </c>
      <c r="F28" s="103">
        <v>86.32</v>
      </c>
      <c r="G28" s="103">
        <v>80.63</v>
      </c>
      <c r="H28" s="103">
        <v>64</v>
      </c>
      <c r="I28" s="53">
        <f t="shared" si="3"/>
        <v>2.5500000000000114</v>
      </c>
      <c r="L28" s="96" t="s">
        <v>54</v>
      </c>
      <c r="M28" s="97">
        <f>M19</f>
        <v>82</v>
      </c>
      <c r="N28" s="97">
        <f t="shared" ref="N28:P28" si="13">N19</f>
        <v>87</v>
      </c>
      <c r="O28" s="97">
        <f t="shared" si="13"/>
        <v>83</v>
      </c>
      <c r="P28" s="97">
        <f t="shared" si="13"/>
        <v>66</v>
      </c>
      <c r="Q28" s="49"/>
      <c r="R28" s="49"/>
      <c r="S28" s="49"/>
    </row>
    <row r="29" spans="1:19" ht="27" customHeight="1" thickBot="1">
      <c r="A29" s="468"/>
      <c r="B29" s="467" t="s">
        <v>87</v>
      </c>
      <c r="C29" s="102">
        <v>24</v>
      </c>
      <c r="D29" s="59" t="s">
        <v>28</v>
      </c>
      <c r="E29" s="103">
        <v>91.02</v>
      </c>
      <c r="F29" s="103">
        <v>88.76</v>
      </c>
      <c r="G29" s="103">
        <v>84.95</v>
      </c>
      <c r="H29" s="103">
        <v>71</v>
      </c>
      <c r="I29" s="53">
        <f t="shared" si="3"/>
        <v>2.2599999999999909</v>
      </c>
      <c r="M29" s="108">
        <f>$M$2</f>
        <v>2016</v>
      </c>
      <c r="N29" s="108">
        <f>$N$2</f>
        <v>2017</v>
      </c>
      <c r="O29" s="108" t="str">
        <f>O$2</f>
        <v>BMK Mejores Argentina 2016</v>
      </c>
      <c r="P29" s="108" t="str">
        <f>P$2</f>
        <v>Mercado 2016</v>
      </c>
      <c r="Q29" s="49"/>
      <c r="R29" s="49"/>
      <c r="S29" s="49"/>
    </row>
    <row r="30" spans="1:19" ht="27" customHeight="1" thickBot="1">
      <c r="A30" s="468"/>
      <c r="B30" s="467"/>
      <c r="C30" s="102">
        <v>25</v>
      </c>
      <c r="D30" s="59" t="s">
        <v>29</v>
      </c>
      <c r="E30" s="103">
        <v>76.44</v>
      </c>
      <c r="F30" s="103">
        <v>65.62</v>
      </c>
      <c r="G30" s="103">
        <v>70.97</v>
      </c>
      <c r="H30" s="103">
        <v>48</v>
      </c>
      <c r="I30" s="53">
        <f t="shared" si="3"/>
        <v>10.819999999999993</v>
      </c>
      <c r="L30" s="109" t="s">
        <v>186</v>
      </c>
      <c r="M30" s="110">
        <f>ROUND(AVERAGE(F4:F17,F20:F32,F35:F46),0)</f>
        <v>77</v>
      </c>
      <c r="N30" s="110">
        <f>ROUND(AVERAGE(E4:E17,E20:E32,E35:E46),0)</f>
        <v>82</v>
      </c>
      <c r="O30" s="110">
        <f t="shared" ref="O30:P30" si="14">ROUND(AVERAGE(G4:G17,G20:G32,G35:G46),0)</f>
        <v>77</v>
      </c>
      <c r="P30" s="110">
        <f t="shared" si="14"/>
        <v>60</v>
      </c>
      <c r="Q30" s="49"/>
      <c r="R30" s="49"/>
      <c r="S30" s="49"/>
    </row>
    <row r="31" spans="1:19" ht="27" customHeight="1" thickBot="1">
      <c r="A31" s="468"/>
      <c r="B31" s="467"/>
      <c r="C31" s="102">
        <v>26</v>
      </c>
      <c r="D31" s="59" t="s">
        <v>30</v>
      </c>
      <c r="E31" s="103">
        <v>83.27</v>
      </c>
      <c r="F31" s="103">
        <v>76.849999999999994</v>
      </c>
      <c r="G31" s="103">
        <v>78.45</v>
      </c>
      <c r="H31" s="103">
        <v>60</v>
      </c>
      <c r="I31" s="53">
        <f t="shared" si="3"/>
        <v>6.4200000000000017</v>
      </c>
      <c r="L31" s="111" t="s">
        <v>164</v>
      </c>
      <c r="M31" s="112">
        <f>ROUND(AVERAGE(F4:F17,F20:F32,F35:F46,F49:F56,F59:F68,F71),0)</f>
        <v>78</v>
      </c>
      <c r="N31" s="112">
        <f>ROUND(AVERAGE(E4:E17,E20:E32,E35:E46,E49:E56,E59:E68,E71),0)</f>
        <v>83</v>
      </c>
      <c r="O31" s="112">
        <f>ROUND(AVERAGE(G4:G17,G20:G32,G35:G46,G49:G56,G59:G68,G71),0)</f>
        <v>79</v>
      </c>
      <c r="P31" s="112">
        <f>ROUND(AVERAGE(H4:H17,H20:H32,H35:H46,H49:H56,H59:H68,H71),0)</f>
        <v>62</v>
      </c>
      <c r="Q31" s="49"/>
      <c r="R31" s="49"/>
      <c r="S31" s="49"/>
    </row>
    <row r="32" spans="1:19" ht="27" customHeight="1" thickBot="1">
      <c r="A32" s="469"/>
      <c r="B32" s="470"/>
      <c r="C32" s="113">
        <v>27</v>
      </c>
      <c r="D32" s="88" t="s">
        <v>31</v>
      </c>
      <c r="E32" s="114">
        <v>78.599999999999994</v>
      </c>
      <c r="F32" s="114">
        <v>68.540000000000006</v>
      </c>
      <c r="G32" s="114">
        <v>72.040000000000006</v>
      </c>
      <c r="H32" s="114">
        <v>48</v>
      </c>
      <c r="I32" s="53">
        <f t="shared" si="3"/>
        <v>10.059999999999988</v>
      </c>
      <c r="L32" s="111" t="s">
        <v>185</v>
      </c>
      <c r="M32" s="115">
        <f>F71</f>
        <v>80.900000000000006</v>
      </c>
      <c r="N32" s="115">
        <f>E71</f>
        <v>89.41</v>
      </c>
      <c r="O32" s="115">
        <f t="shared" ref="O32:P32" si="15">G71</f>
        <v>81.900000000000006</v>
      </c>
      <c r="P32" s="115">
        <f t="shared" si="15"/>
        <v>64</v>
      </c>
      <c r="Q32" s="49"/>
      <c r="R32" s="49"/>
      <c r="S32" s="49"/>
    </row>
    <row r="33" spans="1:19" ht="24.95" customHeight="1" thickBot="1">
      <c r="A33" s="116" t="s">
        <v>32</v>
      </c>
      <c r="B33" s="92"/>
      <c r="C33" s="92"/>
      <c r="D33" s="92"/>
      <c r="E33" s="93"/>
      <c r="F33" s="93"/>
      <c r="G33" s="93"/>
      <c r="H33" s="93"/>
      <c r="I33" s="15"/>
      <c r="J33" s="41"/>
      <c r="K33" s="41"/>
      <c r="L33" s="42"/>
      <c r="M33" s="118"/>
      <c r="N33" s="118"/>
      <c r="O33" s="117"/>
      <c r="P33" s="49"/>
      <c r="Q33" s="49"/>
      <c r="R33" s="49"/>
      <c r="S33" s="49"/>
    </row>
    <row r="34" spans="1:19" ht="35.1" customHeight="1" thickBot="1">
      <c r="A34" s="44" t="s">
        <v>67</v>
      </c>
      <c r="B34" s="45"/>
      <c r="C34" s="45" t="s">
        <v>68</v>
      </c>
      <c r="D34" s="45" t="s">
        <v>69</v>
      </c>
      <c r="E34" s="46">
        <f>$E$3</f>
        <v>2017</v>
      </c>
      <c r="F34" s="46">
        <f>$F$3</f>
        <v>2016</v>
      </c>
      <c r="G34" s="45" t="str">
        <f>$G$3</f>
        <v>BMK Mejores Argentina 2016</v>
      </c>
      <c r="H34" s="45" t="str">
        <f>$H$3</f>
        <v>Mercado 2016</v>
      </c>
      <c r="I34" s="53">
        <f t="shared" si="3"/>
        <v>1</v>
      </c>
      <c r="L34" s="119"/>
      <c r="M34" s="120">
        <f t="shared" ref="M34:P34" si="16">+N34-1</f>
        <v>2011</v>
      </c>
      <c r="N34" s="120">
        <f t="shared" si="16"/>
        <v>2012</v>
      </c>
      <c r="O34" s="120">
        <f t="shared" si="16"/>
        <v>2013</v>
      </c>
      <c r="P34" s="120">
        <f t="shared" si="16"/>
        <v>2014</v>
      </c>
      <c r="Q34" s="120">
        <f>+R34-1</f>
        <v>2015</v>
      </c>
      <c r="R34" s="121">
        <f>$M$2</f>
        <v>2016</v>
      </c>
      <c r="S34" s="121">
        <f>$N$2</f>
        <v>2017</v>
      </c>
    </row>
    <row r="35" spans="1:19" ht="27" customHeight="1" thickBot="1">
      <c r="A35" s="471" t="s">
        <v>88</v>
      </c>
      <c r="B35" s="473" t="s">
        <v>89</v>
      </c>
      <c r="C35" s="98">
        <v>28</v>
      </c>
      <c r="D35" s="51" t="s">
        <v>33</v>
      </c>
      <c r="E35" s="99">
        <v>49.82</v>
      </c>
      <c r="F35" s="99">
        <v>36.53</v>
      </c>
      <c r="G35" s="99">
        <v>51.79</v>
      </c>
      <c r="H35" s="99">
        <v>42</v>
      </c>
      <c r="I35" s="53">
        <f t="shared" si="3"/>
        <v>13.29</v>
      </c>
      <c r="L35" s="122" t="s">
        <v>3</v>
      </c>
      <c r="M35" s="123">
        <f t="shared" ref="M35:Q35" si="17">+N35-1</f>
        <v>73</v>
      </c>
      <c r="N35" s="123">
        <f t="shared" si="17"/>
        <v>74</v>
      </c>
      <c r="O35" s="123">
        <f t="shared" si="17"/>
        <v>75</v>
      </c>
      <c r="P35" s="123">
        <f t="shared" si="17"/>
        <v>76</v>
      </c>
      <c r="Q35" s="123">
        <f t="shared" si="17"/>
        <v>77</v>
      </c>
      <c r="R35" s="124">
        <f t="shared" ref="R35:S39" si="18">M24</f>
        <v>78</v>
      </c>
      <c r="S35" s="124">
        <f t="shared" si="18"/>
        <v>83</v>
      </c>
    </row>
    <row r="36" spans="1:19" ht="27" customHeight="1" thickBot="1">
      <c r="A36" s="461"/>
      <c r="B36" s="464"/>
      <c r="C36" s="102">
        <v>29</v>
      </c>
      <c r="D36" s="59" t="s">
        <v>34</v>
      </c>
      <c r="E36" s="103">
        <v>45.97</v>
      </c>
      <c r="F36" s="103">
        <v>36.53</v>
      </c>
      <c r="G36" s="103">
        <v>44.68</v>
      </c>
      <c r="H36" s="103">
        <v>32</v>
      </c>
      <c r="I36" s="53">
        <f t="shared" si="3"/>
        <v>9.4399999999999977</v>
      </c>
      <c r="L36" s="125" t="s">
        <v>18</v>
      </c>
      <c r="M36" s="126">
        <f t="shared" ref="M36:Q36" si="19">+N36-1</f>
        <v>75</v>
      </c>
      <c r="N36" s="126">
        <f t="shared" si="19"/>
        <v>76</v>
      </c>
      <c r="O36" s="126">
        <f t="shared" si="19"/>
        <v>77</v>
      </c>
      <c r="P36" s="126">
        <f t="shared" si="19"/>
        <v>78</v>
      </c>
      <c r="Q36" s="126">
        <f t="shared" si="19"/>
        <v>79</v>
      </c>
      <c r="R36" s="127">
        <f t="shared" si="18"/>
        <v>80</v>
      </c>
      <c r="S36" s="127">
        <f t="shared" si="18"/>
        <v>85</v>
      </c>
    </row>
    <row r="37" spans="1:19" ht="27" customHeight="1" thickBot="1">
      <c r="A37" s="461"/>
      <c r="B37" s="464" t="s">
        <v>90</v>
      </c>
      <c r="C37" s="102">
        <v>30</v>
      </c>
      <c r="D37" s="59" t="s">
        <v>35</v>
      </c>
      <c r="E37" s="103">
        <v>77.8</v>
      </c>
      <c r="F37" s="103">
        <v>70.38</v>
      </c>
      <c r="G37" s="103">
        <v>65.959999999999994</v>
      </c>
      <c r="H37" s="103">
        <v>42</v>
      </c>
      <c r="I37" s="53">
        <f t="shared" si="3"/>
        <v>7.4200000000000017</v>
      </c>
      <c r="L37" s="128" t="s">
        <v>32</v>
      </c>
      <c r="M37" s="129">
        <f t="shared" ref="M37:Q37" si="20">+N37-1</f>
        <v>68</v>
      </c>
      <c r="N37" s="129">
        <f t="shared" si="20"/>
        <v>69</v>
      </c>
      <c r="O37" s="129">
        <f t="shared" si="20"/>
        <v>70</v>
      </c>
      <c r="P37" s="129">
        <f t="shared" si="20"/>
        <v>71</v>
      </c>
      <c r="Q37" s="129">
        <f t="shared" si="20"/>
        <v>72</v>
      </c>
      <c r="R37" s="130">
        <f t="shared" si="18"/>
        <v>73</v>
      </c>
      <c r="S37" s="130">
        <f t="shared" si="18"/>
        <v>79</v>
      </c>
    </row>
    <row r="38" spans="1:19" ht="27" customHeight="1" thickBot="1">
      <c r="A38" s="472"/>
      <c r="B38" s="474"/>
      <c r="C38" s="102">
        <v>31</v>
      </c>
      <c r="D38" s="59" t="s">
        <v>36</v>
      </c>
      <c r="E38" s="103">
        <v>93.18</v>
      </c>
      <c r="F38" s="103">
        <v>87.42</v>
      </c>
      <c r="G38" s="103">
        <v>90.62</v>
      </c>
      <c r="H38" s="103">
        <v>79</v>
      </c>
      <c r="I38" s="53">
        <f t="shared" si="3"/>
        <v>5.7600000000000051</v>
      </c>
      <c r="L38" s="131" t="s">
        <v>45</v>
      </c>
      <c r="M38" s="132">
        <f t="shared" ref="M38:Q38" si="21">+N38-1</f>
        <v>71</v>
      </c>
      <c r="N38" s="132">
        <f t="shared" si="21"/>
        <v>72</v>
      </c>
      <c r="O38" s="132">
        <f t="shared" si="21"/>
        <v>73</v>
      </c>
      <c r="P38" s="132">
        <f t="shared" si="21"/>
        <v>74</v>
      </c>
      <c r="Q38" s="132">
        <f t="shared" si="21"/>
        <v>75</v>
      </c>
      <c r="R38" s="133">
        <f t="shared" si="18"/>
        <v>76</v>
      </c>
      <c r="S38" s="133">
        <f t="shared" si="18"/>
        <v>82</v>
      </c>
    </row>
    <row r="39" spans="1:19" ht="27" customHeight="1" thickBot="1">
      <c r="A39" s="475" t="s">
        <v>91</v>
      </c>
      <c r="B39" s="475"/>
      <c r="C39" s="102">
        <v>32</v>
      </c>
      <c r="D39" s="59" t="s">
        <v>37</v>
      </c>
      <c r="E39" s="103">
        <v>66.91</v>
      </c>
      <c r="F39" s="103">
        <v>63.09</v>
      </c>
      <c r="G39" s="103">
        <v>59.33</v>
      </c>
      <c r="H39" s="103">
        <v>38</v>
      </c>
      <c r="I39" s="53">
        <f t="shared" si="3"/>
        <v>3.8199999999999932</v>
      </c>
      <c r="L39" s="134" t="s">
        <v>54</v>
      </c>
      <c r="M39" s="135">
        <f t="shared" ref="M39:Q39" si="22">+N39-1</f>
        <v>77</v>
      </c>
      <c r="N39" s="135">
        <f t="shared" si="22"/>
        <v>78</v>
      </c>
      <c r="O39" s="135">
        <f t="shared" si="22"/>
        <v>79</v>
      </c>
      <c r="P39" s="135">
        <f t="shared" si="22"/>
        <v>80</v>
      </c>
      <c r="Q39" s="135">
        <f t="shared" si="22"/>
        <v>81</v>
      </c>
      <c r="R39" s="136">
        <f t="shared" si="18"/>
        <v>82</v>
      </c>
      <c r="S39" s="136">
        <f t="shared" si="18"/>
        <v>87</v>
      </c>
    </row>
    <row r="40" spans="1:19" ht="27" customHeight="1" thickBot="1">
      <c r="A40" s="476"/>
      <c r="B40" s="476"/>
      <c r="C40" s="102">
        <v>33</v>
      </c>
      <c r="D40" s="59" t="s">
        <v>38</v>
      </c>
      <c r="E40" s="103">
        <v>68.760000000000005</v>
      </c>
      <c r="F40" s="103">
        <v>64.489999999999995</v>
      </c>
      <c r="G40" s="103">
        <v>64.44</v>
      </c>
      <c r="H40" s="103">
        <v>45</v>
      </c>
      <c r="I40" s="53">
        <f t="shared" si="3"/>
        <v>4.2700000000000102</v>
      </c>
      <c r="L40" s="137"/>
      <c r="M40" s="138"/>
      <c r="N40" s="138"/>
      <c r="O40" s="138"/>
      <c r="P40" s="138"/>
      <c r="Q40" s="138"/>
      <c r="R40" s="139"/>
      <c r="S40" s="140"/>
    </row>
    <row r="41" spans="1:19" ht="27" customHeight="1" thickBot="1">
      <c r="A41" s="477"/>
      <c r="B41" s="477"/>
      <c r="C41" s="102">
        <v>34</v>
      </c>
      <c r="D41" s="59" t="s">
        <v>39</v>
      </c>
      <c r="E41" s="103">
        <v>71.25</v>
      </c>
      <c r="F41" s="103">
        <v>67.19</v>
      </c>
      <c r="G41" s="103">
        <v>68.69</v>
      </c>
      <c r="H41" s="103">
        <v>44</v>
      </c>
      <c r="I41" s="53">
        <f t="shared" si="3"/>
        <v>4.0600000000000023</v>
      </c>
      <c r="L41" s="109"/>
      <c r="M41" s="112">
        <f t="shared" ref="M41:P41" si="23">+N41-1</f>
        <v>2011</v>
      </c>
      <c r="N41" s="112">
        <f t="shared" si="23"/>
        <v>2012</v>
      </c>
      <c r="O41" s="112">
        <f t="shared" si="23"/>
        <v>2013</v>
      </c>
      <c r="P41" s="112">
        <f t="shared" si="23"/>
        <v>2014</v>
      </c>
      <c r="Q41" s="112">
        <f>+R41-1</f>
        <v>2015</v>
      </c>
      <c r="R41" s="141">
        <f>$M$2</f>
        <v>2016</v>
      </c>
      <c r="S41" s="141">
        <f>$N$2</f>
        <v>2017</v>
      </c>
    </row>
    <row r="42" spans="1:19" ht="27" customHeight="1" thickBot="1">
      <c r="A42" s="460" t="s">
        <v>92</v>
      </c>
      <c r="B42" s="463" t="s">
        <v>93</v>
      </c>
      <c r="C42" s="102">
        <v>35</v>
      </c>
      <c r="D42" s="59" t="s">
        <v>40</v>
      </c>
      <c r="E42" s="103">
        <v>94.61</v>
      </c>
      <c r="F42" s="103">
        <v>90.16</v>
      </c>
      <c r="G42" s="103">
        <v>88.19</v>
      </c>
      <c r="H42" s="103">
        <v>73</v>
      </c>
      <c r="I42" s="53">
        <f t="shared" si="3"/>
        <v>4.4500000000000028</v>
      </c>
      <c r="L42" s="111" t="s">
        <v>186</v>
      </c>
      <c r="M42" s="112">
        <f t="shared" ref="M42:Q42" si="24">+N42-1</f>
        <v>72</v>
      </c>
      <c r="N42" s="112">
        <f t="shared" si="24"/>
        <v>73</v>
      </c>
      <c r="O42" s="112">
        <f t="shared" si="24"/>
        <v>74</v>
      </c>
      <c r="P42" s="112">
        <f t="shared" si="24"/>
        <v>75</v>
      </c>
      <c r="Q42" s="112">
        <f t="shared" si="24"/>
        <v>76</v>
      </c>
      <c r="R42" s="142">
        <f t="shared" ref="R42:S44" si="25">M30</f>
        <v>77</v>
      </c>
      <c r="S42" s="142">
        <f t="shared" si="25"/>
        <v>82</v>
      </c>
    </row>
    <row r="43" spans="1:19" ht="27" customHeight="1" thickBot="1">
      <c r="A43" s="461"/>
      <c r="B43" s="464"/>
      <c r="C43" s="102">
        <v>36</v>
      </c>
      <c r="D43" s="59" t="s">
        <v>41</v>
      </c>
      <c r="E43" s="103">
        <v>97.13</v>
      </c>
      <c r="F43" s="103">
        <v>94.17</v>
      </c>
      <c r="G43" s="103">
        <v>94.83</v>
      </c>
      <c r="H43" s="103">
        <v>88</v>
      </c>
      <c r="I43" s="53">
        <f t="shared" si="3"/>
        <v>2.9599999999999937</v>
      </c>
      <c r="L43" s="111" t="s">
        <v>164</v>
      </c>
      <c r="M43" s="112">
        <f t="shared" ref="M43:Q43" si="26">+N43-1</f>
        <v>73</v>
      </c>
      <c r="N43" s="112">
        <f t="shared" si="26"/>
        <v>74</v>
      </c>
      <c r="O43" s="112">
        <f t="shared" si="26"/>
        <v>75</v>
      </c>
      <c r="P43" s="112">
        <f t="shared" si="26"/>
        <v>76</v>
      </c>
      <c r="Q43" s="112">
        <f t="shared" si="26"/>
        <v>77</v>
      </c>
      <c r="R43" s="143">
        <f t="shared" si="25"/>
        <v>78</v>
      </c>
      <c r="S43" s="143">
        <f t="shared" si="25"/>
        <v>83</v>
      </c>
    </row>
    <row r="44" spans="1:19" ht="27" customHeight="1" thickBot="1">
      <c r="A44" s="461"/>
      <c r="B44" s="464"/>
      <c r="C44" s="102">
        <v>37</v>
      </c>
      <c r="D44" s="59" t="s">
        <v>42</v>
      </c>
      <c r="E44" s="103">
        <v>96.22</v>
      </c>
      <c r="F44" s="103">
        <v>94.38</v>
      </c>
      <c r="G44" s="103">
        <v>93.52</v>
      </c>
      <c r="H44" s="103">
        <v>87</v>
      </c>
      <c r="I44" s="53">
        <f t="shared" si="3"/>
        <v>1.8400000000000034</v>
      </c>
      <c r="L44" s="111" t="s">
        <v>185</v>
      </c>
      <c r="M44" s="112">
        <f t="shared" ref="M44:Q44" si="27">+N44-1</f>
        <v>75.900000000000006</v>
      </c>
      <c r="N44" s="112">
        <f t="shared" si="27"/>
        <v>76.900000000000006</v>
      </c>
      <c r="O44" s="112">
        <f t="shared" si="27"/>
        <v>77.900000000000006</v>
      </c>
      <c r="P44" s="112">
        <f t="shared" si="27"/>
        <v>78.900000000000006</v>
      </c>
      <c r="Q44" s="112">
        <f t="shared" si="27"/>
        <v>79.900000000000006</v>
      </c>
      <c r="R44" s="143">
        <f t="shared" si="25"/>
        <v>80.900000000000006</v>
      </c>
      <c r="S44" s="143">
        <f t="shared" si="25"/>
        <v>89.41</v>
      </c>
    </row>
    <row r="45" spans="1:19" ht="27" customHeight="1">
      <c r="A45" s="461"/>
      <c r="B45" s="464"/>
      <c r="C45" s="102">
        <v>38</v>
      </c>
      <c r="D45" s="59" t="s">
        <v>43</v>
      </c>
      <c r="E45" s="103">
        <v>94.43</v>
      </c>
      <c r="F45" s="103">
        <v>91.26</v>
      </c>
      <c r="G45" s="103">
        <v>92.24</v>
      </c>
      <c r="H45" s="103">
        <v>84</v>
      </c>
      <c r="I45" s="53">
        <f t="shared" si="3"/>
        <v>3.1700000000000017</v>
      </c>
    </row>
    <row r="46" spans="1:19" ht="27" customHeight="1" thickBot="1">
      <c r="A46" s="462"/>
      <c r="B46" s="144" t="s">
        <v>94</v>
      </c>
      <c r="C46" s="113">
        <v>39</v>
      </c>
      <c r="D46" s="88" t="s">
        <v>44</v>
      </c>
      <c r="E46" s="114">
        <v>87.57</v>
      </c>
      <c r="F46" s="114">
        <v>79.78</v>
      </c>
      <c r="G46" s="114">
        <v>81.91</v>
      </c>
      <c r="H46" s="114">
        <v>63</v>
      </c>
      <c r="I46" s="53">
        <f t="shared" si="3"/>
        <v>7.789999999999992</v>
      </c>
    </row>
    <row r="47" spans="1:19" ht="24.95" customHeight="1">
      <c r="A47" s="145" t="s">
        <v>45</v>
      </c>
      <c r="B47" s="92"/>
      <c r="C47" s="92"/>
      <c r="D47" s="92"/>
      <c r="E47" s="93"/>
      <c r="F47" s="93"/>
      <c r="G47" s="93"/>
      <c r="H47" s="93"/>
      <c r="I47" s="15"/>
      <c r="J47" s="41"/>
      <c r="K47" s="41"/>
      <c r="L47" s="42"/>
    </row>
    <row r="48" spans="1:19" ht="35.1" customHeight="1" thickBot="1">
      <c r="A48" s="44" t="s">
        <v>67</v>
      </c>
      <c r="B48" s="45"/>
      <c r="C48" s="45" t="s">
        <v>68</v>
      </c>
      <c r="D48" s="45" t="s">
        <v>69</v>
      </c>
      <c r="E48" s="46">
        <f>$E$3</f>
        <v>2017</v>
      </c>
      <c r="F48" s="46">
        <f>$F$3</f>
        <v>2016</v>
      </c>
      <c r="G48" s="45" t="str">
        <f>$G$3</f>
        <v>BMK Mejores Argentina 2016</v>
      </c>
      <c r="H48" s="45" t="str">
        <f>$H$3</f>
        <v>Mercado 2016</v>
      </c>
      <c r="I48" s="53">
        <f t="shared" si="3"/>
        <v>1</v>
      </c>
    </row>
    <row r="49" spans="1:14" ht="27" customHeight="1">
      <c r="A49" s="445" t="s">
        <v>95</v>
      </c>
      <c r="B49" s="446"/>
      <c r="C49" s="98">
        <v>40</v>
      </c>
      <c r="D49" s="51" t="s">
        <v>46</v>
      </c>
      <c r="E49" s="99">
        <v>78.989999999999995</v>
      </c>
      <c r="F49" s="99">
        <v>75.06</v>
      </c>
      <c r="G49" s="99">
        <v>77.8</v>
      </c>
      <c r="H49" s="99">
        <v>64</v>
      </c>
      <c r="I49" s="53">
        <f t="shared" si="3"/>
        <v>3.9299999999999926</v>
      </c>
    </row>
    <row r="50" spans="1:14" ht="27" customHeight="1">
      <c r="A50" s="447"/>
      <c r="B50" s="448"/>
      <c r="C50" s="102">
        <v>41</v>
      </c>
      <c r="D50" s="59" t="s">
        <v>47</v>
      </c>
      <c r="E50" s="103">
        <v>66.61</v>
      </c>
      <c r="F50" s="103">
        <v>61.47</v>
      </c>
      <c r="G50" s="103">
        <v>74.849999999999994</v>
      </c>
      <c r="H50" s="103">
        <v>62</v>
      </c>
      <c r="I50" s="53">
        <f t="shared" si="3"/>
        <v>5.1400000000000006</v>
      </c>
    </row>
    <row r="51" spans="1:14" ht="27" customHeight="1">
      <c r="A51" s="449" t="s">
        <v>96</v>
      </c>
      <c r="B51" s="449"/>
      <c r="C51" s="102">
        <v>42</v>
      </c>
      <c r="D51" s="59" t="s">
        <v>48</v>
      </c>
      <c r="E51" s="103">
        <v>87.3</v>
      </c>
      <c r="F51" s="103">
        <v>82.14</v>
      </c>
      <c r="G51" s="103">
        <v>87.31</v>
      </c>
      <c r="H51" s="103">
        <v>78</v>
      </c>
      <c r="I51" s="53">
        <f t="shared" si="3"/>
        <v>5.1599999999999966</v>
      </c>
    </row>
    <row r="52" spans="1:14" ht="27" customHeight="1">
      <c r="A52" s="450"/>
      <c r="B52" s="450"/>
      <c r="C52" s="102">
        <v>43</v>
      </c>
      <c r="D52" s="59" t="s">
        <v>49</v>
      </c>
      <c r="E52" s="103">
        <v>75.84</v>
      </c>
      <c r="F52" s="103">
        <v>69.27</v>
      </c>
      <c r="G52" s="103">
        <v>72.97</v>
      </c>
      <c r="H52" s="103">
        <v>52</v>
      </c>
      <c r="I52" s="53">
        <f t="shared" si="3"/>
        <v>6.5700000000000074</v>
      </c>
      <c r="N52" s="43"/>
    </row>
    <row r="53" spans="1:14" ht="27" customHeight="1">
      <c r="A53" s="447" t="s">
        <v>97</v>
      </c>
      <c r="B53" s="448"/>
      <c r="C53" s="102">
        <v>44</v>
      </c>
      <c r="D53" s="59" t="s">
        <v>50</v>
      </c>
      <c r="E53" s="103">
        <v>83.84</v>
      </c>
      <c r="F53" s="103">
        <v>75.900000000000006</v>
      </c>
      <c r="G53" s="103">
        <v>79.09</v>
      </c>
      <c r="H53" s="103">
        <v>70</v>
      </c>
      <c r="I53" s="53">
        <f t="shared" si="3"/>
        <v>7.9399999999999977</v>
      </c>
      <c r="M53" s="42"/>
    </row>
    <row r="54" spans="1:14" ht="27" customHeight="1">
      <c r="A54" s="447"/>
      <c r="B54" s="448"/>
      <c r="C54" s="102">
        <v>45</v>
      </c>
      <c r="D54" s="59" t="s">
        <v>51</v>
      </c>
      <c r="E54" s="103">
        <v>91.73</v>
      </c>
      <c r="F54" s="103">
        <v>84.72</v>
      </c>
      <c r="G54" s="103">
        <v>85.6</v>
      </c>
      <c r="H54" s="103">
        <v>73</v>
      </c>
      <c r="I54" s="53">
        <f t="shared" si="3"/>
        <v>7.0100000000000051</v>
      </c>
    </row>
    <row r="55" spans="1:14" ht="27" customHeight="1">
      <c r="A55" s="447"/>
      <c r="B55" s="448"/>
      <c r="C55" s="102">
        <v>46</v>
      </c>
      <c r="D55" s="59" t="s">
        <v>52</v>
      </c>
      <c r="E55" s="103">
        <v>87.77</v>
      </c>
      <c r="F55" s="103">
        <v>81.88</v>
      </c>
      <c r="G55" s="103">
        <v>78.81</v>
      </c>
      <c r="H55" s="103">
        <v>57</v>
      </c>
      <c r="I55" s="53">
        <f t="shared" si="3"/>
        <v>5.8900000000000006</v>
      </c>
    </row>
    <row r="56" spans="1:14" ht="27" customHeight="1" thickBot="1">
      <c r="A56" s="451"/>
      <c r="B56" s="452"/>
      <c r="C56" s="113">
        <v>47</v>
      </c>
      <c r="D56" s="88" t="s">
        <v>53</v>
      </c>
      <c r="E56" s="114">
        <v>80.69</v>
      </c>
      <c r="F56" s="114">
        <v>74.099999999999994</v>
      </c>
      <c r="G56" s="114">
        <v>79.37</v>
      </c>
      <c r="H56" s="114">
        <v>62</v>
      </c>
      <c r="I56" s="53">
        <f t="shared" si="3"/>
        <v>6.5900000000000034</v>
      </c>
      <c r="M56" s="42"/>
    </row>
    <row r="57" spans="1:14" ht="24.95" customHeight="1">
      <c r="A57" s="116" t="s">
        <v>54</v>
      </c>
      <c r="B57" s="92"/>
      <c r="C57" s="92"/>
      <c r="D57" s="92"/>
      <c r="E57" s="93"/>
      <c r="F57" s="93"/>
      <c r="G57" s="93"/>
      <c r="H57" s="93"/>
      <c r="I57" s="15"/>
      <c r="J57" s="41"/>
      <c r="K57" s="41"/>
      <c r="L57" s="42"/>
    </row>
    <row r="58" spans="1:14" ht="35.1" customHeight="1" thickBot="1">
      <c r="A58" s="44" t="s">
        <v>67</v>
      </c>
      <c r="B58" s="45"/>
      <c r="C58" s="45" t="s">
        <v>68</v>
      </c>
      <c r="D58" s="45" t="s">
        <v>69</v>
      </c>
      <c r="E58" s="46">
        <f>$E$3</f>
        <v>2017</v>
      </c>
      <c r="F58" s="46">
        <f>$F$3</f>
        <v>2016</v>
      </c>
      <c r="G58" s="45" t="str">
        <f>$G$3</f>
        <v>BMK Mejores Argentina 2016</v>
      </c>
      <c r="H58" s="45" t="str">
        <f>$H$3</f>
        <v>Mercado 2016</v>
      </c>
      <c r="I58" s="53">
        <f t="shared" si="3"/>
        <v>1</v>
      </c>
    </row>
    <row r="59" spans="1:14" ht="27" customHeight="1">
      <c r="A59" s="453" t="s">
        <v>98</v>
      </c>
      <c r="B59" s="453"/>
      <c r="C59" s="98">
        <v>48</v>
      </c>
      <c r="D59" s="51" t="s">
        <v>55</v>
      </c>
      <c r="E59" s="99">
        <v>90.13</v>
      </c>
      <c r="F59" s="99">
        <v>85.87</v>
      </c>
      <c r="G59" s="99">
        <v>87.45</v>
      </c>
      <c r="H59" s="99">
        <v>76</v>
      </c>
      <c r="I59" s="53">
        <f t="shared" si="3"/>
        <v>4.2599999999999909</v>
      </c>
    </row>
    <row r="60" spans="1:14" ht="27" customHeight="1">
      <c r="A60" s="443"/>
      <c r="B60" s="443"/>
      <c r="C60" s="102">
        <v>49</v>
      </c>
      <c r="D60" s="59" t="s">
        <v>56</v>
      </c>
      <c r="E60" s="103">
        <v>89.93</v>
      </c>
      <c r="F60" s="103">
        <v>82.51</v>
      </c>
      <c r="G60" s="103">
        <v>85.47</v>
      </c>
      <c r="H60" s="103">
        <v>65</v>
      </c>
      <c r="I60" s="53">
        <f t="shared" si="3"/>
        <v>7.4200000000000017</v>
      </c>
    </row>
    <row r="61" spans="1:14" ht="27" customHeight="1">
      <c r="A61" s="443"/>
      <c r="B61" s="443"/>
      <c r="C61" s="102">
        <v>50</v>
      </c>
      <c r="D61" s="59" t="s">
        <v>57</v>
      </c>
      <c r="E61" s="103">
        <v>85.1</v>
      </c>
      <c r="F61" s="103">
        <v>80.27</v>
      </c>
      <c r="G61" s="103">
        <v>81.22</v>
      </c>
      <c r="H61" s="103">
        <v>59</v>
      </c>
      <c r="I61" s="53">
        <f t="shared" si="3"/>
        <v>4.8299999999999983</v>
      </c>
    </row>
    <row r="62" spans="1:14" ht="27" customHeight="1">
      <c r="A62" s="454" t="s">
        <v>99</v>
      </c>
      <c r="B62" s="457" t="s">
        <v>100</v>
      </c>
      <c r="C62" s="102">
        <v>51</v>
      </c>
      <c r="D62" s="59" t="s">
        <v>58</v>
      </c>
      <c r="E62" s="103">
        <v>93.96</v>
      </c>
      <c r="F62" s="103">
        <v>89.53</v>
      </c>
      <c r="G62" s="103">
        <v>89.51</v>
      </c>
      <c r="H62" s="103">
        <v>74</v>
      </c>
      <c r="I62" s="53">
        <f t="shared" si="3"/>
        <v>4.4299999999999926</v>
      </c>
    </row>
    <row r="63" spans="1:14" ht="27" customHeight="1">
      <c r="A63" s="455"/>
      <c r="B63" s="458"/>
      <c r="C63" s="102">
        <v>52</v>
      </c>
      <c r="D63" s="59" t="s">
        <v>59</v>
      </c>
      <c r="E63" s="103">
        <v>87.97</v>
      </c>
      <c r="F63" s="103">
        <v>81.349999999999994</v>
      </c>
      <c r="G63" s="103">
        <v>82.63</v>
      </c>
      <c r="H63" s="103">
        <v>68</v>
      </c>
      <c r="I63" s="53">
        <f t="shared" si="3"/>
        <v>6.6200000000000045</v>
      </c>
    </row>
    <row r="64" spans="1:14" ht="27" customHeight="1">
      <c r="A64" s="455"/>
      <c r="B64" s="458" t="s">
        <v>101</v>
      </c>
      <c r="C64" s="102">
        <v>53</v>
      </c>
      <c r="D64" s="59" t="s">
        <v>60</v>
      </c>
      <c r="E64" s="103">
        <v>91.38</v>
      </c>
      <c r="F64" s="103">
        <v>88.99</v>
      </c>
      <c r="G64" s="103">
        <v>91.37</v>
      </c>
      <c r="H64" s="103">
        <v>80</v>
      </c>
      <c r="I64" s="53">
        <f t="shared" si="3"/>
        <v>2.3900000000000006</v>
      </c>
      <c r="N64" s="43"/>
    </row>
    <row r="65" spans="1:14" ht="27" customHeight="1">
      <c r="A65" s="456"/>
      <c r="B65" s="459"/>
      <c r="C65" s="102">
        <v>54</v>
      </c>
      <c r="D65" s="59" t="s">
        <v>61</v>
      </c>
      <c r="E65" s="103">
        <v>84.84</v>
      </c>
      <c r="F65" s="103">
        <v>78.97</v>
      </c>
      <c r="G65" s="103">
        <v>82.91</v>
      </c>
      <c r="H65" s="103">
        <v>63</v>
      </c>
      <c r="I65" s="53">
        <f t="shared" si="3"/>
        <v>5.8700000000000045</v>
      </c>
    </row>
    <row r="66" spans="1:14" ht="27" customHeight="1">
      <c r="A66" s="443" t="s">
        <v>102</v>
      </c>
      <c r="B66" s="443"/>
      <c r="C66" s="102">
        <v>55</v>
      </c>
      <c r="D66" s="59" t="s">
        <v>62</v>
      </c>
      <c r="E66" s="103">
        <v>79.489999999999995</v>
      </c>
      <c r="F66" s="103">
        <v>75.06</v>
      </c>
      <c r="G66" s="103">
        <v>77.45</v>
      </c>
      <c r="H66" s="103">
        <v>57</v>
      </c>
      <c r="I66" s="53">
        <f t="shared" si="3"/>
        <v>4.4299999999999926</v>
      </c>
    </row>
    <row r="67" spans="1:14" ht="27" customHeight="1">
      <c r="A67" s="443"/>
      <c r="B67" s="443"/>
      <c r="C67" s="102">
        <v>56</v>
      </c>
      <c r="D67" s="59" t="s">
        <v>63</v>
      </c>
      <c r="E67" s="103">
        <v>78.739999999999995</v>
      </c>
      <c r="F67" s="103">
        <v>73.2</v>
      </c>
      <c r="G67" s="103">
        <v>75.42</v>
      </c>
      <c r="H67" s="103">
        <v>52</v>
      </c>
      <c r="I67" s="53">
        <f t="shared" si="3"/>
        <v>5.539999999999992</v>
      </c>
      <c r="N67" s="43"/>
    </row>
    <row r="68" spans="1:14" ht="27" customHeight="1" thickBot="1">
      <c r="A68" s="444"/>
      <c r="B68" s="444"/>
      <c r="C68" s="113">
        <v>57</v>
      </c>
      <c r="D68" s="88" t="s">
        <v>64</v>
      </c>
      <c r="E68" s="114">
        <v>88.1</v>
      </c>
      <c r="F68" s="114">
        <v>80.849999999999994</v>
      </c>
      <c r="G68" s="114">
        <v>81.459999999999994</v>
      </c>
      <c r="H68" s="114">
        <v>63</v>
      </c>
      <c r="I68" s="53">
        <f t="shared" si="3"/>
        <v>7.25</v>
      </c>
    </row>
    <row r="69" spans="1:14" ht="24.95" customHeight="1">
      <c r="A69" s="116" t="s">
        <v>65</v>
      </c>
      <c r="B69" s="92"/>
      <c r="C69" s="92"/>
      <c r="D69" s="92"/>
      <c r="E69" s="146"/>
      <c r="F69" s="146"/>
      <c r="G69" s="146"/>
      <c r="H69" s="146"/>
      <c r="I69" s="15"/>
      <c r="J69" s="41"/>
      <c r="K69" s="41"/>
      <c r="L69" s="42"/>
    </row>
    <row r="70" spans="1:14" ht="24.95" customHeight="1">
      <c r="A70" s="439" t="s">
        <v>67</v>
      </c>
      <c r="B70" s="440"/>
      <c r="C70" s="147" t="s">
        <v>68</v>
      </c>
      <c r="D70" s="147" t="s">
        <v>69</v>
      </c>
      <c r="E70" s="148"/>
      <c r="F70" s="149"/>
      <c r="G70" s="149"/>
      <c r="H70" s="150"/>
      <c r="I70" s="53">
        <f t="shared" si="3"/>
        <v>0</v>
      </c>
    </row>
    <row r="71" spans="1:14" ht="27" customHeight="1">
      <c r="A71" s="441" t="s">
        <v>103</v>
      </c>
      <c r="B71" s="442"/>
      <c r="C71" s="151">
        <v>58</v>
      </c>
      <c r="D71" s="152" t="s">
        <v>66</v>
      </c>
      <c r="E71" s="103">
        <v>89.41</v>
      </c>
      <c r="F71" s="103">
        <v>80.900000000000006</v>
      </c>
      <c r="G71" s="103">
        <v>81.900000000000006</v>
      </c>
      <c r="H71" s="103">
        <v>64</v>
      </c>
      <c r="I71" s="53">
        <f t="shared" ref="I71:I83" si="28">E71-F71</f>
        <v>8.5099999999999909</v>
      </c>
    </row>
    <row r="72" spans="1:14" ht="24.95" customHeight="1">
      <c r="A72" s="38" t="s">
        <v>104</v>
      </c>
      <c r="B72" s="153"/>
      <c r="C72" s="153"/>
      <c r="D72" s="153"/>
      <c r="E72" s="154"/>
      <c r="F72" s="154"/>
      <c r="G72" s="154"/>
      <c r="H72" s="154"/>
      <c r="I72" s="15"/>
      <c r="J72" s="41"/>
      <c r="K72" s="41"/>
      <c r="L72" s="42"/>
    </row>
    <row r="73" spans="1:14" ht="35.1" customHeight="1" thickBot="1">
      <c r="A73" s="437" t="s">
        <v>67</v>
      </c>
      <c r="B73" s="438"/>
      <c r="C73" s="45" t="s">
        <v>68</v>
      </c>
      <c r="D73" s="45" t="s">
        <v>69</v>
      </c>
      <c r="E73" s="46">
        <v>2014</v>
      </c>
      <c r="F73" s="46">
        <v>2015</v>
      </c>
      <c r="G73" s="46"/>
      <c r="H73" s="46"/>
      <c r="I73" s="53">
        <f t="shared" si="28"/>
        <v>-1</v>
      </c>
    </row>
    <row r="74" spans="1:14" ht="27" customHeight="1">
      <c r="A74" s="437"/>
      <c r="B74" s="438"/>
      <c r="C74" s="155">
        <v>59</v>
      </c>
      <c r="D74" s="156" t="s">
        <v>458</v>
      </c>
      <c r="E74" s="157"/>
      <c r="F74" s="157"/>
      <c r="G74" s="103"/>
      <c r="H74" s="158"/>
      <c r="I74" s="53">
        <f t="shared" si="28"/>
        <v>0</v>
      </c>
    </row>
    <row r="75" spans="1:14" ht="27" customHeight="1">
      <c r="A75" s="437"/>
      <c r="B75" s="438"/>
      <c r="C75" s="159">
        <v>60</v>
      </c>
      <c r="D75" s="160" t="s">
        <v>459</v>
      </c>
      <c r="E75" s="103"/>
      <c r="F75" s="103"/>
      <c r="G75" s="103"/>
      <c r="H75" s="158"/>
      <c r="I75" s="53">
        <f t="shared" si="28"/>
        <v>0</v>
      </c>
    </row>
    <row r="76" spans="1:14" ht="27" customHeight="1">
      <c r="A76" s="437"/>
      <c r="B76" s="438"/>
      <c r="C76" s="159">
        <v>61</v>
      </c>
      <c r="D76" s="160" t="s">
        <v>460</v>
      </c>
      <c r="E76" s="103"/>
      <c r="F76" s="103"/>
      <c r="G76" s="103"/>
      <c r="H76" s="158"/>
      <c r="I76" s="53">
        <f t="shared" si="28"/>
        <v>0</v>
      </c>
    </row>
    <row r="77" spans="1:14" ht="27" customHeight="1">
      <c r="A77" s="437"/>
      <c r="B77" s="438"/>
      <c r="C77" s="159">
        <v>62</v>
      </c>
      <c r="D77" s="160" t="s">
        <v>461</v>
      </c>
      <c r="E77" s="103"/>
      <c r="F77" s="103"/>
      <c r="G77" s="103"/>
      <c r="H77" s="158"/>
      <c r="I77" s="53">
        <f t="shared" si="28"/>
        <v>0</v>
      </c>
    </row>
    <row r="78" spans="1:14" ht="27" customHeight="1">
      <c r="A78" s="437"/>
      <c r="B78" s="438"/>
      <c r="C78" s="159">
        <v>63</v>
      </c>
      <c r="D78" s="160" t="s">
        <v>462</v>
      </c>
      <c r="E78" s="103"/>
      <c r="F78" s="103"/>
      <c r="G78" s="103"/>
      <c r="H78" s="158"/>
      <c r="I78" s="53">
        <f t="shared" si="28"/>
        <v>0</v>
      </c>
    </row>
    <row r="79" spans="1:14" ht="27" customHeight="1">
      <c r="A79" s="437"/>
      <c r="B79" s="438"/>
      <c r="C79" s="155">
        <v>64</v>
      </c>
      <c r="D79" s="156" t="s">
        <v>463</v>
      </c>
      <c r="E79" s="103"/>
      <c r="F79" s="103"/>
      <c r="G79" s="103"/>
      <c r="H79" s="158"/>
      <c r="I79" s="53">
        <f t="shared" si="28"/>
        <v>0</v>
      </c>
    </row>
    <row r="80" spans="1:14" ht="27" customHeight="1">
      <c r="A80" s="437"/>
      <c r="B80" s="438"/>
      <c r="C80" s="159">
        <v>65</v>
      </c>
      <c r="D80" s="160" t="s">
        <v>464</v>
      </c>
      <c r="E80" s="103"/>
      <c r="F80" s="103"/>
      <c r="G80" s="103"/>
      <c r="H80" s="158"/>
      <c r="I80" s="53">
        <f t="shared" si="28"/>
        <v>0</v>
      </c>
    </row>
    <row r="81" spans="1:9" ht="27" customHeight="1">
      <c r="A81" s="437"/>
      <c r="B81" s="438"/>
      <c r="C81" s="159">
        <v>66</v>
      </c>
      <c r="D81" s="160" t="s">
        <v>465</v>
      </c>
      <c r="E81" s="103"/>
      <c r="F81" s="103"/>
      <c r="G81" s="103"/>
      <c r="H81" s="158"/>
      <c r="I81" s="53">
        <f t="shared" si="28"/>
        <v>0</v>
      </c>
    </row>
    <row r="82" spans="1:9" ht="27" customHeight="1">
      <c r="A82" s="437"/>
      <c r="B82" s="438"/>
      <c r="C82" s="159">
        <v>67</v>
      </c>
      <c r="D82" s="160" t="s">
        <v>466</v>
      </c>
      <c r="E82" s="103"/>
      <c r="F82" s="103"/>
      <c r="G82" s="103"/>
      <c r="H82" s="158"/>
      <c r="I82" s="53">
        <f t="shared" si="28"/>
        <v>0</v>
      </c>
    </row>
    <row r="83" spans="1:9" ht="27" customHeight="1" thickBot="1">
      <c r="A83" s="437"/>
      <c r="B83" s="438"/>
      <c r="C83" s="161">
        <v>68</v>
      </c>
      <c r="D83" s="162" t="s">
        <v>467</v>
      </c>
      <c r="E83" s="163"/>
      <c r="F83" s="163"/>
      <c r="G83" s="163"/>
      <c r="H83" s="164"/>
      <c r="I83" s="53">
        <f t="shared" si="28"/>
        <v>0</v>
      </c>
    </row>
  </sheetData>
  <mergeCells count="44">
    <mergeCell ref="A8:A13"/>
    <mergeCell ref="B8:B10"/>
    <mergeCell ref="B11:B12"/>
    <mergeCell ref="A4:A7"/>
    <mergeCell ref="B4:B5"/>
    <mergeCell ref="B6:B7"/>
    <mergeCell ref="A14:A17"/>
    <mergeCell ref="B14:B16"/>
    <mergeCell ref="A20:A23"/>
    <mergeCell ref="B20:B21"/>
    <mergeCell ref="B22:B23"/>
    <mergeCell ref="A42:A46"/>
    <mergeCell ref="B42:B45"/>
    <mergeCell ref="A24:A25"/>
    <mergeCell ref="B24:B25"/>
    <mergeCell ref="A26:A32"/>
    <mergeCell ref="B26:B28"/>
    <mergeCell ref="B29:B32"/>
    <mergeCell ref="A35:A38"/>
    <mergeCell ref="B35:B36"/>
    <mergeCell ref="B37:B38"/>
    <mergeCell ref="A39:B41"/>
    <mergeCell ref="A51:B52"/>
    <mergeCell ref="A53:B56"/>
    <mergeCell ref="A59:B61"/>
    <mergeCell ref="A62:A65"/>
    <mergeCell ref="B62:B63"/>
    <mergeCell ref="B64:B65"/>
    <mergeCell ref="A1:B1"/>
    <mergeCell ref="A80:B80"/>
    <mergeCell ref="A81:B81"/>
    <mergeCell ref="A82:B82"/>
    <mergeCell ref="A83:B83"/>
    <mergeCell ref="A75:B75"/>
    <mergeCell ref="A76:B76"/>
    <mergeCell ref="A77:B77"/>
    <mergeCell ref="A78:B78"/>
    <mergeCell ref="A79:B79"/>
    <mergeCell ref="A70:B70"/>
    <mergeCell ref="A71:B71"/>
    <mergeCell ref="A73:B73"/>
    <mergeCell ref="A74:B74"/>
    <mergeCell ref="A66:B68"/>
    <mergeCell ref="A49:B50"/>
  </mergeCells>
  <conditionalFormatting sqref="F4:F17">
    <cfRule type="expression" dxfId="374" priority="149">
      <formula>F4=""</formula>
    </cfRule>
    <cfRule type="expression" dxfId="373" priority="150">
      <formula>F4&lt;44.5</formula>
    </cfRule>
    <cfRule type="expression" dxfId="372" priority="151">
      <formula>F4&lt;60.5</formula>
    </cfRule>
    <cfRule type="expression" dxfId="371" priority="152">
      <formula>F4&lt;85.5</formula>
    </cfRule>
    <cfRule type="expression" dxfId="370" priority="153">
      <formula>F4&gt;85.5</formula>
    </cfRule>
  </conditionalFormatting>
  <conditionalFormatting sqref="E4:E17">
    <cfRule type="expression" dxfId="369" priority="135">
      <formula>E4=""</formula>
    </cfRule>
    <cfRule type="expression" dxfId="368" priority="136">
      <formula>E4&lt;44.5</formula>
    </cfRule>
    <cfRule type="expression" dxfId="367" priority="137">
      <formula>E4&lt;60.5</formula>
    </cfRule>
    <cfRule type="expression" dxfId="366" priority="138">
      <formula>E4&lt;85.5</formula>
    </cfRule>
    <cfRule type="expression" dxfId="365" priority="139">
      <formula>E4&gt;85.5</formula>
    </cfRule>
  </conditionalFormatting>
  <conditionalFormatting sqref="E4:H17">
    <cfRule type="expression" dxfId="364" priority="66">
      <formula>E4=""</formula>
    </cfRule>
    <cfRule type="expression" dxfId="363" priority="67">
      <formula>E4&lt;44.5</formula>
    </cfRule>
    <cfRule type="expression" dxfId="362" priority="68">
      <formula>E4&lt;60.5</formula>
    </cfRule>
    <cfRule type="expression" dxfId="361" priority="69">
      <formula>E4&lt;85.5</formula>
    </cfRule>
    <cfRule type="expression" dxfId="360" priority="70">
      <formula>E4&gt;85.5</formula>
    </cfRule>
  </conditionalFormatting>
  <conditionalFormatting sqref="E20:H32">
    <cfRule type="expression" dxfId="359" priority="56">
      <formula>E20=""</formula>
    </cfRule>
    <cfRule type="expression" dxfId="358" priority="57">
      <formula>E20&lt;44.5</formula>
    </cfRule>
    <cfRule type="expression" dxfId="357" priority="58">
      <formula>E20&lt;60.5</formula>
    </cfRule>
    <cfRule type="expression" dxfId="356" priority="59">
      <formula>E20&lt;85.5</formula>
    </cfRule>
    <cfRule type="expression" dxfId="355" priority="60">
      <formula>E20&gt;85.5</formula>
    </cfRule>
  </conditionalFormatting>
  <conditionalFormatting sqref="E35:H46">
    <cfRule type="expression" dxfId="354" priority="51">
      <formula>E35=""</formula>
    </cfRule>
    <cfRule type="expression" dxfId="353" priority="52">
      <formula>E35&lt;44.5</formula>
    </cfRule>
    <cfRule type="expression" dxfId="352" priority="53">
      <formula>E35&lt;60.5</formula>
    </cfRule>
    <cfRule type="expression" dxfId="351" priority="54">
      <formula>E35&lt;85.5</formula>
    </cfRule>
    <cfRule type="expression" dxfId="350" priority="55">
      <formula>E35&gt;85.5</formula>
    </cfRule>
  </conditionalFormatting>
  <conditionalFormatting sqref="E49:H56">
    <cfRule type="expression" dxfId="349" priority="46">
      <formula>E49=""</formula>
    </cfRule>
    <cfRule type="expression" dxfId="348" priority="47">
      <formula>E49&lt;44.5</formula>
    </cfRule>
    <cfRule type="expression" dxfId="347" priority="48">
      <formula>E49&lt;60.5</formula>
    </cfRule>
    <cfRule type="expression" dxfId="346" priority="49">
      <formula>E49&lt;85.5</formula>
    </cfRule>
    <cfRule type="expression" dxfId="345" priority="50">
      <formula>E49&gt;85.5</formula>
    </cfRule>
  </conditionalFormatting>
  <conditionalFormatting sqref="E59:H68">
    <cfRule type="expression" dxfId="344" priority="41">
      <formula>E59=""</formula>
    </cfRule>
    <cfRule type="expression" dxfId="343" priority="42">
      <formula>E59&lt;44.5</formula>
    </cfRule>
    <cfRule type="expression" dxfId="342" priority="43">
      <formula>E59&lt;60.5</formula>
    </cfRule>
    <cfRule type="expression" dxfId="341" priority="44">
      <formula>E59&lt;85.5</formula>
    </cfRule>
    <cfRule type="expression" dxfId="340" priority="45">
      <formula>E59&gt;85.5</formula>
    </cfRule>
  </conditionalFormatting>
  <conditionalFormatting sqref="E74:H83">
    <cfRule type="expression" dxfId="339" priority="6">
      <formula>E74=""</formula>
    </cfRule>
    <cfRule type="expression" dxfId="338" priority="7">
      <formula>E74&lt;44.5</formula>
    </cfRule>
    <cfRule type="expression" dxfId="337" priority="8">
      <formula>E74&lt;60.5</formula>
    </cfRule>
    <cfRule type="expression" dxfId="336" priority="9">
      <formula>E74&lt;85.5</formula>
    </cfRule>
    <cfRule type="expression" dxfId="335" priority="10">
      <formula>E74&gt;85.5</formula>
    </cfRule>
  </conditionalFormatting>
  <conditionalFormatting sqref="E71:H71">
    <cfRule type="expression" dxfId="334" priority="1">
      <formula>E71=""</formula>
    </cfRule>
    <cfRule type="expression" dxfId="333" priority="2">
      <formula>E71&lt;44.5</formula>
    </cfRule>
    <cfRule type="expression" dxfId="332" priority="3">
      <formula>E71&lt;60.5</formula>
    </cfRule>
    <cfRule type="expression" dxfId="331" priority="4">
      <formula>E71&lt;85.5</formula>
    </cfRule>
    <cfRule type="expression" dxfId="330" priority="5">
      <formula>E71&gt;85.5</formula>
    </cfRule>
  </conditionalFormatting>
  <pageMargins left="0.75" right="0.75" top="1" bottom="1" header="0.5" footer="0.5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Q246"/>
  <sheetViews>
    <sheetView showGridLines="0" zoomScale="55" zoomScaleNormal="55" workbookViewId="0">
      <selection activeCell="A93" sqref="A93:L115"/>
    </sheetView>
  </sheetViews>
  <sheetFormatPr baseColWidth="10" defaultColWidth="11.42578125" defaultRowHeight="14.25"/>
  <cols>
    <col min="1" max="12" width="16.28515625" style="166" customWidth="1"/>
    <col min="13" max="13" width="11.42578125" style="166"/>
    <col min="14" max="14" width="11.42578125" style="5"/>
    <col min="15" max="15" width="26.28515625" style="5" customWidth="1"/>
    <col min="16" max="16384" width="11.42578125" style="5"/>
  </cols>
  <sheetData>
    <row r="1" ht="15" customHeight="1"/>
    <row r="2" ht="15" customHeight="1"/>
    <row r="3" ht="15" customHeight="1"/>
    <row r="4" ht="15" customHeight="1"/>
    <row r="5" ht="15" customHeight="1"/>
    <row r="6" ht="15" customHeight="1"/>
    <row r="7" ht="15" customHeight="1"/>
    <row r="8" ht="15" customHeight="1"/>
    <row r="9" ht="15" customHeight="1"/>
    <row r="10" ht="15" customHeight="1"/>
    <row r="11" ht="15" customHeight="1"/>
    <row r="12" ht="15" customHeight="1"/>
    <row r="13" ht="15" customHeight="1"/>
    <row r="14" ht="15" customHeight="1"/>
    <row r="15" ht="15" customHeight="1"/>
    <row r="16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61" spans="2:12" ht="15.6" customHeight="1">
      <c r="B161" s="167"/>
      <c r="C161" s="167"/>
      <c r="D161" s="167"/>
      <c r="E161" s="167"/>
      <c r="F161" s="167"/>
      <c r="G161" s="167"/>
      <c r="H161" s="167"/>
      <c r="I161" s="167"/>
      <c r="J161" s="167"/>
      <c r="K161" s="167"/>
      <c r="L161" s="167"/>
    </row>
    <row r="162" spans="2:12" ht="15.6" customHeight="1">
      <c r="B162" s="167"/>
      <c r="C162" s="167"/>
      <c r="D162" s="167"/>
      <c r="E162" s="167"/>
      <c r="F162" s="167"/>
      <c r="G162" s="167"/>
      <c r="H162" s="167"/>
      <c r="I162" s="167"/>
      <c r="J162" s="167"/>
      <c r="K162" s="167"/>
      <c r="L162" s="167"/>
    </row>
    <row r="163" spans="2:12" ht="15.6" customHeight="1">
      <c r="B163" s="167"/>
      <c r="C163" s="167"/>
      <c r="D163" s="167"/>
      <c r="E163" s="167"/>
      <c r="F163" s="167"/>
      <c r="G163" s="167"/>
      <c r="H163" s="167"/>
      <c r="I163" s="167"/>
      <c r="J163" s="167"/>
      <c r="K163" s="167"/>
      <c r="L163" s="167"/>
    </row>
    <row r="164" spans="2:12" ht="15.6" customHeight="1">
      <c r="B164" s="167"/>
      <c r="C164" s="167"/>
      <c r="D164" s="167"/>
      <c r="E164" s="167"/>
      <c r="F164" s="167"/>
      <c r="G164" s="167"/>
      <c r="H164" s="167"/>
      <c r="I164" s="167"/>
      <c r="J164" s="167"/>
      <c r="K164" s="167"/>
      <c r="L164" s="167"/>
    </row>
    <row r="165" spans="2:12" ht="15.6" customHeight="1">
      <c r="B165" s="167"/>
      <c r="C165" s="167"/>
      <c r="D165" s="167"/>
      <c r="E165" s="167"/>
      <c r="F165" s="167"/>
      <c r="G165" s="167"/>
      <c r="H165" s="167"/>
      <c r="I165" s="167"/>
      <c r="J165" s="167"/>
      <c r="K165" s="167"/>
      <c r="L165" s="167"/>
    </row>
    <row r="166" spans="2:12" ht="15.6" customHeight="1">
      <c r="B166" s="167"/>
      <c r="C166" s="167"/>
      <c r="D166" s="167"/>
      <c r="E166" s="167"/>
      <c r="F166" s="167"/>
      <c r="G166" s="167"/>
      <c r="H166" s="167"/>
      <c r="I166" s="167"/>
      <c r="J166" s="167"/>
      <c r="K166" s="167"/>
      <c r="L166" s="167"/>
    </row>
    <row r="167" spans="2:12" ht="15.6" customHeight="1">
      <c r="B167" s="167"/>
      <c r="C167" s="167"/>
      <c r="D167" s="167"/>
      <c r="E167" s="167"/>
      <c r="F167" s="167"/>
      <c r="G167" s="167"/>
      <c r="H167" s="167"/>
      <c r="I167" s="167"/>
      <c r="J167" s="167"/>
      <c r="K167" s="167"/>
      <c r="L167" s="167"/>
    </row>
    <row r="168" spans="2:12" ht="15.6" customHeight="1">
      <c r="B168" s="167"/>
      <c r="C168" s="167"/>
      <c r="D168" s="167"/>
      <c r="E168" s="167"/>
      <c r="F168" s="167"/>
      <c r="G168" s="167"/>
      <c r="H168" s="167"/>
      <c r="I168" s="167"/>
      <c r="J168" s="167"/>
      <c r="K168" s="167"/>
      <c r="L168" s="167"/>
    </row>
    <row r="169" spans="2:12" ht="15.6" customHeight="1">
      <c r="B169" s="167"/>
      <c r="C169" s="167"/>
      <c r="D169" s="167"/>
      <c r="E169" s="167"/>
      <c r="F169" s="167"/>
      <c r="G169" s="167"/>
      <c r="H169" s="167"/>
      <c r="I169" s="167"/>
      <c r="J169" s="167"/>
      <c r="K169" s="167"/>
      <c r="L169" s="167"/>
    </row>
    <row r="170" spans="2:12" ht="15.6" customHeight="1">
      <c r="B170" s="167"/>
      <c r="C170" s="167"/>
      <c r="D170" s="167"/>
      <c r="E170" s="167"/>
      <c r="F170" s="167"/>
      <c r="G170" s="167"/>
      <c r="H170" s="167"/>
      <c r="I170" s="167"/>
      <c r="J170" s="167"/>
      <c r="K170" s="167"/>
      <c r="L170" s="167"/>
    </row>
    <row r="171" spans="2:12" ht="15.6" customHeight="1">
      <c r="B171" s="167"/>
      <c r="C171" s="167"/>
      <c r="D171" s="167"/>
      <c r="E171" s="167"/>
      <c r="F171" s="167"/>
      <c r="G171" s="167"/>
      <c r="H171" s="167"/>
      <c r="I171" s="167"/>
      <c r="J171" s="167"/>
      <c r="K171" s="167"/>
      <c r="L171" s="167"/>
    </row>
    <row r="172" spans="2:12" ht="15.6" customHeight="1">
      <c r="B172" s="167"/>
      <c r="C172" s="167"/>
      <c r="D172" s="167"/>
      <c r="E172" s="167"/>
      <c r="F172" s="167"/>
      <c r="G172" s="167"/>
      <c r="H172" s="167"/>
      <c r="I172" s="167"/>
      <c r="J172" s="167"/>
      <c r="K172" s="167"/>
      <c r="L172" s="167"/>
    </row>
    <row r="173" spans="2:12" ht="15.6" customHeight="1">
      <c r="B173" s="167"/>
      <c r="C173" s="167"/>
      <c r="D173" s="167"/>
      <c r="E173" s="167"/>
      <c r="F173" s="167"/>
      <c r="G173" s="167"/>
      <c r="H173" s="167"/>
      <c r="I173" s="167"/>
      <c r="J173" s="167"/>
      <c r="K173" s="167"/>
      <c r="L173" s="167"/>
    </row>
    <row r="174" spans="2:12" ht="15.6" customHeight="1">
      <c r="B174" s="167"/>
      <c r="C174" s="167"/>
      <c r="D174" s="167"/>
      <c r="E174" s="167"/>
      <c r="F174" s="167"/>
      <c r="G174" s="167"/>
      <c r="H174" s="167"/>
      <c r="I174" s="167"/>
      <c r="J174" s="167"/>
      <c r="K174" s="167"/>
      <c r="L174" s="167"/>
    </row>
    <row r="175" spans="2:12" ht="15.6" customHeight="1">
      <c r="B175" s="167"/>
      <c r="C175" s="167"/>
      <c r="D175" s="167"/>
      <c r="E175" s="167"/>
      <c r="F175" s="167"/>
      <c r="G175" s="167"/>
      <c r="H175" s="167"/>
      <c r="I175" s="167"/>
      <c r="J175" s="167"/>
      <c r="K175" s="167"/>
      <c r="L175" s="167"/>
    </row>
    <row r="176" spans="2:12" ht="15.6" customHeight="1">
      <c r="B176" s="167"/>
      <c r="C176" s="167"/>
      <c r="D176" s="167"/>
      <c r="E176" s="167"/>
      <c r="F176" s="167"/>
      <c r="G176" s="167"/>
      <c r="H176" s="167"/>
      <c r="I176" s="167"/>
      <c r="J176" s="167"/>
      <c r="K176" s="167"/>
      <c r="L176" s="167"/>
    </row>
    <row r="177" spans="2:12" ht="15.6" customHeight="1">
      <c r="B177" s="167"/>
      <c r="C177" s="167"/>
      <c r="D177" s="167"/>
      <c r="E177" s="167"/>
      <c r="F177" s="167"/>
      <c r="G177" s="167"/>
      <c r="H177" s="167"/>
      <c r="I177" s="167"/>
      <c r="J177" s="167"/>
      <c r="K177" s="167"/>
      <c r="L177" s="167"/>
    </row>
    <row r="178" spans="2:12" ht="15.6" customHeight="1">
      <c r="B178" s="167"/>
      <c r="C178" s="167"/>
      <c r="D178" s="167"/>
      <c r="E178" s="167"/>
      <c r="F178" s="167"/>
      <c r="G178" s="167"/>
      <c r="H178" s="167"/>
      <c r="I178" s="167"/>
      <c r="J178" s="167"/>
      <c r="K178" s="167"/>
      <c r="L178" s="167"/>
    </row>
    <row r="179" spans="2:12" ht="15.6" customHeight="1">
      <c r="B179" s="167"/>
      <c r="C179" s="167"/>
      <c r="D179" s="167"/>
      <c r="E179" s="167"/>
      <c r="F179" s="167"/>
      <c r="G179" s="167"/>
      <c r="H179" s="167"/>
      <c r="I179" s="167"/>
      <c r="J179" s="167"/>
      <c r="K179" s="167"/>
      <c r="L179" s="167"/>
    </row>
    <row r="180" spans="2:12" ht="15.6" customHeight="1">
      <c r="B180" s="167"/>
      <c r="C180" s="167"/>
      <c r="D180" s="167"/>
      <c r="E180" s="167"/>
      <c r="F180" s="167"/>
      <c r="G180" s="167"/>
      <c r="H180" s="167"/>
      <c r="I180" s="167"/>
      <c r="J180" s="167"/>
      <c r="K180" s="167"/>
      <c r="L180" s="167"/>
    </row>
    <row r="181" spans="2:12" ht="15.6" customHeight="1">
      <c r="B181" s="167"/>
      <c r="C181" s="167"/>
      <c r="D181" s="167"/>
      <c r="E181" s="167"/>
      <c r="F181" s="167"/>
      <c r="G181" s="167"/>
      <c r="H181" s="167"/>
      <c r="I181" s="167"/>
      <c r="J181" s="167"/>
      <c r="K181" s="167"/>
      <c r="L181" s="167"/>
    </row>
    <row r="182" spans="2:12" ht="15.6" customHeight="1">
      <c r="B182" s="167"/>
      <c r="C182" s="167"/>
      <c r="D182" s="167"/>
      <c r="E182" s="167"/>
      <c r="F182" s="167"/>
      <c r="G182" s="167"/>
      <c r="H182" s="167"/>
      <c r="I182" s="167"/>
      <c r="J182" s="167"/>
      <c r="K182" s="167"/>
      <c r="L182" s="167"/>
    </row>
    <row r="183" spans="2:12" ht="15.6" customHeight="1">
      <c r="B183" s="167"/>
      <c r="C183" s="167"/>
      <c r="D183" s="167"/>
      <c r="E183" s="167"/>
      <c r="F183" s="167"/>
      <c r="G183" s="167"/>
      <c r="H183" s="167"/>
      <c r="I183" s="167"/>
      <c r="J183" s="167"/>
      <c r="K183" s="167"/>
      <c r="L183" s="167"/>
    </row>
    <row r="184" spans="2:12" ht="15.6" customHeight="1">
      <c r="B184" s="167"/>
      <c r="C184" s="167"/>
      <c r="D184" s="167"/>
      <c r="E184" s="167"/>
      <c r="F184" s="167"/>
      <c r="G184" s="167"/>
      <c r="H184" s="167"/>
      <c r="I184" s="167"/>
      <c r="J184" s="167"/>
      <c r="K184" s="167"/>
      <c r="L184" s="167"/>
    </row>
    <row r="185" spans="2:12" ht="15.6" customHeight="1">
      <c r="B185" s="167"/>
      <c r="C185" s="167"/>
      <c r="D185" s="167"/>
      <c r="E185" s="167"/>
      <c r="F185" s="167"/>
      <c r="G185" s="167"/>
      <c r="H185" s="167"/>
      <c r="I185" s="167"/>
      <c r="J185" s="167"/>
      <c r="K185" s="167"/>
      <c r="L185" s="167"/>
    </row>
    <row r="186" spans="2:12" ht="15.6" customHeight="1">
      <c r="B186" s="167"/>
      <c r="C186" s="167"/>
      <c r="D186" s="167"/>
      <c r="E186" s="167"/>
      <c r="F186" s="167"/>
      <c r="G186" s="167"/>
      <c r="H186" s="167"/>
      <c r="I186" s="167"/>
      <c r="J186" s="167"/>
      <c r="K186" s="167"/>
      <c r="L186" s="167"/>
    </row>
    <row r="187" spans="2:12" ht="15.6" customHeight="1">
      <c r="B187" s="167"/>
      <c r="C187" s="167"/>
      <c r="D187" s="167"/>
      <c r="E187" s="167"/>
      <c r="F187" s="167"/>
      <c r="G187" s="167"/>
      <c r="H187" s="167"/>
      <c r="I187" s="167"/>
      <c r="J187" s="167"/>
      <c r="K187" s="167"/>
      <c r="L187" s="167"/>
    </row>
    <row r="188" spans="2:12" ht="15.6" customHeight="1">
      <c r="B188" s="167"/>
      <c r="C188" s="167"/>
      <c r="D188" s="167"/>
      <c r="E188" s="167"/>
      <c r="F188" s="167"/>
      <c r="G188" s="167"/>
      <c r="H188" s="167"/>
      <c r="I188" s="167"/>
      <c r="J188" s="167"/>
      <c r="K188" s="167"/>
      <c r="L188" s="167"/>
    </row>
    <row r="189" spans="2:12" ht="15.6" customHeight="1">
      <c r="B189" s="167"/>
      <c r="C189" s="167"/>
      <c r="D189" s="167"/>
      <c r="E189" s="167"/>
      <c r="F189" s="167"/>
      <c r="G189" s="167"/>
      <c r="H189" s="167"/>
      <c r="I189" s="167"/>
      <c r="J189" s="167"/>
      <c r="K189" s="167"/>
      <c r="L189" s="167"/>
    </row>
    <row r="190" spans="2:12">
      <c r="B190" s="168"/>
      <c r="C190" s="168"/>
      <c r="D190" s="168"/>
      <c r="E190" s="168"/>
      <c r="F190" s="168"/>
      <c r="G190" s="168"/>
      <c r="H190" s="168"/>
      <c r="I190" s="168"/>
      <c r="J190" s="168"/>
      <c r="K190" s="168"/>
      <c r="L190" s="168"/>
    </row>
    <row r="191" spans="2:12">
      <c r="B191" s="168"/>
      <c r="C191" s="168"/>
      <c r="D191" s="168"/>
      <c r="E191" s="168"/>
      <c r="F191" s="168"/>
      <c r="G191" s="168"/>
      <c r="H191" s="168"/>
      <c r="I191" s="168"/>
      <c r="J191" s="168"/>
      <c r="K191" s="168"/>
      <c r="L191" s="168"/>
    </row>
    <row r="192" spans="2:12">
      <c r="B192" s="168"/>
      <c r="C192" s="168"/>
      <c r="D192" s="168"/>
      <c r="E192" s="168"/>
      <c r="F192" s="168"/>
      <c r="G192" s="168"/>
      <c r="H192" s="168"/>
      <c r="I192" s="168"/>
      <c r="J192" s="168"/>
      <c r="K192" s="168"/>
      <c r="L192" s="168"/>
    </row>
    <row r="193" spans="2:12">
      <c r="B193" s="168"/>
      <c r="C193" s="168"/>
      <c r="D193" s="168"/>
      <c r="E193" s="168"/>
      <c r="F193" s="168"/>
      <c r="G193" s="168"/>
      <c r="H193" s="168"/>
      <c r="I193" s="168"/>
      <c r="J193" s="168"/>
      <c r="K193" s="168"/>
      <c r="L193" s="168"/>
    </row>
    <row r="194" spans="2:12" ht="24.95" customHeight="1">
      <c r="B194" s="168"/>
      <c r="C194" s="167"/>
      <c r="D194" s="167"/>
      <c r="E194" s="167"/>
      <c r="F194" s="167"/>
      <c r="G194" s="167"/>
      <c r="H194" s="167"/>
      <c r="I194" s="167"/>
      <c r="J194" s="167"/>
      <c r="K194" s="167"/>
      <c r="L194" s="167"/>
    </row>
    <row r="195" spans="2:12" ht="24.95" customHeight="1">
      <c r="B195" s="168"/>
      <c r="C195" s="167"/>
      <c r="D195" s="167"/>
      <c r="E195" s="167"/>
      <c r="F195" s="167"/>
      <c r="G195" s="167"/>
      <c r="H195" s="167"/>
      <c r="I195" s="167"/>
      <c r="J195" s="167"/>
      <c r="K195" s="167"/>
      <c r="L195" s="167"/>
    </row>
    <row r="196" spans="2:12" ht="24.95" customHeight="1">
      <c r="B196" s="168"/>
      <c r="C196" s="167"/>
      <c r="D196" s="167"/>
      <c r="E196" s="167"/>
      <c r="F196" s="167"/>
      <c r="G196" s="167"/>
      <c r="H196" s="167"/>
      <c r="I196" s="167"/>
      <c r="J196" s="167"/>
      <c r="K196" s="167"/>
      <c r="L196" s="167"/>
    </row>
    <row r="197" spans="2:12" ht="24.95" customHeight="1">
      <c r="B197" s="168"/>
      <c r="C197" s="167"/>
      <c r="D197" s="167"/>
      <c r="E197" s="167"/>
      <c r="F197" s="167"/>
      <c r="G197" s="167"/>
      <c r="H197" s="167"/>
      <c r="I197" s="167"/>
      <c r="J197" s="167"/>
      <c r="K197" s="167"/>
      <c r="L197" s="167"/>
    </row>
    <row r="198" spans="2:12" ht="24.95" customHeight="1">
      <c r="B198" s="168"/>
      <c r="C198" s="167"/>
      <c r="D198" s="167"/>
      <c r="E198" s="167"/>
      <c r="F198" s="167"/>
      <c r="G198" s="167"/>
      <c r="H198" s="167"/>
      <c r="I198" s="167"/>
      <c r="J198" s="167"/>
      <c r="K198" s="167"/>
      <c r="L198" s="167"/>
    </row>
    <row r="199" spans="2:12" ht="24.95" customHeight="1">
      <c r="B199" s="168"/>
      <c r="C199" s="167"/>
      <c r="D199" s="167"/>
      <c r="E199" s="167"/>
      <c r="F199" s="167"/>
      <c r="G199" s="167"/>
      <c r="H199" s="167"/>
      <c r="I199" s="167"/>
      <c r="J199" s="167"/>
      <c r="K199" s="167"/>
      <c r="L199" s="167"/>
    </row>
    <row r="200" spans="2:12" ht="24.95" customHeight="1">
      <c r="B200" s="168"/>
      <c r="C200" s="167"/>
      <c r="D200" s="167"/>
      <c r="E200" s="167"/>
      <c r="F200" s="167"/>
      <c r="G200" s="167"/>
      <c r="H200" s="167"/>
      <c r="I200" s="167"/>
      <c r="J200" s="167"/>
      <c r="K200" s="167"/>
      <c r="L200" s="167"/>
    </row>
    <row r="201" spans="2:12" ht="24.95" customHeight="1">
      <c r="B201" s="168"/>
      <c r="C201" s="167"/>
      <c r="D201" s="167"/>
      <c r="E201" s="167"/>
      <c r="F201" s="167"/>
      <c r="G201" s="167"/>
      <c r="H201" s="167"/>
      <c r="I201" s="167"/>
      <c r="J201" s="167"/>
      <c r="K201" s="167"/>
      <c r="L201" s="167"/>
    </row>
    <row r="202" spans="2:12" ht="24.95" customHeight="1">
      <c r="B202" s="168"/>
      <c r="C202" s="167"/>
      <c r="D202" s="167"/>
      <c r="E202" s="167"/>
      <c r="F202" s="167"/>
      <c r="G202" s="167"/>
      <c r="H202" s="167"/>
      <c r="I202" s="167"/>
      <c r="J202" s="167"/>
      <c r="K202" s="167"/>
      <c r="L202" s="167"/>
    </row>
    <row r="203" spans="2:12" ht="24.95" customHeight="1">
      <c r="B203" s="168"/>
      <c r="C203" s="167"/>
      <c r="D203" s="167"/>
      <c r="E203" s="167"/>
      <c r="F203" s="167"/>
      <c r="G203" s="167"/>
      <c r="H203" s="167"/>
      <c r="I203" s="167"/>
      <c r="J203" s="167"/>
      <c r="K203" s="167"/>
      <c r="L203" s="167"/>
    </row>
    <row r="204" spans="2:12" ht="24.95" customHeight="1">
      <c r="B204" s="168"/>
      <c r="C204" s="167"/>
      <c r="D204" s="167"/>
      <c r="E204" s="167"/>
      <c r="F204" s="167"/>
      <c r="G204" s="167"/>
      <c r="H204" s="167"/>
      <c r="I204" s="167"/>
      <c r="J204" s="167"/>
      <c r="K204" s="167"/>
      <c r="L204" s="167"/>
    </row>
    <row r="205" spans="2:12" ht="24.95" customHeight="1">
      <c r="B205" s="168"/>
      <c r="C205" s="167"/>
      <c r="D205" s="167"/>
      <c r="E205" s="167"/>
      <c r="F205" s="167"/>
      <c r="G205" s="167"/>
      <c r="H205" s="167"/>
      <c r="I205" s="167"/>
      <c r="J205" s="167"/>
      <c r="K205" s="167"/>
      <c r="L205" s="167"/>
    </row>
    <row r="206" spans="2:12" ht="24.95" customHeight="1">
      <c r="B206" s="168"/>
      <c r="C206" s="167"/>
      <c r="D206" s="167"/>
      <c r="E206" s="167"/>
      <c r="F206" s="167"/>
      <c r="G206" s="167"/>
      <c r="H206" s="167"/>
      <c r="I206" s="167"/>
      <c r="J206" s="167"/>
      <c r="K206" s="167"/>
      <c r="L206" s="167"/>
    </row>
    <row r="207" spans="2:12" ht="24.95" customHeight="1">
      <c r="B207" s="168"/>
      <c r="C207" s="167"/>
      <c r="D207" s="167"/>
      <c r="E207" s="167"/>
      <c r="F207" s="167"/>
      <c r="G207" s="167"/>
      <c r="H207" s="167"/>
      <c r="I207" s="167"/>
      <c r="J207" s="167"/>
      <c r="K207" s="167"/>
      <c r="L207" s="167"/>
    </row>
    <row r="208" spans="2:12" ht="24.95" customHeight="1">
      <c r="B208" s="168"/>
      <c r="C208" s="167"/>
      <c r="D208" s="167"/>
      <c r="E208" s="167"/>
      <c r="F208" s="167"/>
      <c r="G208" s="167"/>
      <c r="H208" s="167"/>
      <c r="I208" s="167"/>
      <c r="J208" s="167"/>
      <c r="K208" s="167"/>
      <c r="L208" s="167"/>
    </row>
    <row r="209" spans="2:17" ht="24.95" customHeight="1">
      <c r="B209" s="168"/>
      <c r="C209" s="167"/>
      <c r="D209" s="167"/>
      <c r="E209" s="167"/>
      <c r="F209" s="167"/>
      <c r="G209" s="167"/>
      <c r="H209" s="167"/>
      <c r="I209" s="167"/>
      <c r="J209" s="167"/>
      <c r="K209" s="167"/>
      <c r="L209" s="167"/>
    </row>
    <row r="210" spans="2:17">
      <c r="B210" s="168"/>
      <c r="C210" s="167"/>
      <c r="D210" s="167"/>
      <c r="E210" s="167"/>
      <c r="F210" s="167"/>
      <c r="G210" s="167"/>
      <c r="H210" s="167"/>
      <c r="I210" s="167"/>
      <c r="J210" s="167"/>
      <c r="K210" s="167"/>
      <c r="L210" s="167"/>
    </row>
    <row r="212" spans="2:17">
      <c r="B212" s="168"/>
      <c r="C212" s="168"/>
      <c r="D212" s="168"/>
      <c r="E212" s="168"/>
      <c r="F212" s="168"/>
      <c r="G212" s="168"/>
      <c r="H212" s="168"/>
      <c r="I212" s="168"/>
    </row>
    <row r="213" spans="2:17">
      <c r="B213" s="168"/>
      <c r="C213" s="168"/>
      <c r="D213" s="168"/>
      <c r="E213" s="168"/>
      <c r="F213" s="168"/>
      <c r="G213" s="168"/>
      <c r="H213" s="168"/>
      <c r="I213" s="168"/>
    </row>
    <row r="214" spans="2:17">
      <c r="B214" s="168"/>
      <c r="C214" s="168"/>
      <c r="D214" s="168"/>
      <c r="E214" s="168"/>
      <c r="F214" s="168"/>
      <c r="G214" s="168"/>
      <c r="H214" s="168"/>
      <c r="I214" s="168"/>
    </row>
    <row r="215" spans="2:17">
      <c r="B215" s="168"/>
      <c r="C215" s="168"/>
      <c r="D215" s="168"/>
      <c r="E215" s="168"/>
      <c r="F215" s="168"/>
      <c r="G215" s="168"/>
      <c r="H215" s="168"/>
      <c r="I215" s="168"/>
    </row>
    <row r="216" spans="2:17">
      <c r="B216" s="168"/>
      <c r="C216" s="168"/>
      <c r="D216" s="168"/>
      <c r="E216" s="168"/>
      <c r="F216" s="168"/>
      <c r="G216" s="168"/>
      <c r="H216" s="168"/>
      <c r="I216" s="168"/>
    </row>
    <row r="217" spans="2:17">
      <c r="B217" s="167"/>
      <c r="C217" s="167"/>
      <c r="D217" s="167"/>
      <c r="E217" s="167"/>
      <c r="F217" s="167"/>
      <c r="G217" s="167"/>
      <c r="H217" s="167"/>
      <c r="I217" s="167"/>
      <c r="J217" s="167"/>
      <c r="K217" s="167"/>
      <c r="L217" s="167"/>
      <c r="M217" s="167"/>
      <c r="N217" s="169"/>
      <c r="O217" s="169"/>
      <c r="P217" s="169"/>
      <c r="Q217" s="169"/>
    </row>
    <row r="218" spans="2:17">
      <c r="B218" s="167"/>
      <c r="C218" s="167"/>
      <c r="D218" s="167"/>
      <c r="E218" s="167"/>
      <c r="F218" s="167"/>
      <c r="G218" s="167"/>
      <c r="H218" s="167"/>
      <c r="I218" s="167"/>
      <c r="J218" s="167"/>
      <c r="K218" s="167"/>
      <c r="L218" s="167"/>
      <c r="M218" s="167"/>
      <c r="N218" s="169"/>
      <c r="O218" s="169"/>
      <c r="P218" s="169"/>
      <c r="Q218" s="169"/>
    </row>
    <row r="219" spans="2:17">
      <c r="B219" s="167"/>
      <c r="C219" s="167"/>
      <c r="D219" s="167"/>
      <c r="E219" s="167"/>
      <c r="F219" s="167"/>
      <c r="G219" s="167"/>
      <c r="H219" s="167"/>
      <c r="I219" s="167"/>
      <c r="J219" s="167"/>
      <c r="K219" s="167"/>
      <c r="L219" s="167"/>
      <c r="M219" s="167"/>
      <c r="N219" s="169"/>
      <c r="O219" s="169"/>
      <c r="P219" s="169"/>
      <c r="Q219" s="169"/>
    </row>
    <row r="220" spans="2:17">
      <c r="B220" s="167"/>
      <c r="C220" s="167"/>
      <c r="D220" s="167"/>
      <c r="E220" s="167"/>
      <c r="F220" s="167"/>
      <c r="G220" s="167"/>
      <c r="H220" s="167"/>
      <c r="I220" s="167"/>
      <c r="J220" s="167"/>
      <c r="K220" s="167"/>
      <c r="L220" s="167"/>
      <c r="M220" s="167"/>
      <c r="N220" s="169"/>
      <c r="O220" s="169"/>
      <c r="P220" s="169"/>
      <c r="Q220" s="169"/>
    </row>
    <row r="221" spans="2:17" ht="20.100000000000001" customHeight="1">
      <c r="B221" s="167"/>
      <c r="C221" s="167"/>
      <c r="D221" s="167"/>
      <c r="E221" s="167"/>
      <c r="F221" s="167"/>
      <c r="G221" s="167"/>
      <c r="H221" s="167"/>
      <c r="I221" s="167"/>
      <c r="J221" s="167"/>
      <c r="K221" s="167"/>
      <c r="L221" s="167"/>
      <c r="M221" s="167"/>
      <c r="N221" s="169"/>
      <c r="O221" s="169"/>
      <c r="P221" s="169"/>
      <c r="Q221" s="169"/>
    </row>
    <row r="222" spans="2:17" ht="20.100000000000001" customHeight="1">
      <c r="B222" s="167"/>
      <c r="C222" s="167"/>
      <c r="D222" s="167"/>
      <c r="E222" s="167"/>
      <c r="F222" s="167"/>
      <c r="G222" s="167"/>
      <c r="H222" s="167"/>
      <c r="I222" s="167"/>
      <c r="J222" s="167"/>
      <c r="K222" s="167"/>
      <c r="L222" s="167"/>
      <c r="M222" s="167"/>
      <c r="N222" s="169"/>
      <c r="O222" s="169"/>
      <c r="P222" s="169"/>
      <c r="Q222" s="169"/>
    </row>
    <row r="223" spans="2:17" ht="20.100000000000001" customHeight="1">
      <c r="B223" s="167"/>
      <c r="C223" s="167"/>
      <c r="D223" s="167"/>
      <c r="E223" s="167"/>
      <c r="F223" s="167"/>
      <c r="G223" s="167"/>
      <c r="H223" s="167"/>
      <c r="I223" s="167"/>
      <c r="J223" s="167"/>
      <c r="K223" s="167"/>
      <c r="L223" s="167"/>
      <c r="M223" s="167"/>
      <c r="N223" s="169"/>
      <c r="O223" s="169"/>
      <c r="P223" s="169"/>
      <c r="Q223" s="169"/>
    </row>
    <row r="224" spans="2:17" ht="20.100000000000001" customHeight="1">
      <c r="B224" s="167"/>
      <c r="C224" s="167"/>
      <c r="D224" s="167"/>
      <c r="E224" s="167"/>
      <c r="F224" s="167"/>
      <c r="G224" s="167"/>
      <c r="H224" s="167"/>
      <c r="I224" s="167"/>
      <c r="J224" s="167"/>
      <c r="K224" s="167"/>
      <c r="L224" s="167"/>
      <c r="M224" s="167"/>
      <c r="N224" s="169"/>
      <c r="O224" s="169"/>
      <c r="P224" s="169"/>
      <c r="Q224" s="169"/>
    </row>
    <row r="225" spans="2:17" ht="20.100000000000001" customHeight="1">
      <c r="B225" s="167"/>
      <c r="C225" s="167"/>
      <c r="D225" s="167"/>
      <c r="E225" s="167"/>
      <c r="F225" s="167"/>
      <c r="G225" s="167"/>
      <c r="H225" s="167"/>
      <c r="I225" s="167"/>
      <c r="J225" s="167"/>
      <c r="K225" s="167"/>
      <c r="L225" s="167"/>
      <c r="M225" s="167"/>
      <c r="N225" s="169"/>
      <c r="O225" s="169"/>
      <c r="P225" s="169"/>
      <c r="Q225" s="169"/>
    </row>
    <row r="226" spans="2:17" ht="20.100000000000001" customHeight="1">
      <c r="B226" s="167"/>
      <c r="C226" s="167"/>
      <c r="D226" s="167"/>
      <c r="E226" s="167"/>
      <c r="F226" s="167"/>
      <c r="G226" s="167"/>
      <c r="H226" s="167"/>
      <c r="I226" s="167"/>
      <c r="J226" s="167"/>
      <c r="K226" s="167"/>
      <c r="L226" s="167"/>
      <c r="M226" s="167"/>
      <c r="N226" s="169"/>
      <c r="O226" s="169"/>
      <c r="P226" s="169"/>
      <c r="Q226" s="169"/>
    </row>
    <row r="227" spans="2:17" ht="20.100000000000001" customHeight="1">
      <c r="B227" s="167"/>
      <c r="C227" s="167"/>
      <c r="D227" s="167"/>
      <c r="E227" s="167"/>
      <c r="F227" s="167"/>
      <c r="G227" s="167"/>
      <c r="H227" s="167"/>
      <c r="I227" s="167"/>
      <c r="J227" s="167"/>
      <c r="K227" s="167"/>
      <c r="L227" s="167"/>
      <c r="M227" s="167"/>
      <c r="N227" s="169"/>
      <c r="O227" s="169"/>
      <c r="P227" s="169"/>
      <c r="Q227" s="169"/>
    </row>
    <row r="228" spans="2:17" ht="20.100000000000001" customHeight="1">
      <c r="B228" s="167"/>
      <c r="C228" s="167"/>
      <c r="D228" s="167"/>
      <c r="E228" s="167"/>
      <c r="F228" s="167"/>
      <c r="G228" s="167"/>
      <c r="H228" s="167"/>
      <c r="I228" s="167"/>
      <c r="J228" s="167"/>
      <c r="K228" s="167"/>
      <c r="L228" s="167"/>
      <c r="M228" s="167"/>
      <c r="N228" s="169"/>
      <c r="O228" s="169"/>
      <c r="P228" s="169"/>
      <c r="Q228" s="169"/>
    </row>
    <row r="229" spans="2:17" ht="20.100000000000001" customHeight="1">
      <c r="B229" s="167"/>
      <c r="C229" s="167"/>
      <c r="D229" s="167"/>
      <c r="E229" s="167"/>
      <c r="F229" s="167"/>
      <c r="G229" s="167"/>
      <c r="H229" s="167"/>
      <c r="I229" s="167"/>
      <c r="J229" s="167"/>
      <c r="K229" s="167"/>
      <c r="L229" s="167"/>
      <c r="M229" s="167"/>
      <c r="N229" s="169"/>
      <c r="O229" s="169"/>
      <c r="P229" s="169"/>
      <c r="Q229" s="169"/>
    </row>
    <row r="230" spans="2:17" ht="20.100000000000001" customHeight="1">
      <c r="B230" s="167"/>
      <c r="C230" s="167"/>
      <c r="D230" s="167"/>
      <c r="E230" s="167"/>
      <c r="F230" s="167"/>
      <c r="G230" s="167"/>
      <c r="H230" s="167"/>
      <c r="I230" s="167"/>
      <c r="J230" s="167"/>
      <c r="K230" s="167"/>
      <c r="L230" s="167"/>
      <c r="M230" s="167"/>
      <c r="N230" s="169"/>
      <c r="O230" s="169"/>
      <c r="P230" s="169"/>
      <c r="Q230" s="169"/>
    </row>
    <row r="231" spans="2:17" ht="20.100000000000001" customHeight="1">
      <c r="B231" s="167"/>
      <c r="C231" s="167"/>
      <c r="D231" s="167"/>
      <c r="E231" s="167"/>
      <c r="F231" s="167"/>
      <c r="G231" s="167"/>
      <c r="H231" s="167"/>
      <c r="I231" s="167"/>
      <c r="J231" s="167"/>
      <c r="K231" s="167"/>
      <c r="L231" s="167"/>
      <c r="M231" s="167"/>
      <c r="N231" s="169"/>
      <c r="O231" s="169"/>
      <c r="P231" s="169"/>
      <c r="Q231" s="169"/>
    </row>
    <row r="232" spans="2:17" ht="20.100000000000001" customHeight="1">
      <c r="B232" s="167"/>
      <c r="C232" s="167"/>
      <c r="D232" s="167"/>
      <c r="E232" s="167"/>
      <c r="F232" s="167"/>
      <c r="G232" s="167"/>
      <c r="H232" s="167"/>
      <c r="I232" s="167"/>
      <c r="J232" s="167"/>
      <c r="K232" s="167"/>
      <c r="L232" s="167"/>
      <c r="M232" s="167"/>
      <c r="N232" s="169"/>
      <c r="O232" s="169"/>
      <c r="P232" s="169"/>
      <c r="Q232" s="169"/>
    </row>
    <row r="233" spans="2:17" ht="20.100000000000001" customHeight="1">
      <c r="B233" s="167"/>
      <c r="C233" s="167"/>
      <c r="D233" s="167"/>
      <c r="E233" s="167"/>
      <c r="F233" s="167"/>
      <c r="G233" s="167"/>
      <c r="H233" s="167"/>
      <c r="I233" s="167"/>
      <c r="J233" s="167"/>
      <c r="K233" s="167"/>
      <c r="L233" s="167"/>
      <c r="M233" s="167"/>
      <c r="N233" s="169"/>
      <c r="O233" s="169"/>
      <c r="P233" s="169"/>
      <c r="Q233" s="169"/>
    </row>
    <row r="234" spans="2:17" ht="20.100000000000001" customHeight="1">
      <c r="B234" s="167"/>
      <c r="C234" s="167"/>
      <c r="D234" s="167"/>
      <c r="E234" s="167"/>
      <c r="F234" s="167"/>
      <c r="G234" s="167"/>
      <c r="H234" s="167"/>
      <c r="I234" s="167"/>
      <c r="J234" s="167"/>
      <c r="K234" s="167"/>
      <c r="L234" s="167"/>
      <c r="M234" s="167"/>
      <c r="N234" s="169"/>
      <c r="O234" s="169"/>
      <c r="P234" s="169"/>
      <c r="Q234" s="169"/>
    </row>
    <row r="235" spans="2:17" ht="20.100000000000001" customHeight="1">
      <c r="B235" s="167"/>
      <c r="C235" s="167"/>
      <c r="D235" s="167"/>
      <c r="E235" s="167"/>
      <c r="F235" s="167"/>
      <c r="G235" s="167"/>
      <c r="H235" s="167"/>
      <c r="I235" s="167"/>
      <c r="J235" s="167"/>
      <c r="K235" s="167"/>
      <c r="L235" s="167"/>
      <c r="M235" s="167"/>
      <c r="N235" s="169"/>
      <c r="O235" s="169"/>
      <c r="P235" s="169"/>
      <c r="Q235" s="169"/>
    </row>
    <row r="236" spans="2:17">
      <c r="B236" s="167"/>
      <c r="C236" s="167"/>
      <c r="D236" s="167"/>
      <c r="E236" s="167"/>
      <c r="F236" s="167"/>
      <c r="G236" s="167"/>
      <c r="H236" s="167"/>
      <c r="I236" s="167"/>
      <c r="J236" s="167"/>
      <c r="K236" s="167"/>
      <c r="L236" s="167"/>
      <c r="M236" s="167"/>
      <c r="N236" s="169"/>
      <c r="O236" s="169"/>
      <c r="P236" s="169"/>
      <c r="Q236" s="169"/>
    </row>
    <row r="237" spans="2:17">
      <c r="B237" s="167"/>
      <c r="C237" s="167"/>
      <c r="D237" s="167"/>
      <c r="E237" s="167"/>
      <c r="F237" s="167"/>
      <c r="G237" s="167"/>
      <c r="H237" s="167"/>
      <c r="I237" s="167"/>
      <c r="J237" s="167"/>
      <c r="K237" s="167"/>
      <c r="L237" s="167"/>
      <c r="M237" s="167"/>
      <c r="N237" s="169"/>
      <c r="O237" s="169"/>
      <c r="P237" s="169"/>
      <c r="Q237" s="169"/>
    </row>
    <row r="238" spans="2:17">
      <c r="B238" s="167"/>
      <c r="C238" s="167"/>
      <c r="D238" s="167"/>
      <c r="E238" s="167"/>
      <c r="F238" s="167"/>
      <c r="G238" s="167"/>
      <c r="H238" s="167"/>
      <c r="I238" s="167"/>
      <c r="J238" s="167"/>
      <c r="K238" s="167"/>
      <c r="L238" s="167"/>
      <c r="M238" s="167"/>
      <c r="N238" s="169"/>
      <c r="O238" s="169"/>
      <c r="P238" s="169"/>
      <c r="Q238" s="169"/>
    </row>
    <row r="239" spans="2:17">
      <c r="B239" s="167"/>
      <c r="C239" s="167"/>
      <c r="D239" s="167"/>
      <c r="E239" s="167"/>
      <c r="F239" s="167"/>
      <c r="G239" s="167"/>
      <c r="H239" s="167"/>
      <c r="I239" s="167"/>
      <c r="J239" s="167"/>
      <c r="K239" s="167"/>
      <c r="L239" s="167"/>
      <c r="M239" s="167"/>
      <c r="N239" s="169"/>
      <c r="O239" s="169"/>
      <c r="P239" s="169"/>
      <c r="Q239" s="169"/>
    </row>
    <row r="240" spans="2:17">
      <c r="B240" s="167"/>
      <c r="C240" s="167"/>
      <c r="D240" s="167"/>
      <c r="E240" s="167"/>
      <c r="F240" s="167"/>
      <c r="G240" s="167"/>
      <c r="H240" s="167"/>
      <c r="I240" s="167"/>
      <c r="J240" s="167"/>
      <c r="K240" s="167"/>
      <c r="L240" s="167"/>
      <c r="M240" s="167"/>
      <c r="N240" s="169"/>
      <c r="O240" s="169"/>
      <c r="P240" s="169"/>
      <c r="Q240" s="169"/>
    </row>
    <row r="241" spans="2:17">
      <c r="B241" s="167"/>
      <c r="C241" s="167"/>
      <c r="D241" s="167"/>
      <c r="E241" s="167"/>
      <c r="F241" s="167"/>
      <c r="G241" s="167"/>
      <c r="H241" s="167"/>
      <c r="I241" s="167"/>
      <c r="J241" s="167"/>
      <c r="K241" s="167"/>
      <c r="L241" s="167"/>
      <c r="M241" s="167"/>
      <c r="N241" s="169"/>
      <c r="O241" s="169"/>
      <c r="P241" s="169"/>
      <c r="Q241" s="169"/>
    </row>
    <row r="242" spans="2:17">
      <c r="B242" s="167"/>
      <c r="C242" s="167"/>
      <c r="D242" s="167"/>
      <c r="E242" s="167"/>
      <c r="F242" s="167"/>
      <c r="G242" s="167"/>
      <c r="H242" s="167"/>
      <c r="I242" s="167"/>
      <c r="J242" s="167"/>
      <c r="K242" s="167"/>
      <c r="L242" s="167"/>
      <c r="M242" s="167"/>
      <c r="N242" s="169"/>
      <c r="O242" s="169"/>
      <c r="P242" s="169"/>
      <c r="Q242" s="169"/>
    </row>
    <row r="243" spans="2:17">
      <c r="B243" s="167"/>
      <c r="C243" s="167"/>
      <c r="D243" s="167"/>
      <c r="E243" s="167"/>
      <c r="F243" s="167"/>
      <c r="G243" s="167"/>
      <c r="H243" s="167"/>
      <c r="I243" s="167"/>
      <c r="J243" s="167"/>
      <c r="K243" s="167"/>
      <c r="L243" s="167"/>
      <c r="M243" s="167"/>
      <c r="N243" s="169"/>
      <c r="O243" s="169"/>
      <c r="P243" s="169"/>
      <c r="Q243" s="169"/>
    </row>
    <row r="244" spans="2:17">
      <c r="B244" s="167"/>
      <c r="C244" s="167"/>
      <c r="D244" s="167"/>
      <c r="E244" s="167"/>
      <c r="F244" s="167"/>
      <c r="G244" s="167"/>
      <c r="H244" s="167"/>
      <c r="I244" s="167"/>
      <c r="J244" s="167"/>
      <c r="K244" s="167"/>
      <c r="L244" s="167"/>
      <c r="M244" s="167"/>
      <c r="N244" s="169"/>
      <c r="O244" s="169"/>
      <c r="P244" s="169"/>
      <c r="Q244" s="169"/>
    </row>
    <row r="245" spans="2:17">
      <c r="B245" s="167"/>
      <c r="C245" s="167"/>
      <c r="D245" s="167"/>
      <c r="E245" s="167"/>
      <c r="F245" s="167"/>
      <c r="G245" s="167"/>
      <c r="H245" s="167"/>
      <c r="I245" s="167"/>
      <c r="J245" s="167"/>
      <c r="K245" s="167"/>
      <c r="L245" s="167"/>
      <c r="M245" s="167"/>
      <c r="N245" s="169"/>
      <c r="O245" s="169"/>
      <c r="P245" s="169"/>
      <c r="Q245" s="169"/>
    </row>
    <row r="246" spans="2:17">
      <c r="B246" s="167"/>
      <c r="C246" s="167"/>
      <c r="D246" s="167"/>
      <c r="E246" s="167"/>
      <c r="F246" s="167"/>
      <c r="G246" s="167"/>
      <c r="H246" s="167"/>
      <c r="I246" s="167"/>
      <c r="J246" s="167"/>
      <c r="K246" s="167"/>
      <c r="L246" s="167"/>
      <c r="M246" s="167"/>
      <c r="N246" s="169"/>
      <c r="O246" s="169"/>
      <c r="P246" s="169"/>
      <c r="Q246" s="16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J96"/>
  <sheetViews>
    <sheetView showGridLines="0" topLeftCell="A34" zoomScale="86" zoomScaleNormal="86" workbookViewId="0">
      <selection activeCell="C57" sqref="C57:H66"/>
    </sheetView>
  </sheetViews>
  <sheetFormatPr baseColWidth="10" defaultColWidth="11.42578125" defaultRowHeight="14.25"/>
  <cols>
    <col min="1" max="2" width="11.42578125" style="5"/>
    <col min="3" max="3" width="25.7109375" style="5" customWidth="1"/>
    <col min="4" max="4" width="30.28515625" style="5" customWidth="1"/>
    <col min="5" max="5" width="4.42578125" style="5" customWidth="1"/>
    <col min="6" max="6" width="81.140625" style="5" customWidth="1"/>
    <col min="7" max="8" width="10.7109375" style="5" customWidth="1"/>
    <col min="9" max="16384" width="11.42578125" style="5"/>
  </cols>
  <sheetData>
    <row r="1" spans="1:9">
      <c r="C1" s="166"/>
      <c r="D1" s="166"/>
      <c r="E1" s="166"/>
      <c r="F1" s="166"/>
      <c r="G1" s="170">
        <v>4</v>
      </c>
      <c r="H1" s="166"/>
    </row>
    <row r="2" spans="1:9" ht="24" customHeight="1">
      <c r="C2" s="171" t="s">
        <v>105</v>
      </c>
      <c r="D2" s="172" t="s">
        <v>106</v>
      </c>
      <c r="E2" s="173" t="s">
        <v>68</v>
      </c>
      <c r="F2" s="172" t="s">
        <v>69</v>
      </c>
      <c r="G2" s="173">
        <v>2017</v>
      </c>
      <c r="H2" s="174" t="str">
        <f>G2&amp;" - PG"</f>
        <v>2017 - PG</v>
      </c>
    </row>
    <row r="3" spans="1:9" ht="33" customHeight="1">
      <c r="A3" s="15">
        <f>RANK(I3,$I$3:$I$41,0)</f>
        <v>26</v>
      </c>
      <c r="B3" s="175">
        <f t="shared" ref="B3:B41" si="0">RANK(I3,$I$3:$I$41,1)</f>
        <v>14</v>
      </c>
      <c r="C3" s="176" t="s">
        <v>126</v>
      </c>
      <c r="D3" s="176" t="s">
        <v>70</v>
      </c>
      <c r="E3" s="177">
        <v>1</v>
      </c>
      <c r="F3" s="178" t="s">
        <v>4</v>
      </c>
      <c r="G3" s="179">
        <v>80.180000000000007</v>
      </c>
      <c r="H3" s="180">
        <v>-2.8299999999999983</v>
      </c>
      <c r="I3" s="181">
        <f t="shared" ref="I3:I41" si="1">H3+(E3/10000000)</f>
        <v>-2.8299998999999985</v>
      </c>
    </row>
    <row r="4" spans="1:9" ht="33" customHeight="1">
      <c r="A4" s="15">
        <f t="shared" ref="A4:A41" si="2">RANK(I4,$I$3:$I$41,0)</f>
        <v>32</v>
      </c>
      <c r="B4" s="175">
        <f t="shared" si="0"/>
        <v>8</v>
      </c>
      <c r="C4" s="176" t="s">
        <v>126</v>
      </c>
      <c r="D4" s="176" t="s">
        <v>70</v>
      </c>
      <c r="E4" s="177">
        <v>2</v>
      </c>
      <c r="F4" s="178" t="s">
        <v>5</v>
      </c>
      <c r="G4" s="179">
        <v>77.62</v>
      </c>
      <c r="H4" s="180">
        <v>-5.3900000000000006</v>
      </c>
      <c r="I4" s="181">
        <f t="shared" si="1"/>
        <v>-5.3899998000000009</v>
      </c>
    </row>
    <row r="5" spans="1:9" ht="33" customHeight="1">
      <c r="A5" s="15">
        <f t="shared" si="2"/>
        <v>17</v>
      </c>
      <c r="B5" s="175">
        <f t="shared" si="0"/>
        <v>23</v>
      </c>
      <c r="C5" s="176" t="s">
        <v>126</v>
      </c>
      <c r="D5" s="176" t="s">
        <v>70</v>
      </c>
      <c r="E5" s="177">
        <v>3</v>
      </c>
      <c r="F5" s="178" t="s">
        <v>6</v>
      </c>
      <c r="G5" s="179">
        <v>85.61</v>
      </c>
      <c r="H5" s="180">
        <v>2.5999999999999943</v>
      </c>
      <c r="I5" s="181">
        <f t="shared" si="1"/>
        <v>2.6000002999999943</v>
      </c>
    </row>
    <row r="6" spans="1:9" ht="33" customHeight="1">
      <c r="A6" s="15">
        <f t="shared" si="2"/>
        <v>10</v>
      </c>
      <c r="B6" s="175">
        <f t="shared" si="0"/>
        <v>30</v>
      </c>
      <c r="C6" s="176" t="s">
        <v>126</v>
      </c>
      <c r="D6" s="176" t="s">
        <v>70</v>
      </c>
      <c r="E6" s="177">
        <v>4</v>
      </c>
      <c r="F6" s="178" t="s">
        <v>7</v>
      </c>
      <c r="G6" s="179">
        <v>88.57</v>
      </c>
      <c r="H6" s="180">
        <v>5.5599999999999881</v>
      </c>
      <c r="I6" s="181">
        <f t="shared" si="1"/>
        <v>5.5600003999999883</v>
      </c>
    </row>
    <row r="7" spans="1:9" ht="33" customHeight="1">
      <c r="A7" s="15">
        <f t="shared" si="2"/>
        <v>19</v>
      </c>
      <c r="B7" s="175">
        <f t="shared" si="0"/>
        <v>21</v>
      </c>
      <c r="C7" s="176" t="s">
        <v>126</v>
      </c>
      <c r="D7" s="176" t="s">
        <v>73</v>
      </c>
      <c r="E7" s="177">
        <v>5</v>
      </c>
      <c r="F7" s="178" t="s">
        <v>8</v>
      </c>
      <c r="G7" s="179">
        <v>84.66</v>
      </c>
      <c r="H7" s="180">
        <v>1.6499999999999915</v>
      </c>
      <c r="I7" s="181">
        <f t="shared" si="1"/>
        <v>1.6500004999999915</v>
      </c>
    </row>
    <row r="8" spans="1:9" ht="33" customHeight="1">
      <c r="A8" s="15">
        <f t="shared" si="2"/>
        <v>18</v>
      </c>
      <c r="B8" s="175">
        <f t="shared" si="0"/>
        <v>22</v>
      </c>
      <c r="C8" s="176" t="s">
        <v>126</v>
      </c>
      <c r="D8" s="176" t="s">
        <v>73</v>
      </c>
      <c r="E8" s="177">
        <v>6</v>
      </c>
      <c r="F8" s="178" t="s">
        <v>9</v>
      </c>
      <c r="G8" s="179">
        <v>84.74</v>
      </c>
      <c r="H8" s="180">
        <v>1.7299999999999898</v>
      </c>
      <c r="I8" s="181">
        <f t="shared" si="1"/>
        <v>1.7300005999999897</v>
      </c>
    </row>
    <row r="9" spans="1:9" ht="33" customHeight="1">
      <c r="A9" s="15">
        <f t="shared" si="2"/>
        <v>34</v>
      </c>
      <c r="B9" s="175">
        <f t="shared" si="0"/>
        <v>6</v>
      </c>
      <c r="C9" s="176" t="s">
        <v>126</v>
      </c>
      <c r="D9" s="176" t="s">
        <v>73</v>
      </c>
      <c r="E9" s="177">
        <v>7</v>
      </c>
      <c r="F9" s="178" t="s">
        <v>10</v>
      </c>
      <c r="G9" s="179">
        <v>75.040000000000006</v>
      </c>
      <c r="H9" s="180">
        <v>-7.9699999999999989</v>
      </c>
      <c r="I9" s="181">
        <f t="shared" si="1"/>
        <v>-7.9699992999999987</v>
      </c>
    </row>
    <row r="10" spans="1:9" ht="33" customHeight="1">
      <c r="A10" s="15">
        <f t="shared" si="2"/>
        <v>16</v>
      </c>
      <c r="B10" s="175">
        <f t="shared" si="0"/>
        <v>24</v>
      </c>
      <c r="C10" s="176" t="s">
        <v>126</v>
      </c>
      <c r="D10" s="176" t="s">
        <v>73</v>
      </c>
      <c r="E10" s="177">
        <v>8</v>
      </c>
      <c r="F10" s="178" t="s">
        <v>11</v>
      </c>
      <c r="G10" s="179">
        <v>86</v>
      </c>
      <c r="H10" s="180">
        <v>2.9899999999999949</v>
      </c>
      <c r="I10" s="181">
        <f t="shared" si="1"/>
        <v>2.9900007999999949</v>
      </c>
    </row>
    <row r="11" spans="1:9" ht="33" customHeight="1">
      <c r="A11" s="15">
        <f t="shared" si="2"/>
        <v>11</v>
      </c>
      <c r="B11" s="175">
        <f t="shared" si="0"/>
        <v>29</v>
      </c>
      <c r="C11" s="176" t="s">
        <v>126</v>
      </c>
      <c r="D11" s="176" t="s">
        <v>73</v>
      </c>
      <c r="E11" s="177">
        <v>9</v>
      </c>
      <c r="F11" s="178" t="s">
        <v>12</v>
      </c>
      <c r="G11" s="179">
        <v>88.33</v>
      </c>
      <c r="H11" s="180">
        <v>5.3199999999999932</v>
      </c>
      <c r="I11" s="181">
        <f t="shared" si="1"/>
        <v>5.320000899999993</v>
      </c>
    </row>
    <row r="12" spans="1:9" ht="25.5" customHeight="1">
      <c r="A12" s="15">
        <f t="shared" si="2"/>
        <v>23</v>
      </c>
      <c r="B12" s="15">
        <f t="shared" si="0"/>
        <v>17</v>
      </c>
      <c r="C12" s="176" t="s">
        <v>126</v>
      </c>
      <c r="D12" s="176" t="s">
        <v>73</v>
      </c>
      <c r="E12" s="177">
        <v>10</v>
      </c>
      <c r="F12" s="178" t="s">
        <v>13</v>
      </c>
      <c r="G12" s="179">
        <v>80.86</v>
      </c>
      <c r="H12" s="180">
        <v>-2.1500000000000057</v>
      </c>
      <c r="I12" s="181">
        <f t="shared" si="1"/>
        <v>-2.1499990000000055</v>
      </c>
    </row>
    <row r="13" spans="1:9" ht="25.5" customHeight="1">
      <c r="A13" s="15">
        <f t="shared" si="2"/>
        <v>25</v>
      </c>
      <c r="B13" s="15">
        <f t="shared" si="0"/>
        <v>15</v>
      </c>
      <c r="C13" s="176" t="s">
        <v>126</v>
      </c>
      <c r="D13" s="176" t="s">
        <v>77</v>
      </c>
      <c r="E13" s="177">
        <v>11</v>
      </c>
      <c r="F13" s="178" t="s">
        <v>14</v>
      </c>
      <c r="G13" s="179">
        <v>80.430000000000007</v>
      </c>
      <c r="H13" s="180">
        <v>-2.5799999999999983</v>
      </c>
      <c r="I13" s="181">
        <f t="shared" si="1"/>
        <v>-2.5799988999999983</v>
      </c>
    </row>
    <row r="14" spans="1:9" ht="25.5" customHeight="1">
      <c r="A14" s="15">
        <f t="shared" si="2"/>
        <v>24</v>
      </c>
      <c r="B14" s="15">
        <f t="shared" si="0"/>
        <v>16</v>
      </c>
      <c r="C14" s="176" t="s">
        <v>126</v>
      </c>
      <c r="D14" s="176" t="s">
        <v>77</v>
      </c>
      <c r="E14" s="177">
        <v>12</v>
      </c>
      <c r="F14" s="178" t="s">
        <v>15</v>
      </c>
      <c r="G14" s="179">
        <v>80.430000000000007</v>
      </c>
      <c r="H14" s="180">
        <v>-2.5799999999999983</v>
      </c>
      <c r="I14" s="181">
        <f t="shared" si="1"/>
        <v>-2.5799987999999985</v>
      </c>
    </row>
    <row r="15" spans="1:9" ht="25.5" customHeight="1">
      <c r="A15" s="15">
        <f t="shared" si="2"/>
        <v>27</v>
      </c>
      <c r="B15" s="15">
        <f t="shared" si="0"/>
        <v>13</v>
      </c>
      <c r="C15" s="176" t="s">
        <v>126</v>
      </c>
      <c r="D15" s="176" t="s">
        <v>77</v>
      </c>
      <c r="E15" s="177">
        <v>13</v>
      </c>
      <c r="F15" s="178" t="s">
        <v>16</v>
      </c>
      <c r="G15" s="179">
        <v>79.599999999999994</v>
      </c>
      <c r="H15" s="180">
        <v>-3.4100000000000108</v>
      </c>
      <c r="I15" s="181">
        <f t="shared" si="1"/>
        <v>-3.4099987000000107</v>
      </c>
    </row>
    <row r="16" spans="1:9" ht="25.5" customHeight="1">
      <c r="A16" s="15">
        <f t="shared" si="2"/>
        <v>12</v>
      </c>
      <c r="B16" s="15">
        <f t="shared" si="0"/>
        <v>28</v>
      </c>
      <c r="C16" s="176" t="s">
        <v>126</v>
      </c>
      <c r="D16" s="176" t="s">
        <v>77</v>
      </c>
      <c r="E16" s="177">
        <v>14</v>
      </c>
      <c r="F16" s="178" t="s">
        <v>17</v>
      </c>
      <c r="G16" s="179">
        <v>87.73</v>
      </c>
      <c r="H16" s="180">
        <v>4.7199999999999989</v>
      </c>
      <c r="I16" s="181">
        <f t="shared" si="1"/>
        <v>4.7200013999999992</v>
      </c>
    </row>
    <row r="17" spans="1:9" ht="25.5" customHeight="1">
      <c r="A17" s="15">
        <f t="shared" si="2"/>
        <v>22</v>
      </c>
      <c r="B17" s="15">
        <f t="shared" si="0"/>
        <v>18</v>
      </c>
      <c r="C17" s="182" t="s">
        <v>127</v>
      </c>
      <c r="D17" s="182" t="s">
        <v>80</v>
      </c>
      <c r="E17" s="177">
        <v>15</v>
      </c>
      <c r="F17" s="178" t="s">
        <v>19</v>
      </c>
      <c r="G17" s="183">
        <v>81.709999999999994</v>
      </c>
      <c r="H17" s="180">
        <v>-1.3000000000000114</v>
      </c>
      <c r="I17" s="181">
        <f t="shared" si="1"/>
        <v>-1.2999985000000114</v>
      </c>
    </row>
    <row r="18" spans="1:9" ht="25.5" customHeight="1">
      <c r="A18" s="15">
        <f t="shared" si="2"/>
        <v>7</v>
      </c>
      <c r="B18" s="15">
        <f t="shared" si="0"/>
        <v>33</v>
      </c>
      <c r="C18" s="182" t="s">
        <v>127</v>
      </c>
      <c r="D18" s="182" t="s">
        <v>80</v>
      </c>
      <c r="E18" s="177">
        <v>16</v>
      </c>
      <c r="F18" s="178" t="s">
        <v>20</v>
      </c>
      <c r="G18" s="183">
        <v>91.3</v>
      </c>
      <c r="H18" s="180">
        <v>8.289999999999992</v>
      </c>
      <c r="I18" s="181">
        <f t="shared" si="1"/>
        <v>8.2900015999999912</v>
      </c>
    </row>
    <row r="19" spans="1:9" ht="25.5" customHeight="1">
      <c r="A19" s="15">
        <f t="shared" si="2"/>
        <v>28</v>
      </c>
      <c r="B19" s="15">
        <f t="shared" si="0"/>
        <v>12</v>
      </c>
      <c r="C19" s="182" t="s">
        <v>127</v>
      </c>
      <c r="D19" s="182" t="s">
        <v>80</v>
      </c>
      <c r="E19" s="177">
        <v>17</v>
      </c>
      <c r="F19" s="178" t="s">
        <v>21</v>
      </c>
      <c r="G19" s="183">
        <v>79.040000000000006</v>
      </c>
      <c r="H19" s="180">
        <v>-3.9699999999999989</v>
      </c>
      <c r="I19" s="181">
        <f t="shared" si="1"/>
        <v>-3.969998299999999</v>
      </c>
    </row>
    <row r="20" spans="1:9" ht="25.5" customHeight="1">
      <c r="A20" s="15">
        <f t="shared" si="2"/>
        <v>14</v>
      </c>
      <c r="B20" s="15">
        <f t="shared" si="0"/>
        <v>26</v>
      </c>
      <c r="C20" s="182" t="s">
        <v>127</v>
      </c>
      <c r="D20" s="182" t="s">
        <v>80</v>
      </c>
      <c r="E20" s="177">
        <v>18</v>
      </c>
      <c r="F20" s="178" t="s">
        <v>22</v>
      </c>
      <c r="G20" s="183">
        <v>86.61</v>
      </c>
      <c r="H20" s="180">
        <v>3.5999999999999943</v>
      </c>
      <c r="I20" s="181">
        <f t="shared" si="1"/>
        <v>3.6000017999999945</v>
      </c>
    </row>
    <row r="21" spans="1:9" ht="25.5" customHeight="1">
      <c r="A21" s="15">
        <f t="shared" si="2"/>
        <v>21</v>
      </c>
      <c r="B21" s="15">
        <f t="shared" si="0"/>
        <v>19</v>
      </c>
      <c r="C21" s="182" t="s">
        <v>127</v>
      </c>
      <c r="D21" s="182" t="s">
        <v>83</v>
      </c>
      <c r="E21" s="177">
        <v>19</v>
      </c>
      <c r="F21" s="178" t="s">
        <v>23</v>
      </c>
      <c r="G21" s="183">
        <v>83.04</v>
      </c>
      <c r="H21" s="180">
        <v>3.0000000000001137E-2</v>
      </c>
      <c r="I21" s="181">
        <f t="shared" si="1"/>
        <v>3.0001900000001136E-2</v>
      </c>
    </row>
    <row r="22" spans="1:9" ht="25.5" customHeight="1">
      <c r="A22" s="15">
        <f t="shared" si="2"/>
        <v>30</v>
      </c>
      <c r="B22" s="15">
        <f t="shared" si="0"/>
        <v>10</v>
      </c>
      <c r="C22" s="182" t="s">
        <v>127</v>
      </c>
      <c r="D22" s="182" t="s">
        <v>83</v>
      </c>
      <c r="E22" s="177">
        <v>20</v>
      </c>
      <c r="F22" s="178" t="s">
        <v>24</v>
      </c>
      <c r="G22" s="183">
        <v>78.38</v>
      </c>
      <c r="H22" s="180">
        <v>-4.6300000000000097</v>
      </c>
      <c r="I22" s="181">
        <f t="shared" si="1"/>
        <v>-4.6299980000000094</v>
      </c>
    </row>
    <row r="23" spans="1:9" ht="25.5" customHeight="1">
      <c r="A23" s="15">
        <f t="shared" si="2"/>
        <v>4</v>
      </c>
      <c r="B23" s="15">
        <f t="shared" si="0"/>
        <v>36</v>
      </c>
      <c r="C23" s="182" t="s">
        <v>127</v>
      </c>
      <c r="D23" s="182" t="s">
        <v>85</v>
      </c>
      <c r="E23" s="177">
        <v>21</v>
      </c>
      <c r="F23" s="178" t="s">
        <v>25</v>
      </c>
      <c r="G23" s="183">
        <v>94.49</v>
      </c>
      <c r="H23" s="180">
        <v>11.47999999999999</v>
      </c>
      <c r="I23" s="181">
        <f t="shared" si="1"/>
        <v>11.480002099999989</v>
      </c>
    </row>
    <row r="24" spans="1:9" ht="25.5" customHeight="1">
      <c r="A24" s="15">
        <f t="shared" si="2"/>
        <v>15</v>
      </c>
      <c r="B24" s="15">
        <f t="shared" si="0"/>
        <v>25</v>
      </c>
      <c r="C24" s="182" t="s">
        <v>127</v>
      </c>
      <c r="D24" s="182" t="s">
        <v>85</v>
      </c>
      <c r="E24" s="177">
        <v>22</v>
      </c>
      <c r="F24" s="178" t="s">
        <v>26</v>
      </c>
      <c r="G24" s="183">
        <v>86.36</v>
      </c>
      <c r="H24" s="180">
        <v>3.3499999999999943</v>
      </c>
      <c r="I24" s="181">
        <f t="shared" si="1"/>
        <v>3.3500021999999943</v>
      </c>
    </row>
    <row r="25" spans="1:9" ht="25.5" customHeight="1">
      <c r="A25" s="15">
        <f t="shared" si="2"/>
        <v>9</v>
      </c>
      <c r="B25" s="15">
        <f t="shared" si="0"/>
        <v>31</v>
      </c>
      <c r="C25" s="182" t="s">
        <v>127</v>
      </c>
      <c r="D25" s="182" t="s">
        <v>85</v>
      </c>
      <c r="E25" s="177">
        <v>23</v>
      </c>
      <c r="F25" s="178" t="s">
        <v>27</v>
      </c>
      <c r="G25" s="183">
        <v>88.87</v>
      </c>
      <c r="H25" s="180">
        <v>5.8599999999999994</v>
      </c>
      <c r="I25" s="181">
        <f t="shared" si="1"/>
        <v>5.8600022999999997</v>
      </c>
    </row>
    <row r="26" spans="1:9" ht="25.5" customHeight="1">
      <c r="A26" s="15">
        <f t="shared" si="2"/>
        <v>8</v>
      </c>
      <c r="B26" s="15">
        <f t="shared" si="0"/>
        <v>32</v>
      </c>
      <c r="C26" s="182" t="s">
        <v>127</v>
      </c>
      <c r="D26" s="182" t="s">
        <v>85</v>
      </c>
      <c r="E26" s="177">
        <v>24</v>
      </c>
      <c r="F26" s="178" t="s">
        <v>28</v>
      </c>
      <c r="G26" s="183">
        <v>91.02</v>
      </c>
      <c r="H26" s="180">
        <v>8.0099999999999909</v>
      </c>
      <c r="I26" s="181">
        <f t="shared" si="1"/>
        <v>8.0100023999999905</v>
      </c>
    </row>
    <row r="27" spans="1:9" ht="25.5" customHeight="1">
      <c r="A27" s="15">
        <f t="shared" si="2"/>
        <v>33</v>
      </c>
      <c r="B27" s="15">
        <f t="shared" si="0"/>
        <v>7</v>
      </c>
      <c r="C27" s="182" t="s">
        <v>127</v>
      </c>
      <c r="D27" s="182" t="s">
        <v>85</v>
      </c>
      <c r="E27" s="177">
        <v>25</v>
      </c>
      <c r="F27" s="178" t="s">
        <v>29</v>
      </c>
      <c r="G27" s="183">
        <v>76.44</v>
      </c>
      <c r="H27" s="180">
        <v>-6.5700000000000074</v>
      </c>
      <c r="I27" s="181">
        <f t="shared" si="1"/>
        <v>-6.5699975000000075</v>
      </c>
    </row>
    <row r="28" spans="1:9" ht="25.5" customHeight="1">
      <c r="A28" s="15">
        <f t="shared" si="2"/>
        <v>20</v>
      </c>
      <c r="B28" s="15">
        <f t="shared" si="0"/>
        <v>20</v>
      </c>
      <c r="C28" s="182" t="s">
        <v>127</v>
      </c>
      <c r="D28" s="182" t="s">
        <v>85</v>
      </c>
      <c r="E28" s="177">
        <v>26</v>
      </c>
      <c r="F28" s="178" t="s">
        <v>30</v>
      </c>
      <c r="G28" s="183">
        <v>83.27</v>
      </c>
      <c r="H28" s="180">
        <v>0.25999999999999091</v>
      </c>
      <c r="I28" s="181">
        <f t="shared" si="1"/>
        <v>0.26000259999999092</v>
      </c>
    </row>
    <row r="29" spans="1:9" ht="25.5" customHeight="1">
      <c r="A29" s="15">
        <f t="shared" si="2"/>
        <v>29</v>
      </c>
      <c r="B29" s="15">
        <f t="shared" si="0"/>
        <v>11</v>
      </c>
      <c r="C29" s="182" t="s">
        <v>127</v>
      </c>
      <c r="D29" s="182" t="s">
        <v>85</v>
      </c>
      <c r="E29" s="177">
        <v>27</v>
      </c>
      <c r="F29" s="178" t="s">
        <v>31</v>
      </c>
      <c r="G29" s="183">
        <v>78.599999999999994</v>
      </c>
      <c r="H29" s="180">
        <v>-4.4100000000000108</v>
      </c>
      <c r="I29" s="181">
        <f t="shared" si="1"/>
        <v>-4.4099973000000112</v>
      </c>
    </row>
    <row r="30" spans="1:9" ht="25.5" customHeight="1">
      <c r="A30" s="15">
        <f t="shared" si="2"/>
        <v>38</v>
      </c>
      <c r="B30" s="15">
        <f t="shared" si="0"/>
        <v>2</v>
      </c>
      <c r="C30" s="184" t="s">
        <v>125</v>
      </c>
      <c r="D30" s="185" t="s">
        <v>88</v>
      </c>
      <c r="E30" s="177">
        <v>28</v>
      </c>
      <c r="F30" s="178" t="s">
        <v>33</v>
      </c>
      <c r="G30" s="183">
        <v>49.82</v>
      </c>
      <c r="H30" s="180">
        <v>-33.190000000000005</v>
      </c>
      <c r="I30" s="181">
        <f t="shared" si="1"/>
        <v>-33.189997200000008</v>
      </c>
    </row>
    <row r="31" spans="1:9" ht="25.5" customHeight="1">
      <c r="A31" s="15">
        <f t="shared" si="2"/>
        <v>39</v>
      </c>
      <c r="B31" s="15">
        <f t="shared" si="0"/>
        <v>1</v>
      </c>
      <c r="C31" s="184" t="s">
        <v>125</v>
      </c>
      <c r="D31" s="185" t="s">
        <v>88</v>
      </c>
      <c r="E31" s="177">
        <v>29</v>
      </c>
      <c r="F31" s="178" t="s">
        <v>34</v>
      </c>
      <c r="G31" s="183">
        <v>45.97</v>
      </c>
      <c r="H31" s="180">
        <v>-37.040000000000006</v>
      </c>
      <c r="I31" s="181">
        <f t="shared" si="1"/>
        <v>-37.039997100000008</v>
      </c>
    </row>
    <row r="32" spans="1:9" ht="25.5" customHeight="1">
      <c r="A32" s="15">
        <f t="shared" si="2"/>
        <v>31</v>
      </c>
      <c r="B32" s="15">
        <f t="shared" si="0"/>
        <v>9</v>
      </c>
      <c r="C32" s="184" t="s">
        <v>125</v>
      </c>
      <c r="D32" s="185" t="s">
        <v>88</v>
      </c>
      <c r="E32" s="177">
        <v>30</v>
      </c>
      <c r="F32" s="178" t="s">
        <v>35</v>
      </c>
      <c r="G32" s="183">
        <v>77.8</v>
      </c>
      <c r="H32" s="180">
        <v>-5.210000000000008</v>
      </c>
      <c r="I32" s="181">
        <f t="shared" si="1"/>
        <v>-5.2099970000000075</v>
      </c>
    </row>
    <row r="33" spans="1:10" ht="25.5" customHeight="1">
      <c r="A33" s="15">
        <f t="shared" si="2"/>
        <v>6</v>
      </c>
      <c r="B33" s="15">
        <f t="shared" si="0"/>
        <v>34</v>
      </c>
      <c r="C33" s="184" t="s">
        <v>125</v>
      </c>
      <c r="D33" s="185" t="s">
        <v>88</v>
      </c>
      <c r="E33" s="177">
        <v>31</v>
      </c>
      <c r="F33" s="178" t="s">
        <v>36</v>
      </c>
      <c r="G33" s="183">
        <v>93.18</v>
      </c>
      <c r="H33" s="180">
        <v>10.170000000000002</v>
      </c>
      <c r="I33" s="181">
        <f t="shared" si="1"/>
        <v>10.170003100000002</v>
      </c>
    </row>
    <row r="34" spans="1:10" ht="25.5" customHeight="1">
      <c r="A34" s="15">
        <f t="shared" si="2"/>
        <v>37</v>
      </c>
      <c r="B34" s="15">
        <f t="shared" si="0"/>
        <v>3</v>
      </c>
      <c r="C34" s="184" t="s">
        <v>125</v>
      </c>
      <c r="D34" s="185" t="s">
        <v>91</v>
      </c>
      <c r="E34" s="177">
        <v>32</v>
      </c>
      <c r="F34" s="178" t="s">
        <v>37</v>
      </c>
      <c r="G34" s="183">
        <v>66.91</v>
      </c>
      <c r="H34" s="180">
        <v>-16.100000000000009</v>
      </c>
      <c r="I34" s="181">
        <f t="shared" si="1"/>
        <v>-16.09999680000001</v>
      </c>
    </row>
    <row r="35" spans="1:10" ht="25.5" customHeight="1">
      <c r="A35" s="15">
        <f t="shared" si="2"/>
        <v>36</v>
      </c>
      <c r="B35" s="15">
        <f t="shared" si="0"/>
        <v>4</v>
      </c>
      <c r="C35" s="184" t="s">
        <v>125</v>
      </c>
      <c r="D35" s="185" t="s">
        <v>91</v>
      </c>
      <c r="E35" s="177">
        <v>33</v>
      </c>
      <c r="F35" s="178" t="s">
        <v>38</v>
      </c>
      <c r="G35" s="183">
        <v>68.760000000000005</v>
      </c>
      <c r="H35" s="180">
        <v>-14.25</v>
      </c>
      <c r="I35" s="181">
        <f t="shared" si="1"/>
        <v>-14.249996700000001</v>
      </c>
    </row>
    <row r="36" spans="1:10" ht="25.5" customHeight="1">
      <c r="A36" s="15">
        <f t="shared" si="2"/>
        <v>35</v>
      </c>
      <c r="B36" s="15">
        <f t="shared" si="0"/>
        <v>5</v>
      </c>
      <c r="C36" s="184" t="s">
        <v>125</v>
      </c>
      <c r="D36" s="185" t="s">
        <v>91</v>
      </c>
      <c r="E36" s="177">
        <v>34</v>
      </c>
      <c r="F36" s="178" t="s">
        <v>39</v>
      </c>
      <c r="G36" s="183">
        <v>71.25</v>
      </c>
      <c r="H36" s="180">
        <v>-11.760000000000005</v>
      </c>
      <c r="I36" s="181">
        <f t="shared" si="1"/>
        <v>-11.759996600000004</v>
      </c>
    </row>
    <row r="37" spans="1:10" ht="25.5" customHeight="1">
      <c r="A37" s="15">
        <f t="shared" si="2"/>
        <v>3</v>
      </c>
      <c r="B37" s="15">
        <f t="shared" si="0"/>
        <v>37</v>
      </c>
      <c r="C37" s="184" t="s">
        <v>125</v>
      </c>
      <c r="D37" s="185" t="s">
        <v>92</v>
      </c>
      <c r="E37" s="177">
        <v>35</v>
      </c>
      <c r="F37" s="178" t="s">
        <v>40</v>
      </c>
      <c r="G37" s="183">
        <v>94.61</v>
      </c>
      <c r="H37" s="180">
        <v>11.599999999999994</v>
      </c>
      <c r="I37" s="181">
        <f t="shared" si="1"/>
        <v>11.600003499999994</v>
      </c>
    </row>
    <row r="38" spans="1:10" ht="25.5" customHeight="1">
      <c r="A38" s="15">
        <f t="shared" si="2"/>
        <v>1</v>
      </c>
      <c r="B38" s="15">
        <f t="shared" si="0"/>
        <v>39</v>
      </c>
      <c r="C38" s="184" t="s">
        <v>125</v>
      </c>
      <c r="D38" s="185" t="s">
        <v>92</v>
      </c>
      <c r="E38" s="177">
        <v>36</v>
      </c>
      <c r="F38" s="178" t="s">
        <v>41</v>
      </c>
      <c r="G38" s="183">
        <v>97.13</v>
      </c>
      <c r="H38" s="180">
        <v>14.11999999999999</v>
      </c>
      <c r="I38" s="181">
        <f t="shared" si="1"/>
        <v>14.12000359999999</v>
      </c>
    </row>
    <row r="39" spans="1:10" ht="25.5" customHeight="1">
      <c r="A39" s="15">
        <f t="shared" si="2"/>
        <v>2</v>
      </c>
      <c r="B39" s="15">
        <f t="shared" si="0"/>
        <v>38</v>
      </c>
      <c r="C39" s="184" t="s">
        <v>125</v>
      </c>
      <c r="D39" s="185" t="s">
        <v>92</v>
      </c>
      <c r="E39" s="177">
        <v>37</v>
      </c>
      <c r="F39" s="178" t="s">
        <v>42</v>
      </c>
      <c r="G39" s="183">
        <v>96.22</v>
      </c>
      <c r="H39" s="180">
        <v>13.209999999999994</v>
      </c>
      <c r="I39" s="181">
        <f t="shared" si="1"/>
        <v>13.210003699999994</v>
      </c>
    </row>
    <row r="40" spans="1:10" ht="25.5" customHeight="1">
      <c r="A40" s="15">
        <f t="shared" si="2"/>
        <v>5</v>
      </c>
      <c r="B40" s="15">
        <f t="shared" si="0"/>
        <v>35</v>
      </c>
      <c r="C40" s="184" t="s">
        <v>125</v>
      </c>
      <c r="D40" s="186" t="s">
        <v>92</v>
      </c>
      <c r="E40" s="177">
        <v>38</v>
      </c>
      <c r="F40" s="178" t="s">
        <v>43</v>
      </c>
      <c r="G40" s="183">
        <v>94.43</v>
      </c>
      <c r="H40" s="180">
        <v>11.420000000000002</v>
      </c>
      <c r="I40" s="181">
        <f t="shared" si="1"/>
        <v>11.420003800000002</v>
      </c>
    </row>
    <row r="41" spans="1:10" ht="25.5" customHeight="1">
      <c r="A41" s="15">
        <f t="shared" si="2"/>
        <v>13</v>
      </c>
      <c r="B41" s="15">
        <f t="shared" si="0"/>
        <v>27</v>
      </c>
      <c r="C41" s="184" t="s">
        <v>125</v>
      </c>
      <c r="D41" s="185" t="s">
        <v>92</v>
      </c>
      <c r="E41" s="177">
        <v>39</v>
      </c>
      <c r="F41" s="178" t="s">
        <v>44</v>
      </c>
      <c r="G41" s="183">
        <v>87.57</v>
      </c>
      <c r="H41" s="180">
        <v>4.5599999999999881</v>
      </c>
      <c r="I41" s="181">
        <f t="shared" si="1"/>
        <v>4.5600038999999883</v>
      </c>
    </row>
    <row r="43" spans="1:10">
      <c r="C43" s="27">
        <v>3</v>
      </c>
      <c r="D43" s="27">
        <f>C43+1</f>
        <v>4</v>
      </c>
      <c r="E43" s="27">
        <f>D43+1</f>
        <v>5</v>
      </c>
      <c r="F43" s="27">
        <f>E43+1</f>
        <v>6</v>
      </c>
      <c r="G43" s="27">
        <v>7</v>
      </c>
      <c r="H43" s="27">
        <v>8</v>
      </c>
    </row>
    <row r="44" spans="1:10" ht="24.95" customHeight="1">
      <c r="A44" s="169"/>
      <c r="B44" s="169"/>
      <c r="C44" s="187" t="s">
        <v>105</v>
      </c>
      <c r="D44" s="187" t="s">
        <v>106</v>
      </c>
      <c r="E44" s="187" t="s">
        <v>68</v>
      </c>
      <c r="F44" s="187" t="s">
        <v>69</v>
      </c>
      <c r="G44" s="187">
        <f>$G$2</f>
        <v>2017</v>
      </c>
      <c r="H44" s="187" t="str">
        <f>$H$2</f>
        <v>2017 - PG</v>
      </c>
      <c r="I44" s="169"/>
      <c r="J44" s="169"/>
    </row>
    <row r="45" spans="1:10" ht="35.1" customHeight="1">
      <c r="A45" s="169">
        <v>1</v>
      </c>
      <c r="B45" s="169"/>
      <c r="C45" s="356" t="str">
        <f>IF(VLOOKUP($A45,$A$3:$H$41,$H$43,0)&lt;4.51,"",UPPER(VLOOKUP($A45,$A$3:$H$41,C$43,0)))</f>
        <v>IMPARCIALIDAD</v>
      </c>
      <c r="D45" s="188" t="str">
        <f>IF(VLOOKUP($A45,$A$3:$H$41,$H$43,0)&lt;4.51,"",VLOOKUP($A45,$A$3:$H$41,D$43,0))</f>
        <v>Justicia</v>
      </c>
      <c r="E45" s="189">
        <f t="shared" ref="E45:H54" si="3">IF(VLOOKUP($A45,$A$3:$H$41,$H$43,0)&lt;4.51,"",VLOOKUP($A45,$A$3:$H$41,E$43,0))</f>
        <v>36</v>
      </c>
      <c r="F45" s="189" t="str">
        <f t="shared" si="3"/>
        <v>Aquí el personal es tratado en forma justa independientemente de su raza.</v>
      </c>
      <c r="G45" s="357">
        <f t="shared" si="3"/>
        <v>97.13</v>
      </c>
      <c r="H45" s="358">
        <f t="shared" si="3"/>
        <v>14.11999999999999</v>
      </c>
      <c r="I45" s="169"/>
      <c r="J45" s="169"/>
    </row>
    <row r="46" spans="1:10" ht="35.1" customHeight="1">
      <c r="A46" s="169">
        <f>A45+1</f>
        <v>2</v>
      </c>
      <c r="B46" s="169"/>
      <c r="C46" s="356" t="str">
        <f t="shared" ref="C46:C54" si="4">IF(VLOOKUP($A46,$A$3:$H$41,$H$43,0)&lt;4.51,"",UPPER(VLOOKUP($A46,$A$3:$H$41,C$43,0)))</f>
        <v>IMPARCIALIDAD</v>
      </c>
      <c r="D46" s="188" t="str">
        <f t="shared" ref="D46:D54" si="5">IF(VLOOKUP($A46,$A$3:$H$41,$H$43,0)&lt;4.51,"",VLOOKUP($A46,$A$3:$H$41,D$43,0))</f>
        <v>Justicia</v>
      </c>
      <c r="E46" s="189">
        <f t="shared" si="3"/>
        <v>37</v>
      </c>
      <c r="F46" s="189" t="str">
        <f t="shared" si="3"/>
        <v>Aquí el personal es tratado en forma justa independientemente de su preferencia sexual.</v>
      </c>
      <c r="G46" s="357">
        <f t="shared" si="3"/>
        <v>96.22</v>
      </c>
      <c r="H46" s="358">
        <f t="shared" si="3"/>
        <v>13.209999999999994</v>
      </c>
      <c r="I46" s="169"/>
      <c r="J46" s="169"/>
    </row>
    <row r="47" spans="1:10" ht="35.1" customHeight="1">
      <c r="A47" s="169">
        <f t="shared" ref="A47:A54" si="6">A46+1</f>
        <v>3</v>
      </c>
      <c r="B47" s="169"/>
      <c r="C47" s="356" t="str">
        <f t="shared" si="4"/>
        <v>IMPARCIALIDAD</v>
      </c>
      <c r="D47" s="188" t="str">
        <f t="shared" si="5"/>
        <v>Justicia</v>
      </c>
      <c r="E47" s="189">
        <f t="shared" si="3"/>
        <v>35</v>
      </c>
      <c r="F47" s="189" t="str">
        <f t="shared" si="3"/>
        <v>Aquí el personal es tratado en forma justa independientemente de su edad.</v>
      </c>
      <c r="G47" s="357">
        <f t="shared" si="3"/>
        <v>94.61</v>
      </c>
      <c r="H47" s="358">
        <f t="shared" si="3"/>
        <v>11.599999999999994</v>
      </c>
      <c r="I47" s="169"/>
      <c r="J47" s="169"/>
    </row>
    <row r="48" spans="1:10" ht="35.1" customHeight="1">
      <c r="A48" s="169">
        <f t="shared" si="6"/>
        <v>4</v>
      </c>
      <c r="B48" s="169"/>
      <c r="C48" s="356" t="str">
        <f t="shared" si="4"/>
        <v>RESPETO</v>
      </c>
      <c r="D48" s="188" t="str">
        <f t="shared" si="5"/>
        <v>Cuidado de las Personas</v>
      </c>
      <c r="E48" s="189">
        <f t="shared" si="3"/>
        <v>21</v>
      </c>
      <c r="F48" s="189" t="str">
        <f t="shared" si="3"/>
        <v>Este es un lugar físicamente seguro para trabajar.</v>
      </c>
      <c r="G48" s="357">
        <f t="shared" si="3"/>
        <v>94.49</v>
      </c>
      <c r="H48" s="358">
        <f t="shared" si="3"/>
        <v>11.47999999999999</v>
      </c>
      <c r="I48" s="169"/>
      <c r="J48" s="169"/>
    </row>
    <row r="49" spans="1:10" ht="35.1" customHeight="1">
      <c r="A49" s="169">
        <f t="shared" si="6"/>
        <v>5</v>
      </c>
      <c r="B49" s="169"/>
      <c r="C49" s="356" t="str">
        <f t="shared" si="4"/>
        <v>IMPARCIALIDAD</v>
      </c>
      <c r="D49" s="188" t="str">
        <f t="shared" si="5"/>
        <v>Justicia</v>
      </c>
      <c r="E49" s="189">
        <f t="shared" si="3"/>
        <v>38</v>
      </c>
      <c r="F49" s="189" t="str">
        <f t="shared" si="3"/>
        <v>Aquí el personal es tratado en forma justa independientemente de su sexo.</v>
      </c>
      <c r="G49" s="357">
        <f t="shared" si="3"/>
        <v>94.43</v>
      </c>
      <c r="H49" s="358">
        <f t="shared" si="3"/>
        <v>11.420000000000002</v>
      </c>
      <c r="I49" s="169"/>
      <c r="J49" s="169"/>
    </row>
    <row r="50" spans="1:10" ht="35.1" customHeight="1">
      <c r="A50" s="169">
        <f t="shared" si="6"/>
        <v>6</v>
      </c>
      <c r="B50" s="169"/>
      <c r="C50" s="356" t="str">
        <f t="shared" si="4"/>
        <v>IMPARCIALIDAD</v>
      </c>
      <c r="D50" s="188" t="str">
        <f t="shared" si="5"/>
        <v>Equidad</v>
      </c>
      <c r="E50" s="189">
        <f t="shared" si="3"/>
        <v>31</v>
      </c>
      <c r="F50" s="189" t="str">
        <f t="shared" si="3"/>
        <v>Recibo un buen trato, independientemente de mi posición en la empresa.</v>
      </c>
      <c r="G50" s="357">
        <f t="shared" si="3"/>
        <v>93.18</v>
      </c>
      <c r="H50" s="358">
        <f t="shared" si="3"/>
        <v>10.170000000000002</v>
      </c>
      <c r="I50" s="169"/>
      <c r="J50" s="169"/>
    </row>
    <row r="51" spans="1:10" ht="35.1" customHeight="1">
      <c r="A51" s="169">
        <f t="shared" si="6"/>
        <v>7</v>
      </c>
      <c r="B51" s="169"/>
      <c r="C51" s="356" t="str">
        <f t="shared" si="4"/>
        <v>RESPETO</v>
      </c>
      <c r="D51" s="188" t="str">
        <f t="shared" si="5"/>
        <v>Respaldo</v>
      </c>
      <c r="E51" s="189">
        <f t="shared" si="3"/>
        <v>16</v>
      </c>
      <c r="F51" s="189" t="str">
        <f t="shared" si="3"/>
        <v>Me dan los recursos y equipos para hacer mi trabajo.</v>
      </c>
      <c r="G51" s="357">
        <f t="shared" si="3"/>
        <v>91.3</v>
      </c>
      <c r="H51" s="358">
        <f t="shared" si="3"/>
        <v>8.289999999999992</v>
      </c>
      <c r="I51" s="169"/>
      <c r="J51" s="169"/>
    </row>
    <row r="52" spans="1:10" ht="35.1" customHeight="1">
      <c r="A52" s="169">
        <f t="shared" si="6"/>
        <v>8</v>
      </c>
      <c r="B52" s="169"/>
      <c r="C52" s="356" t="str">
        <f t="shared" si="4"/>
        <v>RESPETO</v>
      </c>
      <c r="D52" s="188" t="str">
        <f t="shared" si="5"/>
        <v>Cuidado de las Personas</v>
      </c>
      <c r="E52" s="189">
        <f t="shared" si="3"/>
        <v>24</v>
      </c>
      <c r="F52" s="189" t="str">
        <f t="shared" si="3"/>
        <v>Puedo tomarme tiempo libre para resolver mis asuntos personales cuando lo necesito.</v>
      </c>
      <c r="G52" s="357">
        <f t="shared" si="3"/>
        <v>91.02</v>
      </c>
      <c r="H52" s="358">
        <f t="shared" si="3"/>
        <v>8.0099999999999909</v>
      </c>
      <c r="I52" s="169"/>
      <c r="J52" s="169"/>
    </row>
    <row r="53" spans="1:10" ht="35.1" customHeight="1">
      <c r="A53" s="169">
        <f t="shared" si="6"/>
        <v>9</v>
      </c>
      <c r="B53" s="169"/>
      <c r="C53" s="356" t="str">
        <f t="shared" si="4"/>
        <v>RESPETO</v>
      </c>
      <c r="D53" s="188" t="str">
        <f t="shared" si="5"/>
        <v>Cuidado de las Personas</v>
      </c>
      <c r="E53" s="189">
        <f t="shared" si="3"/>
        <v>23</v>
      </c>
      <c r="F53" s="189" t="str">
        <f t="shared" si="3"/>
        <v>Nuestras instalaciones contribuyen a un buen ambiente de trabajo.</v>
      </c>
      <c r="G53" s="357">
        <f t="shared" si="3"/>
        <v>88.87</v>
      </c>
      <c r="H53" s="358">
        <f t="shared" si="3"/>
        <v>5.8599999999999994</v>
      </c>
      <c r="I53" s="169"/>
      <c r="J53" s="169"/>
    </row>
    <row r="54" spans="1:10" ht="35.1" customHeight="1">
      <c r="A54" s="169">
        <f t="shared" si="6"/>
        <v>10</v>
      </c>
      <c r="B54" s="169"/>
      <c r="C54" s="356" t="str">
        <f t="shared" si="4"/>
        <v>CREDIBILIDAD</v>
      </c>
      <c r="D54" s="188" t="str">
        <f t="shared" si="5"/>
        <v>Comunicación</v>
      </c>
      <c r="E54" s="189">
        <f t="shared" si="3"/>
        <v>4</v>
      </c>
      <c r="F54" s="189" t="str">
        <f t="shared" si="3"/>
        <v>Los jefes son accesibles y es fácil hablar con ellos.</v>
      </c>
      <c r="G54" s="357">
        <f t="shared" si="3"/>
        <v>88.57</v>
      </c>
      <c r="H54" s="358">
        <f t="shared" si="3"/>
        <v>5.5599999999999881</v>
      </c>
      <c r="I54" s="169"/>
      <c r="J54" s="169"/>
    </row>
    <row r="55" spans="1:10" ht="24.95" customHeight="1">
      <c r="A55" s="169"/>
      <c r="B55" s="169"/>
      <c r="C55" s="190"/>
      <c r="D55" s="190"/>
      <c r="E55" s="191"/>
      <c r="F55" s="190"/>
      <c r="G55" s="192"/>
      <c r="H55" s="193"/>
      <c r="I55" s="169"/>
      <c r="J55" s="169"/>
    </row>
    <row r="56" spans="1:10" ht="24.95" customHeight="1">
      <c r="A56" s="169"/>
      <c r="B56" s="169"/>
      <c r="C56" s="187" t="s">
        <v>105</v>
      </c>
      <c r="D56" s="187" t="s">
        <v>106</v>
      </c>
      <c r="E56" s="187" t="s">
        <v>68</v>
      </c>
      <c r="F56" s="187" t="s">
        <v>69</v>
      </c>
      <c r="G56" s="194">
        <f>$G$2</f>
        <v>2017</v>
      </c>
      <c r="H56" s="194" t="str">
        <f>$H$2</f>
        <v>2017 - PG</v>
      </c>
      <c r="I56" s="169"/>
      <c r="J56" s="169"/>
    </row>
    <row r="57" spans="1:10" ht="35.25" customHeight="1">
      <c r="A57" s="169">
        <v>39</v>
      </c>
      <c r="B57" s="169"/>
      <c r="C57" s="356" t="str">
        <f>IF(VLOOKUP($A57,$A$3:$H$41,$H$43,0)&gt;-4.5,"",UPPER(VLOOKUP($A57,$A$3:$H$41,C$43,0)))</f>
        <v>IMPARCIALIDAD</v>
      </c>
      <c r="D57" s="188" t="str">
        <f>IF(VLOOKUP($A57,$A$3:$H$41,$H$43,0)&gt;-4.5,"",VLOOKUP($A57,$A$3:$H$41,D$43,0))</f>
        <v>Equidad</v>
      </c>
      <c r="E57" s="189">
        <f t="shared" ref="E57:H66" si="7">IF(VLOOKUP($A57,$A$3:$H$41,$H$43,0)&gt;-4.5,"",VLOOKUP($A57,$A$3:$H$41,E$43,0))</f>
        <v>29</v>
      </c>
      <c r="F57" s="189" t="str">
        <f t="shared" si="7"/>
        <v>Siento que recibo una parte justa de las ganancias de esta organización.</v>
      </c>
      <c r="G57" s="357">
        <f t="shared" si="7"/>
        <v>45.97</v>
      </c>
      <c r="H57" s="358">
        <f t="shared" si="7"/>
        <v>-37.040000000000006</v>
      </c>
      <c r="I57" s="169"/>
      <c r="J57" s="169"/>
    </row>
    <row r="58" spans="1:10" ht="35.25" customHeight="1">
      <c r="A58" s="169">
        <f>A57-1</f>
        <v>38</v>
      </c>
      <c r="B58" s="169"/>
      <c r="C58" s="356" t="str">
        <f t="shared" ref="C58:C66" si="8">IF(VLOOKUP($A58,$A$3:$H$41,$H$43,0)&gt;-4.5,"",UPPER(VLOOKUP($A58,$A$3:$H$41,C$43,0)))</f>
        <v>IMPARCIALIDAD</v>
      </c>
      <c r="D58" s="188" t="str">
        <f t="shared" ref="D58:D66" si="9">IF(VLOOKUP($A58,$A$3:$H$41,$H$43,0)&gt;-4.5,"",VLOOKUP($A58,$A$3:$H$41,D$43,0))</f>
        <v>Equidad</v>
      </c>
      <c r="E58" s="189">
        <f t="shared" si="7"/>
        <v>28</v>
      </c>
      <c r="F58" s="189" t="str">
        <f t="shared" si="7"/>
        <v>Aquí el personal recibe un pago adecuado por su trabajo.</v>
      </c>
      <c r="G58" s="357">
        <f t="shared" si="7"/>
        <v>49.82</v>
      </c>
      <c r="H58" s="358">
        <f t="shared" si="7"/>
        <v>-33.190000000000005</v>
      </c>
      <c r="I58" s="169"/>
      <c r="J58" s="169"/>
    </row>
    <row r="59" spans="1:10" ht="35.25" customHeight="1">
      <c r="A59" s="169">
        <f t="shared" ref="A59:A66" si="10">A58-1</f>
        <v>37</v>
      </c>
      <c r="B59" s="169"/>
      <c r="C59" s="356" t="str">
        <f t="shared" si="8"/>
        <v>IMPARCIALIDAD</v>
      </c>
      <c r="D59" s="188" t="str">
        <f t="shared" si="9"/>
        <v>Ausencia de Favoritismo</v>
      </c>
      <c r="E59" s="189">
        <f t="shared" si="7"/>
        <v>32</v>
      </c>
      <c r="F59" s="189" t="str">
        <f t="shared" si="7"/>
        <v>Los ascensos se dan a quienes más se lo merecen.</v>
      </c>
      <c r="G59" s="357">
        <f t="shared" si="7"/>
        <v>66.91</v>
      </c>
      <c r="H59" s="358">
        <f t="shared" si="7"/>
        <v>-16.100000000000009</v>
      </c>
      <c r="I59" s="169"/>
      <c r="J59" s="169"/>
    </row>
    <row r="60" spans="1:10" ht="35.25" customHeight="1">
      <c r="A60" s="169">
        <f t="shared" si="10"/>
        <v>36</v>
      </c>
      <c r="B60" s="169"/>
      <c r="C60" s="356" t="str">
        <f t="shared" si="8"/>
        <v>IMPARCIALIDAD</v>
      </c>
      <c r="D60" s="188" t="str">
        <f t="shared" si="9"/>
        <v>Ausencia de Favoritismo</v>
      </c>
      <c r="E60" s="189">
        <f t="shared" si="7"/>
        <v>33</v>
      </c>
      <c r="F60" s="189" t="str">
        <f t="shared" si="7"/>
        <v>Los jefes evitan el favoritismo.</v>
      </c>
      <c r="G60" s="357">
        <f t="shared" si="7"/>
        <v>68.760000000000005</v>
      </c>
      <c r="H60" s="358">
        <f t="shared" si="7"/>
        <v>-14.25</v>
      </c>
      <c r="I60" s="169"/>
      <c r="J60" s="169"/>
    </row>
    <row r="61" spans="1:10" ht="35.25" customHeight="1">
      <c r="A61" s="169">
        <f t="shared" si="10"/>
        <v>35</v>
      </c>
      <c r="B61" s="169"/>
      <c r="C61" s="356" t="str">
        <f t="shared" si="8"/>
        <v>IMPARCIALIDAD</v>
      </c>
      <c r="D61" s="188" t="str">
        <f t="shared" si="9"/>
        <v>Ausencia de Favoritismo</v>
      </c>
      <c r="E61" s="189">
        <f t="shared" si="7"/>
        <v>34</v>
      </c>
      <c r="F61" s="189" t="str">
        <f t="shared" si="7"/>
        <v>Las personas evitan la politiquería y la intriga como forma de conseguir las cosas.</v>
      </c>
      <c r="G61" s="357">
        <f t="shared" si="7"/>
        <v>71.25</v>
      </c>
      <c r="H61" s="358">
        <f t="shared" si="7"/>
        <v>-11.760000000000005</v>
      </c>
      <c r="I61" s="169"/>
      <c r="J61" s="169"/>
    </row>
    <row r="62" spans="1:10" ht="35.25" customHeight="1">
      <c r="A62" s="169">
        <f t="shared" si="10"/>
        <v>34</v>
      </c>
      <c r="B62" s="169"/>
      <c r="C62" s="356" t="str">
        <f t="shared" si="8"/>
        <v>CREDIBILIDAD</v>
      </c>
      <c r="D62" s="188" t="str">
        <f t="shared" si="9"/>
        <v>Competencia</v>
      </c>
      <c r="E62" s="189">
        <f t="shared" si="7"/>
        <v>7</v>
      </c>
      <c r="F62" s="189" t="str">
        <f t="shared" si="7"/>
        <v>Los jefes hacen un buen trabajo en la asignación y coordinación de las personas.</v>
      </c>
      <c r="G62" s="357">
        <f t="shared" si="7"/>
        <v>75.040000000000006</v>
      </c>
      <c r="H62" s="358">
        <f t="shared" si="7"/>
        <v>-7.9699999999999989</v>
      </c>
      <c r="I62" s="169"/>
      <c r="J62" s="169"/>
    </row>
    <row r="63" spans="1:10" ht="35.25" customHeight="1">
      <c r="A63" s="169">
        <f t="shared" si="10"/>
        <v>33</v>
      </c>
      <c r="B63" s="169"/>
      <c r="C63" s="356" t="str">
        <f t="shared" si="8"/>
        <v>RESPETO</v>
      </c>
      <c r="D63" s="188" t="str">
        <f t="shared" si="9"/>
        <v>Cuidado de las Personas</v>
      </c>
      <c r="E63" s="189">
        <f t="shared" si="7"/>
        <v>25</v>
      </c>
      <c r="F63" s="189" t="str">
        <f t="shared" si="7"/>
        <v>A las personas se las anima para que equilibren el trabajo con su vida personal.</v>
      </c>
      <c r="G63" s="357">
        <f t="shared" si="7"/>
        <v>76.44</v>
      </c>
      <c r="H63" s="358">
        <f t="shared" si="7"/>
        <v>-6.5700000000000074</v>
      </c>
      <c r="I63" s="169"/>
      <c r="J63" s="169"/>
    </row>
    <row r="64" spans="1:10" ht="35.25" customHeight="1">
      <c r="A64" s="169">
        <f t="shared" si="10"/>
        <v>32</v>
      </c>
      <c r="B64" s="169"/>
      <c r="C64" s="356" t="str">
        <f t="shared" si="8"/>
        <v>CREDIBILIDAD</v>
      </c>
      <c r="D64" s="188" t="str">
        <f t="shared" si="9"/>
        <v>Comunicación</v>
      </c>
      <c r="E64" s="189">
        <f t="shared" si="7"/>
        <v>2</v>
      </c>
      <c r="F64" s="189" t="str">
        <f t="shared" si="7"/>
        <v>Los jefes comunican claramente sus expectativas.</v>
      </c>
      <c r="G64" s="357">
        <f t="shared" si="7"/>
        <v>77.62</v>
      </c>
      <c r="H64" s="358">
        <f t="shared" si="7"/>
        <v>-5.3900000000000006</v>
      </c>
      <c r="I64" s="169"/>
      <c r="J64" s="169"/>
    </row>
    <row r="65" spans="1:10" ht="35.25" customHeight="1">
      <c r="A65" s="169">
        <f t="shared" si="10"/>
        <v>31</v>
      </c>
      <c r="B65" s="169"/>
      <c r="C65" s="356" t="str">
        <f t="shared" si="8"/>
        <v>IMPARCIALIDAD</v>
      </c>
      <c r="D65" s="188" t="str">
        <f t="shared" si="9"/>
        <v>Equidad</v>
      </c>
      <c r="E65" s="189">
        <f t="shared" si="7"/>
        <v>30</v>
      </c>
      <c r="F65" s="189" t="str">
        <f t="shared" si="7"/>
        <v>Todos tenemos la oportunidad de recibir un reconocimiento especial.</v>
      </c>
      <c r="G65" s="357">
        <f t="shared" si="7"/>
        <v>77.8</v>
      </c>
      <c r="H65" s="358">
        <f t="shared" si="7"/>
        <v>-5.210000000000008</v>
      </c>
      <c r="I65" s="169"/>
      <c r="J65" s="169"/>
    </row>
    <row r="66" spans="1:10" ht="35.25" customHeight="1">
      <c r="A66" s="169">
        <f t="shared" si="10"/>
        <v>30</v>
      </c>
      <c r="B66" s="169"/>
      <c r="C66" s="356" t="str">
        <f t="shared" si="8"/>
        <v>RESPETO</v>
      </c>
      <c r="D66" s="188" t="str">
        <f t="shared" si="9"/>
        <v>Participación</v>
      </c>
      <c r="E66" s="189">
        <f t="shared" si="7"/>
        <v>20</v>
      </c>
      <c r="F66" s="189" t="str">
        <f t="shared" si="7"/>
        <v>Los jefes involucran a las personas en decisiones que afectan sus actividades o su ambiente de trabajo.</v>
      </c>
      <c r="G66" s="357">
        <f t="shared" si="7"/>
        <v>78.38</v>
      </c>
      <c r="H66" s="358">
        <f t="shared" si="7"/>
        <v>-4.6300000000000097</v>
      </c>
      <c r="I66" s="169"/>
      <c r="J66" s="169"/>
    </row>
    <row r="67" spans="1:10">
      <c r="A67" s="169"/>
      <c r="B67" s="169"/>
      <c r="C67" s="169"/>
      <c r="D67" s="169"/>
      <c r="E67" s="169"/>
      <c r="F67" s="169"/>
      <c r="G67" s="169"/>
      <c r="H67" s="169"/>
      <c r="I67" s="169"/>
      <c r="J67" s="169"/>
    </row>
    <row r="68" spans="1:10">
      <c r="A68" s="169"/>
      <c r="B68" s="169"/>
      <c r="C68" s="169"/>
      <c r="D68" s="169"/>
      <c r="E68" s="169"/>
      <c r="F68" s="169"/>
      <c r="G68" s="169"/>
      <c r="H68" s="169"/>
      <c r="I68" s="169"/>
      <c r="J68" s="169"/>
    </row>
    <row r="69" spans="1:10">
      <c r="A69" s="169"/>
      <c r="B69" s="169"/>
      <c r="C69" s="169"/>
      <c r="D69" s="169"/>
      <c r="E69" s="169"/>
      <c r="F69" s="169"/>
      <c r="G69" s="169"/>
      <c r="H69" s="169"/>
      <c r="I69" s="169"/>
      <c r="J69" s="169"/>
    </row>
    <row r="70" spans="1:10">
      <c r="A70" s="169"/>
      <c r="B70" s="169"/>
      <c r="C70" s="169"/>
      <c r="D70" s="169"/>
      <c r="E70" s="169"/>
      <c r="F70" s="169"/>
      <c r="G70" s="169"/>
      <c r="H70" s="169"/>
      <c r="I70" s="169"/>
      <c r="J70" s="169"/>
    </row>
    <row r="71" spans="1:10">
      <c r="A71" s="169"/>
      <c r="B71" s="169"/>
      <c r="C71" s="169"/>
      <c r="D71" s="169"/>
      <c r="E71" s="169"/>
      <c r="F71" s="169"/>
      <c r="G71" s="169"/>
      <c r="H71" s="169"/>
      <c r="I71" s="169"/>
      <c r="J71" s="169"/>
    </row>
    <row r="72" spans="1:10">
      <c r="A72" s="169"/>
      <c r="B72" s="169"/>
      <c r="C72" s="169"/>
      <c r="D72" s="169"/>
      <c r="E72" s="169"/>
      <c r="F72" s="169"/>
      <c r="G72" s="169"/>
      <c r="H72" s="169"/>
      <c r="I72" s="169"/>
      <c r="J72" s="169"/>
    </row>
    <row r="73" spans="1:10">
      <c r="A73" s="169"/>
      <c r="B73" s="169"/>
      <c r="C73" s="169"/>
      <c r="D73" s="169"/>
      <c r="E73" s="169"/>
      <c r="F73" s="169"/>
      <c r="G73" s="169"/>
      <c r="H73" s="169"/>
      <c r="I73" s="169"/>
      <c r="J73" s="169"/>
    </row>
    <row r="74" spans="1:10">
      <c r="A74" s="169"/>
      <c r="B74" s="169"/>
      <c r="C74" s="169"/>
      <c r="D74" s="169"/>
      <c r="E74" s="169"/>
      <c r="F74" s="169"/>
      <c r="G74" s="169"/>
      <c r="H74" s="169"/>
      <c r="I74" s="169"/>
      <c r="J74" s="169"/>
    </row>
    <row r="75" spans="1:10">
      <c r="A75" s="169"/>
      <c r="B75" s="169"/>
      <c r="C75" s="169"/>
      <c r="D75" s="169"/>
      <c r="E75" s="169"/>
      <c r="F75" s="169"/>
      <c r="G75" s="169"/>
      <c r="H75" s="169"/>
      <c r="I75" s="169"/>
      <c r="J75" s="169"/>
    </row>
    <row r="76" spans="1:10">
      <c r="A76" s="169"/>
      <c r="B76" s="169"/>
      <c r="C76" s="169"/>
      <c r="D76" s="169"/>
      <c r="E76" s="169"/>
      <c r="F76" s="169"/>
      <c r="G76" s="169"/>
      <c r="H76" s="169"/>
      <c r="I76" s="169"/>
      <c r="J76" s="169"/>
    </row>
    <row r="77" spans="1:10">
      <c r="A77" s="169"/>
      <c r="B77" s="169"/>
      <c r="C77" s="169"/>
      <c r="D77" s="169"/>
      <c r="E77" s="169"/>
      <c r="F77" s="169"/>
      <c r="G77" s="169"/>
      <c r="H77" s="169"/>
      <c r="I77" s="169"/>
      <c r="J77" s="169"/>
    </row>
    <row r="78" spans="1:10">
      <c r="A78" s="169"/>
      <c r="B78" s="169"/>
      <c r="C78" s="169"/>
      <c r="D78" s="169"/>
      <c r="E78" s="169"/>
      <c r="F78" s="169"/>
      <c r="G78" s="169"/>
      <c r="H78" s="169"/>
      <c r="I78" s="169"/>
      <c r="J78" s="169"/>
    </row>
    <row r="79" spans="1:10">
      <c r="A79" s="169"/>
      <c r="B79" s="169"/>
      <c r="C79" s="169"/>
      <c r="D79" s="169"/>
      <c r="E79" s="169"/>
      <c r="F79" s="169"/>
      <c r="G79" s="169"/>
      <c r="H79" s="169"/>
      <c r="I79" s="169"/>
      <c r="J79" s="169"/>
    </row>
    <row r="80" spans="1:10">
      <c r="A80" s="169"/>
      <c r="B80" s="169"/>
      <c r="C80" s="169"/>
      <c r="D80" s="169"/>
      <c r="E80" s="169"/>
      <c r="F80" s="169"/>
      <c r="G80" s="169"/>
      <c r="H80" s="169"/>
      <c r="I80" s="169"/>
      <c r="J80" s="169"/>
    </row>
    <row r="81" spans="1:10">
      <c r="A81" s="169"/>
      <c r="B81" s="169"/>
      <c r="C81" s="169"/>
      <c r="D81" s="169"/>
      <c r="E81" s="169"/>
      <c r="F81" s="169"/>
      <c r="G81" s="169"/>
      <c r="H81" s="169"/>
      <c r="I81" s="169"/>
      <c r="J81" s="169"/>
    </row>
    <row r="82" spans="1:10">
      <c r="A82" s="169"/>
      <c r="B82" s="169"/>
      <c r="C82" s="169"/>
      <c r="D82" s="169"/>
      <c r="E82" s="169"/>
      <c r="F82" s="169"/>
      <c r="G82" s="169"/>
      <c r="H82" s="169"/>
      <c r="I82" s="169"/>
      <c r="J82" s="169"/>
    </row>
    <row r="83" spans="1:10">
      <c r="A83" s="169"/>
      <c r="B83" s="169"/>
      <c r="C83" s="169"/>
      <c r="D83" s="169"/>
      <c r="E83" s="169"/>
      <c r="F83" s="169"/>
      <c r="G83" s="169"/>
      <c r="H83" s="169"/>
      <c r="I83" s="169"/>
      <c r="J83" s="169"/>
    </row>
    <row r="84" spans="1:10">
      <c r="A84" s="169"/>
      <c r="B84" s="169"/>
      <c r="C84" s="169"/>
      <c r="D84" s="169"/>
      <c r="E84" s="169"/>
      <c r="F84" s="169"/>
      <c r="G84" s="169"/>
      <c r="H84" s="169"/>
      <c r="I84" s="169"/>
      <c r="J84" s="169"/>
    </row>
    <row r="85" spans="1:10">
      <c r="A85" s="169"/>
      <c r="B85" s="169"/>
      <c r="C85" s="169"/>
      <c r="D85" s="169"/>
      <c r="E85" s="169"/>
      <c r="F85" s="169"/>
      <c r="G85" s="169"/>
      <c r="H85" s="169"/>
      <c r="I85" s="169"/>
      <c r="J85" s="169"/>
    </row>
    <row r="86" spans="1:10">
      <c r="A86" s="169"/>
      <c r="B86" s="169"/>
      <c r="C86" s="169"/>
      <c r="D86" s="169"/>
      <c r="E86" s="169"/>
      <c r="F86" s="169"/>
      <c r="G86" s="169"/>
      <c r="H86" s="169"/>
      <c r="I86" s="169"/>
      <c r="J86" s="169"/>
    </row>
    <row r="87" spans="1:10">
      <c r="A87" s="169"/>
      <c r="B87" s="169"/>
      <c r="C87" s="169"/>
      <c r="D87" s="169"/>
      <c r="E87" s="169"/>
      <c r="F87" s="169"/>
      <c r="G87" s="169"/>
      <c r="H87" s="169"/>
      <c r="I87" s="169"/>
      <c r="J87" s="169"/>
    </row>
    <row r="88" spans="1:10">
      <c r="A88" s="169"/>
      <c r="B88" s="169"/>
      <c r="C88" s="169"/>
      <c r="D88" s="169"/>
      <c r="E88" s="169"/>
      <c r="F88" s="169"/>
      <c r="G88" s="169"/>
      <c r="H88" s="169"/>
      <c r="I88" s="169"/>
      <c r="J88" s="169"/>
    </row>
    <row r="89" spans="1:10">
      <c r="A89" s="169"/>
      <c r="B89" s="169"/>
      <c r="C89" s="169"/>
      <c r="D89" s="169"/>
      <c r="E89" s="169"/>
      <c r="F89" s="169"/>
      <c r="G89" s="169"/>
      <c r="H89" s="169"/>
      <c r="I89" s="169"/>
      <c r="J89" s="169"/>
    </row>
    <row r="90" spans="1:10">
      <c r="A90" s="169"/>
      <c r="B90" s="169"/>
      <c r="C90" s="169"/>
      <c r="D90" s="169"/>
      <c r="E90" s="169"/>
      <c r="F90" s="169"/>
      <c r="G90" s="169"/>
      <c r="H90" s="169"/>
      <c r="I90" s="169"/>
      <c r="J90" s="169"/>
    </row>
    <row r="91" spans="1:10">
      <c r="A91" s="169"/>
      <c r="B91" s="169"/>
      <c r="C91" s="169"/>
      <c r="D91" s="169"/>
      <c r="E91" s="169"/>
      <c r="F91" s="169"/>
      <c r="G91" s="169"/>
      <c r="H91" s="169"/>
      <c r="I91" s="169"/>
      <c r="J91" s="169"/>
    </row>
    <row r="92" spans="1:10">
      <c r="A92" s="169"/>
      <c r="B92" s="169"/>
      <c r="C92" s="169"/>
      <c r="D92" s="169"/>
      <c r="E92" s="169"/>
      <c r="F92" s="169"/>
      <c r="G92" s="169"/>
      <c r="H92" s="169"/>
      <c r="I92" s="169"/>
      <c r="J92" s="169"/>
    </row>
    <row r="93" spans="1:10">
      <c r="A93" s="169"/>
      <c r="B93" s="169"/>
      <c r="C93" s="169"/>
      <c r="D93" s="169"/>
      <c r="E93" s="169"/>
      <c r="F93" s="169"/>
      <c r="G93" s="169"/>
      <c r="H93" s="169"/>
      <c r="I93" s="169"/>
      <c r="J93" s="169"/>
    </row>
    <row r="94" spans="1:10">
      <c r="A94" s="169"/>
      <c r="B94" s="169"/>
      <c r="C94" s="169"/>
      <c r="D94" s="169"/>
      <c r="E94" s="169"/>
      <c r="F94" s="169"/>
      <c r="G94" s="169"/>
      <c r="H94" s="169"/>
      <c r="I94" s="169"/>
      <c r="J94" s="169"/>
    </row>
    <row r="95" spans="1:10">
      <c r="A95" s="169"/>
      <c r="B95" s="169"/>
      <c r="C95" s="169"/>
      <c r="D95" s="169"/>
      <c r="E95" s="169"/>
      <c r="F95" s="169"/>
      <c r="G95" s="169"/>
      <c r="H95" s="169"/>
      <c r="I95" s="169"/>
      <c r="J95" s="169"/>
    </row>
    <row r="96" spans="1:10">
      <c r="A96" s="169"/>
      <c r="B96" s="169"/>
      <c r="C96" s="169"/>
      <c r="D96" s="169"/>
      <c r="E96" s="169"/>
      <c r="F96" s="169"/>
      <c r="G96" s="169"/>
      <c r="H96" s="169"/>
      <c r="I96" s="169"/>
      <c r="J96" s="169"/>
    </row>
  </sheetData>
  <conditionalFormatting sqref="G17:G29">
    <cfRule type="expression" dxfId="329" priority="27">
      <formula>G17=""</formula>
    </cfRule>
    <cfRule type="expression" dxfId="328" priority="28">
      <formula>G17&lt;46</formula>
    </cfRule>
    <cfRule type="expression" dxfId="327" priority="29">
      <formula>G17&lt;61</formula>
    </cfRule>
    <cfRule type="expression" dxfId="326" priority="30">
      <formula>G17&lt;86</formula>
    </cfRule>
    <cfRule type="expression" dxfId="325" priority="31">
      <formula>G17&gt;85</formula>
    </cfRule>
  </conditionalFormatting>
  <conditionalFormatting sqref="G30:G41">
    <cfRule type="expression" dxfId="324" priority="22">
      <formula>G30=""</formula>
    </cfRule>
    <cfRule type="expression" dxfId="323" priority="23">
      <formula>G30&lt;46</formula>
    </cfRule>
    <cfRule type="expression" dxfId="322" priority="24">
      <formula>G30&lt;61</formula>
    </cfRule>
    <cfRule type="expression" dxfId="321" priority="25">
      <formula>G30&lt;86</formula>
    </cfRule>
    <cfRule type="expression" dxfId="320" priority="26">
      <formula>G30&gt;85</formula>
    </cfRule>
  </conditionalFormatting>
  <conditionalFormatting sqref="C45:D56">
    <cfRule type="expression" dxfId="319" priority="17">
      <formula>$C45="CREDIBILIDAD"</formula>
    </cfRule>
    <cfRule type="expression" dxfId="318" priority="18">
      <formula>$C45="RESPETO"</formula>
    </cfRule>
    <cfRule type="expression" dxfId="317" priority="21">
      <formula>$C45="IMPARCIALIDAD"</formula>
    </cfRule>
  </conditionalFormatting>
  <conditionalFormatting sqref="C45:D56">
    <cfRule type="expression" dxfId="316" priority="19">
      <formula>$C45="RESPETO"</formula>
    </cfRule>
    <cfRule type="expression" dxfId="315" priority="20">
      <formula>$C45="CREDIBILIDAD"</formula>
    </cfRule>
  </conditionalFormatting>
  <conditionalFormatting sqref="E45:H56">
    <cfRule type="expression" dxfId="314" priority="14">
      <formula>$C45="CREDIBILIDAD"</formula>
    </cfRule>
    <cfRule type="expression" dxfId="313" priority="15">
      <formula>$C45="RESPETO"</formula>
    </cfRule>
    <cfRule type="expression" dxfId="312" priority="16">
      <formula>$C45="IMPARCIALIDAD"</formula>
    </cfRule>
  </conditionalFormatting>
  <conditionalFormatting sqref="C54:H54">
    <cfRule type="expression" dxfId="311" priority="13">
      <formula>$C$54&lt;&gt;""</formula>
    </cfRule>
  </conditionalFormatting>
  <conditionalFormatting sqref="C54:D54">
    <cfRule type="expression" dxfId="310" priority="11">
      <formula>$C$66&lt;&gt;""</formula>
    </cfRule>
  </conditionalFormatting>
  <conditionalFormatting sqref="C57:D66">
    <cfRule type="expression" dxfId="309" priority="6">
      <formula>$C57="CREDIBILIDAD"</formula>
    </cfRule>
    <cfRule type="expression" dxfId="308" priority="7">
      <formula>$C57="RESPETO"</formula>
    </cfRule>
    <cfRule type="expression" dxfId="307" priority="10">
      <formula>$C57="IMPARCIALIDAD"</formula>
    </cfRule>
  </conditionalFormatting>
  <conditionalFormatting sqref="C57:D66">
    <cfRule type="expression" dxfId="306" priority="8">
      <formula>$C57="RESPETO"</formula>
    </cfRule>
    <cfRule type="expression" dxfId="305" priority="9">
      <formula>$C57="CREDIBILIDAD"</formula>
    </cfRule>
  </conditionalFormatting>
  <conditionalFormatting sqref="E57:H66">
    <cfRule type="expression" dxfId="304" priority="3">
      <formula>$C57="CREDIBILIDAD"</formula>
    </cfRule>
    <cfRule type="expression" dxfId="303" priority="4">
      <formula>$C57="RESPETO"</formula>
    </cfRule>
    <cfRule type="expression" dxfId="302" priority="5">
      <formula>$C57="IMPARCIALIDAD"</formula>
    </cfRule>
  </conditionalFormatting>
  <conditionalFormatting sqref="C66:H66">
    <cfRule type="expression" dxfId="301" priority="2">
      <formula>$C$54&lt;&gt;""</formula>
    </cfRule>
  </conditionalFormatting>
  <conditionalFormatting sqref="C66:D66">
    <cfRule type="expression" dxfId="300" priority="1">
      <formula>$C$66&lt;&gt;""</formula>
    </cfRule>
  </conditionalFormatting>
  <pageMargins left="0.75" right="0.75" top="1" bottom="1" header="0.5" footer="0.5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M20"/>
  <sheetViews>
    <sheetView showGridLines="0" zoomScale="80" zoomScaleNormal="80" workbookViewId="0">
      <selection activeCell="E1" sqref="E1:M15"/>
    </sheetView>
  </sheetViews>
  <sheetFormatPr baseColWidth="10" defaultColWidth="11.42578125" defaultRowHeight="49.5"/>
  <cols>
    <col min="1" max="1" width="11.42578125" style="195"/>
    <col min="2" max="4" width="6" style="196" customWidth="1"/>
    <col min="5" max="5" width="41.140625" style="225" customWidth="1"/>
    <col min="6" max="6" width="13.85546875" style="226" bestFit="1" customWidth="1"/>
    <col min="7" max="7" width="36" style="227" customWidth="1"/>
    <col min="8" max="13" width="16.7109375" style="169" customWidth="1"/>
    <col min="14" max="18" width="12.42578125" style="169" customWidth="1"/>
    <col min="19" max="16384" width="11.42578125" style="169"/>
  </cols>
  <sheetData>
    <row r="1" spans="2:13" ht="29.45" customHeight="1">
      <c r="E1" s="503" t="s">
        <v>126</v>
      </c>
      <c r="F1" s="489">
        <f>DetalleDimension!N3</f>
        <v>83</v>
      </c>
      <c r="G1" s="197" t="s">
        <v>70</v>
      </c>
      <c r="H1" s="198"/>
      <c r="I1" s="198"/>
      <c r="J1" s="198"/>
      <c r="K1" s="198"/>
      <c r="L1" s="198"/>
      <c r="M1" s="198"/>
    </row>
    <row r="2" spans="2:13" ht="29.45" customHeight="1">
      <c r="E2" s="504"/>
      <c r="F2" s="490"/>
      <c r="G2" s="199" t="s">
        <v>73</v>
      </c>
      <c r="H2" s="200"/>
      <c r="I2" s="200"/>
      <c r="J2" s="200"/>
      <c r="K2" s="200"/>
      <c r="L2" s="200"/>
      <c r="M2" s="200"/>
    </row>
    <row r="3" spans="2:13" ht="29.45" customHeight="1">
      <c r="B3" s="201"/>
      <c r="C3" s="201"/>
      <c r="D3" s="201"/>
      <c r="E3" s="505"/>
      <c r="F3" s="491"/>
      <c r="G3" s="202" t="s">
        <v>77</v>
      </c>
      <c r="H3" s="203"/>
      <c r="I3" s="203"/>
      <c r="J3" s="203"/>
      <c r="K3" s="203"/>
      <c r="L3" s="203"/>
      <c r="M3" s="203"/>
    </row>
    <row r="4" spans="2:13" ht="29.45" customHeight="1">
      <c r="B4" s="201"/>
      <c r="C4" s="204"/>
      <c r="D4" s="201"/>
      <c r="E4" s="506" t="s">
        <v>127</v>
      </c>
      <c r="F4" s="492">
        <f>DetalleDimension!N7</f>
        <v>85</v>
      </c>
      <c r="G4" s="205" t="s">
        <v>80</v>
      </c>
      <c r="H4" s="206"/>
      <c r="I4" s="206"/>
      <c r="J4" s="206"/>
      <c r="K4" s="206"/>
      <c r="L4" s="206"/>
      <c r="M4" s="206"/>
    </row>
    <row r="5" spans="2:13" ht="29.45" customHeight="1">
      <c r="B5" s="201"/>
      <c r="C5" s="201"/>
      <c r="D5" s="201"/>
      <c r="E5" s="507"/>
      <c r="F5" s="493"/>
      <c r="G5" s="207" t="s">
        <v>83</v>
      </c>
      <c r="H5" s="200"/>
      <c r="I5" s="200"/>
      <c r="J5" s="200"/>
      <c r="K5" s="200"/>
      <c r="L5" s="200"/>
      <c r="M5" s="200"/>
    </row>
    <row r="6" spans="2:13" ht="29.45" customHeight="1">
      <c r="B6" s="201"/>
      <c r="C6" s="201"/>
      <c r="D6" s="201"/>
      <c r="E6" s="508"/>
      <c r="F6" s="494"/>
      <c r="G6" s="208" t="s">
        <v>85</v>
      </c>
      <c r="H6" s="209"/>
      <c r="I6" s="209"/>
      <c r="J6" s="209"/>
      <c r="K6" s="209"/>
      <c r="L6" s="209"/>
      <c r="M6" s="209"/>
    </row>
    <row r="7" spans="2:13" ht="29.45" customHeight="1">
      <c r="B7" s="201"/>
      <c r="C7" s="201"/>
      <c r="D7" s="201"/>
      <c r="E7" s="509" t="s">
        <v>125</v>
      </c>
      <c r="F7" s="495">
        <f>DetalleDimension!N11</f>
        <v>79</v>
      </c>
      <c r="G7" s="210" t="s">
        <v>88</v>
      </c>
      <c r="H7" s="211"/>
      <c r="I7" s="211"/>
      <c r="J7" s="211"/>
      <c r="K7" s="211"/>
      <c r="L7" s="211"/>
      <c r="M7" s="211"/>
    </row>
    <row r="8" spans="2:13" ht="29.45" customHeight="1">
      <c r="B8" s="201"/>
      <c r="C8" s="212"/>
      <c r="D8" s="201"/>
      <c r="E8" s="510"/>
      <c r="F8" s="496"/>
      <c r="G8" s="213" t="s">
        <v>91</v>
      </c>
      <c r="H8" s="211"/>
      <c r="I8" s="211"/>
      <c r="J8" s="211"/>
      <c r="K8" s="211"/>
      <c r="L8" s="211"/>
      <c r="M8" s="211"/>
    </row>
    <row r="9" spans="2:13" ht="29.45" customHeight="1">
      <c r="B9" s="201"/>
      <c r="C9" s="201"/>
      <c r="D9" s="201"/>
      <c r="E9" s="510"/>
      <c r="F9" s="496"/>
      <c r="G9" s="214" t="s">
        <v>92</v>
      </c>
      <c r="H9" s="211"/>
      <c r="I9" s="211"/>
      <c r="J9" s="211"/>
      <c r="K9" s="211"/>
      <c r="L9" s="211"/>
      <c r="M9" s="211"/>
    </row>
    <row r="10" spans="2:13" ht="29.45" customHeight="1">
      <c r="B10" s="201"/>
      <c r="C10" s="201"/>
      <c r="D10" s="201"/>
      <c r="E10" s="511" t="s">
        <v>202</v>
      </c>
      <c r="F10" s="497">
        <f>DetalleDimension!N15</f>
        <v>82</v>
      </c>
      <c r="G10" s="215" t="s">
        <v>95</v>
      </c>
      <c r="H10" s="216"/>
      <c r="I10" s="216"/>
      <c r="J10" s="216"/>
      <c r="K10" s="216"/>
      <c r="L10" s="216"/>
      <c r="M10" s="216"/>
    </row>
    <row r="11" spans="2:13" ht="29.45" customHeight="1">
      <c r="B11" s="201"/>
      <c r="C11" s="201"/>
      <c r="D11" s="201"/>
      <c r="E11" s="512"/>
      <c r="F11" s="498"/>
      <c r="G11" s="217" t="s">
        <v>96</v>
      </c>
      <c r="H11" s="200"/>
      <c r="I11" s="200"/>
      <c r="J11" s="200"/>
      <c r="K11" s="200"/>
      <c r="L11" s="200"/>
      <c r="M11" s="200"/>
    </row>
    <row r="12" spans="2:13" ht="29.45" customHeight="1">
      <c r="B12" s="201"/>
      <c r="C12" s="212"/>
      <c r="D12" s="201"/>
      <c r="E12" s="513"/>
      <c r="F12" s="499"/>
      <c r="G12" s="218" t="s">
        <v>97</v>
      </c>
      <c r="H12" s="219"/>
      <c r="I12" s="219"/>
      <c r="J12" s="219"/>
      <c r="K12" s="219"/>
      <c r="L12" s="219"/>
      <c r="M12" s="219"/>
    </row>
    <row r="13" spans="2:13" ht="29.45" customHeight="1">
      <c r="B13" s="201"/>
      <c r="C13" s="201"/>
      <c r="D13" s="201"/>
      <c r="E13" s="514" t="s">
        <v>335</v>
      </c>
      <c r="F13" s="500">
        <f>DetalleDimension!N19</f>
        <v>87</v>
      </c>
      <c r="G13" s="220" t="s">
        <v>98</v>
      </c>
      <c r="H13" s="221"/>
      <c r="I13" s="221"/>
      <c r="J13" s="221"/>
      <c r="K13" s="221"/>
      <c r="L13" s="221"/>
      <c r="M13" s="221"/>
    </row>
    <row r="14" spans="2:13" ht="29.45" customHeight="1">
      <c r="B14" s="201"/>
      <c r="C14" s="201"/>
      <c r="D14" s="201"/>
      <c r="E14" s="515"/>
      <c r="F14" s="501"/>
      <c r="G14" s="222" t="s">
        <v>99</v>
      </c>
      <c r="H14" s="200"/>
      <c r="I14" s="200"/>
      <c r="J14" s="200"/>
      <c r="K14" s="200"/>
      <c r="L14" s="200"/>
      <c r="M14" s="200"/>
    </row>
    <row r="15" spans="2:13" ht="29.45" customHeight="1">
      <c r="B15" s="201"/>
      <c r="C15" s="201"/>
      <c r="D15" s="201"/>
      <c r="E15" s="516"/>
      <c r="F15" s="502"/>
      <c r="G15" s="223" t="s">
        <v>102</v>
      </c>
      <c r="H15" s="224"/>
      <c r="I15" s="224"/>
      <c r="J15" s="224"/>
      <c r="K15" s="224"/>
      <c r="L15" s="224"/>
      <c r="M15" s="224"/>
    </row>
    <row r="16" spans="2:13" ht="24" customHeight="1">
      <c r="B16" s="201"/>
      <c r="C16" s="201"/>
      <c r="D16" s="201"/>
    </row>
    <row r="17" spans="2:6" ht="24" customHeight="1">
      <c r="B17" s="201"/>
      <c r="C17" s="201"/>
      <c r="D17" s="201"/>
      <c r="E17" s="228"/>
      <c r="F17" s="229"/>
    </row>
    <row r="18" spans="2:6" ht="24" customHeight="1">
      <c r="B18" s="201"/>
      <c r="C18" s="212"/>
      <c r="D18" s="201"/>
    </row>
    <row r="19" spans="2:6" ht="24" customHeight="1">
      <c r="B19" s="201"/>
      <c r="C19" s="201"/>
      <c r="D19" s="201"/>
    </row>
    <row r="20" spans="2:6" ht="25.5" customHeight="1"/>
  </sheetData>
  <mergeCells count="10">
    <mergeCell ref="E1:E3"/>
    <mergeCell ref="E4:E6"/>
    <mergeCell ref="E7:E9"/>
    <mergeCell ref="E10:E12"/>
    <mergeCell ref="E13:E15"/>
    <mergeCell ref="F1:F3"/>
    <mergeCell ref="F4:F6"/>
    <mergeCell ref="F7:F9"/>
    <mergeCell ref="F10:F12"/>
    <mergeCell ref="F13:F15"/>
  </mergeCells>
  <pageMargins left="0.75" right="0.75" top="1" bottom="1" header="0.5" footer="0.5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20"/>
  <sheetViews>
    <sheetView showGridLines="0" workbookViewId="0">
      <selection sqref="A1:I16"/>
    </sheetView>
  </sheetViews>
  <sheetFormatPr baseColWidth="10" defaultColWidth="11.42578125" defaultRowHeight="49.5"/>
  <cols>
    <col min="1" max="1" width="34.42578125" style="225" bestFit="1" customWidth="1"/>
    <col min="2" max="2" width="13.85546875" style="226" bestFit="1" customWidth="1"/>
    <col min="3" max="3" width="38.7109375" style="169" customWidth="1"/>
    <col min="4" max="9" width="15.28515625" style="169" customWidth="1"/>
    <col min="10" max="10" width="6.7109375" style="169" customWidth="1"/>
    <col min="11" max="16384" width="11.42578125" style="169"/>
  </cols>
  <sheetData>
    <row r="1" spans="1:14" s="234" customFormat="1" ht="39" customHeight="1">
      <c r="A1" s="230" t="s">
        <v>105</v>
      </c>
      <c r="B1" s="231"/>
      <c r="C1" s="232" t="s">
        <v>67</v>
      </c>
      <c r="D1" s="233">
        <f>DetalleDimension!N2</f>
        <v>2017</v>
      </c>
      <c r="E1" s="233">
        <f>DetalleDimension!M2</f>
        <v>2016</v>
      </c>
      <c r="F1" s="233" t="str">
        <f>DetalleDimension!O2</f>
        <v>BMK Mejores Argentina 2016</v>
      </c>
      <c r="G1" s="233" t="str">
        <f>DetalleDimension!P2</f>
        <v>Mercado 2016</v>
      </c>
      <c r="H1" s="233" t="str">
        <f>"Dif. "&amp;D1&amp;" - "&amp;F1</f>
        <v>Dif. 2017 - BMK Mejores Argentina 2016</v>
      </c>
      <c r="I1" s="233" t="str">
        <f>"Dif. "&amp;D1&amp;" - "&amp;G1</f>
        <v>Dif. 2017 - Mercado 2016</v>
      </c>
    </row>
    <row r="2" spans="1:14" ht="24.95" customHeight="1">
      <c r="A2" s="528" t="s">
        <v>126</v>
      </c>
      <c r="B2" s="517">
        <f>DetalleDimension!N3</f>
        <v>83</v>
      </c>
      <c r="C2" s="235" t="s">
        <v>70</v>
      </c>
      <c r="D2" s="380">
        <f>DetalleDimension!N4</f>
        <v>83</v>
      </c>
      <c r="E2" s="380">
        <f>DetalleDimension!M4</f>
        <v>79</v>
      </c>
      <c r="F2" s="236">
        <f>DetalleDimension!O4</f>
        <v>78</v>
      </c>
      <c r="G2" s="236">
        <f>DetalleDimension!P4</f>
        <v>62</v>
      </c>
      <c r="H2" s="380">
        <f t="shared" ref="H2:H16" si="0">$D2-F2</f>
        <v>5</v>
      </c>
      <c r="I2" s="380">
        <f t="shared" ref="I2:I16" si="1">D2-G2</f>
        <v>21</v>
      </c>
    </row>
    <row r="3" spans="1:14" ht="24.95" customHeight="1">
      <c r="A3" s="529"/>
      <c r="B3" s="518"/>
      <c r="C3" s="237" t="s">
        <v>73</v>
      </c>
      <c r="D3" s="381">
        <f>DetalleDimension!N5</f>
        <v>83</v>
      </c>
      <c r="E3" s="381">
        <f>DetalleDimension!M5</f>
        <v>79</v>
      </c>
      <c r="F3" s="238">
        <f>DetalleDimension!O5</f>
        <v>79</v>
      </c>
      <c r="G3" s="238">
        <f>DetalleDimension!P5</f>
        <v>61</v>
      </c>
      <c r="H3" s="381">
        <f t="shared" si="0"/>
        <v>4</v>
      </c>
      <c r="I3" s="381">
        <f t="shared" si="1"/>
        <v>22</v>
      </c>
    </row>
    <row r="4" spans="1:14" ht="24.95" customHeight="1">
      <c r="A4" s="530"/>
      <c r="B4" s="519"/>
      <c r="C4" s="239" t="s">
        <v>77</v>
      </c>
      <c r="D4" s="382">
        <f>DetalleDimension!N6</f>
        <v>82</v>
      </c>
      <c r="E4" s="382">
        <f>DetalleDimension!M6</f>
        <v>77</v>
      </c>
      <c r="F4" s="240">
        <f>DetalleDimension!O6</f>
        <v>79</v>
      </c>
      <c r="G4" s="240">
        <f>DetalleDimension!P6</f>
        <v>61</v>
      </c>
      <c r="H4" s="382">
        <f t="shared" si="0"/>
        <v>3</v>
      </c>
      <c r="I4" s="382">
        <f t="shared" si="1"/>
        <v>21</v>
      </c>
    </row>
    <row r="5" spans="1:14" ht="24.95" customHeight="1">
      <c r="A5" s="531" t="s">
        <v>127</v>
      </c>
      <c r="B5" s="520">
        <f>DetalleDimension!N7</f>
        <v>85</v>
      </c>
      <c r="C5" s="241" t="s">
        <v>80</v>
      </c>
      <c r="D5" s="383">
        <f>DetalleDimension!N8</f>
        <v>85</v>
      </c>
      <c r="E5" s="383">
        <f>DetalleDimension!M8</f>
        <v>80</v>
      </c>
      <c r="F5" s="242">
        <f>DetalleDimension!O8</f>
        <v>77</v>
      </c>
      <c r="G5" s="242">
        <f>DetalleDimension!P8</f>
        <v>60</v>
      </c>
      <c r="H5" s="383">
        <f t="shared" si="0"/>
        <v>8</v>
      </c>
      <c r="I5" s="383">
        <f t="shared" si="1"/>
        <v>25</v>
      </c>
      <c r="L5" s="243"/>
      <c r="M5" s="243"/>
      <c r="N5" s="243"/>
    </row>
    <row r="6" spans="1:14" ht="24.95" customHeight="1">
      <c r="A6" s="532"/>
      <c r="B6" s="493"/>
      <c r="C6" s="244" t="s">
        <v>83</v>
      </c>
      <c r="D6" s="384">
        <f>DetalleDimension!N9</f>
        <v>81</v>
      </c>
      <c r="E6" s="384">
        <f>DetalleDimension!M9</f>
        <v>78</v>
      </c>
      <c r="F6" s="245">
        <f>DetalleDimension!O9</f>
        <v>73</v>
      </c>
      <c r="G6" s="245">
        <f>DetalleDimension!P9</f>
        <v>52</v>
      </c>
      <c r="H6" s="384">
        <f t="shared" si="0"/>
        <v>8</v>
      </c>
      <c r="I6" s="384">
        <f t="shared" si="1"/>
        <v>29</v>
      </c>
    </row>
    <row r="7" spans="1:14" ht="24.95" customHeight="1">
      <c r="A7" s="532"/>
      <c r="B7" s="493"/>
      <c r="C7" s="241" t="s">
        <v>85</v>
      </c>
      <c r="D7" s="383">
        <f>DetalleDimension!N10</f>
        <v>86</v>
      </c>
      <c r="E7" s="383">
        <f>DetalleDimension!M10</f>
        <v>80</v>
      </c>
      <c r="F7" s="242">
        <f>DetalleDimension!O10</f>
        <v>79</v>
      </c>
      <c r="G7" s="242">
        <f>DetalleDimension!P10</f>
        <v>61</v>
      </c>
      <c r="H7" s="383">
        <f t="shared" si="0"/>
        <v>7</v>
      </c>
      <c r="I7" s="383">
        <f t="shared" si="1"/>
        <v>25</v>
      </c>
    </row>
    <row r="8" spans="1:14" ht="24.95" customHeight="1">
      <c r="A8" s="533" t="s">
        <v>125</v>
      </c>
      <c r="B8" s="521">
        <f>DetalleDimension!N11</f>
        <v>79</v>
      </c>
      <c r="C8" s="246" t="s">
        <v>88</v>
      </c>
      <c r="D8" s="385">
        <f>DetalleDimension!N12</f>
        <v>67</v>
      </c>
      <c r="E8" s="385">
        <f>DetalleDimension!M12</f>
        <v>58</v>
      </c>
      <c r="F8" s="247">
        <f>DetalleDimension!O12</f>
        <v>63</v>
      </c>
      <c r="G8" s="247">
        <f>DetalleDimension!P12</f>
        <v>49</v>
      </c>
      <c r="H8" s="385">
        <f t="shared" si="0"/>
        <v>4</v>
      </c>
      <c r="I8" s="385">
        <f t="shared" si="1"/>
        <v>18</v>
      </c>
    </row>
    <row r="9" spans="1:14" ht="24.95" customHeight="1">
      <c r="A9" s="534"/>
      <c r="B9" s="522"/>
      <c r="C9" s="248" t="s">
        <v>91</v>
      </c>
      <c r="D9" s="381">
        <f>DetalleDimension!N13</f>
        <v>69</v>
      </c>
      <c r="E9" s="381">
        <f>DetalleDimension!M13</f>
        <v>65</v>
      </c>
      <c r="F9" s="238">
        <f>DetalleDimension!O13</f>
        <v>64</v>
      </c>
      <c r="G9" s="238">
        <f>DetalleDimension!P13</f>
        <v>42</v>
      </c>
      <c r="H9" s="381">
        <f t="shared" si="0"/>
        <v>5</v>
      </c>
      <c r="I9" s="381">
        <f t="shared" si="1"/>
        <v>27</v>
      </c>
      <c r="L9" s="243"/>
      <c r="M9" s="243"/>
      <c r="N9" s="243"/>
    </row>
    <row r="10" spans="1:14" ht="24.95" customHeight="1">
      <c r="A10" s="535"/>
      <c r="B10" s="523"/>
      <c r="C10" s="249" t="s">
        <v>92</v>
      </c>
      <c r="D10" s="386">
        <f>DetalleDimension!N14</f>
        <v>94</v>
      </c>
      <c r="E10" s="386">
        <f>DetalleDimension!M14</f>
        <v>90</v>
      </c>
      <c r="F10" s="250">
        <f>DetalleDimension!O14</f>
        <v>90</v>
      </c>
      <c r="G10" s="250">
        <f>DetalleDimension!P14</f>
        <v>79</v>
      </c>
      <c r="H10" s="386">
        <f t="shared" si="0"/>
        <v>4</v>
      </c>
      <c r="I10" s="386">
        <f t="shared" si="1"/>
        <v>15</v>
      </c>
    </row>
    <row r="11" spans="1:14" ht="24.95" customHeight="1">
      <c r="A11" s="536" t="s">
        <v>202</v>
      </c>
      <c r="B11" s="524">
        <f>DetalleDimension!N15</f>
        <v>82</v>
      </c>
      <c r="C11" s="251" t="s">
        <v>95</v>
      </c>
      <c r="D11" s="383">
        <f>DetalleDimension!N16</f>
        <v>73</v>
      </c>
      <c r="E11" s="383">
        <f>DetalleDimension!M16</f>
        <v>68</v>
      </c>
      <c r="F11" s="242">
        <f>DetalleDimension!O16</f>
        <v>76</v>
      </c>
      <c r="G11" s="242">
        <f>DetalleDimension!P16</f>
        <v>63</v>
      </c>
      <c r="H11" s="383">
        <f t="shared" si="0"/>
        <v>-3</v>
      </c>
      <c r="I11" s="383">
        <f t="shared" si="1"/>
        <v>10</v>
      </c>
    </row>
    <row r="12" spans="1:14" ht="24.95" customHeight="1">
      <c r="A12" s="537"/>
      <c r="B12" s="498"/>
      <c r="C12" s="252" t="s">
        <v>96</v>
      </c>
      <c r="D12" s="384">
        <f>DetalleDimension!N17</f>
        <v>82</v>
      </c>
      <c r="E12" s="384">
        <f>DetalleDimension!M17</f>
        <v>76</v>
      </c>
      <c r="F12" s="245">
        <f>DetalleDimension!O17</f>
        <v>80</v>
      </c>
      <c r="G12" s="245">
        <f>DetalleDimension!P17</f>
        <v>65</v>
      </c>
      <c r="H12" s="384">
        <f t="shared" si="0"/>
        <v>2</v>
      </c>
      <c r="I12" s="384">
        <f t="shared" si="1"/>
        <v>17</v>
      </c>
    </row>
    <row r="13" spans="1:14" ht="24.95" customHeight="1">
      <c r="A13" s="537"/>
      <c r="B13" s="498"/>
      <c r="C13" s="251" t="s">
        <v>97</v>
      </c>
      <c r="D13" s="383">
        <f>DetalleDimension!N18</f>
        <v>86</v>
      </c>
      <c r="E13" s="383">
        <f>DetalleDimension!M18</f>
        <v>79</v>
      </c>
      <c r="F13" s="242">
        <f>DetalleDimension!O18</f>
        <v>81</v>
      </c>
      <c r="G13" s="242">
        <f>DetalleDimension!P18</f>
        <v>66</v>
      </c>
      <c r="H13" s="383">
        <f t="shared" si="0"/>
        <v>5</v>
      </c>
      <c r="I13" s="383">
        <f t="shared" si="1"/>
        <v>20</v>
      </c>
      <c r="L13" s="243"/>
      <c r="M13" s="243"/>
      <c r="N13" s="243"/>
    </row>
    <row r="14" spans="1:14" ht="24.95" customHeight="1">
      <c r="A14" s="538" t="s">
        <v>335</v>
      </c>
      <c r="B14" s="525">
        <f>DetalleDimension!N19</f>
        <v>87</v>
      </c>
      <c r="C14" s="253" t="s">
        <v>98</v>
      </c>
      <c r="D14" s="387">
        <f>DetalleDimension!N20</f>
        <v>88</v>
      </c>
      <c r="E14" s="387">
        <f>DetalleDimension!M20</f>
        <v>83</v>
      </c>
      <c r="F14" s="254">
        <f>DetalleDimension!O20</f>
        <v>85</v>
      </c>
      <c r="G14" s="254">
        <f>DetalleDimension!P20</f>
        <v>67</v>
      </c>
      <c r="H14" s="387">
        <f t="shared" si="0"/>
        <v>3</v>
      </c>
      <c r="I14" s="387">
        <f t="shared" si="1"/>
        <v>21</v>
      </c>
    </row>
    <row r="15" spans="1:14" ht="24.95" customHeight="1">
      <c r="A15" s="539"/>
      <c r="B15" s="526"/>
      <c r="C15" s="255" t="s">
        <v>99</v>
      </c>
      <c r="D15" s="381">
        <f>DetalleDimension!N21</f>
        <v>90</v>
      </c>
      <c r="E15" s="381">
        <f>DetalleDimension!M21</f>
        <v>85</v>
      </c>
      <c r="F15" s="238">
        <f>DetalleDimension!O21</f>
        <v>87</v>
      </c>
      <c r="G15" s="238">
        <f>DetalleDimension!P21</f>
        <v>71</v>
      </c>
      <c r="H15" s="381">
        <f t="shared" si="0"/>
        <v>3</v>
      </c>
      <c r="I15" s="381">
        <f t="shared" si="1"/>
        <v>19</v>
      </c>
    </row>
    <row r="16" spans="1:14" ht="24.95" customHeight="1">
      <c r="A16" s="540"/>
      <c r="B16" s="527"/>
      <c r="C16" s="256" t="s">
        <v>102</v>
      </c>
      <c r="D16" s="388">
        <f>DetalleDimension!N22</f>
        <v>82</v>
      </c>
      <c r="E16" s="388">
        <f>DetalleDimension!M22</f>
        <v>76</v>
      </c>
      <c r="F16" s="257">
        <f>DetalleDimension!O22</f>
        <v>78</v>
      </c>
      <c r="G16" s="257">
        <f>DetalleDimension!P22</f>
        <v>57</v>
      </c>
      <c r="H16" s="388">
        <f t="shared" si="0"/>
        <v>4</v>
      </c>
      <c r="I16" s="388">
        <f t="shared" si="1"/>
        <v>25</v>
      </c>
    </row>
    <row r="17" spans="1:14" ht="20.100000000000001" customHeight="1">
      <c r="L17" s="243"/>
      <c r="M17" s="243"/>
      <c r="N17" s="243"/>
    </row>
    <row r="18" spans="1:14" ht="20.100000000000001" customHeight="1">
      <c r="A18" s="228"/>
      <c r="B18" s="229"/>
    </row>
    <row r="19" spans="1:14" ht="20.100000000000001" customHeight="1"/>
    <row r="20" spans="1:14" ht="20.100000000000001" customHeight="1"/>
  </sheetData>
  <mergeCells count="10">
    <mergeCell ref="A2:A4"/>
    <mergeCell ref="A5:A7"/>
    <mergeCell ref="A8:A10"/>
    <mergeCell ref="A11:A13"/>
    <mergeCell ref="A14:A16"/>
    <mergeCell ref="B2:B4"/>
    <mergeCell ref="B5:B7"/>
    <mergeCell ref="B8:B10"/>
    <mergeCell ref="B11:B13"/>
    <mergeCell ref="B14:B16"/>
  </mergeCells>
  <pageMargins left="0.75" right="0.75" top="1" bottom="1" header="0.5" footer="0.5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IP1029"/>
  <sheetViews>
    <sheetView showGridLines="0" zoomScale="80" zoomScaleNormal="80" workbookViewId="0">
      <selection activeCell="F3" sqref="F3:G9"/>
    </sheetView>
  </sheetViews>
  <sheetFormatPr baseColWidth="10" defaultColWidth="11.42578125" defaultRowHeight="14.25"/>
  <cols>
    <col min="1" max="1" width="11.42578125" style="266"/>
    <col min="2" max="2" width="34" style="169" customWidth="1"/>
    <col min="3" max="10" width="20.85546875" style="258" customWidth="1"/>
    <col min="11" max="17" width="20.85546875" style="264" customWidth="1"/>
    <col min="18" max="33" width="11.42578125" style="167" customWidth="1"/>
    <col min="34" max="34" width="30.85546875" style="169" customWidth="1"/>
    <col min="35" max="42" width="11.42578125" style="195" customWidth="1"/>
    <col min="43" max="55" width="11.42578125" style="195"/>
    <col min="56" max="16384" width="11.42578125" style="169"/>
  </cols>
  <sheetData>
    <row r="1" spans="1:55">
      <c r="A1" s="169">
        <v>0</v>
      </c>
      <c r="B1" s="169">
        <f>DetalleDimension!$M$2</f>
        <v>2016</v>
      </c>
      <c r="C1" s="258" t="s">
        <v>213</v>
      </c>
      <c r="D1" s="258" t="s">
        <v>214</v>
      </c>
      <c r="E1" s="258" t="s">
        <v>215</v>
      </c>
      <c r="F1" s="258" t="s">
        <v>216</v>
      </c>
      <c r="G1" s="258" t="s">
        <v>217</v>
      </c>
      <c r="H1" s="258" t="s">
        <v>218</v>
      </c>
      <c r="I1" s="258" t="s">
        <v>219</v>
      </c>
      <c r="J1" s="258" t="s">
        <v>220</v>
      </c>
      <c r="K1" s="259"/>
      <c r="L1" s="259"/>
      <c r="M1" s="260"/>
      <c r="N1" s="260"/>
      <c r="O1" s="260"/>
      <c r="P1" s="260"/>
      <c r="Q1" s="260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</row>
    <row r="2" spans="1:55" s="167" customFormat="1">
      <c r="A2" s="169"/>
      <c r="B2" s="169">
        <f>DetalleDimension!$N$2</f>
        <v>2017</v>
      </c>
      <c r="C2" s="258"/>
      <c r="D2" s="258"/>
      <c r="E2" s="258"/>
      <c r="F2" s="258"/>
      <c r="G2" s="258"/>
      <c r="H2" s="258"/>
      <c r="I2" s="258"/>
      <c r="J2" s="258"/>
      <c r="K2" s="262" t="s">
        <v>471</v>
      </c>
      <c r="L2" s="262"/>
      <c r="M2" s="374">
        <v>222</v>
      </c>
      <c r="N2" s="374" t="str">
        <f>+"Prom. Gral"&amp;" "&amp;B1</f>
        <v>Prom. Gral 2016</v>
      </c>
      <c r="O2" s="374" t="str">
        <f>+"Prom. Gral"&amp;" "&amp;B2</f>
        <v>Prom. Gral 2017</v>
      </c>
      <c r="P2" s="374" t="s">
        <v>470</v>
      </c>
      <c r="Q2" s="374" t="s">
        <v>471</v>
      </c>
      <c r="AI2" s="265"/>
      <c r="AJ2" s="265"/>
      <c r="AK2" s="265"/>
      <c r="AL2" s="265"/>
      <c r="AM2" s="265"/>
      <c r="AN2" s="265"/>
      <c r="AO2" s="265"/>
      <c r="AP2" s="265"/>
    </row>
    <row r="3" spans="1:55" s="167" customFormat="1">
      <c r="A3" s="266"/>
      <c r="B3" s="169"/>
      <c r="C3" s="258"/>
      <c r="D3" s="258"/>
      <c r="E3" s="258"/>
      <c r="F3" s="258"/>
      <c r="G3" s="258"/>
      <c r="H3" s="258"/>
      <c r="I3" s="258"/>
      <c r="J3" s="258"/>
      <c r="K3" s="267">
        <v>0</v>
      </c>
      <c r="L3" s="262"/>
      <c r="M3" s="375" t="str">
        <f>+""&amp;"Prom. Gral"&amp;" "&amp;B1</f>
        <v>Prom. Gral 2016</v>
      </c>
      <c r="N3" s="376">
        <v>0</v>
      </c>
      <c r="O3" s="376">
        <v>0</v>
      </c>
      <c r="P3" s="376">
        <v>0</v>
      </c>
      <c r="Q3" s="376">
        <v>0</v>
      </c>
      <c r="AI3" s="265"/>
      <c r="AJ3" s="265"/>
      <c r="AK3" s="265"/>
      <c r="AL3" s="265"/>
      <c r="AM3" s="265"/>
      <c r="AN3" s="265"/>
      <c r="AO3" s="265"/>
      <c r="AP3" s="265"/>
      <c r="AQ3" s="265"/>
      <c r="AR3" s="265"/>
      <c r="AS3" s="265"/>
      <c r="AT3" s="265"/>
      <c r="AU3" s="265"/>
      <c r="AV3" s="265"/>
      <c r="AW3" s="265"/>
      <c r="AX3" s="265"/>
      <c r="AY3" s="265"/>
      <c r="AZ3" s="265"/>
      <c r="BA3" s="265"/>
      <c r="BB3" s="265"/>
      <c r="BC3" s="265"/>
    </row>
    <row r="4" spans="1:55" s="167" customFormat="1">
      <c r="A4" s="266"/>
      <c r="B4" s="169"/>
      <c r="C4" s="258"/>
      <c r="D4" s="258"/>
      <c r="E4" s="258"/>
      <c r="F4" s="268"/>
      <c r="G4" s="268"/>
      <c r="H4" s="268"/>
      <c r="I4" s="268"/>
      <c r="J4" s="268"/>
      <c r="K4" s="267">
        <v>0</v>
      </c>
      <c r="L4" s="262"/>
      <c r="M4" s="375" t="str">
        <f>+""&amp;"Prom. Gral"&amp;" "&amp;B2</f>
        <v>Prom. Gral 2017</v>
      </c>
      <c r="N4" s="376">
        <v>0</v>
      </c>
      <c r="O4" s="376">
        <v>0</v>
      </c>
      <c r="P4" s="376">
        <v>0</v>
      </c>
      <c r="Q4" s="376">
        <v>0</v>
      </c>
      <c r="AI4" s="265"/>
      <c r="AJ4" s="265"/>
      <c r="AK4" s="265"/>
      <c r="AL4" s="265"/>
      <c r="AM4" s="265"/>
      <c r="AN4" s="265"/>
      <c r="AO4" s="265"/>
      <c r="AP4" s="265"/>
      <c r="AQ4" s="265"/>
      <c r="AR4" s="265"/>
      <c r="AS4" s="265"/>
      <c r="AT4" s="265"/>
      <c r="AU4" s="265"/>
      <c r="AV4" s="265"/>
      <c r="AW4" s="265"/>
      <c r="AX4" s="265"/>
      <c r="AY4" s="265"/>
      <c r="AZ4" s="265"/>
      <c r="BA4" s="265"/>
      <c r="BB4" s="265"/>
      <c r="BC4" s="265"/>
    </row>
    <row r="5" spans="1:55" s="167" customFormat="1">
      <c r="B5" s="169"/>
      <c r="C5" s="258"/>
      <c r="D5" s="258"/>
      <c r="E5" s="258"/>
      <c r="F5" s="269"/>
      <c r="G5" s="269"/>
      <c r="H5" s="269"/>
      <c r="I5" s="269"/>
      <c r="J5" s="269"/>
      <c r="K5" s="267">
        <v>0</v>
      </c>
      <c r="L5" s="262"/>
      <c r="M5" s="375" t="s">
        <v>470</v>
      </c>
      <c r="N5" s="376">
        <v>0</v>
      </c>
      <c r="O5" s="376">
        <v>0</v>
      </c>
      <c r="P5" s="376">
        <v>0</v>
      </c>
      <c r="Q5" s="376">
        <v>0</v>
      </c>
      <c r="AI5" s="265"/>
      <c r="AJ5" s="265"/>
      <c r="AK5" s="265"/>
      <c r="AL5" s="265"/>
      <c r="AM5" s="265"/>
      <c r="AN5" s="265"/>
      <c r="AO5" s="265"/>
      <c r="AP5" s="265"/>
      <c r="AQ5" s="265"/>
      <c r="AR5" s="265"/>
      <c r="AS5" s="265"/>
      <c r="AT5" s="265"/>
      <c r="AU5" s="265"/>
      <c r="AV5" s="265"/>
      <c r="AW5" s="265"/>
      <c r="AX5" s="265"/>
      <c r="AY5" s="265"/>
      <c r="AZ5" s="265"/>
      <c r="BA5" s="265"/>
      <c r="BB5" s="265"/>
      <c r="BC5" s="265"/>
    </row>
    <row r="6" spans="1:55" s="167" customFormat="1">
      <c r="A6" s="266"/>
      <c r="B6" s="169"/>
      <c r="C6" s="258"/>
      <c r="D6" s="258"/>
      <c r="E6" s="258"/>
      <c r="F6" s="258"/>
      <c r="G6" s="258"/>
      <c r="H6" s="258"/>
      <c r="I6" s="258"/>
      <c r="J6" s="258"/>
      <c r="K6" s="267">
        <v>0</v>
      </c>
      <c r="L6" s="262"/>
      <c r="M6" s="375" t="s">
        <v>471</v>
      </c>
      <c r="N6" s="376">
        <v>0</v>
      </c>
      <c r="O6" s="376">
        <v>0</v>
      </c>
      <c r="P6" s="376">
        <v>0</v>
      </c>
      <c r="Q6" s="376">
        <v>0</v>
      </c>
      <c r="AI6" s="265"/>
      <c r="AJ6" s="265"/>
      <c r="AK6" s="265"/>
      <c r="AL6" s="265"/>
      <c r="AM6" s="265"/>
      <c r="AN6" s="265"/>
      <c r="AO6" s="265"/>
      <c r="AP6" s="265"/>
      <c r="AQ6" s="265"/>
      <c r="AR6" s="265"/>
      <c r="AS6" s="265"/>
      <c r="AT6" s="265"/>
      <c r="AU6" s="265"/>
      <c r="AV6" s="265"/>
      <c r="AW6" s="265"/>
      <c r="AX6" s="265"/>
      <c r="AY6" s="265"/>
      <c r="AZ6" s="265"/>
      <c r="BA6" s="265"/>
      <c r="BB6" s="265"/>
      <c r="BC6" s="265"/>
    </row>
    <row r="7" spans="1:55" s="167" customFormat="1">
      <c r="A7" s="266"/>
      <c r="B7" s="169"/>
      <c r="C7" s="258"/>
      <c r="D7" s="258"/>
      <c r="E7" s="258"/>
      <c r="F7" s="258"/>
      <c r="G7" s="258"/>
      <c r="H7" s="258"/>
      <c r="I7" s="258"/>
      <c r="J7" s="258"/>
      <c r="K7" s="262"/>
      <c r="L7" s="262"/>
      <c r="M7" s="263"/>
      <c r="N7" s="264"/>
      <c r="O7" s="264"/>
      <c r="P7" s="264"/>
      <c r="Q7" s="264"/>
      <c r="AI7" s="265"/>
      <c r="AJ7" s="265"/>
      <c r="AK7" s="265"/>
      <c r="AL7" s="265"/>
      <c r="AM7" s="265"/>
      <c r="AN7" s="265"/>
      <c r="AO7" s="265"/>
      <c r="AP7" s="265"/>
      <c r="AQ7" s="265"/>
      <c r="AR7" s="265"/>
      <c r="AS7" s="265"/>
      <c r="AT7" s="265"/>
      <c r="AU7" s="265"/>
      <c r="AV7" s="265"/>
      <c r="AW7" s="265"/>
      <c r="AX7" s="265"/>
      <c r="AY7" s="265"/>
      <c r="AZ7" s="265"/>
      <c r="BA7" s="265"/>
      <c r="BB7" s="265"/>
      <c r="BC7" s="265"/>
    </row>
    <row r="8" spans="1:55" s="167" customFormat="1">
      <c r="A8" s="266"/>
      <c r="B8" s="169"/>
      <c r="C8" s="258"/>
      <c r="D8" s="258"/>
      <c r="E8" s="258"/>
      <c r="F8" s="258"/>
      <c r="G8" s="258"/>
      <c r="H8" s="258"/>
      <c r="I8" s="258"/>
      <c r="J8" s="258"/>
      <c r="K8" s="262"/>
      <c r="L8" s="262"/>
      <c r="M8" s="263"/>
      <c r="N8" s="264"/>
      <c r="O8" s="264"/>
      <c r="P8" s="264"/>
      <c r="Q8" s="264"/>
      <c r="AI8" s="265"/>
      <c r="AJ8" s="265"/>
      <c r="AK8" s="265"/>
      <c r="AL8" s="265"/>
      <c r="AM8" s="265"/>
      <c r="AN8" s="265"/>
      <c r="AO8" s="265"/>
      <c r="AP8" s="265"/>
      <c r="AQ8" s="265"/>
      <c r="AR8" s="265"/>
      <c r="AS8" s="265"/>
      <c r="AT8" s="265"/>
      <c r="AU8" s="265"/>
      <c r="AV8" s="265"/>
      <c r="AW8" s="265"/>
      <c r="AX8" s="265"/>
      <c r="AY8" s="265"/>
      <c r="AZ8" s="265"/>
      <c r="BA8" s="265"/>
      <c r="BB8" s="265"/>
      <c r="BC8" s="265"/>
    </row>
    <row r="9" spans="1:55" s="167" customFormat="1">
      <c r="A9" s="266"/>
      <c r="B9" s="169"/>
      <c r="C9" s="258"/>
      <c r="D9" s="258"/>
      <c r="E9" s="258"/>
      <c r="F9" s="258"/>
      <c r="G9" s="258"/>
      <c r="H9" s="258"/>
      <c r="I9" s="258"/>
      <c r="J9" s="258"/>
      <c r="K9" s="262"/>
      <c r="L9" s="262"/>
      <c r="M9" s="263"/>
      <c r="N9" s="264"/>
      <c r="O9" s="264"/>
      <c r="P9" s="264"/>
      <c r="Q9" s="264"/>
      <c r="AI9" s="265"/>
      <c r="AJ9" s="265"/>
      <c r="AK9" s="265"/>
      <c r="AL9" s="265"/>
      <c r="AM9" s="265"/>
      <c r="AN9" s="265"/>
      <c r="AO9" s="265"/>
      <c r="AP9" s="265"/>
      <c r="AQ9" s="265"/>
      <c r="AR9" s="265"/>
      <c r="AS9" s="265"/>
      <c r="AT9" s="265"/>
      <c r="AU9" s="265"/>
      <c r="AV9" s="265"/>
      <c r="AW9" s="265"/>
      <c r="AX9" s="265"/>
      <c r="AY9" s="265"/>
      <c r="AZ9" s="265"/>
      <c r="BA9" s="265"/>
      <c r="BB9" s="265"/>
      <c r="BC9" s="265"/>
    </row>
    <row r="10" spans="1:55" s="167" customFormat="1">
      <c r="A10" s="266"/>
      <c r="B10" s="169"/>
      <c r="C10" s="258"/>
      <c r="D10" s="258"/>
      <c r="E10" s="258"/>
      <c r="F10" s="258"/>
      <c r="G10" s="258"/>
      <c r="H10" s="258"/>
      <c r="I10" s="258"/>
      <c r="J10" s="258"/>
      <c r="K10" s="263"/>
      <c r="L10" s="263"/>
      <c r="M10" s="263"/>
      <c r="N10" s="264"/>
      <c r="O10" s="264"/>
      <c r="P10" s="264"/>
      <c r="Q10" s="264"/>
      <c r="AI10" s="265"/>
      <c r="AJ10" s="265"/>
      <c r="AK10" s="265"/>
      <c r="AL10" s="265"/>
      <c r="AM10" s="265"/>
      <c r="AN10" s="265"/>
      <c r="AO10" s="265"/>
      <c r="AP10" s="265"/>
      <c r="AQ10" s="265"/>
      <c r="AR10" s="265"/>
      <c r="AS10" s="265"/>
      <c r="AT10" s="265"/>
      <c r="AU10" s="265"/>
      <c r="AV10" s="265"/>
      <c r="AW10" s="265"/>
      <c r="AX10" s="265"/>
      <c r="AY10" s="265"/>
      <c r="AZ10" s="265"/>
      <c r="BA10" s="265"/>
      <c r="BB10" s="265"/>
      <c r="BC10" s="265"/>
    </row>
    <row r="11" spans="1:55" s="167" customFormat="1">
      <c r="A11" s="266"/>
      <c r="B11" s="169"/>
      <c r="C11" s="258"/>
      <c r="D11" s="258"/>
      <c r="E11" s="258"/>
      <c r="F11" s="258"/>
      <c r="G11" s="258"/>
      <c r="H11" s="258"/>
      <c r="I11" s="258"/>
      <c r="J11" s="258"/>
      <c r="K11" s="263"/>
      <c r="L11" s="263"/>
      <c r="M11" s="263"/>
      <c r="N11" s="264"/>
      <c r="O11" s="264"/>
      <c r="P11" s="264"/>
      <c r="Q11" s="264"/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5"/>
      <c r="AX11" s="265"/>
      <c r="AY11" s="265"/>
      <c r="AZ11" s="265"/>
      <c r="BA11" s="265"/>
      <c r="BB11" s="265"/>
      <c r="BC11" s="265"/>
    </row>
    <row r="12" spans="1:55" s="167" customFormat="1">
      <c r="A12" s="266"/>
      <c r="B12" s="169"/>
      <c r="C12" s="258"/>
      <c r="D12" s="258"/>
      <c r="E12" s="258"/>
      <c r="F12" s="258"/>
      <c r="G12" s="258"/>
      <c r="H12" s="258"/>
      <c r="I12" s="258"/>
      <c r="J12" s="258"/>
      <c r="K12" s="263"/>
      <c r="L12" s="263"/>
      <c r="M12" s="263"/>
      <c r="N12" s="264"/>
      <c r="O12" s="264"/>
      <c r="P12" s="264"/>
      <c r="Q12" s="264"/>
      <c r="AI12" s="265"/>
      <c r="AJ12" s="265"/>
      <c r="AK12" s="265"/>
      <c r="AL12" s="265"/>
      <c r="AM12" s="265"/>
      <c r="AN12" s="265"/>
      <c r="AO12" s="265"/>
      <c r="AP12" s="265"/>
      <c r="AQ12" s="265"/>
      <c r="AR12" s="265"/>
      <c r="AS12" s="265"/>
      <c r="AT12" s="265"/>
      <c r="AU12" s="265"/>
      <c r="AV12" s="265"/>
      <c r="AW12" s="265"/>
      <c r="AX12" s="265"/>
      <c r="AY12" s="265"/>
      <c r="AZ12" s="265"/>
      <c r="BA12" s="265"/>
      <c r="BB12" s="265"/>
      <c r="BC12" s="265"/>
    </row>
    <row r="13" spans="1:55" s="167" customFormat="1">
      <c r="A13" s="266"/>
      <c r="B13" s="169"/>
      <c r="C13" s="258"/>
      <c r="D13" s="258"/>
      <c r="E13" s="258"/>
      <c r="F13" s="258"/>
      <c r="G13" s="258"/>
      <c r="H13" s="258"/>
      <c r="I13" s="258"/>
      <c r="J13" s="258"/>
      <c r="K13" s="264"/>
      <c r="L13" s="264"/>
      <c r="M13" s="264"/>
      <c r="N13" s="264"/>
      <c r="O13" s="264"/>
      <c r="P13" s="264"/>
      <c r="Q13" s="264"/>
      <c r="AI13" s="265"/>
      <c r="AJ13" s="265"/>
      <c r="AK13" s="265"/>
      <c r="AL13" s="265"/>
      <c r="AM13" s="265"/>
      <c r="AN13" s="265"/>
      <c r="AO13" s="265"/>
      <c r="AP13" s="265"/>
      <c r="AQ13" s="265"/>
      <c r="AR13" s="265"/>
      <c r="AS13" s="265"/>
      <c r="AT13" s="265"/>
      <c r="AU13" s="265"/>
      <c r="AV13" s="265"/>
      <c r="AW13" s="265"/>
      <c r="AX13" s="265"/>
      <c r="AY13" s="265"/>
      <c r="AZ13" s="265"/>
      <c r="BA13" s="265"/>
      <c r="BB13" s="265"/>
      <c r="BC13" s="265"/>
    </row>
    <row r="14" spans="1:55" s="167" customFormat="1">
      <c r="A14" s="266"/>
      <c r="B14" s="169"/>
      <c r="C14" s="258"/>
      <c r="D14" s="258"/>
      <c r="E14" s="258"/>
      <c r="F14" s="258"/>
      <c r="G14" s="258"/>
      <c r="H14" s="258"/>
      <c r="I14" s="258"/>
      <c r="J14" s="258"/>
      <c r="K14" s="264"/>
      <c r="L14" s="264"/>
      <c r="M14" s="264"/>
      <c r="N14" s="264"/>
      <c r="O14" s="264"/>
      <c r="P14" s="264"/>
      <c r="Q14" s="264"/>
      <c r="AI14" s="265"/>
      <c r="AJ14" s="265"/>
      <c r="AK14" s="265"/>
      <c r="AL14" s="265"/>
      <c r="AM14" s="265"/>
      <c r="AN14" s="265"/>
      <c r="AO14" s="265"/>
      <c r="AP14" s="265"/>
      <c r="AQ14" s="265"/>
      <c r="AR14" s="265"/>
      <c r="AS14" s="265"/>
      <c r="AT14" s="265"/>
      <c r="AU14" s="265"/>
      <c r="AV14" s="265"/>
      <c r="AW14" s="265"/>
      <c r="AX14" s="265"/>
      <c r="AY14" s="265"/>
      <c r="AZ14" s="265"/>
      <c r="BA14" s="265"/>
      <c r="BB14" s="265"/>
      <c r="BC14" s="265"/>
    </row>
    <row r="15" spans="1:55" s="167" customFormat="1">
      <c r="A15" s="266"/>
      <c r="B15" s="169"/>
      <c r="C15" s="258"/>
      <c r="D15" s="258"/>
      <c r="E15" s="258"/>
      <c r="F15" s="258"/>
      <c r="G15" s="258"/>
      <c r="H15" s="258"/>
      <c r="I15" s="258"/>
      <c r="J15" s="258"/>
      <c r="K15" s="264"/>
      <c r="L15" s="264"/>
      <c r="M15" s="264"/>
      <c r="N15" s="264"/>
      <c r="O15" s="264"/>
      <c r="P15" s="264"/>
      <c r="Q15" s="264"/>
      <c r="AI15" s="265"/>
      <c r="AJ15" s="265"/>
      <c r="AK15" s="265"/>
      <c r="AL15" s="265"/>
      <c r="AM15" s="265"/>
      <c r="AN15" s="265"/>
      <c r="AO15" s="265"/>
      <c r="AP15" s="265"/>
      <c r="AQ15" s="265"/>
      <c r="AR15" s="265"/>
      <c r="AS15" s="265"/>
      <c r="AT15" s="265"/>
      <c r="AU15" s="265"/>
      <c r="AV15" s="265"/>
      <c r="AW15" s="265"/>
      <c r="AX15" s="265"/>
      <c r="AY15" s="265"/>
      <c r="AZ15" s="265"/>
      <c r="BA15" s="265"/>
      <c r="BB15" s="265"/>
      <c r="BC15" s="265"/>
    </row>
    <row r="16" spans="1:55" s="167" customFormat="1">
      <c r="A16" s="266"/>
      <c r="B16" s="169"/>
      <c r="C16" s="258"/>
      <c r="D16" s="258"/>
      <c r="E16" s="258"/>
      <c r="F16" s="258"/>
      <c r="G16" s="258"/>
      <c r="H16" s="258"/>
      <c r="I16" s="258"/>
      <c r="J16" s="258"/>
      <c r="K16" s="264"/>
      <c r="L16" s="264"/>
      <c r="M16" s="264"/>
      <c r="N16" s="264"/>
      <c r="O16" s="264"/>
      <c r="P16" s="264"/>
      <c r="Q16" s="264"/>
      <c r="AI16" s="265"/>
      <c r="AJ16" s="265"/>
      <c r="AK16" s="265"/>
      <c r="AL16" s="265"/>
      <c r="AM16" s="265"/>
      <c r="AN16" s="265"/>
      <c r="AO16" s="265"/>
      <c r="AP16" s="265"/>
      <c r="AQ16" s="265"/>
      <c r="AR16" s="265"/>
      <c r="AS16" s="265"/>
      <c r="AT16" s="265"/>
      <c r="AU16" s="265"/>
      <c r="AV16" s="265"/>
      <c r="AW16" s="265"/>
      <c r="AX16" s="265"/>
      <c r="AY16" s="265"/>
      <c r="AZ16" s="265"/>
      <c r="BA16" s="265"/>
      <c r="BB16" s="265"/>
      <c r="BC16" s="265"/>
    </row>
    <row r="17" spans="1:55" s="167" customFormat="1">
      <c r="A17" s="266"/>
      <c r="B17" s="169"/>
      <c r="C17" s="258"/>
      <c r="D17" s="258"/>
      <c r="E17" s="258"/>
      <c r="F17" s="258"/>
      <c r="G17" s="258"/>
      <c r="H17" s="258"/>
      <c r="I17" s="258"/>
      <c r="J17" s="258"/>
      <c r="K17" s="264"/>
      <c r="L17" s="264"/>
      <c r="M17" s="264"/>
      <c r="N17" s="264"/>
      <c r="O17" s="264"/>
      <c r="P17" s="264"/>
      <c r="Q17" s="264"/>
      <c r="AI17" s="265"/>
      <c r="AJ17" s="265"/>
      <c r="AK17" s="265"/>
      <c r="AL17" s="265"/>
      <c r="AM17" s="265"/>
      <c r="AN17" s="265"/>
      <c r="AO17" s="265"/>
      <c r="AP17" s="265"/>
      <c r="AQ17" s="265"/>
      <c r="AR17" s="265"/>
      <c r="AS17" s="265"/>
      <c r="AT17" s="265"/>
      <c r="AU17" s="265"/>
      <c r="AV17" s="265"/>
      <c r="AW17" s="265"/>
      <c r="AX17" s="265"/>
      <c r="AY17" s="265"/>
      <c r="AZ17" s="265"/>
      <c r="BA17" s="265"/>
      <c r="BB17" s="265"/>
      <c r="BC17" s="265"/>
    </row>
    <row r="18" spans="1:55" s="167" customFormat="1" ht="18" customHeight="1">
      <c r="A18" s="266"/>
      <c r="B18" s="169"/>
      <c r="C18" s="258"/>
      <c r="D18" s="258"/>
      <c r="E18" s="258"/>
      <c r="F18" s="258"/>
      <c r="G18" s="258"/>
      <c r="H18" s="258"/>
      <c r="I18" s="258"/>
      <c r="J18" s="258"/>
      <c r="K18" s="264"/>
      <c r="L18" s="264"/>
      <c r="M18" s="264"/>
      <c r="N18" s="264"/>
      <c r="O18" s="264"/>
      <c r="P18" s="264"/>
      <c r="Q18" s="264"/>
      <c r="AI18" s="265"/>
      <c r="AJ18" s="265"/>
      <c r="AK18" s="265"/>
      <c r="AL18" s="265"/>
      <c r="AM18" s="265"/>
      <c r="AN18" s="265"/>
      <c r="AO18" s="265"/>
      <c r="AP18" s="265"/>
      <c r="AQ18" s="265"/>
      <c r="AR18" s="265"/>
      <c r="AS18" s="265"/>
      <c r="AT18" s="265"/>
      <c r="AU18" s="265"/>
      <c r="AV18" s="265"/>
      <c r="AW18" s="265"/>
      <c r="AX18" s="265"/>
      <c r="AY18" s="265"/>
      <c r="AZ18" s="265"/>
      <c r="BA18" s="265"/>
      <c r="BB18" s="265"/>
      <c r="BC18" s="265"/>
    </row>
    <row r="19" spans="1:55" s="167" customFormat="1" ht="18" customHeight="1">
      <c r="A19" s="266" t="s">
        <v>183</v>
      </c>
      <c r="C19" s="258"/>
      <c r="D19" s="258"/>
      <c r="E19" s="258"/>
      <c r="F19" s="258"/>
      <c r="G19" s="258"/>
      <c r="H19" s="258"/>
      <c r="I19" s="258"/>
      <c r="J19" s="258"/>
      <c r="K19" s="264"/>
      <c r="L19" s="264"/>
      <c r="M19" s="264"/>
      <c r="N19" s="264"/>
      <c r="O19" s="264"/>
      <c r="P19" s="264"/>
      <c r="Q19" s="264"/>
      <c r="AI19" s="265"/>
      <c r="AJ19" s="265"/>
      <c r="AK19" s="265"/>
      <c r="AL19" s="265"/>
      <c r="AM19" s="265"/>
      <c r="AN19" s="265"/>
      <c r="AO19" s="265"/>
      <c r="AP19" s="265"/>
      <c r="AQ19" s="265"/>
      <c r="AR19" s="265"/>
      <c r="AS19" s="265"/>
      <c r="AT19" s="265"/>
      <c r="AU19" s="265"/>
      <c r="AV19" s="265"/>
      <c r="AW19" s="265"/>
      <c r="AX19" s="265"/>
      <c r="AY19" s="265"/>
      <c r="AZ19" s="265"/>
      <c r="BA19" s="265"/>
      <c r="BB19" s="265"/>
      <c r="BC19" s="265"/>
    </row>
    <row r="20" spans="1:55" s="167" customFormat="1" ht="18" customHeight="1">
      <c r="A20" s="266">
        <v>5</v>
      </c>
      <c r="C20" s="258"/>
      <c r="D20" s="258"/>
      <c r="E20" s="258"/>
      <c r="F20" s="258"/>
      <c r="G20" s="258"/>
      <c r="H20" s="258"/>
      <c r="I20" s="258"/>
      <c r="J20" s="258"/>
      <c r="K20" s="264"/>
      <c r="L20" s="264"/>
      <c r="M20" s="264"/>
      <c r="N20" s="264"/>
      <c r="O20" s="264"/>
      <c r="P20" s="264"/>
      <c r="Q20" s="264"/>
      <c r="AI20" s="265"/>
      <c r="AJ20" s="265"/>
      <c r="AK20" s="265"/>
      <c r="AL20" s="265"/>
      <c r="AM20" s="265"/>
      <c r="AN20" s="265"/>
      <c r="AO20" s="265"/>
      <c r="AP20" s="265"/>
      <c r="AQ20" s="265"/>
      <c r="AR20" s="265"/>
      <c r="AS20" s="265"/>
      <c r="AT20" s="265"/>
      <c r="AU20" s="265"/>
      <c r="AV20" s="265"/>
      <c r="AW20" s="265"/>
      <c r="AX20" s="265"/>
      <c r="AY20" s="265"/>
      <c r="AZ20" s="265"/>
      <c r="BA20" s="265"/>
      <c r="BB20" s="265"/>
      <c r="BC20" s="265"/>
    </row>
    <row r="21" spans="1:55" s="167" customFormat="1" ht="18" customHeight="1">
      <c r="A21" s="266"/>
      <c r="C21" s="258"/>
      <c r="D21" s="258"/>
      <c r="E21" s="258"/>
      <c r="F21" s="258"/>
      <c r="G21" s="258"/>
      <c r="H21" s="258"/>
      <c r="I21" s="258"/>
      <c r="J21" s="258"/>
      <c r="K21" s="264"/>
      <c r="L21" s="264"/>
      <c r="M21" s="264"/>
      <c r="N21" s="264"/>
      <c r="O21" s="264"/>
      <c r="P21" s="264"/>
      <c r="Q21" s="264"/>
      <c r="AI21" s="265"/>
      <c r="AJ21" s="265"/>
      <c r="AK21" s="265"/>
      <c r="AL21" s="265"/>
      <c r="AM21" s="265"/>
      <c r="AN21" s="265"/>
      <c r="AO21" s="265"/>
      <c r="AP21" s="265"/>
      <c r="AQ21" s="265"/>
      <c r="AR21" s="265"/>
      <c r="AS21" s="265"/>
      <c r="AT21" s="265"/>
      <c r="AU21" s="265"/>
      <c r="AV21" s="265"/>
      <c r="AW21" s="265"/>
      <c r="AX21" s="265"/>
      <c r="AY21" s="265"/>
      <c r="AZ21" s="265"/>
      <c r="BA21" s="265"/>
      <c r="BB21" s="265"/>
      <c r="BC21" s="265"/>
    </row>
    <row r="22" spans="1:55" s="167" customFormat="1" ht="18" customHeight="1">
      <c r="A22" s="266"/>
      <c r="C22" s="258"/>
      <c r="D22" s="258"/>
      <c r="E22" s="258"/>
      <c r="F22" s="258"/>
      <c r="G22" s="258"/>
      <c r="H22" s="258"/>
      <c r="I22" s="258"/>
      <c r="J22" s="258"/>
      <c r="K22" s="264"/>
      <c r="L22" s="264"/>
      <c r="M22" s="264"/>
      <c r="N22" s="264"/>
      <c r="O22" s="264"/>
      <c r="P22" s="264"/>
      <c r="Q22" s="264"/>
      <c r="AI22" s="265"/>
      <c r="AJ22" s="265"/>
      <c r="AK22" s="265"/>
      <c r="AL22" s="265"/>
      <c r="AM22" s="265"/>
      <c r="AN22" s="265"/>
      <c r="AO22" s="265"/>
      <c r="AP22" s="265"/>
      <c r="AQ22" s="265"/>
      <c r="AR22" s="265"/>
      <c r="AS22" s="265"/>
      <c r="AT22" s="265"/>
      <c r="AU22" s="265"/>
      <c r="AV22" s="265"/>
      <c r="AW22" s="265"/>
      <c r="AX22" s="265"/>
      <c r="AY22" s="265"/>
      <c r="AZ22" s="265"/>
      <c r="BA22" s="265"/>
      <c r="BB22" s="265"/>
      <c r="BC22" s="265"/>
    </row>
    <row r="23" spans="1:55" s="167" customFormat="1" ht="18" customHeight="1">
      <c r="A23" s="266"/>
      <c r="C23" s="258"/>
      <c r="D23" s="258"/>
      <c r="E23" s="258"/>
      <c r="F23" s="258"/>
      <c r="G23" s="258"/>
      <c r="H23" s="258"/>
      <c r="I23" s="258"/>
      <c r="J23" s="258"/>
      <c r="K23" s="264"/>
      <c r="L23" s="264"/>
      <c r="M23" s="264"/>
      <c r="N23" s="264"/>
      <c r="O23" s="264"/>
      <c r="P23" s="264"/>
      <c r="Q23" s="264"/>
      <c r="AI23" s="265"/>
      <c r="AJ23" s="265"/>
      <c r="AK23" s="265"/>
      <c r="AL23" s="265"/>
      <c r="AM23" s="265"/>
      <c r="AN23" s="265"/>
      <c r="AO23" s="265"/>
      <c r="AP23" s="265"/>
      <c r="AQ23" s="265"/>
      <c r="AR23" s="265"/>
      <c r="AS23" s="265"/>
      <c r="AT23" s="265"/>
      <c r="AU23" s="265"/>
      <c r="AV23" s="265"/>
      <c r="AW23" s="265"/>
      <c r="AX23" s="265"/>
      <c r="AY23" s="265"/>
      <c r="AZ23" s="265"/>
      <c r="BA23" s="265"/>
      <c r="BB23" s="265"/>
      <c r="BC23" s="265"/>
    </row>
    <row r="24" spans="1:55" s="167" customFormat="1" ht="18" customHeight="1">
      <c r="A24" s="266"/>
      <c r="C24" s="258"/>
      <c r="D24" s="258"/>
      <c r="E24" s="258"/>
      <c r="F24" s="258"/>
      <c r="G24" s="258"/>
      <c r="H24" s="258"/>
      <c r="I24" s="258"/>
      <c r="J24" s="258"/>
      <c r="K24" s="264"/>
      <c r="L24" s="264"/>
      <c r="M24" s="264"/>
      <c r="N24" s="264"/>
      <c r="O24" s="264"/>
      <c r="P24" s="264"/>
      <c r="Q24" s="264"/>
      <c r="AI24" s="265"/>
      <c r="AJ24" s="265"/>
      <c r="AK24" s="265"/>
      <c r="AL24" s="265"/>
      <c r="AM24" s="265"/>
      <c r="AN24" s="265"/>
      <c r="AO24" s="265"/>
      <c r="AP24" s="265"/>
      <c r="AQ24" s="265"/>
      <c r="AR24" s="265"/>
      <c r="AS24" s="265"/>
      <c r="AT24" s="265"/>
      <c r="AU24" s="265"/>
      <c r="AV24" s="265"/>
      <c r="AW24" s="265"/>
      <c r="AX24" s="265"/>
      <c r="AY24" s="265"/>
      <c r="AZ24" s="265"/>
      <c r="BA24" s="265"/>
      <c r="BB24" s="265"/>
      <c r="BC24" s="265"/>
    </row>
    <row r="25" spans="1:55" s="167" customFormat="1" ht="18" customHeight="1">
      <c r="A25" s="266"/>
      <c r="C25" s="258"/>
      <c r="D25" s="258"/>
      <c r="E25" s="258"/>
      <c r="F25" s="258"/>
      <c r="G25" s="258"/>
      <c r="H25" s="258"/>
      <c r="I25" s="258"/>
      <c r="J25" s="258"/>
      <c r="K25" s="264"/>
      <c r="L25" s="264"/>
      <c r="M25" s="264"/>
      <c r="N25" s="264"/>
      <c r="O25" s="264"/>
      <c r="P25" s="264"/>
      <c r="Q25" s="264"/>
      <c r="AI25" s="265"/>
      <c r="AJ25" s="265"/>
      <c r="AK25" s="265"/>
      <c r="AL25" s="265"/>
      <c r="AM25" s="265"/>
      <c r="AN25" s="265"/>
      <c r="AO25" s="265"/>
      <c r="AP25" s="265"/>
      <c r="AQ25" s="265"/>
      <c r="AR25" s="265"/>
      <c r="AS25" s="265"/>
      <c r="AT25" s="265"/>
      <c r="AU25" s="265"/>
      <c r="AV25" s="265"/>
      <c r="AW25" s="265"/>
      <c r="AX25" s="265"/>
      <c r="AY25" s="265"/>
      <c r="AZ25" s="265"/>
      <c r="BA25" s="265"/>
      <c r="BB25" s="265"/>
      <c r="BC25" s="265"/>
    </row>
    <row r="26" spans="1:55" s="167" customFormat="1" ht="18" customHeight="1">
      <c r="A26" s="266"/>
      <c r="C26" s="258"/>
      <c r="D26" s="258"/>
      <c r="E26" s="258"/>
      <c r="F26" s="258"/>
      <c r="G26" s="258"/>
      <c r="H26" s="258"/>
      <c r="I26" s="258"/>
      <c r="J26" s="258"/>
      <c r="K26" s="264"/>
      <c r="L26" s="264"/>
      <c r="M26" s="264"/>
      <c r="N26" s="264"/>
      <c r="O26" s="264"/>
      <c r="P26" s="264"/>
      <c r="Q26" s="264"/>
      <c r="AI26" s="265"/>
      <c r="AJ26" s="265"/>
      <c r="AK26" s="265"/>
      <c r="AL26" s="265"/>
      <c r="AM26" s="265"/>
      <c r="AN26" s="265"/>
      <c r="AO26" s="265"/>
      <c r="AP26" s="265"/>
      <c r="AQ26" s="265"/>
      <c r="AR26" s="265"/>
      <c r="AS26" s="265"/>
      <c r="AT26" s="265"/>
      <c r="AU26" s="265"/>
      <c r="AV26" s="265"/>
      <c r="AW26" s="265"/>
      <c r="AX26" s="265"/>
      <c r="AY26" s="265"/>
      <c r="AZ26" s="265"/>
      <c r="BA26" s="265"/>
      <c r="BB26" s="265"/>
      <c r="BC26" s="265"/>
    </row>
    <row r="27" spans="1:55" s="167" customFormat="1" ht="18" customHeight="1">
      <c r="A27" s="266"/>
      <c r="C27" s="258"/>
      <c r="D27" s="258"/>
      <c r="E27" s="258"/>
      <c r="F27" s="258"/>
      <c r="G27" s="258"/>
      <c r="H27" s="258"/>
      <c r="I27" s="258"/>
      <c r="J27" s="258"/>
      <c r="K27" s="264"/>
      <c r="L27" s="264"/>
      <c r="M27" s="264"/>
      <c r="N27" s="264"/>
      <c r="O27" s="264"/>
      <c r="P27" s="264"/>
      <c r="Q27" s="264"/>
      <c r="AI27" s="265"/>
      <c r="AJ27" s="265"/>
      <c r="AK27" s="265"/>
      <c r="AL27" s="265"/>
      <c r="AM27" s="265"/>
      <c r="AN27" s="265"/>
      <c r="AO27" s="265"/>
      <c r="AP27" s="265"/>
      <c r="AQ27" s="265"/>
      <c r="AR27" s="265"/>
      <c r="AS27" s="265"/>
      <c r="AT27" s="265"/>
      <c r="AU27" s="265"/>
      <c r="AV27" s="265"/>
      <c r="AW27" s="265"/>
      <c r="AX27" s="265"/>
      <c r="AY27" s="265"/>
      <c r="AZ27" s="265"/>
      <c r="BA27" s="265"/>
      <c r="BB27" s="265"/>
      <c r="BC27" s="265"/>
    </row>
    <row r="28" spans="1:55" s="167" customFormat="1" ht="18" customHeight="1">
      <c r="A28" s="266"/>
      <c r="C28" s="260"/>
      <c r="D28" s="260"/>
      <c r="E28" s="260"/>
      <c r="F28" s="260"/>
      <c r="G28" s="260"/>
      <c r="H28" s="260"/>
      <c r="I28" s="260"/>
      <c r="J28" s="260"/>
      <c r="K28" s="264"/>
      <c r="L28" s="264"/>
      <c r="M28" s="264"/>
      <c r="N28" s="264"/>
      <c r="O28" s="264"/>
      <c r="P28" s="264"/>
      <c r="Q28" s="264"/>
      <c r="AI28" s="265"/>
      <c r="AJ28" s="265"/>
      <c r="AK28" s="265"/>
      <c r="AL28" s="265"/>
      <c r="AM28" s="265"/>
      <c r="AN28" s="265"/>
      <c r="AO28" s="265"/>
      <c r="AP28" s="265"/>
      <c r="AQ28" s="265"/>
      <c r="AR28" s="265"/>
      <c r="AS28" s="265"/>
      <c r="AT28" s="265"/>
      <c r="AU28" s="265"/>
      <c r="AV28" s="265"/>
      <c r="AW28" s="265"/>
      <c r="AX28" s="265"/>
      <c r="AY28" s="265"/>
      <c r="AZ28" s="265"/>
      <c r="BA28" s="265"/>
      <c r="BB28" s="265"/>
      <c r="BC28" s="265"/>
    </row>
    <row r="29" spans="1:55" s="274" customFormat="1" ht="18" customHeight="1">
      <c r="A29" s="270">
        <v>1</v>
      </c>
      <c r="B29" s="271"/>
      <c r="C29" s="272" t="str">
        <f>IF($A$1 = 1, (IF("("&amp;C39&amp;")" ="()","","("&amp;C39&amp;")")), (IF("("&amp;C44&amp;")    ("&amp;C39&amp;")"="()    ()","","("&amp;C44&amp;")    ("&amp;C39&amp;")")))</f>
        <v>(29)    (48)</v>
      </c>
      <c r="D29" s="272" t="str">
        <f t="shared" ref="D29:J29" si="0">IF($A$1 = 1, (IF("("&amp;D39&amp;")" ="()","","("&amp;D39&amp;")")), (IF("("&amp;D44&amp;")    ("&amp;D39&amp;")"="()    ()","","("&amp;D44&amp;")    ("&amp;D39&amp;")")))</f>
        <v>(195)    (233)</v>
      </c>
      <c r="E29" s="272" t="str">
        <f t="shared" si="0"/>
        <v>(153)    (187)</v>
      </c>
      <c r="F29" s="272" t="str">
        <f t="shared" si="0"/>
        <v>(56)    (66)</v>
      </c>
      <c r="G29" s="272" t="str">
        <f t="shared" si="0"/>
        <v>(10)    (10)</v>
      </c>
      <c r="H29" s="272" t="str">
        <f t="shared" si="0"/>
        <v/>
      </c>
      <c r="I29" s="272" t="str">
        <f t="shared" si="0"/>
        <v/>
      </c>
      <c r="J29" s="272" t="str">
        <f t="shared" si="0"/>
        <v/>
      </c>
      <c r="K29" s="273"/>
      <c r="L29" s="273"/>
      <c r="M29" s="273"/>
      <c r="N29" s="273"/>
      <c r="O29" s="273"/>
      <c r="P29" s="273"/>
      <c r="Q29" s="273"/>
      <c r="AI29" s="275"/>
      <c r="AJ29" s="275"/>
      <c r="AK29" s="275"/>
      <c r="AL29" s="275"/>
      <c r="AM29" s="275"/>
      <c r="AN29" s="275"/>
      <c r="AO29" s="275"/>
      <c r="AP29" s="275"/>
      <c r="AQ29" s="275"/>
      <c r="AR29" s="275"/>
      <c r="AS29" s="275"/>
      <c r="AT29" s="275"/>
      <c r="AU29" s="275"/>
      <c r="AV29" s="275"/>
      <c r="AW29" s="275"/>
      <c r="AX29" s="275"/>
      <c r="AY29" s="275"/>
      <c r="AZ29" s="275"/>
      <c r="BA29" s="275"/>
      <c r="BB29" s="275"/>
      <c r="BC29" s="275"/>
    </row>
    <row r="30" spans="1:55" s="280" customFormat="1" ht="59.1" customHeight="1">
      <c r="A30" s="276"/>
      <c r="B30" s="277"/>
      <c r="C30" s="278" t="s">
        <v>407</v>
      </c>
      <c r="D30" s="278" t="s">
        <v>408</v>
      </c>
      <c r="E30" s="278" t="s">
        <v>210</v>
      </c>
      <c r="F30" s="278" t="s">
        <v>409</v>
      </c>
      <c r="G30" s="278" t="s">
        <v>410</v>
      </c>
      <c r="H30" s="278"/>
      <c r="I30" s="278"/>
      <c r="J30" s="278"/>
      <c r="K30" s="279"/>
      <c r="L30" s="279"/>
      <c r="M30" s="279"/>
      <c r="N30" s="279"/>
      <c r="O30" s="279"/>
      <c r="P30" s="279"/>
      <c r="Q30" s="279"/>
      <c r="AI30" s="281"/>
      <c r="AJ30" s="281"/>
      <c r="AK30" s="281"/>
      <c r="AL30" s="281"/>
      <c r="AM30" s="281"/>
      <c r="AN30" s="281"/>
      <c r="AO30" s="281"/>
      <c r="AP30" s="281"/>
      <c r="AQ30" s="281"/>
      <c r="AS30" s="281"/>
      <c r="AT30" s="281"/>
      <c r="AU30" s="281"/>
      <c r="AV30" s="281"/>
      <c r="AW30" s="281"/>
      <c r="AX30" s="281"/>
      <c r="AY30" s="281"/>
      <c r="AZ30" s="281"/>
      <c r="BA30" s="281"/>
      <c r="BB30" s="281"/>
      <c r="BC30" s="281"/>
    </row>
    <row r="31" spans="1:55" s="167" customFormat="1" ht="21.95" customHeight="1">
      <c r="A31" s="266"/>
      <c r="B31" s="282" t="s">
        <v>3</v>
      </c>
      <c r="C31" s="283">
        <v>84</v>
      </c>
      <c r="D31" s="283">
        <v>83</v>
      </c>
      <c r="E31" s="283">
        <v>81</v>
      </c>
      <c r="F31" s="283">
        <v>87</v>
      </c>
      <c r="G31" s="283">
        <v>71</v>
      </c>
      <c r="H31" s="283"/>
      <c r="I31" s="283"/>
      <c r="J31" s="283"/>
      <c r="K31" s="284"/>
      <c r="L31" s="284"/>
      <c r="M31" s="284"/>
      <c r="N31" s="284"/>
      <c r="O31" s="284"/>
      <c r="P31" s="284"/>
      <c r="Q31" s="284"/>
      <c r="AI31" s="265"/>
      <c r="AJ31" s="265"/>
      <c r="AK31" s="265"/>
      <c r="AL31" s="265"/>
      <c r="AM31" s="265"/>
      <c r="AN31" s="265"/>
      <c r="AO31" s="265"/>
      <c r="AP31" s="265"/>
      <c r="AQ31" s="265"/>
      <c r="AS31" s="265"/>
      <c r="AT31" s="265"/>
      <c r="AU31" s="265"/>
      <c r="AV31" s="265"/>
      <c r="AW31" s="265"/>
      <c r="AX31" s="265"/>
      <c r="AY31" s="265"/>
      <c r="AZ31" s="265"/>
      <c r="BA31" s="265"/>
      <c r="BB31" s="265"/>
      <c r="BC31" s="265"/>
    </row>
    <row r="32" spans="1:55" s="167" customFormat="1" ht="21.95" customHeight="1">
      <c r="A32" s="266"/>
      <c r="B32" s="285" t="s">
        <v>18</v>
      </c>
      <c r="C32" s="283">
        <v>89</v>
      </c>
      <c r="D32" s="283">
        <v>86</v>
      </c>
      <c r="E32" s="283">
        <v>83</v>
      </c>
      <c r="F32" s="283">
        <v>84</v>
      </c>
      <c r="G32" s="283">
        <v>76</v>
      </c>
      <c r="H32" s="283"/>
      <c r="I32" s="283"/>
      <c r="J32" s="283"/>
      <c r="K32" s="286"/>
      <c r="L32" s="286"/>
      <c r="M32" s="286"/>
      <c r="N32" s="286"/>
      <c r="O32" s="286"/>
      <c r="P32" s="286"/>
      <c r="Q32" s="286"/>
      <c r="AI32" s="265"/>
      <c r="AJ32" s="265"/>
      <c r="AK32" s="265"/>
      <c r="AL32" s="265"/>
      <c r="AM32" s="265"/>
      <c r="AN32" s="265"/>
      <c r="AO32" s="265"/>
      <c r="AP32" s="265"/>
      <c r="AQ32" s="265"/>
      <c r="AS32" s="265"/>
      <c r="AT32" s="265"/>
      <c r="AU32" s="265"/>
      <c r="AV32" s="265"/>
      <c r="AW32" s="265"/>
      <c r="AX32" s="265"/>
      <c r="AY32" s="265"/>
      <c r="AZ32" s="265"/>
      <c r="BA32" s="265"/>
      <c r="BB32" s="265"/>
      <c r="BC32" s="265"/>
    </row>
    <row r="33" spans="1:54" s="167" customFormat="1" ht="21.95" customHeight="1">
      <c r="A33" s="169"/>
      <c r="B33" s="287" t="s">
        <v>32</v>
      </c>
      <c r="C33" s="283">
        <v>80</v>
      </c>
      <c r="D33" s="283">
        <v>78</v>
      </c>
      <c r="E33" s="283">
        <v>78</v>
      </c>
      <c r="F33" s="283">
        <v>85</v>
      </c>
      <c r="G33" s="283">
        <v>75</v>
      </c>
      <c r="H33" s="283"/>
      <c r="I33" s="283"/>
      <c r="J33" s="283"/>
      <c r="K33" s="286"/>
      <c r="L33" s="286"/>
      <c r="M33" s="286"/>
      <c r="N33" s="286"/>
      <c r="O33" s="286"/>
      <c r="P33" s="286"/>
      <c r="Q33" s="286"/>
      <c r="AI33" s="265"/>
      <c r="AJ33" s="265"/>
      <c r="AK33" s="265"/>
      <c r="AL33" s="265"/>
      <c r="AM33" s="265"/>
      <c r="AN33" s="265"/>
      <c r="AO33" s="265"/>
      <c r="AP33" s="265"/>
      <c r="AQ33" s="265"/>
      <c r="AS33" s="265"/>
      <c r="AT33" s="265"/>
      <c r="AU33" s="265"/>
      <c r="AV33" s="265"/>
      <c r="AW33" s="265"/>
      <c r="AX33" s="265"/>
      <c r="AY33" s="265"/>
      <c r="AZ33" s="265"/>
      <c r="BA33" s="265"/>
      <c r="BB33" s="265"/>
    </row>
    <row r="34" spans="1:54" s="167" customFormat="1" ht="21.95" customHeight="1">
      <c r="A34" s="169"/>
      <c r="B34" s="288" t="s">
        <v>45</v>
      </c>
      <c r="C34" s="283">
        <v>78</v>
      </c>
      <c r="D34" s="283">
        <v>80</v>
      </c>
      <c r="E34" s="283">
        <v>82</v>
      </c>
      <c r="F34" s="283">
        <v>89</v>
      </c>
      <c r="G34" s="283">
        <v>81</v>
      </c>
      <c r="H34" s="283"/>
      <c r="I34" s="283"/>
      <c r="J34" s="283"/>
      <c r="K34" s="286"/>
      <c r="L34" s="286"/>
      <c r="M34" s="286"/>
      <c r="N34" s="286"/>
      <c r="O34" s="286"/>
      <c r="P34" s="286"/>
      <c r="Q34" s="286"/>
      <c r="AI34" s="265"/>
      <c r="AJ34" s="265"/>
      <c r="AK34" s="265"/>
      <c r="AL34" s="265"/>
      <c r="AM34" s="265"/>
      <c r="AN34" s="265"/>
      <c r="AO34" s="265"/>
      <c r="AP34" s="265"/>
      <c r="AQ34" s="265"/>
      <c r="AS34" s="265"/>
      <c r="AT34" s="265"/>
      <c r="AU34" s="265"/>
      <c r="AV34" s="265"/>
      <c r="AW34" s="265"/>
      <c r="AX34" s="265"/>
      <c r="AY34" s="265"/>
      <c r="AZ34" s="265"/>
      <c r="BA34" s="265"/>
      <c r="BB34" s="265"/>
    </row>
    <row r="35" spans="1:54" s="167" customFormat="1" ht="21.95" customHeight="1">
      <c r="A35" s="169"/>
      <c r="B35" s="290" t="s">
        <v>54</v>
      </c>
      <c r="C35" s="283">
        <v>90</v>
      </c>
      <c r="D35" s="283">
        <v>88</v>
      </c>
      <c r="E35" s="283">
        <v>86</v>
      </c>
      <c r="F35" s="283">
        <v>90</v>
      </c>
      <c r="G35" s="283">
        <v>71</v>
      </c>
      <c r="H35" s="283"/>
      <c r="I35" s="283"/>
      <c r="J35" s="283"/>
      <c r="K35" s="286"/>
      <c r="L35" s="286"/>
      <c r="M35" s="286"/>
      <c r="N35" s="286"/>
      <c r="O35" s="286"/>
      <c r="P35" s="286"/>
      <c r="Q35" s="286"/>
      <c r="AI35" s="265"/>
      <c r="AJ35" s="265"/>
      <c r="AK35" s="265"/>
      <c r="AL35" s="265"/>
      <c r="AM35" s="265"/>
      <c r="AN35" s="265"/>
      <c r="AO35" s="265"/>
      <c r="AP35" s="265"/>
      <c r="AQ35" s="265"/>
      <c r="AS35" s="265"/>
      <c r="AT35" s="265"/>
      <c r="AU35" s="265"/>
      <c r="AV35" s="265"/>
      <c r="AW35" s="265"/>
      <c r="AX35" s="265"/>
      <c r="AY35" s="265"/>
      <c r="AZ35" s="265"/>
      <c r="BA35" s="265"/>
      <c r="BB35" s="265"/>
    </row>
    <row r="36" spans="1:54" s="167" customFormat="1">
      <c r="A36" s="169"/>
      <c r="B36" s="291" t="s">
        <v>66</v>
      </c>
      <c r="C36" s="286">
        <v>92</v>
      </c>
      <c r="D36" s="286">
        <v>90</v>
      </c>
      <c r="E36" s="286">
        <v>87</v>
      </c>
      <c r="F36" s="286">
        <v>92</v>
      </c>
      <c r="G36" s="286">
        <v>80</v>
      </c>
      <c r="H36" s="286"/>
      <c r="I36" s="286"/>
      <c r="J36" s="286"/>
      <c r="K36" s="286"/>
      <c r="L36" s="286"/>
      <c r="M36" s="286"/>
      <c r="N36" s="286"/>
      <c r="O36" s="286"/>
      <c r="P36" s="286"/>
      <c r="Q36" s="286"/>
      <c r="AI36" s="265"/>
      <c r="AJ36" s="265"/>
      <c r="AK36" s="265"/>
      <c r="AL36" s="265"/>
      <c r="AM36" s="265"/>
      <c r="AN36" s="265"/>
      <c r="AO36" s="265"/>
      <c r="AP36" s="265"/>
      <c r="AQ36" s="265"/>
      <c r="AS36" s="265"/>
      <c r="AT36" s="265"/>
      <c r="AU36" s="265"/>
      <c r="AV36" s="265"/>
      <c r="AW36" s="265"/>
      <c r="AX36" s="265"/>
      <c r="AY36" s="265"/>
      <c r="AZ36" s="265"/>
      <c r="BA36" s="265"/>
      <c r="BB36" s="265"/>
    </row>
    <row r="37" spans="1:54" s="167" customFormat="1">
      <c r="A37" s="169"/>
      <c r="B37" s="291" t="s">
        <v>158</v>
      </c>
      <c r="C37" s="292">
        <v>84</v>
      </c>
      <c r="D37" s="292">
        <v>83</v>
      </c>
      <c r="E37" s="292">
        <v>82</v>
      </c>
      <c r="F37" s="292">
        <v>87</v>
      </c>
      <c r="G37" s="292">
        <v>75</v>
      </c>
      <c r="H37" s="292"/>
      <c r="I37" s="292"/>
      <c r="J37" s="292"/>
      <c r="K37" s="292"/>
      <c r="L37" s="292"/>
      <c r="M37" s="292"/>
      <c r="N37" s="292"/>
      <c r="O37" s="292"/>
      <c r="P37" s="292"/>
      <c r="Q37" s="292"/>
      <c r="AI37" s="265"/>
      <c r="AJ37" s="265"/>
      <c r="AK37" s="265"/>
      <c r="AL37" s="265"/>
      <c r="AM37" s="265"/>
      <c r="AN37" s="265"/>
      <c r="AO37" s="265"/>
      <c r="AP37" s="265"/>
      <c r="AQ37" s="265"/>
      <c r="AS37" s="265"/>
      <c r="AT37" s="265"/>
      <c r="AU37" s="265"/>
      <c r="AV37" s="265"/>
      <c r="AW37" s="265"/>
      <c r="AX37" s="265"/>
      <c r="AY37" s="265"/>
      <c r="AZ37" s="265"/>
      <c r="BA37" s="265"/>
      <c r="BB37" s="265"/>
    </row>
    <row r="38" spans="1:54" s="167" customFormat="1">
      <c r="A38" s="169"/>
      <c r="B38" s="291" t="s">
        <v>189</v>
      </c>
      <c r="C38" s="292">
        <v>83</v>
      </c>
      <c r="D38" s="292">
        <v>83</v>
      </c>
      <c r="E38" s="292">
        <v>83</v>
      </c>
      <c r="F38" s="292">
        <v>83</v>
      </c>
      <c r="G38" s="292">
        <v>83</v>
      </c>
      <c r="H38" s="292"/>
      <c r="I38" s="292"/>
      <c r="J38" s="292"/>
      <c r="K38" s="292"/>
      <c r="L38" s="292"/>
      <c r="M38" s="292"/>
      <c r="N38" s="292"/>
      <c r="O38" s="292"/>
      <c r="P38" s="292"/>
      <c r="Q38" s="292"/>
      <c r="AI38" s="293"/>
      <c r="AJ38" s="293"/>
      <c r="AK38" s="293"/>
      <c r="AL38" s="293"/>
      <c r="AM38" s="293"/>
      <c r="AN38" s="265"/>
      <c r="AO38" s="265"/>
      <c r="AP38" s="265"/>
      <c r="AQ38" s="265"/>
      <c r="AS38" s="265"/>
      <c r="AT38" s="265"/>
      <c r="AU38" s="265"/>
      <c r="AV38" s="265"/>
      <c r="AW38" s="265"/>
      <c r="AX38" s="265"/>
      <c r="AY38" s="265"/>
      <c r="AZ38" s="265"/>
      <c r="BA38" s="265"/>
      <c r="BB38" s="265"/>
    </row>
    <row r="39" spans="1:54" s="167" customFormat="1" ht="15" thickBot="1">
      <c r="A39" s="169"/>
      <c r="B39" s="291" t="s">
        <v>345</v>
      </c>
      <c r="C39" s="292">
        <v>48</v>
      </c>
      <c r="D39" s="292">
        <v>233</v>
      </c>
      <c r="E39" s="292">
        <v>187</v>
      </c>
      <c r="F39" s="292">
        <v>66</v>
      </c>
      <c r="G39" s="292">
        <v>10</v>
      </c>
      <c r="H39" s="292"/>
      <c r="I39" s="292"/>
      <c r="J39" s="292"/>
      <c r="K39" s="292"/>
      <c r="L39" s="292"/>
      <c r="M39" s="292"/>
      <c r="N39" s="292"/>
      <c r="O39" s="292"/>
      <c r="P39" s="292"/>
      <c r="Q39" s="292"/>
      <c r="AI39" s="265"/>
      <c r="AJ39" s="265"/>
      <c r="AK39" s="265"/>
      <c r="AL39" s="265"/>
      <c r="AM39" s="265"/>
      <c r="AN39" s="265"/>
      <c r="AO39" s="265"/>
      <c r="AP39" s="265"/>
      <c r="AQ39" s="265"/>
      <c r="AS39" s="265"/>
      <c r="AT39" s="265"/>
      <c r="AU39" s="265"/>
      <c r="AV39" s="265"/>
      <c r="AW39" s="265"/>
      <c r="AX39" s="265"/>
      <c r="AY39" s="265"/>
      <c r="AZ39" s="265"/>
      <c r="BA39" s="265"/>
      <c r="BB39" s="265"/>
    </row>
    <row r="40" spans="1:54" s="167" customFormat="1">
      <c r="A40" s="266"/>
      <c r="B40" s="294" t="s">
        <v>166</v>
      </c>
      <c r="C40" s="295">
        <f>IF(OR(C43="**",C43=""),"",VALUE(C43))</f>
        <v>81</v>
      </c>
      <c r="D40" s="295">
        <f t="shared" ref="D40:J40" si="1">IF(OR(D43="**",D43=""),"",VALUE(D43))</f>
        <v>77</v>
      </c>
      <c r="E40" s="295">
        <f t="shared" si="1"/>
        <v>75</v>
      </c>
      <c r="F40" s="295">
        <f t="shared" si="1"/>
        <v>83</v>
      </c>
      <c r="G40" s="295">
        <f t="shared" si="1"/>
        <v>84</v>
      </c>
      <c r="H40" s="295" t="str">
        <f t="shared" si="1"/>
        <v/>
      </c>
      <c r="I40" s="295" t="str">
        <f t="shared" si="1"/>
        <v/>
      </c>
      <c r="J40" s="295" t="str">
        <f t="shared" si="1"/>
        <v/>
      </c>
      <c r="K40" s="183"/>
      <c r="L40" s="183"/>
      <c r="M40" s="183"/>
      <c r="N40" s="183"/>
      <c r="O40" s="183"/>
      <c r="P40" s="183"/>
      <c r="Q40" s="183"/>
      <c r="AI40" s="265"/>
      <c r="AJ40" s="265"/>
      <c r="AK40" s="265"/>
      <c r="AL40" s="265"/>
      <c r="AM40" s="265"/>
      <c r="AN40" s="265"/>
      <c r="AO40" s="265"/>
      <c r="AP40" s="265"/>
      <c r="AQ40" s="265"/>
      <c r="AS40" s="265"/>
      <c r="AT40" s="265"/>
      <c r="AU40" s="265"/>
      <c r="AV40" s="265"/>
      <c r="AW40" s="265"/>
      <c r="AX40" s="265"/>
      <c r="AY40" s="265"/>
      <c r="AZ40" s="265"/>
      <c r="BA40" s="265"/>
      <c r="BB40" s="265"/>
    </row>
    <row r="41" spans="1:54" s="167" customFormat="1" ht="15" thickBot="1">
      <c r="A41" s="266"/>
      <c r="B41" s="296" t="s">
        <v>165</v>
      </c>
      <c r="C41" s="297">
        <f t="shared" ref="C41:J41" si="2">IF(OR(C37="**",C37=""),"",VALUE(C37))</f>
        <v>84</v>
      </c>
      <c r="D41" s="297">
        <f t="shared" si="2"/>
        <v>83</v>
      </c>
      <c r="E41" s="297">
        <f t="shared" si="2"/>
        <v>82</v>
      </c>
      <c r="F41" s="297">
        <f t="shared" si="2"/>
        <v>87</v>
      </c>
      <c r="G41" s="297">
        <f t="shared" si="2"/>
        <v>75</v>
      </c>
      <c r="H41" s="297" t="str">
        <f t="shared" si="2"/>
        <v/>
      </c>
      <c r="I41" s="297" t="str">
        <f t="shared" si="2"/>
        <v/>
      </c>
      <c r="J41" s="297" t="str">
        <f t="shared" si="2"/>
        <v/>
      </c>
      <c r="K41" s="260"/>
      <c r="L41" s="260"/>
      <c r="M41" s="260"/>
      <c r="N41" s="260"/>
      <c r="O41" s="260"/>
      <c r="P41" s="260"/>
      <c r="Q41" s="260"/>
      <c r="AI41" s="260"/>
      <c r="AJ41" s="260"/>
      <c r="AK41" s="260"/>
      <c r="AL41" s="260"/>
      <c r="AM41" s="260"/>
      <c r="AN41" s="260"/>
      <c r="AO41" s="260"/>
      <c r="AP41" s="260"/>
      <c r="AQ41" s="265"/>
      <c r="AR41" s="265"/>
      <c r="AS41" s="265"/>
      <c r="AT41" s="265"/>
      <c r="AU41" s="265"/>
      <c r="AV41" s="265"/>
      <c r="AW41" s="265"/>
      <c r="AX41" s="265"/>
      <c r="AY41" s="265"/>
      <c r="AZ41" s="265"/>
      <c r="BA41" s="265"/>
      <c r="BB41" s="265"/>
    </row>
    <row r="42" spans="1:54" s="167" customFormat="1">
      <c r="A42" s="169"/>
      <c r="B42" s="298" t="s">
        <v>385</v>
      </c>
      <c r="C42" s="195" t="s">
        <v>407</v>
      </c>
      <c r="D42" s="195" t="s">
        <v>408</v>
      </c>
      <c r="E42" s="195" t="s">
        <v>210</v>
      </c>
      <c r="F42" s="195" t="s">
        <v>409</v>
      </c>
      <c r="G42" s="195" t="s">
        <v>410</v>
      </c>
      <c r="H42" s="195"/>
      <c r="I42" s="195"/>
      <c r="J42" s="195"/>
      <c r="K42" s="264"/>
      <c r="L42" s="264"/>
      <c r="M42" s="264"/>
      <c r="N42" s="264"/>
      <c r="O42" s="264"/>
      <c r="P42" s="264"/>
      <c r="Q42" s="264"/>
      <c r="AI42" s="265"/>
      <c r="AJ42" s="265"/>
      <c r="AK42" s="265"/>
      <c r="AL42" s="265"/>
      <c r="AM42" s="265"/>
      <c r="AN42" s="265"/>
      <c r="AO42" s="265"/>
      <c r="AP42" s="265"/>
      <c r="AQ42" s="265"/>
      <c r="AR42" s="265"/>
      <c r="AS42" s="265"/>
      <c r="AT42" s="265"/>
      <c r="AU42" s="265"/>
      <c r="AV42" s="265"/>
      <c r="AW42" s="265"/>
      <c r="AX42" s="265"/>
      <c r="AY42" s="265"/>
      <c r="AZ42" s="265"/>
      <c r="BA42" s="265"/>
      <c r="BB42" s="265"/>
    </row>
    <row r="43" spans="1:54" s="167" customFormat="1">
      <c r="A43" s="169"/>
      <c r="B43" s="291" t="s">
        <v>158</v>
      </c>
      <c r="C43" s="258">
        <v>81</v>
      </c>
      <c r="D43" s="258">
        <v>77</v>
      </c>
      <c r="E43" s="258">
        <v>75</v>
      </c>
      <c r="F43" s="258">
        <v>83</v>
      </c>
      <c r="G43" s="258">
        <v>84</v>
      </c>
      <c r="H43" s="258"/>
      <c r="I43" s="258"/>
      <c r="J43" s="258"/>
      <c r="K43" s="264"/>
      <c r="L43" s="264"/>
      <c r="M43" s="264"/>
      <c r="N43" s="264"/>
      <c r="O43" s="264"/>
      <c r="P43" s="264"/>
      <c r="Q43" s="264"/>
      <c r="AI43" s="265"/>
      <c r="AJ43" s="265"/>
      <c r="AK43" s="265"/>
      <c r="AL43" s="265"/>
      <c r="AM43" s="265"/>
      <c r="AN43" s="265"/>
      <c r="AO43" s="265"/>
      <c r="AP43" s="265"/>
      <c r="AQ43" s="265"/>
      <c r="AR43" s="265"/>
      <c r="AS43" s="265"/>
      <c r="AT43" s="265"/>
      <c r="AU43" s="265"/>
      <c r="AV43" s="265"/>
      <c r="AW43" s="265"/>
      <c r="AX43" s="265"/>
      <c r="AY43" s="265"/>
      <c r="AZ43" s="265"/>
      <c r="BA43" s="265"/>
      <c r="BB43" s="265"/>
    </row>
    <row r="44" spans="1:54" s="167" customFormat="1">
      <c r="A44" s="169"/>
      <c r="B44" s="298" t="s">
        <v>345</v>
      </c>
      <c r="C44" s="258">
        <v>29</v>
      </c>
      <c r="D44" s="258">
        <v>195</v>
      </c>
      <c r="E44" s="258">
        <v>153</v>
      </c>
      <c r="F44" s="258">
        <v>56</v>
      </c>
      <c r="G44" s="258">
        <v>10</v>
      </c>
      <c r="H44" s="258"/>
      <c r="I44" s="258"/>
      <c r="J44" s="258"/>
      <c r="K44" s="264"/>
      <c r="L44" s="264"/>
      <c r="M44" s="264"/>
      <c r="N44" s="264"/>
      <c r="O44" s="264"/>
      <c r="P44" s="264"/>
      <c r="Q44" s="264"/>
      <c r="AI44" s="265"/>
      <c r="AJ44" s="265"/>
      <c r="AK44" s="265"/>
      <c r="AL44" s="265"/>
      <c r="AM44" s="265"/>
      <c r="AN44" s="265"/>
      <c r="AO44" s="265"/>
      <c r="AP44" s="265"/>
      <c r="AQ44" s="265"/>
      <c r="AR44" s="265"/>
      <c r="AS44" s="265"/>
      <c r="AT44" s="265"/>
      <c r="AU44" s="265"/>
      <c r="AV44" s="265"/>
      <c r="AW44" s="265"/>
      <c r="AX44" s="265"/>
      <c r="AY44" s="265"/>
      <c r="AZ44" s="265"/>
      <c r="BA44" s="265"/>
      <c r="BB44" s="265"/>
    </row>
    <row r="45" spans="1:54" s="167" customFormat="1">
      <c r="A45" s="169"/>
      <c r="B45" s="271"/>
      <c r="C45" s="258"/>
      <c r="D45" s="258"/>
      <c r="E45" s="258"/>
      <c r="F45" s="258"/>
      <c r="G45" s="258"/>
      <c r="H45" s="258"/>
      <c r="I45" s="258"/>
      <c r="J45" s="258"/>
      <c r="K45" s="264"/>
      <c r="L45" s="264"/>
      <c r="M45" s="264"/>
      <c r="N45" s="264"/>
      <c r="O45" s="264"/>
      <c r="P45" s="264"/>
      <c r="Q45" s="264"/>
      <c r="AI45" s="265"/>
      <c r="AJ45" s="265"/>
      <c r="AK45" s="265"/>
      <c r="AL45" s="265"/>
      <c r="AM45" s="265"/>
      <c r="AN45" s="265"/>
      <c r="AO45" s="265"/>
      <c r="AP45" s="265"/>
      <c r="AQ45" s="265"/>
      <c r="AR45" s="265"/>
      <c r="AS45" s="265"/>
      <c r="AT45" s="265"/>
      <c r="AU45" s="265"/>
      <c r="AV45" s="265"/>
      <c r="AW45" s="265"/>
      <c r="AX45" s="265"/>
      <c r="AY45" s="265"/>
      <c r="AZ45" s="265"/>
      <c r="BA45" s="265"/>
      <c r="BB45" s="265"/>
    </row>
    <row r="46" spans="1:54" s="167" customFormat="1">
      <c r="A46" s="169"/>
      <c r="B46" s="271"/>
      <c r="C46" s="258"/>
      <c r="D46" s="258"/>
      <c r="E46" s="258"/>
      <c r="F46" s="258"/>
      <c r="G46" s="258"/>
      <c r="H46" s="258"/>
      <c r="I46" s="258"/>
      <c r="J46" s="258"/>
      <c r="K46" s="264"/>
      <c r="L46" s="264"/>
      <c r="M46" s="264"/>
      <c r="N46" s="264"/>
      <c r="O46" s="264"/>
      <c r="P46" s="264"/>
      <c r="Q46" s="264"/>
      <c r="AI46" s="265"/>
      <c r="AJ46" s="265"/>
      <c r="AK46" s="265"/>
      <c r="AL46" s="265"/>
      <c r="AM46" s="265"/>
      <c r="AN46" s="265"/>
      <c r="AO46" s="265"/>
      <c r="AP46" s="265"/>
      <c r="AQ46" s="265"/>
      <c r="AR46" s="265"/>
      <c r="AS46" s="265"/>
      <c r="AT46" s="265"/>
      <c r="AU46" s="265"/>
      <c r="AV46" s="265"/>
      <c r="AW46" s="265"/>
      <c r="AX46" s="265"/>
      <c r="AY46" s="265"/>
      <c r="AZ46" s="265"/>
      <c r="BA46" s="265"/>
      <c r="BB46" s="265"/>
    </row>
    <row r="47" spans="1:54" s="167" customFormat="1">
      <c r="A47" s="169"/>
      <c r="B47" s="271"/>
      <c r="C47" s="258"/>
      <c r="D47" s="258"/>
      <c r="E47" s="258"/>
      <c r="F47" s="258"/>
      <c r="G47" s="258"/>
      <c r="H47" s="258"/>
      <c r="I47" s="258"/>
      <c r="J47" s="258"/>
      <c r="K47" s="264"/>
      <c r="L47" s="264"/>
      <c r="M47" s="264"/>
      <c r="N47" s="264"/>
      <c r="O47" s="264"/>
      <c r="P47" s="264"/>
      <c r="Q47" s="264"/>
      <c r="AI47" s="265"/>
      <c r="AJ47" s="265"/>
      <c r="AK47" s="265"/>
      <c r="AL47" s="265"/>
      <c r="AM47" s="265"/>
      <c r="AN47" s="265"/>
      <c r="AO47" s="265"/>
      <c r="AP47" s="265"/>
      <c r="AQ47" s="265"/>
      <c r="AR47" s="265"/>
      <c r="AS47" s="265"/>
      <c r="AT47" s="265"/>
      <c r="AU47" s="265"/>
      <c r="AV47" s="265"/>
      <c r="AW47" s="265"/>
      <c r="AX47" s="265"/>
      <c r="AY47" s="265"/>
      <c r="AZ47" s="265"/>
      <c r="BA47" s="265"/>
      <c r="BB47" s="265"/>
    </row>
    <row r="48" spans="1:54" s="167" customFormat="1" ht="18" customHeight="1">
      <c r="A48" s="169"/>
      <c r="B48" s="271"/>
      <c r="C48" s="258"/>
      <c r="D48" s="258"/>
      <c r="E48" s="258"/>
      <c r="F48" s="258"/>
      <c r="G48" s="258"/>
      <c r="H48" s="258"/>
      <c r="I48" s="258"/>
      <c r="J48" s="258"/>
      <c r="K48" s="264"/>
      <c r="L48" s="264"/>
      <c r="M48" s="264"/>
      <c r="N48" s="264"/>
      <c r="O48" s="264"/>
      <c r="P48" s="264"/>
      <c r="Q48" s="264"/>
      <c r="AI48" s="265"/>
      <c r="AJ48" s="265"/>
      <c r="AK48" s="265"/>
      <c r="AL48" s="265"/>
      <c r="AM48" s="265"/>
      <c r="AN48" s="265"/>
      <c r="AO48" s="265"/>
      <c r="AP48" s="265"/>
      <c r="AQ48" s="265"/>
      <c r="AR48" s="265"/>
      <c r="AS48" s="265"/>
      <c r="AT48" s="265"/>
      <c r="AU48" s="265"/>
      <c r="AV48" s="265"/>
      <c r="AW48" s="265"/>
      <c r="AX48" s="265"/>
      <c r="AY48" s="265"/>
      <c r="AZ48" s="265"/>
      <c r="BA48" s="265"/>
      <c r="BB48" s="265"/>
    </row>
    <row r="49" spans="1:55" s="167" customFormat="1" ht="18" customHeight="1">
      <c r="A49" s="266" t="s">
        <v>183</v>
      </c>
      <c r="B49" s="271"/>
      <c r="C49" s="258"/>
      <c r="D49" s="258"/>
      <c r="E49" s="258"/>
      <c r="F49" s="258"/>
      <c r="G49" s="258"/>
      <c r="H49" s="258"/>
      <c r="I49" s="258"/>
      <c r="J49" s="258"/>
      <c r="K49" s="264"/>
      <c r="L49" s="264"/>
      <c r="M49" s="264"/>
      <c r="N49" s="264"/>
      <c r="O49" s="264"/>
      <c r="P49" s="264"/>
      <c r="Q49" s="264"/>
      <c r="AI49" s="265"/>
      <c r="AJ49" s="265"/>
      <c r="AK49" s="265"/>
      <c r="AL49" s="265"/>
      <c r="AM49" s="265"/>
      <c r="AN49" s="265"/>
      <c r="AO49" s="265"/>
      <c r="AP49" s="265"/>
      <c r="AQ49" s="265"/>
      <c r="AR49" s="265"/>
      <c r="AS49" s="265"/>
      <c r="AT49" s="265"/>
      <c r="AU49" s="265"/>
      <c r="AV49" s="265"/>
      <c r="AW49" s="265"/>
      <c r="AX49" s="265"/>
      <c r="AY49" s="265"/>
      <c r="AZ49" s="265"/>
      <c r="BA49" s="265"/>
      <c r="BB49" s="265"/>
      <c r="BC49" s="265"/>
    </row>
    <row r="50" spans="1:55" s="167" customFormat="1" ht="18" customHeight="1">
      <c r="A50" s="266">
        <v>2</v>
      </c>
      <c r="B50" s="271"/>
      <c r="C50" s="258"/>
      <c r="D50" s="258"/>
      <c r="E50" s="258"/>
      <c r="F50" s="258"/>
      <c r="G50" s="258"/>
      <c r="H50" s="258"/>
      <c r="I50" s="258"/>
      <c r="J50" s="258"/>
      <c r="K50" s="264"/>
      <c r="L50" s="264"/>
      <c r="M50" s="264"/>
      <c r="N50" s="264"/>
      <c r="O50" s="264"/>
      <c r="P50" s="264"/>
      <c r="Q50" s="264"/>
      <c r="AI50" s="265"/>
      <c r="AJ50" s="265"/>
      <c r="AK50" s="265"/>
      <c r="AL50" s="265"/>
      <c r="AM50" s="265"/>
      <c r="AN50" s="265"/>
      <c r="AO50" s="265"/>
      <c r="AP50" s="265"/>
      <c r="AQ50" s="265"/>
      <c r="AR50" s="265"/>
      <c r="AS50" s="265"/>
      <c r="AT50" s="265"/>
      <c r="AU50" s="265"/>
      <c r="AV50" s="265"/>
      <c r="AW50" s="265"/>
      <c r="AX50" s="265"/>
      <c r="AY50" s="265"/>
      <c r="AZ50" s="265"/>
      <c r="BA50" s="265"/>
      <c r="BB50" s="265"/>
      <c r="BC50" s="265"/>
    </row>
    <row r="51" spans="1:55" s="167" customFormat="1" ht="18" customHeight="1">
      <c r="A51" s="266"/>
      <c r="B51" s="271"/>
      <c r="C51" s="258"/>
      <c r="D51" s="258"/>
      <c r="E51" s="258"/>
      <c r="F51" s="258"/>
      <c r="G51" s="258"/>
      <c r="H51" s="258"/>
      <c r="I51" s="258"/>
      <c r="J51" s="258"/>
      <c r="K51" s="264"/>
      <c r="L51" s="264"/>
      <c r="M51" s="264"/>
      <c r="N51" s="264"/>
      <c r="O51" s="264"/>
      <c r="P51" s="264"/>
      <c r="Q51" s="264"/>
      <c r="AI51" s="265"/>
      <c r="AJ51" s="265"/>
      <c r="AK51" s="265"/>
      <c r="AL51" s="265"/>
      <c r="AM51" s="265"/>
      <c r="AN51" s="265"/>
      <c r="AO51" s="265"/>
      <c r="AP51" s="265"/>
      <c r="AQ51" s="265"/>
      <c r="AR51" s="265"/>
      <c r="AS51" s="265"/>
      <c r="AT51" s="265"/>
      <c r="AU51" s="265"/>
      <c r="AV51" s="265"/>
      <c r="AW51" s="265"/>
      <c r="AX51" s="265"/>
      <c r="AY51" s="265"/>
      <c r="AZ51" s="265"/>
      <c r="BA51" s="265"/>
      <c r="BB51" s="265"/>
      <c r="BC51" s="265"/>
    </row>
    <row r="52" spans="1:55" s="167" customFormat="1" ht="18" customHeight="1">
      <c r="A52" s="266"/>
      <c r="B52" s="271"/>
      <c r="C52" s="258"/>
      <c r="D52" s="258"/>
      <c r="E52" s="258"/>
      <c r="F52" s="258"/>
      <c r="G52" s="258"/>
      <c r="H52" s="258"/>
      <c r="I52" s="258"/>
      <c r="J52" s="258"/>
      <c r="K52" s="264"/>
      <c r="L52" s="264"/>
      <c r="M52" s="264"/>
      <c r="N52" s="264"/>
      <c r="O52" s="264"/>
      <c r="P52" s="264"/>
      <c r="Q52" s="264"/>
      <c r="AI52" s="265"/>
      <c r="AJ52" s="265"/>
      <c r="AK52" s="265"/>
      <c r="AL52" s="265"/>
      <c r="AM52" s="265"/>
      <c r="AN52" s="265"/>
      <c r="AO52" s="265"/>
      <c r="AP52" s="265"/>
      <c r="AQ52" s="265"/>
      <c r="AR52" s="265"/>
      <c r="AS52" s="265"/>
      <c r="AT52" s="265"/>
      <c r="AU52" s="265"/>
      <c r="AV52" s="265"/>
      <c r="AW52" s="265"/>
      <c r="AX52" s="265"/>
      <c r="AY52" s="265"/>
      <c r="AZ52" s="265"/>
      <c r="BA52" s="265"/>
      <c r="BB52" s="265"/>
      <c r="BC52" s="265"/>
    </row>
    <row r="53" spans="1:55" s="167" customFormat="1" ht="18" customHeight="1">
      <c r="A53" s="266"/>
      <c r="B53" s="271"/>
      <c r="C53" s="258"/>
      <c r="D53" s="258"/>
      <c r="E53" s="258"/>
      <c r="F53" s="258"/>
      <c r="G53" s="258"/>
      <c r="H53" s="258"/>
      <c r="I53" s="258"/>
      <c r="J53" s="258"/>
      <c r="K53" s="264"/>
      <c r="L53" s="264"/>
      <c r="M53" s="264"/>
      <c r="N53" s="264"/>
      <c r="O53" s="264"/>
      <c r="P53" s="264"/>
      <c r="Q53" s="264"/>
      <c r="AI53" s="265"/>
      <c r="AJ53" s="265"/>
      <c r="AK53" s="265"/>
      <c r="AL53" s="265"/>
      <c r="AM53" s="265"/>
      <c r="AN53" s="265"/>
      <c r="AO53" s="265"/>
      <c r="AP53" s="265"/>
      <c r="AQ53" s="265"/>
      <c r="AR53" s="265"/>
      <c r="AS53" s="265"/>
      <c r="AT53" s="265"/>
      <c r="AU53" s="265"/>
      <c r="AV53" s="265"/>
      <c r="AW53" s="265"/>
      <c r="AX53" s="265"/>
      <c r="AY53" s="265"/>
      <c r="AZ53" s="265"/>
      <c r="BA53" s="265"/>
      <c r="BB53" s="265"/>
      <c r="BC53" s="265"/>
    </row>
    <row r="54" spans="1:55" s="167" customFormat="1" ht="18" customHeight="1">
      <c r="A54" s="266"/>
      <c r="B54" s="271"/>
      <c r="C54" s="258"/>
      <c r="D54" s="258"/>
      <c r="E54" s="258"/>
      <c r="F54" s="258"/>
      <c r="G54" s="258"/>
      <c r="H54" s="258"/>
      <c r="I54" s="258"/>
      <c r="J54" s="258"/>
      <c r="K54" s="264"/>
      <c r="L54" s="264"/>
      <c r="M54" s="264"/>
      <c r="N54" s="264"/>
      <c r="O54" s="264"/>
      <c r="P54" s="264"/>
      <c r="Q54" s="264"/>
      <c r="AI54" s="265"/>
      <c r="AJ54" s="265"/>
      <c r="AK54" s="265"/>
      <c r="AL54" s="265"/>
      <c r="AM54" s="265"/>
      <c r="AN54" s="265"/>
      <c r="AO54" s="265"/>
      <c r="AP54" s="265"/>
      <c r="AQ54" s="265"/>
      <c r="AR54" s="265"/>
      <c r="AS54" s="265"/>
      <c r="AT54" s="265"/>
      <c r="AU54" s="265"/>
      <c r="AV54" s="265"/>
      <c r="AW54" s="265"/>
      <c r="AX54" s="265"/>
      <c r="AY54" s="265"/>
      <c r="AZ54" s="265"/>
      <c r="BA54" s="265"/>
      <c r="BB54" s="265"/>
      <c r="BC54" s="265"/>
    </row>
    <row r="55" spans="1:55" s="167" customFormat="1" ht="18" customHeight="1">
      <c r="A55" s="266"/>
      <c r="B55" s="271"/>
      <c r="C55" s="258"/>
      <c r="D55" s="258"/>
      <c r="E55" s="258"/>
      <c r="F55" s="258"/>
      <c r="G55" s="258"/>
      <c r="H55" s="258"/>
      <c r="I55" s="258"/>
      <c r="J55" s="258"/>
      <c r="K55" s="264"/>
      <c r="L55" s="264"/>
      <c r="M55" s="264"/>
      <c r="N55" s="264"/>
      <c r="O55" s="264"/>
      <c r="P55" s="264"/>
      <c r="Q55" s="264"/>
      <c r="AI55" s="265"/>
      <c r="AJ55" s="265"/>
      <c r="AK55" s="265"/>
      <c r="AL55" s="265"/>
      <c r="AM55" s="265"/>
      <c r="AN55" s="265"/>
      <c r="AO55" s="265"/>
      <c r="AP55" s="265"/>
      <c r="AQ55" s="265"/>
      <c r="AR55" s="265"/>
      <c r="AS55" s="265"/>
      <c r="AT55" s="265"/>
      <c r="AU55" s="265"/>
      <c r="AV55" s="265"/>
      <c r="AW55" s="265"/>
      <c r="AX55" s="265"/>
      <c r="AY55" s="265"/>
      <c r="AZ55" s="265"/>
      <c r="BA55" s="265"/>
      <c r="BB55" s="265"/>
      <c r="BC55" s="265"/>
    </row>
    <row r="56" spans="1:55" s="167" customFormat="1" ht="18" customHeight="1">
      <c r="A56" s="266"/>
      <c r="B56" s="271"/>
      <c r="C56" s="258"/>
      <c r="D56" s="258"/>
      <c r="E56" s="258"/>
      <c r="F56" s="258"/>
      <c r="G56" s="258"/>
      <c r="H56" s="258"/>
      <c r="I56" s="258"/>
      <c r="J56" s="258"/>
      <c r="K56" s="264"/>
      <c r="L56" s="264"/>
      <c r="M56" s="264"/>
      <c r="N56" s="264"/>
      <c r="O56" s="264"/>
      <c r="P56" s="264"/>
      <c r="Q56" s="264"/>
      <c r="AI56" s="265"/>
      <c r="AJ56" s="265"/>
      <c r="AK56" s="265"/>
      <c r="AL56" s="265"/>
      <c r="AM56" s="265"/>
      <c r="AN56" s="265"/>
      <c r="AO56" s="265"/>
      <c r="AP56" s="265"/>
      <c r="AQ56" s="265"/>
      <c r="AR56" s="265"/>
      <c r="AS56" s="265"/>
      <c r="AT56" s="265"/>
      <c r="AU56" s="265"/>
      <c r="AV56" s="265"/>
      <c r="AW56" s="265"/>
      <c r="AX56" s="265"/>
      <c r="AY56" s="265"/>
      <c r="AZ56" s="265"/>
      <c r="BA56" s="265"/>
      <c r="BB56" s="265"/>
      <c r="BC56" s="265"/>
    </row>
    <row r="57" spans="1:55" s="167" customFormat="1" ht="18" customHeight="1">
      <c r="A57" s="266"/>
      <c r="B57" s="271"/>
      <c r="C57" s="258"/>
      <c r="D57" s="258"/>
      <c r="E57" s="258"/>
      <c r="F57" s="258"/>
      <c r="G57" s="258"/>
      <c r="H57" s="258"/>
      <c r="I57" s="258"/>
      <c r="J57" s="258"/>
      <c r="K57" s="264"/>
      <c r="L57" s="264"/>
      <c r="M57" s="264"/>
      <c r="N57" s="264"/>
      <c r="O57" s="264"/>
      <c r="P57" s="264"/>
      <c r="Q57" s="264"/>
      <c r="AI57" s="265"/>
      <c r="AJ57" s="265"/>
      <c r="AK57" s="265"/>
      <c r="AL57" s="265"/>
      <c r="AM57" s="265"/>
      <c r="AN57" s="265"/>
      <c r="AO57" s="265"/>
      <c r="AP57" s="265"/>
      <c r="AQ57" s="265"/>
      <c r="AR57" s="265"/>
      <c r="AS57" s="265"/>
      <c r="AT57" s="265"/>
      <c r="AU57" s="265"/>
      <c r="AV57" s="265"/>
      <c r="AW57" s="265"/>
      <c r="AX57" s="265"/>
      <c r="AY57" s="265"/>
      <c r="AZ57" s="265"/>
      <c r="BA57" s="265"/>
      <c r="BB57" s="265"/>
      <c r="BC57" s="265"/>
    </row>
    <row r="58" spans="1:55" s="167" customFormat="1" ht="18" customHeight="1">
      <c r="A58" s="266"/>
      <c r="B58" s="271"/>
      <c r="C58" s="260"/>
      <c r="D58" s="260"/>
      <c r="E58" s="260"/>
      <c r="F58" s="260"/>
      <c r="G58" s="260"/>
      <c r="H58" s="260"/>
      <c r="I58" s="260"/>
      <c r="J58" s="260"/>
      <c r="K58" s="264"/>
      <c r="L58" s="264"/>
      <c r="M58" s="264"/>
      <c r="N58" s="264"/>
      <c r="O58" s="264"/>
      <c r="P58" s="264"/>
      <c r="Q58" s="264"/>
      <c r="AI58" s="265"/>
      <c r="AJ58" s="265"/>
      <c r="AK58" s="265"/>
      <c r="AL58" s="265"/>
      <c r="AM58" s="265"/>
      <c r="AN58" s="265"/>
      <c r="AO58" s="265"/>
      <c r="AP58" s="265"/>
      <c r="AQ58" s="265"/>
      <c r="AR58" s="265"/>
      <c r="AS58" s="265"/>
      <c r="AT58" s="265"/>
      <c r="AU58" s="265"/>
      <c r="AV58" s="265"/>
      <c r="AW58" s="265"/>
      <c r="AX58" s="265"/>
      <c r="AY58" s="265"/>
      <c r="AZ58" s="265"/>
      <c r="BA58" s="265"/>
      <c r="BB58" s="265"/>
      <c r="BC58" s="265"/>
    </row>
    <row r="59" spans="1:55" s="274" customFormat="1" ht="18" customHeight="1">
      <c r="A59" s="270">
        <f>A29+1</f>
        <v>2</v>
      </c>
      <c r="B59" s="271"/>
      <c r="C59" s="272" t="str">
        <f>IF($A$1 = 1, (IF("("&amp;C69&amp;")" ="()","","("&amp;C69&amp;")")), (IF("("&amp;C74&amp;")    ("&amp;C69&amp;")"="()    ()","","("&amp;C74&amp;")    ("&amp;C69&amp;")")))</f>
        <v>(236)    (274)</v>
      </c>
      <c r="D59" s="272" t="str">
        <f t="shared" ref="D59:J59" si="3">IF($A$1 = 1, (IF("("&amp;D69&amp;")" ="()","","("&amp;D69&amp;")")), (IF("("&amp;D74&amp;")    ("&amp;D69&amp;")"="()    ()","","("&amp;D74&amp;")    ("&amp;D69&amp;")")))</f>
        <v>(206)    (268)</v>
      </c>
      <c r="E59" s="272" t="str">
        <f t="shared" si="3"/>
        <v/>
      </c>
      <c r="F59" s="272" t="str">
        <f t="shared" si="3"/>
        <v/>
      </c>
      <c r="G59" s="272" t="str">
        <f t="shared" si="3"/>
        <v/>
      </c>
      <c r="H59" s="272" t="str">
        <f t="shared" si="3"/>
        <v/>
      </c>
      <c r="I59" s="272" t="str">
        <f t="shared" si="3"/>
        <v/>
      </c>
      <c r="J59" s="272" t="str">
        <f t="shared" si="3"/>
        <v/>
      </c>
      <c r="K59" s="273"/>
      <c r="L59" s="273"/>
      <c r="M59" s="273"/>
      <c r="N59" s="273"/>
      <c r="O59" s="273"/>
      <c r="P59" s="273"/>
      <c r="Q59" s="273"/>
      <c r="AI59" s="275"/>
      <c r="AJ59" s="275"/>
      <c r="AK59" s="275"/>
      <c r="AL59" s="275"/>
      <c r="AM59" s="275"/>
      <c r="AN59" s="275"/>
      <c r="AO59" s="275"/>
      <c r="AP59" s="275"/>
      <c r="AQ59" s="275"/>
      <c r="AR59" s="275"/>
      <c r="AS59" s="275"/>
      <c r="AT59" s="275"/>
      <c r="AU59" s="275"/>
      <c r="AV59" s="275"/>
      <c r="AW59" s="275"/>
      <c r="AX59" s="275"/>
      <c r="AY59" s="275"/>
      <c r="AZ59" s="275"/>
      <c r="BA59" s="275"/>
      <c r="BB59" s="275"/>
      <c r="BC59" s="275"/>
    </row>
    <row r="60" spans="1:55" s="280" customFormat="1" ht="59.1" customHeight="1">
      <c r="A60" s="276"/>
      <c r="B60" s="277"/>
      <c r="C60" s="278" t="s">
        <v>801</v>
      </c>
      <c r="D60" s="278" t="s">
        <v>802</v>
      </c>
      <c r="E60" s="278"/>
      <c r="F60" s="278"/>
      <c r="G60" s="278"/>
      <c r="H60" s="278"/>
      <c r="I60" s="278"/>
      <c r="J60" s="278"/>
      <c r="K60" s="279"/>
      <c r="L60" s="279"/>
      <c r="M60" s="279"/>
      <c r="N60" s="279"/>
      <c r="O60" s="279"/>
      <c r="P60" s="279"/>
      <c r="Q60" s="279"/>
      <c r="AI60" s="281"/>
      <c r="AJ60" s="281"/>
      <c r="AK60" s="281"/>
      <c r="AL60" s="281"/>
      <c r="AM60" s="281"/>
      <c r="AN60" s="281"/>
      <c r="AO60" s="281"/>
      <c r="AP60" s="281"/>
      <c r="AQ60" s="281"/>
      <c r="AS60" s="281"/>
      <c r="AT60" s="281"/>
      <c r="AU60" s="281"/>
      <c r="AV60" s="281"/>
      <c r="AW60" s="281"/>
      <c r="AX60" s="281"/>
      <c r="AY60" s="281"/>
      <c r="AZ60" s="281"/>
      <c r="BA60" s="281"/>
      <c r="BB60" s="281"/>
      <c r="BC60" s="281"/>
    </row>
    <row r="61" spans="1:55" s="167" customFormat="1" ht="21.95" customHeight="1">
      <c r="A61" s="266"/>
      <c r="B61" s="282" t="s">
        <v>3</v>
      </c>
      <c r="C61" s="283">
        <v>82</v>
      </c>
      <c r="D61" s="283">
        <v>84</v>
      </c>
      <c r="E61" s="283"/>
      <c r="F61" s="283"/>
      <c r="G61" s="283"/>
      <c r="H61" s="283"/>
      <c r="I61" s="283"/>
      <c r="J61" s="283"/>
      <c r="K61" s="284"/>
      <c r="L61" s="284"/>
      <c r="M61" s="284"/>
      <c r="N61" s="284"/>
      <c r="O61" s="284"/>
      <c r="P61" s="284"/>
      <c r="Q61" s="284"/>
      <c r="AI61" s="265"/>
      <c r="AJ61" s="265"/>
      <c r="AK61" s="265"/>
      <c r="AL61" s="265"/>
      <c r="AM61" s="265"/>
      <c r="AN61" s="265"/>
      <c r="AO61" s="265"/>
      <c r="AP61" s="265"/>
      <c r="AQ61" s="265"/>
      <c r="AS61" s="265"/>
      <c r="AT61" s="265"/>
      <c r="AU61" s="265"/>
      <c r="AV61" s="265"/>
      <c r="AW61" s="265"/>
      <c r="AX61" s="265"/>
      <c r="AY61" s="265"/>
      <c r="AZ61" s="265"/>
      <c r="BA61" s="265"/>
      <c r="BB61" s="265"/>
      <c r="BC61" s="265"/>
    </row>
    <row r="62" spans="1:55" s="167" customFormat="1" ht="21.95" customHeight="1">
      <c r="A62" s="266"/>
      <c r="B62" s="285" t="s">
        <v>18</v>
      </c>
      <c r="C62" s="283">
        <v>84</v>
      </c>
      <c r="D62" s="283">
        <v>86</v>
      </c>
      <c r="E62" s="283"/>
      <c r="F62" s="283"/>
      <c r="G62" s="283"/>
      <c r="H62" s="283"/>
      <c r="I62" s="283"/>
      <c r="J62" s="283"/>
      <c r="K62" s="286"/>
      <c r="L62" s="286"/>
      <c r="M62" s="286"/>
      <c r="N62" s="286"/>
      <c r="O62" s="286"/>
      <c r="P62" s="286"/>
      <c r="Q62" s="286"/>
      <c r="AI62" s="265"/>
      <c r="AJ62" s="265"/>
      <c r="AK62" s="265"/>
      <c r="AL62" s="265"/>
      <c r="AM62" s="265"/>
      <c r="AN62" s="265"/>
      <c r="AO62" s="265"/>
      <c r="AP62" s="265"/>
      <c r="AQ62" s="265"/>
      <c r="AS62" s="265"/>
      <c r="AT62" s="265"/>
      <c r="AU62" s="265"/>
      <c r="AV62" s="265"/>
      <c r="AW62" s="265"/>
      <c r="AX62" s="265"/>
      <c r="AY62" s="265"/>
      <c r="AZ62" s="265"/>
      <c r="BA62" s="265"/>
      <c r="BB62" s="265"/>
      <c r="BC62" s="265"/>
    </row>
    <row r="63" spans="1:55" s="167" customFormat="1" ht="21.95" customHeight="1">
      <c r="A63" s="169"/>
      <c r="B63" s="287" t="s">
        <v>32</v>
      </c>
      <c r="C63" s="283">
        <v>79</v>
      </c>
      <c r="D63" s="283">
        <v>78</v>
      </c>
      <c r="E63" s="283"/>
      <c r="F63" s="283"/>
      <c r="G63" s="283"/>
      <c r="H63" s="283"/>
      <c r="I63" s="283"/>
      <c r="J63" s="283"/>
      <c r="K63" s="286"/>
      <c r="L63" s="286"/>
      <c r="M63" s="286"/>
      <c r="N63" s="286"/>
      <c r="O63" s="286"/>
      <c r="P63" s="286"/>
      <c r="Q63" s="286"/>
      <c r="AI63" s="265"/>
      <c r="AJ63" s="265"/>
      <c r="AK63" s="265"/>
      <c r="AL63" s="265"/>
      <c r="AM63" s="265"/>
      <c r="AN63" s="265"/>
      <c r="AO63" s="265"/>
      <c r="AP63" s="265"/>
      <c r="AQ63" s="265"/>
      <c r="AS63" s="265"/>
      <c r="AT63" s="265"/>
      <c r="AU63" s="265"/>
      <c r="AV63" s="265"/>
      <c r="AW63" s="265"/>
      <c r="AX63" s="265"/>
      <c r="AY63" s="265"/>
      <c r="AZ63" s="265"/>
      <c r="BA63" s="265"/>
      <c r="BB63" s="265"/>
    </row>
    <row r="64" spans="1:55" s="167" customFormat="1" ht="21.95" customHeight="1">
      <c r="A64" s="169"/>
      <c r="B64" s="288" t="s">
        <v>45</v>
      </c>
      <c r="C64" s="283">
        <v>81</v>
      </c>
      <c r="D64" s="283">
        <v>82</v>
      </c>
      <c r="E64" s="283"/>
      <c r="F64" s="283"/>
      <c r="G64" s="283"/>
      <c r="H64" s="283"/>
      <c r="I64" s="283"/>
      <c r="J64" s="283"/>
      <c r="K64" s="286"/>
      <c r="L64" s="286"/>
      <c r="M64" s="286"/>
      <c r="N64" s="286"/>
      <c r="O64" s="286"/>
      <c r="P64" s="286"/>
      <c r="Q64" s="286"/>
      <c r="AI64" s="265"/>
      <c r="AJ64" s="265"/>
      <c r="AK64" s="265"/>
      <c r="AL64" s="265"/>
      <c r="AM64" s="265"/>
      <c r="AN64" s="265"/>
      <c r="AO64" s="265"/>
      <c r="AP64" s="265"/>
      <c r="AQ64" s="265"/>
      <c r="AS64" s="265"/>
      <c r="AT64" s="265"/>
      <c r="AU64" s="265"/>
      <c r="AV64" s="265"/>
      <c r="AW64" s="265"/>
      <c r="AX64" s="265"/>
      <c r="AY64" s="265"/>
      <c r="AZ64" s="265"/>
      <c r="BA64" s="265"/>
      <c r="BB64" s="265"/>
    </row>
    <row r="65" spans="1:55" s="167" customFormat="1" ht="21.95" customHeight="1">
      <c r="A65" s="169"/>
      <c r="B65" s="290" t="s">
        <v>54</v>
      </c>
      <c r="C65" s="283">
        <v>86</v>
      </c>
      <c r="D65" s="283">
        <v>89</v>
      </c>
      <c r="E65" s="283"/>
      <c r="F65" s="283"/>
      <c r="G65" s="283"/>
      <c r="H65" s="283"/>
      <c r="I65" s="283"/>
      <c r="J65" s="283"/>
      <c r="K65" s="286"/>
      <c r="L65" s="286"/>
      <c r="M65" s="286"/>
      <c r="N65" s="286"/>
      <c r="O65" s="286"/>
      <c r="P65" s="286"/>
      <c r="Q65" s="286"/>
      <c r="AI65" s="265"/>
      <c r="AJ65" s="265"/>
      <c r="AK65" s="265"/>
      <c r="AL65" s="265"/>
      <c r="AM65" s="265"/>
      <c r="AN65" s="265"/>
      <c r="AO65" s="265"/>
      <c r="AP65" s="265"/>
      <c r="AQ65" s="265"/>
      <c r="AS65" s="265"/>
      <c r="AT65" s="265"/>
      <c r="AU65" s="265"/>
      <c r="AV65" s="265"/>
      <c r="AW65" s="265"/>
      <c r="AX65" s="265"/>
      <c r="AY65" s="265"/>
      <c r="AZ65" s="265"/>
      <c r="BA65" s="265"/>
      <c r="BB65" s="265"/>
    </row>
    <row r="66" spans="1:55" s="167" customFormat="1">
      <c r="A66" s="169"/>
      <c r="B66" s="291" t="s">
        <v>66</v>
      </c>
      <c r="C66" s="286">
        <v>88</v>
      </c>
      <c r="D66" s="286">
        <v>90</v>
      </c>
      <c r="E66" s="286"/>
      <c r="F66" s="286"/>
      <c r="G66" s="286"/>
      <c r="H66" s="286"/>
      <c r="I66" s="286"/>
      <c r="J66" s="286"/>
      <c r="K66" s="286"/>
      <c r="L66" s="286"/>
      <c r="M66" s="286"/>
      <c r="N66" s="286"/>
      <c r="O66" s="286"/>
      <c r="P66" s="286"/>
      <c r="Q66" s="286"/>
      <c r="AI66" s="265"/>
      <c r="AJ66" s="265"/>
      <c r="AK66" s="265"/>
      <c r="AL66" s="265"/>
      <c r="AM66" s="265"/>
      <c r="AN66" s="265"/>
      <c r="AO66" s="265"/>
      <c r="AP66" s="265"/>
      <c r="AQ66" s="265"/>
      <c r="AS66" s="265"/>
      <c r="AT66" s="265"/>
      <c r="AU66" s="265"/>
      <c r="AV66" s="265"/>
      <c r="AW66" s="265"/>
      <c r="AX66" s="265"/>
      <c r="AY66" s="265"/>
      <c r="AZ66" s="265"/>
      <c r="BA66" s="265"/>
      <c r="BB66" s="265"/>
    </row>
    <row r="67" spans="1:55" s="167" customFormat="1">
      <c r="A67" s="169"/>
      <c r="B67" s="291" t="s">
        <v>158</v>
      </c>
      <c r="C67" s="292">
        <v>83</v>
      </c>
      <c r="D67" s="292">
        <v>84</v>
      </c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AI67" s="265"/>
      <c r="AJ67" s="265"/>
      <c r="AK67" s="265"/>
      <c r="AL67" s="265"/>
      <c r="AM67" s="265"/>
      <c r="AN67" s="265"/>
      <c r="AO67" s="265"/>
      <c r="AP67" s="265"/>
      <c r="AQ67" s="265"/>
      <c r="AS67" s="265"/>
      <c r="AT67" s="265"/>
      <c r="AU67" s="265"/>
      <c r="AV67" s="265"/>
      <c r="AW67" s="265"/>
      <c r="AX67" s="265"/>
      <c r="AY67" s="265"/>
      <c r="AZ67" s="265"/>
      <c r="BA67" s="265"/>
      <c r="BB67" s="265"/>
    </row>
    <row r="68" spans="1:55" s="167" customFormat="1">
      <c r="A68" s="169"/>
      <c r="B68" s="291" t="s">
        <v>189</v>
      </c>
      <c r="C68" s="292">
        <v>83</v>
      </c>
      <c r="D68" s="292">
        <v>83</v>
      </c>
      <c r="E68" s="29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AI68" s="293"/>
      <c r="AJ68" s="293"/>
      <c r="AK68" s="293"/>
      <c r="AL68" s="293"/>
      <c r="AM68" s="293"/>
      <c r="AN68" s="265"/>
      <c r="AO68" s="265"/>
      <c r="AP68" s="265"/>
      <c r="AQ68" s="265"/>
      <c r="AS68" s="265"/>
      <c r="AT68" s="265"/>
      <c r="AU68" s="265"/>
      <c r="AV68" s="265"/>
      <c r="AW68" s="265"/>
      <c r="AX68" s="265"/>
      <c r="AY68" s="265"/>
      <c r="AZ68" s="265"/>
      <c r="BA68" s="265"/>
      <c r="BB68" s="265"/>
    </row>
    <row r="69" spans="1:55" s="167" customFormat="1" ht="15" thickBot="1">
      <c r="A69" s="169"/>
      <c r="B69" s="291" t="s">
        <v>345</v>
      </c>
      <c r="C69" s="292">
        <v>274</v>
      </c>
      <c r="D69" s="292">
        <v>268</v>
      </c>
      <c r="E69" s="292"/>
      <c r="F69" s="292"/>
      <c r="G69" s="292"/>
      <c r="H69" s="292"/>
      <c r="I69" s="292"/>
      <c r="J69" s="292"/>
      <c r="K69" s="292"/>
      <c r="L69" s="292"/>
      <c r="M69" s="292"/>
      <c r="N69" s="292"/>
      <c r="O69" s="292"/>
      <c r="P69" s="292"/>
      <c r="Q69" s="292"/>
      <c r="AI69" s="265"/>
      <c r="AJ69" s="265"/>
      <c r="AK69" s="265"/>
      <c r="AL69" s="265"/>
      <c r="AM69" s="265"/>
      <c r="AN69" s="265"/>
      <c r="AO69" s="265"/>
      <c r="AP69" s="265"/>
      <c r="AQ69" s="265"/>
      <c r="AS69" s="265"/>
      <c r="AT69" s="265"/>
      <c r="AU69" s="265"/>
      <c r="AV69" s="265"/>
      <c r="AW69" s="265"/>
      <c r="AX69" s="265"/>
      <c r="AY69" s="265"/>
      <c r="AZ69" s="265"/>
      <c r="BA69" s="265"/>
      <c r="BB69" s="265"/>
    </row>
    <row r="70" spans="1:55" s="167" customFormat="1">
      <c r="A70" s="266"/>
      <c r="B70" s="294" t="s">
        <v>166</v>
      </c>
      <c r="C70" s="295">
        <f>IF(OR(C73="**",C73=""),"",VALUE(C73))</f>
        <v>78</v>
      </c>
      <c r="D70" s="295">
        <f t="shared" ref="D70:J70" si="4">IF(OR(D73="**",D73=""),"",VALUE(D73))</f>
        <v>77</v>
      </c>
      <c r="E70" s="295" t="str">
        <f t="shared" si="4"/>
        <v/>
      </c>
      <c r="F70" s="295" t="str">
        <f t="shared" si="4"/>
        <v/>
      </c>
      <c r="G70" s="295" t="str">
        <f t="shared" si="4"/>
        <v/>
      </c>
      <c r="H70" s="295" t="str">
        <f t="shared" si="4"/>
        <v/>
      </c>
      <c r="I70" s="295" t="str">
        <f t="shared" si="4"/>
        <v/>
      </c>
      <c r="J70" s="295" t="str">
        <f t="shared" si="4"/>
        <v/>
      </c>
      <c r="K70" s="183"/>
      <c r="L70" s="183"/>
      <c r="M70" s="183"/>
      <c r="N70" s="183"/>
      <c r="O70" s="183"/>
      <c r="P70" s="183"/>
      <c r="Q70" s="183"/>
      <c r="AI70" s="265"/>
      <c r="AJ70" s="265"/>
      <c r="AK70" s="265"/>
      <c r="AL70" s="265"/>
      <c r="AM70" s="265"/>
      <c r="AN70" s="265"/>
      <c r="AO70" s="265"/>
      <c r="AP70" s="265"/>
      <c r="AQ70" s="265"/>
      <c r="AS70" s="265"/>
      <c r="AT70" s="265"/>
      <c r="AU70" s="265"/>
      <c r="AV70" s="265"/>
      <c r="AW70" s="265"/>
      <c r="AX70" s="265"/>
      <c r="AY70" s="265"/>
      <c r="AZ70" s="265"/>
      <c r="BA70" s="265"/>
      <c r="BB70" s="265"/>
    </row>
    <row r="71" spans="1:55" s="167" customFormat="1" ht="15" thickBot="1">
      <c r="A71" s="266"/>
      <c r="B71" s="296" t="s">
        <v>165</v>
      </c>
      <c r="C71" s="297">
        <f t="shared" ref="C71:J71" si="5">IF(OR(C67="**",C67=""),"",VALUE(C67))</f>
        <v>83</v>
      </c>
      <c r="D71" s="297">
        <f t="shared" si="5"/>
        <v>84</v>
      </c>
      <c r="E71" s="297" t="str">
        <f t="shared" si="5"/>
        <v/>
      </c>
      <c r="F71" s="297" t="str">
        <f t="shared" si="5"/>
        <v/>
      </c>
      <c r="G71" s="297" t="str">
        <f t="shared" si="5"/>
        <v/>
      </c>
      <c r="H71" s="297" t="str">
        <f t="shared" si="5"/>
        <v/>
      </c>
      <c r="I71" s="297" t="str">
        <f t="shared" si="5"/>
        <v/>
      </c>
      <c r="J71" s="297" t="str">
        <f t="shared" si="5"/>
        <v/>
      </c>
      <c r="K71" s="260"/>
      <c r="L71" s="260"/>
      <c r="M71" s="260"/>
      <c r="N71" s="260"/>
      <c r="O71" s="260"/>
      <c r="P71" s="260"/>
      <c r="Q71" s="260"/>
      <c r="AI71" s="260"/>
      <c r="AJ71" s="260"/>
      <c r="AK71" s="260"/>
      <c r="AL71" s="260"/>
      <c r="AM71" s="260"/>
      <c r="AN71" s="260"/>
      <c r="AO71" s="260"/>
      <c r="AP71" s="260"/>
      <c r="AQ71" s="265"/>
      <c r="AR71" s="265"/>
      <c r="AS71" s="265"/>
      <c r="AT71" s="265"/>
      <c r="AU71" s="265"/>
      <c r="AV71" s="265"/>
      <c r="AW71" s="265"/>
      <c r="AX71" s="265"/>
      <c r="AY71" s="265"/>
      <c r="AZ71" s="265"/>
      <c r="BA71" s="265"/>
      <c r="BB71" s="265"/>
    </row>
    <row r="72" spans="1:55" s="167" customFormat="1">
      <c r="A72" s="169"/>
      <c r="B72" s="298" t="s">
        <v>385</v>
      </c>
      <c r="C72" s="195" t="s">
        <v>801</v>
      </c>
      <c r="D72" s="195" t="s">
        <v>802</v>
      </c>
      <c r="E72" s="195"/>
      <c r="F72" s="195"/>
      <c r="G72" s="195"/>
      <c r="H72" s="195"/>
      <c r="I72" s="195"/>
      <c r="J72" s="195"/>
      <c r="K72" s="264"/>
      <c r="L72" s="264"/>
      <c r="M72" s="264"/>
      <c r="N72" s="264"/>
      <c r="O72" s="264"/>
      <c r="P72" s="264"/>
      <c r="Q72" s="264"/>
      <c r="AI72" s="265"/>
      <c r="AJ72" s="265"/>
      <c r="AK72" s="265"/>
      <c r="AL72" s="265"/>
      <c r="AM72" s="265"/>
      <c r="AN72" s="265"/>
      <c r="AO72" s="265"/>
      <c r="AP72" s="265"/>
      <c r="AQ72" s="265"/>
      <c r="AR72" s="265"/>
      <c r="AS72" s="265"/>
      <c r="AT72" s="265"/>
      <c r="AU72" s="265"/>
      <c r="AV72" s="265"/>
      <c r="AW72" s="265"/>
      <c r="AX72" s="265"/>
      <c r="AY72" s="265"/>
      <c r="AZ72" s="265"/>
      <c r="BA72" s="265"/>
      <c r="BB72" s="265"/>
    </row>
    <row r="73" spans="1:55" s="167" customFormat="1">
      <c r="A73" s="169"/>
      <c r="B73" s="291" t="s">
        <v>158</v>
      </c>
      <c r="C73" s="258">
        <v>78</v>
      </c>
      <c r="D73" s="258">
        <v>77</v>
      </c>
      <c r="E73" s="258"/>
      <c r="F73" s="258"/>
      <c r="G73" s="258"/>
      <c r="H73" s="258"/>
      <c r="I73" s="258"/>
      <c r="J73" s="258"/>
      <c r="K73" s="264"/>
      <c r="L73" s="264"/>
      <c r="M73" s="264"/>
      <c r="N73" s="264"/>
      <c r="O73" s="264"/>
      <c r="P73" s="264"/>
      <c r="Q73" s="264"/>
      <c r="AI73" s="26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  <c r="AT73" s="265"/>
      <c r="AU73" s="265"/>
      <c r="AV73" s="265"/>
      <c r="AW73" s="265"/>
      <c r="AX73" s="265"/>
      <c r="AY73" s="265"/>
      <c r="AZ73" s="265"/>
      <c r="BA73" s="265"/>
      <c r="BB73" s="265"/>
    </row>
    <row r="74" spans="1:55" s="274" customFormat="1" ht="18" customHeight="1">
      <c r="A74" s="270"/>
      <c r="B74" s="271" t="s">
        <v>345</v>
      </c>
      <c r="C74" s="258">
        <v>236</v>
      </c>
      <c r="D74" s="258">
        <v>206</v>
      </c>
      <c r="E74" s="258"/>
      <c r="F74" s="258"/>
      <c r="G74" s="258"/>
      <c r="H74" s="258"/>
      <c r="I74" s="258"/>
      <c r="J74" s="258"/>
      <c r="K74" s="273"/>
      <c r="L74" s="273"/>
      <c r="M74" s="273"/>
      <c r="N74" s="273"/>
      <c r="O74" s="273"/>
      <c r="P74" s="273"/>
      <c r="Q74" s="273"/>
      <c r="AI74" s="275"/>
      <c r="AJ74" s="275"/>
      <c r="AK74" s="275"/>
      <c r="AL74" s="275"/>
      <c r="AM74" s="275"/>
      <c r="AN74" s="275"/>
      <c r="AO74" s="275"/>
      <c r="AP74" s="275"/>
      <c r="AQ74" s="275"/>
      <c r="AR74" s="275"/>
      <c r="AS74" s="275"/>
      <c r="AT74" s="275"/>
      <c r="AU74" s="275"/>
      <c r="AV74" s="275"/>
      <c r="AW74" s="275"/>
      <c r="AX74" s="275"/>
      <c r="AY74" s="275"/>
      <c r="AZ74" s="275"/>
      <c r="BA74" s="275"/>
      <c r="BB74" s="275"/>
      <c r="BC74" s="275"/>
    </row>
    <row r="75" spans="1:55" s="167" customFormat="1">
      <c r="A75" s="266"/>
      <c r="B75" s="271"/>
      <c r="C75" s="258"/>
      <c r="D75" s="258"/>
      <c r="E75" s="258"/>
      <c r="F75" s="258"/>
      <c r="G75" s="258"/>
      <c r="H75" s="258"/>
      <c r="I75" s="258"/>
      <c r="J75" s="258"/>
      <c r="K75" s="264"/>
      <c r="L75" s="264"/>
      <c r="M75" s="264"/>
      <c r="N75" s="264"/>
      <c r="O75" s="264"/>
      <c r="P75" s="264"/>
      <c r="Q75" s="264"/>
      <c r="AI75" s="265"/>
      <c r="AJ75" s="265"/>
      <c r="AK75" s="265"/>
      <c r="AL75" s="265"/>
      <c r="AM75" s="265"/>
      <c r="AN75" s="265"/>
      <c r="AO75" s="265"/>
      <c r="AP75" s="265"/>
      <c r="AQ75" s="265"/>
      <c r="AR75" s="265"/>
      <c r="AS75" s="265"/>
      <c r="AT75" s="265"/>
      <c r="AU75" s="265"/>
      <c r="AV75" s="265"/>
      <c r="AW75" s="265"/>
      <c r="AX75" s="265"/>
      <c r="AY75" s="265"/>
      <c r="AZ75" s="265"/>
      <c r="BA75" s="265"/>
      <c r="BB75" s="265"/>
    </row>
    <row r="76" spans="1:55" s="167" customFormat="1">
      <c r="A76" s="266"/>
      <c r="B76" s="271"/>
      <c r="C76" s="258"/>
      <c r="D76" s="258"/>
      <c r="E76" s="258"/>
      <c r="F76" s="258"/>
      <c r="G76" s="258"/>
      <c r="H76" s="258"/>
      <c r="I76" s="258"/>
      <c r="J76" s="258"/>
      <c r="K76" s="264"/>
      <c r="L76" s="264"/>
      <c r="M76" s="264"/>
      <c r="N76" s="264"/>
      <c r="O76" s="264"/>
      <c r="P76" s="264"/>
      <c r="Q76" s="264"/>
      <c r="AI76" s="265"/>
      <c r="AJ76" s="265"/>
      <c r="AK76" s="265"/>
      <c r="AL76" s="265"/>
      <c r="AM76" s="265"/>
      <c r="AN76" s="265"/>
      <c r="AO76" s="265"/>
      <c r="AP76" s="265"/>
      <c r="AQ76" s="265"/>
      <c r="AR76" s="265"/>
      <c r="AS76" s="265"/>
      <c r="AT76" s="265"/>
      <c r="AU76" s="265"/>
      <c r="AV76" s="265"/>
      <c r="AW76" s="265"/>
      <c r="AX76" s="265"/>
      <c r="AY76" s="265"/>
      <c r="AZ76" s="265"/>
      <c r="BA76" s="265"/>
      <c r="BB76" s="265"/>
    </row>
    <row r="77" spans="1:55" s="167" customFormat="1">
      <c r="A77" s="266"/>
      <c r="B77" s="271"/>
      <c r="C77" s="258"/>
      <c r="D77" s="258"/>
      <c r="E77" s="258"/>
      <c r="F77" s="258"/>
      <c r="G77" s="258"/>
      <c r="H77" s="258"/>
      <c r="I77" s="258"/>
      <c r="J77" s="258"/>
      <c r="K77" s="264"/>
      <c r="L77" s="264"/>
      <c r="M77" s="264"/>
      <c r="N77" s="264"/>
      <c r="O77" s="264"/>
      <c r="P77" s="264"/>
      <c r="Q77" s="264"/>
      <c r="AI77" s="265"/>
      <c r="AJ77" s="265"/>
      <c r="AK77" s="265"/>
      <c r="AL77" s="265"/>
      <c r="AM77" s="265"/>
      <c r="AN77" s="265"/>
      <c r="AO77" s="265"/>
      <c r="AP77" s="265"/>
      <c r="AQ77" s="265"/>
      <c r="AR77" s="265"/>
      <c r="AS77" s="265"/>
      <c r="AT77" s="265"/>
      <c r="AU77" s="265"/>
      <c r="AV77" s="265"/>
      <c r="AW77" s="265"/>
      <c r="AX77" s="265"/>
      <c r="AY77" s="265"/>
      <c r="AZ77" s="265"/>
      <c r="BA77" s="265"/>
      <c r="BB77" s="265"/>
    </row>
    <row r="78" spans="1:55" s="167" customFormat="1" ht="18" customHeight="1">
      <c r="A78" s="266"/>
      <c r="B78" s="271"/>
      <c r="C78" s="258"/>
      <c r="D78" s="258"/>
      <c r="E78" s="258"/>
      <c r="F78" s="258"/>
      <c r="G78" s="258"/>
      <c r="H78" s="258"/>
      <c r="I78" s="258"/>
      <c r="J78" s="258"/>
      <c r="K78" s="264"/>
      <c r="L78" s="264"/>
      <c r="M78" s="264"/>
      <c r="N78" s="264"/>
      <c r="O78" s="264"/>
      <c r="P78" s="264"/>
      <c r="Q78" s="264"/>
      <c r="AI78" s="265"/>
      <c r="AJ78" s="265"/>
      <c r="AK78" s="265"/>
      <c r="AL78" s="265"/>
      <c r="AM78" s="265"/>
      <c r="AN78" s="265"/>
      <c r="AO78" s="265"/>
      <c r="AP78" s="265"/>
      <c r="AQ78" s="265"/>
      <c r="AR78" s="265"/>
      <c r="AS78" s="265"/>
      <c r="AT78" s="265"/>
      <c r="AU78" s="265"/>
      <c r="AV78" s="265"/>
      <c r="AW78" s="265"/>
      <c r="AX78" s="265"/>
      <c r="AY78" s="265"/>
      <c r="AZ78" s="265"/>
      <c r="BA78" s="265"/>
      <c r="BB78" s="265"/>
    </row>
    <row r="79" spans="1:55" s="167" customFormat="1" ht="18" customHeight="1">
      <c r="A79" s="266" t="s">
        <v>183</v>
      </c>
      <c r="B79" s="271"/>
      <c r="C79" s="258"/>
      <c r="D79" s="258"/>
      <c r="E79" s="258"/>
      <c r="F79" s="258"/>
      <c r="G79" s="258"/>
      <c r="H79" s="258"/>
      <c r="I79" s="258"/>
      <c r="J79" s="258"/>
      <c r="K79" s="264"/>
      <c r="L79" s="264"/>
      <c r="M79" s="264"/>
      <c r="N79" s="264"/>
      <c r="O79" s="264"/>
      <c r="P79" s="264"/>
      <c r="Q79" s="264"/>
      <c r="AI79" s="265"/>
      <c r="AJ79" s="265"/>
      <c r="AK79" s="265"/>
      <c r="AL79" s="265"/>
      <c r="AM79" s="265"/>
      <c r="AN79" s="265"/>
      <c r="AO79" s="265"/>
      <c r="AP79" s="265"/>
      <c r="AQ79" s="265"/>
      <c r="AR79" s="265"/>
      <c r="AS79" s="265"/>
      <c r="AT79" s="265"/>
      <c r="AU79" s="265"/>
      <c r="AV79" s="265"/>
      <c r="AW79" s="265"/>
      <c r="AX79" s="265"/>
      <c r="AY79" s="265"/>
      <c r="AZ79" s="265"/>
      <c r="BA79" s="265"/>
      <c r="BB79" s="265"/>
    </row>
    <row r="80" spans="1:55" s="167" customFormat="1" ht="18" customHeight="1">
      <c r="A80" s="266">
        <v>5</v>
      </c>
      <c r="B80" s="271"/>
      <c r="C80" s="258"/>
      <c r="D80" s="258"/>
      <c r="E80" s="258"/>
      <c r="F80" s="258"/>
      <c r="G80" s="258"/>
      <c r="H80" s="258"/>
      <c r="I80" s="258"/>
      <c r="J80" s="258"/>
      <c r="K80" s="264"/>
      <c r="L80" s="264"/>
      <c r="M80" s="264"/>
      <c r="N80" s="264"/>
      <c r="O80" s="264"/>
      <c r="P80" s="264"/>
      <c r="Q80" s="264"/>
      <c r="AI80" s="265"/>
      <c r="AJ80" s="265"/>
      <c r="AK80" s="265"/>
      <c r="AL80" s="265"/>
      <c r="AM80" s="265"/>
      <c r="AN80" s="265"/>
      <c r="AO80" s="265"/>
      <c r="AP80" s="265"/>
      <c r="AQ80" s="265"/>
      <c r="AR80" s="265"/>
      <c r="AS80" s="265"/>
      <c r="AT80" s="265"/>
      <c r="AU80" s="265"/>
      <c r="AV80" s="265"/>
      <c r="AW80" s="265"/>
      <c r="AX80" s="265"/>
      <c r="AY80" s="265"/>
      <c r="AZ80" s="265"/>
      <c r="BA80" s="265"/>
      <c r="BB80" s="265"/>
    </row>
    <row r="81" spans="1:55" s="167" customFormat="1" ht="18" customHeight="1">
      <c r="A81" s="266"/>
      <c r="B81" s="271"/>
      <c r="C81" s="258"/>
      <c r="D81" s="258"/>
      <c r="E81" s="258"/>
      <c r="F81" s="258"/>
      <c r="G81" s="258"/>
      <c r="H81" s="258"/>
      <c r="I81" s="258"/>
      <c r="J81" s="258"/>
      <c r="K81" s="264"/>
      <c r="L81" s="264"/>
      <c r="M81" s="264"/>
      <c r="N81" s="264"/>
      <c r="O81" s="264"/>
      <c r="P81" s="264"/>
      <c r="Q81" s="264"/>
      <c r="AI81" s="265"/>
      <c r="AJ81" s="265"/>
      <c r="AK81" s="265"/>
      <c r="AL81" s="265"/>
      <c r="AM81" s="265"/>
      <c r="AN81" s="265"/>
      <c r="AO81" s="265"/>
      <c r="AP81" s="265"/>
      <c r="AQ81" s="265"/>
      <c r="AR81" s="265"/>
      <c r="AS81" s="265"/>
      <c r="AT81" s="265"/>
      <c r="AU81" s="265"/>
      <c r="AV81" s="265"/>
      <c r="AW81" s="265"/>
      <c r="AX81" s="265"/>
      <c r="AY81" s="265"/>
      <c r="AZ81" s="265"/>
      <c r="BA81" s="265"/>
      <c r="BB81" s="265"/>
      <c r="BC81" s="265"/>
    </row>
    <row r="82" spans="1:55" s="167" customFormat="1" ht="18" customHeight="1">
      <c r="A82" s="266"/>
      <c r="B82" s="271"/>
      <c r="C82" s="258"/>
      <c r="D82" s="258"/>
      <c r="E82" s="258"/>
      <c r="F82" s="258"/>
      <c r="G82" s="258"/>
      <c r="H82" s="258"/>
      <c r="I82" s="258"/>
      <c r="J82" s="258"/>
      <c r="K82" s="264"/>
      <c r="L82" s="264"/>
      <c r="M82" s="264"/>
      <c r="N82" s="264"/>
      <c r="O82" s="264"/>
      <c r="P82" s="264"/>
      <c r="Q82" s="264"/>
      <c r="AI82" s="265"/>
      <c r="AJ82" s="265"/>
      <c r="AK82" s="265"/>
      <c r="AL82" s="265"/>
      <c r="AM82" s="265"/>
      <c r="AN82" s="265"/>
      <c r="AO82" s="265"/>
      <c r="AP82" s="265"/>
      <c r="AQ82" s="265"/>
      <c r="AR82" s="265"/>
      <c r="AS82" s="265"/>
      <c r="AT82" s="265"/>
      <c r="AU82" s="265"/>
      <c r="AV82" s="265"/>
      <c r="AW82" s="265"/>
      <c r="AX82" s="265"/>
      <c r="AY82" s="265"/>
      <c r="AZ82" s="265"/>
      <c r="BA82" s="265"/>
      <c r="BB82" s="265"/>
      <c r="BC82" s="265"/>
    </row>
    <row r="83" spans="1:55" s="167" customFormat="1" ht="18" customHeight="1">
      <c r="A83" s="266"/>
      <c r="B83" s="271"/>
      <c r="C83" s="258"/>
      <c r="D83" s="258"/>
      <c r="E83" s="258"/>
      <c r="F83" s="258"/>
      <c r="G83" s="258"/>
      <c r="H83" s="258"/>
      <c r="I83" s="258"/>
      <c r="J83" s="258"/>
      <c r="K83" s="264"/>
      <c r="L83" s="264"/>
      <c r="M83" s="264"/>
      <c r="N83" s="264"/>
      <c r="O83" s="264"/>
      <c r="P83" s="264"/>
      <c r="Q83" s="264"/>
      <c r="AI83" s="265"/>
      <c r="AJ83" s="265"/>
      <c r="AK83" s="265"/>
      <c r="AL83" s="265"/>
      <c r="AM83" s="265"/>
      <c r="AN83" s="265"/>
      <c r="AO83" s="265"/>
      <c r="AP83" s="265"/>
      <c r="AQ83" s="265"/>
      <c r="AR83" s="265"/>
      <c r="AS83" s="265"/>
      <c r="AT83" s="265"/>
      <c r="AU83" s="265"/>
      <c r="AV83" s="265"/>
      <c r="AW83" s="265"/>
      <c r="AX83" s="265"/>
      <c r="AY83" s="265"/>
      <c r="AZ83" s="265"/>
      <c r="BA83" s="265"/>
      <c r="BB83" s="265"/>
      <c r="BC83" s="265"/>
    </row>
    <row r="84" spans="1:55" s="167" customFormat="1" ht="18" customHeight="1">
      <c r="A84" s="266"/>
      <c r="B84" s="271"/>
      <c r="C84" s="258"/>
      <c r="D84" s="258"/>
      <c r="E84" s="258"/>
      <c r="F84" s="258"/>
      <c r="G84" s="258"/>
      <c r="H84" s="258"/>
      <c r="I84" s="258"/>
      <c r="J84" s="258"/>
      <c r="K84" s="264"/>
      <c r="L84" s="264"/>
      <c r="M84" s="264"/>
      <c r="N84" s="264"/>
      <c r="O84" s="264"/>
      <c r="P84" s="264"/>
      <c r="Q84" s="264"/>
      <c r="AI84" s="265"/>
      <c r="AJ84" s="265"/>
      <c r="AK84" s="265"/>
      <c r="AL84" s="265"/>
      <c r="AM84" s="265"/>
      <c r="AN84" s="265"/>
      <c r="AO84" s="265"/>
      <c r="AP84" s="265"/>
      <c r="AQ84" s="265"/>
      <c r="AR84" s="265"/>
      <c r="AS84" s="265"/>
      <c r="AT84" s="265"/>
      <c r="AU84" s="265"/>
      <c r="AV84" s="265"/>
      <c r="AW84" s="265"/>
      <c r="AX84" s="265"/>
      <c r="AY84" s="265"/>
      <c r="AZ84" s="265"/>
      <c r="BA84" s="265"/>
      <c r="BB84" s="265"/>
      <c r="BC84" s="265"/>
    </row>
    <row r="85" spans="1:55" s="167" customFormat="1" ht="18" customHeight="1">
      <c r="A85" s="266"/>
      <c r="B85" s="271"/>
      <c r="C85" s="258"/>
      <c r="D85" s="258"/>
      <c r="E85" s="258"/>
      <c r="F85" s="258"/>
      <c r="G85" s="258"/>
      <c r="H85" s="258"/>
      <c r="I85" s="258"/>
      <c r="J85" s="258"/>
      <c r="K85" s="264"/>
      <c r="L85" s="264"/>
      <c r="M85" s="264"/>
      <c r="N85" s="264"/>
      <c r="O85" s="264"/>
      <c r="P85" s="264"/>
      <c r="Q85" s="264"/>
      <c r="AI85" s="265"/>
      <c r="AJ85" s="265"/>
      <c r="AK85" s="265"/>
      <c r="AL85" s="265"/>
      <c r="AM85" s="265"/>
      <c r="AN85" s="265"/>
      <c r="AO85" s="265"/>
      <c r="AP85" s="265"/>
      <c r="AQ85" s="265"/>
      <c r="AR85" s="265"/>
      <c r="AS85" s="265"/>
      <c r="AT85" s="265"/>
      <c r="AU85" s="265"/>
      <c r="AV85" s="265"/>
      <c r="AW85" s="265"/>
      <c r="AX85" s="265"/>
      <c r="AY85" s="265"/>
      <c r="AZ85" s="265"/>
      <c r="BA85" s="265"/>
      <c r="BB85" s="265"/>
      <c r="BC85" s="265"/>
    </row>
    <row r="86" spans="1:55" s="167" customFormat="1" ht="18" customHeight="1">
      <c r="A86" s="266"/>
      <c r="B86" s="271"/>
      <c r="C86" s="258"/>
      <c r="D86" s="258"/>
      <c r="E86" s="258"/>
      <c r="F86" s="258"/>
      <c r="G86" s="258"/>
      <c r="H86" s="258"/>
      <c r="I86" s="258"/>
      <c r="J86" s="258"/>
      <c r="K86" s="264"/>
      <c r="L86" s="264"/>
      <c r="M86" s="264"/>
      <c r="N86" s="264"/>
      <c r="O86" s="264"/>
      <c r="P86" s="264"/>
      <c r="Q86" s="264"/>
      <c r="AI86" s="265"/>
      <c r="AJ86" s="265"/>
      <c r="AK86" s="265"/>
      <c r="AL86" s="265"/>
      <c r="AM86" s="265"/>
      <c r="AN86" s="265"/>
      <c r="AO86" s="265"/>
      <c r="AP86" s="265"/>
      <c r="AQ86" s="265"/>
      <c r="AR86" s="265"/>
      <c r="AS86" s="265"/>
      <c r="AT86" s="265"/>
      <c r="AU86" s="265"/>
      <c r="AV86" s="265"/>
      <c r="AW86" s="265"/>
      <c r="AX86" s="265"/>
      <c r="AY86" s="265"/>
      <c r="AZ86" s="265"/>
      <c r="BA86" s="265"/>
      <c r="BB86" s="265"/>
      <c r="BC86" s="265"/>
    </row>
    <row r="87" spans="1:55" s="167" customFormat="1" ht="18" customHeight="1">
      <c r="A87" s="266"/>
      <c r="B87" s="271"/>
      <c r="C87" s="258"/>
      <c r="D87" s="258"/>
      <c r="E87" s="258"/>
      <c r="F87" s="258"/>
      <c r="G87" s="258"/>
      <c r="H87" s="258"/>
      <c r="I87" s="258"/>
      <c r="J87" s="258"/>
      <c r="K87" s="264"/>
      <c r="L87" s="264"/>
      <c r="M87" s="264"/>
      <c r="N87" s="264"/>
      <c r="O87" s="264"/>
      <c r="P87" s="264"/>
      <c r="Q87" s="264"/>
      <c r="AI87" s="265"/>
      <c r="AJ87" s="265"/>
      <c r="AK87" s="265"/>
      <c r="AL87" s="265"/>
      <c r="AM87" s="265"/>
      <c r="AN87" s="265"/>
      <c r="AO87" s="265"/>
      <c r="AP87" s="265"/>
      <c r="AQ87" s="265"/>
      <c r="AR87" s="265"/>
      <c r="AS87" s="265"/>
      <c r="AT87" s="265"/>
      <c r="AU87" s="265"/>
      <c r="AV87" s="265"/>
      <c r="AW87" s="265"/>
      <c r="AX87" s="265"/>
      <c r="AY87" s="265"/>
      <c r="AZ87" s="265"/>
      <c r="BA87" s="265"/>
      <c r="BB87" s="265"/>
      <c r="BC87" s="265"/>
    </row>
    <row r="88" spans="1:55" s="167" customFormat="1" ht="18" customHeight="1">
      <c r="A88" s="266"/>
      <c r="B88" s="271"/>
      <c r="C88" s="260"/>
      <c r="D88" s="260"/>
      <c r="E88" s="260"/>
      <c r="F88" s="260"/>
      <c r="G88" s="260"/>
      <c r="H88" s="260"/>
      <c r="I88" s="260"/>
      <c r="J88" s="260"/>
      <c r="K88" s="264"/>
      <c r="L88" s="264"/>
      <c r="M88" s="264"/>
      <c r="N88" s="264"/>
      <c r="O88" s="264"/>
      <c r="P88" s="264"/>
      <c r="Q88" s="264"/>
      <c r="AI88" s="265"/>
      <c r="AJ88" s="265"/>
      <c r="AK88" s="265"/>
      <c r="AL88" s="265"/>
      <c r="AM88" s="265"/>
      <c r="AN88" s="265"/>
      <c r="AO88" s="265"/>
      <c r="AP88" s="265"/>
      <c r="AQ88" s="265"/>
      <c r="AR88" s="265"/>
      <c r="AS88" s="265"/>
      <c r="AT88" s="265"/>
      <c r="AU88" s="265"/>
      <c r="AV88" s="265"/>
      <c r="AW88" s="265"/>
      <c r="AX88" s="265"/>
      <c r="AY88" s="265"/>
      <c r="AZ88" s="265"/>
      <c r="BA88" s="265"/>
      <c r="BB88" s="265"/>
      <c r="BC88" s="265"/>
    </row>
    <row r="89" spans="1:55" s="274" customFormat="1" ht="18" customHeight="1">
      <c r="A89" s="270">
        <f>A59+1</f>
        <v>3</v>
      </c>
      <c r="B89" s="271"/>
      <c r="C89" s="272" t="str">
        <f>IF($A$1 = 1, (IF("("&amp;C99&amp;")" ="()","","("&amp;C99&amp;")")), (IF("("&amp;C104&amp;")    ("&amp;C99&amp;")"="()    ()","","("&amp;C104&amp;")    ("&amp;C99&amp;")")))</f>
        <v>(0)    (1)</v>
      </c>
      <c r="D89" s="272" t="str">
        <f t="shared" ref="D89:J89" si="6">IF($A$1 = 1, (IF("("&amp;D99&amp;")" ="()","","("&amp;D99&amp;")")), (IF("("&amp;D104&amp;")    ("&amp;D99&amp;")"="()    ()","","("&amp;D104&amp;")    ("&amp;D99&amp;")")))</f>
        <v>(5)    (12)</v>
      </c>
      <c r="E89" s="272" t="str">
        <f t="shared" si="6"/>
        <v>(134)    (174)</v>
      </c>
      <c r="F89" s="272" t="str">
        <f t="shared" si="6"/>
        <v>(224)    (261)</v>
      </c>
      <c r="G89" s="272" t="str">
        <f t="shared" si="6"/>
        <v>(79)    (95)</v>
      </c>
      <c r="H89" s="272" t="str">
        <f t="shared" si="6"/>
        <v/>
      </c>
      <c r="I89" s="272" t="str">
        <f t="shared" si="6"/>
        <v/>
      </c>
      <c r="J89" s="272" t="str">
        <f t="shared" si="6"/>
        <v/>
      </c>
      <c r="K89" s="273"/>
      <c r="L89" s="273"/>
      <c r="M89" s="273"/>
      <c r="N89" s="273"/>
      <c r="O89" s="273"/>
      <c r="P89" s="273"/>
      <c r="Q89" s="273"/>
      <c r="AI89" s="275"/>
      <c r="AJ89" s="275"/>
      <c r="AK89" s="275"/>
      <c r="AL89" s="275"/>
      <c r="AM89" s="275"/>
      <c r="AN89" s="275"/>
      <c r="AO89" s="275"/>
      <c r="AP89" s="275"/>
      <c r="AQ89" s="275"/>
      <c r="AR89" s="275"/>
      <c r="AS89" s="275"/>
      <c r="AT89" s="275"/>
      <c r="AU89" s="275"/>
      <c r="AV89" s="275"/>
      <c r="AW89" s="275"/>
      <c r="AX89" s="275"/>
      <c r="AY89" s="275"/>
      <c r="AZ89" s="275"/>
      <c r="BA89" s="275"/>
      <c r="BB89" s="275"/>
      <c r="BC89" s="275"/>
    </row>
    <row r="90" spans="1:55" s="280" customFormat="1" ht="59.1" customHeight="1">
      <c r="A90" s="276"/>
      <c r="B90" s="277"/>
      <c r="C90" s="278" t="s">
        <v>826</v>
      </c>
      <c r="D90" s="278" t="s">
        <v>803</v>
      </c>
      <c r="E90" s="278" t="s">
        <v>804</v>
      </c>
      <c r="F90" s="278" t="s">
        <v>805</v>
      </c>
      <c r="G90" s="278" t="s">
        <v>479</v>
      </c>
      <c r="H90" s="278"/>
      <c r="I90" s="278"/>
      <c r="J90" s="278"/>
      <c r="K90" s="279"/>
      <c r="L90" s="279"/>
      <c r="M90" s="279"/>
      <c r="N90" s="279"/>
      <c r="O90" s="279"/>
      <c r="P90" s="279"/>
      <c r="Q90" s="279"/>
      <c r="AI90" s="281"/>
      <c r="AJ90" s="281"/>
      <c r="AK90" s="281"/>
      <c r="AL90" s="281"/>
      <c r="AM90" s="281"/>
      <c r="AN90" s="281"/>
      <c r="AO90" s="281"/>
      <c r="AP90" s="281"/>
      <c r="AQ90" s="281"/>
      <c r="AS90" s="281"/>
      <c r="AT90" s="281"/>
      <c r="AU90" s="281"/>
      <c r="AV90" s="281"/>
      <c r="AW90" s="281"/>
      <c r="AX90" s="281"/>
      <c r="AY90" s="281"/>
      <c r="AZ90" s="281"/>
      <c r="BA90" s="281"/>
      <c r="BB90" s="281"/>
      <c r="BC90" s="281"/>
    </row>
    <row r="91" spans="1:55" s="167" customFormat="1" ht="21.95" customHeight="1">
      <c r="A91" s="266"/>
      <c r="B91" s="282" t="s">
        <v>3</v>
      </c>
      <c r="C91" s="283" t="s">
        <v>800</v>
      </c>
      <c r="D91" s="283">
        <v>92</v>
      </c>
      <c r="E91" s="283">
        <v>84</v>
      </c>
      <c r="F91" s="283">
        <v>81</v>
      </c>
      <c r="G91" s="283">
        <v>85</v>
      </c>
      <c r="H91" s="283"/>
      <c r="I91" s="283"/>
      <c r="J91" s="283"/>
      <c r="K91" s="284"/>
      <c r="L91" s="284"/>
      <c r="M91" s="284"/>
      <c r="N91" s="284"/>
      <c r="O91" s="284"/>
      <c r="P91" s="284"/>
      <c r="Q91" s="284"/>
      <c r="AI91" s="265"/>
      <c r="AJ91" s="265"/>
      <c r="AK91" s="265"/>
      <c r="AL91" s="265"/>
      <c r="AM91" s="265"/>
      <c r="AN91" s="265"/>
      <c r="AO91" s="265"/>
      <c r="AP91" s="265"/>
      <c r="AQ91" s="265"/>
      <c r="AS91" s="265"/>
      <c r="AT91" s="265"/>
      <c r="AU91" s="265"/>
      <c r="AV91" s="265"/>
      <c r="AW91" s="265"/>
      <c r="AX91" s="265"/>
      <c r="AY91" s="265"/>
      <c r="AZ91" s="265"/>
      <c r="BA91" s="265"/>
      <c r="BB91" s="265"/>
      <c r="BC91" s="265"/>
    </row>
    <row r="92" spans="1:55" s="167" customFormat="1" ht="21.95" customHeight="1">
      <c r="A92" s="266"/>
      <c r="B92" s="285" t="s">
        <v>18</v>
      </c>
      <c r="C92" s="283" t="s">
        <v>800</v>
      </c>
      <c r="D92" s="283">
        <v>93</v>
      </c>
      <c r="E92" s="283">
        <v>86</v>
      </c>
      <c r="F92" s="283">
        <v>83</v>
      </c>
      <c r="G92" s="283">
        <v>85</v>
      </c>
      <c r="H92" s="283"/>
      <c r="I92" s="283"/>
      <c r="J92" s="283"/>
      <c r="K92" s="286"/>
      <c r="L92" s="286"/>
      <c r="M92" s="286"/>
      <c r="N92" s="286"/>
      <c r="O92" s="286"/>
      <c r="P92" s="286"/>
      <c r="Q92" s="286"/>
      <c r="AI92" s="265"/>
      <c r="AJ92" s="265"/>
      <c r="AK92" s="265"/>
      <c r="AL92" s="265"/>
      <c r="AM92" s="265"/>
      <c r="AN92" s="265"/>
      <c r="AO92" s="265"/>
      <c r="AP92" s="265"/>
      <c r="AQ92" s="265"/>
      <c r="AS92" s="265"/>
      <c r="AT92" s="265"/>
      <c r="AU92" s="265"/>
      <c r="AV92" s="265"/>
      <c r="AW92" s="265"/>
      <c r="AX92" s="265"/>
      <c r="AY92" s="265"/>
      <c r="AZ92" s="265"/>
      <c r="BA92" s="265"/>
      <c r="BB92" s="265"/>
      <c r="BC92" s="265"/>
    </row>
    <row r="93" spans="1:55" s="167" customFormat="1" ht="21.95" customHeight="1">
      <c r="A93" s="169"/>
      <c r="B93" s="287" t="s">
        <v>32</v>
      </c>
      <c r="C93" s="283" t="s">
        <v>800</v>
      </c>
      <c r="D93" s="283">
        <v>85</v>
      </c>
      <c r="E93" s="283">
        <v>79</v>
      </c>
      <c r="F93" s="283">
        <v>77</v>
      </c>
      <c r="G93" s="283">
        <v>82</v>
      </c>
      <c r="H93" s="283"/>
      <c r="I93" s="283"/>
      <c r="J93" s="283"/>
      <c r="K93" s="286"/>
      <c r="L93" s="286"/>
      <c r="M93" s="286"/>
      <c r="N93" s="286"/>
      <c r="O93" s="286"/>
      <c r="P93" s="286"/>
      <c r="Q93" s="286"/>
      <c r="AI93" s="265"/>
      <c r="AJ93" s="265"/>
      <c r="AK93" s="265"/>
      <c r="AL93" s="265"/>
      <c r="AM93" s="265"/>
      <c r="AN93" s="265"/>
      <c r="AO93" s="265"/>
      <c r="AP93" s="265"/>
      <c r="AQ93" s="265"/>
      <c r="AS93" s="265"/>
      <c r="AT93" s="265"/>
      <c r="AU93" s="265"/>
      <c r="AV93" s="265"/>
      <c r="AW93" s="265"/>
      <c r="AX93" s="265"/>
      <c r="AY93" s="265"/>
      <c r="AZ93" s="265"/>
      <c r="BA93" s="265"/>
      <c r="BB93" s="265"/>
    </row>
    <row r="94" spans="1:55" s="167" customFormat="1" ht="21.95" customHeight="1">
      <c r="A94" s="169"/>
      <c r="B94" s="288" t="s">
        <v>45</v>
      </c>
      <c r="C94" s="283" t="s">
        <v>800</v>
      </c>
      <c r="D94" s="283">
        <v>88</v>
      </c>
      <c r="E94" s="283">
        <v>81</v>
      </c>
      <c r="F94" s="283">
        <v>80</v>
      </c>
      <c r="G94" s="283">
        <v>86</v>
      </c>
      <c r="H94" s="283"/>
      <c r="I94" s="283"/>
      <c r="J94" s="283"/>
      <c r="K94" s="286"/>
      <c r="L94" s="286"/>
      <c r="M94" s="286"/>
      <c r="N94" s="286"/>
      <c r="O94" s="286"/>
      <c r="P94" s="286"/>
      <c r="Q94" s="286"/>
      <c r="AI94" s="265"/>
      <c r="AJ94" s="265"/>
      <c r="AK94" s="265"/>
      <c r="AL94" s="265"/>
      <c r="AM94" s="265"/>
      <c r="AN94" s="265"/>
      <c r="AO94" s="265"/>
      <c r="AP94" s="265"/>
      <c r="AQ94" s="265"/>
      <c r="AS94" s="265"/>
      <c r="AT94" s="265"/>
      <c r="AU94" s="265"/>
      <c r="AV94" s="265"/>
      <c r="AW94" s="265"/>
      <c r="AX94" s="265"/>
      <c r="AY94" s="265"/>
      <c r="AZ94" s="265"/>
      <c r="BA94" s="265"/>
      <c r="BB94" s="265"/>
    </row>
    <row r="95" spans="1:55" s="167" customFormat="1" ht="21.95" customHeight="1">
      <c r="A95" s="169"/>
      <c r="B95" s="290" t="s">
        <v>54</v>
      </c>
      <c r="C95" s="283" t="s">
        <v>800</v>
      </c>
      <c r="D95" s="283">
        <v>95</v>
      </c>
      <c r="E95" s="283">
        <v>88</v>
      </c>
      <c r="F95" s="283">
        <v>87</v>
      </c>
      <c r="G95" s="283">
        <v>85</v>
      </c>
      <c r="H95" s="283"/>
      <c r="I95" s="283"/>
      <c r="J95" s="283"/>
      <c r="K95" s="286"/>
      <c r="L95" s="286"/>
      <c r="M95" s="286"/>
      <c r="N95" s="286"/>
      <c r="O95" s="286"/>
      <c r="P95" s="286"/>
      <c r="Q95" s="286"/>
      <c r="AI95" s="265"/>
      <c r="AJ95" s="265"/>
      <c r="AK95" s="265"/>
      <c r="AL95" s="265"/>
      <c r="AM95" s="265"/>
      <c r="AN95" s="265"/>
      <c r="AO95" s="265"/>
      <c r="AP95" s="265"/>
      <c r="AQ95" s="265"/>
      <c r="AS95" s="265"/>
      <c r="AT95" s="265"/>
      <c r="AU95" s="265"/>
      <c r="AV95" s="265"/>
      <c r="AW95" s="265"/>
      <c r="AX95" s="265"/>
      <c r="AY95" s="265"/>
      <c r="AZ95" s="265"/>
      <c r="BA95" s="265"/>
      <c r="BB95" s="265"/>
    </row>
    <row r="96" spans="1:55" s="167" customFormat="1">
      <c r="A96" s="169"/>
      <c r="B96" s="291" t="s">
        <v>66</v>
      </c>
      <c r="C96" s="286"/>
      <c r="D96" s="286">
        <v>100</v>
      </c>
      <c r="E96" s="286">
        <v>89</v>
      </c>
      <c r="F96" s="286">
        <v>89</v>
      </c>
      <c r="G96" s="286">
        <v>89</v>
      </c>
      <c r="H96" s="286"/>
      <c r="I96" s="286"/>
      <c r="J96" s="286"/>
      <c r="K96" s="286"/>
      <c r="L96" s="286"/>
      <c r="M96" s="286"/>
      <c r="N96" s="286"/>
      <c r="O96" s="286"/>
      <c r="P96" s="286"/>
      <c r="Q96" s="286"/>
      <c r="AI96" s="265"/>
      <c r="AJ96" s="265"/>
      <c r="AK96" s="265"/>
      <c r="AL96" s="265"/>
      <c r="AM96" s="265"/>
      <c r="AN96" s="265"/>
      <c r="AO96" s="265"/>
      <c r="AP96" s="265"/>
      <c r="AQ96" s="265"/>
      <c r="AS96" s="265"/>
      <c r="AT96" s="265"/>
      <c r="AU96" s="265"/>
      <c r="AV96" s="265"/>
      <c r="AW96" s="265"/>
      <c r="AX96" s="265"/>
      <c r="AY96" s="265"/>
      <c r="AZ96" s="265"/>
      <c r="BA96" s="265"/>
      <c r="BB96" s="265"/>
    </row>
    <row r="97" spans="1:54" s="167" customFormat="1">
      <c r="A97" s="169"/>
      <c r="B97" s="291" t="s">
        <v>158</v>
      </c>
      <c r="C97" s="292" t="s">
        <v>800</v>
      </c>
      <c r="D97" s="292">
        <v>91</v>
      </c>
      <c r="E97" s="292">
        <v>84</v>
      </c>
      <c r="F97" s="292">
        <v>82</v>
      </c>
      <c r="G97" s="292">
        <v>85</v>
      </c>
      <c r="H97" s="292"/>
      <c r="I97" s="292"/>
      <c r="J97" s="292"/>
      <c r="K97" s="292"/>
      <c r="L97" s="292"/>
      <c r="M97" s="292"/>
      <c r="N97" s="292"/>
      <c r="O97" s="292"/>
      <c r="P97" s="292"/>
      <c r="Q97" s="292"/>
      <c r="AI97" s="265"/>
      <c r="AJ97" s="265"/>
      <c r="AK97" s="265"/>
      <c r="AL97" s="265"/>
      <c r="AM97" s="265"/>
      <c r="AN97" s="265"/>
      <c r="AO97" s="265"/>
      <c r="AP97" s="265"/>
      <c r="AQ97" s="265"/>
      <c r="AS97" s="265"/>
      <c r="AT97" s="265"/>
      <c r="AU97" s="265"/>
      <c r="AV97" s="265"/>
      <c r="AW97" s="265"/>
      <c r="AX97" s="265"/>
      <c r="AY97" s="265"/>
      <c r="AZ97" s="265"/>
      <c r="BA97" s="265"/>
      <c r="BB97" s="265"/>
    </row>
    <row r="98" spans="1:54" s="167" customFormat="1">
      <c r="A98" s="169"/>
      <c r="B98" s="291" t="s">
        <v>189</v>
      </c>
      <c r="C98" s="292">
        <v>83</v>
      </c>
      <c r="D98" s="292">
        <v>83</v>
      </c>
      <c r="E98" s="292">
        <v>83</v>
      </c>
      <c r="F98" s="292">
        <v>83</v>
      </c>
      <c r="G98" s="292">
        <v>83</v>
      </c>
      <c r="H98" s="292"/>
      <c r="I98" s="292"/>
      <c r="J98" s="292"/>
      <c r="K98" s="292"/>
      <c r="L98" s="292"/>
      <c r="M98" s="292"/>
      <c r="N98" s="292"/>
      <c r="O98" s="292"/>
      <c r="P98" s="292"/>
      <c r="Q98" s="292"/>
      <c r="AI98" s="293"/>
      <c r="AJ98" s="293"/>
      <c r="AK98" s="293"/>
      <c r="AL98" s="293"/>
      <c r="AM98" s="293"/>
      <c r="AN98" s="265"/>
      <c r="AO98" s="265"/>
      <c r="AP98" s="265"/>
      <c r="AQ98" s="265"/>
      <c r="AS98" s="265"/>
      <c r="AT98" s="265"/>
      <c r="AU98" s="265"/>
      <c r="AV98" s="265"/>
      <c r="AW98" s="265"/>
      <c r="AX98" s="265"/>
      <c r="AY98" s="265"/>
      <c r="AZ98" s="265"/>
      <c r="BA98" s="265"/>
      <c r="BB98" s="265"/>
    </row>
    <row r="99" spans="1:54" s="167" customFormat="1" ht="15" thickBot="1">
      <c r="A99" s="169"/>
      <c r="B99" s="291" t="s">
        <v>345</v>
      </c>
      <c r="C99" s="292">
        <v>1</v>
      </c>
      <c r="D99" s="292">
        <v>12</v>
      </c>
      <c r="E99" s="292">
        <v>174</v>
      </c>
      <c r="F99" s="292">
        <v>261</v>
      </c>
      <c r="G99" s="292">
        <v>95</v>
      </c>
      <c r="H99" s="292"/>
      <c r="I99" s="292"/>
      <c r="J99" s="292"/>
      <c r="K99" s="292"/>
      <c r="L99" s="292"/>
      <c r="M99" s="292"/>
      <c r="N99" s="292"/>
      <c r="O99" s="292"/>
      <c r="P99" s="292"/>
      <c r="Q99" s="292"/>
      <c r="AI99" s="265"/>
      <c r="AJ99" s="265"/>
      <c r="AK99" s="265"/>
      <c r="AL99" s="265"/>
      <c r="AM99" s="265"/>
      <c r="AN99" s="265"/>
      <c r="AO99" s="265"/>
      <c r="AP99" s="265"/>
      <c r="AQ99" s="265"/>
      <c r="AS99" s="265"/>
      <c r="AT99" s="265"/>
      <c r="AU99" s="265"/>
      <c r="AV99" s="265"/>
      <c r="AW99" s="265"/>
      <c r="AX99" s="265"/>
      <c r="AY99" s="265"/>
      <c r="AZ99" s="265"/>
      <c r="BA99" s="265"/>
      <c r="BB99" s="265"/>
    </row>
    <row r="100" spans="1:54" s="167" customFormat="1">
      <c r="A100" s="266"/>
      <c r="B100" s="294" t="s">
        <v>166</v>
      </c>
      <c r="C100" s="295" t="str">
        <f>IF(OR(C103="**",C103=""),"",VALUE(C103))</f>
        <v/>
      </c>
      <c r="D100" s="295" t="str">
        <f t="shared" ref="D100:J100" si="7">IF(OR(D103="**",D103=""),"",VALUE(D103))</f>
        <v/>
      </c>
      <c r="E100" s="295">
        <f t="shared" si="7"/>
        <v>76</v>
      </c>
      <c r="F100" s="295">
        <f t="shared" si="7"/>
        <v>78</v>
      </c>
      <c r="G100" s="295">
        <f t="shared" si="7"/>
        <v>78</v>
      </c>
      <c r="H100" s="295" t="str">
        <f t="shared" si="7"/>
        <v/>
      </c>
      <c r="I100" s="295" t="str">
        <f t="shared" si="7"/>
        <v/>
      </c>
      <c r="J100" s="295" t="str">
        <f t="shared" si="7"/>
        <v/>
      </c>
      <c r="K100" s="183"/>
      <c r="L100" s="183"/>
      <c r="M100" s="183"/>
      <c r="N100" s="183"/>
      <c r="O100" s="183"/>
      <c r="P100" s="183"/>
      <c r="Q100" s="183"/>
      <c r="AI100" s="265"/>
      <c r="AJ100" s="265"/>
      <c r="AK100" s="265"/>
      <c r="AL100" s="265"/>
      <c r="AM100" s="265"/>
      <c r="AN100" s="265"/>
      <c r="AO100" s="265"/>
      <c r="AP100" s="265"/>
      <c r="AQ100" s="265"/>
      <c r="AS100" s="265"/>
      <c r="AT100" s="265"/>
      <c r="AU100" s="265"/>
      <c r="AV100" s="265"/>
      <c r="AW100" s="265"/>
      <c r="AX100" s="265"/>
      <c r="AY100" s="265"/>
      <c r="AZ100" s="265"/>
      <c r="BA100" s="265"/>
      <c r="BB100" s="265"/>
    </row>
    <row r="101" spans="1:54" s="167" customFormat="1" ht="15" thickBot="1">
      <c r="A101" s="266"/>
      <c r="B101" s="296" t="s">
        <v>165</v>
      </c>
      <c r="C101" s="297" t="str">
        <f t="shared" ref="C101:J101" si="8">IF(OR(C97="**",C97=""),"",VALUE(C97))</f>
        <v/>
      </c>
      <c r="D101" s="297">
        <f t="shared" si="8"/>
        <v>91</v>
      </c>
      <c r="E101" s="297">
        <f t="shared" si="8"/>
        <v>84</v>
      </c>
      <c r="F101" s="297">
        <f t="shared" si="8"/>
        <v>82</v>
      </c>
      <c r="G101" s="297">
        <f t="shared" si="8"/>
        <v>85</v>
      </c>
      <c r="H101" s="297" t="str">
        <f t="shared" si="8"/>
        <v/>
      </c>
      <c r="I101" s="297" t="str">
        <f t="shared" si="8"/>
        <v/>
      </c>
      <c r="J101" s="297" t="str">
        <f t="shared" si="8"/>
        <v/>
      </c>
      <c r="K101" s="260"/>
      <c r="L101" s="260"/>
      <c r="M101" s="260"/>
      <c r="N101" s="260"/>
      <c r="O101" s="260"/>
      <c r="P101" s="260"/>
      <c r="Q101" s="260"/>
      <c r="AI101" s="260"/>
      <c r="AJ101" s="260"/>
      <c r="AK101" s="260"/>
      <c r="AL101" s="260"/>
      <c r="AM101" s="260"/>
      <c r="AN101" s="260"/>
      <c r="AO101" s="260"/>
      <c r="AP101" s="260"/>
      <c r="AQ101" s="265"/>
      <c r="AR101" s="265"/>
      <c r="AS101" s="265"/>
      <c r="AT101" s="265"/>
      <c r="AU101" s="265"/>
      <c r="AV101" s="265"/>
      <c r="AW101" s="265"/>
      <c r="AX101" s="265"/>
      <c r="AY101" s="265"/>
      <c r="AZ101" s="265"/>
      <c r="BA101" s="265"/>
      <c r="BB101" s="265"/>
    </row>
    <row r="102" spans="1:54" s="167" customFormat="1">
      <c r="A102" s="169"/>
      <c r="B102" s="298" t="s">
        <v>385</v>
      </c>
      <c r="C102" s="195" t="s">
        <v>826</v>
      </c>
      <c r="D102" s="195" t="s">
        <v>803</v>
      </c>
      <c r="E102" s="195" t="s">
        <v>804</v>
      </c>
      <c r="F102" s="195" t="s">
        <v>805</v>
      </c>
      <c r="G102" s="195" t="s">
        <v>479</v>
      </c>
      <c r="H102" s="195"/>
      <c r="I102" s="195"/>
      <c r="J102" s="195"/>
      <c r="K102" s="264"/>
      <c r="L102" s="264"/>
      <c r="M102" s="264"/>
      <c r="N102" s="264"/>
      <c r="O102" s="264"/>
      <c r="P102" s="264"/>
      <c r="Q102" s="264"/>
      <c r="AI102" s="265"/>
      <c r="AJ102" s="265"/>
      <c r="AK102" s="265"/>
      <c r="AL102" s="265"/>
      <c r="AM102" s="265"/>
      <c r="AN102" s="265"/>
      <c r="AO102" s="265"/>
      <c r="AP102" s="265"/>
      <c r="AQ102" s="265"/>
      <c r="AR102" s="265"/>
      <c r="AS102" s="265"/>
      <c r="AT102" s="265"/>
      <c r="AU102" s="265"/>
      <c r="AV102" s="265"/>
      <c r="AW102" s="265"/>
      <c r="AX102" s="265"/>
      <c r="AY102" s="265"/>
      <c r="AZ102" s="265"/>
      <c r="BA102" s="265"/>
      <c r="BB102" s="265"/>
    </row>
    <row r="103" spans="1:54" s="167" customFormat="1">
      <c r="A103" s="169"/>
      <c r="B103" s="291" t="s">
        <v>158</v>
      </c>
      <c r="C103" s="258" t="s">
        <v>800</v>
      </c>
      <c r="D103" s="258" t="s">
        <v>800</v>
      </c>
      <c r="E103" s="258">
        <v>76</v>
      </c>
      <c r="F103" s="258">
        <v>78</v>
      </c>
      <c r="G103" s="258">
        <v>78</v>
      </c>
      <c r="H103" s="258"/>
      <c r="I103" s="258"/>
      <c r="J103" s="258"/>
      <c r="K103" s="264"/>
      <c r="L103" s="264"/>
      <c r="M103" s="264"/>
      <c r="N103" s="264"/>
      <c r="O103" s="264"/>
      <c r="P103" s="264"/>
      <c r="Q103" s="264"/>
      <c r="AI103" s="265"/>
      <c r="AJ103" s="265"/>
      <c r="AK103" s="265"/>
      <c r="AL103" s="265"/>
      <c r="AM103" s="265"/>
      <c r="AN103" s="265"/>
      <c r="AO103" s="265"/>
      <c r="AP103" s="265"/>
      <c r="AQ103" s="265"/>
      <c r="AR103" s="265"/>
      <c r="AS103" s="265"/>
      <c r="AT103" s="265"/>
      <c r="AU103" s="265"/>
      <c r="AV103" s="265"/>
      <c r="AW103" s="265"/>
      <c r="AX103" s="265"/>
      <c r="AY103" s="265"/>
      <c r="AZ103" s="265"/>
      <c r="BA103" s="265"/>
      <c r="BB103" s="265"/>
    </row>
    <row r="104" spans="1:54" s="167" customFormat="1">
      <c r="A104" s="266"/>
      <c r="B104" s="298" t="s">
        <v>345</v>
      </c>
      <c r="C104" s="258">
        <v>0</v>
      </c>
      <c r="D104" s="258">
        <v>5</v>
      </c>
      <c r="E104" s="258">
        <v>134</v>
      </c>
      <c r="F104" s="258">
        <v>224</v>
      </c>
      <c r="G104" s="258">
        <v>79</v>
      </c>
      <c r="H104" s="258"/>
      <c r="I104" s="258"/>
      <c r="J104" s="258"/>
      <c r="K104" s="264"/>
      <c r="L104" s="264"/>
      <c r="M104" s="264"/>
      <c r="N104" s="264"/>
      <c r="O104" s="264"/>
      <c r="P104" s="264"/>
      <c r="Q104" s="264"/>
      <c r="AI104" s="265"/>
      <c r="AJ104" s="265"/>
      <c r="AK104" s="265"/>
      <c r="AL104" s="265"/>
      <c r="AM104" s="265"/>
      <c r="AN104" s="265"/>
      <c r="AO104" s="265"/>
      <c r="AP104" s="265"/>
      <c r="AQ104" s="265"/>
      <c r="AR104" s="265"/>
      <c r="AS104" s="265"/>
      <c r="AT104" s="265"/>
      <c r="AU104" s="265"/>
      <c r="AV104" s="265"/>
      <c r="AW104" s="265"/>
      <c r="AX104" s="265"/>
      <c r="AY104" s="265"/>
      <c r="AZ104" s="265"/>
      <c r="BA104" s="265"/>
      <c r="BB104" s="265"/>
    </row>
    <row r="105" spans="1:54" s="167" customFormat="1">
      <c r="A105" s="266"/>
      <c r="B105" s="271"/>
      <c r="C105" s="258"/>
      <c r="D105" s="258"/>
      <c r="E105" s="258"/>
      <c r="F105" s="258"/>
      <c r="G105" s="258"/>
      <c r="H105" s="258"/>
      <c r="I105" s="258"/>
      <c r="J105" s="258"/>
      <c r="K105" s="264"/>
      <c r="L105" s="264"/>
      <c r="M105" s="264"/>
      <c r="N105" s="264"/>
      <c r="O105" s="264"/>
      <c r="P105" s="264"/>
      <c r="Q105" s="264"/>
      <c r="AI105" s="265"/>
      <c r="AJ105" s="265"/>
      <c r="AK105" s="265"/>
      <c r="AL105" s="265"/>
      <c r="AM105" s="265"/>
      <c r="AN105" s="265"/>
      <c r="AO105" s="265"/>
      <c r="AP105" s="265"/>
      <c r="AQ105" s="265"/>
      <c r="AR105" s="265"/>
      <c r="AS105" s="265"/>
      <c r="AT105" s="265"/>
      <c r="AU105" s="265"/>
      <c r="AV105" s="265"/>
      <c r="AW105" s="265"/>
      <c r="AX105" s="265"/>
      <c r="AY105" s="265"/>
      <c r="AZ105" s="265"/>
      <c r="BA105" s="265"/>
      <c r="BB105" s="265"/>
    </row>
    <row r="106" spans="1:54" s="167" customFormat="1">
      <c r="A106" s="266"/>
      <c r="B106" s="271"/>
      <c r="C106" s="258"/>
      <c r="D106" s="258"/>
      <c r="E106" s="258"/>
      <c r="F106" s="258"/>
      <c r="G106" s="258"/>
      <c r="H106" s="258"/>
      <c r="I106" s="258"/>
      <c r="J106" s="258"/>
      <c r="K106" s="264"/>
      <c r="L106" s="264"/>
      <c r="M106" s="264"/>
      <c r="N106" s="264"/>
      <c r="O106" s="264"/>
      <c r="P106" s="264"/>
      <c r="Q106" s="264"/>
      <c r="AI106" s="265"/>
      <c r="AJ106" s="265"/>
      <c r="AK106" s="265"/>
      <c r="AL106" s="265"/>
      <c r="AM106" s="265"/>
      <c r="AN106" s="265"/>
      <c r="AO106" s="265"/>
      <c r="AP106" s="265"/>
      <c r="AQ106" s="265"/>
      <c r="AR106" s="265"/>
      <c r="AS106" s="265"/>
      <c r="AT106" s="265"/>
      <c r="AU106" s="265"/>
      <c r="AV106" s="265"/>
      <c r="AW106" s="265"/>
      <c r="AX106" s="265"/>
      <c r="AY106" s="265"/>
      <c r="AZ106" s="265"/>
      <c r="BA106" s="265"/>
      <c r="BB106" s="265"/>
    </row>
    <row r="107" spans="1:54" s="167" customFormat="1">
      <c r="A107" s="266"/>
      <c r="B107" s="271"/>
      <c r="C107" s="258"/>
      <c r="D107" s="258"/>
      <c r="E107" s="258"/>
      <c r="F107" s="258"/>
      <c r="G107" s="258"/>
      <c r="H107" s="258"/>
      <c r="I107" s="258"/>
      <c r="J107" s="258"/>
      <c r="K107" s="264"/>
      <c r="L107" s="264"/>
      <c r="M107" s="264"/>
      <c r="N107" s="264"/>
      <c r="O107" s="264"/>
      <c r="P107" s="264"/>
      <c r="Q107" s="264"/>
      <c r="AI107" s="265"/>
      <c r="AJ107" s="265"/>
      <c r="AK107" s="265"/>
      <c r="AL107" s="265"/>
      <c r="AM107" s="265"/>
      <c r="AN107" s="265"/>
      <c r="AO107" s="265"/>
      <c r="AP107" s="265"/>
      <c r="AQ107" s="265"/>
      <c r="AR107" s="265"/>
      <c r="AS107" s="265"/>
      <c r="AT107" s="265"/>
      <c r="AU107" s="265"/>
      <c r="AV107" s="265"/>
      <c r="AW107" s="265"/>
      <c r="AX107" s="265"/>
      <c r="AY107" s="265"/>
      <c r="AZ107" s="265"/>
      <c r="BA107" s="265"/>
      <c r="BB107" s="265"/>
    </row>
    <row r="108" spans="1:54" s="167" customFormat="1" ht="18" customHeight="1">
      <c r="A108" s="266"/>
      <c r="B108" s="271"/>
      <c r="C108" s="258"/>
      <c r="D108" s="258"/>
      <c r="E108" s="258"/>
      <c r="F108" s="258"/>
      <c r="G108" s="258"/>
      <c r="H108" s="258"/>
      <c r="I108" s="258"/>
      <c r="J108" s="258"/>
      <c r="K108" s="264"/>
      <c r="L108" s="264"/>
      <c r="M108" s="264"/>
      <c r="N108" s="264"/>
      <c r="O108" s="264"/>
      <c r="P108" s="264"/>
      <c r="Q108" s="264"/>
      <c r="AI108" s="265"/>
      <c r="AJ108" s="265"/>
      <c r="AK108" s="265"/>
      <c r="AL108" s="265"/>
      <c r="AM108" s="265"/>
      <c r="AN108" s="265"/>
      <c r="AO108" s="265"/>
      <c r="AP108" s="265"/>
      <c r="AQ108" s="265"/>
      <c r="AR108" s="265"/>
      <c r="AS108" s="265"/>
      <c r="AT108" s="265"/>
      <c r="AU108" s="265"/>
      <c r="AV108" s="265"/>
      <c r="AW108" s="265"/>
      <c r="AX108" s="265"/>
      <c r="AY108" s="265"/>
      <c r="AZ108" s="265"/>
      <c r="BA108" s="265"/>
      <c r="BB108" s="265"/>
    </row>
    <row r="109" spans="1:54" s="167" customFormat="1" ht="18" customHeight="1">
      <c r="A109" s="266" t="s">
        <v>183</v>
      </c>
      <c r="B109" s="271"/>
      <c r="C109" s="258"/>
      <c r="D109" s="258"/>
      <c r="E109" s="258"/>
      <c r="F109" s="258"/>
      <c r="G109" s="258"/>
      <c r="H109" s="258"/>
      <c r="I109" s="258"/>
      <c r="J109" s="258"/>
      <c r="K109" s="264"/>
      <c r="L109" s="264"/>
      <c r="M109" s="264"/>
      <c r="N109" s="264"/>
      <c r="O109" s="264"/>
      <c r="P109" s="264"/>
      <c r="Q109" s="264"/>
      <c r="AI109" s="265"/>
      <c r="AJ109" s="265"/>
      <c r="AK109" s="265"/>
      <c r="AL109" s="265"/>
      <c r="AM109" s="265"/>
      <c r="AN109" s="265"/>
      <c r="AO109" s="265"/>
      <c r="AP109" s="265"/>
      <c r="AQ109" s="265"/>
      <c r="AR109" s="265"/>
      <c r="AS109" s="265"/>
      <c r="AT109" s="265"/>
      <c r="AU109" s="265"/>
      <c r="AV109" s="265"/>
      <c r="AW109" s="265"/>
      <c r="AX109" s="265"/>
      <c r="AY109" s="265"/>
      <c r="AZ109" s="265"/>
      <c r="BA109" s="265"/>
      <c r="BB109" s="265"/>
    </row>
    <row r="110" spans="1:54" s="167" customFormat="1" ht="18" customHeight="1">
      <c r="A110" s="266">
        <v>5</v>
      </c>
      <c r="B110" s="271"/>
      <c r="C110" s="258"/>
      <c r="D110" s="258"/>
      <c r="E110" s="258"/>
      <c r="F110" s="258"/>
      <c r="G110" s="258"/>
      <c r="H110" s="258"/>
      <c r="I110" s="258"/>
      <c r="J110" s="258"/>
      <c r="K110" s="264"/>
      <c r="L110" s="264"/>
      <c r="M110" s="264"/>
      <c r="N110" s="264"/>
      <c r="O110" s="264"/>
      <c r="P110" s="264"/>
      <c r="Q110" s="264"/>
      <c r="AI110" s="265"/>
      <c r="AJ110" s="265"/>
      <c r="AK110" s="265"/>
      <c r="AL110" s="265"/>
      <c r="AM110" s="265"/>
      <c r="AN110" s="265"/>
      <c r="AO110" s="265"/>
      <c r="AP110" s="265"/>
      <c r="AQ110" s="265"/>
      <c r="AR110" s="265"/>
      <c r="AS110" s="265"/>
      <c r="AT110" s="265"/>
      <c r="AU110" s="265"/>
      <c r="AV110" s="265"/>
      <c r="AW110" s="265"/>
      <c r="AX110" s="265"/>
      <c r="AY110" s="265"/>
      <c r="AZ110" s="265"/>
      <c r="BA110" s="265"/>
      <c r="BB110" s="265"/>
    </row>
    <row r="111" spans="1:54" s="167" customFormat="1" ht="18" customHeight="1">
      <c r="A111" s="266"/>
      <c r="B111" s="271"/>
      <c r="C111" s="258"/>
      <c r="D111" s="258"/>
      <c r="E111" s="258"/>
      <c r="F111" s="258"/>
      <c r="G111" s="258"/>
      <c r="H111" s="258"/>
      <c r="I111" s="258"/>
      <c r="J111" s="258"/>
      <c r="K111" s="264"/>
      <c r="L111" s="264"/>
      <c r="M111" s="264"/>
      <c r="N111" s="264"/>
      <c r="O111" s="264"/>
      <c r="P111" s="264"/>
      <c r="Q111" s="264"/>
      <c r="AI111" s="265"/>
      <c r="AJ111" s="265"/>
      <c r="AK111" s="265"/>
      <c r="AL111" s="265"/>
      <c r="AM111" s="265"/>
      <c r="AN111" s="265"/>
      <c r="AO111" s="265"/>
      <c r="AP111" s="265"/>
      <c r="AQ111" s="265"/>
      <c r="AR111" s="265"/>
      <c r="AS111" s="265"/>
      <c r="AT111" s="265"/>
      <c r="AU111" s="265"/>
      <c r="AV111" s="265"/>
      <c r="AW111" s="265"/>
      <c r="AX111" s="265"/>
      <c r="AY111" s="265"/>
      <c r="AZ111" s="265"/>
      <c r="BA111" s="265"/>
      <c r="BB111" s="265"/>
    </row>
    <row r="112" spans="1:54" s="167" customFormat="1" ht="18" customHeight="1">
      <c r="A112" s="266"/>
      <c r="B112" s="271"/>
      <c r="C112" s="258"/>
      <c r="D112" s="258"/>
      <c r="E112" s="258"/>
      <c r="F112" s="258"/>
      <c r="G112" s="258"/>
      <c r="H112" s="258"/>
      <c r="I112" s="258"/>
      <c r="J112" s="258"/>
      <c r="K112" s="264"/>
      <c r="L112" s="264"/>
      <c r="M112" s="264"/>
      <c r="N112" s="264"/>
      <c r="O112" s="264"/>
      <c r="P112" s="264"/>
      <c r="Q112" s="264"/>
      <c r="AI112" s="265"/>
      <c r="AJ112" s="265"/>
      <c r="AK112" s="265"/>
      <c r="AL112" s="265"/>
      <c r="AM112" s="265"/>
      <c r="AN112" s="265"/>
      <c r="AO112" s="265"/>
      <c r="AP112" s="265"/>
      <c r="AQ112" s="265"/>
      <c r="AR112" s="265"/>
      <c r="AS112" s="265"/>
      <c r="AT112" s="265"/>
      <c r="AU112" s="265"/>
      <c r="AV112" s="265"/>
      <c r="AW112" s="265"/>
      <c r="AX112" s="265"/>
      <c r="AY112" s="265"/>
      <c r="AZ112" s="265"/>
      <c r="BA112" s="265"/>
      <c r="BB112" s="265"/>
    </row>
    <row r="113" spans="1:55" s="167" customFormat="1" ht="18" customHeight="1">
      <c r="A113" s="266"/>
      <c r="B113" s="271"/>
      <c r="C113" s="258"/>
      <c r="D113" s="258"/>
      <c r="E113" s="258"/>
      <c r="F113" s="258"/>
      <c r="G113" s="258"/>
      <c r="H113" s="258"/>
      <c r="I113" s="258"/>
      <c r="J113" s="258"/>
      <c r="K113" s="264"/>
      <c r="L113" s="264"/>
      <c r="M113" s="264"/>
      <c r="N113" s="264"/>
      <c r="O113" s="264"/>
      <c r="P113" s="264"/>
      <c r="Q113" s="264"/>
      <c r="AI113" s="265"/>
      <c r="AJ113" s="265"/>
      <c r="AK113" s="265"/>
      <c r="AL113" s="265"/>
      <c r="AM113" s="265"/>
      <c r="AN113" s="265"/>
      <c r="AO113" s="265"/>
      <c r="AP113" s="265"/>
      <c r="AQ113" s="265"/>
      <c r="AR113" s="265"/>
      <c r="AS113" s="265"/>
      <c r="AT113" s="265"/>
      <c r="AU113" s="265"/>
      <c r="AV113" s="265"/>
      <c r="AW113" s="265"/>
      <c r="AX113" s="265"/>
      <c r="AY113" s="265"/>
      <c r="AZ113" s="265"/>
      <c r="BA113" s="265"/>
      <c r="BB113" s="265"/>
      <c r="BC113" s="265"/>
    </row>
    <row r="114" spans="1:55" s="167" customFormat="1" ht="18" customHeight="1">
      <c r="A114" s="266"/>
      <c r="B114" s="271"/>
      <c r="C114" s="258"/>
      <c r="D114" s="258"/>
      <c r="E114" s="258"/>
      <c r="F114" s="258"/>
      <c r="G114" s="258"/>
      <c r="H114" s="258"/>
      <c r="I114" s="258"/>
      <c r="J114" s="258"/>
      <c r="K114" s="264"/>
      <c r="L114" s="264"/>
      <c r="M114" s="264"/>
      <c r="N114" s="264"/>
      <c r="O114" s="264"/>
      <c r="P114" s="264"/>
      <c r="Q114" s="264"/>
      <c r="AI114" s="265"/>
      <c r="AJ114" s="265"/>
      <c r="AK114" s="265"/>
      <c r="AL114" s="265"/>
      <c r="AM114" s="265"/>
      <c r="AN114" s="265"/>
      <c r="AO114" s="265"/>
      <c r="AP114" s="265"/>
      <c r="AQ114" s="265"/>
      <c r="AR114" s="265"/>
      <c r="AS114" s="265"/>
      <c r="AT114" s="265"/>
      <c r="AU114" s="265"/>
      <c r="AV114" s="265"/>
      <c r="AW114" s="265"/>
      <c r="AX114" s="265"/>
      <c r="AY114" s="265"/>
      <c r="AZ114" s="265"/>
      <c r="BA114" s="265"/>
      <c r="BB114" s="265"/>
      <c r="BC114" s="265"/>
    </row>
    <row r="115" spans="1:55" s="167" customFormat="1" ht="18" customHeight="1">
      <c r="A115" s="266"/>
      <c r="B115" s="271"/>
      <c r="C115" s="258"/>
      <c r="D115" s="258"/>
      <c r="E115" s="258"/>
      <c r="F115" s="258"/>
      <c r="G115" s="258"/>
      <c r="H115" s="258"/>
      <c r="I115" s="258"/>
      <c r="J115" s="258"/>
      <c r="K115" s="264"/>
      <c r="L115" s="264"/>
      <c r="M115" s="264"/>
      <c r="N115" s="264"/>
      <c r="O115" s="264"/>
      <c r="P115" s="264"/>
      <c r="Q115" s="264"/>
      <c r="AI115" s="265"/>
      <c r="AJ115" s="265"/>
      <c r="AK115" s="265"/>
      <c r="AL115" s="265"/>
      <c r="AM115" s="265"/>
      <c r="AN115" s="265"/>
      <c r="AO115" s="265"/>
      <c r="AP115" s="265"/>
      <c r="AQ115" s="265"/>
      <c r="AR115" s="265"/>
      <c r="AS115" s="265"/>
      <c r="AT115" s="265"/>
      <c r="AU115" s="265"/>
      <c r="AV115" s="265"/>
      <c r="AW115" s="265"/>
      <c r="AX115" s="265"/>
      <c r="AY115" s="265"/>
      <c r="AZ115" s="265"/>
      <c r="BA115" s="265"/>
      <c r="BB115" s="265"/>
      <c r="BC115" s="265"/>
    </row>
    <row r="116" spans="1:55" s="167" customFormat="1" ht="18" customHeight="1">
      <c r="A116" s="266"/>
      <c r="B116" s="271"/>
      <c r="C116" s="258"/>
      <c r="D116" s="258"/>
      <c r="E116" s="258"/>
      <c r="F116" s="258"/>
      <c r="G116" s="258"/>
      <c r="H116" s="258"/>
      <c r="I116" s="258"/>
      <c r="J116" s="258"/>
      <c r="K116" s="264"/>
      <c r="L116" s="264"/>
      <c r="M116" s="264"/>
      <c r="N116" s="264"/>
      <c r="O116" s="264"/>
      <c r="P116" s="264"/>
      <c r="Q116" s="264"/>
      <c r="AI116" s="265"/>
      <c r="AJ116" s="265"/>
      <c r="AK116" s="265"/>
      <c r="AL116" s="265"/>
      <c r="AM116" s="265"/>
      <c r="AN116" s="265"/>
      <c r="AO116" s="265"/>
      <c r="AP116" s="265"/>
      <c r="AQ116" s="265"/>
      <c r="AR116" s="265"/>
      <c r="AS116" s="265"/>
      <c r="AT116" s="265"/>
      <c r="AU116" s="265"/>
      <c r="AV116" s="265"/>
      <c r="AW116" s="265"/>
      <c r="AX116" s="265"/>
      <c r="AY116" s="265"/>
      <c r="AZ116" s="265"/>
      <c r="BA116" s="265"/>
      <c r="BB116" s="265"/>
      <c r="BC116" s="265"/>
    </row>
    <row r="117" spans="1:55" s="167" customFormat="1" ht="18" customHeight="1">
      <c r="A117" s="266"/>
      <c r="B117" s="271"/>
      <c r="C117" s="258"/>
      <c r="D117" s="258"/>
      <c r="E117" s="258"/>
      <c r="F117" s="258"/>
      <c r="G117" s="258"/>
      <c r="H117" s="258"/>
      <c r="I117" s="258"/>
      <c r="J117" s="258"/>
      <c r="K117" s="264"/>
      <c r="L117" s="264"/>
      <c r="M117" s="264"/>
      <c r="N117" s="264"/>
      <c r="O117" s="264"/>
      <c r="P117" s="264"/>
      <c r="Q117" s="264"/>
      <c r="AI117" s="265"/>
      <c r="AJ117" s="265"/>
      <c r="AK117" s="265"/>
      <c r="AL117" s="265"/>
      <c r="AM117" s="265"/>
      <c r="AN117" s="265"/>
      <c r="AO117" s="265"/>
      <c r="AP117" s="265"/>
      <c r="AQ117" s="265"/>
      <c r="AR117" s="265"/>
      <c r="AS117" s="265"/>
      <c r="AT117" s="265"/>
      <c r="AU117" s="265"/>
      <c r="AV117" s="265"/>
      <c r="AW117" s="265"/>
      <c r="AX117" s="265"/>
      <c r="AY117" s="265"/>
      <c r="AZ117" s="265"/>
      <c r="BA117" s="265"/>
      <c r="BB117" s="265"/>
      <c r="BC117" s="265"/>
    </row>
    <row r="118" spans="1:55" s="167" customFormat="1" ht="18" customHeight="1">
      <c r="A118" s="266"/>
      <c r="B118" s="271"/>
      <c r="C118" s="260"/>
      <c r="D118" s="260"/>
      <c r="E118" s="260"/>
      <c r="F118" s="260"/>
      <c r="G118" s="260"/>
      <c r="H118" s="260"/>
      <c r="I118" s="260"/>
      <c r="J118" s="260"/>
      <c r="K118" s="264"/>
      <c r="L118" s="264"/>
      <c r="M118" s="264"/>
      <c r="N118" s="264"/>
      <c r="O118" s="264"/>
      <c r="P118" s="264"/>
      <c r="Q118" s="264"/>
      <c r="AI118" s="265"/>
      <c r="AJ118" s="265"/>
      <c r="AK118" s="265"/>
      <c r="AL118" s="265"/>
      <c r="AM118" s="265"/>
      <c r="AN118" s="265"/>
      <c r="AO118" s="265"/>
      <c r="AP118" s="265"/>
      <c r="AQ118" s="265"/>
      <c r="AR118" s="265"/>
      <c r="AS118" s="265"/>
      <c r="AT118" s="265"/>
      <c r="AU118" s="265"/>
      <c r="AV118" s="265"/>
      <c r="AW118" s="265"/>
      <c r="AX118" s="265"/>
      <c r="AY118" s="265"/>
      <c r="AZ118" s="265"/>
      <c r="BA118" s="265"/>
      <c r="BB118" s="265"/>
      <c r="BC118" s="265"/>
    </row>
    <row r="119" spans="1:55" s="274" customFormat="1" ht="18" customHeight="1">
      <c r="A119" s="270">
        <f>A89+1</f>
        <v>4</v>
      </c>
      <c r="B119" s="271"/>
      <c r="C119" s="272" t="str">
        <f>IF($A$1 = 1, (IF("("&amp;C129&amp;")" ="()","","("&amp;C129&amp;")")), (IF("("&amp;C134&amp;")    ("&amp;C129&amp;")"="()    ()","","("&amp;C134&amp;")    ("&amp;C129&amp;")")))</f>
        <v>(14)    (16)</v>
      </c>
      <c r="D119" s="272" t="str">
        <f t="shared" ref="D119:J119" si="9">IF($A$1 = 1, (IF("("&amp;D129&amp;")" ="()","","("&amp;D129&amp;")")), (IF("("&amp;D134&amp;")    ("&amp;D129&amp;")"="()    ()","","("&amp;D134&amp;")    ("&amp;D129&amp;")")))</f>
        <v>(66)    (67)</v>
      </c>
      <c r="E119" s="272" t="str">
        <f t="shared" si="9"/>
        <v>(33)    (38)</v>
      </c>
      <c r="F119" s="272" t="str">
        <f t="shared" si="9"/>
        <v>(104)    (125)</v>
      </c>
      <c r="G119" s="272" t="str">
        <f t="shared" si="9"/>
        <v>(232)    (317)</v>
      </c>
      <c r="H119" s="272" t="str">
        <f t="shared" si="9"/>
        <v/>
      </c>
      <c r="I119" s="272" t="str">
        <f t="shared" si="9"/>
        <v/>
      </c>
      <c r="J119" s="272" t="str">
        <f t="shared" si="9"/>
        <v/>
      </c>
      <c r="K119" s="273"/>
      <c r="L119" s="273"/>
      <c r="M119" s="273"/>
      <c r="N119" s="273"/>
      <c r="O119" s="273"/>
      <c r="P119" s="273"/>
      <c r="Q119" s="273"/>
      <c r="AI119" s="275"/>
      <c r="AJ119" s="275"/>
      <c r="AK119" s="275"/>
      <c r="AL119" s="275"/>
      <c r="AM119" s="275"/>
      <c r="AN119" s="275"/>
      <c r="AO119" s="275"/>
      <c r="AP119" s="275"/>
      <c r="AQ119" s="275"/>
      <c r="AR119" s="275"/>
      <c r="AS119" s="275"/>
      <c r="AT119" s="275"/>
      <c r="AU119" s="275"/>
      <c r="AV119" s="275"/>
      <c r="AW119" s="275"/>
      <c r="AX119" s="275"/>
      <c r="AY119" s="275"/>
      <c r="AZ119" s="275"/>
      <c r="BA119" s="275"/>
      <c r="BB119" s="275"/>
      <c r="BC119" s="275"/>
    </row>
    <row r="120" spans="1:55" s="280" customFormat="1" ht="59.1" customHeight="1">
      <c r="A120" s="276"/>
      <c r="B120" s="277"/>
      <c r="C120" s="278" t="s">
        <v>827</v>
      </c>
      <c r="D120" s="278" t="s">
        <v>828</v>
      </c>
      <c r="E120" s="278" t="s">
        <v>829</v>
      </c>
      <c r="F120" s="278" t="s">
        <v>830</v>
      </c>
      <c r="G120" s="278" t="s">
        <v>831</v>
      </c>
      <c r="H120" s="278"/>
      <c r="I120" s="278"/>
      <c r="J120" s="278"/>
      <c r="K120" s="279"/>
      <c r="L120" s="279"/>
      <c r="M120" s="279"/>
      <c r="N120" s="279"/>
      <c r="O120" s="279"/>
      <c r="P120" s="279"/>
      <c r="Q120" s="279"/>
      <c r="AI120" s="281"/>
      <c r="AJ120" s="281"/>
      <c r="AK120" s="281"/>
      <c r="AL120" s="281"/>
      <c r="AM120" s="281"/>
      <c r="AN120" s="281"/>
      <c r="AO120" s="281"/>
      <c r="AP120" s="281"/>
      <c r="AQ120" s="281"/>
      <c r="AS120" s="281"/>
      <c r="AT120" s="281"/>
      <c r="AU120" s="281"/>
      <c r="AV120" s="281"/>
      <c r="AW120" s="281"/>
      <c r="AX120" s="281"/>
      <c r="AY120" s="281"/>
      <c r="AZ120" s="281"/>
      <c r="BA120" s="281"/>
      <c r="BB120" s="281"/>
      <c r="BC120" s="281"/>
    </row>
    <row r="121" spans="1:55" s="167" customFormat="1" ht="21.95" customHeight="1">
      <c r="A121" s="266"/>
      <c r="B121" s="282" t="s">
        <v>3</v>
      </c>
      <c r="C121" s="283">
        <v>93</v>
      </c>
      <c r="D121" s="283">
        <v>83</v>
      </c>
      <c r="E121" s="283">
        <v>87</v>
      </c>
      <c r="F121" s="283">
        <v>82</v>
      </c>
      <c r="G121" s="283">
        <v>82</v>
      </c>
      <c r="H121" s="283"/>
      <c r="I121" s="283"/>
      <c r="J121" s="283"/>
      <c r="K121" s="284"/>
      <c r="L121" s="284"/>
      <c r="M121" s="284"/>
      <c r="N121" s="284"/>
      <c r="O121" s="284"/>
      <c r="P121" s="284"/>
      <c r="Q121" s="284"/>
      <c r="AI121" s="265"/>
      <c r="AJ121" s="265"/>
      <c r="AK121" s="265"/>
      <c r="AL121" s="265"/>
      <c r="AM121" s="265"/>
      <c r="AN121" s="265"/>
      <c r="AO121" s="265"/>
      <c r="AP121" s="265"/>
      <c r="AQ121" s="265"/>
      <c r="AS121" s="265"/>
      <c r="AT121" s="265"/>
      <c r="AU121" s="265"/>
      <c r="AV121" s="265"/>
      <c r="AW121" s="265"/>
      <c r="AX121" s="265"/>
      <c r="AY121" s="265"/>
      <c r="AZ121" s="265"/>
      <c r="BA121" s="265"/>
      <c r="BB121" s="265"/>
      <c r="BC121" s="265"/>
    </row>
    <row r="122" spans="1:55" s="167" customFormat="1" ht="21.95" customHeight="1">
      <c r="A122" s="266"/>
      <c r="B122" s="285" t="s">
        <v>18</v>
      </c>
      <c r="C122" s="283">
        <v>87</v>
      </c>
      <c r="D122" s="283">
        <v>81</v>
      </c>
      <c r="E122" s="283">
        <v>86</v>
      </c>
      <c r="F122" s="283">
        <v>83</v>
      </c>
      <c r="G122" s="283">
        <v>86</v>
      </c>
      <c r="H122" s="283"/>
      <c r="I122" s="283"/>
      <c r="J122" s="283"/>
      <c r="K122" s="286"/>
      <c r="L122" s="286"/>
      <c r="M122" s="286"/>
      <c r="N122" s="286"/>
      <c r="O122" s="286"/>
      <c r="P122" s="286"/>
      <c r="Q122" s="286"/>
      <c r="AI122" s="265"/>
      <c r="AJ122" s="265"/>
      <c r="AK122" s="265"/>
      <c r="AL122" s="265"/>
      <c r="AM122" s="265"/>
      <c r="AN122" s="265"/>
      <c r="AO122" s="265"/>
      <c r="AP122" s="265"/>
      <c r="AQ122" s="265"/>
      <c r="AS122" s="265"/>
      <c r="AT122" s="265"/>
      <c r="AU122" s="265"/>
      <c r="AV122" s="265"/>
      <c r="AW122" s="265"/>
      <c r="AX122" s="265"/>
      <c r="AY122" s="265"/>
      <c r="AZ122" s="265"/>
      <c r="BA122" s="265"/>
      <c r="BB122" s="265"/>
      <c r="BC122" s="265"/>
    </row>
    <row r="123" spans="1:55" s="167" customFormat="1" ht="21.95" customHeight="1">
      <c r="A123" s="169"/>
      <c r="B123" s="287" t="s">
        <v>32</v>
      </c>
      <c r="C123" s="283">
        <v>91</v>
      </c>
      <c r="D123" s="283">
        <v>80</v>
      </c>
      <c r="E123" s="283">
        <v>82</v>
      </c>
      <c r="F123" s="283">
        <v>81</v>
      </c>
      <c r="G123" s="283">
        <v>76</v>
      </c>
      <c r="H123" s="283"/>
      <c r="I123" s="283"/>
      <c r="J123" s="283"/>
      <c r="K123" s="286"/>
      <c r="L123" s="286"/>
      <c r="M123" s="286"/>
      <c r="N123" s="286"/>
      <c r="O123" s="286"/>
      <c r="P123" s="286"/>
      <c r="Q123" s="286"/>
      <c r="AI123" s="265"/>
      <c r="AJ123" s="265"/>
      <c r="AK123" s="265"/>
      <c r="AL123" s="265"/>
      <c r="AM123" s="265"/>
      <c r="AN123" s="265"/>
      <c r="AO123" s="265"/>
      <c r="AP123" s="265"/>
      <c r="AQ123" s="265"/>
      <c r="AS123" s="265"/>
      <c r="AT123" s="265"/>
      <c r="AU123" s="265"/>
      <c r="AV123" s="265"/>
      <c r="AW123" s="265"/>
      <c r="AX123" s="265"/>
      <c r="AY123" s="265"/>
      <c r="AZ123" s="265"/>
      <c r="BA123" s="265"/>
      <c r="BB123" s="265"/>
    </row>
    <row r="124" spans="1:55" s="167" customFormat="1" ht="21.95" customHeight="1">
      <c r="A124" s="169"/>
      <c r="B124" s="288" t="s">
        <v>45</v>
      </c>
      <c r="C124" s="283">
        <v>95</v>
      </c>
      <c r="D124" s="283">
        <v>85</v>
      </c>
      <c r="E124" s="283">
        <v>86</v>
      </c>
      <c r="F124" s="283">
        <v>86</v>
      </c>
      <c r="G124" s="283">
        <v>78</v>
      </c>
      <c r="H124" s="283"/>
      <c r="I124" s="283"/>
      <c r="J124" s="283"/>
      <c r="K124" s="286"/>
      <c r="L124" s="286"/>
      <c r="M124" s="286"/>
      <c r="N124" s="286"/>
      <c r="O124" s="286"/>
      <c r="P124" s="286"/>
      <c r="Q124" s="286"/>
      <c r="AI124" s="265"/>
      <c r="AJ124" s="265"/>
      <c r="AK124" s="265"/>
      <c r="AL124" s="265"/>
      <c r="AM124" s="265"/>
      <c r="AN124" s="265"/>
      <c r="AO124" s="265"/>
      <c r="AP124" s="265"/>
      <c r="AQ124" s="265"/>
      <c r="AS124" s="265"/>
      <c r="AT124" s="265"/>
      <c r="AU124" s="265"/>
      <c r="AV124" s="265"/>
      <c r="AW124" s="265"/>
      <c r="AX124" s="265"/>
      <c r="AY124" s="265"/>
      <c r="AZ124" s="265"/>
      <c r="BA124" s="265"/>
      <c r="BB124" s="265"/>
    </row>
    <row r="125" spans="1:55" s="167" customFormat="1" ht="21.95" customHeight="1">
      <c r="A125" s="169"/>
      <c r="B125" s="290" t="s">
        <v>54</v>
      </c>
      <c r="C125" s="283">
        <v>93</v>
      </c>
      <c r="D125" s="283">
        <v>88</v>
      </c>
      <c r="E125" s="283">
        <v>86</v>
      </c>
      <c r="F125" s="283">
        <v>86</v>
      </c>
      <c r="G125" s="283">
        <v>87</v>
      </c>
      <c r="H125" s="283"/>
      <c r="I125" s="283"/>
      <c r="J125" s="283"/>
      <c r="K125" s="286"/>
      <c r="L125" s="286"/>
      <c r="M125" s="286"/>
      <c r="N125" s="286"/>
      <c r="O125" s="286"/>
      <c r="P125" s="286"/>
      <c r="Q125" s="286"/>
      <c r="AI125" s="265"/>
      <c r="AJ125" s="265"/>
      <c r="AK125" s="265"/>
      <c r="AL125" s="265"/>
      <c r="AM125" s="265"/>
      <c r="AN125" s="265"/>
      <c r="AO125" s="265"/>
      <c r="AP125" s="265"/>
      <c r="AQ125" s="265"/>
      <c r="AS125" s="265"/>
      <c r="AT125" s="265"/>
      <c r="AU125" s="265"/>
      <c r="AV125" s="265"/>
      <c r="AW125" s="265"/>
      <c r="AX125" s="265"/>
      <c r="AY125" s="265"/>
      <c r="AZ125" s="265"/>
      <c r="BA125" s="265"/>
      <c r="BB125" s="265"/>
    </row>
    <row r="126" spans="1:55" s="167" customFormat="1">
      <c r="A126" s="169"/>
      <c r="B126" s="291" t="s">
        <v>66</v>
      </c>
      <c r="C126" s="286">
        <v>100</v>
      </c>
      <c r="D126" s="286">
        <v>88</v>
      </c>
      <c r="E126" s="286">
        <v>92</v>
      </c>
      <c r="F126" s="286">
        <v>90</v>
      </c>
      <c r="G126" s="286">
        <v>89</v>
      </c>
      <c r="H126" s="286"/>
      <c r="I126" s="286"/>
      <c r="J126" s="286"/>
      <c r="K126" s="286"/>
      <c r="L126" s="286"/>
      <c r="M126" s="286"/>
      <c r="N126" s="286"/>
      <c r="O126" s="286"/>
      <c r="P126" s="286"/>
      <c r="Q126" s="286"/>
      <c r="AI126" s="265"/>
      <c r="AJ126" s="265"/>
      <c r="AK126" s="265"/>
      <c r="AL126" s="265"/>
      <c r="AM126" s="265"/>
      <c r="AN126" s="265"/>
      <c r="AO126" s="265"/>
      <c r="AP126" s="265"/>
      <c r="AQ126" s="265"/>
      <c r="AS126" s="265"/>
      <c r="AT126" s="265"/>
      <c r="AU126" s="265"/>
      <c r="AV126" s="265"/>
      <c r="AW126" s="265"/>
      <c r="AX126" s="265"/>
      <c r="AY126" s="265"/>
      <c r="AZ126" s="265"/>
      <c r="BA126" s="265"/>
      <c r="BB126" s="265"/>
    </row>
    <row r="127" spans="1:55" s="167" customFormat="1">
      <c r="A127" s="169"/>
      <c r="B127" s="291" t="s">
        <v>158</v>
      </c>
      <c r="C127" s="292">
        <v>92</v>
      </c>
      <c r="D127" s="292">
        <v>83</v>
      </c>
      <c r="E127" s="292">
        <v>85</v>
      </c>
      <c r="F127" s="292">
        <v>83</v>
      </c>
      <c r="G127" s="292">
        <v>82</v>
      </c>
      <c r="H127" s="292"/>
      <c r="I127" s="292"/>
      <c r="J127" s="292"/>
      <c r="K127" s="292"/>
      <c r="L127" s="292"/>
      <c r="M127" s="292"/>
      <c r="N127" s="292"/>
      <c r="O127" s="292"/>
      <c r="P127" s="292"/>
      <c r="Q127" s="292"/>
      <c r="AI127" s="265"/>
      <c r="AJ127" s="265"/>
      <c r="AK127" s="265"/>
      <c r="AL127" s="265"/>
      <c r="AM127" s="265"/>
      <c r="AN127" s="265"/>
      <c r="AO127" s="265"/>
      <c r="AP127" s="265"/>
      <c r="AQ127" s="265"/>
      <c r="AS127" s="265"/>
      <c r="AT127" s="265"/>
      <c r="AU127" s="265"/>
      <c r="AV127" s="265"/>
      <c r="AW127" s="265"/>
      <c r="AX127" s="265"/>
      <c r="AY127" s="265"/>
      <c r="AZ127" s="265"/>
      <c r="BA127" s="265"/>
      <c r="BB127" s="265"/>
    </row>
    <row r="128" spans="1:55" s="167" customFormat="1">
      <c r="A128" s="169"/>
      <c r="B128" s="291" t="s">
        <v>189</v>
      </c>
      <c r="C128" s="292">
        <v>83</v>
      </c>
      <c r="D128" s="292">
        <v>83</v>
      </c>
      <c r="E128" s="292">
        <v>83</v>
      </c>
      <c r="F128" s="292">
        <v>83</v>
      </c>
      <c r="G128" s="292">
        <v>83</v>
      </c>
      <c r="H128" s="292"/>
      <c r="I128" s="292"/>
      <c r="J128" s="292"/>
      <c r="K128" s="292"/>
      <c r="L128" s="292"/>
      <c r="M128" s="292"/>
      <c r="N128" s="292"/>
      <c r="O128" s="292"/>
      <c r="P128" s="292"/>
      <c r="Q128" s="292"/>
      <c r="AI128" s="293"/>
      <c r="AJ128" s="293"/>
      <c r="AK128" s="293"/>
      <c r="AL128" s="293"/>
      <c r="AM128" s="293"/>
      <c r="AN128" s="265"/>
      <c r="AO128" s="265"/>
      <c r="AP128" s="265"/>
      <c r="AQ128" s="265"/>
      <c r="AS128" s="265"/>
      <c r="AT128" s="265"/>
      <c r="AU128" s="265"/>
      <c r="AV128" s="265"/>
      <c r="AW128" s="265"/>
      <c r="AX128" s="265"/>
      <c r="AY128" s="265"/>
      <c r="AZ128" s="265"/>
      <c r="BA128" s="265"/>
      <c r="BB128" s="265"/>
    </row>
    <row r="129" spans="1:54" s="167" customFormat="1" ht="15" thickBot="1">
      <c r="A129" s="169"/>
      <c r="B129" s="291" t="s">
        <v>345</v>
      </c>
      <c r="C129" s="292">
        <v>16</v>
      </c>
      <c r="D129" s="292">
        <v>67</v>
      </c>
      <c r="E129" s="292">
        <v>38</v>
      </c>
      <c r="F129" s="292">
        <v>125</v>
      </c>
      <c r="G129" s="292">
        <v>317</v>
      </c>
      <c r="H129" s="292"/>
      <c r="I129" s="292"/>
      <c r="J129" s="292"/>
      <c r="K129" s="292"/>
      <c r="L129" s="292"/>
      <c r="M129" s="292"/>
      <c r="N129" s="292"/>
      <c r="O129" s="292"/>
      <c r="P129" s="292"/>
      <c r="Q129" s="292"/>
      <c r="AI129" s="265"/>
      <c r="AJ129" s="265"/>
      <c r="AK129" s="265"/>
      <c r="AL129" s="265"/>
      <c r="AM129" s="265"/>
      <c r="AN129" s="265"/>
      <c r="AO129" s="265"/>
      <c r="AP129" s="265"/>
      <c r="AQ129" s="265"/>
      <c r="AS129" s="265"/>
      <c r="AT129" s="265"/>
      <c r="AU129" s="265"/>
      <c r="AV129" s="265"/>
      <c r="AW129" s="265"/>
      <c r="AX129" s="265"/>
      <c r="AY129" s="265"/>
      <c r="AZ129" s="265"/>
      <c r="BA129" s="265"/>
      <c r="BB129" s="265"/>
    </row>
    <row r="130" spans="1:54" s="167" customFormat="1">
      <c r="A130" s="266"/>
      <c r="B130" s="294" t="s">
        <v>166</v>
      </c>
      <c r="C130" s="295">
        <f>IF(OR(C133="**",C133=""),"",VALUE(C133))</f>
        <v>87</v>
      </c>
      <c r="D130" s="295">
        <f t="shared" ref="D130:J130" si="10">IF(OR(D133="**",D133=""),"",VALUE(D133))</f>
        <v>79</v>
      </c>
      <c r="E130" s="295">
        <f t="shared" si="10"/>
        <v>87</v>
      </c>
      <c r="F130" s="295">
        <f t="shared" si="10"/>
        <v>75</v>
      </c>
      <c r="G130" s="295">
        <f t="shared" si="10"/>
        <v>77</v>
      </c>
      <c r="H130" s="295" t="str">
        <f t="shared" si="10"/>
        <v/>
      </c>
      <c r="I130" s="295" t="str">
        <f t="shared" si="10"/>
        <v/>
      </c>
      <c r="J130" s="295" t="str">
        <f t="shared" si="10"/>
        <v/>
      </c>
      <c r="K130" s="183"/>
      <c r="L130" s="183"/>
      <c r="M130" s="183"/>
      <c r="N130" s="183"/>
      <c r="O130" s="183"/>
      <c r="P130" s="183"/>
      <c r="Q130" s="183"/>
      <c r="AI130" s="265"/>
      <c r="AJ130" s="265"/>
      <c r="AK130" s="265"/>
      <c r="AL130" s="265"/>
      <c r="AM130" s="265"/>
      <c r="AN130" s="265"/>
      <c r="AO130" s="265"/>
      <c r="AP130" s="265"/>
      <c r="AQ130" s="265"/>
      <c r="AS130" s="265"/>
      <c r="AT130" s="265"/>
      <c r="AU130" s="265"/>
      <c r="AV130" s="265"/>
      <c r="AW130" s="265"/>
      <c r="AX130" s="265"/>
      <c r="AY130" s="265"/>
      <c r="AZ130" s="265"/>
      <c r="BA130" s="265"/>
      <c r="BB130" s="265"/>
    </row>
    <row r="131" spans="1:54" s="167" customFormat="1" ht="15" thickBot="1">
      <c r="A131" s="266"/>
      <c r="B131" s="296" t="s">
        <v>165</v>
      </c>
      <c r="C131" s="297">
        <f t="shared" ref="C131:J131" si="11">IF(OR(C127="**",C127=""),"",VALUE(C127))</f>
        <v>92</v>
      </c>
      <c r="D131" s="297">
        <f t="shared" si="11"/>
        <v>83</v>
      </c>
      <c r="E131" s="297">
        <f t="shared" si="11"/>
        <v>85</v>
      </c>
      <c r="F131" s="297">
        <f t="shared" si="11"/>
        <v>83</v>
      </c>
      <c r="G131" s="297">
        <f t="shared" si="11"/>
        <v>82</v>
      </c>
      <c r="H131" s="297" t="str">
        <f t="shared" si="11"/>
        <v/>
      </c>
      <c r="I131" s="297" t="str">
        <f t="shared" si="11"/>
        <v/>
      </c>
      <c r="J131" s="297" t="str">
        <f t="shared" si="11"/>
        <v/>
      </c>
      <c r="K131" s="260"/>
      <c r="L131" s="260"/>
      <c r="M131" s="260"/>
      <c r="N131" s="260"/>
      <c r="O131" s="260"/>
      <c r="P131" s="260"/>
      <c r="Q131" s="260"/>
      <c r="AI131" s="260"/>
      <c r="AJ131" s="260"/>
      <c r="AK131" s="260"/>
      <c r="AL131" s="260"/>
      <c r="AM131" s="260"/>
      <c r="AN131" s="260"/>
      <c r="AO131" s="260"/>
      <c r="AP131" s="260"/>
      <c r="AQ131" s="265"/>
      <c r="AR131" s="265"/>
      <c r="AS131" s="265"/>
      <c r="AT131" s="265"/>
      <c r="AU131" s="265"/>
      <c r="AV131" s="265"/>
      <c r="AW131" s="265"/>
      <c r="AX131" s="265"/>
      <c r="AY131" s="265"/>
      <c r="AZ131" s="265"/>
      <c r="BA131" s="265"/>
      <c r="BB131" s="265"/>
    </row>
    <row r="132" spans="1:54" s="167" customFormat="1">
      <c r="A132" s="169"/>
      <c r="B132" s="298" t="s">
        <v>385</v>
      </c>
      <c r="C132" s="195" t="s">
        <v>827</v>
      </c>
      <c r="D132" s="195" t="s">
        <v>828</v>
      </c>
      <c r="E132" s="195" t="s">
        <v>829</v>
      </c>
      <c r="F132" s="195" t="s">
        <v>830</v>
      </c>
      <c r="G132" s="195" t="s">
        <v>831</v>
      </c>
      <c r="H132" s="195"/>
      <c r="I132" s="195"/>
      <c r="J132" s="195"/>
      <c r="K132" s="264"/>
      <c r="L132" s="264"/>
      <c r="M132" s="264"/>
      <c r="N132" s="264"/>
      <c r="O132" s="264"/>
      <c r="P132" s="264"/>
      <c r="Q132" s="264"/>
      <c r="AI132" s="265"/>
      <c r="AJ132" s="265"/>
      <c r="AK132" s="265"/>
      <c r="AL132" s="265"/>
      <c r="AM132" s="265"/>
      <c r="AN132" s="265"/>
      <c r="AO132" s="265"/>
      <c r="AP132" s="265"/>
      <c r="AQ132" s="265"/>
      <c r="AR132" s="265"/>
      <c r="AS132" s="265"/>
      <c r="AT132" s="265"/>
      <c r="AU132" s="265"/>
      <c r="AV132" s="265"/>
      <c r="AW132" s="265"/>
      <c r="AX132" s="265"/>
      <c r="AY132" s="265"/>
      <c r="AZ132" s="265"/>
      <c r="BA132" s="265"/>
      <c r="BB132" s="265"/>
    </row>
    <row r="133" spans="1:54" s="167" customFormat="1">
      <c r="A133" s="169"/>
      <c r="B133" s="291" t="s">
        <v>158</v>
      </c>
      <c r="C133" s="258">
        <v>87</v>
      </c>
      <c r="D133" s="258">
        <v>79</v>
      </c>
      <c r="E133" s="258">
        <v>87</v>
      </c>
      <c r="F133" s="258">
        <v>75</v>
      </c>
      <c r="G133" s="258">
        <v>77</v>
      </c>
      <c r="H133" s="258"/>
      <c r="I133" s="258"/>
      <c r="J133" s="258"/>
      <c r="K133" s="264"/>
      <c r="L133" s="264"/>
      <c r="M133" s="264"/>
      <c r="N133" s="264"/>
      <c r="O133" s="264"/>
      <c r="P133" s="264"/>
      <c r="Q133" s="264"/>
      <c r="AI133" s="265"/>
      <c r="AJ133" s="265"/>
      <c r="AK133" s="265"/>
      <c r="AL133" s="265"/>
      <c r="AM133" s="265"/>
      <c r="AN133" s="265"/>
      <c r="AO133" s="265"/>
      <c r="AP133" s="265"/>
      <c r="AQ133" s="265"/>
      <c r="AR133" s="265"/>
      <c r="AS133" s="265"/>
      <c r="AT133" s="265"/>
      <c r="AU133" s="265"/>
      <c r="AV133" s="265"/>
      <c r="AW133" s="265"/>
      <c r="AX133" s="265"/>
      <c r="AY133" s="265"/>
      <c r="AZ133" s="265"/>
      <c r="BA133" s="265"/>
      <c r="BB133" s="265"/>
    </row>
    <row r="134" spans="1:54" s="167" customFormat="1">
      <c r="A134" s="266"/>
      <c r="B134" s="298" t="s">
        <v>345</v>
      </c>
      <c r="C134" s="258">
        <v>14</v>
      </c>
      <c r="D134" s="258">
        <v>66</v>
      </c>
      <c r="E134" s="258">
        <v>33</v>
      </c>
      <c r="F134" s="258">
        <v>104</v>
      </c>
      <c r="G134" s="258">
        <v>232</v>
      </c>
      <c r="H134" s="258"/>
      <c r="I134" s="258"/>
      <c r="J134" s="258"/>
      <c r="K134" s="264"/>
      <c r="L134" s="264"/>
      <c r="M134" s="264"/>
      <c r="N134" s="264"/>
      <c r="O134" s="264"/>
      <c r="P134" s="264"/>
      <c r="Q134" s="264"/>
      <c r="AI134" s="265"/>
      <c r="AJ134" s="265"/>
      <c r="AK134" s="265"/>
      <c r="AL134" s="265"/>
      <c r="AM134" s="265"/>
      <c r="AN134" s="265"/>
      <c r="AO134" s="265"/>
      <c r="AP134" s="265"/>
      <c r="AQ134" s="265"/>
      <c r="AR134" s="265"/>
      <c r="AS134" s="265"/>
      <c r="AT134" s="265"/>
      <c r="AU134" s="265"/>
      <c r="AV134" s="265"/>
      <c r="AW134" s="265"/>
      <c r="AX134" s="265"/>
      <c r="AY134" s="265"/>
      <c r="AZ134" s="265"/>
      <c r="BA134" s="265"/>
      <c r="BB134" s="265"/>
    </row>
    <row r="135" spans="1:54" s="167" customFormat="1">
      <c r="A135" s="266"/>
      <c r="B135" s="271"/>
      <c r="C135" s="258"/>
      <c r="D135" s="258"/>
      <c r="E135" s="258"/>
      <c r="F135" s="258"/>
      <c r="G135" s="258"/>
      <c r="H135" s="258"/>
      <c r="I135" s="258"/>
      <c r="J135" s="258"/>
      <c r="K135" s="264"/>
      <c r="L135" s="264"/>
      <c r="M135" s="264"/>
      <c r="N135" s="264"/>
      <c r="O135" s="264"/>
      <c r="P135" s="264"/>
      <c r="Q135" s="264"/>
      <c r="AI135" s="265"/>
      <c r="AJ135" s="265"/>
      <c r="AK135" s="265"/>
      <c r="AL135" s="265"/>
      <c r="AM135" s="265"/>
      <c r="AN135" s="265"/>
      <c r="AO135" s="265"/>
      <c r="AP135" s="265"/>
      <c r="AQ135" s="265"/>
      <c r="AR135" s="265"/>
      <c r="AS135" s="265"/>
      <c r="AT135" s="265"/>
      <c r="AU135" s="265"/>
      <c r="AV135" s="265"/>
      <c r="AW135" s="265"/>
      <c r="AX135" s="265"/>
      <c r="AY135" s="265"/>
      <c r="AZ135" s="265"/>
      <c r="BA135" s="265"/>
      <c r="BB135" s="265"/>
    </row>
    <row r="136" spans="1:54" s="167" customFormat="1">
      <c r="A136" s="266"/>
      <c r="B136" s="271"/>
      <c r="C136" s="258"/>
      <c r="D136" s="258"/>
      <c r="E136" s="258"/>
      <c r="F136" s="258"/>
      <c r="G136" s="258"/>
      <c r="H136" s="258"/>
      <c r="I136" s="258"/>
      <c r="J136" s="258"/>
      <c r="K136" s="264"/>
      <c r="L136" s="264"/>
      <c r="M136" s="264"/>
      <c r="N136" s="264"/>
      <c r="O136" s="264"/>
      <c r="P136" s="264"/>
      <c r="Q136" s="264"/>
      <c r="AI136" s="265"/>
      <c r="AJ136" s="265"/>
      <c r="AK136" s="265"/>
      <c r="AL136" s="265"/>
      <c r="AM136" s="265"/>
      <c r="AN136" s="265"/>
      <c r="AO136" s="265"/>
      <c r="AP136" s="265"/>
      <c r="AQ136" s="265"/>
      <c r="AR136" s="265"/>
      <c r="AS136" s="265"/>
      <c r="AT136" s="265"/>
      <c r="AU136" s="265"/>
      <c r="AV136" s="265"/>
      <c r="AW136" s="265"/>
      <c r="AX136" s="265"/>
      <c r="AY136" s="265"/>
      <c r="AZ136" s="265"/>
      <c r="BA136" s="265"/>
      <c r="BB136" s="265"/>
    </row>
    <row r="137" spans="1:54" s="167" customFormat="1">
      <c r="A137" s="266"/>
      <c r="B137" s="271"/>
      <c r="C137" s="258"/>
      <c r="D137" s="258"/>
      <c r="E137" s="258"/>
      <c r="F137" s="258"/>
      <c r="G137" s="258"/>
      <c r="H137" s="258"/>
      <c r="I137" s="258"/>
      <c r="J137" s="258"/>
      <c r="K137" s="264"/>
      <c r="L137" s="264"/>
      <c r="M137" s="264"/>
      <c r="N137" s="264"/>
      <c r="O137" s="264"/>
      <c r="P137" s="264"/>
      <c r="Q137" s="264"/>
      <c r="AI137" s="265"/>
      <c r="AJ137" s="265"/>
      <c r="AK137" s="265"/>
      <c r="AL137" s="265"/>
      <c r="AM137" s="265"/>
      <c r="AN137" s="265"/>
      <c r="AO137" s="265"/>
      <c r="AP137" s="265"/>
      <c r="AQ137" s="265"/>
      <c r="AR137" s="265"/>
      <c r="AS137" s="265"/>
      <c r="AT137" s="265"/>
      <c r="AU137" s="265"/>
      <c r="AV137" s="265"/>
      <c r="AW137" s="265"/>
      <c r="AX137" s="265"/>
      <c r="AY137" s="265"/>
      <c r="AZ137" s="265"/>
      <c r="BA137" s="265"/>
      <c r="BB137" s="265"/>
    </row>
    <row r="138" spans="1:54" s="167" customFormat="1" ht="18" customHeight="1">
      <c r="A138" s="266"/>
      <c r="B138" s="271"/>
      <c r="C138" s="258"/>
      <c r="D138" s="258"/>
      <c r="E138" s="258"/>
      <c r="F138" s="258"/>
      <c r="G138" s="258"/>
      <c r="H138" s="258"/>
      <c r="I138" s="258"/>
      <c r="J138" s="258"/>
      <c r="K138" s="264"/>
      <c r="L138" s="264"/>
      <c r="M138" s="264"/>
      <c r="N138" s="264"/>
      <c r="O138" s="264"/>
      <c r="P138" s="264"/>
      <c r="Q138" s="264"/>
      <c r="AI138" s="265"/>
      <c r="AJ138" s="265"/>
      <c r="AK138" s="265"/>
      <c r="AL138" s="265"/>
      <c r="AM138" s="265"/>
      <c r="AN138" s="265"/>
      <c r="AO138" s="265"/>
      <c r="AP138" s="265"/>
      <c r="AQ138" s="265"/>
      <c r="AR138" s="265"/>
      <c r="AS138" s="265"/>
      <c r="AT138" s="265"/>
      <c r="AU138" s="265"/>
      <c r="AV138" s="265"/>
      <c r="AW138" s="265"/>
      <c r="AX138" s="265"/>
      <c r="AY138" s="265"/>
      <c r="AZ138" s="265"/>
      <c r="BA138" s="265"/>
      <c r="BB138" s="265"/>
    </row>
    <row r="139" spans="1:54" s="167" customFormat="1" ht="18" customHeight="1">
      <c r="A139" s="266" t="s">
        <v>183</v>
      </c>
      <c r="B139" s="271"/>
      <c r="C139" s="258"/>
      <c r="D139" s="258"/>
      <c r="E139" s="258"/>
      <c r="F139" s="258"/>
      <c r="G139" s="258"/>
      <c r="H139" s="258"/>
      <c r="I139" s="258"/>
      <c r="J139" s="258"/>
      <c r="K139" s="264"/>
      <c r="L139" s="264"/>
      <c r="M139" s="264"/>
      <c r="N139" s="264"/>
      <c r="O139" s="264"/>
      <c r="P139" s="264"/>
      <c r="Q139" s="264"/>
      <c r="AI139" s="265"/>
      <c r="AJ139" s="265"/>
      <c r="AK139" s="265"/>
      <c r="AL139" s="265"/>
      <c r="AM139" s="265"/>
      <c r="AN139" s="265"/>
      <c r="AO139" s="265"/>
      <c r="AP139" s="265"/>
      <c r="AQ139" s="265"/>
      <c r="AR139" s="265"/>
      <c r="AS139" s="265"/>
      <c r="AT139" s="265"/>
      <c r="AU139" s="265"/>
      <c r="AV139" s="265"/>
      <c r="AW139" s="265"/>
      <c r="AX139" s="265"/>
      <c r="AY139" s="265"/>
      <c r="AZ139" s="265"/>
      <c r="BA139" s="265"/>
      <c r="BB139" s="265"/>
    </row>
    <row r="140" spans="1:54" s="167" customFormat="1" ht="18" customHeight="1">
      <c r="A140" s="266">
        <v>6</v>
      </c>
      <c r="B140" s="271"/>
      <c r="C140" s="258"/>
      <c r="D140" s="258"/>
      <c r="E140" s="258"/>
      <c r="F140" s="258"/>
      <c r="G140" s="258"/>
      <c r="H140" s="258"/>
      <c r="I140" s="258"/>
      <c r="J140" s="258"/>
      <c r="K140" s="264"/>
      <c r="L140" s="264"/>
      <c r="M140" s="264"/>
      <c r="N140" s="264"/>
      <c r="O140" s="264"/>
      <c r="P140" s="264"/>
      <c r="Q140" s="264"/>
      <c r="AI140" s="265"/>
      <c r="AJ140" s="265"/>
      <c r="AK140" s="265"/>
      <c r="AL140" s="265"/>
      <c r="AM140" s="265"/>
      <c r="AN140" s="265"/>
      <c r="AO140" s="265"/>
      <c r="AP140" s="265"/>
      <c r="AQ140" s="265"/>
      <c r="AR140" s="265"/>
      <c r="AS140" s="265"/>
      <c r="AT140" s="265"/>
      <c r="AU140" s="265"/>
      <c r="AV140" s="265"/>
      <c r="AW140" s="265"/>
      <c r="AX140" s="265"/>
      <c r="AY140" s="265"/>
      <c r="AZ140" s="265"/>
      <c r="BA140" s="265"/>
      <c r="BB140" s="265"/>
    </row>
    <row r="141" spans="1:54" s="167" customFormat="1" ht="18" customHeight="1">
      <c r="A141" s="266"/>
      <c r="B141" s="271"/>
      <c r="C141" s="258"/>
      <c r="D141" s="258"/>
      <c r="E141" s="258"/>
      <c r="F141" s="258"/>
      <c r="G141" s="258"/>
      <c r="H141" s="258"/>
      <c r="I141" s="258"/>
      <c r="J141" s="258"/>
      <c r="K141" s="264"/>
      <c r="L141" s="264"/>
      <c r="M141" s="264"/>
      <c r="N141" s="264"/>
      <c r="O141" s="264"/>
      <c r="P141" s="264"/>
      <c r="Q141" s="264"/>
      <c r="AI141" s="265"/>
      <c r="AJ141" s="265"/>
      <c r="AK141" s="265"/>
      <c r="AL141" s="265"/>
      <c r="AM141" s="265"/>
      <c r="AN141" s="265"/>
      <c r="AO141" s="265"/>
      <c r="AP141" s="265"/>
      <c r="AQ141" s="265"/>
      <c r="AR141" s="265"/>
      <c r="AS141" s="265"/>
      <c r="AT141" s="265"/>
      <c r="AU141" s="265"/>
      <c r="AV141" s="265"/>
      <c r="AW141" s="265"/>
      <c r="AX141" s="265"/>
      <c r="AY141" s="265"/>
      <c r="AZ141" s="265"/>
      <c r="BA141" s="265"/>
      <c r="BB141" s="265"/>
    </row>
    <row r="142" spans="1:54" s="167" customFormat="1" ht="18" customHeight="1">
      <c r="A142" s="266"/>
      <c r="B142" s="271"/>
      <c r="C142" s="258"/>
      <c r="D142" s="258"/>
      <c r="E142" s="258"/>
      <c r="F142" s="258"/>
      <c r="G142" s="258"/>
      <c r="H142" s="258"/>
      <c r="I142" s="258"/>
      <c r="J142" s="258"/>
      <c r="K142" s="264"/>
      <c r="L142" s="264"/>
      <c r="M142" s="264"/>
      <c r="N142" s="264"/>
      <c r="O142" s="264"/>
      <c r="P142" s="264"/>
      <c r="Q142" s="264"/>
      <c r="AI142" s="265"/>
      <c r="AJ142" s="265"/>
      <c r="AK142" s="265"/>
      <c r="AL142" s="265"/>
      <c r="AM142" s="265"/>
      <c r="AN142" s="265"/>
      <c r="AO142" s="265"/>
      <c r="AP142" s="265"/>
      <c r="AQ142" s="265"/>
      <c r="AR142" s="265"/>
      <c r="AS142" s="265"/>
      <c r="AT142" s="265"/>
      <c r="AU142" s="265"/>
      <c r="AV142" s="265"/>
      <c r="AW142" s="265"/>
      <c r="AX142" s="265"/>
      <c r="AY142" s="265"/>
      <c r="AZ142" s="265"/>
      <c r="BA142" s="265"/>
      <c r="BB142" s="265"/>
    </row>
    <row r="143" spans="1:54" s="167" customFormat="1" ht="18" customHeight="1">
      <c r="A143" s="266"/>
      <c r="B143" s="271"/>
      <c r="C143" s="258"/>
      <c r="D143" s="258"/>
      <c r="E143" s="258"/>
      <c r="F143" s="258"/>
      <c r="G143" s="258"/>
      <c r="H143" s="258"/>
      <c r="I143" s="258"/>
      <c r="J143" s="258"/>
      <c r="K143" s="264"/>
      <c r="L143" s="264"/>
      <c r="M143" s="264"/>
      <c r="N143" s="264"/>
      <c r="O143" s="264"/>
      <c r="P143" s="264"/>
      <c r="Q143" s="264"/>
      <c r="AI143" s="265"/>
      <c r="AJ143" s="265"/>
      <c r="AK143" s="265"/>
      <c r="AL143" s="265"/>
      <c r="AM143" s="265"/>
      <c r="AN143" s="265"/>
      <c r="AO143" s="265"/>
      <c r="AP143" s="265"/>
      <c r="AQ143" s="265"/>
      <c r="AR143" s="265"/>
      <c r="AS143" s="265"/>
      <c r="AT143" s="265"/>
      <c r="AU143" s="265"/>
      <c r="AV143" s="265"/>
      <c r="AW143" s="265"/>
      <c r="AX143" s="265"/>
      <c r="AY143" s="265"/>
      <c r="AZ143" s="265"/>
      <c r="BA143" s="265"/>
      <c r="BB143" s="265"/>
    </row>
    <row r="144" spans="1:54" s="167" customFormat="1" ht="18" customHeight="1">
      <c r="A144" s="266"/>
      <c r="B144" s="271"/>
      <c r="C144" s="258"/>
      <c r="D144" s="258"/>
      <c r="E144" s="258"/>
      <c r="F144" s="258"/>
      <c r="G144" s="258"/>
      <c r="H144" s="258"/>
      <c r="I144" s="258"/>
      <c r="J144" s="258"/>
      <c r="K144" s="264"/>
      <c r="L144" s="264"/>
      <c r="M144" s="264"/>
      <c r="N144" s="264"/>
      <c r="O144" s="264"/>
      <c r="P144" s="264"/>
      <c r="Q144" s="264"/>
      <c r="AI144" s="265"/>
      <c r="AJ144" s="265"/>
      <c r="AK144" s="265"/>
      <c r="AL144" s="265"/>
      <c r="AM144" s="265"/>
      <c r="AN144" s="265"/>
      <c r="AO144" s="265"/>
      <c r="AP144" s="265"/>
      <c r="AQ144" s="265"/>
      <c r="AR144" s="265"/>
      <c r="AS144" s="265"/>
      <c r="AT144" s="265"/>
      <c r="AU144" s="265"/>
      <c r="AV144" s="265"/>
      <c r="AW144" s="265"/>
      <c r="AX144" s="265"/>
      <c r="AY144" s="265"/>
      <c r="AZ144" s="265"/>
      <c r="BA144" s="265"/>
      <c r="BB144" s="265"/>
    </row>
    <row r="145" spans="1:55" s="167" customFormat="1" ht="18" customHeight="1">
      <c r="A145" s="266"/>
      <c r="B145" s="271"/>
      <c r="C145" s="258"/>
      <c r="D145" s="258"/>
      <c r="E145" s="258"/>
      <c r="F145" s="258"/>
      <c r="G145" s="258"/>
      <c r="H145" s="258"/>
      <c r="I145" s="258"/>
      <c r="J145" s="258"/>
      <c r="K145" s="264"/>
      <c r="L145" s="264"/>
      <c r="M145" s="264"/>
      <c r="N145" s="264"/>
      <c r="O145" s="264"/>
      <c r="P145" s="264"/>
      <c r="Q145" s="264"/>
      <c r="AI145" s="265"/>
      <c r="AJ145" s="265"/>
      <c r="AK145" s="265"/>
      <c r="AL145" s="265"/>
      <c r="AM145" s="265"/>
      <c r="AN145" s="265"/>
      <c r="AO145" s="265"/>
      <c r="AP145" s="265"/>
      <c r="AQ145" s="265"/>
      <c r="AR145" s="265"/>
      <c r="AS145" s="265"/>
      <c r="AT145" s="265"/>
      <c r="AU145" s="265"/>
      <c r="AV145" s="265"/>
      <c r="AW145" s="265"/>
      <c r="AX145" s="265"/>
      <c r="AY145" s="265"/>
      <c r="AZ145" s="265"/>
      <c r="BA145" s="265"/>
      <c r="BB145" s="265"/>
      <c r="BC145" s="265"/>
    </row>
    <row r="146" spans="1:55" s="167" customFormat="1" ht="18" customHeight="1">
      <c r="A146" s="266"/>
      <c r="B146" s="271"/>
      <c r="C146" s="258"/>
      <c r="D146" s="258"/>
      <c r="E146" s="258"/>
      <c r="F146" s="258"/>
      <c r="G146" s="258"/>
      <c r="H146" s="258"/>
      <c r="I146" s="258"/>
      <c r="J146" s="258"/>
      <c r="K146" s="264"/>
      <c r="L146" s="264"/>
      <c r="M146" s="264"/>
      <c r="N146" s="264"/>
      <c r="O146" s="264"/>
      <c r="P146" s="264"/>
      <c r="Q146" s="264"/>
      <c r="AI146" s="265"/>
      <c r="AJ146" s="265"/>
      <c r="AK146" s="265"/>
      <c r="AL146" s="265"/>
      <c r="AM146" s="265"/>
      <c r="AN146" s="265"/>
      <c r="AO146" s="265"/>
      <c r="AP146" s="265"/>
      <c r="AQ146" s="265"/>
      <c r="AR146" s="265"/>
      <c r="AS146" s="265"/>
      <c r="AT146" s="265"/>
      <c r="AU146" s="265"/>
      <c r="AV146" s="265"/>
      <c r="AW146" s="265"/>
      <c r="AX146" s="265"/>
      <c r="AY146" s="265"/>
      <c r="AZ146" s="265"/>
      <c r="BA146" s="265"/>
      <c r="BB146" s="265"/>
      <c r="BC146" s="265"/>
    </row>
    <row r="147" spans="1:55" s="167" customFormat="1" ht="18" customHeight="1">
      <c r="A147" s="266"/>
      <c r="B147" s="271"/>
      <c r="C147" s="258"/>
      <c r="D147" s="258"/>
      <c r="E147" s="258"/>
      <c r="F147" s="258"/>
      <c r="G147" s="258"/>
      <c r="H147" s="258"/>
      <c r="I147" s="258"/>
      <c r="J147" s="258"/>
      <c r="K147" s="264"/>
      <c r="L147" s="264"/>
      <c r="M147" s="264"/>
      <c r="N147" s="264"/>
      <c r="O147" s="264"/>
      <c r="P147" s="264"/>
      <c r="Q147" s="264"/>
      <c r="AI147" s="265"/>
      <c r="AJ147" s="265"/>
      <c r="AK147" s="265"/>
      <c r="AL147" s="265"/>
      <c r="AM147" s="265"/>
      <c r="AN147" s="265"/>
      <c r="AO147" s="265"/>
      <c r="AP147" s="265"/>
      <c r="AQ147" s="265"/>
      <c r="AR147" s="265"/>
      <c r="AS147" s="265"/>
      <c r="AT147" s="265"/>
      <c r="AU147" s="265"/>
      <c r="AV147" s="265"/>
      <c r="AW147" s="265"/>
      <c r="AX147" s="265"/>
      <c r="AY147" s="265"/>
      <c r="AZ147" s="265"/>
      <c r="BA147" s="265"/>
      <c r="BB147" s="265"/>
      <c r="BC147" s="265"/>
    </row>
    <row r="148" spans="1:55" s="167" customFormat="1" ht="18" customHeight="1">
      <c r="A148" s="266"/>
      <c r="B148" s="271"/>
      <c r="C148" s="260"/>
      <c r="D148" s="260"/>
      <c r="E148" s="260"/>
      <c r="F148" s="260"/>
      <c r="G148" s="260"/>
      <c r="H148" s="260"/>
      <c r="I148" s="260"/>
      <c r="J148" s="260"/>
      <c r="K148" s="264"/>
      <c r="L148" s="264"/>
      <c r="M148" s="264"/>
      <c r="N148" s="264"/>
      <c r="O148" s="264"/>
      <c r="P148" s="264"/>
      <c r="Q148" s="264"/>
      <c r="AI148" s="265"/>
      <c r="AJ148" s="265"/>
      <c r="AK148" s="265"/>
      <c r="AL148" s="265"/>
      <c r="AM148" s="265"/>
      <c r="AN148" s="265"/>
      <c r="AO148" s="265"/>
      <c r="AP148" s="265"/>
      <c r="AQ148" s="265"/>
      <c r="AR148" s="265"/>
      <c r="AS148" s="265"/>
      <c r="AT148" s="265"/>
      <c r="AU148" s="265"/>
      <c r="AV148" s="265"/>
      <c r="AW148" s="265"/>
      <c r="AX148" s="265"/>
      <c r="AY148" s="265"/>
      <c r="AZ148" s="265"/>
      <c r="BA148" s="265"/>
      <c r="BB148" s="265"/>
      <c r="BC148" s="265"/>
    </row>
    <row r="149" spans="1:55" s="274" customFormat="1" ht="18" customHeight="1">
      <c r="A149" s="270">
        <f>A119+1</f>
        <v>5</v>
      </c>
      <c r="B149" s="271"/>
      <c r="C149" s="272" t="str">
        <f>IF($A$1 = 1, (IF("("&amp;C159&amp;")" ="()","","("&amp;C159&amp;")")), (IF("("&amp;C164&amp;")    ("&amp;C159&amp;")"="()    ()","","("&amp;C164&amp;")    ("&amp;C159&amp;")")))</f>
        <v>(85)    (117)</v>
      </c>
      <c r="D149" s="272" t="str">
        <f t="shared" ref="D149:J149" si="12">IF($A$1 = 1, (IF("("&amp;D159&amp;")" ="()","","("&amp;D159&amp;")")), (IF("("&amp;D164&amp;")    ("&amp;D159&amp;")"="()    ()","","("&amp;D164&amp;")    ("&amp;D159&amp;")")))</f>
        <v>(199)    (207)</v>
      </c>
      <c r="E149" s="272" t="str">
        <f t="shared" si="12"/>
        <v>(114)    (159)</v>
      </c>
      <c r="F149" s="272" t="str">
        <f t="shared" si="12"/>
        <v>(14)    (22)</v>
      </c>
      <c r="G149" s="272" t="str">
        <f t="shared" si="12"/>
        <v>(28)    (30)</v>
      </c>
      <c r="H149" s="272" t="str">
        <f t="shared" si="12"/>
        <v>(2)    (6)</v>
      </c>
      <c r="I149" s="272" t="str">
        <f t="shared" si="12"/>
        <v/>
      </c>
      <c r="J149" s="272" t="str">
        <f t="shared" si="12"/>
        <v/>
      </c>
      <c r="K149" s="273"/>
      <c r="L149" s="273"/>
      <c r="M149" s="273"/>
      <c r="N149" s="273"/>
      <c r="O149" s="273"/>
      <c r="P149" s="273"/>
      <c r="Q149" s="273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</row>
    <row r="150" spans="1:55" s="280" customFormat="1" ht="59.1" customHeight="1">
      <c r="A150" s="276"/>
      <c r="B150" s="277"/>
      <c r="C150" s="278" t="s">
        <v>807</v>
      </c>
      <c r="D150" s="278" t="s">
        <v>808</v>
      </c>
      <c r="E150" s="278" t="s">
        <v>809</v>
      </c>
      <c r="F150" s="278" t="s">
        <v>810</v>
      </c>
      <c r="G150" s="278" t="s">
        <v>811</v>
      </c>
      <c r="H150" s="278" t="s">
        <v>812</v>
      </c>
      <c r="I150" s="278"/>
      <c r="J150" s="278"/>
      <c r="K150" s="279"/>
      <c r="L150" s="279"/>
      <c r="M150" s="279"/>
      <c r="N150" s="279"/>
      <c r="O150" s="279"/>
      <c r="P150" s="279"/>
      <c r="Q150" s="279"/>
      <c r="AI150" s="281"/>
      <c r="AJ150" s="281"/>
      <c r="AK150" s="281"/>
      <c r="AL150" s="281"/>
      <c r="AM150" s="281"/>
      <c r="AN150" s="281"/>
      <c r="AO150" s="281"/>
      <c r="AP150" s="281"/>
      <c r="AQ150" s="281"/>
      <c r="AS150" s="281"/>
      <c r="AT150" s="281"/>
      <c r="AU150" s="281"/>
      <c r="AV150" s="281"/>
      <c r="AW150" s="281"/>
      <c r="AX150" s="281"/>
      <c r="AY150" s="281"/>
      <c r="AZ150" s="281"/>
      <c r="BA150" s="281"/>
      <c r="BB150" s="281"/>
      <c r="BC150" s="281"/>
    </row>
    <row r="151" spans="1:55" s="167" customFormat="1" ht="21.95" customHeight="1">
      <c r="A151" s="266"/>
      <c r="B151" s="282" t="s">
        <v>3</v>
      </c>
      <c r="C151" s="283">
        <v>83</v>
      </c>
      <c r="D151" s="283">
        <v>83</v>
      </c>
      <c r="E151" s="283">
        <v>81</v>
      </c>
      <c r="F151" s="283">
        <v>85</v>
      </c>
      <c r="G151" s="283">
        <v>86</v>
      </c>
      <c r="H151" s="283">
        <v>94</v>
      </c>
      <c r="I151" s="283"/>
      <c r="J151" s="283"/>
      <c r="K151" s="284"/>
      <c r="L151" s="284"/>
      <c r="M151" s="284"/>
      <c r="N151" s="284"/>
      <c r="O151" s="284"/>
      <c r="P151" s="284"/>
      <c r="Q151" s="284"/>
      <c r="AI151" s="265"/>
      <c r="AJ151" s="265"/>
      <c r="AK151" s="265"/>
      <c r="AL151" s="265"/>
      <c r="AM151" s="265"/>
      <c r="AN151" s="265"/>
      <c r="AO151" s="265"/>
      <c r="AP151" s="265"/>
      <c r="AQ151" s="265"/>
      <c r="AS151" s="265"/>
      <c r="AT151" s="265"/>
      <c r="AU151" s="265"/>
      <c r="AV151" s="265"/>
      <c r="AW151" s="265"/>
      <c r="AX151" s="265"/>
      <c r="AY151" s="265"/>
      <c r="AZ151" s="265"/>
      <c r="BA151" s="265"/>
      <c r="BB151" s="265"/>
      <c r="BC151" s="265"/>
    </row>
    <row r="152" spans="1:55" s="167" customFormat="1" ht="21.95" customHeight="1">
      <c r="A152" s="266"/>
      <c r="B152" s="285" t="s">
        <v>18</v>
      </c>
      <c r="C152" s="283">
        <v>87</v>
      </c>
      <c r="D152" s="283">
        <v>86</v>
      </c>
      <c r="E152" s="283">
        <v>81</v>
      </c>
      <c r="F152" s="283">
        <v>86</v>
      </c>
      <c r="G152" s="283">
        <v>83</v>
      </c>
      <c r="H152" s="283">
        <v>96</v>
      </c>
      <c r="I152" s="283"/>
      <c r="J152" s="283"/>
      <c r="K152" s="286"/>
      <c r="L152" s="286"/>
      <c r="M152" s="286"/>
      <c r="N152" s="286"/>
      <c r="O152" s="286"/>
      <c r="P152" s="286"/>
      <c r="Q152" s="286"/>
      <c r="AI152" s="265"/>
      <c r="AJ152" s="265"/>
      <c r="AK152" s="265"/>
      <c r="AL152" s="265"/>
      <c r="AM152" s="265"/>
      <c r="AN152" s="265"/>
      <c r="AO152" s="265"/>
      <c r="AP152" s="265"/>
      <c r="AQ152" s="265"/>
      <c r="AS152" s="265"/>
      <c r="AT152" s="265"/>
      <c r="AU152" s="265"/>
      <c r="AV152" s="265"/>
      <c r="AW152" s="265"/>
      <c r="AX152" s="265"/>
      <c r="AY152" s="265"/>
      <c r="AZ152" s="265"/>
      <c r="BA152" s="265"/>
      <c r="BB152" s="265"/>
      <c r="BC152" s="265"/>
    </row>
    <row r="153" spans="1:55" s="167" customFormat="1" ht="21.95" customHeight="1">
      <c r="A153" s="169"/>
      <c r="B153" s="287" t="s">
        <v>32</v>
      </c>
      <c r="C153" s="283">
        <v>81</v>
      </c>
      <c r="D153" s="283">
        <v>77</v>
      </c>
      <c r="E153" s="283">
        <v>78</v>
      </c>
      <c r="F153" s="283">
        <v>82</v>
      </c>
      <c r="G153" s="283">
        <v>81</v>
      </c>
      <c r="H153" s="283">
        <v>96</v>
      </c>
      <c r="I153" s="283"/>
      <c r="J153" s="283"/>
      <c r="K153" s="286"/>
      <c r="L153" s="286"/>
      <c r="M153" s="286"/>
      <c r="N153" s="286"/>
      <c r="O153" s="286"/>
      <c r="P153" s="286"/>
      <c r="Q153" s="286"/>
      <c r="AI153" s="265"/>
      <c r="AJ153" s="265"/>
      <c r="AK153" s="265"/>
      <c r="AL153" s="265"/>
      <c r="AM153" s="265"/>
      <c r="AN153" s="265"/>
      <c r="AO153" s="265"/>
      <c r="AP153" s="265"/>
      <c r="AQ153" s="265"/>
      <c r="AS153" s="265"/>
      <c r="AT153" s="265"/>
      <c r="AU153" s="265"/>
      <c r="AV153" s="265"/>
      <c r="AW153" s="265"/>
      <c r="AX153" s="265"/>
      <c r="AY153" s="265"/>
      <c r="AZ153" s="265"/>
      <c r="BA153" s="265"/>
      <c r="BB153" s="265"/>
    </row>
    <row r="154" spans="1:55" s="167" customFormat="1" ht="21.95" customHeight="1">
      <c r="A154" s="169"/>
      <c r="B154" s="288" t="s">
        <v>45</v>
      </c>
      <c r="C154" s="283">
        <v>78</v>
      </c>
      <c r="D154" s="283">
        <v>81</v>
      </c>
      <c r="E154" s="283">
        <v>82</v>
      </c>
      <c r="F154" s="283">
        <v>88</v>
      </c>
      <c r="G154" s="283">
        <v>92</v>
      </c>
      <c r="H154" s="283">
        <v>94</v>
      </c>
      <c r="I154" s="283"/>
      <c r="J154" s="283"/>
      <c r="K154" s="286"/>
      <c r="L154" s="286"/>
      <c r="M154" s="286"/>
      <c r="N154" s="286"/>
      <c r="O154" s="286"/>
      <c r="P154" s="286"/>
      <c r="Q154" s="286"/>
      <c r="AI154" s="265"/>
      <c r="AJ154" s="265"/>
      <c r="AK154" s="265"/>
      <c r="AL154" s="265"/>
      <c r="AM154" s="265"/>
      <c r="AN154" s="265"/>
      <c r="AO154" s="265"/>
      <c r="AP154" s="265"/>
      <c r="AQ154" s="265"/>
      <c r="AS154" s="265"/>
      <c r="AT154" s="265"/>
      <c r="AU154" s="265"/>
      <c r="AV154" s="265"/>
      <c r="AW154" s="265"/>
      <c r="AX154" s="265"/>
      <c r="AY154" s="265"/>
      <c r="AZ154" s="265"/>
      <c r="BA154" s="265"/>
      <c r="BB154" s="265"/>
    </row>
    <row r="155" spans="1:55" s="167" customFormat="1" ht="21.95" customHeight="1">
      <c r="A155" s="169"/>
      <c r="B155" s="290" t="s">
        <v>54</v>
      </c>
      <c r="C155" s="283">
        <v>85</v>
      </c>
      <c r="D155" s="283">
        <v>88</v>
      </c>
      <c r="E155" s="283">
        <v>87</v>
      </c>
      <c r="F155" s="283">
        <v>88</v>
      </c>
      <c r="G155" s="283">
        <v>89</v>
      </c>
      <c r="H155" s="283">
        <v>95</v>
      </c>
      <c r="I155" s="283"/>
      <c r="J155" s="283"/>
      <c r="K155" s="286"/>
      <c r="L155" s="286"/>
      <c r="M155" s="286"/>
      <c r="N155" s="286"/>
      <c r="O155" s="286"/>
      <c r="P155" s="286"/>
      <c r="Q155" s="286"/>
      <c r="AI155" s="265"/>
      <c r="AJ155" s="265"/>
      <c r="AK155" s="265"/>
      <c r="AL155" s="265"/>
      <c r="AM155" s="265"/>
      <c r="AN155" s="265"/>
      <c r="AO155" s="265"/>
      <c r="AP155" s="265"/>
      <c r="AQ155" s="265"/>
      <c r="AS155" s="265"/>
      <c r="AT155" s="265"/>
      <c r="AU155" s="265"/>
      <c r="AV155" s="265"/>
      <c r="AW155" s="265"/>
      <c r="AX155" s="265"/>
      <c r="AY155" s="265"/>
      <c r="AZ155" s="265"/>
      <c r="BA155" s="265"/>
      <c r="BB155" s="265"/>
    </row>
    <row r="156" spans="1:55" s="167" customFormat="1">
      <c r="A156" s="169"/>
      <c r="B156" s="291" t="s">
        <v>66</v>
      </c>
      <c r="C156" s="286">
        <v>93</v>
      </c>
      <c r="D156" s="286">
        <v>87</v>
      </c>
      <c r="E156" s="286">
        <v>88</v>
      </c>
      <c r="F156" s="286">
        <v>95</v>
      </c>
      <c r="G156" s="286">
        <v>93</v>
      </c>
      <c r="H156" s="286">
        <v>100</v>
      </c>
      <c r="I156" s="286"/>
      <c r="J156" s="286"/>
      <c r="K156" s="286"/>
      <c r="L156" s="286"/>
      <c r="M156" s="286"/>
      <c r="N156" s="286"/>
      <c r="O156" s="286"/>
      <c r="P156" s="286"/>
      <c r="Q156" s="286"/>
      <c r="AI156" s="265"/>
      <c r="AJ156" s="265"/>
      <c r="AK156" s="265"/>
      <c r="AL156" s="265"/>
      <c r="AM156" s="265"/>
      <c r="AN156" s="265"/>
      <c r="AO156" s="265"/>
      <c r="AP156" s="265"/>
      <c r="AQ156" s="265"/>
      <c r="AS156" s="265"/>
      <c r="AT156" s="265"/>
      <c r="AU156" s="265"/>
      <c r="AV156" s="265"/>
      <c r="AW156" s="265"/>
      <c r="AX156" s="265"/>
      <c r="AY156" s="265"/>
      <c r="AZ156" s="265"/>
      <c r="BA156" s="265"/>
      <c r="BB156" s="265"/>
    </row>
    <row r="157" spans="1:55" s="167" customFormat="1">
      <c r="A157" s="169"/>
      <c r="B157" s="291" t="s">
        <v>158</v>
      </c>
      <c r="C157" s="292">
        <v>83</v>
      </c>
      <c r="D157" s="292">
        <v>83</v>
      </c>
      <c r="E157" s="292">
        <v>82</v>
      </c>
      <c r="F157" s="292">
        <v>86</v>
      </c>
      <c r="G157" s="292">
        <v>86</v>
      </c>
      <c r="H157" s="292">
        <v>95</v>
      </c>
      <c r="I157" s="292"/>
      <c r="J157" s="292"/>
      <c r="K157" s="292"/>
      <c r="L157" s="292"/>
      <c r="M157" s="292"/>
      <c r="N157" s="292"/>
      <c r="O157" s="292"/>
      <c r="P157" s="292"/>
      <c r="Q157" s="292"/>
      <c r="AI157" s="265"/>
      <c r="AJ157" s="265"/>
      <c r="AK157" s="265"/>
      <c r="AL157" s="265"/>
      <c r="AM157" s="265"/>
      <c r="AN157" s="265"/>
      <c r="AO157" s="265"/>
      <c r="AP157" s="265"/>
      <c r="AQ157" s="265"/>
      <c r="AS157" s="265"/>
      <c r="AT157" s="265"/>
      <c r="AU157" s="265"/>
      <c r="AV157" s="265"/>
      <c r="AW157" s="265"/>
      <c r="AX157" s="265"/>
      <c r="AY157" s="265"/>
      <c r="AZ157" s="265"/>
      <c r="BA157" s="265"/>
      <c r="BB157" s="265"/>
    </row>
    <row r="158" spans="1:55" s="167" customFormat="1">
      <c r="A158" s="169"/>
      <c r="B158" s="291" t="s">
        <v>189</v>
      </c>
      <c r="C158" s="292">
        <v>83</v>
      </c>
      <c r="D158" s="292">
        <v>83</v>
      </c>
      <c r="E158" s="292">
        <v>83</v>
      </c>
      <c r="F158" s="292">
        <v>83</v>
      </c>
      <c r="G158" s="292">
        <v>83</v>
      </c>
      <c r="H158" s="292">
        <v>83</v>
      </c>
      <c r="I158" s="292"/>
      <c r="J158" s="292"/>
      <c r="K158" s="292"/>
      <c r="L158" s="292"/>
      <c r="M158" s="292"/>
      <c r="N158" s="292"/>
      <c r="O158" s="292"/>
      <c r="P158" s="292"/>
      <c r="Q158" s="292"/>
      <c r="AI158" s="293"/>
      <c r="AJ158" s="293"/>
      <c r="AK158" s="293"/>
      <c r="AL158" s="293"/>
      <c r="AM158" s="293"/>
      <c r="AN158" s="265"/>
      <c r="AO158" s="265"/>
      <c r="AP158" s="265"/>
      <c r="AQ158" s="265"/>
      <c r="AS158" s="265"/>
      <c r="AT158" s="265"/>
      <c r="AU158" s="265"/>
      <c r="AV158" s="265"/>
      <c r="AW158" s="265"/>
      <c r="AX158" s="265"/>
      <c r="AY158" s="265"/>
      <c r="AZ158" s="265"/>
      <c r="BA158" s="265"/>
      <c r="BB158" s="265"/>
    </row>
    <row r="159" spans="1:55" s="167" customFormat="1" ht="15" thickBot="1">
      <c r="A159" s="169"/>
      <c r="B159" s="291" t="s">
        <v>345</v>
      </c>
      <c r="C159" s="292">
        <v>117</v>
      </c>
      <c r="D159" s="292">
        <v>207</v>
      </c>
      <c r="E159" s="292">
        <v>159</v>
      </c>
      <c r="F159" s="292">
        <v>22</v>
      </c>
      <c r="G159" s="292">
        <v>30</v>
      </c>
      <c r="H159" s="292">
        <v>6</v>
      </c>
      <c r="I159" s="292"/>
      <c r="J159" s="292"/>
      <c r="K159" s="292"/>
      <c r="L159" s="292"/>
      <c r="M159" s="292"/>
      <c r="N159" s="292"/>
      <c r="O159" s="292"/>
      <c r="P159" s="292"/>
      <c r="Q159" s="292"/>
      <c r="AI159" s="265"/>
      <c r="AJ159" s="265"/>
      <c r="AK159" s="265"/>
      <c r="AL159" s="265"/>
      <c r="AM159" s="265"/>
      <c r="AN159" s="265"/>
      <c r="AO159" s="265"/>
      <c r="AP159" s="265"/>
      <c r="AQ159" s="265"/>
      <c r="AS159" s="265"/>
      <c r="AT159" s="265"/>
      <c r="AU159" s="265"/>
      <c r="AV159" s="265"/>
      <c r="AW159" s="265"/>
      <c r="AX159" s="265"/>
      <c r="AY159" s="265"/>
      <c r="AZ159" s="265"/>
      <c r="BA159" s="265"/>
      <c r="BB159" s="265"/>
    </row>
    <row r="160" spans="1:55" s="167" customFormat="1">
      <c r="A160" s="266"/>
      <c r="B160" s="294" t="s">
        <v>166</v>
      </c>
      <c r="C160" s="295">
        <f>IF(OR(C163="**",C163=""),"",VALUE(C163))</f>
        <v>84</v>
      </c>
      <c r="D160" s="295">
        <f t="shared" ref="D160:J160" si="13">IF(OR(D163="**",D163=""),"",VALUE(D163))</f>
        <v>74</v>
      </c>
      <c r="E160" s="295">
        <f t="shared" si="13"/>
        <v>78</v>
      </c>
      <c r="F160" s="295">
        <f t="shared" si="13"/>
        <v>80</v>
      </c>
      <c r="G160" s="295">
        <f t="shared" si="13"/>
        <v>82</v>
      </c>
      <c r="H160" s="295" t="str">
        <f t="shared" si="13"/>
        <v/>
      </c>
      <c r="I160" s="295" t="str">
        <f t="shared" si="13"/>
        <v/>
      </c>
      <c r="J160" s="295" t="str">
        <f t="shared" si="13"/>
        <v/>
      </c>
      <c r="K160" s="183"/>
      <c r="L160" s="183"/>
      <c r="M160" s="183"/>
      <c r="N160" s="183"/>
      <c r="O160" s="183"/>
      <c r="P160" s="183"/>
      <c r="Q160" s="183"/>
      <c r="AI160" s="265"/>
      <c r="AJ160" s="265"/>
      <c r="AK160" s="265"/>
      <c r="AL160" s="265"/>
      <c r="AM160" s="265"/>
      <c r="AN160" s="265"/>
      <c r="AO160" s="265"/>
      <c r="AP160" s="265"/>
      <c r="AQ160" s="265"/>
      <c r="AS160" s="265"/>
      <c r="AT160" s="265"/>
      <c r="AU160" s="265"/>
      <c r="AV160" s="265"/>
      <c r="AW160" s="265"/>
      <c r="AX160" s="265"/>
      <c r="AY160" s="265"/>
      <c r="AZ160" s="265"/>
      <c r="BA160" s="265"/>
      <c r="BB160" s="265"/>
    </row>
    <row r="161" spans="1:54" s="167" customFormat="1" ht="15" thickBot="1">
      <c r="A161" s="266"/>
      <c r="B161" s="296" t="s">
        <v>165</v>
      </c>
      <c r="C161" s="297">
        <f t="shared" ref="C161:J161" si="14">IF(OR(C157="**",C157=""),"",VALUE(C157))</f>
        <v>83</v>
      </c>
      <c r="D161" s="297">
        <f t="shared" si="14"/>
        <v>83</v>
      </c>
      <c r="E161" s="297">
        <f t="shared" si="14"/>
        <v>82</v>
      </c>
      <c r="F161" s="297">
        <f t="shared" si="14"/>
        <v>86</v>
      </c>
      <c r="G161" s="297">
        <f t="shared" si="14"/>
        <v>86</v>
      </c>
      <c r="H161" s="297">
        <f t="shared" si="14"/>
        <v>95</v>
      </c>
      <c r="I161" s="297" t="str">
        <f t="shared" si="14"/>
        <v/>
      </c>
      <c r="J161" s="297" t="str">
        <f t="shared" si="14"/>
        <v/>
      </c>
      <c r="K161" s="260"/>
      <c r="L161" s="260"/>
      <c r="M161" s="260"/>
      <c r="N161" s="260"/>
      <c r="O161" s="260"/>
      <c r="P161" s="260"/>
      <c r="Q161" s="260"/>
      <c r="AI161" s="260"/>
      <c r="AJ161" s="260"/>
      <c r="AK161" s="260"/>
      <c r="AL161" s="260"/>
      <c r="AM161" s="260"/>
      <c r="AN161" s="260"/>
      <c r="AO161" s="260"/>
      <c r="AP161" s="260"/>
      <c r="AQ161" s="265"/>
      <c r="AR161" s="265"/>
      <c r="AS161" s="265"/>
      <c r="AT161" s="265"/>
      <c r="AU161" s="265"/>
      <c r="AV161" s="265"/>
      <c r="AW161" s="265"/>
      <c r="AX161" s="265"/>
      <c r="AY161" s="265"/>
      <c r="AZ161" s="265"/>
      <c r="BA161" s="265"/>
      <c r="BB161" s="265"/>
    </row>
    <row r="162" spans="1:54" s="167" customFormat="1">
      <c r="A162" s="169"/>
      <c r="B162" s="298" t="s">
        <v>385</v>
      </c>
      <c r="C162" s="195" t="s">
        <v>807</v>
      </c>
      <c r="D162" s="195" t="s">
        <v>808</v>
      </c>
      <c r="E162" s="195" t="s">
        <v>809</v>
      </c>
      <c r="F162" s="195" t="s">
        <v>810</v>
      </c>
      <c r="G162" s="195" t="s">
        <v>811</v>
      </c>
      <c r="H162" s="195" t="s">
        <v>812</v>
      </c>
      <c r="I162" s="195"/>
      <c r="J162" s="195"/>
      <c r="K162" s="264"/>
      <c r="L162" s="264"/>
      <c r="M162" s="264"/>
      <c r="N162" s="264"/>
      <c r="O162" s="264"/>
      <c r="P162" s="264"/>
      <c r="Q162" s="264"/>
      <c r="AI162" s="265"/>
      <c r="AJ162" s="265"/>
      <c r="AK162" s="265"/>
      <c r="AL162" s="265"/>
      <c r="AM162" s="265"/>
      <c r="AN162" s="265"/>
      <c r="AO162" s="265"/>
      <c r="AP162" s="265"/>
      <c r="AQ162" s="265"/>
      <c r="AR162" s="265"/>
      <c r="AS162" s="265"/>
      <c r="AT162" s="265"/>
      <c r="AU162" s="265"/>
      <c r="AV162" s="265"/>
      <c r="AW162" s="265"/>
      <c r="AX162" s="265"/>
      <c r="AY162" s="265"/>
      <c r="AZ162" s="265"/>
      <c r="BA162" s="265"/>
      <c r="BB162" s="265"/>
    </row>
    <row r="163" spans="1:54" s="167" customFormat="1">
      <c r="A163" s="169"/>
      <c r="B163" s="291" t="s">
        <v>158</v>
      </c>
      <c r="C163" s="258">
        <v>84</v>
      </c>
      <c r="D163" s="258">
        <v>74</v>
      </c>
      <c r="E163" s="258">
        <v>78</v>
      </c>
      <c r="F163" s="258">
        <v>80</v>
      </c>
      <c r="G163" s="258">
        <v>82</v>
      </c>
      <c r="H163" s="258" t="s">
        <v>800</v>
      </c>
      <c r="I163" s="258"/>
      <c r="J163" s="258"/>
      <c r="K163" s="264"/>
      <c r="L163" s="264"/>
      <c r="M163" s="264"/>
      <c r="N163" s="264"/>
      <c r="O163" s="264"/>
      <c r="P163" s="264"/>
      <c r="Q163" s="264"/>
      <c r="AI163" s="265"/>
      <c r="AJ163" s="265"/>
      <c r="AK163" s="265"/>
      <c r="AL163" s="265"/>
      <c r="AM163" s="265"/>
      <c r="AN163" s="265"/>
      <c r="AO163" s="265"/>
      <c r="AP163" s="265"/>
      <c r="AQ163" s="265"/>
      <c r="AR163" s="265"/>
      <c r="AS163" s="265"/>
      <c r="AT163" s="265"/>
      <c r="AU163" s="265"/>
      <c r="AV163" s="265"/>
      <c r="AW163" s="265"/>
      <c r="AX163" s="265"/>
      <c r="AY163" s="265"/>
      <c r="AZ163" s="265"/>
      <c r="BA163" s="265"/>
      <c r="BB163" s="265"/>
    </row>
    <row r="164" spans="1:54" s="167" customFormat="1">
      <c r="A164" s="266"/>
      <c r="B164" s="298" t="s">
        <v>345</v>
      </c>
      <c r="C164" s="258">
        <v>85</v>
      </c>
      <c r="D164" s="258">
        <v>199</v>
      </c>
      <c r="E164" s="258">
        <v>114</v>
      </c>
      <c r="F164" s="258">
        <v>14</v>
      </c>
      <c r="G164" s="258">
        <v>28</v>
      </c>
      <c r="H164" s="258">
        <v>2</v>
      </c>
      <c r="I164" s="258"/>
      <c r="J164" s="258"/>
      <c r="K164" s="264"/>
      <c r="L164" s="264"/>
      <c r="M164" s="264"/>
      <c r="N164" s="264"/>
      <c r="O164" s="264"/>
      <c r="P164" s="264"/>
      <c r="Q164" s="264"/>
      <c r="AI164" s="265"/>
      <c r="AJ164" s="265"/>
      <c r="AK164" s="265"/>
      <c r="AL164" s="265"/>
      <c r="AM164" s="265"/>
      <c r="AN164" s="265"/>
      <c r="AO164" s="265"/>
      <c r="AP164" s="265"/>
      <c r="AQ164" s="265"/>
      <c r="AR164" s="265"/>
      <c r="AS164" s="265"/>
      <c r="AT164" s="265"/>
      <c r="AU164" s="265"/>
      <c r="AV164" s="265"/>
      <c r="AW164" s="265"/>
      <c r="AX164" s="265"/>
      <c r="AY164" s="265"/>
      <c r="AZ164" s="265"/>
      <c r="BA164" s="265"/>
      <c r="BB164" s="265"/>
    </row>
    <row r="165" spans="1:54" s="167" customFormat="1">
      <c r="A165" s="266"/>
      <c r="B165" s="271"/>
      <c r="C165" s="258"/>
      <c r="D165" s="258"/>
      <c r="E165" s="258"/>
      <c r="F165" s="258"/>
      <c r="G165" s="258"/>
      <c r="H165" s="258"/>
      <c r="I165" s="258"/>
      <c r="J165" s="258"/>
      <c r="K165" s="264"/>
      <c r="L165" s="264"/>
      <c r="M165" s="264"/>
      <c r="N165" s="264"/>
      <c r="O165" s="264"/>
      <c r="P165" s="264"/>
      <c r="Q165" s="264"/>
      <c r="AI165" s="265"/>
      <c r="AJ165" s="265"/>
      <c r="AK165" s="265"/>
      <c r="AL165" s="265"/>
      <c r="AM165" s="265"/>
      <c r="AN165" s="265"/>
      <c r="AO165" s="265"/>
      <c r="AP165" s="265"/>
      <c r="AQ165" s="265"/>
      <c r="AR165" s="265"/>
      <c r="AS165" s="265"/>
      <c r="AT165" s="265"/>
      <c r="AU165" s="265"/>
      <c r="AV165" s="265"/>
      <c r="AW165" s="265"/>
      <c r="AX165" s="265"/>
      <c r="AY165" s="265"/>
      <c r="AZ165" s="265"/>
      <c r="BA165" s="265"/>
      <c r="BB165" s="265"/>
    </row>
    <row r="166" spans="1:54" s="167" customFormat="1">
      <c r="A166" s="266"/>
      <c r="B166" s="271"/>
      <c r="C166" s="258"/>
      <c r="D166" s="258"/>
      <c r="E166" s="258"/>
      <c r="F166" s="258"/>
      <c r="G166" s="258"/>
      <c r="H166" s="258"/>
      <c r="I166" s="258"/>
      <c r="J166" s="258"/>
      <c r="K166" s="264"/>
      <c r="L166" s="264"/>
      <c r="M166" s="264"/>
      <c r="N166" s="264"/>
      <c r="O166" s="264"/>
      <c r="P166" s="264"/>
      <c r="Q166" s="264"/>
      <c r="AI166" s="265"/>
      <c r="AJ166" s="265"/>
      <c r="AK166" s="265"/>
      <c r="AL166" s="265"/>
      <c r="AM166" s="265"/>
      <c r="AN166" s="265"/>
      <c r="AO166" s="265"/>
      <c r="AP166" s="265"/>
      <c r="AQ166" s="265"/>
      <c r="AR166" s="265"/>
      <c r="AS166" s="265"/>
      <c r="AT166" s="265"/>
      <c r="AU166" s="265"/>
      <c r="AV166" s="265"/>
      <c r="AW166" s="265"/>
      <c r="AX166" s="265"/>
      <c r="AY166" s="265"/>
      <c r="AZ166" s="265"/>
      <c r="BA166" s="265"/>
      <c r="BB166" s="265"/>
    </row>
    <row r="167" spans="1:54" s="167" customFormat="1">
      <c r="A167" s="266"/>
      <c r="B167" s="271"/>
      <c r="C167" s="258"/>
      <c r="D167" s="258"/>
      <c r="E167" s="258"/>
      <c r="F167" s="258"/>
      <c r="G167" s="258"/>
      <c r="H167" s="258"/>
      <c r="I167" s="258"/>
      <c r="J167" s="258"/>
      <c r="K167" s="264"/>
      <c r="L167" s="264"/>
      <c r="M167" s="264"/>
      <c r="N167" s="264"/>
      <c r="O167" s="264"/>
      <c r="P167" s="264"/>
      <c r="Q167" s="264"/>
      <c r="AI167" s="265"/>
      <c r="AJ167" s="265"/>
      <c r="AK167" s="265"/>
      <c r="AL167" s="265"/>
      <c r="AM167" s="265"/>
      <c r="AN167" s="265"/>
      <c r="AO167" s="265"/>
      <c r="AP167" s="265"/>
      <c r="AQ167" s="265"/>
      <c r="AR167" s="265"/>
      <c r="AS167" s="265"/>
      <c r="AT167" s="265"/>
      <c r="AU167" s="265"/>
      <c r="AV167" s="265"/>
      <c r="AW167" s="265"/>
      <c r="AX167" s="265"/>
      <c r="AY167" s="265"/>
      <c r="AZ167" s="265"/>
      <c r="BA167" s="265"/>
      <c r="BB167" s="265"/>
    </row>
    <row r="168" spans="1:54" s="167" customFormat="1" ht="18" customHeight="1">
      <c r="A168" s="266"/>
      <c r="B168" s="271"/>
      <c r="C168" s="258"/>
      <c r="D168" s="258"/>
      <c r="E168" s="258"/>
      <c r="F168" s="258"/>
      <c r="G168" s="258"/>
      <c r="H168" s="258"/>
      <c r="I168" s="258"/>
      <c r="J168" s="258"/>
      <c r="K168" s="264"/>
      <c r="L168" s="264"/>
      <c r="M168" s="264"/>
      <c r="N168" s="264"/>
      <c r="O168" s="264"/>
      <c r="P168" s="264"/>
      <c r="Q168" s="264"/>
      <c r="AI168" s="265"/>
      <c r="AJ168" s="265"/>
      <c r="AK168" s="265"/>
      <c r="AL168" s="265"/>
      <c r="AM168" s="265"/>
      <c r="AN168" s="265"/>
      <c r="AO168" s="265"/>
      <c r="AP168" s="265"/>
      <c r="AQ168" s="265"/>
      <c r="AR168" s="265"/>
      <c r="AS168" s="265"/>
      <c r="AT168" s="265"/>
      <c r="AU168" s="265"/>
      <c r="AV168" s="265"/>
      <c r="AW168" s="265"/>
      <c r="AX168" s="265"/>
      <c r="AY168" s="265"/>
      <c r="AZ168" s="265"/>
      <c r="BA168" s="265"/>
      <c r="BB168" s="265"/>
    </row>
    <row r="169" spans="1:54" s="167" customFormat="1" ht="18" customHeight="1">
      <c r="A169" s="266" t="s">
        <v>183</v>
      </c>
      <c r="B169" s="271"/>
      <c r="C169" s="258"/>
      <c r="D169" s="258"/>
      <c r="E169" s="258"/>
      <c r="F169" s="258"/>
      <c r="G169" s="258"/>
      <c r="H169" s="258"/>
      <c r="I169" s="258"/>
      <c r="J169" s="258"/>
      <c r="K169" s="264"/>
      <c r="L169" s="264"/>
      <c r="M169" s="264"/>
      <c r="N169" s="264"/>
      <c r="O169" s="264"/>
      <c r="P169" s="264"/>
      <c r="Q169" s="264"/>
      <c r="AI169" s="265"/>
      <c r="AJ169" s="265"/>
      <c r="AK169" s="265"/>
      <c r="AL169" s="265"/>
      <c r="AM169" s="265"/>
      <c r="AN169" s="265"/>
      <c r="AO169" s="265"/>
      <c r="AP169" s="265"/>
      <c r="AQ169" s="265"/>
      <c r="AR169" s="265"/>
      <c r="AS169" s="265"/>
      <c r="AT169" s="265"/>
      <c r="AU169" s="265"/>
      <c r="AV169" s="265"/>
      <c r="AW169" s="265"/>
      <c r="AX169" s="265"/>
      <c r="AY169" s="265"/>
      <c r="AZ169" s="265"/>
      <c r="BA169" s="265"/>
      <c r="BB169" s="265"/>
    </row>
    <row r="170" spans="1:54" s="167" customFormat="1" ht="18" customHeight="1">
      <c r="A170" s="266">
        <v>2</v>
      </c>
      <c r="B170" s="271"/>
      <c r="C170" s="258"/>
      <c r="D170" s="258"/>
      <c r="E170" s="258"/>
      <c r="F170" s="258"/>
      <c r="G170" s="258"/>
      <c r="H170" s="258"/>
      <c r="I170" s="258"/>
      <c r="J170" s="258"/>
      <c r="K170" s="264"/>
      <c r="L170" s="264"/>
      <c r="M170" s="264"/>
      <c r="N170" s="264"/>
      <c r="O170" s="264"/>
      <c r="P170" s="264"/>
      <c r="Q170" s="264"/>
      <c r="AI170" s="265"/>
      <c r="AJ170" s="265"/>
      <c r="AK170" s="265"/>
      <c r="AL170" s="265"/>
      <c r="AM170" s="265"/>
      <c r="AN170" s="265"/>
      <c r="AO170" s="265"/>
      <c r="AP170" s="265"/>
      <c r="AQ170" s="265"/>
      <c r="AR170" s="265"/>
      <c r="AS170" s="265"/>
      <c r="AT170" s="265"/>
      <c r="AU170" s="265"/>
      <c r="AV170" s="265"/>
      <c r="AW170" s="265"/>
      <c r="AX170" s="265"/>
      <c r="AY170" s="265"/>
      <c r="AZ170" s="265"/>
      <c r="BA170" s="265"/>
      <c r="BB170" s="265"/>
    </row>
    <row r="171" spans="1:54" s="167" customFormat="1" ht="18" customHeight="1">
      <c r="A171" s="266"/>
      <c r="B171" s="271"/>
      <c r="C171" s="258"/>
      <c r="D171" s="258"/>
      <c r="E171" s="258"/>
      <c r="F171" s="258"/>
      <c r="G171" s="258"/>
      <c r="H171" s="258"/>
      <c r="I171" s="258"/>
      <c r="J171" s="258"/>
      <c r="K171" s="264"/>
      <c r="L171" s="264"/>
      <c r="M171" s="264"/>
      <c r="N171" s="264"/>
      <c r="O171" s="264"/>
      <c r="P171" s="264"/>
      <c r="Q171" s="264"/>
      <c r="AI171" s="265"/>
      <c r="AJ171" s="265"/>
      <c r="AK171" s="265"/>
      <c r="AL171" s="265"/>
      <c r="AM171" s="265"/>
      <c r="AN171" s="265"/>
      <c r="AO171" s="265"/>
      <c r="AP171" s="265"/>
      <c r="AQ171" s="265"/>
      <c r="AR171" s="265"/>
      <c r="AS171" s="265"/>
      <c r="AT171" s="265"/>
      <c r="AU171" s="265"/>
      <c r="AV171" s="265"/>
      <c r="AW171" s="265"/>
      <c r="AX171" s="265"/>
      <c r="AY171" s="265"/>
      <c r="AZ171" s="265"/>
      <c r="BA171" s="265"/>
      <c r="BB171" s="265"/>
    </row>
    <row r="172" spans="1:54" s="167" customFormat="1" ht="18" customHeight="1">
      <c r="A172" s="266"/>
      <c r="B172" s="271"/>
      <c r="C172" s="258"/>
      <c r="D172" s="258"/>
      <c r="E172" s="258"/>
      <c r="F172" s="258"/>
      <c r="G172" s="258"/>
      <c r="H172" s="258"/>
      <c r="I172" s="258"/>
      <c r="J172" s="258"/>
      <c r="K172" s="264"/>
      <c r="L172" s="264"/>
      <c r="M172" s="264"/>
      <c r="N172" s="264"/>
      <c r="O172" s="264"/>
      <c r="P172" s="264"/>
      <c r="Q172" s="264"/>
      <c r="AI172" s="265"/>
      <c r="AJ172" s="265"/>
      <c r="AK172" s="265"/>
      <c r="AL172" s="265"/>
      <c r="AM172" s="265"/>
      <c r="AN172" s="265"/>
      <c r="AO172" s="265"/>
      <c r="AP172" s="265"/>
      <c r="AQ172" s="265"/>
      <c r="AR172" s="265"/>
      <c r="AS172" s="265"/>
      <c r="AT172" s="265"/>
      <c r="AU172" s="265"/>
      <c r="AV172" s="265"/>
      <c r="AW172" s="265"/>
      <c r="AX172" s="265"/>
      <c r="AY172" s="265"/>
      <c r="AZ172" s="265"/>
      <c r="BA172" s="265"/>
      <c r="BB172" s="265"/>
    </row>
    <row r="173" spans="1:54" s="167" customFormat="1" ht="18" customHeight="1">
      <c r="A173" s="266"/>
      <c r="B173" s="271"/>
      <c r="C173" s="258"/>
      <c r="D173" s="258"/>
      <c r="E173" s="258"/>
      <c r="F173" s="258"/>
      <c r="G173" s="258"/>
      <c r="H173" s="258"/>
      <c r="I173" s="258"/>
      <c r="J173" s="258"/>
      <c r="K173" s="264"/>
      <c r="L173" s="264"/>
      <c r="M173" s="264"/>
      <c r="N173" s="264"/>
      <c r="O173" s="264"/>
      <c r="P173" s="264"/>
      <c r="Q173" s="264"/>
      <c r="AI173" s="265"/>
      <c r="AJ173" s="265"/>
      <c r="AK173" s="265"/>
      <c r="AL173" s="265"/>
      <c r="AM173" s="265"/>
      <c r="AN173" s="265"/>
      <c r="AO173" s="265"/>
      <c r="AP173" s="265"/>
      <c r="AQ173" s="265"/>
      <c r="AR173" s="265"/>
      <c r="AS173" s="265"/>
      <c r="AT173" s="265"/>
      <c r="AU173" s="265"/>
      <c r="AV173" s="265"/>
      <c r="AW173" s="265"/>
      <c r="AX173" s="265"/>
      <c r="AY173" s="265"/>
      <c r="AZ173" s="265"/>
      <c r="BA173" s="265"/>
      <c r="BB173" s="265"/>
    </row>
    <row r="174" spans="1:54" s="167" customFormat="1" ht="18" customHeight="1">
      <c r="A174" s="266"/>
      <c r="B174" s="271"/>
      <c r="C174" s="258"/>
      <c r="D174" s="258"/>
      <c r="E174" s="258"/>
      <c r="F174" s="258"/>
      <c r="G174" s="258"/>
      <c r="H174" s="258"/>
      <c r="I174" s="258"/>
      <c r="J174" s="258"/>
      <c r="K174" s="264"/>
      <c r="L174" s="264"/>
      <c r="M174" s="264"/>
      <c r="N174" s="264"/>
      <c r="O174" s="264"/>
      <c r="P174" s="264"/>
      <c r="Q174" s="264"/>
      <c r="AI174" s="265"/>
      <c r="AJ174" s="265"/>
      <c r="AK174" s="265"/>
      <c r="AL174" s="265"/>
      <c r="AM174" s="265"/>
      <c r="AN174" s="265"/>
      <c r="AO174" s="265"/>
      <c r="AP174" s="265"/>
      <c r="AQ174" s="265"/>
      <c r="AR174" s="265"/>
      <c r="AS174" s="265"/>
      <c r="AT174" s="265"/>
      <c r="AU174" s="265"/>
      <c r="AV174" s="265"/>
      <c r="AW174" s="265"/>
      <c r="AX174" s="265"/>
      <c r="AY174" s="265"/>
      <c r="AZ174" s="265"/>
      <c r="BA174" s="265"/>
      <c r="BB174" s="265"/>
    </row>
    <row r="175" spans="1:54" s="167" customFormat="1" ht="18" customHeight="1">
      <c r="A175" s="266"/>
      <c r="B175" s="271"/>
      <c r="C175" s="258"/>
      <c r="D175" s="258"/>
      <c r="E175" s="258"/>
      <c r="F175" s="258"/>
      <c r="G175" s="258"/>
      <c r="H175" s="258"/>
      <c r="I175" s="258"/>
      <c r="J175" s="258"/>
      <c r="K175" s="264"/>
      <c r="L175" s="264"/>
      <c r="M175" s="264"/>
      <c r="N175" s="264"/>
      <c r="O175" s="264"/>
      <c r="P175" s="264"/>
      <c r="Q175" s="264"/>
      <c r="AI175" s="265"/>
      <c r="AJ175" s="265"/>
      <c r="AK175" s="265"/>
      <c r="AL175" s="265"/>
      <c r="AM175" s="265"/>
      <c r="AN175" s="265"/>
      <c r="AO175" s="265"/>
      <c r="AP175" s="265"/>
      <c r="AQ175" s="265"/>
      <c r="AR175" s="265"/>
      <c r="AS175" s="265"/>
      <c r="AT175" s="265"/>
      <c r="AU175" s="265"/>
      <c r="AV175" s="265"/>
      <c r="AW175" s="265"/>
      <c r="AX175" s="265"/>
      <c r="AY175" s="265"/>
      <c r="AZ175" s="265"/>
      <c r="BA175" s="265"/>
      <c r="BB175" s="265"/>
    </row>
    <row r="176" spans="1:54" s="265" customFormat="1" ht="18" customHeight="1">
      <c r="A176" s="266"/>
      <c r="B176" s="271"/>
      <c r="C176" s="258"/>
      <c r="D176" s="258"/>
      <c r="E176" s="258"/>
      <c r="F176" s="258"/>
      <c r="G176" s="258"/>
      <c r="H176" s="258"/>
      <c r="I176" s="258"/>
      <c r="J176" s="258"/>
      <c r="K176" s="264"/>
      <c r="L176" s="264"/>
      <c r="M176" s="264"/>
      <c r="N176" s="264"/>
      <c r="O176" s="264"/>
      <c r="P176" s="264"/>
      <c r="Q176" s="264"/>
      <c r="R176" s="260"/>
      <c r="S176" s="260"/>
      <c r="T176" s="260"/>
      <c r="U176" s="260"/>
      <c r="V176" s="260"/>
      <c r="W176" s="260"/>
      <c r="X176" s="260"/>
      <c r="Y176" s="260"/>
      <c r="Z176" s="264"/>
      <c r="AA176" s="264"/>
      <c r="AB176" s="167"/>
      <c r="AC176" s="167"/>
      <c r="AD176" s="167"/>
      <c r="AE176" s="167"/>
      <c r="AF176" s="167"/>
      <c r="AG176" s="167"/>
      <c r="AH176" s="167"/>
      <c r="AI176" s="167"/>
      <c r="AJ176" s="167"/>
      <c r="AK176" s="167"/>
      <c r="AL176" s="167"/>
      <c r="AM176" s="167"/>
      <c r="AN176" s="167"/>
      <c r="AO176" s="167"/>
      <c r="AP176" s="167"/>
      <c r="AQ176" s="167"/>
      <c r="AR176" s="167"/>
      <c r="AS176" s="167"/>
      <c r="AT176" s="167"/>
      <c r="AU176" s="167"/>
      <c r="AV176" s="167"/>
      <c r="AW176" s="167"/>
      <c r="AX176" s="167"/>
      <c r="AY176" s="167"/>
      <c r="AZ176" s="167"/>
      <c r="BA176" s="167"/>
      <c r="BB176" s="167"/>
    </row>
    <row r="177" spans="1:55" s="260" customFormat="1" ht="18" customHeight="1">
      <c r="A177" s="195"/>
      <c r="B177" s="195"/>
      <c r="C177" s="195"/>
      <c r="D177" s="195"/>
      <c r="E177" s="195"/>
      <c r="F177" s="195"/>
      <c r="G177" s="195"/>
      <c r="H177" s="195"/>
      <c r="I177" s="195"/>
      <c r="J177" s="195"/>
      <c r="K177" s="167"/>
      <c r="L177" s="167"/>
      <c r="M177" s="167"/>
      <c r="N177" s="167"/>
      <c r="O177" s="167"/>
      <c r="P177" s="167"/>
      <c r="Q177" s="167"/>
      <c r="R177" s="167"/>
      <c r="S177" s="167"/>
      <c r="T177" s="167"/>
      <c r="U177" s="167"/>
      <c r="V177" s="167"/>
      <c r="W177" s="167"/>
      <c r="X177" s="167"/>
      <c r="Y177" s="167"/>
      <c r="Z177" s="167"/>
      <c r="AA177" s="167"/>
      <c r="AB177" s="167"/>
      <c r="AC177" s="167"/>
      <c r="AD177" s="167"/>
      <c r="AE177" s="167"/>
      <c r="AF177" s="167"/>
      <c r="AG177" s="167"/>
      <c r="AH177" s="167"/>
      <c r="AI177" s="167"/>
      <c r="AJ177" s="167"/>
      <c r="AK177" s="167"/>
      <c r="AL177" s="167"/>
      <c r="AM177" s="167"/>
      <c r="AN177" s="167"/>
      <c r="AO177" s="167"/>
      <c r="AP177" s="265"/>
      <c r="AQ177" s="265"/>
      <c r="AR177" s="265"/>
      <c r="AS177" s="265"/>
      <c r="AT177" s="265"/>
      <c r="AU177" s="265"/>
      <c r="AV177" s="265"/>
      <c r="AW177" s="265"/>
      <c r="AX177" s="167"/>
      <c r="AY177" s="301"/>
      <c r="AZ177" s="167"/>
    </row>
    <row r="178" spans="1:55" s="260" customFormat="1" ht="18" customHeight="1">
      <c r="A178" s="258"/>
      <c r="B178" s="261"/>
      <c r="C178" s="261"/>
      <c r="D178" s="261"/>
      <c r="E178" s="261"/>
      <c r="F178" s="261"/>
      <c r="G178" s="169"/>
      <c r="H178" s="169"/>
      <c r="I178" s="169"/>
      <c r="J178" s="169"/>
      <c r="K178" s="167"/>
      <c r="L178" s="167"/>
      <c r="M178" s="167"/>
      <c r="N178" s="167"/>
      <c r="O178" s="167"/>
      <c r="P178" s="167"/>
      <c r="Q178" s="167"/>
      <c r="R178" s="167"/>
      <c r="S178" s="167"/>
      <c r="T178" s="167"/>
      <c r="U178" s="167"/>
      <c r="V178" s="167"/>
      <c r="W178" s="167"/>
      <c r="X178" s="167"/>
      <c r="Y178" s="167"/>
      <c r="Z178" s="167"/>
      <c r="AA178" s="167"/>
      <c r="AB178" s="167"/>
      <c r="AC178" s="265"/>
      <c r="AD178" s="265"/>
      <c r="AE178" s="265"/>
      <c r="AF178" s="265"/>
      <c r="AG178" s="265"/>
      <c r="AH178" s="265"/>
      <c r="AI178" s="265"/>
      <c r="AJ178" s="265"/>
      <c r="AK178" s="265"/>
      <c r="AL178" s="265"/>
      <c r="AM178" s="265"/>
      <c r="AN178" s="265"/>
      <c r="AO178" s="265"/>
      <c r="AP178" s="265"/>
      <c r="AQ178" s="265"/>
      <c r="AR178" s="265"/>
      <c r="AS178" s="265"/>
      <c r="AT178" s="265"/>
      <c r="AU178" s="265"/>
      <c r="AV178" s="265"/>
      <c r="AW178" s="265"/>
      <c r="AX178" s="167"/>
      <c r="AY178" s="301"/>
      <c r="AZ178" s="167"/>
    </row>
    <row r="179" spans="1:55" s="274" customFormat="1" ht="18" customHeight="1">
      <c r="A179" s="270">
        <f>A149+1</f>
        <v>6</v>
      </c>
      <c r="B179" s="271"/>
      <c r="C179" s="272" t="str">
        <f>IF($A$1 = 1, (IF("("&amp;C189&amp;")" ="()","","("&amp;C189&amp;")")), (IF("("&amp;C194&amp;")    ("&amp;C189&amp;")"="()    ()","","("&amp;C194&amp;")    ("&amp;C189&amp;")")))</f>
        <v>(440)    (534)</v>
      </c>
      <c r="D179" s="272" t="str">
        <f t="shared" ref="D179:J179" si="15">IF($A$1 = 1, (IF("("&amp;D189&amp;")" ="()","","("&amp;D189&amp;")")), (IF("("&amp;D194&amp;")    ("&amp;D189&amp;")"="()    ()","","("&amp;D194&amp;")    ("&amp;D189&amp;")")))</f>
        <v>(2)    (7)</v>
      </c>
      <c r="E179" s="272" t="str">
        <f t="shared" si="15"/>
        <v/>
      </c>
      <c r="F179" s="272" t="str">
        <f t="shared" si="15"/>
        <v/>
      </c>
      <c r="G179" s="272" t="str">
        <f t="shared" si="15"/>
        <v/>
      </c>
      <c r="H179" s="272" t="str">
        <f t="shared" si="15"/>
        <v/>
      </c>
      <c r="I179" s="272" t="str">
        <f t="shared" si="15"/>
        <v/>
      </c>
      <c r="J179" s="272" t="str">
        <f t="shared" si="15"/>
        <v/>
      </c>
      <c r="K179" s="273"/>
      <c r="L179" s="273"/>
      <c r="M179" s="273"/>
      <c r="N179" s="273"/>
      <c r="O179" s="273"/>
      <c r="P179" s="273"/>
      <c r="Q179" s="273"/>
      <c r="AI179" s="275"/>
      <c r="AJ179" s="275"/>
      <c r="AK179" s="275"/>
      <c r="AL179" s="275"/>
      <c r="AM179" s="275"/>
      <c r="AN179" s="275"/>
      <c r="AO179" s="275"/>
      <c r="AP179" s="275"/>
      <c r="AQ179" s="275"/>
      <c r="AR179" s="275"/>
      <c r="AS179" s="275"/>
      <c r="AT179" s="275"/>
      <c r="AU179" s="275"/>
      <c r="AV179" s="275"/>
      <c r="AW179" s="275"/>
      <c r="AX179" s="275"/>
      <c r="AY179" s="275"/>
      <c r="AZ179" s="275"/>
      <c r="BA179" s="275"/>
      <c r="BB179" s="275"/>
      <c r="BC179" s="275"/>
    </row>
    <row r="180" spans="1:55" s="280" customFormat="1" ht="59.1" customHeight="1">
      <c r="A180" s="276"/>
      <c r="B180" s="277"/>
      <c r="C180" s="278" t="s">
        <v>832</v>
      </c>
      <c r="D180" s="278" t="s">
        <v>833</v>
      </c>
      <c r="E180" s="278"/>
      <c r="F180" s="278"/>
      <c r="G180" s="278"/>
      <c r="H180" s="278"/>
      <c r="I180" s="278"/>
      <c r="J180" s="278"/>
      <c r="K180" s="279"/>
      <c r="L180" s="279"/>
      <c r="M180" s="279"/>
      <c r="N180" s="279"/>
      <c r="O180" s="279"/>
      <c r="P180" s="279"/>
      <c r="Q180" s="279"/>
      <c r="AI180" s="281"/>
      <c r="AJ180" s="281"/>
      <c r="AK180" s="281"/>
      <c r="AL180" s="281"/>
      <c r="AM180" s="281"/>
      <c r="AN180" s="281"/>
      <c r="AO180" s="281"/>
      <c r="AP180" s="281"/>
      <c r="AQ180" s="281"/>
      <c r="AS180" s="281"/>
      <c r="AT180" s="281"/>
      <c r="AU180" s="281"/>
      <c r="AV180" s="281"/>
      <c r="AW180" s="281"/>
      <c r="AX180" s="281"/>
      <c r="AY180" s="281"/>
      <c r="AZ180" s="281"/>
      <c r="BA180" s="281"/>
      <c r="BB180" s="281"/>
      <c r="BC180" s="281"/>
    </row>
    <row r="181" spans="1:55" s="167" customFormat="1" ht="21.95" customHeight="1">
      <c r="A181" s="266"/>
      <c r="B181" s="282" t="s">
        <v>3</v>
      </c>
      <c r="C181" s="283">
        <v>83</v>
      </c>
      <c r="D181" s="283">
        <v>99</v>
      </c>
      <c r="E181" s="283"/>
      <c r="F181" s="283"/>
      <c r="G181" s="283"/>
      <c r="H181" s="283"/>
      <c r="I181" s="283"/>
      <c r="J181" s="283"/>
      <c r="K181" s="284"/>
      <c r="L181" s="284"/>
      <c r="M181" s="284"/>
      <c r="N181" s="284"/>
      <c r="O181" s="284"/>
      <c r="P181" s="284"/>
      <c r="Q181" s="284"/>
      <c r="AI181" s="265"/>
      <c r="AJ181" s="265"/>
      <c r="AK181" s="265"/>
      <c r="AL181" s="265"/>
      <c r="AM181" s="265"/>
      <c r="AN181" s="265"/>
      <c r="AO181" s="265"/>
      <c r="AP181" s="265"/>
      <c r="AQ181" s="265"/>
      <c r="AS181" s="265"/>
      <c r="AT181" s="265"/>
      <c r="AU181" s="265"/>
      <c r="AV181" s="265"/>
      <c r="AW181" s="265"/>
      <c r="AX181" s="265"/>
      <c r="AY181" s="265"/>
      <c r="AZ181" s="265"/>
      <c r="BA181" s="265"/>
      <c r="BB181" s="265"/>
      <c r="BC181" s="265"/>
    </row>
    <row r="182" spans="1:55" s="167" customFormat="1" ht="21.95" customHeight="1">
      <c r="A182" s="266"/>
      <c r="B182" s="285" t="s">
        <v>18</v>
      </c>
      <c r="C182" s="283">
        <v>85</v>
      </c>
      <c r="D182" s="283">
        <v>98</v>
      </c>
      <c r="E182" s="283"/>
      <c r="F182" s="283"/>
      <c r="G182" s="283"/>
      <c r="H182" s="283"/>
      <c r="I182" s="283"/>
      <c r="J182" s="283"/>
      <c r="K182" s="286"/>
      <c r="L182" s="286"/>
      <c r="M182" s="286"/>
      <c r="N182" s="286"/>
      <c r="O182" s="286"/>
      <c r="P182" s="286"/>
      <c r="Q182" s="286"/>
      <c r="AI182" s="265"/>
      <c r="AJ182" s="265"/>
      <c r="AK182" s="265"/>
      <c r="AL182" s="265"/>
      <c r="AM182" s="265"/>
      <c r="AN182" s="265"/>
      <c r="AO182" s="265"/>
      <c r="AP182" s="265"/>
      <c r="AQ182" s="265"/>
      <c r="AS182" s="265"/>
      <c r="AT182" s="265"/>
      <c r="AU182" s="265"/>
      <c r="AV182" s="265"/>
      <c r="AW182" s="265"/>
      <c r="AX182" s="265"/>
      <c r="AY182" s="265"/>
      <c r="AZ182" s="265"/>
      <c r="BA182" s="265"/>
      <c r="BB182" s="265"/>
      <c r="BC182" s="265"/>
    </row>
    <row r="183" spans="1:55" s="167" customFormat="1" ht="21.95" customHeight="1">
      <c r="A183" s="169"/>
      <c r="B183" s="287" t="s">
        <v>32</v>
      </c>
      <c r="C183" s="283">
        <v>79</v>
      </c>
      <c r="D183" s="283">
        <v>96</v>
      </c>
      <c r="E183" s="283"/>
      <c r="F183" s="283"/>
      <c r="G183" s="283"/>
      <c r="H183" s="283"/>
      <c r="I183" s="283"/>
      <c r="J183" s="283"/>
      <c r="K183" s="286"/>
      <c r="L183" s="286"/>
      <c r="M183" s="286"/>
      <c r="N183" s="286"/>
      <c r="O183" s="286"/>
      <c r="P183" s="286"/>
      <c r="Q183" s="286"/>
      <c r="AI183" s="265"/>
      <c r="AJ183" s="265"/>
      <c r="AK183" s="265"/>
      <c r="AL183" s="265"/>
      <c r="AM183" s="265"/>
      <c r="AN183" s="265"/>
      <c r="AO183" s="265"/>
      <c r="AP183" s="265"/>
      <c r="AQ183" s="265"/>
      <c r="AS183" s="265"/>
      <c r="AT183" s="265"/>
      <c r="AU183" s="265"/>
      <c r="AV183" s="265"/>
      <c r="AW183" s="265"/>
      <c r="AX183" s="265"/>
      <c r="AY183" s="265"/>
      <c r="AZ183" s="265"/>
      <c r="BA183" s="265"/>
      <c r="BB183" s="265"/>
    </row>
    <row r="184" spans="1:55" s="167" customFormat="1" ht="21.95" customHeight="1">
      <c r="A184" s="169"/>
      <c r="B184" s="288" t="s">
        <v>45</v>
      </c>
      <c r="C184" s="283">
        <v>82</v>
      </c>
      <c r="D184" s="283">
        <v>100</v>
      </c>
      <c r="E184" s="283"/>
      <c r="F184" s="283"/>
      <c r="G184" s="283"/>
      <c r="H184" s="283"/>
      <c r="I184" s="283"/>
      <c r="J184" s="283"/>
      <c r="K184" s="286"/>
      <c r="L184" s="286"/>
      <c r="M184" s="286"/>
      <c r="N184" s="286"/>
      <c r="O184" s="286"/>
      <c r="P184" s="286"/>
      <c r="Q184" s="286"/>
      <c r="AI184" s="265"/>
      <c r="AJ184" s="265"/>
      <c r="AK184" s="265"/>
      <c r="AL184" s="265"/>
      <c r="AM184" s="265"/>
      <c r="AN184" s="265"/>
      <c r="AO184" s="265"/>
      <c r="AP184" s="265"/>
      <c r="AQ184" s="265"/>
      <c r="AS184" s="265"/>
      <c r="AT184" s="265"/>
      <c r="AU184" s="265"/>
      <c r="AV184" s="265"/>
      <c r="AW184" s="265"/>
      <c r="AX184" s="265"/>
      <c r="AY184" s="265"/>
      <c r="AZ184" s="265"/>
      <c r="BA184" s="265"/>
      <c r="BB184" s="265"/>
    </row>
    <row r="185" spans="1:55" s="167" customFormat="1" ht="21.95" customHeight="1">
      <c r="A185" s="169"/>
      <c r="B185" s="290" t="s">
        <v>54</v>
      </c>
      <c r="C185" s="283">
        <v>87</v>
      </c>
      <c r="D185" s="283">
        <v>100</v>
      </c>
      <c r="E185" s="283"/>
      <c r="F185" s="283"/>
      <c r="G185" s="283"/>
      <c r="H185" s="283"/>
      <c r="I185" s="283"/>
      <c r="J185" s="283"/>
      <c r="K185" s="286"/>
      <c r="L185" s="286"/>
      <c r="M185" s="286"/>
      <c r="N185" s="286"/>
      <c r="O185" s="286"/>
      <c r="P185" s="286"/>
      <c r="Q185" s="286"/>
      <c r="AI185" s="265"/>
      <c r="AJ185" s="265"/>
      <c r="AK185" s="265"/>
      <c r="AL185" s="265"/>
      <c r="AM185" s="265"/>
      <c r="AN185" s="265"/>
      <c r="AO185" s="265"/>
      <c r="AP185" s="265"/>
      <c r="AQ185" s="265"/>
      <c r="AS185" s="265"/>
      <c r="AT185" s="265"/>
      <c r="AU185" s="265"/>
      <c r="AV185" s="265"/>
      <c r="AW185" s="265"/>
      <c r="AX185" s="265"/>
      <c r="AY185" s="265"/>
      <c r="AZ185" s="265"/>
      <c r="BA185" s="265"/>
      <c r="BB185" s="265"/>
    </row>
    <row r="186" spans="1:55" s="167" customFormat="1">
      <c r="A186" s="169"/>
      <c r="B186" s="291" t="s">
        <v>66</v>
      </c>
      <c r="C186" s="286">
        <v>89</v>
      </c>
      <c r="D186" s="286">
        <v>100</v>
      </c>
      <c r="E186" s="286"/>
      <c r="F186" s="286"/>
      <c r="G186" s="286"/>
      <c r="H186" s="286"/>
      <c r="I186" s="286"/>
      <c r="J186" s="286"/>
      <c r="K186" s="286"/>
      <c r="L186" s="286"/>
      <c r="M186" s="286"/>
      <c r="N186" s="286"/>
      <c r="O186" s="286"/>
      <c r="P186" s="286"/>
      <c r="Q186" s="286"/>
      <c r="AI186" s="265"/>
      <c r="AJ186" s="265"/>
      <c r="AK186" s="265"/>
      <c r="AL186" s="265"/>
      <c r="AM186" s="265"/>
      <c r="AN186" s="265"/>
      <c r="AO186" s="265"/>
      <c r="AP186" s="265"/>
      <c r="AQ186" s="265"/>
      <c r="AS186" s="265"/>
      <c r="AT186" s="265"/>
      <c r="AU186" s="265"/>
      <c r="AV186" s="265"/>
      <c r="AW186" s="265"/>
      <c r="AX186" s="265"/>
      <c r="AY186" s="265"/>
      <c r="AZ186" s="265"/>
      <c r="BA186" s="265"/>
      <c r="BB186" s="265"/>
    </row>
    <row r="187" spans="1:55" s="167" customFormat="1">
      <c r="A187" s="169"/>
      <c r="B187" s="291" t="s">
        <v>158</v>
      </c>
      <c r="C187" s="292">
        <v>83</v>
      </c>
      <c r="D187" s="292">
        <v>99</v>
      </c>
      <c r="E187" s="292"/>
      <c r="F187" s="292"/>
      <c r="G187" s="292"/>
      <c r="H187" s="292"/>
      <c r="I187" s="292"/>
      <c r="J187" s="292"/>
      <c r="K187" s="292"/>
      <c r="L187" s="292"/>
      <c r="M187" s="292"/>
      <c r="N187" s="292"/>
      <c r="O187" s="292"/>
      <c r="P187" s="292"/>
      <c r="Q187" s="292"/>
      <c r="AI187" s="265"/>
      <c r="AJ187" s="265"/>
      <c r="AK187" s="265"/>
      <c r="AL187" s="265"/>
      <c r="AM187" s="265"/>
      <c r="AN187" s="265"/>
      <c r="AO187" s="265"/>
      <c r="AP187" s="265"/>
      <c r="AQ187" s="265"/>
      <c r="AS187" s="265"/>
      <c r="AT187" s="265"/>
      <c r="AU187" s="265"/>
      <c r="AV187" s="265"/>
      <c r="AW187" s="265"/>
      <c r="AX187" s="265"/>
      <c r="AY187" s="265"/>
      <c r="AZ187" s="265"/>
      <c r="BA187" s="265"/>
      <c r="BB187" s="265"/>
    </row>
    <row r="188" spans="1:55" s="167" customFormat="1">
      <c r="A188" s="169"/>
      <c r="B188" s="291" t="s">
        <v>189</v>
      </c>
      <c r="C188" s="292">
        <v>83</v>
      </c>
      <c r="D188" s="292">
        <v>83</v>
      </c>
      <c r="E188" s="292"/>
      <c r="F188" s="292"/>
      <c r="G188" s="292"/>
      <c r="H188" s="292"/>
      <c r="I188" s="292"/>
      <c r="J188" s="292"/>
      <c r="K188" s="292"/>
      <c r="L188" s="292"/>
      <c r="M188" s="292"/>
      <c r="N188" s="292"/>
      <c r="O188" s="292"/>
      <c r="P188" s="292"/>
      <c r="Q188" s="292"/>
      <c r="AI188" s="293"/>
      <c r="AJ188" s="293"/>
      <c r="AK188" s="293"/>
      <c r="AL188" s="293"/>
      <c r="AM188" s="293"/>
      <c r="AN188" s="265"/>
      <c r="AO188" s="265"/>
      <c r="AP188" s="265"/>
      <c r="AQ188" s="265"/>
      <c r="AS188" s="265"/>
      <c r="AT188" s="265"/>
      <c r="AU188" s="265"/>
      <c r="AV188" s="265"/>
      <c r="AW188" s="265"/>
      <c r="AX188" s="265"/>
      <c r="AY188" s="265"/>
      <c r="AZ188" s="265"/>
      <c r="BA188" s="265"/>
      <c r="BB188" s="265"/>
    </row>
    <row r="189" spans="1:55" s="167" customFormat="1" ht="15" thickBot="1">
      <c r="A189" s="169"/>
      <c r="B189" s="291" t="s">
        <v>345</v>
      </c>
      <c r="C189" s="292">
        <v>534</v>
      </c>
      <c r="D189" s="292">
        <v>7</v>
      </c>
      <c r="E189" s="292"/>
      <c r="F189" s="292"/>
      <c r="G189" s="292"/>
      <c r="H189" s="292"/>
      <c r="I189" s="292"/>
      <c r="J189" s="292"/>
      <c r="K189" s="292"/>
      <c r="L189" s="292"/>
      <c r="M189" s="292"/>
      <c r="N189" s="292"/>
      <c r="O189" s="292"/>
      <c r="P189" s="292"/>
      <c r="Q189" s="292"/>
      <c r="AI189" s="265"/>
      <c r="AJ189" s="265"/>
      <c r="AK189" s="265"/>
      <c r="AL189" s="265"/>
      <c r="AM189" s="265"/>
      <c r="AN189" s="265"/>
      <c r="AO189" s="265"/>
      <c r="AP189" s="265"/>
      <c r="AQ189" s="265"/>
      <c r="AS189" s="265"/>
      <c r="AT189" s="265"/>
      <c r="AU189" s="265"/>
      <c r="AV189" s="265"/>
      <c r="AW189" s="265"/>
      <c r="AX189" s="265"/>
      <c r="AY189" s="265"/>
      <c r="AZ189" s="265"/>
      <c r="BA189" s="265"/>
      <c r="BB189" s="265"/>
    </row>
    <row r="190" spans="1:55" s="167" customFormat="1">
      <c r="A190" s="266"/>
      <c r="B190" s="294" t="s">
        <v>166</v>
      </c>
      <c r="C190" s="295">
        <f>IF(OR(C193="**",C193=""),"",VALUE(C193))</f>
        <v>78</v>
      </c>
      <c r="D190" s="295" t="str">
        <f t="shared" ref="D190:J190" si="16">IF(OR(D193="**",D193=""),"",VALUE(D193))</f>
        <v/>
      </c>
      <c r="E190" s="295" t="str">
        <f t="shared" si="16"/>
        <v/>
      </c>
      <c r="F190" s="295" t="str">
        <f t="shared" si="16"/>
        <v/>
      </c>
      <c r="G190" s="295" t="str">
        <f t="shared" si="16"/>
        <v/>
      </c>
      <c r="H190" s="295" t="str">
        <f t="shared" si="16"/>
        <v/>
      </c>
      <c r="I190" s="295" t="str">
        <f t="shared" si="16"/>
        <v/>
      </c>
      <c r="J190" s="295" t="str">
        <f t="shared" si="16"/>
        <v/>
      </c>
      <c r="K190" s="183"/>
      <c r="L190" s="183"/>
      <c r="M190" s="183"/>
      <c r="N190" s="183"/>
      <c r="O190" s="183"/>
      <c r="P190" s="183"/>
      <c r="Q190" s="183"/>
      <c r="AI190" s="265"/>
      <c r="AJ190" s="265"/>
      <c r="AK190" s="265"/>
      <c r="AL190" s="265"/>
      <c r="AM190" s="265"/>
      <c r="AN190" s="265"/>
      <c r="AO190" s="265"/>
      <c r="AP190" s="265"/>
      <c r="AQ190" s="265"/>
      <c r="AS190" s="265"/>
      <c r="AT190" s="265"/>
      <c r="AU190" s="265"/>
      <c r="AV190" s="265"/>
      <c r="AW190" s="265"/>
      <c r="AX190" s="265"/>
      <c r="AY190" s="265"/>
      <c r="AZ190" s="265"/>
      <c r="BA190" s="265"/>
      <c r="BB190" s="265"/>
    </row>
    <row r="191" spans="1:55" s="167" customFormat="1" ht="15" thickBot="1">
      <c r="A191" s="266"/>
      <c r="B191" s="296" t="s">
        <v>165</v>
      </c>
      <c r="C191" s="297">
        <f t="shared" ref="C191:J191" si="17">IF(OR(C187="**",C187=""),"",VALUE(C187))</f>
        <v>83</v>
      </c>
      <c r="D191" s="297">
        <f t="shared" si="17"/>
        <v>99</v>
      </c>
      <c r="E191" s="297" t="str">
        <f t="shared" si="17"/>
        <v/>
      </c>
      <c r="F191" s="297" t="str">
        <f t="shared" si="17"/>
        <v/>
      </c>
      <c r="G191" s="297" t="str">
        <f t="shared" si="17"/>
        <v/>
      </c>
      <c r="H191" s="297" t="str">
        <f t="shared" si="17"/>
        <v/>
      </c>
      <c r="I191" s="297" t="str">
        <f t="shared" si="17"/>
        <v/>
      </c>
      <c r="J191" s="297" t="str">
        <f t="shared" si="17"/>
        <v/>
      </c>
      <c r="K191" s="260"/>
      <c r="L191" s="260"/>
      <c r="M191" s="260"/>
      <c r="N191" s="260"/>
      <c r="O191" s="260"/>
      <c r="P191" s="260"/>
      <c r="Q191" s="260"/>
      <c r="AI191" s="260"/>
      <c r="AJ191" s="260"/>
      <c r="AK191" s="260"/>
      <c r="AL191" s="260"/>
      <c r="AM191" s="260"/>
      <c r="AN191" s="260"/>
      <c r="AO191" s="260"/>
      <c r="AP191" s="260"/>
      <c r="AQ191" s="265"/>
      <c r="AR191" s="265"/>
      <c r="AS191" s="265"/>
      <c r="AT191" s="265"/>
      <c r="AU191" s="265"/>
      <c r="AV191" s="265"/>
      <c r="AW191" s="265"/>
      <c r="AX191" s="265"/>
      <c r="AY191" s="265"/>
      <c r="AZ191" s="265"/>
      <c r="BA191" s="265"/>
      <c r="BB191" s="265"/>
    </row>
    <row r="192" spans="1:55" s="167" customFormat="1">
      <c r="A192" s="169"/>
      <c r="B192" s="298" t="s">
        <v>385</v>
      </c>
      <c r="C192" s="195" t="s">
        <v>832</v>
      </c>
      <c r="D192" s="195" t="s">
        <v>833</v>
      </c>
      <c r="E192" s="195"/>
      <c r="F192" s="195"/>
      <c r="G192" s="195"/>
      <c r="H192" s="195"/>
      <c r="I192" s="195"/>
      <c r="J192" s="195"/>
      <c r="K192" s="264"/>
      <c r="L192" s="264"/>
      <c r="M192" s="264"/>
      <c r="N192" s="264"/>
      <c r="O192" s="264"/>
      <c r="P192" s="264"/>
      <c r="Q192" s="264"/>
      <c r="AI192" s="265"/>
      <c r="AJ192" s="265"/>
      <c r="AK192" s="265"/>
      <c r="AL192" s="265"/>
      <c r="AM192" s="265"/>
      <c r="AN192" s="265"/>
      <c r="AO192" s="265"/>
      <c r="AP192" s="265"/>
      <c r="AQ192" s="265"/>
      <c r="AR192" s="265"/>
      <c r="AS192" s="265"/>
      <c r="AT192" s="265"/>
      <c r="AU192" s="265"/>
      <c r="AV192" s="265"/>
      <c r="AW192" s="265"/>
      <c r="AX192" s="265"/>
      <c r="AY192" s="265"/>
      <c r="AZ192" s="265"/>
      <c r="BA192" s="265"/>
      <c r="BB192" s="265"/>
    </row>
    <row r="193" spans="1:54" s="167" customFormat="1">
      <c r="A193" s="169"/>
      <c r="B193" s="291" t="s">
        <v>158</v>
      </c>
      <c r="C193" s="258">
        <v>78</v>
      </c>
      <c r="D193" s="258" t="s">
        <v>800</v>
      </c>
      <c r="E193" s="258"/>
      <c r="F193" s="258"/>
      <c r="G193" s="258"/>
      <c r="H193" s="258"/>
      <c r="I193" s="258"/>
      <c r="J193" s="258"/>
      <c r="K193" s="264"/>
      <c r="L193" s="264"/>
      <c r="M193" s="264"/>
      <c r="N193" s="264"/>
      <c r="O193" s="264"/>
      <c r="P193" s="264"/>
      <c r="Q193" s="264"/>
      <c r="AI193" s="265"/>
      <c r="AJ193" s="265"/>
      <c r="AK193" s="265"/>
      <c r="AL193" s="265"/>
      <c r="AM193" s="265"/>
      <c r="AN193" s="265"/>
      <c r="AO193" s="265"/>
      <c r="AP193" s="265"/>
      <c r="AQ193" s="265"/>
      <c r="AR193" s="265"/>
      <c r="AS193" s="265"/>
      <c r="AT193" s="265"/>
      <c r="AU193" s="265"/>
      <c r="AV193" s="265"/>
      <c r="AW193" s="265"/>
      <c r="AX193" s="265"/>
      <c r="AY193" s="265"/>
      <c r="AZ193" s="265"/>
      <c r="BA193" s="265"/>
      <c r="BB193" s="265"/>
    </row>
    <row r="194" spans="1:54" s="167" customFormat="1">
      <c r="A194" s="261"/>
      <c r="B194" s="298" t="s">
        <v>345</v>
      </c>
      <c r="C194" s="258">
        <v>440</v>
      </c>
      <c r="D194" s="258">
        <v>2</v>
      </c>
      <c r="E194" s="258"/>
      <c r="F194" s="258"/>
      <c r="G194" s="258"/>
      <c r="H194" s="258"/>
      <c r="I194" s="258"/>
      <c r="J194" s="258"/>
    </row>
    <row r="195" spans="1:54" s="167" customFormat="1">
      <c r="A195" s="169"/>
      <c r="B195" s="169"/>
      <c r="C195" s="169"/>
      <c r="D195" s="169"/>
      <c r="E195" s="169"/>
      <c r="F195" s="169"/>
      <c r="G195" s="169"/>
      <c r="H195" s="169"/>
      <c r="I195" s="169"/>
      <c r="J195" s="169"/>
    </row>
    <row r="196" spans="1:54" s="167" customFormat="1">
      <c r="A196" s="169"/>
      <c r="B196" s="169"/>
      <c r="C196" s="169"/>
      <c r="D196" s="169"/>
      <c r="E196" s="169"/>
      <c r="F196" s="169"/>
      <c r="G196" s="169"/>
      <c r="H196" s="169"/>
      <c r="I196" s="169"/>
      <c r="J196" s="169"/>
    </row>
    <row r="197" spans="1:54" s="167" customFormat="1">
      <c r="A197" s="169"/>
      <c r="B197" s="169"/>
      <c r="C197" s="169"/>
      <c r="D197" s="169"/>
      <c r="E197" s="169"/>
      <c r="F197" s="169"/>
      <c r="G197" s="169"/>
      <c r="H197" s="169"/>
      <c r="I197" s="169"/>
      <c r="J197" s="169"/>
    </row>
    <row r="198" spans="1:54" s="167" customFormat="1" ht="18" customHeight="1">
      <c r="A198" s="169"/>
      <c r="B198" s="169"/>
      <c r="C198" s="169"/>
      <c r="D198" s="169"/>
      <c r="E198" s="169"/>
      <c r="F198" s="169"/>
      <c r="G198" s="169"/>
      <c r="H198" s="169"/>
      <c r="I198" s="169"/>
      <c r="J198" s="169"/>
    </row>
    <row r="199" spans="1:54" s="167" customFormat="1" ht="18" customHeight="1">
      <c r="A199" s="169" t="s">
        <v>183</v>
      </c>
      <c r="B199" s="169"/>
      <c r="C199" s="169"/>
      <c r="D199" s="169"/>
      <c r="E199" s="169"/>
      <c r="F199" s="169"/>
      <c r="G199" s="169"/>
      <c r="H199" s="169"/>
      <c r="I199" s="169"/>
      <c r="J199" s="169"/>
    </row>
    <row r="200" spans="1:54" s="167" customFormat="1" ht="18" customHeight="1">
      <c r="A200" s="169">
        <v>10</v>
      </c>
      <c r="B200" s="169"/>
      <c r="C200" s="169"/>
      <c r="D200" s="169"/>
      <c r="E200" s="169"/>
      <c r="F200" s="169"/>
      <c r="G200" s="169"/>
      <c r="H200" s="169"/>
      <c r="I200" s="169"/>
      <c r="J200" s="169"/>
    </row>
    <row r="201" spans="1:54" s="167" customFormat="1" ht="18" customHeight="1">
      <c r="A201" s="169"/>
      <c r="B201" s="169"/>
      <c r="C201" s="169"/>
      <c r="D201" s="169"/>
      <c r="E201" s="169"/>
      <c r="F201" s="169"/>
      <c r="G201" s="169"/>
      <c r="H201" s="169"/>
      <c r="I201" s="169"/>
      <c r="J201" s="169"/>
    </row>
    <row r="202" spans="1:54" s="167" customFormat="1" ht="18" customHeight="1">
      <c r="A202" s="169"/>
      <c r="B202" s="169"/>
      <c r="C202" s="169"/>
      <c r="D202" s="169"/>
      <c r="E202" s="169"/>
      <c r="F202" s="169"/>
      <c r="G202" s="169"/>
      <c r="H202" s="169"/>
      <c r="I202" s="169"/>
      <c r="J202" s="169"/>
    </row>
    <row r="203" spans="1:54" s="167" customFormat="1" ht="18" customHeight="1">
      <c r="A203" s="169"/>
      <c r="B203" s="169"/>
      <c r="C203" s="169"/>
      <c r="D203" s="169"/>
      <c r="E203" s="169"/>
      <c r="F203" s="169"/>
      <c r="G203" s="169"/>
      <c r="H203" s="169"/>
      <c r="I203" s="169"/>
      <c r="J203" s="169"/>
    </row>
    <row r="204" spans="1:54" s="167" customFormat="1" ht="18" customHeight="1">
      <c r="A204" s="169"/>
      <c r="B204" s="169"/>
      <c r="C204" s="169"/>
      <c r="D204" s="169"/>
      <c r="E204" s="169"/>
      <c r="F204" s="169"/>
      <c r="G204" s="169"/>
      <c r="H204" s="169"/>
      <c r="I204" s="169"/>
      <c r="J204" s="169"/>
    </row>
    <row r="205" spans="1:54" s="167" customFormat="1" ht="18" customHeight="1">
      <c r="A205" s="169"/>
      <c r="B205" s="169"/>
      <c r="C205" s="169"/>
      <c r="D205" s="169"/>
      <c r="E205" s="169"/>
      <c r="F205" s="169"/>
      <c r="G205" s="169"/>
      <c r="H205" s="169"/>
      <c r="I205" s="169"/>
      <c r="J205" s="169"/>
      <c r="K205" s="265"/>
      <c r="L205" s="265"/>
      <c r="M205" s="265"/>
      <c r="N205" s="265"/>
      <c r="O205" s="265"/>
      <c r="P205" s="265"/>
      <c r="Q205" s="265"/>
    </row>
    <row r="206" spans="1:54" s="167" customFormat="1" ht="18" customHeight="1">
      <c r="A206" s="169"/>
      <c r="B206" s="169"/>
      <c r="C206" s="169"/>
      <c r="D206" s="169"/>
      <c r="E206" s="169"/>
      <c r="F206" s="195"/>
      <c r="G206" s="195"/>
      <c r="H206" s="195"/>
      <c r="I206" s="195"/>
      <c r="J206" s="195"/>
      <c r="K206" s="265"/>
      <c r="L206" s="265"/>
      <c r="M206" s="265"/>
      <c r="N206" s="265"/>
      <c r="O206" s="265"/>
      <c r="P206" s="265"/>
      <c r="Q206" s="265"/>
    </row>
    <row r="207" spans="1:54" s="167" customFormat="1" ht="18" customHeight="1">
      <c r="A207" s="169"/>
      <c r="B207" s="169"/>
      <c r="C207" s="169"/>
      <c r="D207" s="195"/>
      <c r="E207" s="195"/>
      <c r="F207" s="195"/>
      <c r="G207" s="195"/>
      <c r="H207" s="195"/>
      <c r="I207" s="195"/>
      <c r="J207" s="195"/>
      <c r="K207" s="265"/>
      <c r="L207" s="265"/>
      <c r="M207" s="265"/>
      <c r="N207" s="265"/>
      <c r="O207" s="265"/>
      <c r="P207" s="265"/>
      <c r="Q207" s="265"/>
    </row>
    <row r="208" spans="1:54" s="167" customFormat="1" ht="18" customHeight="1">
      <c r="A208" s="169"/>
      <c r="B208" s="169"/>
      <c r="C208" s="195"/>
      <c r="D208" s="195"/>
      <c r="E208" s="195"/>
      <c r="F208" s="195"/>
      <c r="G208" s="195"/>
      <c r="H208" s="195"/>
      <c r="I208" s="195"/>
      <c r="J208" s="195"/>
      <c r="K208" s="265"/>
      <c r="L208" s="265"/>
      <c r="M208" s="265"/>
      <c r="N208" s="265"/>
      <c r="O208" s="265"/>
      <c r="P208" s="265"/>
      <c r="Q208" s="265"/>
    </row>
    <row r="209" spans="1:55" s="274" customFormat="1" ht="18" customHeight="1">
      <c r="A209" s="270">
        <f>A179+1</f>
        <v>7</v>
      </c>
      <c r="B209" s="271"/>
      <c r="C209" s="272" t="str">
        <f>IF($A$1 = 1, (IF("("&amp;C219&amp;")" ="()","","("&amp;C219&amp;")")), (IF("("&amp;C224&amp;")    ("&amp;C219&amp;")"="()    ()","","("&amp;C224&amp;")    ("&amp;C219&amp;")")))</f>
        <v>(46)    (67)</v>
      </c>
      <c r="D209" s="272" t="str">
        <f t="shared" ref="D209:J209" si="18">IF($A$1 = 1, (IF("("&amp;D219&amp;")" ="()","","("&amp;D219&amp;")")), (IF("("&amp;D224&amp;")    ("&amp;D219&amp;")"="()    ()","","("&amp;D224&amp;")    ("&amp;D219&amp;")")))</f>
        <v>(4)    (4)</v>
      </c>
      <c r="E209" s="272" t="str">
        <f t="shared" si="18"/>
        <v>(39)    (66)</v>
      </c>
      <c r="F209" s="272" t="str">
        <f t="shared" si="18"/>
        <v>(8)    (8)</v>
      </c>
      <c r="G209" s="272" t="str">
        <f t="shared" si="18"/>
        <v>(43)    (123)</v>
      </c>
      <c r="H209" s="272" t="str">
        <f t="shared" si="18"/>
        <v>(14)    (14)</v>
      </c>
      <c r="I209" s="272" t="str">
        <f t="shared" si="18"/>
        <v>(22)    (22)</v>
      </c>
      <c r="J209" s="272" t="str">
        <f t="shared" si="18"/>
        <v>(62)    (52)</v>
      </c>
      <c r="K209" s="273"/>
      <c r="L209" s="273"/>
      <c r="M209" s="273"/>
      <c r="N209" s="273"/>
      <c r="O209" s="273"/>
      <c r="P209" s="273"/>
      <c r="Q209" s="273"/>
      <c r="AI209" s="275"/>
      <c r="AJ209" s="275"/>
      <c r="AK209" s="275"/>
      <c r="AL209" s="275"/>
      <c r="AM209" s="275"/>
      <c r="AN209" s="275"/>
      <c r="AO209" s="275"/>
      <c r="AP209" s="275"/>
      <c r="AQ209" s="275"/>
      <c r="AR209" s="275"/>
      <c r="AS209" s="275"/>
      <c r="AT209" s="275"/>
      <c r="AU209" s="275"/>
      <c r="AV209" s="275"/>
      <c r="AW209" s="275"/>
      <c r="AX209" s="275"/>
      <c r="AY209" s="275"/>
      <c r="AZ209" s="275"/>
      <c r="BA209" s="275"/>
      <c r="BB209" s="275"/>
      <c r="BC209" s="275"/>
    </row>
    <row r="210" spans="1:55" s="280" customFormat="1" ht="59.1" customHeight="1">
      <c r="A210" s="276"/>
      <c r="B210" s="277"/>
      <c r="C210" s="278" t="s">
        <v>835</v>
      </c>
      <c r="D210" s="278" t="s">
        <v>836</v>
      </c>
      <c r="E210" s="278" t="s">
        <v>837</v>
      </c>
      <c r="F210" s="278" t="s">
        <v>838</v>
      </c>
      <c r="G210" s="278" t="s">
        <v>839</v>
      </c>
      <c r="H210" s="278" t="s">
        <v>815</v>
      </c>
      <c r="I210" s="278" t="s">
        <v>840</v>
      </c>
      <c r="J210" s="278" t="s">
        <v>841</v>
      </c>
      <c r="K210" s="279" t="s">
        <v>842</v>
      </c>
      <c r="L210" s="279" t="s">
        <v>814</v>
      </c>
      <c r="M210" s="279"/>
      <c r="N210" s="279"/>
      <c r="O210" s="279"/>
      <c r="P210" s="279"/>
      <c r="Q210" s="279"/>
      <c r="AI210" s="281"/>
      <c r="AJ210" s="281"/>
      <c r="AK210" s="281"/>
      <c r="AL210" s="281"/>
      <c r="AM210" s="281"/>
      <c r="AN210" s="281"/>
      <c r="AO210" s="281"/>
      <c r="AP210" s="281"/>
      <c r="AQ210" s="281"/>
      <c r="AS210" s="281"/>
      <c r="AT210" s="281"/>
      <c r="AU210" s="281"/>
      <c r="AV210" s="281"/>
      <c r="AW210" s="281"/>
      <c r="AX210" s="281"/>
      <c r="AY210" s="281"/>
      <c r="AZ210" s="281"/>
      <c r="BA210" s="281"/>
      <c r="BB210" s="281"/>
      <c r="BC210" s="281"/>
    </row>
    <row r="211" spans="1:55" s="167" customFormat="1" ht="21.95" customHeight="1">
      <c r="A211" s="266"/>
      <c r="B211" s="282" t="s">
        <v>3</v>
      </c>
      <c r="C211" s="283">
        <v>77</v>
      </c>
      <c r="D211" s="283" t="s">
        <v>800</v>
      </c>
      <c r="E211" s="283">
        <v>87</v>
      </c>
      <c r="F211" s="283">
        <v>75</v>
      </c>
      <c r="G211" s="283">
        <v>85</v>
      </c>
      <c r="H211" s="283">
        <v>92</v>
      </c>
      <c r="I211" s="283">
        <v>84</v>
      </c>
      <c r="J211" s="283">
        <v>81</v>
      </c>
      <c r="K211" s="284">
        <v>83</v>
      </c>
      <c r="L211" s="284">
        <v>86</v>
      </c>
      <c r="M211" s="284"/>
      <c r="N211" s="284"/>
      <c r="O211" s="284"/>
      <c r="P211" s="284"/>
      <c r="Q211" s="284"/>
      <c r="AI211" s="265"/>
      <c r="AJ211" s="265"/>
      <c r="AK211" s="265"/>
      <c r="AL211" s="265"/>
      <c r="AM211" s="265"/>
      <c r="AN211" s="265"/>
      <c r="AO211" s="265"/>
      <c r="AP211" s="265"/>
      <c r="AQ211" s="265"/>
      <c r="AS211" s="265"/>
      <c r="AT211" s="265"/>
      <c r="AU211" s="265"/>
      <c r="AV211" s="265"/>
      <c r="AW211" s="265"/>
      <c r="AX211" s="265"/>
      <c r="AY211" s="265"/>
      <c r="AZ211" s="265"/>
      <c r="BA211" s="265"/>
      <c r="BB211" s="265"/>
      <c r="BC211" s="265"/>
    </row>
    <row r="212" spans="1:55" s="167" customFormat="1" ht="21.95" customHeight="1">
      <c r="A212" s="266"/>
      <c r="B212" s="285" t="s">
        <v>18</v>
      </c>
      <c r="C212" s="283">
        <v>80</v>
      </c>
      <c r="D212" s="283" t="s">
        <v>800</v>
      </c>
      <c r="E212" s="283">
        <v>84</v>
      </c>
      <c r="F212" s="283">
        <v>75</v>
      </c>
      <c r="G212" s="283">
        <v>87</v>
      </c>
      <c r="H212" s="283">
        <v>93</v>
      </c>
      <c r="I212" s="283">
        <v>81</v>
      </c>
      <c r="J212" s="283">
        <v>82</v>
      </c>
      <c r="K212" s="286">
        <v>86</v>
      </c>
      <c r="L212" s="286">
        <v>85</v>
      </c>
      <c r="M212" s="286"/>
      <c r="N212" s="286"/>
      <c r="O212" s="286"/>
      <c r="P212" s="286"/>
      <c r="Q212" s="286"/>
      <c r="AI212" s="265"/>
      <c r="AJ212" s="265"/>
      <c r="AK212" s="265"/>
      <c r="AL212" s="265"/>
      <c r="AM212" s="265"/>
      <c r="AN212" s="265"/>
      <c r="AO212" s="265"/>
      <c r="AP212" s="265"/>
      <c r="AQ212" s="265"/>
      <c r="AS212" s="265"/>
      <c r="AT212" s="265"/>
      <c r="AU212" s="265"/>
      <c r="AV212" s="265"/>
      <c r="AW212" s="265"/>
      <c r="AX212" s="265"/>
      <c r="AY212" s="265"/>
      <c r="AZ212" s="265"/>
      <c r="BA212" s="265"/>
      <c r="BB212" s="265"/>
      <c r="BC212" s="265"/>
    </row>
    <row r="213" spans="1:55" s="167" customFormat="1" ht="21.95" customHeight="1">
      <c r="A213" s="169"/>
      <c r="B213" s="287" t="s">
        <v>32</v>
      </c>
      <c r="C213" s="283">
        <v>78</v>
      </c>
      <c r="D213" s="283" t="s">
        <v>800</v>
      </c>
      <c r="E213" s="283">
        <v>87</v>
      </c>
      <c r="F213" s="283">
        <v>78</v>
      </c>
      <c r="G213" s="283">
        <v>79</v>
      </c>
      <c r="H213" s="283">
        <v>92</v>
      </c>
      <c r="I213" s="283">
        <v>79</v>
      </c>
      <c r="J213" s="283">
        <v>77</v>
      </c>
      <c r="K213" s="286">
        <v>75</v>
      </c>
      <c r="L213" s="286">
        <v>79</v>
      </c>
      <c r="M213" s="286"/>
      <c r="N213" s="286"/>
      <c r="O213" s="286"/>
      <c r="P213" s="286"/>
      <c r="Q213" s="286"/>
      <c r="AI213" s="265"/>
      <c r="AJ213" s="265"/>
      <c r="AK213" s="265"/>
      <c r="AL213" s="265"/>
      <c r="AM213" s="265"/>
      <c r="AN213" s="265"/>
      <c r="AO213" s="265"/>
      <c r="AP213" s="265"/>
      <c r="AQ213" s="265"/>
      <c r="AS213" s="265"/>
      <c r="AT213" s="265"/>
      <c r="AU213" s="265"/>
      <c r="AV213" s="265"/>
      <c r="AW213" s="265"/>
      <c r="AX213" s="265"/>
      <c r="AY213" s="265"/>
      <c r="AZ213" s="265"/>
      <c r="BA213" s="265"/>
      <c r="BB213" s="265"/>
    </row>
    <row r="214" spans="1:55" s="167" customFormat="1" ht="21.95" customHeight="1">
      <c r="A214" s="169"/>
      <c r="B214" s="288" t="s">
        <v>45</v>
      </c>
      <c r="C214" s="283">
        <v>82</v>
      </c>
      <c r="D214" s="283" t="s">
        <v>800</v>
      </c>
      <c r="E214" s="283">
        <v>89</v>
      </c>
      <c r="F214" s="283">
        <v>77</v>
      </c>
      <c r="G214" s="283">
        <v>78</v>
      </c>
      <c r="H214" s="283">
        <v>98</v>
      </c>
      <c r="I214" s="283">
        <v>82</v>
      </c>
      <c r="J214" s="283">
        <v>84</v>
      </c>
      <c r="K214" s="286">
        <v>79</v>
      </c>
      <c r="L214" s="286">
        <v>89</v>
      </c>
      <c r="M214" s="286"/>
      <c r="N214" s="286"/>
      <c r="O214" s="286"/>
      <c r="P214" s="286"/>
      <c r="Q214" s="286"/>
      <c r="AI214" s="265"/>
      <c r="AJ214" s="265"/>
      <c r="AK214" s="265"/>
      <c r="AL214" s="265"/>
      <c r="AM214" s="265"/>
      <c r="AN214" s="265"/>
      <c r="AO214" s="265"/>
      <c r="AP214" s="265"/>
      <c r="AQ214" s="265"/>
      <c r="AS214" s="265"/>
      <c r="AT214" s="265"/>
      <c r="AU214" s="265"/>
      <c r="AV214" s="265"/>
      <c r="AW214" s="265"/>
      <c r="AX214" s="265"/>
      <c r="AY214" s="265"/>
      <c r="AZ214" s="265"/>
      <c r="BA214" s="265"/>
      <c r="BB214" s="265"/>
    </row>
    <row r="215" spans="1:55" s="167" customFormat="1" ht="21.95" customHeight="1">
      <c r="A215" s="169"/>
      <c r="B215" s="290" t="s">
        <v>54</v>
      </c>
      <c r="C215" s="283">
        <v>82</v>
      </c>
      <c r="D215" s="283" t="s">
        <v>800</v>
      </c>
      <c r="E215" s="283">
        <v>88</v>
      </c>
      <c r="F215" s="283">
        <v>76</v>
      </c>
      <c r="G215" s="283">
        <v>87</v>
      </c>
      <c r="H215" s="283">
        <v>96</v>
      </c>
      <c r="I215" s="283">
        <v>89</v>
      </c>
      <c r="J215" s="283">
        <v>88</v>
      </c>
      <c r="K215" s="286">
        <v>88</v>
      </c>
      <c r="L215" s="286">
        <v>92</v>
      </c>
      <c r="M215" s="286"/>
      <c r="N215" s="286"/>
      <c r="O215" s="286"/>
      <c r="P215" s="286"/>
      <c r="Q215" s="286"/>
      <c r="AI215" s="265"/>
      <c r="AJ215" s="265"/>
      <c r="AK215" s="265"/>
      <c r="AL215" s="265"/>
      <c r="AM215" s="265"/>
      <c r="AN215" s="265"/>
      <c r="AO215" s="265"/>
      <c r="AP215" s="265"/>
      <c r="AQ215" s="265"/>
      <c r="AS215" s="265"/>
      <c r="AT215" s="265"/>
      <c r="AU215" s="265"/>
      <c r="AV215" s="265"/>
      <c r="AW215" s="265"/>
      <c r="AX215" s="265"/>
      <c r="AY215" s="265"/>
      <c r="AZ215" s="265"/>
      <c r="BA215" s="265"/>
      <c r="BB215" s="265"/>
    </row>
    <row r="216" spans="1:55" s="167" customFormat="1">
      <c r="A216" s="169"/>
      <c r="B216" s="291" t="s">
        <v>66</v>
      </c>
      <c r="C216" s="286">
        <v>88</v>
      </c>
      <c r="D216" s="286"/>
      <c r="E216" s="286">
        <v>94</v>
      </c>
      <c r="F216" s="286">
        <v>75</v>
      </c>
      <c r="G216" s="286">
        <v>91</v>
      </c>
      <c r="H216" s="286">
        <v>100</v>
      </c>
      <c r="I216" s="286">
        <v>86</v>
      </c>
      <c r="J216" s="286">
        <v>90</v>
      </c>
      <c r="K216" s="286">
        <v>87</v>
      </c>
      <c r="L216" s="286">
        <v>92</v>
      </c>
      <c r="M216" s="286"/>
      <c r="N216" s="286"/>
      <c r="O216" s="286"/>
      <c r="P216" s="286"/>
      <c r="Q216" s="286"/>
      <c r="AI216" s="265"/>
      <c r="AJ216" s="265"/>
      <c r="AK216" s="265"/>
      <c r="AL216" s="265"/>
      <c r="AM216" s="265"/>
      <c r="AN216" s="265"/>
      <c r="AO216" s="265"/>
      <c r="AP216" s="265"/>
      <c r="AQ216" s="265"/>
      <c r="AS216" s="265"/>
      <c r="AT216" s="265"/>
      <c r="AU216" s="265"/>
      <c r="AV216" s="265"/>
      <c r="AW216" s="265"/>
      <c r="AX216" s="265"/>
      <c r="AY216" s="265"/>
      <c r="AZ216" s="265"/>
      <c r="BA216" s="265"/>
      <c r="BB216" s="265"/>
    </row>
    <row r="217" spans="1:55" s="167" customFormat="1">
      <c r="A217" s="169"/>
      <c r="B217" s="291" t="s">
        <v>158</v>
      </c>
      <c r="C217" s="292">
        <v>80</v>
      </c>
      <c r="D217" s="292" t="s">
        <v>800</v>
      </c>
      <c r="E217" s="292">
        <v>87</v>
      </c>
      <c r="F217" s="292">
        <v>76</v>
      </c>
      <c r="G217" s="292">
        <v>84</v>
      </c>
      <c r="H217" s="292">
        <v>94</v>
      </c>
      <c r="I217" s="292">
        <v>83</v>
      </c>
      <c r="J217" s="292">
        <v>82</v>
      </c>
      <c r="K217" s="292">
        <v>82</v>
      </c>
      <c r="L217" s="292">
        <v>86</v>
      </c>
      <c r="M217" s="292"/>
      <c r="N217" s="292"/>
      <c r="O217" s="292"/>
      <c r="P217" s="292"/>
      <c r="Q217" s="292"/>
      <c r="AI217" s="265"/>
      <c r="AJ217" s="265"/>
      <c r="AK217" s="265"/>
      <c r="AL217" s="265"/>
      <c r="AM217" s="265"/>
      <c r="AN217" s="265"/>
      <c r="AO217" s="265"/>
      <c r="AP217" s="265"/>
      <c r="AQ217" s="265"/>
      <c r="AS217" s="265"/>
      <c r="AT217" s="265"/>
      <c r="AU217" s="265"/>
      <c r="AV217" s="265"/>
      <c r="AW217" s="265"/>
      <c r="AX217" s="265"/>
      <c r="AY217" s="265"/>
      <c r="AZ217" s="265"/>
      <c r="BA217" s="265"/>
      <c r="BB217" s="265"/>
    </row>
    <row r="218" spans="1:55" s="167" customFormat="1">
      <c r="A218" s="169"/>
      <c r="B218" s="291" t="s">
        <v>189</v>
      </c>
      <c r="C218" s="292">
        <v>83</v>
      </c>
      <c r="D218" s="292">
        <v>83</v>
      </c>
      <c r="E218" s="292">
        <v>83</v>
      </c>
      <c r="F218" s="292">
        <v>83</v>
      </c>
      <c r="G218" s="292">
        <v>83</v>
      </c>
      <c r="H218" s="292">
        <v>83</v>
      </c>
      <c r="I218" s="292">
        <v>83</v>
      </c>
      <c r="J218" s="292">
        <v>83</v>
      </c>
      <c r="K218" s="292">
        <v>83</v>
      </c>
      <c r="L218" s="292">
        <v>83</v>
      </c>
      <c r="M218" s="292"/>
      <c r="N218" s="292"/>
      <c r="O218" s="292"/>
      <c r="P218" s="292"/>
      <c r="Q218" s="292"/>
      <c r="AI218" s="293"/>
      <c r="AJ218" s="293"/>
      <c r="AK218" s="293"/>
      <c r="AL218" s="293"/>
      <c r="AM218" s="293"/>
      <c r="AN218" s="265"/>
      <c r="AO218" s="265"/>
      <c r="AP218" s="265"/>
      <c r="AQ218" s="265"/>
      <c r="AS218" s="265"/>
      <c r="AT218" s="265"/>
      <c r="AU218" s="265"/>
      <c r="AV218" s="265"/>
      <c r="AW218" s="265"/>
      <c r="AX218" s="265"/>
      <c r="AY218" s="265"/>
      <c r="AZ218" s="265"/>
      <c r="BA218" s="265"/>
      <c r="BB218" s="265"/>
    </row>
    <row r="219" spans="1:55" s="167" customFormat="1" ht="15" thickBot="1">
      <c r="A219" s="169"/>
      <c r="B219" s="291" t="s">
        <v>345</v>
      </c>
      <c r="C219" s="292">
        <v>67</v>
      </c>
      <c r="D219" s="292">
        <v>4</v>
      </c>
      <c r="E219" s="292">
        <v>66</v>
      </c>
      <c r="F219" s="292">
        <v>8</v>
      </c>
      <c r="G219" s="292">
        <v>123</v>
      </c>
      <c r="H219" s="292">
        <v>14</v>
      </c>
      <c r="I219" s="292">
        <v>22</v>
      </c>
      <c r="J219" s="292">
        <v>52</v>
      </c>
      <c r="K219" s="292">
        <v>194</v>
      </c>
      <c r="L219" s="292">
        <v>13</v>
      </c>
      <c r="M219" s="292"/>
      <c r="N219" s="292"/>
      <c r="O219" s="292"/>
      <c r="P219" s="292"/>
      <c r="Q219" s="292"/>
      <c r="AI219" s="265"/>
      <c r="AJ219" s="265"/>
      <c r="AK219" s="265"/>
      <c r="AL219" s="265"/>
      <c r="AM219" s="265"/>
      <c r="AN219" s="265"/>
      <c r="AO219" s="265"/>
      <c r="AP219" s="265"/>
      <c r="AQ219" s="265"/>
      <c r="AS219" s="265"/>
      <c r="AT219" s="265"/>
      <c r="AU219" s="265"/>
      <c r="AV219" s="265"/>
      <c r="AW219" s="265"/>
      <c r="AX219" s="265"/>
      <c r="AY219" s="265"/>
      <c r="AZ219" s="265"/>
      <c r="BA219" s="265"/>
      <c r="BB219" s="265"/>
    </row>
    <row r="220" spans="1:55" s="167" customFormat="1">
      <c r="A220" s="266"/>
      <c r="B220" s="294" t="s">
        <v>166</v>
      </c>
      <c r="C220" s="295">
        <f>IF(OR(C223="**",C223=""),"",VALUE(C223))</f>
        <v>71</v>
      </c>
      <c r="D220" s="295" t="str">
        <f t="shared" ref="D220:J220" si="19">IF(OR(D223="**",D223=""),"",VALUE(D223))</f>
        <v/>
      </c>
      <c r="E220" s="295">
        <f t="shared" si="19"/>
        <v>85</v>
      </c>
      <c r="F220" s="295">
        <f t="shared" si="19"/>
        <v>81</v>
      </c>
      <c r="G220" s="295">
        <f t="shared" si="19"/>
        <v>82</v>
      </c>
      <c r="H220" s="295">
        <f t="shared" si="19"/>
        <v>79</v>
      </c>
      <c r="I220" s="295">
        <f t="shared" si="19"/>
        <v>80</v>
      </c>
      <c r="J220" s="295">
        <f t="shared" si="19"/>
        <v>77</v>
      </c>
      <c r="K220" s="183"/>
      <c r="L220" s="183"/>
      <c r="M220" s="183"/>
      <c r="N220" s="183"/>
      <c r="O220" s="183"/>
      <c r="P220" s="183"/>
      <c r="Q220" s="183"/>
      <c r="AI220" s="265"/>
      <c r="AJ220" s="265"/>
      <c r="AK220" s="265"/>
      <c r="AL220" s="265"/>
      <c r="AM220" s="265"/>
      <c r="AN220" s="265"/>
      <c r="AO220" s="265"/>
      <c r="AP220" s="265"/>
      <c r="AQ220" s="265"/>
      <c r="AS220" s="265"/>
      <c r="AT220" s="265"/>
      <c r="AU220" s="265"/>
      <c r="AV220" s="265"/>
      <c r="AW220" s="265"/>
      <c r="AX220" s="265"/>
      <c r="AY220" s="265"/>
      <c r="AZ220" s="265"/>
      <c r="BA220" s="265"/>
      <c r="BB220" s="265"/>
    </row>
    <row r="221" spans="1:55" s="167" customFormat="1" ht="15" thickBot="1">
      <c r="A221" s="266"/>
      <c r="B221" s="296" t="s">
        <v>165</v>
      </c>
      <c r="C221" s="297">
        <f t="shared" ref="C221:J221" si="20">IF(OR(C217="**",C217=""),"",VALUE(C217))</f>
        <v>80</v>
      </c>
      <c r="D221" s="297" t="str">
        <f t="shared" si="20"/>
        <v/>
      </c>
      <c r="E221" s="297">
        <f t="shared" si="20"/>
        <v>87</v>
      </c>
      <c r="F221" s="297">
        <f t="shared" si="20"/>
        <v>76</v>
      </c>
      <c r="G221" s="297">
        <f t="shared" si="20"/>
        <v>84</v>
      </c>
      <c r="H221" s="297">
        <f t="shared" si="20"/>
        <v>94</v>
      </c>
      <c r="I221" s="297">
        <f t="shared" si="20"/>
        <v>83</v>
      </c>
      <c r="J221" s="297">
        <f t="shared" si="20"/>
        <v>82</v>
      </c>
      <c r="K221" s="260"/>
      <c r="L221" s="260"/>
      <c r="M221" s="260"/>
      <c r="N221" s="260"/>
      <c r="O221" s="260"/>
      <c r="P221" s="260"/>
      <c r="Q221" s="260"/>
      <c r="AI221" s="260"/>
      <c r="AJ221" s="260"/>
      <c r="AK221" s="260"/>
      <c r="AL221" s="260"/>
      <c r="AM221" s="260"/>
      <c r="AN221" s="260"/>
      <c r="AO221" s="260"/>
      <c r="AP221" s="260"/>
      <c r="AQ221" s="265"/>
      <c r="AR221" s="265"/>
      <c r="AS221" s="265"/>
      <c r="AT221" s="265"/>
      <c r="AU221" s="265"/>
      <c r="AV221" s="265"/>
      <c r="AW221" s="265"/>
      <c r="AX221" s="265"/>
      <c r="AY221" s="265"/>
      <c r="AZ221" s="265"/>
      <c r="BA221" s="265"/>
      <c r="BB221" s="265"/>
    </row>
    <row r="222" spans="1:55" s="167" customFormat="1">
      <c r="A222" s="169"/>
      <c r="B222" s="298" t="s">
        <v>385</v>
      </c>
      <c r="C222" s="195" t="s">
        <v>835</v>
      </c>
      <c r="D222" s="195" t="s">
        <v>836</v>
      </c>
      <c r="E222" s="195" t="s">
        <v>837</v>
      </c>
      <c r="F222" s="195" t="s">
        <v>838</v>
      </c>
      <c r="G222" s="195" t="s">
        <v>839</v>
      </c>
      <c r="H222" s="195" t="s">
        <v>815</v>
      </c>
      <c r="I222" s="195" t="s">
        <v>840</v>
      </c>
      <c r="J222" s="195" t="s">
        <v>841</v>
      </c>
      <c r="K222" s="264" t="s">
        <v>854</v>
      </c>
      <c r="L222" s="264" t="s">
        <v>814</v>
      </c>
      <c r="M222" s="264"/>
      <c r="N222" s="264"/>
      <c r="O222" s="264"/>
      <c r="P222" s="264"/>
      <c r="Q222" s="264"/>
      <c r="AI222" s="265"/>
      <c r="AJ222" s="265"/>
      <c r="AK222" s="265"/>
      <c r="AL222" s="265"/>
      <c r="AM222" s="265"/>
      <c r="AN222" s="265"/>
      <c r="AO222" s="265"/>
      <c r="AP222" s="265"/>
      <c r="AQ222" s="265"/>
      <c r="AR222" s="265"/>
      <c r="AS222" s="265"/>
      <c r="AT222" s="265"/>
      <c r="AU222" s="265"/>
      <c r="AV222" s="265"/>
      <c r="AW222" s="265"/>
      <c r="AX222" s="265"/>
      <c r="AY222" s="265"/>
      <c r="AZ222" s="265"/>
      <c r="BA222" s="265"/>
      <c r="BB222" s="265"/>
    </row>
    <row r="223" spans="1:55" s="167" customFormat="1">
      <c r="A223" s="169"/>
      <c r="B223" s="291" t="s">
        <v>158</v>
      </c>
      <c r="C223" s="258">
        <v>71</v>
      </c>
      <c r="D223" s="258" t="s">
        <v>800</v>
      </c>
      <c r="E223" s="258">
        <v>85</v>
      </c>
      <c r="F223" s="258">
        <v>81</v>
      </c>
      <c r="G223" s="258">
        <v>82</v>
      </c>
      <c r="H223" s="258">
        <v>79</v>
      </c>
      <c r="I223" s="258">
        <v>80</v>
      </c>
      <c r="J223" s="258">
        <v>77</v>
      </c>
      <c r="K223" s="264">
        <v>78</v>
      </c>
      <c r="L223" s="264">
        <v>71</v>
      </c>
      <c r="M223" s="264"/>
      <c r="N223" s="264"/>
      <c r="O223" s="264"/>
      <c r="P223" s="264"/>
      <c r="Q223" s="264"/>
      <c r="AI223" s="265"/>
      <c r="AJ223" s="265"/>
      <c r="AK223" s="265"/>
      <c r="AL223" s="265"/>
      <c r="AM223" s="265"/>
      <c r="AN223" s="265"/>
      <c r="AO223" s="265"/>
      <c r="AP223" s="265"/>
      <c r="AQ223" s="265"/>
      <c r="AR223" s="265"/>
      <c r="AS223" s="265"/>
      <c r="AT223" s="265"/>
      <c r="AU223" s="265"/>
      <c r="AV223" s="265"/>
      <c r="AW223" s="265"/>
      <c r="AX223" s="265"/>
      <c r="AY223" s="265"/>
      <c r="AZ223" s="265"/>
      <c r="BA223" s="265"/>
      <c r="BB223" s="265"/>
    </row>
    <row r="224" spans="1:55" s="167" customFormat="1">
      <c r="A224" s="169"/>
      <c r="B224" s="298" t="s">
        <v>345</v>
      </c>
      <c r="C224" s="258">
        <v>46</v>
      </c>
      <c r="D224" s="258">
        <v>4</v>
      </c>
      <c r="E224" s="258">
        <v>39</v>
      </c>
      <c r="F224" s="258">
        <v>8</v>
      </c>
      <c r="G224" s="258">
        <v>43</v>
      </c>
      <c r="H224" s="258">
        <v>14</v>
      </c>
      <c r="I224" s="258">
        <v>22</v>
      </c>
      <c r="J224" s="258">
        <v>62</v>
      </c>
      <c r="K224" s="265">
        <v>203</v>
      </c>
      <c r="L224" s="265">
        <v>8</v>
      </c>
      <c r="M224" s="265"/>
      <c r="N224" s="265"/>
      <c r="O224" s="265"/>
      <c r="P224" s="265"/>
      <c r="Q224" s="265"/>
      <c r="R224" s="301"/>
      <c r="S224" s="291"/>
      <c r="T224" s="289"/>
      <c r="U224" s="289"/>
      <c r="V224" s="289"/>
      <c r="W224" s="289"/>
      <c r="X224" s="289"/>
      <c r="Y224" s="289"/>
      <c r="Z224" s="289"/>
      <c r="AA224" s="289"/>
      <c r="AB224" s="264"/>
      <c r="AC224" s="264"/>
    </row>
    <row r="225" spans="1:55" s="167" customFormat="1">
      <c r="A225" s="169"/>
      <c r="B225" s="195"/>
      <c r="C225" s="195"/>
      <c r="D225" s="195"/>
      <c r="E225" s="195"/>
      <c r="F225" s="195"/>
      <c r="G225" s="195"/>
      <c r="H225" s="195"/>
      <c r="I225" s="195"/>
      <c r="J225" s="195"/>
      <c r="K225" s="265"/>
      <c r="L225" s="265"/>
      <c r="M225" s="265"/>
      <c r="N225" s="265"/>
      <c r="O225" s="265"/>
      <c r="P225" s="265"/>
      <c r="Q225" s="265"/>
      <c r="R225" s="291"/>
      <c r="S225" s="183"/>
      <c r="T225" s="183"/>
      <c r="U225" s="183"/>
      <c r="V225" s="183"/>
      <c r="W225" s="183"/>
      <c r="X225" s="183"/>
      <c r="Y225" s="183"/>
      <c r="Z225" s="183"/>
      <c r="AA225" s="264"/>
      <c r="AB225" s="264"/>
    </row>
    <row r="226" spans="1:55" s="293" customFormat="1">
      <c r="A226" s="195"/>
      <c r="B226" s="195"/>
      <c r="C226" s="195"/>
      <c r="D226" s="195"/>
      <c r="E226" s="195"/>
      <c r="F226" s="195"/>
      <c r="G226" s="195"/>
      <c r="H226" s="195"/>
      <c r="I226" s="195"/>
      <c r="J226" s="195"/>
      <c r="K226" s="265"/>
      <c r="L226" s="265"/>
      <c r="M226" s="265"/>
      <c r="N226" s="265"/>
      <c r="O226" s="265"/>
      <c r="P226" s="265"/>
      <c r="Q226" s="265"/>
      <c r="R226" s="300"/>
      <c r="S226" s="300"/>
      <c r="T226" s="183"/>
      <c r="U226" s="183"/>
      <c r="V226" s="183"/>
      <c r="W226" s="183"/>
      <c r="X226" s="183"/>
      <c r="Y226" s="183"/>
      <c r="Z226" s="264"/>
      <c r="AA226" s="264"/>
      <c r="AB226" s="167"/>
      <c r="AC226" s="167"/>
      <c r="AD226" s="167"/>
      <c r="AE226" s="167"/>
      <c r="AF226" s="167"/>
      <c r="AG226" s="167"/>
      <c r="AH226" s="167"/>
      <c r="AI226" s="167"/>
      <c r="AJ226" s="167"/>
      <c r="AK226" s="167"/>
      <c r="AL226" s="167"/>
      <c r="AM226" s="167"/>
      <c r="AN226" s="167"/>
      <c r="AO226" s="167"/>
      <c r="AP226" s="167"/>
      <c r="AQ226" s="167"/>
      <c r="AR226" s="167"/>
      <c r="AS226" s="167"/>
      <c r="AT226" s="167"/>
      <c r="AU226" s="167"/>
      <c r="AV226" s="167"/>
      <c r="AW226" s="167"/>
      <c r="AX226" s="167"/>
      <c r="AY226" s="167"/>
      <c r="AZ226" s="167"/>
      <c r="BA226" s="167"/>
      <c r="BB226" s="167"/>
      <c r="BC226" s="167"/>
    </row>
    <row r="227" spans="1:55" s="265" customFormat="1">
      <c r="A227" s="306"/>
      <c r="B227" s="195"/>
      <c r="C227" s="195"/>
      <c r="D227" s="195"/>
      <c r="E227" s="195"/>
      <c r="F227" s="195"/>
      <c r="G227" s="195"/>
      <c r="H227" s="195"/>
      <c r="I227" s="195"/>
      <c r="J227" s="195"/>
      <c r="R227" s="183"/>
      <c r="S227" s="183"/>
      <c r="T227" s="183"/>
      <c r="U227" s="183"/>
      <c r="V227" s="183"/>
      <c r="W227" s="183"/>
      <c r="X227" s="183"/>
      <c r="Y227" s="264"/>
      <c r="Z227" s="264"/>
      <c r="AA227" s="167"/>
      <c r="AB227" s="167"/>
      <c r="AC227" s="167"/>
      <c r="AD227" s="167"/>
      <c r="AE227" s="167"/>
      <c r="AF227" s="167"/>
      <c r="AG227" s="167"/>
      <c r="AH227" s="167"/>
      <c r="AI227" s="167"/>
      <c r="AJ227" s="167"/>
      <c r="AK227" s="167"/>
      <c r="AL227" s="167"/>
      <c r="AM227" s="167"/>
      <c r="AN227" s="167"/>
      <c r="AO227" s="167"/>
      <c r="AP227" s="167"/>
      <c r="AQ227" s="167"/>
      <c r="AR227" s="167"/>
      <c r="AS227" s="167"/>
      <c r="AT227" s="167"/>
      <c r="AU227" s="167"/>
      <c r="AV227" s="167"/>
      <c r="AW227" s="167"/>
      <c r="AX227" s="167"/>
      <c r="AY227" s="167"/>
      <c r="AZ227" s="167"/>
      <c r="BA227" s="167"/>
      <c r="BB227" s="167"/>
    </row>
    <row r="228" spans="1:55" s="265" customFormat="1" ht="18" customHeight="1">
      <c r="A228" s="195"/>
      <c r="B228" s="195"/>
      <c r="C228" s="195"/>
      <c r="D228" s="195"/>
      <c r="E228" s="195"/>
      <c r="F228" s="195"/>
      <c r="G228" s="195"/>
      <c r="H228" s="195"/>
      <c r="I228" s="195"/>
      <c r="J228" s="195"/>
      <c r="K228" s="167"/>
      <c r="L228" s="167"/>
      <c r="M228" s="167"/>
      <c r="N228" s="167"/>
      <c r="O228" s="167"/>
      <c r="P228" s="167"/>
      <c r="Q228" s="167"/>
      <c r="R228" s="183"/>
      <c r="S228" s="183"/>
      <c r="T228" s="183"/>
      <c r="U228" s="183"/>
      <c r="V228" s="183"/>
      <c r="W228" s="183"/>
      <c r="X228" s="264"/>
      <c r="Y228" s="264"/>
      <c r="Z228" s="167"/>
      <c r="AA228" s="167"/>
      <c r="AB228" s="167"/>
      <c r="AC228" s="167"/>
      <c r="AD228" s="167"/>
      <c r="AE228" s="167"/>
      <c r="AF228" s="167"/>
      <c r="AG228" s="167"/>
      <c r="AH228" s="167"/>
      <c r="AI228" s="167"/>
      <c r="AJ228" s="167"/>
      <c r="AK228" s="167"/>
      <c r="AL228" s="167"/>
      <c r="AM228" s="167"/>
      <c r="AN228" s="167"/>
      <c r="AO228" s="167"/>
      <c r="AP228" s="167"/>
      <c r="AQ228" s="167"/>
      <c r="AR228" s="167"/>
      <c r="AS228" s="167"/>
      <c r="AT228" s="167"/>
      <c r="AU228" s="167"/>
      <c r="AV228" s="167"/>
      <c r="AW228" s="167"/>
      <c r="AX228" s="167"/>
      <c r="AY228" s="167"/>
      <c r="AZ228" s="167"/>
      <c r="BA228" s="167"/>
    </row>
    <row r="229" spans="1:55" s="260" customFormat="1" ht="18" customHeight="1">
      <c r="A229" s="195" t="s">
        <v>183</v>
      </c>
      <c r="B229" s="195"/>
      <c r="C229" s="195"/>
      <c r="D229" s="195"/>
      <c r="E229" s="195"/>
      <c r="F229" s="195"/>
      <c r="G229" s="169"/>
      <c r="H229" s="169"/>
      <c r="I229" s="169"/>
      <c r="J229" s="169"/>
      <c r="K229" s="265"/>
      <c r="L229" s="265"/>
      <c r="M229" s="265"/>
      <c r="N229" s="265"/>
      <c r="O229" s="265"/>
      <c r="P229" s="265"/>
      <c r="Q229" s="265"/>
      <c r="W229" s="264"/>
      <c r="X229" s="264"/>
      <c r="Y229" s="167"/>
      <c r="Z229" s="167"/>
      <c r="AA229" s="167"/>
      <c r="AB229" s="167"/>
      <c r="AC229" s="167"/>
      <c r="AD229" s="167"/>
      <c r="AE229" s="167"/>
      <c r="AF229" s="167"/>
      <c r="AG229" s="167"/>
      <c r="AH229" s="167"/>
      <c r="AI229" s="167"/>
      <c r="AJ229" s="167"/>
      <c r="AK229" s="167"/>
      <c r="AL229" s="167"/>
      <c r="AM229" s="167"/>
      <c r="AN229" s="167"/>
      <c r="AO229" s="167"/>
      <c r="AP229" s="167"/>
      <c r="AQ229" s="167"/>
      <c r="AR229" s="167"/>
      <c r="AS229" s="167"/>
      <c r="AT229" s="167"/>
      <c r="AU229" s="167"/>
      <c r="AV229" s="167"/>
      <c r="AW229" s="167"/>
      <c r="AX229" s="167"/>
      <c r="AY229" s="167"/>
      <c r="AZ229" s="167"/>
    </row>
    <row r="230" spans="1:55" s="265" customFormat="1" ht="18" customHeight="1">
      <c r="A230" s="258">
        <v>5</v>
      </c>
      <c r="B230" s="258"/>
      <c r="C230" s="258"/>
      <c r="D230" s="258"/>
      <c r="E230" s="195"/>
      <c r="F230" s="195"/>
      <c r="G230" s="195"/>
      <c r="H230" s="195"/>
      <c r="I230" s="195"/>
      <c r="J230" s="195"/>
      <c r="S230" s="264"/>
      <c r="T230" s="264"/>
      <c r="U230" s="264"/>
      <c r="V230" s="264"/>
      <c r="W230" s="264"/>
      <c r="X230" s="167"/>
      <c r="Y230" s="167"/>
      <c r="Z230" s="167"/>
      <c r="AA230" s="167"/>
      <c r="AB230" s="167"/>
      <c r="AC230" s="167"/>
      <c r="AD230" s="167"/>
      <c r="AE230" s="167"/>
      <c r="AF230" s="167"/>
      <c r="AG230" s="167"/>
      <c r="AH230" s="167"/>
      <c r="AI230" s="167"/>
      <c r="AJ230" s="167"/>
      <c r="AK230" s="167"/>
      <c r="AL230" s="167"/>
      <c r="AM230" s="167"/>
      <c r="AN230" s="167"/>
      <c r="AO230" s="167"/>
      <c r="AP230" s="167"/>
      <c r="AQ230" s="167"/>
      <c r="AR230" s="167"/>
      <c r="AS230" s="167"/>
      <c r="AT230" s="167"/>
      <c r="AU230" s="167"/>
      <c r="AV230" s="167"/>
      <c r="AW230" s="167"/>
      <c r="AX230" s="167"/>
      <c r="AY230" s="167"/>
    </row>
    <row r="231" spans="1:55" s="265" customFormat="1" ht="18" customHeight="1">
      <c r="A231" s="195"/>
      <c r="B231" s="195"/>
      <c r="C231" s="195"/>
      <c r="D231" s="195"/>
      <c r="E231" s="195"/>
      <c r="F231" s="195"/>
      <c r="G231" s="195"/>
      <c r="H231" s="195"/>
      <c r="I231" s="195"/>
      <c r="J231" s="195"/>
      <c r="R231" s="264"/>
      <c r="S231" s="264"/>
      <c r="T231" s="264"/>
      <c r="U231" s="264"/>
      <c r="V231" s="264"/>
      <c r="W231" s="167"/>
      <c r="X231" s="167"/>
      <c r="Y231" s="167"/>
      <c r="Z231" s="167"/>
      <c r="AA231" s="167"/>
      <c r="AB231" s="167"/>
      <c r="AC231" s="167"/>
      <c r="AD231" s="167"/>
      <c r="AE231" s="167"/>
      <c r="AF231" s="167"/>
      <c r="AG231" s="167"/>
      <c r="AH231" s="167"/>
      <c r="AI231" s="167"/>
      <c r="AJ231" s="167"/>
      <c r="AK231" s="167"/>
      <c r="AL231" s="167"/>
      <c r="AM231" s="167"/>
      <c r="AN231" s="167"/>
      <c r="AO231" s="167"/>
      <c r="AP231" s="167"/>
      <c r="AQ231" s="167"/>
      <c r="AR231" s="167"/>
      <c r="AS231" s="167"/>
      <c r="AT231" s="167"/>
      <c r="AU231" s="167"/>
      <c r="AV231" s="167"/>
      <c r="AW231" s="167"/>
      <c r="AX231" s="167"/>
    </row>
    <row r="232" spans="1:55" s="265" customFormat="1" ht="18" customHeight="1">
      <c r="A232" s="195"/>
      <c r="B232" s="195"/>
      <c r="C232" s="195"/>
      <c r="D232" s="195"/>
      <c r="E232" s="195"/>
      <c r="F232" s="195"/>
      <c r="G232" s="195"/>
      <c r="H232" s="195"/>
      <c r="I232" s="195"/>
      <c r="J232" s="195"/>
      <c r="R232" s="264"/>
      <c r="S232" s="264"/>
      <c r="T232" s="264"/>
      <c r="U232" s="264"/>
      <c r="V232" s="167"/>
      <c r="W232" s="167"/>
      <c r="X232" s="167"/>
      <c r="Y232" s="167"/>
      <c r="Z232" s="167"/>
      <c r="AA232" s="167"/>
      <c r="AB232" s="167"/>
      <c r="AC232" s="167"/>
      <c r="AD232" s="167"/>
      <c r="AE232" s="167"/>
      <c r="AF232" s="167"/>
      <c r="AG232" s="167"/>
      <c r="AH232" s="167"/>
      <c r="AI232" s="167"/>
      <c r="AJ232" s="167"/>
      <c r="AK232" s="167"/>
      <c r="AL232" s="167"/>
      <c r="AM232" s="167"/>
      <c r="AN232" s="167"/>
      <c r="AO232" s="167"/>
      <c r="AP232" s="167"/>
      <c r="AQ232" s="167"/>
      <c r="AR232" s="167"/>
      <c r="AS232" s="167"/>
      <c r="AT232" s="167"/>
      <c r="AU232" s="167"/>
      <c r="AV232" s="167"/>
      <c r="AW232" s="167"/>
    </row>
    <row r="233" spans="1:55" s="265" customFormat="1" ht="18" customHeight="1">
      <c r="A233" s="195"/>
      <c r="B233" s="195"/>
      <c r="C233" s="195"/>
      <c r="D233" s="195"/>
      <c r="E233" s="195"/>
      <c r="F233" s="195"/>
      <c r="G233" s="195"/>
      <c r="H233" s="195"/>
      <c r="I233" s="195"/>
      <c r="J233" s="195"/>
      <c r="R233" s="264"/>
      <c r="S233" s="264"/>
      <c r="T233" s="264"/>
      <c r="U233" s="167"/>
      <c r="V233" s="167"/>
      <c r="W233" s="167"/>
      <c r="X233" s="167"/>
      <c r="Y233" s="167"/>
      <c r="Z233" s="167"/>
      <c r="AA233" s="167"/>
      <c r="AB233" s="167"/>
      <c r="AC233" s="167"/>
      <c r="AD233" s="167"/>
      <c r="AE233" s="167"/>
      <c r="AF233" s="167"/>
      <c r="AG233" s="167"/>
      <c r="AH233" s="167"/>
      <c r="AI233" s="167"/>
      <c r="AJ233" s="167"/>
      <c r="AK233" s="167"/>
      <c r="AL233" s="167"/>
      <c r="AM233" s="167"/>
      <c r="AN233" s="167"/>
      <c r="AO233" s="167"/>
      <c r="AP233" s="167"/>
      <c r="AQ233" s="167"/>
      <c r="AR233" s="167"/>
      <c r="AS233" s="167"/>
      <c r="AT233" s="167"/>
      <c r="AU233" s="167"/>
      <c r="AV233" s="167"/>
    </row>
    <row r="234" spans="1:55" s="265" customFormat="1" ht="18" customHeight="1">
      <c r="A234" s="195"/>
      <c r="B234" s="195"/>
      <c r="C234" s="195"/>
      <c r="D234" s="195"/>
      <c r="E234" s="195"/>
      <c r="F234" s="195"/>
      <c r="G234" s="195"/>
      <c r="H234" s="195"/>
      <c r="I234" s="195"/>
      <c r="J234" s="195"/>
      <c r="R234" s="264"/>
      <c r="S234" s="264"/>
      <c r="T234" s="167"/>
      <c r="U234" s="167"/>
      <c r="V234" s="167"/>
      <c r="W234" s="167"/>
      <c r="X234" s="167"/>
      <c r="Y234" s="167"/>
      <c r="Z234" s="167"/>
      <c r="AA234" s="167"/>
      <c r="AB234" s="167"/>
      <c r="AC234" s="167"/>
      <c r="AD234" s="167"/>
      <c r="AE234" s="167"/>
      <c r="AF234" s="167"/>
      <c r="AG234" s="167"/>
      <c r="AH234" s="167"/>
      <c r="AI234" s="167"/>
      <c r="AJ234" s="167"/>
      <c r="AK234" s="167"/>
      <c r="AL234" s="167"/>
      <c r="AM234" s="167"/>
      <c r="AN234" s="167"/>
      <c r="AO234" s="167"/>
      <c r="AP234" s="167"/>
      <c r="AQ234" s="167"/>
      <c r="AR234" s="167"/>
      <c r="AS234" s="167"/>
      <c r="AT234" s="167"/>
      <c r="AU234" s="167"/>
    </row>
    <row r="235" spans="1:55" s="265" customFormat="1" ht="18" customHeight="1">
      <c r="A235" s="195"/>
      <c r="B235" s="195"/>
      <c r="C235" s="195"/>
      <c r="D235" s="195"/>
      <c r="E235" s="195"/>
      <c r="F235" s="195"/>
      <c r="G235" s="195"/>
      <c r="H235" s="195"/>
      <c r="I235" s="195"/>
      <c r="J235" s="195"/>
      <c r="R235" s="264"/>
      <c r="S235" s="167"/>
      <c r="T235" s="167"/>
      <c r="U235" s="167"/>
      <c r="V235" s="167"/>
      <c r="W235" s="167"/>
      <c r="X235" s="167"/>
      <c r="Y235" s="167"/>
      <c r="Z235" s="167"/>
      <c r="AA235" s="167"/>
      <c r="AB235" s="167"/>
      <c r="AC235" s="167"/>
      <c r="AD235" s="167"/>
      <c r="AE235" s="167"/>
      <c r="AF235" s="167"/>
      <c r="AG235" s="167"/>
      <c r="AH235" s="167"/>
      <c r="AI235" s="167"/>
      <c r="AJ235" s="167"/>
      <c r="AK235" s="167"/>
      <c r="AL235" s="167"/>
      <c r="AM235" s="167"/>
      <c r="AN235" s="167"/>
      <c r="AO235" s="167"/>
      <c r="AP235" s="167"/>
      <c r="AQ235" s="167"/>
      <c r="AR235" s="167"/>
      <c r="AS235" s="167"/>
      <c r="AT235" s="167"/>
    </row>
    <row r="236" spans="1:55" s="265" customFormat="1" ht="18" customHeight="1">
      <c r="A236" s="195"/>
      <c r="B236" s="195"/>
      <c r="C236" s="195"/>
      <c r="D236" s="195"/>
      <c r="E236" s="195"/>
      <c r="F236" s="195"/>
      <c r="G236" s="195"/>
      <c r="H236" s="195"/>
      <c r="I236" s="195"/>
      <c r="J236" s="195"/>
      <c r="R236" s="167"/>
      <c r="S236" s="167"/>
      <c r="T236" s="167"/>
      <c r="U236" s="167"/>
      <c r="V236" s="167"/>
      <c r="W236" s="167"/>
      <c r="X236" s="167"/>
      <c r="Y236" s="167"/>
      <c r="Z236" s="167"/>
      <c r="AA236" s="167"/>
      <c r="AB236" s="167"/>
      <c r="AC236" s="167"/>
      <c r="AD236" s="167"/>
      <c r="AE236" s="167"/>
      <c r="AF236" s="167"/>
      <c r="AG236" s="167"/>
      <c r="AH236" s="167"/>
      <c r="AI236" s="167"/>
      <c r="AJ236" s="167"/>
      <c r="AK236" s="167"/>
      <c r="AL236" s="167"/>
      <c r="AM236" s="167"/>
      <c r="AN236" s="167"/>
      <c r="AO236" s="167"/>
      <c r="AP236" s="167"/>
      <c r="AQ236" s="167"/>
      <c r="AR236" s="167"/>
      <c r="AS236" s="167"/>
    </row>
    <row r="237" spans="1:55" s="265" customFormat="1" ht="18" customHeight="1">
      <c r="A237" s="195"/>
      <c r="B237" s="195"/>
      <c r="C237" s="195"/>
      <c r="D237" s="195"/>
      <c r="E237" s="195"/>
      <c r="F237" s="195"/>
      <c r="G237" s="195"/>
      <c r="H237" s="195"/>
      <c r="I237" s="195"/>
      <c r="J237" s="195"/>
      <c r="R237" s="167"/>
      <c r="S237" s="167"/>
      <c r="T237" s="167"/>
      <c r="U237" s="167"/>
      <c r="V237" s="167"/>
      <c r="W237" s="167"/>
      <c r="X237" s="167"/>
      <c r="Y237" s="167"/>
      <c r="Z237" s="167"/>
      <c r="AA237" s="167"/>
      <c r="AB237" s="167"/>
      <c r="AC237" s="167"/>
      <c r="AD237" s="167"/>
      <c r="AE237" s="167"/>
      <c r="AF237" s="167"/>
      <c r="AG237" s="167"/>
      <c r="AH237" s="167"/>
      <c r="AI237" s="167"/>
      <c r="AJ237" s="167"/>
      <c r="AK237" s="167"/>
      <c r="AL237" s="167"/>
      <c r="AM237" s="167"/>
      <c r="AN237" s="167"/>
      <c r="AO237" s="167"/>
      <c r="AP237" s="167"/>
      <c r="AQ237" s="167"/>
      <c r="AR237" s="167"/>
    </row>
    <row r="238" spans="1:55" s="265" customFormat="1" ht="18" customHeight="1">
      <c r="A238" s="195"/>
      <c r="B238" s="195"/>
      <c r="C238" s="195"/>
      <c r="D238" s="195"/>
      <c r="E238" s="195"/>
      <c r="F238" s="195"/>
      <c r="G238" s="195"/>
      <c r="H238" s="195"/>
      <c r="I238" s="195"/>
      <c r="J238" s="195"/>
      <c r="R238" s="167"/>
      <c r="S238" s="167"/>
      <c r="T238" s="167"/>
      <c r="U238" s="167"/>
      <c r="V238" s="167"/>
      <c r="W238" s="167"/>
      <c r="X238" s="167"/>
      <c r="Y238" s="167"/>
      <c r="Z238" s="167"/>
      <c r="AA238" s="167"/>
      <c r="AB238" s="167"/>
      <c r="AC238" s="167"/>
      <c r="AD238" s="167"/>
      <c r="AE238" s="167"/>
      <c r="AF238" s="167"/>
      <c r="AG238" s="167"/>
      <c r="AH238" s="167"/>
      <c r="AI238" s="167"/>
      <c r="AJ238" s="167"/>
      <c r="AK238" s="167"/>
      <c r="AL238" s="167"/>
      <c r="AM238" s="167"/>
      <c r="AN238" s="167"/>
      <c r="AO238" s="167"/>
      <c r="AP238" s="167"/>
      <c r="AQ238" s="167"/>
    </row>
    <row r="239" spans="1:55" s="274" customFormat="1" ht="18" customHeight="1">
      <c r="A239" s="270">
        <f>A209+1</f>
        <v>8</v>
      </c>
      <c r="B239" s="271"/>
      <c r="C239" s="272" t="str">
        <f>IF($A$1 = 1, (IF("("&amp;C249&amp;")" ="()","","("&amp;C249&amp;")")), (IF("("&amp;C254&amp;")    ("&amp;C249&amp;")"="()    ()","","("&amp;C254&amp;")    ("&amp;C249&amp;")")))</f>
        <v>(46)    (67)</v>
      </c>
      <c r="D239" s="272" t="str">
        <f t="shared" ref="D239:J239" si="21">IF($A$1 = 1, (IF("("&amp;D249&amp;")" ="()","","("&amp;D249&amp;")")), (IF("("&amp;D254&amp;")    ("&amp;D249&amp;")"="()    ()","","("&amp;D254&amp;")    ("&amp;D249&amp;")")))</f>
        <v>(4)    (4)</v>
      </c>
      <c r="E239" s="272" t="str">
        <f t="shared" si="21"/>
        <v>(39)    (66)</v>
      </c>
      <c r="F239" s="272" t="str">
        <f t="shared" si="21"/>
        <v>(8)    (8)</v>
      </c>
      <c r="G239" s="272" t="str">
        <f t="shared" si="21"/>
        <v>(43)    (123)</v>
      </c>
      <c r="H239" s="272" t="str">
        <f t="shared" si="21"/>
        <v/>
      </c>
      <c r="I239" s="272" t="str">
        <f t="shared" si="21"/>
        <v/>
      </c>
      <c r="J239" s="272" t="str">
        <f t="shared" si="21"/>
        <v/>
      </c>
      <c r="K239" s="273"/>
      <c r="L239" s="273"/>
      <c r="M239" s="273"/>
      <c r="N239" s="273"/>
      <c r="O239" s="273"/>
      <c r="P239" s="273"/>
      <c r="Q239" s="273"/>
      <c r="AI239" s="275"/>
      <c r="AJ239" s="275"/>
      <c r="AK239" s="275"/>
      <c r="AL239" s="275"/>
      <c r="AM239" s="275"/>
      <c r="AN239" s="275"/>
      <c r="AO239" s="275"/>
      <c r="AP239" s="275"/>
      <c r="AQ239" s="275"/>
      <c r="AR239" s="275"/>
      <c r="AS239" s="275"/>
      <c r="AT239" s="275"/>
      <c r="AU239" s="275"/>
      <c r="AV239" s="275"/>
      <c r="AW239" s="275"/>
      <c r="AX239" s="275"/>
      <c r="AY239" s="275"/>
      <c r="AZ239" s="275"/>
      <c r="BA239" s="275"/>
      <c r="BB239" s="275"/>
      <c r="BC239" s="275"/>
    </row>
    <row r="240" spans="1:55" s="280" customFormat="1" ht="59.1" customHeight="1">
      <c r="A240" s="276"/>
      <c r="B240" s="277"/>
      <c r="C240" s="278" t="s">
        <v>835</v>
      </c>
      <c r="D240" s="278" t="s">
        <v>836</v>
      </c>
      <c r="E240" s="278" t="s">
        <v>837</v>
      </c>
      <c r="F240" s="278" t="s">
        <v>838</v>
      </c>
      <c r="G240" s="278" t="s">
        <v>839</v>
      </c>
      <c r="H240" s="278"/>
      <c r="I240" s="278"/>
      <c r="J240" s="278"/>
      <c r="K240" s="279"/>
      <c r="L240" s="279"/>
      <c r="M240" s="279"/>
      <c r="N240" s="279"/>
      <c r="O240" s="279"/>
      <c r="P240" s="279"/>
      <c r="Q240" s="279"/>
      <c r="W240" s="280" t="s">
        <v>480</v>
      </c>
      <c r="X240" s="280" t="s">
        <v>481</v>
      </c>
      <c r="Y240" s="280" t="s">
        <v>482</v>
      </c>
      <c r="AI240" s="281"/>
      <c r="AJ240" s="281"/>
      <c r="AK240" s="281"/>
      <c r="AL240" s="281"/>
      <c r="AM240" s="281"/>
      <c r="AN240" s="281"/>
      <c r="AO240" s="281"/>
      <c r="AP240" s="281"/>
      <c r="AQ240" s="281"/>
      <c r="AS240" s="281"/>
      <c r="AT240" s="281"/>
      <c r="AU240" s="281"/>
      <c r="AV240" s="281"/>
      <c r="AW240" s="281"/>
      <c r="AX240" s="281"/>
      <c r="AY240" s="281"/>
      <c r="AZ240" s="281"/>
      <c r="BA240" s="281"/>
      <c r="BB240" s="281"/>
      <c r="BC240" s="281"/>
    </row>
    <row r="241" spans="1:247" s="167" customFormat="1" ht="21.95" customHeight="1">
      <c r="A241" s="266"/>
      <c r="B241" s="282" t="s">
        <v>3</v>
      </c>
      <c r="C241" s="283">
        <v>77</v>
      </c>
      <c r="D241" s="283" t="s">
        <v>800</v>
      </c>
      <c r="E241" s="283">
        <v>87</v>
      </c>
      <c r="F241" s="283">
        <v>75</v>
      </c>
      <c r="G241" s="283">
        <v>85</v>
      </c>
      <c r="H241" s="283"/>
      <c r="I241" s="283"/>
      <c r="J241" s="283"/>
      <c r="K241" s="284"/>
      <c r="L241" s="284"/>
      <c r="M241" s="284"/>
      <c r="N241" s="284"/>
      <c r="O241" s="284"/>
      <c r="P241" s="284"/>
      <c r="Q241" s="284"/>
      <c r="W241" s="167">
        <v>65</v>
      </c>
      <c r="X241" s="167">
        <v>79</v>
      </c>
      <c r="Y241" s="167">
        <v>69</v>
      </c>
      <c r="AI241" s="265"/>
      <c r="AJ241" s="265"/>
      <c r="AK241" s="265"/>
      <c r="AL241" s="265"/>
      <c r="AM241" s="265"/>
      <c r="AN241" s="265"/>
      <c r="AO241" s="265"/>
      <c r="AP241" s="265"/>
      <c r="AQ241" s="265"/>
      <c r="AS241" s="265"/>
      <c r="AT241" s="265"/>
      <c r="AU241" s="265"/>
      <c r="AV241" s="265"/>
      <c r="AW241" s="265"/>
      <c r="AX241" s="265"/>
      <c r="AY241" s="265"/>
      <c r="AZ241" s="265"/>
      <c r="BA241" s="265"/>
      <c r="BB241" s="265"/>
      <c r="BC241" s="265"/>
    </row>
    <row r="242" spans="1:247" s="167" customFormat="1" ht="21.95" customHeight="1">
      <c r="A242" s="266"/>
      <c r="B242" s="285" t="s">
        <v>18</v>
      </c>
      <c r="C242" s="283">
        <v>80</v>
      </c>
      <c r="D242" s="283" t="s">
        <v>800</v>
      </c>
      <c r="E242" s="283">
        <v>84</v>
      </c>
      <c r="F242" s="283">
        <v>75</v>
      </c>
      <c r="G242" s="283">
        <v>87</v>
      </c>
      <c r="H242" s="283"/>
      <c r="I242" s="283"/>
      <c r="J242" s="283"/>
      <c r="K242" s="286"/>
      <c r="L242" s="286"/>
      <c r="M242" s="286"/>
      <c r="N242" s="286"/>
      <c r="O242" s="286"/>
      <c r="P242" s="286"/>
      <c r="Q242" s="286"/>
      <c r="W242" s="167">
        <v>58</v>
      </c>
      <c r="X242" s="167">
        <v>70</v>
      </c>
      <c r="Y242" s="167">
        <v>60</v>
      </c>
      <c r="AI242" s="265"/>
      <c r="AJ242" s="265"/>
      <c r="AK242" s="265"/>
      <c r="AL242" s="265"/>
      <c r="AM242" s="265"/>
      <c r="AN242" s="265"/>
      <c r="AO242" s="265"/>
      <c r="AP242" s="265"/>
      <c r="AQ242" s="265"/>
      <c r="AS242" s="265"/>
      <c r="AT242" s="265"/>
      <c r="AU242" s="265"/>
      <c r="AV242" s="265"/>
      <c r="AW242" s="265"/>
      <c r="AX242" s="265"/>
      <c r="AY242" s="265"/>
      <c r="AZ242" s="265"/>
      <c r="BA242" s="265"/>
      <c r="BB242" s="265"/>
      <c r="BC242" s="265"/>
    </row>
    <row r="243" spans="1:247" s="167" customFormat="1" ht="21.95" customHeight="1">
      <c r="A243" s="169"/>
      <c r="B243" s="287" t="s">
        <v>32</v>
      </c>
      <c r="C243" s="283">
        <v>78</v>
      </c>
      <c r="D243" s="283" t="s">
        <v>800</v>
      </c>
      <c r="E243" s="283">
        <v>87</v>
      </c>
      <c r="F243" s="283">
        <v>78</v>
      </c>
      <c r="G243" s="283">
        <v>79</v>
      </c>
      <c r="H243" s="283"/>
      <c r="I243" s="283"/>
      <c r="J243" s="283"/>
      <c r="K243" s="286"/>
      <c r="L243" s="286"/>
      <c r="M243" s="286"/>
      <c r="N243" s="286"/>
      <c r="O243" s="286"/>
      <c r="P243" s="286"/>
      <c r="Q243" s="286"/>
      <c r="W243" s="167">
        <v>62</v>
      </c>
      <c r="X243" s="167">
        <v>70</v>
      </c>
      <c r="Y243" s="167">
        <v>62</v>
      </c>
      <c r="AI243" s="265"/>
      <c r="AJ243" s="265"/>
      <c r="AK243" s="265"/>
      <c r="AL243" s="265"/>
      <c r="AM243" s="265"/>
      <c r="AN243" s="265"/>
      <c r="AO243" s="265"/>
      <c r="AP243" s="265"/>
      <c r="AQ243" s="265"/>
      <c r="AS243" s="265"/>
      <c r="AT243" s="265"/>
      <c r="AU243" s="265"/>
      <c r="AV243" s="265"/>
      <c r="AW243" s="265"/>
      <c r="AX243" s="265"/>
      <c r="AY243" s="265"/>
      <c r="AZ243" s="265"/>
      <c r="BA243" s="265"/>
      <c r="BB243" s="265"/>
    </row>
    <row r="244" spans="1:247" s="167" customFormat="1" ht="21.95" customHeight="1">
      <c r="A244" s="169"/>
      <c r="B244" s="288" t="s">
        <v>45</v>
      </c>
      <c r="C244" s="283">
        <v>82</v>
      </c>
      <c r="D244" s="283" t="s">
        <v>800</v>
      </c>
      <c r="E244" s="283">
        <v>89</v>
      </c>
      <c r="F244" s="283">
        <v>77</v>
      </c>
      <c r="G244" s="283">
        <v>78</v>
      </c>
      <c r="H244" s="283"/>
      <c r="I244" s="283"/>
      <c r="J244" s="283"/>
      <c r="K244" s="286"/>
      <c r="L244" s="286"/>
      <c r="M244" s="286"/>
      <c r="N244" s="286"/>
      <c r="O244" s="286"/>
      <c r="P244" s="286"/>
      <c r="Q244" s="286"/>
      <c r="W244" s="167">
        <v>63</v>
      </c>
      <c r="X244" s="167">
        <v>76</v>
      </c>
      <c r="Y244" s="167">
        <v>65</v>
      </c>
      <c r="AI244" s="265"/>
      <c r="AJ244" s="265"/>
      <c r="AK244" s="265"/>
      <c r="AL244" s="265"/>
      <c r="AM244" s="265"/>
      <c r="AN244" s="265"/>
      <c r="AO244" s="265"/>
      <c r="AP244" s="265"/>
      <c r="AQ244" s="265"/>
      <c r="AS244" s="265"/>
      <c r="AT244" s="265"/>
      <c r="AU244" s="265"/>
      <c r="AV244" s="265"/>
      <c r="AW244" s="265"/>
      <c r="AX244" s="265"/>
      <c r="AY244" s="265"/>
      <c r="AZ244" s="265"/>
      <c r="BA244" s="265"/>
      <c r="BB244" s="265"/>
    </row>
    <row r="245" spans="1:247" s="167" customFormat="1" ht="21.95" customHeight="1">
      <c r="A245" s="169"/>
      <c r="B245" s="290" t="s">
        <v>54</v>
      </c>
      <c r="C245" s="283">
        <v>82</v>
      </c>
      <c r="D245" s="283" t="s">
        <v>800</v>
      </c>
      <c r="E245" s="283">
        <v>88</v>
      </c>
      <c r="F245" s="283">
        <v>76</v>
      </c>
      <c r="G245" s="283">
        <v>87</v>
      </c>
      <c r="H245" s="283"/>
      <c r="I245" s="283"/>
      <c r="J245" s="283"/>
      <c r="K245" s="286"/>
      <c r="L245" s="286"/>
      <c r="M245" s="286"/>
      <c r="N245" s="286"/>
      <c r="O245" s="286"/>
      <c r="P245" s="286"/>
      <c r="Q245" s="286"/>
      <c r="W245" s="167">
        <v>65</v>
      </c>
      <c r="X245" s="167">
        <v>74</v>
      </c>
      <c r="Y245" s="167">
        <v>64</v>
      </c>
      <c r="AI245" s="265"/>
      <c r="AJ245" s="265"/>
      <c r="AK245" s="265"/>
      <c r="AL245" s="265"/>
      <c r="AM245" s="265"/>
      <c r="AN245" s="265"/>
      <c r="AO245" s="265"/>
      <c r="AP245" s="265"/>
      <c r="AQ245" s="265"/>
      <c r="AS245" s="265"/>
      <c r="AT245" s="265"/>
      <c r="AU245" s="265"/>
      <c r="AV245" s="265"/>
      <c r="AW245" s="265"/>
      <c r="AX245" s="265"/>
      <c r="AY245" s="265"/>
      <c r="AZ245" s="265"/>
      <c r="BA245" s="265"/>
      <c r="BB245" s="265"/>
    </row>
    <row r="246" spans="1:247" s="167" customFormat="1">
      <c r="A246" s="169"/>
      <c r="B246" s="291" t="s">
        <v>66</v>
      </c>
      <c r="C246" s="286">
        <v>88</v>
      </c>
      <c r="D246" s="286"/>
      <c r="E246" s="286">
        <v>94</v>
      </c>
      <c r="F246" s="286">
        <v>75</v>
      </c>
      <c r="G246" s="286">
        <v>91</v>
      </c>
      <c r="H246" s="286"/>
      <c r="I246" s="286"/>
      <c r="J246" s="286"/>
      <c r="K246" s="286"/>
      <c r="L246" s="286"/>
      <c r="M246" s="286"/>
      <c r="N246" s="286"/>
      <c r="O246" s="286"/>
      <c r="P246" s="286"/>
      <c r="Q246" s="286"/>
      <c r="W246" s="167">
        <v>71</v>
      </c>
      <c r="X246" s="167">
        <v>79</v>
      </c>
      <c r="Y246" s="167">
        <v>70</v>
      </c>
      <c r="AI246" s="265"/>
      <c r="AJ246" s="265"/>
      <c r="AK246" s="265"/>
      <c r="AL246" s="265"/>
      <c r="AM246" s="265"/>
      <c r="AN246" s="265"/>
      <c r="AO246" s="265"/>
      <c r="AP246" s="265"/>
      <c r="AQ246" s="265"/>
      <c r="AS246" s="265"/>
      <c r="AT246" s="265"/>
      <c r="AU246" s="265"/>
      <c r="AV246" s="265"/>
      <c r="AW246" s="265"/>
      <c r="AX246" s="265"/>
      <c r="AY246" s="265"/>
      <c r="AZ246" s="265"/>
      <c r="BA246" s="265"/>
      <c r="BB246" s="265"/>
    </row>
    <row r="247" spans="1:247" s="167" customFormat="1">
      <c r="A247" s="169"/>
      <c r="B247" s="291" t="s">
        <v>158</v>
      </c>
      <c r="C247" s="292">
        <v>80</v>
      </c>
      <c r="D247" s="292" t="s">
        <v>800</v>
      </c>
      <c r="E247" s="292">
        <v>87</v>
      </c>
      <c r="F247" s="292">
        <v>76</v>
      </c>
      <c r="G247" s="292">
        <v>84</v>
      </c>
      <c r="H247" s="292"/>
      <c r="I247" s="292"/>
      <c r="J247" s="292"/>
      <c r="K247" s="292"/>
      <c r="L247" s="292"/>
      <c r="M247" s="292"/>
      <c r="N247" s="292"/>
      <c r="O247" s="292"/>
      <c r="P247" s="292"/>
      <c r="Q247" s="292"/>
      <c r="W247" s="167">
        <v>63</v>
      </c>
      <c r="X247" s="167">
        <v>74</v>
      </c>
      <c r="Y247" s="167">
        <v>64</v>
      </c>
      <c r="AI247" s="265"/>
      <c r="AJ247" s="265"/>
      <c r="AK247" s="265"/>
      <c r="AL247" s="265"/>
      <c r="AM247" s="265"/>
      <c r="AN247" s="265"/>
      <c r="AO247" s="265"/>
      <c r="AP247" s="265"/>
      <c r="AQ247" s="265"/>
      <c r="AS247" s="265"/>
      <c r="AT247" s="265"/>
      <c r="AU247" s="265"/>
      <c r="AV247" s="265"/>
      <c r="AW247" s="265"/>
      <c r="AX247" s="265"/>
      <c r="AY247" s="265"/>
      <c r="AZ247" s="265"/>
      <c r="BA247" s="265"/>
      <c r="BB247" s="265"/>
    </row>
    <row r="248" spans="1:247" s="167" customFormat="1">
      <c r="A248" s="169"/>
      <c r="B248" s="291" t="s">
        <v>189</v>
      </c>
      <c r="C248" s="292">
        <v>83</v>
      </c>
      <c r="D248" s="292">
        <v>83</v>
      </c>
      <c r="E248" s="292">
        <v>83</v>
      </c>
      <c r="F248" s="292">
        <v>83</v>
      </c>
      <c r="G248" s="292">
        <v>83</v>
      </c>
      <c r="H248" s="292"/>
      <c r="I248" s="292"/>
      <c r="J248" s="292"/>
      <c r="K248" s="292"/>
      <c r="L248" s="292"/>
      <c r="M248" s="292"/>
      <c r="N248" s="292"/>
      <c r="O248" s="292"/>
      <c r="P248" s="292"/>
      <c r="Q248" s="292"/>
      <c r="W248" s="167">
        <v>68</v>
      </c>
      <c r="X248" s="167">
        <v>68</v>
      </c>
      <c r="Y248" s="167">
        <v>68</v>
      </c>
      <c r="AI248" s="293"/>
      <c r="AJ248" s="293"/>
      <c r="AK248" s="293"/>
      <c r="AL248" s="293"/>
      <c r="AM248" s="293"/>
      <c r="AN248" s="265"/>
      <c r="AO248" s="265"/>
      <c r="AP248" s="265"/>
      <c r="AQ248" s="265"/>
      <c r="AS248" s="265"/>
      <c r="AT248" s="265"/>
      <c r="AU248" s="265"/>
      <c r="AV248" s="265"/>
      <c r="AW248" s="265"/>
      <c r="AX248" s="265"/>
      <c r="AY248" s="265"/>
      <c r="AZ248" s="265"/>
      <c r="BA248" s="265"/>
      <c r="BB248" s="265"/>
    </row>
    <row r="249" spans="1:247" s="167" customFormat="1" ht="15" thickBot="1">
      <c r="A249" s="169"/>
      <c r="B249" s="291" t="s">
        <v>345</v>
      </c>
      <c r="C249" s="292">
        <v>67</v>
      </c>
      <c r="D249" s="292">
        <v>4</v>
      </c>
      <c r="E249" s="292">
        <v>66</v>
      </c>
      <c r="F249" s="292">
        <v>8</v>
      </c>
      <c r="G249" s="292">
        <v>123</v>
      </c>
      <c r="H249" s="292"/>
      <c r="I249" s="292"/>
      <c r="J249" s="292"/>
      <c r="K249" s="292"/>
      <c r="L249" s="292"/>
      <c r="M249" s="292"/>
      <c r="N249" s="292"/>
      <c r="O249" s="292"/>
      <c r="P249" s="292"/>
      <c r="Q249" s="292"/>
      <c r="W249" s="167">
        <v>79</v>
      </c>
      <c r="X249" s="167">
        <v>109</v>
      </c>
      <c r="Y249" s="167">
        <v>101</v>
      </c>
      <c r="AI249" s="265"/>
      <c r="AJ249" s="265"/>
      <c r="AK249" s="265"/>
      <c r="AL249" s="265"/>
      <c r="AM249" s="265"/>
      <c r="AN249" s="265"/>
      <c r="AO249" s="265"/>
      <c r="AP249" s="265"/>
      <c r="AQ249" s="265"/>
      <c r="AS249" s="265"/>
      <c r="AT249" s="265"/>
      <c r="AU249" s="265"/>
      <c r="AV249" s="265"/>
      <c r="AW249" s="265"/>
      <c r="AX249" s="265"/>
      <c r="AY249" s="265"/>
      <c r="AZ249" s="265"/>
      <c r="BA249" s="265"/>
      <c r="BB249" s="265"/>
    </row>
    <row r="250" spans="1:247" s="167" customFormat="1">
      <c r="A250" s="266"/>
      <c r="B250" s="294" t="s">
        <v>166</v>
      </c>
      <c r="C250" s="295">
        <f>IF(OR(C253="**",C253=""),"",VALUE(C253))</f>
        <v>71</v>
      </c>
      <c r="D250" s="295" t="str">
        <f t="shared" ref="D250:J250" si="22">IF(OR(D253="**",D253=""),"",VALUE(D253))</f>
        <v/>
      </c>
      <c r="E250" s="295">
        <f t="shared" si="22"/>
        <v>85</v>
      </c>
      <c r="F250" s="295">
        <f t="shared" si="22"/>
        <v>81</v>
      </c>
      <c r="G250" s="295">
        <f t="shared" si="22"/>
        <v>82</v>
      </c>
      <c r="H250" s="295" t="str">
        <f t="shared" si="22"/>
        <v/>
      </c>
      <c r="I250" s="295" t="str">
        <f t="shared" si="22"/>
        <v/>
      </c>
      <c r="J250" s="295" t="str">
        <f t="shared" si="22"/>
        <v/>
      </c>
      <c r="K250" s="183"/>
      <c r="L250" s="183"/>
      <c r="M250" s="183"/>
      <c r="N250" s="183"/>
      <c r="O250" s="183"/>
      <c r="P250" s="183"/>
      <c r="Q250" s="183"/>
      <c r="AI250" s="265"/>
      <c r="AJ250" s="265"/>
      <c r="AK250" s="265"/>
      <c r="AL250" s="265"/>
      <c r="AM250" s="265"/>
      <c r="AN250" s="265"/>
      <c r="AO250" s="265"/>
      <c r="AP250" s="265"/>
      <c r="AQ250" s="265"/>
      <c r="AS250" s="265"/>
      <c r="AT250" s="265"/>
      <c r="AU250" s="265"/>
      <c r="AV250" s="265"/>
      <c r="AW250" s="265"/>
      <c r="AX250" s="265"/>
      <c r="AY250" s="265"/>
      <c r="AZ250" s="265"/>
      <c r="BA250" s="265"/>
      <c r="BB250" s="265"/>
    </row>
    <row r="251" spans="1:247" s="167" customFormat="1" ht="15" thickBot="1">
      <c r="A251" s="266"/>
      <c r="B251" s="296" t="s">
        <v>165</v>
      </c>
      <c r="C251" s="297">
        <f t="shared" ref="C251:J251" si="23">IF(OR(C247="**",C247=""),"",VALUE(C247))</f>
        <v>80</v>
      </c>
      <c r="D251" s="297" t="str">
        <f t="shared" si="23"/>
        <v/>
      </c>
      <c r="E251" s="297">
        <f t="shared" si="23"/>
        <v>87</v>
      </c>
      <c r="F251" s="297">
        <f t="shared" si="23"/>
        <v>76</v>
      </c>
      <c r="G251" s="297">
        <f t="shared" si="23"/>
        <v>84</v>
      </c>
      <c r="H251" s="297" t="str">
        <f t="shared" si="23"/>
        <v/>
      </c>
      <c r="I251" s="297" t="str">
        <f t="shared" si="23"/>
        <v/>
      </c>
      <c r="J251" s="297" t="str">
        <f t="shared" si="23"/>
        <v/>
      </c>
      <c r="K251" s="260"/>
      <c r="L251" s="260"/>
      <c r="M251" s="260"/>
      <c r="N251" s="260"/>
      <c r="O251" s="260"/>
      <c r="P251" s="260"/>
      <c r="Q251" s="260"/>
      <c r="AI251" s="260"/>
      <c r="AJ251" s="260"/>
      <c r="AK251" s="260"/>
      <c r="AL251" s="260"/>
      <c r="AM251" s="260"/>
      <c r="AN251" s="260"/>
      <c r="AO251" s="260"/>
      <c r="AP251" s="260"/>
      <c r="AQ251" s="265"/>
      <c r="AR251" s="265"/>
      <c r="AS251" s="265"/>
      <c r="AT251" s="265"/>
      <c r="AU251" s="265"/>
      <c r="AV251" s="265"/>
      <c r="AW251" s="265"/>
      <c r="AX251" s="265"/>
      <c r="AY251" s="265"/>
      <c r="AZ251" s="265"/>
      <c r="BA251" s="265"/>
      <c r="BB251" s="265"/>
    </row>
    <row r="252" spans="1:247" s="167" customFormat="1">
      <c r="A252" s="169"/>
      <c r="B252" s="298" t="s">
        <v>385</v>
      </c>
      <c r="C252" s="195" t="s">
        <v>835</v>
      </c>
      <c r="D252" s="195" t="s">
        <v>836</v>
      </c>
      <c r="E252" s="195" t="s">
        <v>837</v>
      </c>
      <c r="F252" s="195" t="s">
        <v>838</v>
      </c>
      <c r="G252" s="195" t="s">
        <v>839</v>
      </c>
      <c r="H252" s="195"/>
      <c r="I252" s="195"/>
      <c r="J252" s="195"/>
      <c r="K252" s="264"/>
      <c r="L252" s="264"/>
      <c r="M252" s="264"/>
      <c r="N252" s="264"/>
      <c r="O252" s="264"/>
      <c r="P252" s="264"/>
      <c r="Q252" s="264"/>
      <c r="W252" s="167" t="s">
        <v>480</v>
      </c>
      <c r="X252" s="167" t="s">
        <v>481</v>
      </c>
      <c r="Y252" s="167" t="s">
        <v>482</v>
      </c>
      <c r="AI252" s="265"/>
      <c r="AJ252" s="265"/>
      <c r="AK252" s="265"/>
      <c r="AL252" s="265"/>
      <c r="AM252" s="265"/>
      <c r="AN252" s="265"/>
      <c r="AO252" s="265"/>
      <c r="AP252" s="265"/>
      <c r="AQ252" s="265"/>
      <c r="AR252" s="265"/>
      <c r="AS252" s="265"/>
      <c r="AT252" s="265"/>
      <c r="AU252" s="265"/>
      <c r="AV252" s="265"/>
      <c r="AW252" s="265"/>
      <c r="AX252" s="265"/>
      <c r="AY252" s="265"/>
      <c r="AZ252" s="265"/>
      <c r="BA252" s="265"/>
      <c r="BB252" s="265"/>
    </row>
    <row r="253" spans="1:247" s="167" customFormat="1">
      <c r="A253" s="169"/>
      <c r="B253" s="291" t="s">
        <v>158</v>
      </c>
      <c r="C253" s="258">
        <v>71</v>
      </c>
      <c r="D253" s="258" t="s">
        <v>800</v>
      </c>
      <c r="E253" s="258">
        <v>85</v>
      </c>
      <c r="F253" s="258">
        <v>81</v>
      </c>
      <c r="G253" s="258">
        <v>82</v>
      </c>
      <c r="H253" s="258"/>
      <c r="I253" s="258"/>
      <c r="J253" s="258"/>
      <c r="K253" s="264"/>
      <c r="L253" s="264"/>
      <c r="M253" s="264"/>
      <c r="N253" s="264"/>
      <c r="O253" s="264"/>
      <c r="P253" s="264"/>
      <c r="Q253" s="264"/>
      <c r="W253" s="167">
        <v>63</v>
      </c>
      <c r="X253" s="167">
        <v>74</v>
      </c>
      <c r="Y253" s="167">
        <v>64</v>
      </c>
      <c r="AI253" s="265"/>
      <c r="AJ253" s="265"/>
      <c r="AK253" s="265"/>
      <c r="AL253" s="265"/>
      <c r="AM253" s="265"/>
      <c r="AN253" s="265"/>
      <c r="AO253" s="265"/>
      <c r="AP253" s="265"/>
      <c r="AQ253" s="265"/>
      <c r="AR253" s="265"/>
      <c r="AS253" s="265"/>
      <c r="AT253" s="265"/>
      <c r="AU253" s="265"/>
      <c r="AV253" s="265"/>
      <c r="AW253" s="265"/>
      <c r="AX253" s="265"/>
      <c r="AY253" s="265"/>
      <c r="AZ253" s="265"/>
      <c r="BA253" s="265"/>
      <c r="BB253" s="265"/>
    </row>
    <row r="254" spans="1:247" s="167" customFormat="1">
      <c r="A254" s="169"/>
      <c r="B254" s="298" t="s">
        <v>345</v>
      </c>
      <c r="C254" s="258">
        <v>46</v>
      </c>
      <c r="D254" s="258">
        <v>4</v>
      </c>
      <c r="E254" s="258">
        <v>39</v>
      </c>
      <c r="F254" s="258">
        <v>8</v>
      </c>
      <c r="G254" s="258">
        <v>43</v>
      </c>
      <c r="H254" s="258"/>
      <c r="I254" s="258"/>
      <c r="J254" s="258"/>
      <c r="W254" s="167">
        <v>79</v>
      </c>
      <c r="X254" s="167">
        <v>109</v>
      </c>
      <c r="Y254" s="167">
        <v>101</v>
      </c>
      <c r="Z254" s="265"/>
      <c r="AA254" s="265"/>
      <c r="AB254" s="265"/>
      <c r="AC254" s="265"/>
      <c r="AD254" s="265"/>
      <c r="AE254" s="265"/>
      <c r="AF254" s="265"/>
      <c r="AG254" s="265"/>
      <c r="AH254" s="265"/>
      <c r="AI254" s="265"/>
      <c r="AJ254" s="265"/>
      <c r="AK254" s="265"/>
      <c r="AL254" s="265"/>
      <c r="AM254" s="265"/>
      <c r="AN254" s="265"/>
      <c r="AO254" s="265"/>
      <c r="AP254" s="265"/>
      <c r="AQ254" s="265"/>
      <c r="AR254" s="265"/>
      <c r="AS254" s="265"/>
      <c r="AU254" s="301"/>
      <c r="AV254" s="303"/>
      <c r="AW254" s="260"/>
      <c r="AX254" s="260"/>
      <c r="AY254" s="260"/>
      <c r="AZ254" s="260"/>
      <c r="BA254" s="260"/>
      <c r="BB254" s="264"/>
      <c r="BC254" s="264"/>
      <c r="BD254" s="264"/>
      <c r="BE254" s="264"/>
      <c r="BF254" s="264"/>
      <c r="CI254" s="265"/>
      <c r="CJ254" s="265"/>
      <c r="CK254" s="265"/>
      <c r="CL254" s="265"/>
      <c r="CM254" s="265"/>
      <c r="CN254" s="265"/>
      <c r="CO254" s="265"/>
      <c r="CP254" s="265"/>
      <c r="CQ254" s="265"/>
      <c r="CR254" s="265"/>
      <c r="CS254" s="265"/>
      <c r="CT254" s="265"/>
      <c r="CU254" s="265"/>
      <c r="CV254" s="265"/>
      <c r="CW254" s="265"/>
      <c r="CX254" s="265"/>
      <c r="CY254" s="265"/>
      <c r="CZ254" s="265"/>
      <c r="DA254" s="265"/>
      <c r="DB254" s="265"/>
      <c r="DD254" s="301"/>
      <c r="DE254" s="303"/>
      <c r="DF254" s="260"/>
      <c r="DG254" s="260"/>
      <c r="DH254" s="260"/>
      <c r="DI254" s="260"/>
      <c r="DJ254" s="260"/>
      <c r="DK254" s="264"/>
      <c r="DL254" s="264"/>
      <c r="DM254" s="264"/>
      <c r="DN254" s="264"/>
      <c r="DO254" s="264"/>
      <c r="ER254" s="265"/>
      <c r="ES254" s="265"/>
      <c r="ET254" s="265"/>
      <c r="EU254" s="265"/>
      <c r="EV254" s="265"/>
      <c r="EW254" s="265"/>
      <c r="EX254" s="265"/>
      <c r="EY254" s="265"/>
      <c r="EZ254" s="265"/>
      <c r="FA254" s="265"/>
      <c r="FB254" s="265"/>
      <c r="FC254" s="265"/>
      <c r="FD254" s="265"/>
      <c r="FE254" s="265"/>
      <c r="FF254" s="265"/>
      <c r="FG254" s="265"/>
      <c r="FH254" s="265"/>
      <c r="FI254" s="265"/>
      <c r="FJ254" s="265"/>
      <c r="FK254" s="265"/>
      <c r="FM254" s="301"/>
      <c r="FN254" s="303"/>
      <c r="FO254" s="260"/>
      <c r="FP254" s="260"/>
      <c r="FQ254" s="260"/>
      <c r="FR254" s="260"/>
      <c r="FS254" s="260"/>
      <c r="FT254" s="264"/>
      <c r="FU254" s="264"/>
      <c r="FV254" s="264"/>
      <c r="FW254" s="264"/>
      <c r="FX254" s="264"/>
      <c r="HA254" s="265"/>
      <c r="HB254" s="265"/>
      <c r="HC254" s="265"/>
      <c r="HD254" s="265"/>
      <c r="HE254" s="265"/>
      <c r="HF254" s="265"/>
      <c r="HG254" s="265"/>
      <c r="HH254" s="265"/>
      <c r="HI254" s="265"/>
      <c r="HJ254" s="265"/>
      <c r="HK254" s="265"/>
      <c r="HL254" s="265"/>
      <c r="HM254" s="265"/>
      <c r="HN254" s="265"/>
      <c r="HO254" s="265"/>
      <c r="HP254" s="265"/>
      <c r="HQ254" s="265"/>
      <c r="HR254" s="265"/>
      <c r="HS254" s="265"/>
      <c r="HT254" s="265"/>
      <c r="HV254" s="301"/>
      <c r="HW254" s="303"/>
      <c r="HX254" s="260"/>
      <c r="HY254" s="260"/>
      <c r="HZ254" s="260"/>
      <c r="IA254" s="260"/>
      <c r="IB254" s="260"/>
      <c r="IC254" s="264"/>
      <c r="ID254" s="264"/>
      <c r="IE254" s="264"/>
      <c r="IF254" s="264"/>
      <c r="IG254" s="264"/>
    </row>
    <row r="255" spans="1:247" s="167" customFormat="1">
      <c r="A255" s="169"/>
      <c r="B255" s="169"/>
      <c r="C255" s="169"/>
      <c r="D255" s="169"/>
      <c r="E255" s="169"/>
      <c r="F255" s="169"/>
      <c r="G255" s="169"/>
      <c r="H255" s="169"/>
      <c r="I255" s="169"/>
      <c r="J255" s="169"/>
      <c r="R255" s="265"/>
      <c r="S255" s="265"/>
      <c r="T255" s="265"/>
      <c r="U255" s="265"/>
      <c r="V255" s="265"/>
      <c r="W255" s="265"/>
      <c r="X255" s="265"/>
      <c r="Y255" s="265"/>
      <c r="Z255" s="265"/>
      <c r="AA255" s="265"/>
      <c r="AB255" s="265"/>
      <c r="AC255" s="265"/>
      <c r="AD255" s="265"/>
      <c r="AE255" s="265"/>
      <c r="AF255" s="265"/>
      <c r="AH255" s="301"/>
      <c r="AI255" s="303"/>
      <c r="AJ255" s="260"/>
      <c r="AK255" s="260"/>
      <c r="AL255" s="260"/>
      <c r="AM255" s="260"/>
      <c r="AN255" s="260"/>
      <c r="AO255" s="264"/>
      <c r="AP255" s="264"/>
      <c r="AQ255" s="264"/>
      <c r="AR255" s="264"/>
      <c r="AS255" s="264"/>
      <c r="BV255" s="265"/>
      <c r="BW255" s="265"/>
      <c r="BX255" s="265"/>
      <c r="BY255" s="265"/>
      <c r="BZ255" s="265"/>
      <c r="CA255" s="265"/>
      <c r="CB255" s="265"/>
      <c r="CC255" s="265"/>
      <c r="CD255" s="265"/>
      <c r="CE255" s="265"/>
      <c r="CF255" s="265"/>
      <c r="CG255" s="265"/>
      <c r="CH255" s="265"/>
      <c r="CI255" s="265"/>
      <c r="CJ255" s="265"/>
      <c r="CK255" s="265"/>
      <c r="CL255" s="265"/>
      <c r="CM255" s="265"/>
      <c r="CN255" s="265"/>
      <c r="CO255" s="265"/>
      <c r="CQ255" s="301"/>
      <c r="CR255" s="303"/>
      <c r="CS255" s="260"/>
      <c r="CT255" s="260"/>
      <c r="CU255" s="260"/>
      <c r="CV255" s="260"/>
      <c r="CW255" s="260"/>
      <c r="CX255" s="264"/>
      <c r="CY255" s="264"/>
      <c r="CZ255" s="264"/>
      <c r="DA255" s="264"/>
      <c r="DB255" s="264"/>
      <c r="EE255" s="265"/>
      <c r="EF255" s="265"/>
      <c r="EG255" s="265"/>
      <c r="EH255" s="265"/>
      <c r="EI255" s="265"/>
      <c r="EJ255" s="265"/>
      <c r="EK255" s="265"/>
      <c r="EL255" s="265"/>
      <c r="EM255" s="265"/>
      <c r="EN255" s="265"/>
      <c r="EO255" s="265"/>
      <c r="EP255" s="265"/>
      <c r="EQ255" s="265"/>
      <c r="ER255" s="265"/>
      <c r="ES255" s="265"/>
      <c r="ET255" s="265"/>
      <c r="EU255" s="265"/>
      <c r="EV255" s="265"/>
      <c r="EW255" s="265"/>
      <c r="EX255" s="265"/>
      <c r="EZ255" s="301"/>
      <c r="FA255" s="303"/>
      <c r="FB255" s="260"/>
      <c r="FC255" s="260"/>
      <c r="FD255" s="260"/>
      <c r="FE255" s="260"/>
      <c r="FF255" s="260"/>
      <c r="FG255" s="264"/>
      <c r="FH255" s="264"/>
      <c r="FI255" s="264"/>
      <c r="FJ255" s="264"/>
      <c r="FK255" s="264"/>
      <c r="GN255" s="265"/>
      <c r="GO255" s="265"/>
      <c r="GP255" s="265"/>
      <c r="GQ255" s="265"/>
      <c r="GR255" s="265"/>
      <c r="GS255" s="265"/>
      <c r="GT255" s="265"/>
      <c r="GU255" s="265"/>
      <c r="GV255" s="265"/>
      <c r="GW255" s="265"/>
      <c r="GX255" s="265"/>
      <c r="GY255" s="265"/>
      <c r="GZ255" s="265"/>
      <c r="HA255" s="265"/>
      <c r="HB255" s="265"/>
      <c r="HC255" s="265"/>
      <c r="HD255" s="265"/>
      <c r="HE255" s="265"/>
      <c r="HF255" s="265"/>
      <c r="HG255" s="265"/>
      <c r="HI255" s="301"/>
      <c r="HJ255" s="303"/>
      <c r="HK255" s="260"/>
      <c r="HL255" s="260"/>
      <c r="HM255" s="260"/>
      <c r="HN255" s="260"/>
      <c r="HO255" s="260"/>
      <c r="HP255" s="264"/>
      <c r="HQ255" s="264"/>
      <c r="HR255" s="264"/>
      <c r="HS255" s="264"/>
      <c r="HT255" s="264"/>
    </row>
    <row r="256" spans="1:247" s="275" customFormat="1">
      <c r="A256" s="312"/>
      <c r="B256" s="169"/>
      <c r="C256" s="169"/>
      <c r="D256" s="169"/>
      <c r="E256" s="169"/>
      <c r="F256" s="195"/>
      <c r="G256" s="195"/>
      <c r="H256" s="195"/>
      <c r="I256" s="195"/>
      <c r="J256" s="195"/>
      <c r="K256" s="265"/>
      <c r="L256" s="265"/>
      <c r="M256" s="265"/>
      <c r="N256" s="265"/>
      <c r="O256" s="265"/>
      <c r="P256" s="265"/>
      <c r="Q256" s="265"/>
      <c r="R256" s="265"/>
      <c r="S256" s="265"/>
      <c r="T256" s="265"/>
      <c r="U256" s="167"/>
      <c r="V256" s="301"/>
      <c r="W256" s="303"/>
      <c r="X256" s="260"/>
      <c r="Y256" s="260"/>
      <c r="Z256" s="260"/>
      <c r="AA256" s="260"/>
      <c r="AB256" s="260"/>
      <c r="AC256" s="264"/>
      <c r="AD256" s="264"/>
      <c r="AE256" s="264"/>
      <c r="AF256" s="264"/>
      <c r="AG256" s="264"/>
      <c r="AH256" s="167"/>
      <c r="AI256" s="167"/>
      <c r="AJ256" s="167"/>
      <c r="AK256" s="167"/>
      <c r="AL256" s="167"/>
      <c r="AM256" s="167"/>
      <c r="AN256" s="167"/>
      <c r="AO256" s="167"/>
      <c r="AP256" s="167"/>
      <c r="AQ256" s="167"/>
      <c r="AR256" s="167"/>
      <c r="AS256" s="167"/>
      <c r="AT256" s="167"/>
      <c r="AU256" s="167"/>
      <c r="AV256" s="167"/>
      <c r="AW256" s="167"/>
      <c r="AX256" s="167"/>
      <c r="AY256" s="167"/>
      <c r="AZ256" s="167"/>
      <c r="BA256" s="167"/>
      <c r="BB256" s="167"/>
      <c r="BC256" s="167"/>
      <c r="BD256" s="167"/>
      <c r="BE256" s="167"/>
      <c r="BF256" s="167"/>
      <c r="BG256" s="167"/>
      <c r="BH256" s="167"/>
      <c r="BI256" s="167"/>
      <c r="BJ256" s="265"/>
      <c r="BK256" s="265"/>
      <c r="BL256" s="265"/>
      <c r="BM256" s="265"/>
      <c r="BN256" s="265"/>
      <c r="BO256" s="265"/>
      <c r="BP256" s="265"/>
      <c r="BQ256" s="265"/>
      <c r="BR256" s="265"/>
      <c r="BS256" s="265"/>
      <c r="BT256" s="265"/>
      <c r="BU256" s="265"/>
      <c r="BV256" s="265"/>
      <c r="BW256" s="265"/>
      <c r="BX256" s="265"/>
      <c r="BY256" s="265"/>
      <c r="BZ256" s="265"/>
      <c r="CA256" s="265"/>
      <c r="CB256" s="265"/>
      <c r="CC256" s="265"/>
      <c r="CD256" s="265"/>
      <c r="CE256" s="167"/>
      <c r="CF256" s="301"/>
      <c r="CG256" s="303"/>
      <c r="CH256" s="260"/>
      <c r="CI256" s="260"/>
      <c r="CJ256" s="260"/>
      <c r="CK256" s="260"/>
      <c r="CL256" s="260"/>
      <c r="CM256" s="264"/>
      <c r="CN256" s="264"/>
      <c r="CO256" s="264"/>
      <c r="CP256" s="264"/>
      <c r="CQ256" s="264"/>
      <c r="CR256" s="167"/>
      <c r="CS256" s="167"/>
      <c r="CT256" s="167"/>
      <c r="CU256" s="167"/>
      <c r="CV256" s="167"/>
      <c r="CW256" s="167"/>
      <c r="CX256" s="167"/>
      <c r="CY256" s="167"/>
      <c r="CZ256" s="167"/>
      <c r="DA256" s="167"/>
      <c r="DB256" s="167"/>
      <c r="DC256" s="167"/>
      <c r="DD256" s="167"/>
      <c r="DE256" s="167"/>
      <c r="DF256" s="167"/>
      <c r="DG256" s="167"/>
      <c r="DH256" s="167"/>
      <c r="DI256" s="167"/>
      <c r="DJ256" s="167"/>
      <c r="DK256" s="167"/>
      <c r="DL256" s="167"/>
      <c r="DM256" s="167"/>
      <c r="DN256" s="167"/>
      <c r="DO256" s="167"/>
      <c r="DP256" s="167"/>
      <c r="DQ256" s="167"/>
      <c r="DR256" s="167"/>
      <c r="DS256" s="167"/>
      <c r="DT256" s="265"/>
      <c r="DU256" s="265"/>
      <c r="DV256" s="265"/>
      <c r="DW256" s="265"/>
      <c r="DX256" s="265"/>
      <c r="DY256" s="265"/>
      <c r="DZ256" s="265"/>
      <c r="EA256" s="265"/>
      <c r="EB256" s="265"/>
      <c r="EC256" s="265"/>
      <c r="ED256" s="265"/>
      <c r="EE256" s="265"/>
      <c r="EF256" s="265"/>
      <c r="EG256" s="265"/>
      <c r="EH256" s="265"/>
      <c r="EI256" s="265"/>
      <c r="EJ256" s="265"/>
      <c r="EK256" s="265"/>
      <c r="EL256" s="265"/>
      <c r="EM256" s="265"/>
      <c r="EN256" s="265"/>
      <c r="EO256" s="167"/>
      <c r="EP256" s="301"/>
      <c r="EQ256" s="303"/>
      <c r="ER256" s="260"/>
      <c r="ES256" s="260"/>
      <c r="ET256" s="260"/>
      <c r="EU256" s="260"/>
      <c r="EV256" s="260"/>
      <c r="EW256" s="264"/>
      <c r="EX256" s="264"/>
      <c r="EY256" s="264"/>
      <c r="EZ256" s="264"/>
      <c r="FA256" s="264"/>
      <c r="FB256" s="167"/>
      <c r="FC256" s="167"/>
      <c r="FD256" s="167"/>
      <c r="FE256" s="167"/>
      <c r="FF256" s="167"/>
      <c r="FG256" s="167"/>
      <c r="FH256" s="167"/>
      <c r="FI256" s="167"/>
      <c r="FJ256" s="167"/>
      <c r="FK256" s="167"/>
      <c r="FL256" s="167"/>
      <c r="FM256" s="167"/>
      <c r="FN256" s="167"/>
      <c r="FO256" s="167"/>
      <c r="FP256" s="167"/>
      <c r="FQ256" s="167"/>
      <c r="FR256" s="167"/>
      <c r="FS256" s="167"/>
      <c r="FT256" s="167"/>
      <c r="FU256" s="167"/>
      <c r="FV256" s="167"/>
      <c r="FW256" s="167"/>
      <c r="FX256" s="167"/>
      <c r="FY256" s="167"/>
      <c r="FZ256" s="167"/>
      <c r="GA256" s="167"/>
      <c r="GB256" s="167"/>
      <c r="GC256" s="167"/>
      <c r="GD256" s="265"/>
      <c r="GE256" s="265"/>
      <c r="GF256" s="265"/>
      <c r="GG256" s="265"/>
      <c r="GH256" s="265"/>
      <c r="GI256" s="265"/>
      <c r="GJ256" s="265"/>
      <c r="GK256" s="265"/>
      <c r="GL256" s="265"/>
      <c r="GM256" s="265"/>
      <c r="GN256" s="265"/>
      <c r="GO256" s="265"/>
      <c r="GP256" s="265"/>
      <c r="GQ256" s="265"/>
      <c r="GR256" s="265"/>
      <c r="GS256" s="265"/>
      <c r="GT256" s="265"/>
      <c r="GU256" s="265"/>
      <c r="GV256" s="265"/>
      <c r="GW256" s="265"/>
      <c r="GX256" s="265"/>
      <c r="GY256" s="167"/>
      <c r="GZ256" s="307"/>
      <c r="HA256" s="303"/>
      <c r="HB256" s="302"/>
      <c r="HC256" s="302"/>
      <c r="HD256" s="302"/>
      <c r="HE256" s="302"/>
      <c r="HF256" s="302"/>
      <c r="HG256" s="302"/>
      <c r="HH256" s="302"/>
      <c r="HI256" s="302"/>
      <c r="HJ256" s="302"/>
      <c r="HK256" s="302"/>
      <c r="HL256" s="302"/>
      <c r="HM256" s="274"/>
      <c r="HN256" s="274"/>
      <c r="HO256" s="274"/>
      <c r="HP256" s="274"/>
      <c r="HQ256" s="274"/>
      <c r="HR256" s="274"/>
      <c r="HS256" s="274"/>
      <c r="HT256" s="274"/>
      <c r="HU256" s="274"/>
      <c r="HV256" s="274"/>
      <c r="HW256" s="274"/>
      <c r="HX256" s="274"/>
      <c r="HY256" s="274"/>
      <c r="HZ256" s="274"/>
      <c r="IA256" s="274"/>
      <c r="IB256" s="274"/>
      <c r="IC256" s="274"/>
      <c r="ID256" s="274"/>
      <c r="IE256" s="274"/>
      <c r="IF256" s="274"/>
      <c r="IG256" s="274"/>
      <c r="IH256" s="274"/>
      <c r="II256" s="274"/>
      <c r="IJ256" s="274"/>
      <c r="IK256" s="274"/>
      <c r="IL256" s="274"/>
      <c r="IM256" s="274"/>
    </row>
    <row r="257" spans="1:55" s="281" customFormat="1" ht="13.5">
      <c r="A257" s="312"/>
      <c r="B257" s="312"/>
      <c r="C257" s="312"/>
      <c r="D257" s="312"/>
      <c r="E257" s="312"/>
      <c r="F257" s="312"/>
      <c r="G257" s="312"/>
      <c r="H257" s="312"/>
      <c r="I257" s="312"/>
      <c r="J257" s="312"/>
      <c r="K257" s="275"/>
      <c r="L257" s="275"/>
      <c r="M257" s="275"/>
      <c r="N257" s="275"/>
      <c r="O257" s="275"/>
      <c r="P257" s="275"/>
      <c r="Q257" s="275"/>
      <c r="R257" s="279"/>
      <c r="S257" s="279"/>
      <c r="T257" s="279"/>
      <c r="U257" s="279"/>
      <c r="V257" s="279"/>
      <c r="W257" s="310"/>
      <c r="X257" s="310"/>
      <c r="Y257" s="280"/>
      <c r="Z257" s="280"/>
      <c r="AA257" s="280"/>
      <c r="AB257" s="280"/>
      <c r="AC257" s="280"/>
      <c r="AD257" s="280"/>
      <c r="AE257" s="280"/>
      <c r="AF257" s="280"/>
      <c r="AG257" s="280"/>
      <c r="AH257" s="280"/>
      <c r="AI257" s="280"/>
      <c r="AJ257" s="280"/>
      <c r="AK257" s="280"/>
      <c r="AL257" s="280"/>
      <c r="AM257" s="280"/>
      <c r="AN257" s="280"/>
      <c r="AO257" s="280"/>
      <c r="AP257" s="280"/>
      <c r="AQ257" s="280"/>
      <c r="AR257" s="280"/>
      <c r="AS257" s="280"/>
      <c r="AT257" s="280"/>
      <c r="AU257" s="280"/>
      <c r="AV257" s="280"/>
      <c r="AW257" s="280"/>
      <c r="AX257" s="280"/>
      <c r="AY257" s="280"/>
      <c r="AZ257" s="280"/>
    </row>
    <row r="258" spans="1:55" s="265" customFormat="1" ht="18" customHeight="1">
      <c r="A258" s="313"/>
      <c r="B258" s="313"/>
      <c r="C258" s="313"/>
      <c r="D258" s="313"/>
      <c r="E258" s="313"/>
      <c r="F258" s="305"/>
      <c r="G258" s="313"/>
      <c r="H258" s="313"/>
      <c r="I258" s="313"/>
      <c r="J258" s="313"/>
      <c r="K258" s="281"/>
      <c r="L258" s="281"/>
      <c r="M258" s="281"/>
      <c r="N258" s="281"/>
      <c r="O258" s="281"/>
      <c r="P258" s="281"/>
      <c r="Q258" s="281"/>
      <c r="R258" s="299"/>
      <c r="S258" s="299"/>
      <c r="T258" s="299"/>
      <c r="U258" s="299"/>
      <c r="V258" s="299"/>
      <c r="W258" s="264"/>
      <c r="X258" s="264"/>
      <c r="Y258" s="167"/>
      <c r="Z258" s="167"/>
      <c r="AA258" s="167"/>
      <c r="AB258" s="167"/>
      <c r="AC258" s="167"/>
      <c r="AD258" s="167"/>
      <c r="AE258" s="167"/>
      <c r="AF258" s="167"/>
      <c r="AG258" s="167"/>
      <c r="AH258" s="167"/>
      <c r="AI258" s="167"/>
      <c r="AJ258" s="167"/>
      <c r="AK258" s="167"/>
      <c r="AL258" s="167"/>
      <c r="AM258" s="167"/>
      <c r="AN258" s="167"/>
      <c r="AO258" s="167"/>
      <c r="AP258" s="167"/>
      <c r="AQ258" s="167"/>
      <c r="AR258" s="167"/>
      <c r="AS258" s="167"/>
      <c r="AT258" s="167"/>
      <c r="AU258" s="167"/>
      <c r="AV258" s="167"/>
      <c r="AW258" s="167"/>
      <c r="AX258" s="167"/>
      <c r="AY258" s="167"/>
      <c r="AZ258" s="167"/>
    </row>
    <row r="259" spans="1:55" s="265" customFormat="1" ht="18" customHeight="1">
      <c r="A259" s="195" t="s">
        <v>183</v>
      </c>
      <c r="B259" s="195"/>
      <c r="C259" s="195"/>
      <c r="D259" s="195"/>
      <c r="E259" s="195"/>
      <c r="F259" s="169"/>
      <c r="G259" s="195"/>
      <c r="H259" s="195"/>
      <c r="I259" s="195"/>
      <c r="J259" s="195"/>
      <c r="R259" s="289"/>
      <c r="S259" s="289"/>
      <c r="T259" s="289"/>
      <c r="U259" s="289"/>
      <c r="V259" s="289"/>
      <c r="W259" s="264"/>
      <c r="X259" s="264"/>
      <c r="Y259" s="167"/>
      <c r="Z259" s="167"/>
      <c r="AA259" s="167"/>
      <c r="AB259" s="167"/>
      <c r="AC259" s="167"/>
      <c r="AD259" s="167"/>
      <c r="AE259" s="167"/>
      <c r="AF259" s="167"/>
      <c r="AG259" s="167"/>
      <c r="AH259" s="167"/>
      <c r="AI259" s="167"/>
      <c r="AJ259" s="167"/>
      <c r="AK259" s="167"/>
      <c r="AL259" s="167"/>
      <c r="AM259" s="167"/>
      <c r="AN259" s="167"/>
      <c r="AO259" s="167"/>
      <c r="AP259" s="167"/>
      <c r="AQ259" s="167"/>
      <c r="AR259" s="167"/>
      <c r="AS259" s="167"/>
      <c r="AT259" s="167"/>
      <c r="AU259" s="167"/>
      <c r="AV259" s="167"/>
      <c r="AW259" s="167"/>
      <c r="AX259" s="167"/>
      <c r="AY259" s="167"/>
      <c r="AZ259" s="167"/>
    </row>
    <row r="260" spans="1:55" s="265" customFormat="1" ht="18" customHeight="1">
      <c r="A260" s="195">
        <v>5</v>
      </c>
      <c r="B260" s="195"/>
      <c r="C260" s="195"/>
      <c r="D260" s="195"/>
      <c r="E260" s="195"/>
      <c r="F260" s="169"/>
      <c r="G260" s="195"/>
      <c r="H260" s="195"/>
      <c r="I260" s="195"/>
      <c r="J260" s="195"/>
      <c r="R260" s="289"/>
      <c r="S260" s="289"/>
      <c r="T260" s="289"/>
      <c r="U260" s="289"/>
      <c r="V260" s="289"/>
      <c r="W260" s="264"/>
      <c r="X260" s="264"/>
      <c r="Y260" s="167"/>
      <c r="Z260" s="167"/>
      <c r="AA260" s="167"/>
      <c r="AB260" s="167"/>
      <c r="AC260" s="167"/>
      <c r="AD260" s="167"/>
      <c r="AE260" s="167"/>
      <c r="AF260" s="167"/>
      <c r="AG260" s="167"/>
      <c r="AH260" s="167"/>
      <c r="AI260" s="167"/>
      <c r="AJ260" s="167"/>
      <c r="AK260" s="167"/>
      <c r="AL260" s="167"/>
      <c r="AM260" s="167"/>
      <c r="AN260" s="167"/>
      <c r="AO260" s="167"/>
      <c r="AP260" s="167"/>
      <c r="AQ260" s="167"/>
      <c r="AR260" s="167"/>
      <c r="AS260" s="167"/>
      <c r="AT260" s="167"/>
      <c r="AU260" s="167"/>
      <c r="AV260" s="167"/>
      <c r="AW260" s="167"/>
      <c r="AX260" s="167"/>
      <c r="AY260" s="167"/>
      <c r="AZ260" s="167"/>
    </row>
    <row r="261" spans="1:55" s="265" customFormat="1" ht="18" customHeight="1">
      <c r="A261" s="195"/>
      <c r="B261" s="195"/>
      <c r="C261" s="195"/>
      <c r="D261" s="195"/>
      <c r="E261" s="195"/>
      <c r="F261" s="169"/>
      <c r="G261" s="195"/>
      <c r="H261" s="195"/>
      <c r="I261" s="195"/>
      <c r="J261" s="195"/>
      <c r="R261" s="289"/>
      <c r="S261" s="289"/>
      <c r="T261" s="289"/>
      <c r="U261" s="289"/>
      <c r="V261" s="289"/>
      <c r="W261" s="264"/>
      <c r="X261" s="264"/>
      <c r="Y261" s="167"/>
      <c r="Z261" s="167"/>
      <c r="AA261" s="167"/>
      <c r="AB261" s="167"/>
      <c r="AC261" s="167"/>
      <c r="AD261" s="167"/>
      <c r="AE261" s="167"/>
      <c r="AF261" s="167"/>
      <c r="AG261" s="167"/>
      <c r="AH261" s="167"/>
      <c r="AI261" s="167"/>
      <c r="AJ261" s="167"/>
      <c r="AK261" s="167"/>
      <c r="AL261" s="167"/>
      <c r="AM261" s="167"/>
      <c r="AN261" s="167"/>
      <c r="AO261" s="167"/>
      <c r="AP261" s="167"/>
      <c r="AQ261" s="167"/>
      <c r="AR261" s="167"/>
      <c r="AS261" s="167"/>
      <c r="AT261" s="167"/>
      <c r="AU261" s="167"/>
      <c r="AV261" s="167"/>
      <c r="AW261" s="167"/>
      <c r="AX261" s="167"/>
      <c r="AY261" s="167"/>
      <c r="AZ261" s="167"/>
    </row>
    <row r="262" spans="1:55" s="265" customFormat="1" ht="18" customHeight="1">
      <c r="A262" s="195"/>
      <c r="B262" s="195"/>
      <c r="C262" s="195"/>
      <c r="D262" s="195"/>
      <c r="E262" s="195"/>
      <c r="F262" s="169"/>
      <c r="G262" s="195"/>
      <c r="H262" s="195"/>
      <c r="I262" s="195"/>
      <c r="J262" s="195"/>
      <c r="R262" s="289"/>
      <c r="S262" s="289"/>
      <c r="T262" s="289"/>
      <c r="U262" s="289"/>
      <c r="V262" s="289"/>
      <c r="W262" s="264"/>
      <c r="X262" s="264"/>
      <c r="Y262" s="167"/>
      <c r="Z262" s="167"/>
      <c r="AA262" s="167"/>
      <c r="AB262" s="167"/>
      <c r="AC262" s="167"/>
      <c r="AD262" s="167"/>
      <c r="AE262" s="167"/>
      <c r="AF262" s="167"/>
      <c r="AG262" s="167"/>
      <c r="AH262" s="167"/>
      <c r="AI262" s="167"/>
      <c r="AJ262" s="167"/>
      <c r="AK262" s="167"/>
      <c r="AL262" s="167"/>
      <c r="AM262" s="167"/>
      <c r="AN262" s="167"/>
      <c r="AO262" s="167"/>
      <c r="AP262" s="167"/>
      <c r="AQ262" s="167"/>
      <c r="AR262" s="167"/>
      <c r="AS262" s="167"/>
      <c r="AT262" s="167"/>
      <c r="AU262" s="167"/>
      <c r="AV262" s="167"/>
      <c r="AW262" s="167"/>
      <c r="AX262" s="167"/>
      <c r="AY262" s="167"/>
      <c r="AZ262" s="167"/>
    </row>
    <row r="263" spans="1:55" s="265" customFormat="1" ht="18" customHeight="1">
      <c r="A263" s="195"/>
      <c r="B263" s="195"/>
      <c r="C263" s="195"/>
      <c r="D263" s="195"/>
      <c r="E263" s="195"/>
      <c r="F263" s="169"/>
      <c r="G263" s="195"/>
      <c r="H263" s="195"/>
      <c r="I263" s="195"/>
      <c r="J263" s="195"/>
      <c r="R263" s="289"/>
      <c r="S263" s="289"/>
      <c r="T263" s="289"/>
      <c r="U263" s="289"/>
      <c r="V263" s="289"/>
      <c r="W263" s="264"/>
      <c r="X263" s="264"/>
      <c r="Y263" s="167"/>
      <c r="Z263" s="167"/>
      <c r="AA263" s="167"/>
      <c r="AB263" s="167"/>
      <c r="AC263" s="167"/>
      <c r="AD263" s="167"/>
      <c r="AE263" s="167"/>
      <c r="AF263" s="167"/>
      <c r="AG263" s="167"/>
      <c r="AH263" s="167"/>
      <c r="AI263" s="167"/>
      <c r="AJ263" s="167"/>
      <c r="AK263" s="167"/>
      <c r="AL263" s="167"/>
      <c r="AM263" s="167"/>
      <c r="AN263" s="167"/>
      <c r="AO263" s="167"/>
      <c r="AP263" s="167"/>
      <c r="AQ263" s="167"/>
      <c r="AR263" s="167"/>
      <c r="AS263" s="167"/>
      <c r="AT263" s="167"/>
      <c r="AU263" s="167"/>
      <c r="AV263" s="167"/>
      <c r="AW263" s="167"/>
      <c r="AX263" s="167"/>
      <c r="AY263" s="167"/>
    </row>
    <row r="264" spans="1:55" s="265" customFormat="1" ht="18" customHeight="1">
      <c r="A264" s="195"/>
      <c r="B264" s="195"/>
      <c r="C264" s="195"/>
      <c r="D264" s="195"/>
      <c r="E264" s="195"/>
      <c r="F264" s="169"/>
      <c r="G264" s="195"/>
      <c r="H264" s="195"/>
      <c r="I264" s="195"/>
      <c r="J264" s="195"/>
      <c r="R264" s="183"/>
      <c r="S264" s="183"/>
      <c r="T264" s="183"/>
      <c r="U264" s="183"/>
      <c r="V264" s="183"/>
      <c r="W264" s="264"/>
      <c r="X264" s="264"/>
      <c r="Y264" s="167"/>
      <c r="Z264" s="167"/>
      <c r="AA264" s="167"/>
      <c r="AB264" s="167"/>
      <c r="AC264" s="167"/>
      <c r="AD264" s="167"/>
      <c r="AE264" s="167"/>
      <c r="AF264" s="167"/>
      <c r="AG264" s="167"/>
      <c r="AH264" s="167"/>
      <c r="AI264" s="167"/>
      <c r="AJ264" s="167"/>
      <c r="AK264" s="167"/>
      <c r="AL264" s="167"/>
      <c r="AM264" s="167"/>
      <c r="AN264" s="167"/>
      <c r="AO264" s="167"/>
      <c r="AP264" s="167"/>
      <c r="AQ264" s="167"/>
      <c r="AR264" s="167"/>
      <c r="AS264" s="167"/>
      <c r="AT264" s="167"/>
      <c r="AU264" s="167"/>
      <c r="AV264" s="167"/>
      <c r="AW264" s="167"/>
      <c r="AX264" s="167"/>
      <c r="AY264" s="167"/>
      <c r="AZ264" s="167"/>
    </row>
    <row r="265" spans="1:55" s="265" customFormat="1" ht="18" customHeight="1">
      <c r="A265" s="195"/>
      <c r="B265" s="195"/>
      <c r="C265" s="195"/>
      <c r="D265" s="195"/>
      <c r="E265" s="195"/>
      <c r="F265" s="169"/>
      <c r="G265" s="195"/>
      <c r="H265" s="195"/>
      <c r="I265" s="195"/>
      <c r="J265" s="195"/>
      <c r="R265" s="183"/>
      <c r="S265" s="183"/>
      <c r="T265" s="183"/>
      <c r="U265" s="183"/>
      <c r="V265" s="183"/>
      <c r="W265" s="264"/>
      <c r="X265" s="264"/>
      <c r="Y265" s="167"/>
      <c r="Z265" s="167"/>
      <c r="AA265" s="167"/>
      <c r="AB265" s="167"/>
      <c r="AC265" s="167"/>
      <c r="AD265" s="167"/>
      <c r="AE265" s="167"/>
      <c r="AF265" s="167"/>
      <c r="AG265" s="167"/>
      <c r="AH265" s="167"/>
      <c r="AI265" s="167"/>
      <c r="AJ265" s="167"/>
      <c r="AK265" s="167"/>
      <c r="AL265" s="167"/>
      <c r="AM265" s="167"/>
      <c r="AN265" s="167"/>
      <c r="AO265" s="167"/>
      <c r="AP265" s="167"/>
      <c r="AQ265" s="167"/>
      <c r="AR265" s="167"/>
      <c r="AS265" s="167"/>
      <c r="AT265" s="167"/>
      <c r="AU265" s="167"/>
      <c r="AV265" s="167"/>
      <c r="AW265" s="167"/>
      <c r="AX265" s="167"/>
      <c r="AY265" s="167"/>
      <c r="AZ265" s="167"/>
      <c r="BA265" s="293"/>
      <c r="BB265" s="293"/>
    </row>
    <row r="266" spans="1:55" s="265" customFormat="1" ht="18" customHeight="1">
      <c r="A266" s="195"/>
      <c r="B266" s="195"/>
      <c r="C266" s="195"/>
      <c r="D266" s="195"/>
      <c r="E266" s="195"/>
      <c r="F266" s="169"/>
      <c r="G266" s="195"/>
      <c r="H266" s="195"/>
      <c r="I266" s="195"/>
      <c r="J266" s="195"/>
      <c r="R266" s="183"/>
      <c r="S266" s="183"/>
      <c r="T266" s="183"/>
      <c r="U266" s="183"/>
      <c r="V266" s="183"/>
      <c r="W266" s="264"/>
      <c r="X266" s="264"/>
      <c r="Y266" s="167"/>
      <c r="Z266" s="167"/>
      <c r="AA266" s="167"/>
      <c r="AB266" s="167"/>
      <c r="AC266" s="167"/>
      <c r="AD266" s="167"/>
      <c r="AE266" s="167"/>
      <c r="AF266" s="167"/>
      <c r="AG266" s="167"/>
      <c r="AH266" s="167"/>
      <c r="AI266" s="167"/>
      <c r="AJ266" s="167"/>
      <c r="AK266" s="167"/>
      <c r="AL266" s="167"/>
      <c r="AM266" s="167"/>
      <c r="AN266" s="167"/>
      <c r="AO266" s="167"/>
      <c r="AP266" s="167"/>
      <c r="AQ266" s="167"/>
      <c r="AR266" s="167"/>
      <c r="AS266" s="167"/>
      <c r="AT266" s="167"/>
      <c r="AU266" s="167"/>
      <c r="AV266" s="167"/>
      <c r="AW266" s="167"/>
      <c r="AX266" s="167"/>
      <c r="AY266" s="167"/>
      <c r="AZ266" s="167"/>
    </row>
    <row r="267" spans="1:55" s="265" customFormat="1" ht="18" customHeight="1">
      <c r="A267" s="195"/>
      <c r="B267" s="195"/>
      <c r="C267" s="195"/>
      <c r="D267" s="195"/>
      <c r="E267" s="195"/>
      <c r="F267" s="169"/>
      <c r="G267" s="195"/>
      <c r="H267" s="195"/>
      <c r="I267" s="195"/>
      <c r="J267" s="195"/>
      <c r="R267" s="183"/>
      <c r="S267" s="183"/>
      <c r="T267" s="183"/>
      <c r="U267" s="183"/>
      <c r="V267" s="183"/>
      <c r="W267" s="264"/>
      <c r="X267" s="264"/>
      <c r="Y267" s="167"/>
      <c r="Z267" s="167"/>
      <c r="AA267" s="167"/>
      <c r="AB267" s="167"/>
      <c r="AC267" s="167"/>
      <c r="AD267" s="167"/>
      <c r="AE267" s="167"/>
      <c r="AF267" s="167"/>
      <c r="AG267" s="167"/>
      <c r="AH267" s="167"/>
      <c r="AI267" s="167"/>
      <c r="AJ267" s="167"/>
      <c r="AK267" s="167"/>
      <c r="AL267" s="167"/>
      <c r="AM267" s="167"/>
      <c r="AN267" s="167"/>
      <c r="AO267" s="167"/>
      <c r="AP267" s="167"/>
      <c r="AQ267" s="167"/>
      <c r="AR267" s="167"/>
      <c r="AS267" s="167"/>
      <c r="AT267" s="167"/>
      <c r="AU267" s="167"/>
      <c r="AV267" s="167"/>
      <c r="AW267" s="167"/>
      <c r="AX267" s="167"/>
      <c r="AY267" s="167"/>
      <c r="AZ267" s="167"/>
    </row>
    <row r="268" spans="1:55" s="260" customFormat="1" ht="18" customHeight="1">
      <c r="A268" s="195"/>
      <c r="B268" s="195"/>
      <c r="C268" s="195"/>
      <c r="D268" s="195"/>
      <c r="E268" s="195"/>
      <c r="F268" s="169"/>
      <c r="G268" s="195"/>
      <c r="H268" s="195"/>
      <c r="I268" s="195"/>
      <c r="J268" s="195"/>
      <c r="K268" s="265"/>
      <c r="L268" s="265"/>
      <c r="M268" s="265"/>
      <c r="N268" s="265"/>
      <c r="O268" s="265"/>
      <c r="P268" s="265"/>
      <c r="Q268" s="265"/>
      <c r="W268" s="264"/>
      <c r="X268" s="264"/>
      <c r="Y268" s="167"/>
      <c r="Z268" s="167"/>
      <c r="AA268" s="167"/>
      <c r="AB268" s="167"/>
      <c r="AC268" s="167"/>
      <c r="AD268" s="167"/>
      <c r="AE268" s="167"/>
      <c r="AF268" s="167"/>
      <c r="AG268" s="167"/>
      <c r="AH268" s="167"/>
      <c r="AI268" s="167"/>
      <c r="AJ268" s="167"/>
      <c r="AK268" s="167"/>
      <c r="AL268" s="167"/>
      <c r="AM268" s="167"/>
      <c r="AN268" s="167"/>
      <c r="AO268" s="167"/>
      <c r="AP268" s="167"/>
      <c r="AQ268" s="167"/>
      <c r="AR268" s="167"/>
      <c r="AS268" s="167"/>
      <c r="AT268" s="167"/>
      <c r="AU268" s="167"/>
      <c r="AV268" s="167"/>
      <c r="AW268" s="167"/>
      <c r="AX268" s="167"/>
      <c r="AY268" s="167"/>
      <c r="AZ268" s="167"/>
    </row>
    <row r="269" spans="1:55" s="274" customFormat="1" ht="18" customHeight="1">
      <c r="A269" s="270">
        <f>A239+1</f>
        <v>9</v>
      </c>
      <c r="B269" s="271"/>
      <c r="C269" s="272" t="str">
        <f>IF($A$1 = 1, (IF("("&amp;C279&amp;")" ="()","","("&amp;C279&amp;")")), (IF("("&amp;C284&amp;")    ("&amp;C279&amp;")"="()    ()","","("&amp;C284&amp;")    ("&amp;C279&amp;")")))</f>
        <v>(14)    (14)</v>
      </c>
      <c r="D269" s="272" t="str">
        <f t="shared" ref="D269:J269" si="24">IF($A$1 = 1, (IF("("&amp;D279&amp;")" ="()","","("&amp;D279&amp;")")), (IF("("&amp;D284&amp;")    ("&amp;D279&amp;")"="()    ()","","("&amp;D284&amp;")    ("&amp;D279&amp;")")))</f>
        <v>(22)    (22)</v>
      </c>
      <c r="E269" s="272" t="str">
        <f t="shared" si="24"/>
        <v>(62)    (52)</v>
      </c>
      <c r="F269" s="272" t="str">
        <f t="shared" si="24"/>
        <v>(203)    (194)</v>
      </c>
      <c r="G269" s="272" t="str">
        <f t="shared" si="24"/>
        <v>(8)    (13)</v>
      </c>
      <c r="H269" s="272" t="str">
        <f t="shared" si="24"/>
        <v/>
      </c>
      <c r="I269" s="272" t="str">
        <f t="shared" si="24"/>
        <v/>
      </c>
      <c r="J269" s="272" t="str">
        <f t="shared" si="24"/>
        <v/>
      </c>
      <c r="K269" s="273"/>
      <c r="L269" s="273"/>
      <c r="M269" s="273"/>
      <c r="N269" s="273"/>
      <c r="O269" s="273"/>
      <c r="P269" s="273"/>
      <c r="Q269" s="273"/>
      <c r="AI269" s="275"/>
      <c r="AJ269" s="275"/>
      <c r="AK269" s="275"/>
      <c r="AL269" s="275"/>
      <c r="AM269" s="275"/>
      <c r="AN269" s="275"/>
      <c r="AO269" s="275"/>
      <c r="AP269" s="275"/>
      <c r="AQ269" s="275"/>
      <c r="AR269" s="275"/>
      <c r="AS269" s="275"/>
      <c r="AT269" s="275"/>
      <c r="AU269" s="275"/>
      <c r="AV269" s="275"/>
      <c r="AW269" s="275"/>
      <c r="AX269" s="275"/>
      <c r="AY269" s="275"/>
      <c r="AZ269" s="275"/>
      <c r="BA269" s="275"/>
      <c r="BB269" s="275"/>
      <c r="BC269" s="275"/>
    </row>
    <row r="270" spans="1:55" s="280" customFormat="1" ht="59.1" customHeight="1">
      <c r="A270" s="276"/>
      <c r="B270" s="277"/>
      <c r="C270" s="278" t="s">
        <v>815</v>
      </c>
      <c r="D270" s="278" t="s">
        <v>840</v>
      </c>
      <c r="E270" s="278" t="s">
        <v>841</v>
      </c>
      <c r="F270" s="278" t="s">
        <v>842</v>
      </c>
      <c r="G270" s="278" t="s">
        <v>814</v>
      </c>
      <c r="H270" s="278"/>
      <c r="I270" s="278"/>
      <c r="J270" s="278"/>
      <c r="K270" s="279"/>
      <c r="L270" s="279"/>
      <c r="M270" s="279"/>
      <c r="N270" s="279"/>
      <c r="O270" s="279"/>
      <c r="P270" s="279"/>
      <c r="Q270" s="279"/>
      <c r="AI270" s="281"/>
      <c r="AJ270" s="281"/>
      <c r="AK270" s="281"/>
      <c r="AL270" s="281"/>
      <c r="AM270" s="281"/>
      <c r="AN270" s="281"/>
      <c r="AO270" s="281"/>
      <c r="AP270" s="281"/>
      <c r="AQ270" s="281"/>
      <c r="AS270" s="281"/>
      <c r="AT270" s="281"/>
      <c r="AU270" s="281"/>
      <c r="AV270" s="281"/>
      <c r="AW270" s="281"/>
      <c r="AX270" s="281"/>
      <c r="AY270" s="281"/>
      <c r="AZ270" s="281"/>
      <c r="BA270" s="281"/>
      <c r="BB270" s="281"/>
      <c r="BC270" s="281"/>
    </row>
    <row r="271" spans="1:55" s="167" customFormat="1" ht="21.95" customHeight="1">
      <c r="A271" s="266"/>
      <c r="B271" s="282" t="s">
        <v>3</v>
      </c>
      <c r="C271" s="283">
        <v>92</v>
      </c>
      <c r="D271" s="283">
        <v>84</v>
      </c>
      <c r="E271" s="283">
        <v>81</v>
      </c>
      <c r="F271" s="283">
        <v>83</v>
      </c>
      <c r="G271" s="283">
        <v>86</v>
      </c>
      <c r="H271" s="283"/>
      <c r="I271" s="283"/>
      <c r="J271" s="283"/>
      <c r="K271" s="284"/>
      <c r="L271" s="284"/>
      <c r="M271" s="284"/>
      <c r="N271" s="284"/>
      <c r="O271" s="284"/>
      <c r="P271" s="284"/>
      <c r="Q271" s="284"/>
      <c r="AI271" s="265"/>
      <c r="AJ271" s="265"/>
      <c r="AK271" s="265"/>
      <c r="AL271" s="265"/>
      <c r="AM271" s="265"/>
      <c r="AN271" s="265"/>
      <c r="AO271" s="265"/>
      <c r="AP271" s="265"/>
      <c r="AQ271" s="265"/>
      <c r="AS271" s="265"/>
      <c r="AT271" s="265"/>
      <c r="AU271" s="265"/>
      <c r="AV271" s="265"/>
      <c r="AW271" s="265"/>
      <c r="AX271" s="265"/>
      <c r="AY271" s="265"/>
      <c r="AZ271" s="265"/>
      <c r="BA271" s="265"/>
      <c r="BB271" s="265"/>
      <c r="BC271" s="265"/>
    </row>
    <row r="272" spans="1:55" s="167" customFormat="1" ht="21.95" customHeight="1">
      <c r="A272" s="266"/>
      <c r="B272" s="285" t="s">
        <v>18</v>
      </c>
      <c r="C272" s="283">
        <v>93</v>
      </c>
      <c r="D272" s="283">
        <v>81</v>
      </c>
      <c r="E272" s="283">
        <v>82</v>
      </c>
      <c r="F272" s="283">
        <v>86</v>
      </c>
      <c r="G272" s="283">
        <v>85</v>
      </c>
      <c r="H272" s="283"/>
      <c r="I272" s="283"/>
      <c r="J272" s="283"/>
      <c r="K272" s="286"/>
      <c r="L272" s="286"/>
      <c r="M272" s="286"/>
      <c r="N272" s="286"/>
      <c r="O272" s="286"/>
      <c r="P272" s="286"/>
      <c r="Q272" s="286"/>
      <c r="AI272" s="265"/>
      <c r="AJ272" s="265"/>
      <c r="AK272" s="265"/>
      <c r="AL272" s="265"/>
      <c r="AM272" s="265"/>
      <c r="AN272" s="265"/>
      <c r="AO272" s="265"/>
      <c r="AP272" s="265"/>
      <c r="AQ272" s="265"/>
      <c r="AS272" s="265"/>
      <c r="AT272" s="265"/>
      <c r="AU272" s="265"/>
      <c r="AV272" s="265"/>
      <c r="AW272" s="265"/>
      <c r="AX272" s="265"/>
      <c r="AY272" s="265"/>
      <c r="AZ272" s="265"/>
      <c r="BA272" s="265"/>
      <c r="BB272" s="265"/>
      <c r="BC272" s="265"/>
    </row>
    <row r="273" spans="1:250" s="167" customFormat="1" ht="21.95" customHeight="1">
      <c r="A273" s="169"/>
      <c r="B273" s="287" t="s">
        <v>32</v>
      </c>
      <c r="C273" s="283">
        <v>92</v>
      </c>
      <c r="D273" s="283">
        <v>79</v>
      </c>
      <c r="E273" s="283">
        <v>77</v>
      </c>
      <c r="F273" s="283">
        <v>75</v>
      </c>
      <c r="G273" s="283">
        <v>79</v>
      </c>
      <c r="H273" s="283"/>
      <c r="I273" s="283"/>
      <c r="J273" s="283"/>
      <c r="K273" s="286"/>
      <c r="L273" s="286"/>
      <c r="M273" s="286"/>
      <c r="N273" s="286"/>
      <c r="O273" s="286"/>
      <c r="P273" s="286"/>
      <c r="Q273" s="286"/>
      <c r="AI273" s="265"/>
      <c r="AJ273" s="265"/>
      <c r="AK273" s="265"/>
      <c r="AL273" s="265"/>
      <c r="AM273" s="265"/>
      <c r="AN273" s="265"/>
      <c r="AO273" s="265"/>
      <c r="AP273" s="265"/>
      <c r="AQ273" s="265"/>
      <c r="AS273" s="265"/>
      <c r="AT273" s="265"/>
      <c r="AU273" s="265"/>
      <c r="AV273" s="265"/>
      <c r="AW273" s="265"/>
      <c r="AX273" s="265"/>
      <c r="AY273" s="265"/>
      <c r="AZ273" s="265"/>
      <c r="BA273" s="265"/>
      <c r="BB273" s="265"/>
    </row>
    <row r="274" spans="1:250" s="167" customFormat="1" ht="21.95" customHeight="1">
      <c r="A274" s="169"/>
      <c r="B274" s="288" t="s">
        <v>45</v>
      </c>
      <c r="C274" s="283">
        <v>98</v>
      </c>
      <c r="D274" s="283">
        <v>82</v>
      </c>
      <c r="E274" s="283">
        <v>84</v>
      </c>
      <c r="F274" s="283">
        <v>79</v>
      </c>
      <c r="G274" s="283">
        <v>89</v>
      </c>
      <c r="H274" s="283"/>
      <c r="I274" s="283"/>
      <c r="J274" s="283"/>
      <c r="K274" s="286"/>
      <c r="L274" s="286"/>
      <c r="M274" s="286"/>
      <c r="N274" s="286"/>
      <c r="O274" s="286"/>
      <c r="P274" s="286"/>
      <c r="Q274" s="286"/>
      <c r="AI274" s="265"/>
      <c r="AJ274" s="265"/>
      <c r="AK274" s="265"/>
      <c r="AL274" s="265"/>
      <c r="AM274" s="265"/>
      <c r="AN274" s="265"/>
      <c r="AO274" s="265"/>
      <c r="AP274" s="265"/>
      <c r="AQ274" s="265"/>
      <c r="AS274" s="265"/>
      <c r="AT274" s="265"/>
      <c r="AU274" s="265"/>
      <c r="AV274" s="265"/>
      <c r="AW274" s="265"/>
      <c r="AX274" s="265"/>
      <c r="AY274" s="265"/>
      <c r="AZ274" s="265"/>
      <c r="BA274" s="265"/>
      <c r="BB274" s="265"/>
    </row>
    <row r="275" spans="1:250" s="167" customFormat="1" ht="21.95" customHeight="1">
      <c r="A275" s="169"/>
      <c r="B275" s="290" t="s">
        <v>54</v>
      </c>
      <c r="C275" s="283">
        <v>96</v>
      </c>
      <c r="D275" s="283">
        <v>89</v>
      </c>
      <c r="E275" s="283">
        <v>88</v>
      </c>
      <c r="F275" s="283">
        <v>88</v>
      </c>
      <c r="G275" s="283">
        <v>92</v>
      </c>
      <c r="H275" s="283"/>
      <c r="I275" s="283"/>
      <c r="J275" s="283"/>
      <c r="K275" s="286"/>
      <c r="L275" s="286"/>
      <c r="M275" s="286"/>
      <c r="N275" s="286"/>
      <c r="O275" s="286"/>
      <c r="P275" s="286"/>
      <c r="Q275" s="286"/>
      <c r="AI275" s="265"/>
      <c r="AJ275" s="265"/>
      <c r="AK275" s="265"/>
      <c r="AL275" s="265"/>
      <c r="AM275" s="265"/>
      <c r="AN275" s="265"/>
      <c r="AO275" s="265"/>
      <c r="AP275" s="265"/>
      <c r="AQ275" s="265"/>
      <c r="AS275" s="265"/>
      <c r="AT275" s="265"/>
      <c r="AU275" s="265"/>
      <c r="AV275" s="265"/>
      <c r="AW275" s="265"/>
      <c r="AX275" s="265"/>
      <c r="AY275" s="265"/>
      <c r="AZ275" s="265"/>
      <c r="BA275" s="265"/>
      <c r="BB275" s="265"/>
    </row>
    <row r="276" spans="1:250" s="167" customFormat="1">
      <c r="A276" s="169"/>
      <c r="B276" s="291" t="s">
        <v>66</v>
      </c>
      <c r="C276" s="286">
        <v>100</v>
      </c>
      <c r="D276" s="286">
        <v>86</v>
      </c>
      <c r="E276" s="286">
        <v>90</v>
      </c>
      <c r="F276" s="286">
        <v>87</v>
      </c>
      <c r="G276" s="286">
        <v>92</v>
      </c>
      <c r="H276" s="286"/>
      <c r="I276" s="286"/>
      <c r="J276" s="286"/>
      <c r="K276" s="286"/>
      <c r="L276" s="286"/>
      <c r="M276" s="286"/>
      <c r="N276" s="286"/>
      <c r="O276" s="286"/>
      <c r="P276" s="286"/>
      <c r="Q276" s="286"/>
      <c r="AI276" s="265"/>
      <c r="AJ276" s="265"/>
      <c r="AK276" s="265"/>
      <c r="AL276" s="265"/>
      <c r="AM276" s="265"/>
      <c r="AN276" s="265"/>
      <c r="AO276" s="265"/>
      <c r="AP276" s="265"/>
      <c r="AQ276" s="265"/>
      <c r="AS276" s="265"/>
      <c r="AT276" s="265"/>
      <c r="AU276" s="265"/>
      <c r="AV276" s="265"/>
      <c r="AW276" s="265"/>
      <c r="AX276" s="265"/>
      <c r="AY276" s="265"/>
      <c r="AZ276" s="265"/>
      <c r="BA276" s="265"/>
      <c r="BB276" s="265"/>
    </row>
    <row r="277" spans="1:250" s="167" customFormat="1">
      <c r="A277" s="169"/>
      <c r="B277" s="291" t="s">
        <v>158</v>
      </c>
      <c r="C277" s="292">
        <v>94</v>
      </c>
      <c r="D277" s="292">
        <v>83</v>
      </c>
      <c r="E277" s="292">
        <v>82</v>
      </c>
      <c r="F277" s="292">
        <v>82</v>
      </c>
      <c r="G277" s="292">
        <v>86</v>
      </c>
      <c r="H277" s="292"/>
      <c r="I277" s="292"/>
      <c r="J277" s="292"/>
      <c r="K277" s="292"/>
      <c r="L277" s="292"/>
      <c r="M277" s="292"/>
      <c r="N277" s="292"/>
      <c r="O277" s="292"/>
      <c r="P277" s="292"/>
      <c r="Q277" s="292"/>
      <c r="AI277" s="265"/>
      <c r="AJ277" s="265"/>
      <c r="AK277" s="265"/>
      <c r="AL277" s="265"/>
      <c r="AM277" s="265"/>
      <c r="AN277" s="265"/>
      <c r="AO277" s="265"/>
      <c r="AP277" s="265"/>
      <c r="AQ277" s="265"/>
      <c r="AS277" s="265"/>
      <c r="AT277" s="265"/>
      <c r="AU277" s="265"/>
      <c r="AV277" s="265"/>
      <c r="AW277" s="265"/>
      <c r="AX277" s="265"/>
      <c r="AY277" s="265"/>
      <c r="AZ277" s="265"/>
      <c r="BA277" s="265"/>
      <c r="BB277" s="265"/>
    </row>
    <row r="278" spans="1:250" s="167" customFormat="1">
      <c r="A278" s="169"/>
      <c r="B278" s="291" t="s">
        <v>189</v>
      </c>
      <c r="C278" s="292">
        <v>83</v>
      </c>
      <c r="D278" s="292">
        <v>83</v>
      </c>
      <c r="E278" s="292">
        <v>83</v>
      </c>
      <c r="F278" s="292">
        <v>83</v>
      </c>
      <c r="G278" s="292">
        <v>83</v>
      </c>
      <c r="H278" s="292"/>
      <c r="I278" s="292"/>
      <c r="J278" s="292"/>
      <c r="K278" s="292"/>
      <c r="L278" s="292"/>
      <c r="M278" s="292"/>
      <c r="N278" s="292"/>
      <c r="O278" s="292"/>
      <c r="P278" s="292"/>
      <c r="Q278" s="292"/>
      <c r="AI278" s="293"/>
      <c r="AJ278" s="293"/>
      <c r="AK278" s="293"/>
      <c r="AL278" s="293"/>
      <c r="AM278" s="293"/>
      <c r="AN278" s="265"/>
      <c r="AO278" s="265"/>
      <c r="AP278" s="265"/>
      <c r="AQ278" s="265"/>
      <c r="AS278" s="265"/>
      <c r="AT278" s="265"/>
      <c r="AU278" s="265"/>
      <c r="AV278" s="265"/>
      <c r="AW278" s="265"/>
      <c r="AX278" s="265"/>
      <c r="AY278" s="265"/>
      <c r="AZ278" s="265"/>
      <c r="BA278" s="265"/>
      <c r="BB278" s="265"/>
    </row>
    <row r="279" spans="1:250" s="167" customFormat="1" ht="15" thickBot="1">
      <c r="A279" s="169"/>
      <c r="B279" s="291" t="s">
        <v>345</v>
      </c>
      <c r="C279" s="292">
        <v>14</v>
      </c>
      <c r="D279" s="292">
        <v>22</v>
      </c>
      <c r="E279" s="292">
        <v>52</v>
      </c>
      <c r="F279" s="292">
        <v>194</v>
      </c>
      <c r="G279" s="292">
        <v>13</v>
      </c>
      <c r="H279" s="292"/>
      <c r="I279" s="292"/>
      <c r="J279" s="292"/>
      <c r="K279" s="292"/>
      <c r="L279" s="292"/>
      <c r="M279" s="292"/>
      <c r="N279" s="292"/>
      <c r="O279" s="292"/>
      <c r="P279" s="292"/>
      <c r="Q279" s="292"/>
      <c r="AI279" s="265"/>
      <c r="AJ279" s="265"/>
      <c r="AK279" s="265"/>
      <c r="AL279" s="265"/>
      <c r="AM279" s="265"/>
      <c r="AN279" s="265"/>
      <c r="AO279" s="265"/>
      <c r="AP279" s="265"/>
      <c r="AQ279" s="265"/>
      <c r="AS279" s="265"/>
      <c r="AT279" s="265"/>
      <c r="AU279" s="265"/>
      <c r="AV279" s="265"/>
      <c r="AW279" s="265"/>
      <c r="AX279" s="265"/>
      <c r="AY279" s="265"/>
      <c r="AZ279" s="265"/>
      <c r="BA279" s="265"/>
      <c r="BB279" s="265"/>
    </row>
    <row r="280" spans="1:250" s="167" customFormat="1">
      <c r="A280" s="266"/>
      <c r="B280" s="294" t="s">
        <v>166</v>
      </c>
      <c r="C280" s="295">
        <f>IF(OR(C283="**",C283=""),"",VALUE(C283))</f>
        <v>79</v>
      </c>
      <c r="D280" s="295">
        <f t="shared" ref="D280:J280" si="25">IF(OR(D283="**",D283=""),"",VALUE(D283))</f>
        <v>80</v>
      </c>
      <c r="E280" s="295">
        <f t="shared" si="25"/>
        <v>77</v>
      </c>
      <c r="F280" s="295">
        <f t="shared" si="25"/>
        <v>78</v>
      </c>
      <c r="G280" s="295">
        <f t="shared" si="25"/>
        <v>71</v>
      </c>
      <c r="H280" s="295" t="str">
        <f t="shared" si="25"/>
        <v/>
      </c>
      <c r="I280" s="295" t="str">
        <f t="shared" si="25"/>
        <v/>
      </c>
      <c r="J280" s="295" t="str">
        <f t="shared" si="25"/>
        <v/>
      </c>
      <c r="K280" s="183"/>
      <c r="L280" s="183"/>
      <c r="M280" s="183"/>
      <c r="N280" s="183"/>
      <c r="O280" s="183"/>
      <c r="P280" s="183"/>
      <c r="Q280" s="183"/>
      <c r="AI280" s="265"/>
      <c r="AJ280" s="265"/>
      <c r="AK280" s="265"/>
      <c r="AL280" s="265"/>
      <c r="AM280" s="265"/>
      <c r="AN280" s="265"/>
      <c r="AO280" s="265"/>
      <c r="AP280" s="265"/>
      <c r="AQ280" s="265"/>
      <c r="AS280" s="265"/>
      <c r="AT280" s="265"/>
      <c r="AU280" s="265"/>
      <c r="AV280" s="265"/>
      <c r="AW280" s="265"/>
      <c r="AX280" s="265"/>
      <c r="AY280" s="265"/>
      <c r="AZ280" s="265"/>
      <c r="BA280" s="265"/>
      <c r="BB280" s="265"/>
    </row>
    <row r="281" spans="1:250" s="167" customFormat="1" ht="15" thickBot="1">
      <c r="A281" s="266"/>
      <c r="B281" s="296" t="s">
        <v>165</v>
      </c>
      <c r="C281" s="297">
        <f t="shared" ref="C281:J281" si="26">IF(OR(C277="**",C277=""),"",VALUE(C277))</f>
        <v>94</v>
      </c>
      <c r="D281" s="297">
        <f t="shared" si="26"/>
        <v>83</v>
      </c>
      <c r="E281" s="297">
        <f t="shared" si="26"/>
        <v>82</v>
      </c>
      <c r="F281" s="297">
        <f t="shared" si="26"/>
        <v>82</v>
      </c>
      <c r="G281" s="297">
        <f t="shared" si="26"/>
        <v>86</v>
      </c>
      <c r="H281" s="297" t="str">
        <f t="shared" si="26"/>
        <v/>
      </c>
      <c r="I281" s="297" t="str">
        <f t="shared" si="26"/>
        <v/>
      </c>
      <c r="J281" s="297" t="str">
        <f t="shared" si="26"/>
        <v/>
      </c>
      <c r="K281" s="260"/>
      <c r="L281" s="260"/>
      <c r="M281" s="260"/>
      <c r="N281" s="260"/>
      <c r="O281" s="260"/>
      <c r="P281" s="260"/>
      <c r="Q281" s="260"/>
      <c r="AI281" s="260"/>
      <c r="AJ281" s="260"/>
      <c r="AK281" s="260"/>
      <c r="AL281" s="260"/>
      <c r="AM281" s="260"/>
      <c r="AN281" s="260"/>
      <c r="AO281" s="260"/>
      <c r="AP281" s="260"/>
      <c r="AQ281" s="265"/>
      <c r="AR281" s="265"/>
      <c r="AS281" s="265"/>
      <c r="AT281" s="265"/>
      <c r="AU281" s="265"/>
      <c r="AV281" s="265"/>
      <c r="AW281" s="265"/>
      <c r="AX281" s="265"/>
      <c r="AY281" s="265"/>
      <c r="AZ281" s="265"/>
      <c r="BA281" s="265"/>
      <c r="BB281" s="265"/>
    </row>
    <row r="282" spans="1:250" s="167" customFormat="1">
      <c r="A282" s="169"/>
      <c r="B282" s="298" t="s">
        <v>385</v>
      </c>
      <c r="C282" s="195" t="s">
        <v>815</v>
      </c>
      <c r="D282" s="195" t="s">
        <v>840</v>
      </c>
      <c r="E282" s="195" t="s">
        <v>841</v>
      </c>
      <c r="F282" s="195" t="s">
        <v>854</v>
      </c>
      <c r="G282" s="195" t="s">
        <v>814</v>
      </c>
      <c r="H282" s="195"/>
      <c r="I282" s="195"/>
      <c r="J282" s="195"/>
      <c r="K282" s="264"/>
      <c r="L282" s="264"/>
      <c r="M282" s="264"/>
      <c r="N282" s="264"/>
      <c r="O282" s="264"/>
      <c r="P282" s="264"/>
      <c r="Q282" s="264"/>
      <c r="AI282" s="265"/>
      <c r="AJ282" s="265"/>
      <c r="AK282" s="265"/>
      <c r="AL282" s="265"/>
      <c r="AM282" s="265"/>
      <c r="AN282" s="265"/>
      <c r="AO282" s="265"/>
      <c r="AP282" s="265"/>
      <c r="AQ282" s="265"/>
      <c r="AR282" s="265"/>
      <c r="AS282" s="265"/>
      <c r="AT282" s="265"/>
      <c r="AU282" s="265"/>
      <c r="AV282" s="265"/>
      <c r="AW282" s="265"/>
      <c r="AX282" s="265"/>
      <c r="AY282" s="265"/>
      <c r="AZ282" s="265"/>
      <c r="BA282" s="265"/>
      <c r="BB282" s="265"/>
    </row>
    <row r="283" spans="1:250" s="167" customFormat="1">
      <c r="A283" s="169"/>
      <c r="B283" s="291" t="s">
        <v>158</v>
      </c>
      <c r="C283" s="258">
        <v>79</v>
      </c>
      <c r="D283" s="258">
        <v>80</v>
      </c>
      <c r="E283" s="258">
        <v>77</v>
      </c>
      <c r="F283" s="258">
        <v>78</v>
      </c>
      <c r="G283" s="258">
        <v>71</v>
      </c>
      <c r="H283" s="258"/>
      <c r="I283" s="258"/>
      <c r="J283" s="258"/>
      <c r="K283" s="264"/>
      <c r="L283" s="264"/>
      <c r="M283" s="264"/>
      <c r="N283" s="264"/>
      <c r="O283" s="264"/>
      <c r="P283" s="264"/>
      <c r="Q283" s="264"/>
      <c r="AI283" s="265"/>
      <c r="AJ283" s="265"/>
      <c r="AK283" s="265"/>
      <c r="AL283" s="265"/>
      <c r="AM283" s="265"/>
      <c r="AN283" s="265"/>
      <c r="AO283" s="265"/>
      <c r="AP283" s="265"/>
      <c r="AQ283" s="265"/>
      <c r="AR283" s="265"/>
      <c r="AS283" s="265"/>
      <c r="AT283" s="265"/>
      <c r="AU283" s="265"/>
      <c r="AV283" s="265"/>
      <c r="AW283" s="265"/>
      <c r="AX283" s="265"/>
      <c r="AY283" s="265"/>
      <c r="AZ283" s="265"/>
      <c r="BA283" s="265"/>
      <c r="BB283" s="265"/>
    </row>
    <row r="284" spans="1:250" s="265" customFormat="1">
      <c r="A284" s="195"/>
      <c r="B284" s="298" t="s">
        <v>345</v>
      </c>
      <c r="C284" s="258">
        <v>14</v>
      </c>
      <c r="D284" s="258">
        <v>22</v>
      </c>
      <c r="E284" s="258">
        <v>62</v>
      </c>
      <c r="F284" s="258">
        <v>203</v>
      </c>
      <c r="G284" s="258">
        <v>8</v>
      </c>
      <c r="H284" s="258"/>
      <c r="I284" s="258"/>
      <c r="J284" s="258"/>
      <c r="R284" s="260"/>
      <c r="S284" s="264"/>
      <c r="T284" s="264"/>
      <c r="U284" s="264"/>
      <c r="V284" s="264"/>
      <c r="W284" s="264"/>
      <c r="X284" s="167"/>
      <c r="Y284" s="167"/>
      <c r="Z284" s="167"/>
      <c r="AA284" s="167"/>
      <c r="AB284" s="167"/>
      <c r="AC284" s="167"/>
      <c r="AD284" s="167"/>
      <c r="AE284" s="167"/>
      <c r="AF284" s="167"/>
      <c r="AG284" s="167"/>
      <c r="AH284" s="167"/>
      <c r="AI284" s="167"/>
      <c r="AJ284" s="167"/>
      <c r="AK284" s="167"/>
      <c r="AL284" s="167"/>
      <c r="AM284" s="167"/>
      <c r="AN284" s="167"/>
      <c r="AO284" s="167"/>
      <c r="AP284" s="167"/>
      <c r="AQ284" s="167"/>
      <c r="AR284" s="167"/>
      <c r="AS284" s="167"/>
      <c r="AT284" s="167"/>
      <c r="AU284" s="167"/>
      <c r="AV284" s="167"/>
      <c r="AW284" s="167"/>
      <c r="AX284" s="167"/>
      <c r="AY284" s="167"/>
      <c r="BU284" s="167"/>
      <c r="BV284" s="301"/>
      <c r="BW284" s="303"/>
      <c r="BX284" s="260"/>
      <c r="BY284" s="260"/>
      <c r="BZ284" s="260"/>
      <c r="CA284" s="260"/>
      <c r="CB284" s="260"/>
      <c r="CC284" s="264"/>
      <c r="CD284" s="264"/>
      <c r="CE284" s="264"/>
      <c r="CF284" s="264"/>
      <c r="CG284" s="264"/>
      <c r="CH284" s="167"/>
      <c r="CI284" s="167"/>
      <c r="CJ284" s="167"/>
      <c r="CK284" s="167"/>
      <c r="CL284" s="167"/>
      <c r="CM284" s="167"/>
      <c r="CN284" s="167"/>
      <c r="CO284" s="167"/>
      <c r="CP284" s="167"/>
      <c r="CQ284" s="167"/>
      <c r="CR284" s="167"/>
      <c r="CS284" s="167"/>
      <c r="CT284" s="167"/>
      <c r="CU284" s="167"/>
      <c r="CV284" s="167"/>
      <c r="CW284" s="167"/>
      <c r="CX284" s="167"/>
      <c r="CY284" s="167"/>
      <c r="CZ284" s="167"/>
      <c r="DA284" s="167"/>
      <c r="DB284" s="167"/>
      <c r="DC284" s="167"/>
      <c r="DD284" s="167"/>
      <c r="DE284" s="167"/>
      <c r="DF284" s="167"/>
      <c r="DG284" s="167"/>
      <c r="DH284" s="167"/>
      <c r="DI284" s="167"/>
      <c r="EE284" s="167"/>
      <c r="EF284" s="301"/>
      <c r="EG284" s="303"/>
      <c r="EH284" s="260"/>
      <c r="EI284" s="260"/>
      <c r="EJ284" s="260"/>
      <c r="EK284" s="260"/>
      <c r="EL284" s="260"/>
      <c r="EM284" s="264"/>
      <c r="EN284" s="264"/>
      <c r="EO284" s="264"/>
      <c r="EP284" s="264"/>
      <c r="EQ284" s="264"/>
      <c r="ER284" s="167"/>
      <c r="ES284" s="167"/>
      <c r="ET284" s="167"/>
      <c r="EU284" s="167"/>
      <c r="EV284" s="167"/>
      <c r="EW284" s="167"/>
      <c r="EX284" s="167"/>
      <c r="EY284" s="167"/>
      <c r="EZ284" s="167"/>
      <c r="FA284" s="167"/>
      <c r="FB284" s="167"/>
      <c r="FC284" s="167"/>
      <c r="FD284" s="167"/>
      <c r="FE284" s="167"/>
      <c r="FF284" s="167"/>
      <c r="FG284" s="167"/>
      <c r="FH284" s="167"/>
      <c r="FI284" s="167"/>
      <c r="FJ284" s="167"/>
      <c r="FK284" s="167"/>
      <c r="FL284" s="167"/>
      <c r="FM284" s="167"/>
      <c r="FN284" s="167"/>
      <c r="FO284" s="167"/>
      <c r="FP284" s="167"/>
      <c r="FQ284" s="167"/>
      <c r="FR284" s="167"/>
      <c r="FS284" s="167"/>
      <c r="GO284" s="167"/>
      <c r="GP284" s="301"/>
      <c r="GQ284" s="303"/>
      <c r="GR284" s="260"/>
      <c r="GS284" s="260"/>
      <c r="GT284" s="260"/>
      <c r="GU284" s="260"/>
      <c r="GV284" s="260"/>
      <c r="GW284" s="264"/>
      <c r="GX284" s="264"/>
      <c r="GY284" s="264"/>
      <c r="GZ284" s="264"/>
      <c r="HA284" s="264"/>
      <c r="HB284" s="167"/>
      <c r="HC284" s="167"/>
      <c r="HD284" s="167"/>
      <c r="HE284" s="167"/>
      <c r="HF284" s="167"/>
      <c r="HG284" s="167"/>
      <c r="HH284" s="167"/>
      <c r="HI284" s="167"/>
      <c r="HJ284" s="167"/>
      <c r="HK284" s="167"/>
      <c r="HL284" s="167"/>
      <c r="HM284" s="167"/>
      <c r="HN284" s="167"/>
      <c r="HO284" s="167"/>
      <c r="HP284" s="167"/>
      <c r="HQ284" s="167"/>
      <c r="HR284" s="167"/>
      <c r="HS284" s="167"/>
      <c r="HT284" s="167"/>
      <c r="HU284" s="167"/>
      <c r="HV284" s="167"/>
      <c r="HW284" s="167"/>
      <c r="HX284" s="167"/>
      <c r="HY284" s="167"/>
      <c r="HZ284" s="167"/>
      <c r="IA284" s="167"/>
      <c r="IB284" s="167"/>
      <c r="IC284" s="167"/>
    </row>
    <row r="285" spans="1:250" s="301" customFormat="1">
      <c r="A285" s="266"/>
      <c r="B285" s="195"/>
      <c r="C285" s="195"/>
      <c r="D285" s="195"/>
      <c r="E285" s="195"/>
      <c r="F285" s="195"/>
      <c r="G285" s="195"/>
      <c r="H285" s="195"/>
      <c r="I285" s="195"/>
      <c r="J285" s="195"/>
      <c r="K285" s="167"/>
      <c r="L285" s="167"/>
      <c r="M285" s="167"/>
      <c r="N285" s="167"/>
      <c r="O285" s="167"/>
      <c r="P285" s="167"/>
      <c r="Q285" s="167"/>
      <c r="R285" s="167"/>
      <c r="S285" s="167"/>
      <c r="T285" s="167"/>
      <c r="U285" s="167"/>
      <c r="V285" s="167"/>
      <c r="W285" s="167"/>
      <c r="X285" s="167"/>
      <c r="Y285" s="167"/>
      <c r="Z285" s="167"/>
      <c r="AA285" s="167"/>
      <c r="AB285" s="167"/>
      <c r="AC285" s="167"/>
      <c r="AD285" s="167"/>
      <c r="AE285" s="167"/>
      <c r="AF285" s="167"/>
      <c r="AG285" s="167"/>
      <c r="AH285" s="167"/>
      <c r="AI285" s="167"/>
      <c r="AJ285" s="167"/>
      <c r="AK285" s="167"/>
      <c r="AL285" s="167"/>
      <c r="AM285" s="167"/>
      <c r="AN285" s="167"/>
      <c r="AO285" s="167"/>
      <c r="AP285" s="167"/>
      <c r="AQ285" s="265"/>
      <c r="AR285" s="265"/>
      <c r="AS285" s="265"/>
      <c r="AT285" s="265"/>
      <c r="AU285" s="265"/>
      <c r="AV285" s="265"/>
      <c r="AW285" s="265"/>
      <c r="AX285" s="265"/>
      <c r="AY285" s="265"/>
      <c r="AZ285" s="265"/>
      <c r="BA285" s="265"/>
      <c r="BB285" s="265"/>
      <c r="BC285" s="265"/>
      <c r="BD285" s="265"/>
      <c r="BE285" s="265"/>
      <c r="BF285" s="265"/>
      <c r="BG285" s="265"/>
      <c r="BH285" s="265"/>
      <c r="BI285" s="265"/>
      <c r="BJ285" s="265"/>
      <c r="BK285" s="265"/>
      <c r="BL285" s="167"/>
      <c r="BN285" s="303"/>
      <c r="BO285" s="260"/>
      <c r="BP285" s="260"/>
      <c r="BQ285" s="260"/>
      <c r="BR285" s="260"/>
      <c r="BS285" s="260"/>
      <c r="BT285" s="264"/>
      <c r="BU285" s="264"/>
      <c r="BV285" s="264"/>
      <c r="BW285" s="264"/>
      <c r="BX285" s="264"/>
      <c r="BY285" s="167"/>
      <c r="BZ285" s="167"/>
      <c r="CA285" s="167"/>
      <c r="CB285" s="167"/>
      <c r="CC285" s="167"/>
      <c r="CD285" s="167"/>
      <c r="CE285" s="167"/>
      <c r="CF285" s="167"/>
      <c r="CG285" s="167"/>
      <c r="CH285" s="167"/>
      <c r="CI285" s="167"/>
      <c r="CJ285" s="167"/>
      <c r="CK285" s="167"/>
      <c r="CL285" s="167"/>
      <c r="CM285" s="167"/>
      <c r="CN285" s="167"/>
      <c r="CO285" s="167"/>
      <c r="CP285" s="167"/>
      <c r="CQ285" s="167"/>
      <c r="CR285" s="167"/>
      <c r="CS285" s="167"/>
      <c r="CT285" s="167"/>
      <c r="CU285" s="167"/>
      <c r="CV285" s="167"/>
      <c r="CW285" s="167"/>
      <c r="CX285" s="167"/>
      <c r="CY285" s="167"/>
      <c r="CZ285" s="167"/>
      <c r="DA285" s="265"/>
      <c r="DB285" s="265"/>
      <c r="DC285" s="265"/>
      <c r="DD285" s="265"/>
      <c r="DE285" s="265"/>
      <c r="DF285" s="265"/>
      <c r="DG285" s="265"/>
      <c r="DH285" s="265"/>
      <c r="DI285" s="265"/>
      <c r="DJ285" s="265"/>
      <c r="DK285" s="265"/>
      <c r="DL285" s="265"/>
      <c r="DM285" s="265"/>
      <c r="DN285" s="265"/>
      <c r="DO285" s="265"/>
      <c r="DP285" s="265"/>
      <c r="DQ285" s="265"/>
      <c r="DR285" s="265"/>
      <c r="DS285" s="265"/>
      <c r="DT285" s="265"/>
      <c r="DU285" s="265"/>
      <c r="DV285" s="167"/>
      <c r="DX285" s="303"/>
      <c r="DY285" s="260"/>
      <c r="DZ285" s="260"/>
      <c r="EA285" s="260"/>
      <c r="EB285" s="260"/>
      <c r="EC285" s="260"/>
      <c r="ED285" s="264"/>
      <c r="EE285" s="264"/>
      <c r="EF285" s="264"/>
      <c r="EG285" s="264"/>
      <c r="EH285" s="264"/>
      <c r="EI285" s="167"/>
      <c r="EJ285" s="167"/>
      <c r="EK285" s="167"/>
      <c r="EL285" s="167"/>
      <c r="EM285" s="167"/>
      <c r="EN285" s="167"/>
      <c r="EO285" s="167"/>
      <c r="EP285" s="167"/>
      <c r="EQ285" s="167"/>
      <c r="ER285" s="167"/>
      <c r="ES285" s="167"/>
      <c r="ET285" s="167"/>
      <c r="EU285" s="167"/>
      <c r="EV285" s="167"/>
      <c r="EW285" s="167"/>
      <c r="EX285" s="167"/>
      <c r="EY285" s="167"/>
      <c r="EZ285" s="167"/>
      <c r="FA285" s="167"/>
      <c r="FB285" s="167"/>
      <c r="FC285" s="167"/>
      <c r="FD285" s="167"/>
      <c r="FE285" s="167"/>
      <c r="FF285" s="167"/>
      <c r="FG285" s="167"/>
      <c r="FH285" s="167"/>
      <c r="FI285" s="167"/>
      <c r="FJ285" s="167"/>
      <c r="FK285" s="265"/>
      <c r="FL285" s="265"/>
      <c r="FM285" s="265"/>
      <c r="FN285" s="265"/>
      <c r="FO285" s="265"/>
      <c r="FP285" s="265"/>
      <c r="FQ285" s="265"/>
      <c r="FR285" s="265"/>
      <c r="FS285" s="265"/>
      <c r="FT285" s="265"/>
      <c r="FU285" s="265"/>
      <c r="FV285" s="265"/>
      <c r="FW285" s="265"/>
      <c r="FX285" s="265"/>
      <c r="FY285" s="265"/>
      <c r="FZ285" s="265"/>
      <c r="GA285" s="265"/>
      <c r="GB285" s="265"/>
      <c r="GC285" s="265"/>
      <c r="GD285" s="265"/>
      <c r="GE285" s="265"/>
      <c r="GF285" s="167"/>
      <c r="GH285" s="303"/>
      <c r="GI285" s="260"/>
      <c r="GJ285" s="260"/>
      <c r="GK285" s="260"/>
      <c r="GL285" s="260"/>
      <c r="GM285" s="260"/>
      <c r="GN285" s="264"/>
      <c r="GO285" s="264"/>
      <c r="GP285" s="264"/>
      <c r="GQ285" s="264"/>
      <c r="GR285" s="264"/>
      <c r="GS285" s="167"/>
      <c r="GT285" s="167"/>
      <c r="GU285" s="167"/>
      <c r="GV285" s="167"/>
      <c r="GW285" s="167"/>
      <c r="GX285" s="167"/>
      <c r="GY285" s="167"/>
      <c r="GZ285" s="167"/>
      <c r="HA285" s="167"/>
      <c r="HB285" s="167"/>
      <c r="HC285" s="167"/>
      <c r="HD285" s="167"/>
      <c r="HE285" s="167"/>
      <c r="HF285" s="167"/>
      <c r="HG285" s="167"/>
      <c r="HH285" s="167"/>
      <c r="HI285" s="167"/>
      <c r="HJ285" s="167"/>
      <c r="HK285" s="167"/>
      <c r="HL285" s="167"/>
      <c r="HM285" s="167"/>
      <c r="HN285" s="167"/>
      <c r="HO285" s="167"/>
      <c r="HP285" s="167"/>
      <c r="HQ285" s="167"/>
      <c r="HR285" s="167"/>
      <c r="HS285" s="167"/>
      <c r="HT285" s="167"/>
      <c r="HU285" s="265"/>
      <c r="HV285" s="265"/>
      <c r="HW285" s="265"/>
      <c r="HX285" s="265"/>
      <c r="HY285" s="265"/>
      <c r="HZ285" s="265"/>
      <c r="IA285" s="265"/>
      <c r="IB285" s="265"/>
      <c r="IC285" s="265"/>
      <c r="ID285" s="265"/>
      <c r="IE285" s="265"/>
      <c r="IF285" s="265"/>
      <c r="IG285" s="265"/>
      <c r="IH285" s="265"/>
      <c r="II285" s="265"/>
      <c r="IJ285" s="265"/>
      <c r="IK285" s="265"/>
      <c r="IL285" s="265"/>
      <c r="IM285" s="265"/>
      <c r="IN285" s="265"/>
      <c r="IO285" s="265"/>
      <c r="IP285" s="167"/>
    </row>
    <row r="286" spans="1:250" s="264" customFormat="1">
      <c r="A286" s="261"/>
      <c r="B286" s="258"/>
      <c r="C286" s="258"/>
      <c r="D286" s="258"/>
      <c r="E286" s="258"/>
      <c r="F286" s="258"/>
      <c r="G286" s="261"/>
      <c r="H286" s="261"/>
      <c r="I286" s="261"/>
      <c r="J286" s="261"/>
      <c r="R286" s="167"/>
      <c r="S286" s="167"/>
      <c r="T286" s="167"/>
      <c r="U286" s="167"/>
      <c r="V286" s="167"/>
      <c r="W286" s="167"/>
      <c r="X286" s="167"/>
      <c r="Y286" s="167"/>
      <c r="Z286" s="167"/>
      <c r="AA286" s="167"/>
      <c r="AB286" s="167"/>
      <c r="AC286" s="167"/>
      <c r="AD286" s="167"/>
      <c r="AE286" s="167"/>
      <c r="AF286" s="167"/>
      <c r="AG286" s="167"/>
      <c r="AH286" s="265"/>
      <c r="AI286" s="265"/>
      <c r="AJ286" s="265"/>
      <c r="AK286" s="265"/>
      <c r="AL286" s="265"/>
      <c r="AM286" s="265"/>
      <c r="AN286" s="265"/>
      <c r="AO286" s="265"/>
      <c r="AP286" s="265"/>
      <c r="AQ286" s="265"/>
      <c r="AR286" s="265"/>
      <c r="AS286" s="265"/>
      <c r="AT286" s="265"/>
      <c r="AU286" s="265"/>
      <c r="AV286" s="265"/>
      <c r="AW286" s="265"/>
      <c r="AX286" s="265"/>
      <c r="AY286" s="265"/>
      <c r="AZ286" s="265"/>
      <c r="BA286" s="265"/>
      <c r="BB286" s="265"/>
      <c r="BC286" s="167"/>
      <c r="BD286" s="301"/>
      <c r="BE286" s="303"/>
      <c r="BF286" s="260"/>
      <c r="BG286" s="260"/>
      <c r="BH286" s="260"/>
      <c r="BI286" s="260"/>
      <c r="BJ286" s="260"/>
      <c r="BP286" s="167"/>
      <c r="BQ286" s="167"/>
      <c r="BR286" s="167"/>
      <c r="BS286" s="167"/>
      <c r="BT286" s="167"/>
      <c r="BU286" s="167"/>
      <c r="BV286" s="167"/>
      <c r="BW286" s="167"/>
      <c r="BX286" s="167"/>
      <c r="BY286" s="167"/>
      <c r="BZ286" s="167"/>
      <c r="CA286" s="167"/>
      <c r="CB286" s="167"/>
      <c r="CC286" s="167"/>
      <c r="CD286" s="167"/>
      <c r="CE286" s="167"/>
      <c r="CF286" s="167"/>
      <c r="CG286" s="167"/>
      <c r="CH286" s="167"/>
      <c r="CI286" s="167"/>
      <c r="CJ286" s="167"/>
      <c r="CK286" s="167"/>
      <c r="CL286" s="167"/>
      <c r="CM286" s="167"/>
      <c r="CN286" s="167"/>
      <c r="CO286" s="167"/>
      <c r="CP286" s="167"/>
      <c r="CQ286" s="167"/>
      <c r="CR286" s="265"/>
      <c r="CS286" s="265"/>
      <c r="CT286" s="265"/>
      <c r="CU286" s="265"/>
      <c r="CV286" s="265"/>
      <c r="CW286" s="265"/>
      <c r="CX286" s="265"/>
      <c r="CY286" s="265"/>
      <c r="CZ286" s="265"/>
      <c r="DA286" s="265"/>
      <c r="DB286" s="265"/>
      <c r="DC286" s="265"/>
      <c r="DD286" s="265"/>
      <c r="DE286" s="265"/>
      <c r="DF286" s="265"/>
      <c r="DG286" s="265"/>
      <c r="DH286" s="265"/>
      <c r="DI286" s="265"/>
      <c r="DJ286" s="265"/>
      <c r="DK286" s="265"/>
      <c r="DL286" s="265"/>
      <c r="DM286" s="167"/>
      <c r="DN286" s="301"/>
      <c r="DO286" s="303"/>
      <c r="DP286" s="260"/>
      <c r="DQ286" s="260"/>
      <c r="DR286" s="260"/>
      <c r="DS286" s="260"/>
      <c r="DT286" s="260"/>
      <c r="DZ286" s="167"/>
      <c r="EA286" s="167"/>
      <c r="EB286" s="167"/>
      <c r="EC286" s="167"/>
      <c r="ED286" s="167"/>
      <c r="EE286" s="167"/>
      <c r="EF286" s="167"/>
      <c r="EG286" s="167"/>
      <c r="EH286" s="167"/>
      <c r="EI286" s="167"/>
      <c r="EJ286" s="167"/>
      <c r="EK286" s="167"/>
      <c r="EL286" s="167"/>
      <c r="EM286" s="167"/>
      <c r="EN286" s="167"/>
      <c r="EO286" s="167"/>
      <c r="EP286" s="167"/>
      <c r="EQ286" s="167"/>
      <c r="ER286" s="167"/>
      <c r="ES286" s="167"/>
      <c r="ET286" s="167"/>
      <c r="EU286" s="167"/>
      <c r="EV286" s="167"/>
      <c r="EW286" s="167"/>
      <c r="EX286" s="167"/>
      <c r="EY286" s="167"/>
      <c r="EZ286" s="167"/>
      <c r="FA286" s="167"/>
      <c r="FB286" s="265"/>
      <c r="FC286" s="265"/>
      <c r="FD286" s="265"/>
      <c r="FE286" s="265"/>
      <c r="FF286" s="265"/>
      <c r="FG286" s="265"/>
      <c r="FH286" s="265"/>
      <c r="FI286" s="265"/>
      <c r="FJ286" s="265"/>
      <c r="FK286" s="265"/>
      <c r="FL286" s="265"/>
      <c r="FM286" s="265"/>
      <c r="FN286" s="265"/>
      <c r="FO286" s="265"/>
      <c r="FP286" s="265"/>
      <c r="FQ286" s="265"/>
      <c r="FR286" s="265"/>
      <c r="FS286" s="265"/>
      <c r="FT286" s="265"/>
      <c r="FU286" s="265"/>
      <c r="FV286" s="265"/>
      <c r="FW286" s="167"/>
      <c r="FX286" s="301"/>
      <c r="FY286" s="303"/>
      <c r="FZ286" s="260"/>
      <c r="GA286" s="260"/>
      <c r="GB286" s="260"/>
      <c r="GC286" s="260"/>
      <c r="GD286" s="260"/>
      <c r="GJ286" s="167"/>
      <c r="GK286" s="167"/>
      <c r="GL286" s="167"/>
      <c r="GM286" s="167"/>
      <c r="GN286" s="167"/>
      <c r="GO286" s="167"/>
      <c r="GP286" s="167"/>
      <c r="GQ286" s="167"/>
      <c r="GR286" s="167"/>
      <c r="GS286" s="167"/>
      <c r="GT286" s="167"/>
      <c r="GU286" s="167"/>
      <c r="GV286" s="167"/>
      <c r="GW286" s="167"/>
      <c r="GX286" s="167"/>
      <c r="GY286" s="167"/>
      <c r="GZ286" s="167"/>
      <c r="HA286" s="167"/>
      <c r="HB286" s="167"/>
      <c r="HC286" s="167"/>
      <c r="HD286" s="167"/>
      <c r="HE286" s="167"/>
      <c r="HF286" s="167"/>
      <c r="HG286" s="167"/>
      <c r="HH286" s="167"/>
      <c r="HI286" s="167"/>
      <c r="HJ286" s="167"/>
      <c r="HK286" s="167"/>
      <c r="HL286" s="265"/>
      <c r="HM286" s="265"/>
      <c r="HN286" s="265"/>
      <c r="HO286" s="265"/>
      <c r="HP286" s="265"/>
      <c r="HQ286" s="265"/>
      <c r="HR286" s="265"/>
      <c r="HS286" s="265"/>
      <c r="HT286" s="265"/>
      <c r="HU286" s="265"/>
      <c r="HV286" s="265"/>
      <c r="HW286" s="265"/>
      <c r="HX286" s="265"/>
      <c r="HY286" s="265"/>
      <c r="HZ286" s="265"/>
      <c r="IA286" s="265"/>
      <c r="IB286" s="265"/>
      <c r="IC286" s="265"/>
      <c r="ID286" s="265"/>
      <c r="IE286" s="265"/>
      <c r="IF286" s="265"/>
      <c r="IG286" s="167"/>
      <c r="IH286" s="301"/>
      <c r="II286" s="303"/>
      <c r="IJ286" s="260"/>
      <c r="IK286" s="260"/>
      <c r="IL286" s="260"/>
      <c r="IM286" s="260"/>
      <c r="IN286" s="260"/>
    </row>
    <row r="287" spans="1:250" s="167" customFormat="1">
      <c r="A287" s="169"/>
      <c r="B287" s="261"/>
      <c r="C287" s="169"/>
      <c r="D287" s="169"/>
      <c r="E287" s="169"/>
      <c r="F287" s="169"/>
      <c r="G287" s="169"/>
      <c r="H287" s="169"/>
      <c r="I287" s="169"/>
      <c r="J287" s="169"/>
      <c r="Y287" s="265"/>
      <c r="Z287" s="265"/>
      <c r="AA287" s="265"/>
      <c r="AB287" s="265"/>
      <c r="AC287" s="265"/>
      <c r="AD287" s="265"/>
      <c r="AE287" s="265"/>
      <c r="AF287" s="265"/>
      <c r="AG287" s="265"/>
      <c r="AH287" s="265"/>
      <c r="AI287" s="265"/>
      <c r="AJ287" s="265"/>
      <c r="AK287" s="265"/>
      <c r="AL287" s="265"/>
      <c r="AM287" s="265"/>
      <c r="AN287" s="265"/>
      <c r="AO287" s="265"/>
      <c r="AP287" s="265"/>
      <c r="AQ287" s="265"/>
      <c r="AR287" s="265"/>
      <c r="AS287" s="265"/>
      <c r="AU287" s="301"/>
      <c r="AV287" s="303"/>
      <c r="AW287" s="260"/>
      <c r="AX287" s="260"/>
      <c r="AY287" s="260"/>
      <c r="AZ287" s="260"/>
      <c r="BA287" s="260"/>
      <c r="BB287" s="264"/>
      <c r="BC287" s="264"/>
      <c r="BD287" s="264"/>
      <c r="BE287" s="264"/>
      <c r="BF287" s="264"/>
      <c r="CI287" s="265"/>
      <c r="CJ287" s="265"/>
      <c r="CK287" s="265"/>
      <c r="CL287" s="265"/>
      <c r="CM287" s="265"/>
      <c r="CN287" s="265"/>
      <c r="CO287" s="265"/>
      <c r="CP287" s="265"/>
      <c r="CQ287" s="265"/>
      <c r="CR287" s="265"/>
      <c r="CS287" s="265"/>
      <c r="CT287" s="265"/>
      <c r="CU287" s="265"/>
      <c r="CV287" s="265"/>
      <c r="CW287" s="265"/>
      <c r="CX287" s="265"/>
      <c r="CY287" s="265"/>
      <c r="CZ287" s="265"/>
      <c r="DA287" s="265"/>
      <c r="DB287" s="265"/>
      <c r="DC287" s="265"/>
      <c r="DE287" s="307"/>
      <c r="DF287" s="303"/>
      <c r="DG287" s="302"/>
      <c r="DH287" s="302"/>
      <c r="DI287" s="302"/>
      <c r="DJ287" s="302"/>
      <c r="DK287" s="302"/>
      <c r="DL287" s="302"/>
      <c r="DM287" s="302"/>
      <c r="DN287" s="302"/>
      <c r="DO287" s="302"/>
      <c r="DP287" s="302"/>
      <c r="DQ287" s="302"/>
      <c r="DR287" s="274"/>
      <c r="DS287" s="274"/>
      <c r="DT287" s="274"/>
      <c r="DU287" s="274"/>
      <c r="DV287" s="274"/>
      <c r="DW287" s="274"/>
      <c r="DX287" s="274"/>
      <c r="DY287" s="274"/>
      <c r="DZ287" s="274"/>
      <c r="EA287" s="274"/>
      <c r="EB287" s="274"/>
      <c r="EC287" s="274"/>
      <c r="ED287" s="274"/>
      <c r="EE287" s="274"/>
      <c r="EF287" s="274"/>
      <c r="EG287" s="274"/>
      <c r="EH287" s="274"/>
      <c r="EI287" s="274"/>
      <c r="EJ287" s="274"/>
      <c r="EK287" s="274"/>
      <c r="EL287" s="274"/>
      <c r="EM287" s="274"/>
      <c r="EN287" s="274"/>
      <c r="EO287" s="274"/>
      <c r="EP287" s="274"/>
      <c r="EQ287" s="274"/>
      <c r="ER287" s="274"/>
      <c r="ES287" s="275"/>
      <c r="ET287" s="275"/>
      <c r="EU287" s="275"/>
      <c r="EV287" s="275"/>
      <c r="EW287" s="275"/>
      <c r="EX287" s="275"/>
      <c r="EY287" s="275"/>
      <c r="EZ287" s="275"/>
      <c r="FA287" s="275"/>
      <c r="FB287" s="275"/>
      <c r="FC287" s="275"/>
      <c r="FD287" s="275"/>
      <c r="FE287" s="275"/>
      <c r="FF287" s="275"/>
      <c r="FG287" s="275"/>
      <c r="FH287" s="275"/>
      <c r="FI287" s="275"/>
      <c r="FJ287" s="275"/>
      <c r="FK287" s="275"/>
      <c r="FL287" s="275"/>
      <c r="FM287" s="275"/>
      <c r="FN287" s="274"/>
      <c r="FO287" s="308"/>
      <c r="FP287" s="309"/>
      <c r="FQ287" s="279"/>
      <c r="FR287" s="279"/>
      <c r="FS287" s="279"/>
      <c r="FT287" s="279"/>
      <c r="FU287" s="279"/>
      <c r="FV287" s="279"/>
      <c r="FW287" s="279"/>
      <c r="FX287" s="279"/>
      <c r="FY287" s="310"/>
      <c r="FZ287" s="310"/>
      <c r="GA287" s="280"/>
      <c r="GB287" s="280"/>
      <c r="GC287" s="280"/>
      <c r="GD287" s="280"/>
      <c r="GE287" s="280"/>
      <c r="GF287" s="280"/>
      <c r="GG287" s="280"/>
      <c r="GH287" s="280"/>
      <c r="GI287" s="280"/>
      <c r="GJ287" s="280"/>
      <c r="GK287" s="280"/>
      <c r="GL287" s="280"/>
      <c r="GM287" s="280"/>
      <c r="GN287" s="280"/>
      <c r="GO287" s="280"/>
      <c r="GP287" s="280"/>
      <c r="GQ287" s="280"/>
      <c r="GR287" s="280"/>
      <c r="GS287" s="280"/>
      <c r="GT287" s="280"/>
      <c r="GU287" s="280"/>
      <c r="GV287" s="280"/>
      <c r="GW287" s="280"/>
      <c r="GX287" s="280"/>
      <c r="GY287" s="280"/>
      <c r="GZ287" s="280"/>
      <c r="HA287" s="280"/>
      <c r="HB287" s="280"/>
      <c r="HC287" s="281"/>
      <c r="HD287" s="281"/>
      <c r="HE287" s="281"/>
      <c r="HF287" s="281"/>
      <c r="HG287" s="281"/>
      <c r="HH287" s="281"/>
      <c r="HI287" s="281"/>
      <c r="HJ287" s="281"/>
      <c r="HK287" s="281"/>
      <c r="HL287" s="280"/>
      <c r="HM287" s="281"/>
      <c r="HN287" s="281"/>
      <c r="HO287" s="281"/>
      <c r="HP287" s="281"/>
      <c r="HQ287" s="281"/>
      <c r="HR287" s="281"/>
      <c r="HS287" s="281"/>
      <c r="HT287" s="281"/>
      <c r="HU287" s="281"/>
      <c r="HV287" s="281"/>
      <c r="HW287" s="281"/>
      <c r="HX287" s="280"/>
      <c r="HY287" s="291"/>
      <c r="HZ287" s="289"/>
      <c r="IA287" s="299"/>
      <c r="IB287" s="299"/>
      <c r="IC287" s="299"/>
      <c r="ID287" s="299"/>
      <c r="IE287" s="299"/>
      <c r="IF287" s="299"/>
      <c r="IG287" s="299"/>
      <c r="IH287" s="264"/>
      <c r="II287" s="264"/>
    </row>
    <row r="288" spans="1:250" s="167" customFormat="1" ht="18" customHeight="1">
      <c r="A288" s="169"/>
      <c r="B288" s="169"/>
      <c r="C288" s="169"/>
      <c r="D288" s="169"/>
      <c r="E288" s="169"/>
      <c r="F288" s="169"/>
      <c r="G288" s="169"/>
      <c r="H288" s="169"/>
      <c r="I288" s="169"/>
      <c r="J288" s="169"/>
      <c r="R288" s="265"/>
      <c r="S288" s="265"/>
      <c r="T288" s="265"/>
      <c r="U288" s="265"/>
      <c r="V288" s="265"/>
      <c r="W288" s="265"/>
      <c r="Y288" s="265"/>
      <c r="Z288" s="265"/>
      <c r="AA288" s="265"/>
      <c r="AB288" s="265"/>
      <c r="AC288" s="265"/>
      <c r="AD288" s="265"/>
      <c r="AE288" s="265"/>
      <c r="AF288" s="265"/>
      <c r="AG288" s="265"/>
      <c r="AH288" s="265"/>
      <c r="AI288" s="265"/>
      <c r="HX288" s="291"/>
      <c r="HY288" s="289"/>
      <c r="HZ288" s="289"/>
      <c r="IA288" s="289"/>
      <c r="IB288" s="289"/>
      <c r="IC288" s="289"/>
      <c r="ID288" s="289"/>
      <c r="IE288" s="289"/>
      <c r="IF288" s="289"/>
      <c r="IG288" s="264"/>
      <c r="IH288" s="264"/>
    </row>
    <row r="289" spans="1:55" s="167" customFormat="1" ht="18" customHeight="1">
      <c r="A289" s="169" t="s">
        <v>183</v>
      </c>
      <c r="B289" s="169"/>
      <c r="C289" s="169"/>
      <c r="D289" s="169"/>
      <c r="E289" s="169"/>
      <c r="F289" s="169"/>
      <c r="G289" s="169"/>
      <c r="H289" s="169"/>
      <c r="I289" s="169"/>
      <c r="J289" s="169"/>
      <c r="R289" s="265"/>
      <c r="S289" s="265"/>
      <c r="T289" s="265"/>
      <c r="U289" s="265"/>
      <c r="V289" s="265"/>
      <c r="X289" s="265"/>
      <c r="Y289" s="265"/>
      <c r="Z289" s="265"/>
      <c r="AA289" s="265"/>
      <c r="AB289" s="265"/>
      <c r="AC289" s="265"/>
      <c r="AD289" s="265"/>
      <c r="AE289" s="265"/>
      <c r="AF289" s="265"/>
      <c r="AG289" s="265"/>
      <c r="AH289" s="265"/>
    </row>
    <row r="290" spans="1:55" s="167" customFormat="1" ht="18" customHeight="1">
      <c r="A290" s="169">
        <v>4</v>
      </c>
      <c r="B290" s="169"/>
      <c r="C290" s="169"/>
      <c r="D290" s="169"/>
      <c r="E290" s="169"/>
      <c r="F290" s="169"/>
      <c r="G290" s="169"/>
      <c r="H290" s="169"/>
      <c r="I290" s="169"/>
      <c r="J290" s="169"/>
    </row>
    <row r="291" spans="1:55" s="167" customFormat="1" ht="18" customHeight="1">
      <c r="A291" s="169"/>
      <c r="B291" s="169"/>
      <c r="C291" s="169"/>
      <c r="D291" s="169"/>
      <c r="E291" s="169"/>
      <c r="F291" s="169"/>
      <c r="G291" s="169"/>
      <c r="H291" s="169"/>
      <c r="I291" s="169"/>
      <c r="J291" s="169"/>
    </row>
    <row r="292" spans="1:55" s="167" customFormat="1" ht="18" customHeight="1">
      <c r="A292" s="169"/>
      <c r="B292" s="169"/>
      <c r="C292" s="169"/>
      <c r="D292" s="169"/>
      <c r="E292" s="169"/>
      <c r="F292" s="169"/>
      <c r="G292" s="169"/>
      <c r="H292" s="169"/>
      <c r="I292" s="169"/>
      <c r="J292" s="169"/>
      <c r="AS292" s="291"/>
      <c r="AT292" s="289"/>
      <c r="AU292" s="289"/>
      <c r="AV292" s="289"/>
      <c r="AW292" s="289"/>
      <c r="AX292" s="289"/>
      <c r="AY292" s="289"/>
      <c r="AZ292" s="289"/>
      <c r="BA292" s="289"/>
      <c r="BB292" s="264"/>
      <c r="BC292" s="264"/>
    </row>
    <row r="293" spans="1:55" s="167" customFormat="1" ht="18" customHeight="1">
      <c r="A293" s="169"/>
      <c r="B293" s="169"/>
      <c r="C293" s="169"/>
      <c r="D293" s="169"/>
      <c r="E293" s="169"/>
      <c r="F293" s="169"/>
      <c r="G293" s="169"/>
      <c r="H293" s="169"/>
      <c r="I293" s="169"/>
      <c r="J293" s="169"/>
      <c r="V293" s="265"/>
      <c r="W293" s="265"/>
      <c r="X293" s="265"/>
      <c r="Y293" s="265"/>
      <c r="Z293" s="265"/>
      <c r="AA293" s="265"/>
      <c r="AB293" s="265"/>
      <c r="AC293" s="265"/>
      <c r="AD293" s="265"/>
      <c r="AF293" s="265"/>
      <c r="AG293" s="265"/>
      <c r="AH293" s="265"/>
      <c r="AI293" s="265"/>
      <c r="AJ293" s="265"/>
      <c r="AK293" s="265"/>
      <c r="AL293" s="265"/>
      <c r="AM293" s="265"/>
      <c r="AN293" s="265"/>
      <c r="AO293" s="265"/>
      <c r="AP293" s="265"/>
    </row>
    <row r="294" spans="1:55" s="167" customFormat="1" ht="18" customHeight="1">
      <c r="A294" s="169"/>
      <c r="B294" s="169"/>
      <c r="C294" s="169"/>
      <c r="D294" s="169"/>
      <c r="E294" s="169"/>
      <c r="F294" s="169"/>
      <c r="G294" s="169"/>
      <c r="H294" s="169"/>
      <c r="I294" s="169"/>
      <c r="J294" s="169"/>
    </row>
    <row r="295" spans="1:55" s="167" customFormat="1" ht="18" customHeight="1">
      <c r="A295" s="169"/>
      <c r="B295" s="169"/>
      <c r="C295" s="169"/>
      <c r="D295" s="169"/>
      <c r="E295" s="169"/>
      <c r="F295" s="169"/>
      <c r="G295" s="169"/>
      <c r="H295" s="169"/>
      <c r="I295" s="169"/>
      <c r="J295" s="169"/>
    </row>
    <row r="296" spans="1:55" s="289" customFormat="1" ht="18" customHeight="1">
      <c r="A296" s="169"/>
      <c r="B296" s="169"/>
      <c r="C296" s="169"/>
      <c r="D296" s="169"/>
      <c r="E296" s="169"/>
      <c r="F296" s="169"/>
      <c r="G296" s="169"/>
      <c r="H296" s="169"/>
      <c r="I296" s="169"/>
      <c r="J296" s="169"/>
      <c r="K296" s="167"/>
      <c r="L296" s="167"/>
      <c r="M296" s="167"/>
      <c r="N296" s="167"/>
      <c r="O296" s="167"/>
      <c r="P296" s="167"/>
      <c r="Q296" s="167"/>
      <c r="R296" s="167"/>
      <c r="S296" s="167"/>
      <c r="T296" s="167"/>
      <c r="U296" s="167"/>
      <c r="V296" s="167"/>
      <c r="W296" s="167"/>
      <c r="X296" s="167"/>
      <c r="Y296" s="167"/>
      <c r="Z296" s="167"/>
      <c r="AA296" s="167"/>
      <c r="AB296" s="167"/>
      <c r="AC296" s="167"/>
      <c r="AD296" s="167"/>
      <c r="AE296" s="167"/>
      <c r="AF296" s="167"/>
      <c r="AG296" s="167"/>
      <c r="AH296" s="167"/>
      <c r="AI296" s="167"/>
      <c r="AJ296" s="167"/>
      <c r="AK296" s="167"/>
      <c r="AL296" s="167"/>
      <c r="AM296" s="167"/>
      <c r="AN296" s="167"/>
      <c r="AO296" s="167"/>
      <c r="AP296" s="167"/>
      <c r="AQ296" s="167"/>
      <c r="AR296" s="167"/>
      <c r="AS296" s="167"/>
      <c r="AT296" s="167"/>
      <c r="AU296" s="167"/>
      <c r="AV296" s="167"/>
      <c r="AW296" s="167"/>
      <c r="AX296" s="167"/>
      <c r="AY296" s="167"/>
      <c r="AZ296" s="167"/>
      <c r="BA296" s="291"/>
    </row>
    <row r="297" spans="1:55" s="167" customFormat="1" ht="18" customHeight="1">
      <c r="A297" s="289"/>
      <c r="B297" s="289"/>
      <c r="C297" s="289"/>
      <c r="D297" s="289"/>
      <c r="E297" s="289"/>
      <c r="F297" s="261"/>
      <c r="G297" s="261"/>
      <c r="H297" s="261"/>
      <c r="I297" s="261"/>
      <c r="J297" s="261"/>
      <c r="AD297" s="265"/>
      <c r="AE297" s="265"/>
      <c r="AF297" s="265"/>
      <c r="AG297" s="265"/>
      <c r="AH297" s="265"/>
      <c r="AI297" s="265"/>
      <c r="AJ297" s="265"/>
      <c r="AK297" s="265"/>
      <c r="AL297" s="265"/>
      <c r="AN297" s="265"/>
      <c r="AO297" s="265"/>
      <c r="AP297" s="265"/>
      <c r="AQ297" s="265"/>
      <c r="AR297" s="265"/>
      <c r="AS297" s="265"/>
      <c r="AT297" s="265"/>
      <c r="AU297" s="265"/>
      <c r="AV297" s="265"/>
      <c r="AW297" s="265"/>
      <c r="AX297" s="265"/>
    </row>
    <row r="298" spans="1:55" s="167" customFormat="1" ht="18" customHeight="1">
      <c r="A298" s="169"/>
      <c r="B298" s="169"/>
      <c r="C298" s="169"/>
      <c r="D298" s="169"/>
      <c r="E298" s="169"/>
      <c r="F298" s="169"/>
      <c r="G298" s="169"/>
      <c r="H298" s="169"/>
      <c r="I298" s="169"/>
      <c r="J298" s="169"/>
    </row>
    <row r="299" spans="1:55" s="274" customFormat="1" ht="18" customHeight="1">
      <c r="A299" s="270">
        <f>A269+1</f>
        <v>10</v>
      </c>
      <c r="B299" s="271"/>
      <c r="C299" s="272" t="str">
        <f>IF($A$1 = 1, (IF("("&amp;C309&amp;")" ="()","","("&amp;C309&amp;")")), (IF("("&amp;C314&amp;")    ("&amp;C309&amp;")"="()    ()","","("&amp;C314&amp;")    ("&amp;C309&amp;")")))</f>
        <v>(306)    (405)</v>
      </c>
      <c r="D299" s="272" t="str">
        <f t="shared" ref="D299:J299" si="27">IF($A$1 = 1, (IF("("&amp;D309&amp;")" ="()","","("&amp;D309&amp;")")), (IF("("&amp;D314&amp;")    ("&amp;D309&amp;")"="()    ()","","("&amp;D314&amp;")    ("&amp;D309&amp;")")))</f>
        <v>(82)    (73)</v>
      </c>
      <c r="E299" s="272" t="str">
        <f t="shared" si="27"/>
        <v>(42)    (50)</v>
      </c>
      <c r="F299" s="272" t="str">
        <f t="shared" si="27"/>
        <v>(10)    (13)</v>
      </c>
      <c r="G299" s="272" t="str">
        <f t="shared" si="27"/>
        <v/>
      </c>
      <c r="H299" s="272" t="str">
        <f t="shared" si="27"/>
        <v/>
      </c>
      <c r="I299" s="272" t="str">
        <f t="shared" si="27"/>
        <v/>
      </c>
      <c r="J299" s="272" t="str">
        <f t="shared" si="27"/>
        <v/>
      </c>
      <c r="K299" s="273"/>
      <c r="L299" s="273"/>
      <c r="M299" s="273"/>
      <c r="N299" s="273"/>
      <c r="O299" s="273"/>
      <c r="P299" s="273"/>
      <c r="Q299" s="273"/>
      <c r="AI299" s="275"/>
      <c r="AJ299" s="275"/>
      <c r="AK299" s="275"/>
      <c r="AL299" s="275"/>
      <c r="AM299" s="275"/>
      <c r="AN299" s="275"/>
      <c r="AO299" s="275"/>
      <c r="AP299" s="275"/>
      <c r="AQ299" s="275"/>
      <c r="AR299" s="275"/>
      <c r="AS299" s="275"/>
      <c r="AT299" s="275"/>
      <c r="AU299" s="275"/>
      <c r="AV299" s="275"/>
      <c r="AW299" s="275"/>
      <c r="AX299" s="275"/>
      <c r="AY299" s="275"/>
      <c r="AZ299" s="275"/>
      <c r="BA299" s="275"/>
      <c r="BB299" s="275"/>
      <c r="BC299" s="275"/>
    </row>
    <row r="300" spans="1:55" s="280" customFormat="1" ht="59.1" customHeight="1">
      <c r="A300" s="276"/>
      <c r="B300" s="277"/>
      <c r="C300" s="278" t="s">
        <v>816</v>
      </c>
      <c r="D300" s="278" t="s">
        <v>817</v>
      </c>
      <c r="E300" s="278" t="s">
        <v>818</v>
      </c>
      <c r="F300" s="278" t="s">
        <v>819</v>
      </c>
      <c r="G300" s="278"/>
      <c r="H300" s="278"/>
      <c r="I300" s="278"/>
      <c r="J300" s="278"/>
      <c r="K300" s="279"/>
      <c r="L300" s="279"/>
      <c r="M300" s="279"/>
      <c r="N300" s="279"/>
      <c r="O300" s="279"/>
      <c r="P300" s="279"/>
      <c r="Q300" s="279"/>
      <c r="AI300" s="281"/>
      <c r="AJ300" s="281"/>
      <c r="AK300" s="281"/>
      <c r="AL300" s="281"/>
      <c r="AM300" s="281"/>
      <c r="AN300" s="281"/>
      <c r="AO300" s="281"/>
      <c r="AP300" s="281"/>
      <c r="AQ300" s="281"/>
      <c r="AS300" s="281"/>
      <c r="AT300" s="281"/>
      <c r="AU300" s="281"/>
      <c r="AV300" s="281"/>
      <c r="AW300" s="281"/>
      <c r="AX300" s="281"/>
      <c r="AY300" s="281"/>
      <c r="AZ300" s="281"/>
      <c r="BA300" s="281"/>
      <c r="BB300" s="281"/>
      <c r="BC300" s="281"/>
    </row>
    <row r="301" spans="1:55" s="167" customFormat="1" ht="21.95" customHeight="1">
      <c r="A301" s="266"/>
      <c r="B301" s="282" t="s">
        <v>3</v>
      </c>
      <c r="C301" s="283">
        <v>87</v>
      </c>
      <c r="D301" s="283">
        <v>75</v>
      </c>
      <c r="E301" s="283">
        <v>69</v>
      </c>
      <c r="F301" s="283">
        <v>47</v>
      </c>
      <c r="G301" s="283"/>
      <c r="H301" s="283"/>
      <c r="I301" s="283"/>
      <c r="J301" s="283"/>
      <c r="K301" s="284"/>
      <c r="L301" s="284"/>
      <c r="M301" s="284"/>
      <c r="N301" s="284"/>
      <c r="O301" s="284"/>
      <c r="P301" s="284"/>
      <c r="Q301" s="284"/>
      <c r="AI301" s="265"/>
      <c r="AJ301" s="265"/>
      <c r="AK301" s="265"/>
      <c r="AL301" s="265"/>
      <c r="AM301" s="265"/>
      <c r="AN301" s="265"/>
      <c r="AO301" s="265"/>
      <c r="AP301" s="265"/>
      <c r="AQ301" s="265"/>
      <c r="AS301" s="265"/>
      <c r="AT301" s="265"/>
      <c r="AU301" s="265"/>
      <c r="AV301" s="265"/>
      <c r="AW301" s="265"/>
      <c r="AX301" s="265"/>
      <c r="AY301" s="265"/>
      <c r="AZ301" s="265"/>
      <c r="BA301" s="265"/>
      <c r="BB301" s="265"/>
      <c r="BC301" s="265"/>
    </row>
    <row r="302" spans="1:55" s="167" customFormat="1" ht="21.95" customHeight="1">
      <c r="A302" s="266"/>
      <c r="B302" s="285" t="s">
        <v>18</v>
      </c>
      <c r="C302" s="283">
        <v>88</v>
      </c>
      <c r="D302" s="283">
        <v>79</v>
      </c>
      <c r="E302" s="283">
        <v>72</v>
      </c>
      <c r="F302" s="283">
        <v>51</v>
      </c>
      <c r="G302" s="283"/>
      <c r="H302" s="283"/>
      <c r="I302" s="283"/>
      <c r="J302" s="283"/>
      <c r="K302" s="286"/>
      <c r="L302" s="286"/>
      <c r="M302" s="286"/>
      <c r="N302" s="286"/>
      <c r="O302" s="286"/>
      <c r="P302" s="286"/>
      <c r="Q302" s="286"/>
      <c r="AI302" s="265"/>
      <c r="AJ302" s="265"/>
      <c r="AK302" s="265"/>
      <c r="AL302" s="265"/>
      <c r="AM302" s="265"/>
      <c r="AN302" s="265"/>
      <c r="AO302" s="265"/>
      <c r="AP302" s="265"/>
      <c r="AQ302" s="265"/>
      <c r="AS302" s="265"/>
      <c r="AT302" s="265"/>
      <c r="AU302" s="265"/>
      <c r="AV302" s="265"/>
      <c r="AW302" s="265"/>
      <c r="AX302" s="265"/>
      <c r="AY302" s="265"/>
      <c r="AZ302" s="265"/>
      <c r="BA302" s="265"/>
      <c r="BB302" s="265"/>
      <c r="BC302" s="265"/>
    </row>
    <row r="303" spans="1:55" s="167" customFormat="1" ht="21.95" customHeight="1">
      <c r="A303" s="169"/>
      <c r="B303" s="287" t="s">
        <v>32</v>
      </c>
      <c r="C303" s="283">
        <v>81</v>
      </c>
      <c r="D303" s="283">
        <v>74</v>
      </c>
      <c r="E303" s="283">
        <v>72</v>
      </c>
      <c r="F303" s="283">
        <v>52</v>
      </c>
      <c r="G303" s="283"/>
      <c r="H303" s="283"/>
      <c r="I303" s="283"/>
      <c r="J303" s="283"/>
      <c r="K303" s="286"/>
      <c r="L303" s="286"/>
      <c r="M303" s="286"/>
      <c r="N303" s="286"/>
      <c r="O303" s="286"/>
      <c r="P303" s="286"/>
      <c r="Q303" s="286"/>
      <c r="AI303" s="265"/>
      <c r="AJ303" s="265"/>
      <c r="AK303" s="265"/>
      <c r="AL303" s="265"/>
      <c r="AM303" s="265"/>
      <c r="AN303" s="265"/>
      <c r="AO303" s="265"/>
      <c r="AP303" s="265"/>
      <c r="AQ303" s="265"/>
      <c r="AS303" s="265"/>
      <c r="AT303" s="265"/>
      <c r="AU303" s="265"/>
      <c r="AV303" s="265"/>
      <c r="AW303" s="265"/>
      <c r="AX303" s="265"/>
      <c r="AY303" s="265"/>
      <c r="AZ303" s="265"/>
      <c r="BA303" s="265"/>
      <c r="BB303" s="265"/>
    </row>
    <row r="304" spans="1:55" s="167" customFormat="1" ht="21.95" customHeight="1">
      <c r="A304" s="169"/>
      <c r="B304" s="288" t="s">
        <v>45</v>
      </c>
      <c r="C304" s="283">
        <v>84</v>
      </c>
      <c r="D304" s="283">
        <v>76</v>
      </c>
      <c r="E304" s="283">
        <v>75</v>
      </c>
      <c r="F304" s="283">
        <v>63</v>
      </c>
      <c r="G304" s="283"/>
      <c r="H304" s="283"/>
      <c r="I304" s="283"/>
      <c r="J304" s="283"/>
      <c r="K304" s="286"/>
      <c r="L304" s="286"/>
      <c r="M304" s="286"/>
      <c r="N304" s="286"/>
      <c r="O304" s="286"/>
      <c r="P304" s="286"/>
      <c r="Q304" s="286"/>
      <c r="AI304" s="265"/>
      <c r="AJ304" s="265"/>
      <c r="AK304" s="265"/>
      <c r="AL304" s="265"/>
      <c r="AM304" s="265"/>
      <c r="AN304" s="265"/>
      <c r="AO304" s="265"/>
      <c r="AP304" s="265"/>
      <c r="AQ304" s="265"/>
      <c r="AS304" s="265"/>
      <c r="AT304" s="265"/>
      <c r="AU304" s="265"/>
      <c r="AV304" s="265"/>
      <c r="AW304" s="265"/>
      <c r="AX304" s="265"/>
      <c r="AY304" s="265"/>
      <c r="AZ304" s="265"/>
      <c r="BA304" s="265"/>
      <c r="BB304" s="265"/>
    </row>
    <row r="305" spans="1:250" s="167" customFormat="1" ht="21.95" customHeight="1">
      <c r="A305" s="169"/>
      <c r="B305" s="290" t="s">
        <v>54</v>
      </c>
      <c r="C305" s="283">
        <v>90</v>
      </c>
      <c r="D305" s="283">
        <v>83</v>
      </c>
      <c r="E305" s="283">
        <v>76</v>
      </c>
      <c r="F305" s="283">
        <v>60</v>
      </c>
      <c r="G305" s="283"/>
      <c r="H305" s="283"/>
      <c r="I305" s="283"/>
      <c r="J305" s="283"/>
      <c r="K305" s="286"/>
      <c r="L305" s="286"/>
      <c r="M305" s="286"/>
      <c r="N305" s="286"/>
      <c r="O305" s="286"/>
      <c r="P305" s="286"/>
      <c r="Q305" s="286"/>
      <c r="AI305" s="265"/>
      <c r="AJ305" s="265"/>
      <c r="AK305" s="265"/>
      <c r="AL305" s="265"/>
      <c r="AM305" s="265"/>
      <c r="AN305" s="265"/>
      <c r="AO305" s="265"/>
      <c r="AP305" s="265"/>
      <c r="AQ305" s="265"/>
      <c r="AS305" s="265"/>
      <c r="AT305" s="265"/>
      <c r="AU305" s="265"/>
      <c r="AV305" s="265"/>
      <c r="AW305" s="265"/>
      <c r="AX305" s="265"/>
      <c r="AY305" s="265"/>
      <c r="AZ305" s="265"/>
      <c r="BA305" s="265"/>
      <c r="BB305" s="265"/>
    </row>
    <row r="306" spans="1:250" s="167" customFormat="1">
      <c r="A306" s="169"/>
      <c r="B306" s="291" t="s">
        <v>66</v>
      </c>
      <c r="C306" s="286">
        <v>91</v>
      </c>
      <c r="D306" s="286">
        <v>89</v>
      </c>
      <c r="E306" s="286">
        <v>80</v>
      </c>
      <c r="F306" s="286">
        <v>69</v>
      </c>
      <c r="G306" s="286"/>
      <c r="H306" s="286"/>
      <c r="I306" s="286"/>
      <c r="J306" s="286"/>
      <c r="K306" s="286"/>
      <c r="L306" s="286"/>
      <c r="M306" s="286"/>
      <c r="N306" s="286"/>
      <c r="O306" s="286"/>
      <c r="P306" s="286"/>
      <c r="Q306" s="286"/>
      <c r="AI306" s="265"/>
      <c r="AJ306" s="265"/>
      <c r="AK306" s="265"/>
      <c r="AL306" s="265"/>
      <c r="AM306" s="265"/>
      <c r="AN306" s="265"/>
      <c r="AO306" s="265"/>
      <c r="AP306" s="265"/>
      <c r="AQ306" s="265"/>
      <c r="AS306" s="265"/>
      <c r="AT306" s="265"/>
      <c r="AU306" s="265"/>
      <c r="AV306" s="265"/>
      <c r="AW306" s="265"/>
      <c r="AX306" s="265"/>
      <c r="AY306" s="265"/>
      <c r="AZ306" s="265"/>
      <c r="BA306" s="265"/>
      <c r="BB306" s="265"/>
    </row>
    <row r="307" spans="1:250" s="167" customFormat="1">
      <c r="A307" s="169"/>
      <c r="B307" s="291" t="s">
        <v>158</v>
      </c>
      <c r="C307" s="292">
        <v>86</v>
      </c>
      <c r="D307" s="292">
        <v>77</v>
      </c>
      <c r="E307" s="292">
        <v>73</v>
      </c>
      <c r="F307" s="292">
        <v>54</v>
      </c>
      <c r="G307" s="292"/>
      <c r="H307" s="292"/>
      <c r="I307" s="292"/>
      <c r="J307" s="292"/>
      <c r="K307" s="292"/>
      <c r="L307" s="292"/>
      <c r="M307" s="292"/>
      <c r="N307" s="292"/>
      <c r="O307" s="292"/>
      <c r="P307" s="292"/>
      <c r="Q307" s="292"/>
      <c r="AI307" s="265"/>
      <c r="AJ307" s="265"/>
      <c r="AK307" s="265"/>
      <c r="AL307" s="265"/>
      <c r="AM307" s="265"/>
      <c r="AN307" s="265"/>
      <c r="AO307" s="265"/>
      <c r="AP307" s="265"/>
      <c r="AQ307" s="265"/>
      <c r="AS307" s="265"/>
      <c r="AT307" s="265"/>
      <c r="AU307" s="265"/>
      <c r="AV307" s="265"/>
      <c r="AW307" s="265"/>
      <c r="AX307" s="265"/>
      <c r="AY307" s="265"/>
      <c r="AZ307" s="265"/>
      <c r="BA307" s="265"/>
      <c r="BB307" s="265"/>
    </row>
    <row r="308" spans="1:250" s="167" customFormat="1">
      <c r="A308" s="169"/>
      <c r="B308" s="291" t="s">
        <v>189</v>
      </c>
      <c r="C308" s="292">
        <v>83</v>
      </c>
      <c r="D308" s="292">
        <v>83</v>
      </c>
      <c r="E308" s="292">
        <v>83</v>
      </c>
      <c r="F308" s="292">
        <v>83</v>
      </c>
      <c r="G308" s="292"/>
      <c r="H308" s="292"/>
      <c r="I308" s="292"/>
      <c r="J308" s="292"/>
      <c r="K308" s="292"/>
      <c r="L308" s="292"/>
      <c r="M308" s="292"/>
      <c r="N308" s="292"/>
      <c r="O308" s="292"/>
      <c r="P308" s="292"/>
      <c r="Q308" s="292"/>
      <c r="AI308" s="293"/>
      <c r="AJ308" s="293"/>
      <c r="AK308" s="293"/>
      <c r="AL308" s="293"/>
      <c r="AM308" s="293"/>
      <c r="AN308" s="265"/>
      <c r="AO308" s="265"/>
      <c r="AP308" s="265"/>
      <c r="AQ308" s="265"/>
      <c r="AS308" s="265"/>
      <c r="AT308" s="265"/>
      <c r="AU308" s="265"/>
      <c r="AV308" s="265"/>
      <c r="AW308" s="265"/>
      <c r="AX308" s="265"/>
      <c r="AY308" s="265"/>
      <c r="AZ308" s="265"/>
      <c r="BA308" s="265"/>
      <c r="BB308" s="265"/>
    </row>
    <row r="309" spans="1:250" s="167" customFormat="1" ht="15" thickBot="1">
      <c r="A309" s="169"/>
      <c r="B309" s="291" t="s">
        <v>345</v>
      </c>
      <c r="C309" s="292">
        <v>405</v>
      </c>
      <c r="D309" s="292">
        <v>73</v>
      </c>
      <c r="E309" s="292">
        <v>50</v>
      </c>
      <c r="F309" s="292">
        <v>13</v>
      </c>
      <c r="G309" s="292"/>
      <c r="H309" s="292"/>
      <c r="I309" s="292"/>
      <c r="J309" s="292"/>
      <c r="K309" s="292"/>
      <c r="L309" s="292"/>
      <c r="M309" s="292"/>
      <c r="N309" s="292"/>
      <c r="O309" s="292"/>
      <c r="P309" s="292"/>
      <c r="Q309" s="292"/>
      <c r="AI309" s="265"/>
      <c r="AJ309" s="265"/>
      <c r="AK309" s="265"/>
      <c r="AL309" s="265"/>
      <c r="AM309" s="265"/>
      <c r="AN309" s="265"/>
      <c r="AO309" s="265"/>
      <c r="AP309" s="265"/>
      <c r="AQ309" s="265"/>
      <c r="AS309" s="265"/>
      <c r="AT309" s="265"/>
      <c r="AU309" s="265"/>
      <c r="AV309" s="265"/>
      <c r="AW309" s="265"/>
      <c r="AX309" s="265"/>
      <c r="AY309" s="265"/>
      <c r="AZ309" s="265"/>
      <c r="BA309" s="265"/>
      <c r="BB309" s="265"/>
    </row>
    <row r="310" spans="1:250" s="167" customFormat="1">
      <c r="A310" s="266"/>
      <c r="B310" s="294" t="s">
        <v>166</v>
      </c>
      <c r="C310" s="295">
        <f>IF(OR(C313="**",C313=""),"",VALUE(C313))</f>
        <v>82</v>
      </c>
      <c r="D310" s="295">
        <f t="shared" ref="D310:J310" si="28">IF(OR(D313="**",D313=""),"",VALUE(D313))</f>
        <v>74</v>
      </c>
      <c r="E310" s="295">
        <f t="shared" si="28"/>
        <v>62</v>
      </c>
      <c r="F310" s="295">
        <f t="shared" si="28"/>
        <v>58</v>
      </c>
      <c r="G310" s="295" t="str">
        <f t="shared" si="28"/>
        <v/>
      </c>
      <c r="H310" s="295" t="str">
        <f t="shared" si="28"/>
        <v/>
      </c>
      <c r="I310" s="295" t="str">
        <f t="shared" si="28"/>
        <v/>
      </c>
      <c r="J310" s="295" t="str">
        <f t="shared" si="28"/>
        <v/>
      </c>
      <c r="K310" s="183"/>
      <c r="L310" s="183"/>
      <c r="M310" s="183"/>
      <c r="N310" s="183"/>
      <c r="O310" s="183"/>
      <c r="P310" s="183"/>
      <c r="Q310" s="183"/>
      <c r="AI310" s="265"/>
      <c r="AJ310" s="265"/>
      <c r="AK310" s="265"/>
      <c r="AL310" s="265"/>
      <c r="AM310" s="265"/>
      <c r="AN310" s="265"/>
      <c r="AO310" s="265"/>
      <c r="AP310" s="265"/>
      <c r="AQ310" s="265"/>
      <c r="AS310" s="265"/>
      <c r="AT310" s="265"/>
      <c r="AU310" s="265"/>
      <c r="AV310" s="265"/>
      <c r="AW310" s="265"/>
      <c r="AX310" s="265"/>
      <c r="AY310" s="265"/>
      <c r="AZ310" s="265"/>
      <c r="BA310" s="265"/>
      <c r="BB310" s="265"/>
    </row>
    <row r="311" spans="1:250" s="167" customFormat="1" ht="15" thickBot="1">
      <c r="A311" s="266"/>
      <c r="B311" s="296" t="s">
        <v>165</v>
      </c>
      <c r="C311" s="297">
        <f t="shared" ref="C311:J311" si="29">IF(OR(C307="**",C307=""),"",VALUE(C307))</f>
        <v>86</v>
      </c>
      <c r="D311" s="297">
        <f t="shared" si="29"/>
        <v>77</v>
      </c>
      <c r="E311" s="297">
        <f t="shared" si="29"/>
        <v>73</v>
      </c>
      <c r="F311" s="297">
        <f t="shared" si="29"/>
        <v>54</v>
      </c>
      <c r="G311" s="297" t="str">
        <f t="shared" si="29"/>
        <v/>
      </c>
      <c r="H311" s="297" t="str">
        <f t="shared" si="29"/>
        <v/>
      </c>
      <c r="I311" s="297" t="str">
        <f t="shared" si="29"/>
        <v/>
      </c>
      <c r="J311" s="297" t="str">
        <f t="shared" si="29"/>
        <v/>
      </c>
      <c r="K311" s="260"/>
      <c r="L311" s="260"/>
      <c r="M311" s="260"/>
      <c r="N311" s="260"/>
      <c r="O311" s="260"/>
      <c r="P311" s="260"/>
      <c r="Q311" s="260"/>
      <c r="AI311" s="260"/>
      <c r="AJ311" s="260"/>
      <c r="AK311" s="260"/>
      <c r="AL311" s="260"/>
      <c r="AM311" s="260"/>
      <c r="AN311" s="260"/>
      <c r="AO311" s="260"/>
      <c r="AP311" s="260"/>
      <c r="AQ311" s="265"/>
      <c r="AR311" s="265"/>
      <c r="AS311" s="265"/>
      <c r="AT311" s="265"/>
      <c r="AU311" s="265"/>
      <c r="AV311" s="265"/>
      <c r="AW311" s="265"/>
      <c r="AX311" s="265"/>
      <c r="AY311" s="265"/>
      <c r="AZ311" s="265"/>
      <c r="BA311" s="265"/>
      <c r="BB311" s="265"/>
    </row>
    <row r="312" spans="1:250" s="167" customFormat="1">
      <c r="A312" s="169"/>
      <c r="B312" s="298" t="s">
        <v>385</v>
      </c>
      <c r="C312" s="292" t="s">
        <v>816</v>
      </c>
      <c r="D312" s="292" t="s">
        <v>817</v>
      </c>
      <c r="E312" s="292" t="s">
        <v>818</v>
      </c>
      <c r="F312" s="292" t="s">
        <v>819</v>
      </c>
      <c r="G312" s="292"/>
      <c r="H312" s="292"/>
      <c r="I312" s="292"/>
      <c r="J312" s="292"/>
      <c r="K312" s="264"/>
      <c r="L312" s="264"/>
      <c r="M312" s="264"/>
      <c r="N312" s="264"/>
      <c r="O312" s="264"/>
      <c r="P312" s="264"/>
      <c r="Q312" s="264"/>
      <c r="AI312" s="265"/>
      <c r="AJ312" s="265"/>
      <c r="AK312" s="265"/>
      <c r="AL312" s="265"/>
      <c r="AM312" s="265"/>
      <c r="AN312" s="265"/>
      <c r="AO312" s="265"/>
      <c r="AP312" s="265"/>
      <c r="AQ312" s="265"/>
      <c r="AR312" s="265"/>
      <c r="AS312" s="265"/>
      <c r="AT312" s="265"/>
      <c r="AU312" s="265"/>
      <c r="AV312" s="265"/>
      <c r="AW312" s="265"/>
      <c r="AX312" s="265"/>
      <c r="AY312" s="265"/>
      <c r="AZ312" s="265"/>
      <c r="BA312" s="265"/>
      <c r="BB312" s="265"/>
    </row>
    <row r="313" spans="1:250" s="167" customFormat="1">
      <c r="A313" s="169"/>
      <c r="B313" s="291" t="s">
        <v>158</v>
      </c>
      <c r="C313" s="292">
        <v>82</v>
      </c>
      <c r="D313" s="292">
        <v>74</v>
      </c>
      <c r="E313" s="292">
        <v>62</v>
      </c>
      <c r="F313" s="292">
        <v>58</v>
      </c>
      <c r="G313" s="292"/>
      <c r="H313" s="292"/>
      <c r="I313" s="292"/>
      <c r="J313" s="292"/>
      <c r="K313" s="264"/>
      <c r="L313" s="264"/>
      <c r="M313" s="264"/>
      <c r="N313" s="264"/>
      <c r="O313" s="264"/>
      <c r="P313" s="264"/>
      <c r="Q313" s="264"/>
      <c r="AI313" s="265"/>
      <c r="AJ313" s="265"/>
      <c r="AK313" s="265"/>
      <c r="AL313" s="265"/>
      <c r="AM313" s="265"/>
      <c r="AN313" s="265"/>
      <c r="AO313" s="265"/>
      <c r="AP313" s="265"/>
      <c r="AQ313" s="265"/>
      <c r="AR313" s="265"/>
      <c r="AS313" s="265"/>
      <c r="AT313" s="265"/>
      <c r="AU313" s="265"/>
      <c r="AV313" s="265"/>
      <c r="AW313" s="265"/>
      <c r="AX313" s="265"/>
      <c r="AY313" s="265"/>
      <c r="AZ313" s="265"/>
      <c r="BA313" s="265"/>
      <c r="BB313" s="265"/>
    </row>
    <row r="314" spans="1:250" s="167" customFormat="1">
      <c r="A314" s="169"/>
      <c r="B314" s="298" t="s">
        <v>345</v>
      </c>
      <c r="C314" s="292">
        <v>306</v>
      </c>
      <c r="D314" s="292">
        <v>82</v>
      </c>
      <c r="E314" s="292">
        <v>42</v>
      </c>
      <c r="F314" s="292">
        <v>10</v>
      </c>
      <c r="G314" s="292"/>
      <c r="H314" s="292"/>
      <c r="I314" s="292"/>
      <c r="J314" s="292"/>
      <c r="K314" s="260"/>
      <c r="L314" s="260"/>
      <c r="M314" s="260"/>
      <c r="N314" s="260"/>
      <c r="O314" s="260"/>
      <c r="P314" s="260"/>
      <c r="Q314" s="260"/>
      <c r="AK314" s="265"/>
      <c r="AL314" s="265"/>
      <c r="AM314" s="265"/>
      <c r="AN314" s="265"/>
      <c r="AO314" s="265"/>
      <c r="AP314" s="265"/>
      <c r="AQ314" s="265"/>
      <c r="AR314" s="265"/>
      <c r="AS314" s="265"/>
      <c r="AT314" s="265"/>
      <c r="AU314" s="265"/>
      <c r="AV314" s="265"/>
      <c r="AW314" s="265"/>
      <c r="AX314" s="265"/>
      <c r="AY314" s="265"/>
      <c r="AZ314" s="265"/>
      <c r="BA314" s="265"/>
      <c r="BB314" s="265"/>
      <c r="BC314" s="265"/>
      <c r="BD314" s="265"/>
      <c r="BE314" s="265"/>
    </row>
    <row r="315" spans="1:250" s="167" customFormat="1">
      <c r="A315" s="169"/>
      <c r="B315" s="169"/>
      <c r="C315" s="271"/>
      <c r="D315" s="258"/>
      <c r="E315" s="258"/>
      <c r="F315" s="258"/>
      <c r="G315" s="258"/>
      <c r="H315" s="258"/>
      <c r="I315" s="258"/>
      <c r="J315" s="258"/>
      <c r="K315" s="260"/>
      <c r="L315" s="260"/>
      <c r="M315" s="260"/>
      <c r="N315" s="260"/>
      <c r="O315" s="260"/>
      <c r="P315" s="260"/>
      <c r="Q315" s="260"/>
      <c r="AJ315" s="265"/>
      <c r="AK315" s="265"/>
      <c r="AL315" s="265"/>
      <c r="AM315" s="265"/>
      <c r="AN315" s="265"/>
      <c r="AO315" s="265"/>
      <c r="AP315" s="265"/>
      <c r="AQ315" s="265"/>
      <c r="AR315" s="265"/>
      <c r="AS315" s="265"/>
      <c r="AT315" s="265"/>
      <c r="AU315" s="265"/>
      <c r="AV315" s="265"/>
      <c r="AW315" s="265"/>
      <c r="AX315" s="265"/>
      <c r="AY315" s="265"/>
      <c r="AZ315" s="265"/>
      <c r="BA315" s="265"/>
      <c r="BB315" s="265"/>
      <c r="BC315" s="265"/>
      <c r="BD315" s="265"/>
    </row>
    <row r="316" spans="1:250" s="264" customFormat="1">
      <c r="A316" s="169"/>
      <c r="B316" s="266"/>
      <c r="C316" s="271"/>
      <c r="D316" s="258"/>
      <c r="E316" s="258"/>
      <c r="F316" s="258"/>
      <c r="G316" s="258"/>
      <c r="H316" s="258"/>
      <c r="I316" s="258"/>
      <c r="J316" s="258"/>
      <c r="K316" s="260"/>
      <c r="L316" s="260"/>
      <c r="M316" s="260"/>
      <c r="N316" s="260"/>
      <c r="O316" s="260"/>
      <c r="P316" s="260"/>
      <c r="Q316" s="260"/>
      <c r="R316" s="167"/>
      <c r="S316" s="167"/>
      <c r="T316" s="167"/>
      <c r="U316" s="167"/>
      <c r="V316" s="167"/>
      <c r="W316" s="167"/>
      <c r="X316" s="167"/>
      <c r="Y316" s="167"/>
      <c r="Z316" s="167"/>
      <c r="AA316" s="167"/>
      <c r="AB316" s="167"/>
      <c r="AC316" s="167"/>
      <c r="AD316" s="167"/>
      <c r="AE316" s="167"/>
      <c r="AF316" s="167"/>
      <c r="AG316" s="167"/>
      <c r="AH316" s="167"/>
      <c r="AI316" s="167"/>
      <c r="AJ316" s="265"/>
      <c r="AK316" s="265"/>
      <c r="AL316" s="265"/>
      <c r="AM316" s="265"/>
      <c r="AN316" s="265"/>
      <c r="AO316" s="265"/>
      <c r="AP316" s="265"/>
      <c r="AQ316" s="265"/>
      <c r="AR316" s="265"/>
      <c r="AS316" s="265"/>
      <c r="AT316" s="265"/>
      <c r="AU316" s="265"/>
      <c r="AV316" s="265"/>
      <c r="AW316" s="265"/>
      <c r="AX316" s="265"/>
      <c r="AY316" s="265"/>
      <c r="AZ316" s="265"/>
      <c r="BA316" s="265"/>
      <c r="BB316" s="265"/>
      <c r="BC316" s="265"/>
      <c r="BD316" s="265"/>
      <c r="BE316" s="167"/>
      <c r="BF316" s="301"/>
      <c r="BG316" s="303"/>
      <c r="BH316" s="260"/>
      <c r="BI316" s="260"/>
      <c r="BJ316" s="260"/>
      <c r="BK316" s="260"/>
      <c r="BL316" s="260"/>
      <c r="BR316" s="167"/>
      <c r="BS316" s="167"/>
      <c r="BT316" s="167"/>
      <c r="BU316" s="167"/>
      <c r="BV316" s="167"/>
      <c r="BW316" s="167"/>
      <c r="BX316" s="167"/>
      <c r="BY316" s="167"/>
      <c r="BZ316" s="167"/>
      <c r="CA316" s="167"/>
      <c r="CB316" s="167"/>
      <c r="CC316" s="167"/>
      <c r="CD316" s="167"/>
      <c r="CE316" s="167"/>
      <c r="CF316" s="167"/>
      <c r="CG316" s="167"/>
      <c r="CH316" s="167"/>
      <c r="CI316" s="167"/>
      <c r="CJ316" s="167"/>
      <c r="CK316" s="167"/>
      <c r="CL316" s="167"/>
      <c r="CM316" s="167"/>
      <c r="CN316" s="167"/>
      <c r="CO316" s="167"/>
      <c r="CP316" s="167"/>
      <c r="CQ316" s="167"/>
      <c r="CR316" s="167"/>
      <c r="CS316" s="167"/>
      <c r="CT316" s="265"/>
      <c r="CU316" s="265"/>
      <c r="CV316" s="265"/>
      <c r="CW316" s="265"/>
      <c r="CX316" s="265"/>
      <c r="CY316" s="265"/>
      <c r="CZ316" s="265"/>
      <c r="DA316" s="265"/>
      <c r="DB316" s="265"/>
      <c r="DC316" s="265"/>
      <c r="DD316" s="265"/>
      <c r="DE316" s="265"/>
      <c r="DF316" s="265"/>
      <c r="DG316" s="265"/>
      <c r="DH316" s="265"/>
      <c r="DI316" s="265"/>
      <c r="DJ316" s="265"/>
      <c r="DK316" s="265"/>
      <c r="DL316" s="265"/>
      <c r="DM316" s="265"/>
      <c r="DN316" s="265"/>
      <c r="DO316" s="167"/>
      <c r="DP316" s="301"/>
      <c r="DQ316" s="303"/>
      <c r="DR316" s="260"/>
      <c r="DS316" s="260"/>
      <c r="DT316" s="260"/>
      <c r="DU316" s="260"/>
      <c r="DV316" s="260"/>
      <c r="EB316" s="167"/>
      <c r="EC316" s="167"/>
      <c r="ED316" s="167"/>
      <c r="EE316" s="167"/>
      <c r="EF316" s="167"/>
      <c r="EG316" s="167"/>
      <c r="EH316" s="167"/>
      <c r="EI316" s="167"/>
      <c r="EJ316" s="167"/>
      <c r="EK316" s="167"/>
      <c r="EL316" s="167"/>
      <c r="EM316" s="167"/>
      <c r="EN316" s="167"/>
      <c r="EO316" s="167"/>
      <c r="EP316" s="167"/>
      <c r="EQ316" s="167"/>
      <c r="ER316" s="167"/>
      <c r="ES316" s="167"/>
      <c r="ET316" s="167"/>
      <c r="EU316" s="167"/>
      <c r="EV316" s="167"/>
      <c r="EW316" s="167"/>
      <c r="EX316" s="167"/>
      <c r="EY316" s="167"/>
      <c r="EZ316" s="167"/>
      <c r="FA316" s="167"/>
      <c r="FB316" s="167"/>
      <c r="FC316" s="167"/>
      <c r="FD316" s="265"/>
      <c r="FE316" s="265"/>
      <c r="FF316" s="265"/>
      <c r="FG316" s="265"/>
      <c r="FH316" s="265"/>
      <c r="FI316" s="265"/>
      <c r="FJ316" s="265"/>
      <c r="FK316" s="265"/>
      <c r="FL316" s="265"/>
      <c r="FM316" s="265"/>
      <c r="FN316" s="265"/>
      <c r="FO316" s="265"/>
      <c r="FP316" s="265"/>
      <c r="FQ316" s="265"/>
      <c r="FR316" s="265"/>
      <c r="FS316" s="265"/>
      <c r="FT316" s="265"/>
      <c r="FU316" s="265"/>
      <c r="FV316" s="265"/>
      <c r="FW316" s="265"/>
      <c r="FX316" s="265"/>
      <c r="FY316" s="167"/>
      <c r="FZ316" s="301"/>
      <c r="GA316" s="303"/>
      <c r="GB316" s="260"/>
      <c r="GC316" s="260"/>
      <c r="GD316" s="260"/>
      <c r="GE316" s="260"/>
      <c r="GF316" s="260"/>
      <c r="GL316" s="167"/>
      <c r="GM316" s="167"/>
      <c r="GN316" s="167"/>
      <c r="GO316" s="167"/>
      <c r="GP316" s="167"/>
      <c r="GQ316" s="167"/>
      <c r="GR316" s="167"/>
      <c r="GS316" s="167"/>
      <c r="GT316" s="167"/>
      <c r="GU316" s="167"/>
      <c r="GV316" s="167"/>
      <c r="GW316" s="167"/>
      <c r="GX316" s="167"/>
      <c r="GY316" s="167"/>
      <c r="GZ316" s="167"/>
      <c r="HA316" s="167"/>
      <c r="HB316" s="167"/>
      <c r="HC316" s="167"/>
      <c r="HD316" s="167"/>
      <c r="HE316" s="167"/>
      <c r="HF316" s="167"/>
      <c r="HG316" s="167"/>
      <c r="HH316" s="167"/>
      <c r="HI316" s="167"/>
      <c r="HJ316" s="167"/>
      <c r="HK316" s="167"/>
      <c r="HL316" s="167"/>
      <c r="HM316" s="167"/>
      <c r="HN316" s="265"/>
      <c r="HO316" s="265"/>
      <c r="HP316" s="265"/>
      <c r="HQ316" s="265"/>
      <c r="HR316" s="265"/>
      <c r="HS316" s="265"/>
      <c r="HT316" s="265"/>
      <c r="HU316" s="265"/>
      <c r="HV316" s="265"/>
      <c r="HW316" s="265"/>
      <c r="HX316" s="265"/>
      <c r="HY316" s="265"/>
      <c r="HZ316" s="265"/>
      <c r="IA316" s="265"/>
      <c r="IB316" s="265"/>
      <c r="IC316" s="265"/>
      <c r="ID316" s="265"/>
      <c r="IE316" s="265"/>
      <c r="IF316" s="265"/>
      <c r="IG316" s="265"/>
      <c r="IH316" s="265"/>
      <c r="II316" s="167"/>
      <c r="IJ316" s="301"/>
      <c r="IK316" s="303"/>
      <c r="IL316" s="260"/>
      <c r="IM316" s="260"/>
      <c r="IN316" s="260"/>
      <c r="IO316" s="260"/>
      <c r="IP316" s="260"/>
    </row>
    <row r="317" spans="1:250" s="167" customFormat="1">
      <c r="A317" s="261"/>
      <c r="B317" s="261"/>
      <c r="C317" s="261"/>
      <c r="D317" s="261"/>
      <c r="E317" s="169"/>
      <c r="F317" s="169"/>
      <c r="G317" s="169"/>
      <c r="H317" s="169"/>
      <c r="I317" s="169"/>
      <c r="J317" s="169"/>
      <c r="AA317" s="265"/>
      <c r="AB317" s="265"/>
      <c r="AC317" s="265"/>
      <c r="AD317" s="265"/>
      <c r="AE317" s="265"/>
      <c r="AF317" s="265"/>
      <c r="AG317" s="265"/>
      <c r="AH317" s="265"/>
      <c r="AI317" s="265"/>
      <c r="AJ317" s="265"/>
      <c r="AK317" s="265"/>
      <c r="AL317" s="265"/>
      <c r="AM317" s="265"/>
      <c r="AN317" s="265"/>
      <c r="AO317" s="265"/>
      <c r="AP317" s="265"/>
      <c r="AQ317" s="265"/>
      <c r="AR317" s="265"/>
      <c r="AS317" s="265"/>
      <c r="AT317" s="265"/>
      <c r="AU317" s="265"/>
      <c r="AW317" s="301"/>
      <c r="AX317" s="303"/>
      <c r="AY317" s="260"/>
      <c r="AZ317" s="260"/>
      <c r="BA317" s="260"/>
      <c r="BB317" s="260"/>
      <c r="BC317" s="260"/>
      <c r="BD317" s="264"/>
      <c r="BE317" s="264"/>
      <c r="BF317" s="264"/>
      <c r="BG317" s="264"/>
      <c r="BH317" s="264"/>
      <c r="CK317" s="265"/>
      <c r="CL317" s="265"/>
      <c r="CM317" s="265"/>
      <c r="CN317" s="265"/>
      <c r="CO317" s="265"/>
      <c r="CP317" s="265"/>
      <c r="CQ317" s="265"/>
      <c r="CR317" s="265"/>
      <c r="CS317" s="265"/>
      <c r="CT317" s="265"/>
      <c r="CU317" s="265"/>
      <c r="CV317" s="265"/>
      <c r="CW317" s="265"/>
      <c r="CX317" s="265"/>
      <c r="CY317" s="265"/>
      <c r="CZ317" s="265"/>
      <c r="DA317" s="265"/>
      <c r="DB317" s="265"/>
      <c r="DC317" s="265"/>
      <c r="DD317" s="265"/>
      <c r="DE317" s="265"/>
      <c r="DG317" s="301"/>
      <c r="DH317" s="303"/>
      <c r="DI317" s="260"/>
      <c r="DJ317" s="260"/>
      <c r="DK317" s="260"/>
      <c r="DL317" s="260"/>
      <c r="DM317" s="260"/>
      <c r="DN317" s="264"/>
      <c r="DO317" s="264"/>
      <c r="DP317" s="264"/>
      <c r="DQ317" s="264"/>
      <c r="DR317" s="264"/>
      <c r="EU317" s="265"/>
      <c r="EV317" s="265"/>
      <c r="EW317" s="265"/>
      <c r="EX317" s="265"/>
      <c r="EY317" s="265"/>
      <c r="EZ317" s="265"/>
      <c r="FA317" s="265"/>
      <c r="FB317" s="265"/>
      <c r="FC317" s="265"/>
      <c r="FD317" s="265"/>
      <c r="FE317" s="265"/>
      <c r="FF317" s="265"/>
      <c r="FG317" s="265"/>
      <c r="FH317" s="265"/>
      <c r="FI317" s="265"/>
      <c r="FJ317" s="265"/>
      <c r="FK317" s="265"/>
      <c r="FL317" s="265"/>
      <c r="FM317" s="265"/>
      <c r="FN317" s="265"/>
      <c r="FO317" s="265"/>
      <c r="FQ317" s="301"/>
      <c r="FR317" s="303"/>
      <c r="FS317" s="260"/>
      <c r="FT317" s="260"/>
      <c r="FU317" s="260"/>
      <c r="FV317" s="260"/>
      <c r="FW317" s="260"/>
      <c r="FX317" s="264"/>
      <c r="FY317" s="264"/>
      <c r="FZ317" s="264"/>
      <c r="GA317" s="264"/>
      <c r="GB317" s="264"/>
      <c r="HE317" s="265"/>
      <c r="HF317" s="265"/>
      <c r="HG317" s="265"/>
      <c r="HH317" s="265"/>
      <c r="HI317" s="265"/>
      <c r="HJ317" s="265"/>
      <c r="HK317" s="265"/>
      <c r="HL317" s="265"/>
      <c r="HM317" s="265"/>
      <c r="HN317" s="265"/>
      <c r="HO317" s="265"/>
      <c r="HP317" s="265"/>
      <c r="HQ317" s="265"/>
      <c r="HR317" s="265"/>
      <c r="HS317" s="265"/>
      <c r="HT317" s="265"/>
      <c r="HU317" s="265"/>
      <c r="HV317" s="265"/>
      <c r="HW317" s="265"/>
      <c r="HX317" s="265"/>
      <c r="HY317" s="265"/>
      <c r="IA317" s="301"/>
      <c r="IB317" s="303"/>
      <c r="IC317" s="260"/>
      <c r="ID317" s="260"/>
      <c r="IE317" s="260"/>
      <c r="IF317" s="260"/>
      <c r="IG317" s="260"/>
      <c r="IH317" s="264"/>
      <c r="II317" s="264"/>
      <c r="IJ317" s="264"/>
      <c r="IK317" s="264"/>
      <c r="IL317" s="264"/>
    </row>
    <row r="318" spans="1:250" s="274" customFormat="1" ht="18" customHeight="1">
      <c r="A318" s="169"/>
      <c r="B318" s="169"/>
      <c r="C318" s="169"/>
      <c r="D318" s="169"/>
      <c r="E318" s="169"/>
      <c r="F318" s="169"/>
      <c r="G318" s="169"/>
      <c r="H318" s="169"/>
      <c r="I318" s="169"/>
      <c r="J318" s="169"/>
      <c r="K318" s="167"/>
      <c r="L318" s="167"/>
      <c r="M318" s="167"/>
      <c r="N318" s="167"/>
      <c r="O318" s="167"/>
      <c r="P318" s="167"/>
      <c r="Q318" s="167"/>
      <c r="R318" s="265"/>
      <c r="S318" s="265"/>
      <c r="T318" s="265"/>
      <c r="U318" s="265"/>
      <c r="V318" s="265"/>
      <c r="W318" s="265"/>
      <c r="X318" s="265"/>
      <c r="Y318" s="265"/>
      <c r="Z318" s="265"/>
      <c r="AA318" s="265"/>
      <c r="AB318" s="265"/>
      <c r="AC318" s="265"/>
      <c r="AD318" s="265"/>
      <c r="AE318" s="265"/>
      <c r="AF318" s="265"/>
      <c r="AG318" s="265"/>
      <c r="AH318" s="265"/>
      <c r="AI318" s="265"/>
      <c r="AJ318" s="265"/>
      <c r="AK318" s="265"/>
      <c r="AL318" s="265"/>
      <c r="AM318" s="167"/>
      <c r="AN318" s="301"/>
      <c r="AO318" s="303"/>
      <c r="AP318" s="260"/>
      <c r="AQ318" s="260"/>
      <c r="AR318" s="260"/>
      <c r="AS318" s="260"/>
      <c r="AT318" s="260"/>
      <c r="AU318" s="264"/>
      <c r="AV318" s="264"/>
      <c r="AW318" s="264"/>
      <c r="AX318" s="264"/>
      <c r="AY318" s="264"/>
      <c r="AZ318" s="167"/>
      <c r="BA318" s="167"/>
      <c r="BB318" s="167"/>
      <c r="BC318" s="167"/>
      <c r="BD318" s="167"/>
      <c r="BE318" s="167"/>
      <c r="BF318" s="167"/>
      <c r="BG318" s="167"/>
      <c r="BH318" s="167"/>
      <c r="BI318" s="167"/>
      <c r="BJ318" s="167"/>
      <c r="BK318" s="167"/>
      <c r="BL318" s="167"/>
      <c r="BM318" s="167"/>
      <c r="BN318" s="167"/>
      <c r="BO318" s="167"/>
      <c r="BP318" s="167"/>
      <c r="BQ318" s="167"/>
      <c r="BR318" s="167"/>
      <c r="BS318" s="167"/>
      <c r="BT318" s="167"/>
      <c r="BU318" s="167"/>
      <c r="BV318" s="167"/>
      <c r="BW318" s="167"/>
      <c r="BX318" s="167"/>
      <c r="BY318" s="167"/>
      <c r="BZ318" s="167"/>
      <c r="CA318" s="167"/>
      <c r="CB318" s="265"/>
      <c r="CC318" s="265"/>
      <c r="CD318" s="265"/>
      <c r="CE318" s="265"/>
      <c r="CF318" s="265"/>
      <c r="CG318" s="265"/>
      <c r="CH318" s="265"/>
      <c r="CI318" s="265"/>
      <c r="CJ318" s="265"/>
      <c r="CK318" s="265"/>
      <c r="CL318" s="265"/>
      <c r="CM318" s="265"/>
      <c r="CN318" s="265"/>
      <c r="CO318" s="265"/>
      <c r="CP318" s="265"/>
      <c r="CQ318" s="265"/>
      <c r="CR318" s="265"/>
      <c r="CS318" s="265"/>
      <c r="CT318" s="265"/>
      <c r="CU318" s="265"/>
      <c r="CV318" s="265"/>
      <c r="CW318" s="167"/>
      <c r="CX318" s="301"/>
      <c r="CY318" s="303"/>
      <c r="CZ318" s="260"/>
      <c r="DA318" s="260"/>
      <c r="DB318" s="260"/>
      <c r="DC318" s="260"/>
      <c r="DD318" s="260"/>
      <c r="DE318" s="264"/>
      <c r="DF318" s="264"/>
      <c r="DG318" s="264"/>
      <c r="DH318" s="264"/>
      <c r="DI318" s="264"/>
      <c r="DJ318" s="167"/>
      <c r="DK318" s="167"/>
      <c r="DL318" s="167"/>
      <c r="DM318" s="167"/>
      <c r="DN318" s="167"/>
      <c r="DO318" s="167"/>
      <c r="DP318" s="167"/>
      <c r="DQ318" s="167"/>
      <c r="DR318" s="167"/>
      <c r="DS318" s="167"/>
      <c r="DT318" s="167"/>
      <c r="DU318" s="167"/>
      <c r="DV318" s="167"/>
      <c r="DW318" s="167"/>
      <c r="DX318" s="167"/>
      <c r="DY318" s="167"/>
      <c r="DZ318" s="167"/>
      <c r="EA318" s="167"/>
      <c r="EB318" s="167"/>
      <c r="EC318" s="167"/>
      <c r="ED318" s="167"/>
      <c r="EE318" s="167"/>
      <c r="EF318" s="167"/>
      <c r="EG318" s="167"/>
      <c r="EH318" s="167"/>
      <c r="EI318" s="167"/>
      <c r="EJ318" s="167"/>
      <c r="EK318" s="167"/>
      <c r="EL318" s="265"/>
      <c r="EM318" s="265"/>
      <c r="EN318" s="265"/>
      <c r="EO318" s="265"/>
      <c r="EP318" s="265"/>
      <c r="EQ318" s="265"/>
      <c r="ER318" s="265"/>
      <c r="ES318" s="265"/>
      <c r="ET318" s="265"/>
      <c r="EU318" s="265"/>
      <c r="EV318" s="265"/>
      <c r="EW318" s="265"/>
      <c r="EX318" s="265"/>
      <c r="EY318" s="265"/>
      <c r="EZ318" s="265"/>
      <c r="FA318" s="265"/>
      <c r="FB318" s="265"/>
      <c r="FC318" s="265"/>
      <c r="FD318" s="265"/>
      <c r="FE318" s="265"/>
      <c r="FF318" s="265"/>
      <c r="FG318" s="167"/>
      <c r="FH318" s="301"/>
      <c r="FI318" s="303"/>
      <c r="FJ318" s="260"/>
      <c r="FK318" s="260"/>
      <c r="FL318" s="260"/>
      <c r="FM318" s="260"/>
      <c r="FN318" s="260"/>
      <c r="FO318" s="264"/>
      <c r="FP318" s="264"/>
      <c r="FQ318" s="264"/>
      <c r="FR318" s="264"/>
      <c r="FS318" s="264"/>
      <c r="FT318" s="167"/>
      <c r="FU318" s="167"/>
      <c r="FV318" s="167"/>
      <c r="FW318" s="167"/>
      <c r="FX318" s="167"/>
      <c r="FY318" s="167"/>
      <c r="FZ318" s="167"/>
      <c r="GA318" s="167"/>
      <c r="GB318" s="167"/>
      <c r="GC318" s="167"/>
      <c r="GD318" s="167"/>
      <c r="GE318" s="167"/>
      <c r="GF318" s="167"/>
      <c r="GG318" s="167"/>
      <c r="GH318" s="167"/>
      <c r="GI318" s="167"/>
      <c r="GJ318" s="167"/>
      <c r="GK318" s="167"/>
      <c r="GL318" s="167"/>
      <c r="GM318" s="167"/>
      <c r="GN318" s="167"/>
      <c r="GO318" s="167"/>
      <c r="GP318" s="167"/>
      <c r="GQ318" s="167"/>
      <c r="GR318" s="167"/>
      <c r="GS318" s="167"/>
      <c r="GT318" s="167"/>
      <c r="GU318" s="167"/>
      <c r="GV318" s="265"/>
      <c r="GW318" s="265"/>
      <c r="GX318" s="265"/>
      <c r="GY318" s="265"/>
      <c r="GZ318" s="265"/>
      <c r="HA318" s="265"/>
      <c r="HB318" s="265"/>
      <c r="HC318" s="265"/>
      <c r="HD318" s="265"/>
      <c r="HE318" s="265"/>
      <c r="HF318" s="265"/>
      <c r="HG318" s="265"/>
      <c r="HH318" s="265"/>
      <c r="HI318" s="265"/>
      <c r="HJ318" s="265"/>
      <c r="HK318" s="265"/>
      <c r="HL318" s="265"/>
      <c r="HM318" s="265"/>
      <c r="HN318" s="265"/>
      <c r="HO318" s="265"/>
      <c r="HP318" s="265"/>
      <c r="HQ318" s="167"/>
      <c r="HR318" s="307"/>
      <c r="HS318" s="303"/>
      <c r="HT318" s="302"/>
      <c r="HU318" s="302"/>
      <c r="HV318" s="302"/>
      <c r="HW318" s="302"/>
      <c r="HX318" s="302"/>
      <c r="HY318" s="302"/>
      <c r="HZ318" s="302"/>
      <c r="IA318" s="302"/>
      <c r="IB318" s="302"/>
      <c r="IC318" s="302"/>
      <c r="ID318" s="302"/>
      <c r="IE318" s="302"/>
      <c r="IF318" s="302"/>
      <c r="IG318" s="302"/>
      <c r="IH318" s="302"/>
    </row>
    <row r="319" spans="1:250" s="167" customFormat="1" ht="18" customHeight="1">
      <c r="A319" s="304" t="s">
        <v>183</v>
      </c>
      <c r="B319" s="304"/>
      <c r="C319" s="304"/>
      <c r="D319" s="304"/>
      <c r="E319" s="304"/>
      <c r="F319" s="304"/>
      <c r="G319" s="304"/>
      <c r="H319" s="304"/>
      <c r="I319" s="304"/>
      <c r="J319" s="304"/>
      <c r="K319" s="274"/>
      <c r="L319" s="274"/>
      <c r="M319" s="274"/>
      <c r="N319" s="274"/>
      <c r="O319" s="274"/>
      <c r="P319" s="274"/>
      <c r="Q319" s="274"/>
      <c r="R319" s="275"/>
      <c r="S319" s="275"/>
      <c r="T319" s="275"/>
      <c r="U319" s="275"/>
      <c r="V319" s="275"/>
      <c r="W319" s="275"/>
      <c r="X319" s="275"/>
      <c r="Y319" s="275"/>
      <c r="Z319" s="275"/>
      <c r="AA319" s="275"/>
      <c r="AB319" s="275"/>
      <c r="AC319" s="275"/>
      <c r="AD319" s="274"/>
      <c r="AE319" s="308"/>
      <c r="AF319" s="309"/>
      <c r="AG319" s="279"/>
      <c r="AH319" s="279"/>
      <c r="AI319" s="279"/>
      <c r="AJ319" s="279"/>
      <c r="AK319" s="279"/>
      <c r="AL319" s="279"/>
      <c r="AM319" s="279"/>
      <c r="AN319" s="279"/>
      <c r="AO319" s="310"/>
      <c r="AP319" s="310"/>
      <c r="AQ319" s="280"/>
      <c r="AR319" s="280"/>
      <c r="AS319" s="280"/>
      <c r="AT319" s="280"/>
      <c r="AU319" s="280"/>
      <c r="AV319" s="280"/>
      <c r="AW319" s="280"/>
      <c r="AX319" s="280"/>
      <c r="AY319" s="280"/>
      <c r="AZ319" s="280"/>
      <c r="BA319" s="280"/>
      <c r="BB319" s="280"/>
      <c r="BC319" s="280"/>
      <c r="BD319" s="280"/>
      <c r="BE319" s="280"/>
      <c r="BF319" s="280"/>
      <c r="BG319" s="280"/>
      <c r="BH319" s="280"/>
      <c r="BI319" s="280"/>
      <c r="BJ319" s="280"/>
      <c r="BK319" s="280"/>
      <c r="BL319" s="280"/>
      <c r="BM319" s="280"/>
      <c r="BN319" s="280"/>
      <c r="BO319" s="280"/>
      <c r="BP319" s="280"/>
      <c r="BQ319" s="280"/>
      <c r="BR319" s="280"/>
      <c r="BS319" s="281"/>
      <c r="BT319" s="281"/>
      <c r="BU319" s="281"/>
      <c r="BV319" s="281"/>
      <c r="BW319" s="281"/>
      <c r="BX319" s="281"/>
      <c r="BY319" s="281"/>
      <c r="BZ319" s="281"/>
      <c r="CA319" s="281"/>
      <c r="CB319" s="280"/>
      <c r="CC319" s="281"/>
      <c r="CD319" s="281"/>
      <c r="CE319" s="281"/>
      <c r="CF319" s="281"/>
      <c r="CG319" s="281"/>
      <c r="CH319" s="281"/>
      <c r="CI319" s="281"/>
      <c r="CJ319" s="281"/>
      <c r="CK319" s="281"/>
      <c r="CL319" s="281"/>
      <c r="CM319" s="281"/>
      <c r="CN319" s="280"/>
      <c r="CO319" s="301"/>
      <c r="CP319" s="291"/>
      <c r="CQ319" s="289"/>
      <c r="CR319" s="299"/>
      <c r="CS319" s="299"/>
      <c r="CT319" s="299"/>
      <c r="CU319" s="299"/>
      <c r="CV319" s="299"/>
      <c r="CW319" s="299"/>
      <c r="CX319" s="299"/>
      <c r="CY319" s="264"/>
      <c r="CZ319" s="264"/>
      <c r="EC319" s="265"/>
      <c r="ED319" s="265"/>
      <c r="EE319" s="265"/>
      <c r="EF319" s="265"/>
      <c r="EG319" s="265"/>
      <c r="EH319" s="265"/>
      <c r="EI319" s="265"/>
      <c r="EJ319" s="265"/>
      <c r="EK319" s="265"/>
      <c r="EM319" s="265"/>
      <c r="EN319" s="265"/>
      <c r="EO319" s="265"/>
      <c r="EP319" s="265"/>
      <c r="EQ319" s="265"/>
      <c r="ER319" s="265"/>
      <c r="ES319" s="265"/>
      <c r="ET319" s="265"/>
      <c r="EU319" s="265"/>
      <c r="EV319" s="265"/>
      <c r="EW319" s="265"/>
      <c r="EY319" s="301"/>
      <c r="EZ319" s="291"/>
      <c r="FA319" s="289"/>
      <c r="FB319" s="289"/>
      <c r="FC319" s="289"/>
      <c r="FD319" s="289"/>
      <c r="FE319" s="289"/>
      <c r="FF319" s="289"/>
      <c r="FG319" s="289"/>
      <c r="FH319" s="289"/>
      <c r="FI319" s="264"/>
      <c r="FJ319" s="264"/>
      <c r="GM319" s="265"/>
      <c r="GN319" s="265"/>
      <c r="GO319" s="265"/>
      <c r="GP319" s="265"/>
      <c r="GQ319" s="265"/>
      <c r="GR319" s="265"/>
      <c r="GS319" s="265"/>
      <c r="GT319" s="265"/>
      <c r="GU319" s="265"/>
      <c r="GW319" s="265"/>
      <c r="GX319" s="265"/>
      <c r="GY319" s="265"/>
      <c r="GZ319" s="265"/>
      <c r="HA319" s="265"/>
      <c r="HB319" s="265"/>
      <c r="HC319" s="265"/>
      <c r="HD319" s="265"/>
      <c r="HE319" s="265"/>
      <c r="HF319" s="265"/>
      <c r="HG319" s="265"/>
      <c r="HI319" s="291"/>
      <c r="HJ319" s="289"/>
      <c r="HK319" s="289"/>
      <c r="HL319" s="289"/>
      <c r="HM319" s="289"/>
      <c r="HN319" s="289"/>
      <c r="HO319" s="289"/>
      <c r="HP319" s="289"/>
      <c r="HQ319" s="289"/>
      <c r="HR319" s="264"/>
      <c r="HS319" s="264"/>
    </row>
    <row r="320" spans="1:250" s="167" customFormat="1" ht="18" customHeight="1">
      <c r="A320" s="169">
        <v>5</v>
      </c>
      <c r="B320" s="169"/>
      <c r="C320" s="169"/>
      <c r="D320" s="169"/>
      <c r="E320" s="195"/>
      <c r="F320" s="195"/>
      <c r="G320" s="195"/>
      <c r="H320" s="195"/>
      <c r="I320" s="195"/>
      <c r="J320" s="195"/>
      <c r="K320" s="265"/>
      <c r="L320" s="265"/>
      <c r="M320" s="265"/>
      <c r="N320" s="265"/>
      <c r="O320" s="265"/>
      <c r="P320" s="265"/>
      <c r="Q320" s="265"/>
      <c r="R320" s="265"/>
      <c r="S320" s="265"/>
      <c r="HH320" s="291"/>
      <c r="HI320" s="289"/>
      <c r="HJ320" s="289"/>
      <c r="HK320" s="289"/>
      <c r="HL320" s="289"/>
      <c r="HM320" s="289"/>
      <c r="HN320" s="289"/>
      <c r="HO320" s="289"/>
      <c r="HP320" s="289"/>
      <c r="HQ320" s="264"/>
      <c r="HR320" s="264"/>
    </row>
    <row r="321" spans="1:55" s="167" customFormat="1" ht="18" customHeight="1">
      <c r="A321" s="169"/>
      <c r="B321" s="169"/>
      <c r="C321" s="169"/>
      <c r="D321" s="195"/>
      <c r="E321" s="195"/>
      <c r="F321" s="195"/>
      <c r="G321" s="195"/>
      <c r="H321" s="195"/>
      <c r="I321" s="195"/>
      <c r="J321" s="195"/>
      <c r="K321" s="265"/>
      <c r="L321" s="265"/>
      <c r="M321" s="265"/>
      <c r="N321" s="265"/>
      <c r="O321" s="265"/>
      <c r="P321" s="265"/>
      <c r="Q321" s="265"/>
      <c r="R321" s="265"/>
    </row>
    <row r="322" spans="1:55" s="167" customFormat="1" ht="18" customHeight="1">
      <c r="A322" s="169"/>
      <c r="B322" s="169"/>
      <c r="C322" s="169"/>
      <c r="D322" s="169"/>
      <c r="E322" s="169"/>
      <c r="F322" s="169"/>
      <c r="G322" s="169"/>
      <c r="H322" s="169"/>
      <c r="I322" s="169"/>
      <c r="J322" s="169"/>
    </row>
    <row r="323" spans="1:55" s="167" customFormat="1" ht="18" customHeight="1">
      <c r="A323" s="169"/>
      <c r="B323" s="169"/>
      <c r="C323" s="169"/>
      <c r="D323" s="169"/>
      <c r="E323" s="169"/>
      <c r="F323" s="169"/>
      <c r="G323" s="169"/>
      <c r="H323" s="169"/>
      <c r="I323" s="169"/>
      <c r="J323" s="169"/>
    </row>
    <row r="324" spans="1:55" s="167" customFormat="1" ht="18" customHeight="1">
      <c r="A324" s="169"/>
      <c r="B324" s="169"/>
      <c r="C324" s="169"/>
      <c r="D324" s="169"/>
      <c r="E324" s="169"/>
      <c r="F324" s="169"/>
      <c r="G324" s="169"/>
      <c r="H324" s="169"/>
      <c r="I324" s="169"/>
      <c r="J324" s="169"/>
      <c r="AC324" s="291"/>
      <c r="AD324" s="289"/>
      <c r="AE324" s="289"/>
      <c r="AF324" s="289"/>
      <c r="AG324" s="289"/>
      <c r="AH324" s="289"/>
      <c r="AI324" s="289"/>
      <c r="AJ324" s="289"/>
      <c r="AK324" s="289"/>
      <c r="AL324" s="264"/>
      <c r="AM324" s="264"/>
    </row>
    <row r="325" spans="1:55" s="167" customFormat="1" ht="18" customHeight="1">
      <c r="A325" s="169"/>
      <c r="B325" s="169"/>
      <c r="C325" s="169"/>
      <c r="D325" s="169"/>
      <c r="E325" s="169"/>
      <c r="F325" s="169"/>
      <c r="G325" s="169"/>
      <c r="H325" s="169"/>
      <c r="I325" s="169"/>
      <c r="J325" s="169"/>
      <c r="R325" s="265"/>
      <c r="S325" s="265"/>
      <c r="T325" s="265"/>
      <c r="U325" s="265"/>
      <c r="V325" s="265"/>
      <c r="W325" s="265"/>
      <c r="X325" s="265"/>
      <c r="Y325" s="265"/>
      <c r="Z325" s="265"/>
    </row>
    <row r="326" spans="1:55" s="167" customFormat="1" ht="18" customHeight="1">
      <c r="A326" s="169"/>
      <c r="B326" s="169"/>
      <c r="C326" s="169"/>
      <c r="D326" s="169"/>
      <c r="E326" s="169"/>
      <c r="F326" s="169"/>
      <c r="G326" s="169"/>
      <c r="H326" s="169"/>
      <c r="I326" s="169"/>
      <c r="J326" s="169"/>
    </row>
    <row r="327" spans="1:55" s="167" customFormat="1" ht="18" customHeight="1">
      <c r="A327" s="169"/>
      <c r="B327" s="169"/>
      <c r="C327" s="169"/>
      <c r="D327" s="169"/>
      <c r="E327" s="169"/>
      <c r="F327" s="169"/>
      <c r="G327" s="169"/>
      <c r="H327" s="169"/>
      <c r="I327" s="169"/>
      <c r="J327" s="169"/>
    </row>
    <row r="328" spans="1:55" s="167" customFormat="1" ht="18" customHeight="1">
      <c r="A328" s="169"/>
      <c r="B328" s="169"/>
      <c r="C328" s="169"/>
      <c r="D328" s="169"/>
      <c r="E328" s="169"/>
      <c r="F328" s="169"/>
      <c r="G328" s="169"/>
      <c r="H328" s="169"/>
      <c r="I328" s="169"/>
      <c r="J328" s="169"/>
      <c r="AK328" s="291"/>
      <c r="AL328" s="289"/>
      <c r="AM328" s="289"/>
      <c r="AN328" s="289"/>
      <c r="AO328" s="289"/>
      <c r="AP328" s="289"/>
      <c r="AQ328" s="289"/>
      <c r="AR328" s="289"/>
      <c r="AS328" s="289"/>
      <c r="AT328" s="264"/>
      <c r="AU328" s="264"/>
    </row>
    <row r="329" spans="1:55" s="274" customFormat="1" ht="18" customHeight="1">
      <c r="A329" s="270">
        <f>A299+1</f>
        <v>11</v>
      </c>
      <c r="B329" s="271"/>
      <c r="C329" s="272" t="str">
        <f>IF($A$1 = 1, (IF("("&amp;C339&amp;")" ="()","","("&amp;C339&amp;")")), (IF("("&amp;C344&amp;")    ("&amp;C339&amp;")"="()    ()","","("&amp;C344&amp;")    ("&amp;C339&amp;")")))</f>
        <v>(156)    (173)</v>
      </c>
      <c r="D329" s="272" t="str">
        <f t="shared" ref="D329:J329" si="30">IF($A$1 = 1, (IF("("&amp;D339&amp;")" ="()","","("&amp;D339&amp;")")), (IF("("&amp;D344&amp;")    ("&amp;D339&amp;")"="()    ()","","("&amp;D344&amp;")    ("&amp;D339&amp;")")))</f>
        <v>(49)    (61)</v>
      </c>
      <c r="E329" s="272" t="str">
        <f t="shared" si="30"/>
        <v>(10)    (8)</v>
      </c>
      <c r="F329" s="272" t="str">
        <f t="shared" si="30"/>
        <v>(189)    (256)</v>
      </c>
      <c r="G329" s="272" t="str">
        <f t="shared" si="30"/>
        <v>(37)    (30)</v>
      </c>
      <c r="H329" s="272" t="str">
        <f t="shared" si="30"/>
        <v/>
      </c>
      <c r="I329" s="272" t="str">
        <f t="shared" si="30"/>
        <v/>
      </c>
      <c r="J329" s="272" t="str">
        <f t="shared" si="30"/>
        <v/>
      </c>
      <c r="K329" s="273"/>
      <c r="L329" s="273"/>
      <c r="M329" s="273"/>
      <c r="N329" s="273"/>
      <c r="O329" s="273"/>
      <c r="P329" s="273"/>
      <c r="Q329" s="273"/>
      <c r="AI329" s="275"/>
      <c r="AJ329" s="275"/>
      <c r="AK329" s="275"/>
      <c r="AL329" s="275"/>
      <c r="AM329" s="275"/>
      <c r="AN329" s="275"/>
      <c r="AO329" s="275"/>
      <c r="AP329" s="275"/>
      <c r="AQ329" s="275"/>
      <c r="AR329" s="275"/>
      <c r="AS329" s="275"/>
      <c r="AT329" s="275"/>
      <c r="AU329" s="275"/>
      <c r="AV329" s="275"/>
      <c r="AW329" s="275"/>
      <c r="AX329" s="275"/>
      <c r="AY329" s="275"/>
      <c r="AZ329" s="275"/>
      <c r="BA329" s="275"/>
      <c r="BB329" s="275"/>
      <c r="BC329" s="275"/>
    </row>
    <row r="330" spans="1:55" s="280" customFormat="1" ht="59.1" customHeight="1">
      <c r="A330" s="276"/>
      <c r="B330" s="277"/>
      <c r="C330" s="278" t="s">
        <v>190</v>
      </c>
      <c r="D330" s="278" t="s">
        <v>187</v>
      </c>
      <c r="E330" s="278" t="s">
        <v>188</v>
      </c>
      <c r="F330" s="278" t="s">
        <v>0</v>
      </c>
      <c r="G330" s="278" t="s">
        <v>1</v>
      </c>
      <c r="H330" s="278"/>
      <c r="I330" s="278"/>
      <c r="J330" s="278"/>
      <c r="K330" s="279"/>
      <c r="L330" s="279"/>
      <c r="M330" s="279"/>
      <c r="N330" s="279"/>
      <c r="O330" s="279"/>
      <c r="P330" s="279"/>
      <c r="Q330" s="279"/>
      <c r="AI330" s="281"/>
      <c r="AJ330" s="281"/>
      <c r="AK330" s="281"/>
      <c r="AL330" s="281"/>
      <c r="AM330" s="281"/>
      <c r="AN330" s="281"/>
      <c r="AO330" s="281"/>
      <c r="AP330" s="281"/>
      <c r="AQ330" s="281"/>
      <c r="AS330" s="281"/>
      <c r="AT330" s="281"/>
      <c r="AU330" s="281"/>
      <c r="AV330" s="281"/>
      <c r="AW330" s="281"/>
      <c r="AX330" s="281"/>
      <c r="AY330" s="281"/>
      <c r="AZ330" s="281"/>
      <c r="BA330" s="281"/>
      <c r="BB330" s="281"/>
      <c r="BC330" s="281"/>
    </row>
    <row r="331" spans="1:55" s="167" customFormat="1" ht="21.95" customHeight="1">
      <c r="A331" s="266"/>
      <c r="B331" s="282" t="s">
        <v>3</v>
      </c>
      <c r="C331" s="283">
        <v>83</v>
      </c>
      <c r="D331" s="283">
        <v>81</v>
      </c>
      <c r="E331" s="283">
        <v>28</v>
      </c>
      <c r="F331" s="283">
        <v>86</v>
      </c>
      <c r="G331" s="283">
        <v>70</v>
      </c>
      <c r="H331" s="283"/>
      <c r="I331" s="283"/>
      <c r="J331" s="283"/>
      <c r="K331" s="284"/>
      <c r="L331" s="284"/>
      <c r="M331" s="284"/>
      <c r="N331" s="284"/>
      <c r="O331" s="284"/>
      <c r="P331" s="284"/>
      <c r="Q331" s="284"/>
      <c r="AI331" s="265"/>
      <c r="AJ331" s="265"/>
      <c r="AK331" s="265"/>
      <c r="AL331" s="265"/>
      <c r="AM331" s="265"/>
      <c r="AN331" s="265"/>
      <c r="AO331" s="265"/>
      <c r="AP331" s="265"/>
      <c r="AQ331" s="265"/>
      <c r="AS331" s="265"/>
      <c r="AT331" s="265"/>
      <c r="AU331" s="265"/>
      <c r="AV331" s="265"/>
      <c r="AW331" s="265"/>
      <c r="AX331" s="265"/>
      <c r="AY331" s="265"/>
      <c r="AZ331" s="265"/>
      <c r="BA331" s="265"/>
      <c r="BB331" s="265"/>
      <c r="BC331" s="265"/>
    </row>
    <row r="332" spans="1:55" s="167" customFormat="1" ht="21.95" customHeight="1">
      <c r="A332" s="266"/>
      <c r="B332" s="285" t="s">
        <v>18</v>
      </c>
      <c r="C332" s="283">
        <v>85</v>
      </c>
      <c r="D332" s="283">
        <v>82</v>
      </c>
      <c r="E332" s="283">
        <v>36</v>
      </c>
      <c r="F332" s="283">
        <v>88</v>
      </c>
      <c r="G332" s="283">
        <v>72</v>
      </c>
      <c r="H332" s="283"/>
      <c r="I332" s="283"/>
      <c r="J332" s="283"/>
      <c r="K332" s="286"/>
      <c r="L332" s="286"/>
      <c r="M332" s="286"/>
      <c r="N332" s="286"/>
      <c r="O332" s="286"/>
      <c r="P332" s="286"/>
      <c r="Q332" s="286"/>
      <c r="AI332" s="265"/>
      <c r="AJ332" s="265"/>
      <c r="AK332" s="265"/>
      <c r="AL332" s="265"/>
      <c r="AM332" s="265"/>
      <c r="AN332" s="265"/>
      <c r="AO332" s="265"/>
      <c r="AP332" s="265"/>
      <c r="AQ332" s="265"/>
      <c r="AS332" s="265"/>
      <c r="AT332" s="265"/>
      <c r="AU332" s="265"/>
      <c r="AV332" s="265"/>
      <c r="AW332" s="265"/>
      <c r="AX332" s="265"/>
      <c r="AY332" s="265"/>
      <c r="AZ332" s="265"/>
      <c r="BA332" s="265"/>
      <c r="BB332" s="265"/>
      <c r="BC332" s="265"/>
    </row>
    <row r="333" spans="1:55" s="167" customFormat="1" ht="21.95" customHeight="1">
      <c r="A333" s="169"/>
      <c r="B333" s="287" t="s">
        <v>32</v>
      </c>
      <c r="C333" s="283">
        <v>76</v>
      </c>
      <c r="D333" s="283">
        <v>83</v>
      </c>
      <c r="E333" s="283">
        <v>29</v>
      </c>
      <c r="F333" s="283">
        <v>82</v>
      </c>
      <c r="G333" s="283">
        <v>66</v>
      </c>
      <c r="H333" s="283"/>
      <c r="I333" s="283"/>
      <c r="J333" s="283"/>
      <c r="K333" s="286"/>
      <c r="L333" s="286"/>
      <c r="M333" s="286"/>
      <c r="N333" s="286"/>
      <c r="O333" s="286"/>
      <c r="P333" s="286"/>
      <c r="Q333" s="286"/>
      <c r="AI333" s="265"/>
      <c r="AJ333" s="265"/>
      <c r="AK333" s="265"/>
      <c r="AL333" s="265"/>
      <c r="AM333" s="265"/>
      <c r="AN333" s="265"/>
      <c r="AO333" s="265"/>
      <c r="AP333" s="265"/>
      <c r="AQ333" s="265"/>
      <c r="AS333" s="265"/>
      <c r="AT333" s="265"/>
      <c r="AU333" s="265"/>
      <c r="AV333" s="265"/>
      <c r="AW333" s="265"/>
      <c r="AX333" s="265"/>
      <c r="AY333" s="265"/>
      <c r="AZ333" s="265"/>
      <c r="BA333" s="265"/>
      <c r="BB333" s="265"/>
    </row>
    <row r="334" spans="1:55" s="167" customFormat="1" ht="21.95" customHeight="1">
      <c r="A334" s="169"/>
      <c r="B334" s="288" t="s">
        <v>45</v>
      </c>
      <c r="C334" s="283">
        <v>79</v>
      </c>
      <c r="D334" s="283">
        <v>81</v>
      </c>
      <c r="E334" s="283">
        <v>36</v>
      </c>
      <c r="F334" s="283">
        <v>87</v>
      </c>
      <c r="G334" s="283">
        <v>62</v>
      </c>
      <c r="H334" s="283"/>
      <c r="I334" s="283"/>
      <c r="J334" s="283"/>
      <c r="K334" s="286"/>
      <c r="L334" s="286"/>
      <c r="M334" s="286"/>
      <c r="N334" s="286"/>
      <c r="O334" s="286"/>
      <c r="P334" s="286"/>
      <c r="Q334" s="286"/>
      <c r="AI334" s="265"/>
      <c r="AJ334" s="265"/>
      <c r="AK334" s="265"/>
      <c r="AL334" s="265"/>
      <c r="AM334" s="265"/>
      <c r="AN334" s="265"/>
      <c r="AO334" s="265"/>
      <c r="AP334" s="265"/>
      <c r="AQ334" s="265"/>
      <c r="AS334" s="265"/>
      <c r="AT334" s="265"/>
      <c r="AU334" s="265"/>
      <c r="AV334" s="265"/>
      <c r="AW334" s="265"/>
      <c r="AX334" s="265"/>
      <c r="AY334" s="265"/>
      <c r="AZ334" s="265"/>
      <c r="BA334" s="265"/>
      <c r="BB334" s="265"/>
    </row>
    <row r="335" spans="1:55" s="167" customFormat="1" ht="21.95" customHeight="1">
      <c r="A335" s="169"/>
      <c r="B335" s="290" t="s">
        <v>54</v>
      </c>
      <c r="C335" s="283">
        <v>86</v>
      </c>
      <c r="D335" s="283">
        <v>88</v>
      </c>
      <c r="E335" s="283">
        <v>38</v>
      </c>
      <c r="F335" s="283">
        <v>91</v>
      </c>
      <c r="G335" s="283">
        <v>70</v>
      </c>
      <c r="H335" s="283"/>
      <c r="I335" s="283"/>
      <c r="J335" s="283"/>
      <c r="K335" s="286"/>
      <c r="L335" s="286"/>
      <c r="M335" s="286"/>
      <c r="N335" s="286"/>
      <c r="O335" s="286"/>
      <c r="P335" s="286"/>
      <c r="Q335" s="286"/>
      <c r="AI335" s="265"/>
      <c r="AJ335" s="265"/>
      <c r="AK335" s="265"/>
      <c r="AL335" s="265"/>
      <c r="AM335" s="265"/>
      <c r="AN335" s="265"/>
      <c r="AO335" s="265"/>
      <c r="AP335" s="265"/>
      <c r="AQ335" s="265"/>
      <c r="AS335" s="265"/>
      <c r="AT335" s="265"/>
      <c r="AU335" s="265"/>
      <c r="AV335" s="265"/>
      <c r="AW335" s="265"/>
      <c r="AX335" s="265"/>
      <c r="AY335" s="265"/>
      <c r="AZ335" s="265"/>
      <c r="BA335" s="265"/>
      <c r="BB335" s="265"/>
    </row>
    <row r="336" spans="1:55" s="167" customFormat="1">
      <c r="A336" s="169"/>
      <c r="B336" s="291" t="s">
        <v>66</v>
      </c>
      <c r="C336" s="286">
        <v>85</v>
      </c>
      <c r="D336" s="286">
        <v>92</v>
      </c>
      <c r="E336" s="286">
        <v>25</v>
      </c>
      <c r="F336" s="286">
        <v>95</v>
      </c>
      <c r="G336" s="286">
        <v>77</v>
      </c>
      <c r="H336" s="286"/>
      <c r="I336" s="286"/>
      <c r="J336" s="286"/>
      <c r="K336" s="286"/>
      <c r="L336" s="286"/>
      <c r="M336" s="286"/>
      <c r="N336" s="286"/>
      <c r="O336" s="286"/>
      <c r="P336" s="286"/>
      <c r="Q336" s="286"/>
      <c r="AI336" s="265"/>
      <c r="AJ336" s="265"/>
      <c r="AK336" s="265"/>
      <c r="AL336" s="265"/>
      <c r="AM336" s="265"/>
      <c r="AN336" s="265"/>
      <c r="AO336" s="265"/>
      <c r="AP336" s="265"/>
      <c r="AQ336" s="265"/>
      <c r="AS336" s="265"/>
      <c r="AT336" s="265"/>
      <c r="AU336" s="265"/>
      <c r="AV336" s="265"/>
      <c r="AW336" s="265"/>
      <c r="AX336" s="265"/>
      <c r="AY336" s="265"/>
      <c r="AZ336" s="265"/>
      <c r="BA336" s="265"/>
      <c r="BB336" s="265"/>
    </row>
    <row r="337" spans="1:250" s="167" customFormat="1">
      <c r="A337" s="169"/>
      <c r="B337" s="291" t="s">
        <v>158</v>
      </c>
      <c r="C337" s="292">
        <v>82</v>
      </c>
      <c r="D337" s="292">
        <v>83</v>
      </c>
      <c r="E337" s="292">
        <v>33</v>
      </c>
      <c r="F337" s="292">
        <v>87</v>
      </c>
      <c r="G337" s="292">
        <v>69</v>
      </c>
      <c r="H337" s="292"/>
      <c r="I337" s="292"/>
      <c r="J337" s="292"/>
      <c r="K337" s="292"/>
      <c r="L337" s="292"/>
      <c r="M337" s="292"/>
      <c r="N337" s="292"/>
      <c r="O337" s="292"/>
      <c r="P337" s="292"/>
      <c r="Q337" s="292"/>
      <c r="AI337" s="265"/>
      <c r="AJ337" s="265"/>
      <c r="AK337" s="265"/>
      <c r="AL337" s="265"/>
      <c r="AM337" s="265"/>
      <c r="AN337" s="265"/>
      <c r="AO337" s="265"/>
      <c r="AP337" s="265"/>
      <c r="AQ337" s="265"/>
      <c r="AS337" s="265"/>
      <c r="AT337" s="265"/>
      <c r="AU337" s="265"/>
      <c r="AV337" s="265"/>
      <c r="AW337" s="265"/>
      <c r="AX337" s="265"/>
      <c r="AY337" s="265"/>
      <c r="AZ337" s="265"/>
      <c r="BA337" s="265"/>
      <c r="BB337" s="265"/>
    </row>
    <row r="338" spans="1:250" s="167" customFormat="1">
      <c r="A338" s="169"/>
      <c r="B338" s="291" t="s">
        <v>189</v>
      </c>
      <c r="C338" s="292">
        <v>83</v>
      </c>
      <c r="D338" s="292">
        <v>83</v>
      </c>
      <c r="E338" s="292">
        <v>83</v>
      </c>
      <c r="F338" s="292">
        <v>83</v>
      </c>
      <c r="G338" s="292">
        <v>83</v>
      </c>
      <c r="H338" s="292"/>
      <c r="I338" s="292"/>
      <c r="J338" s="292"/>
      <c r="K338" s="292"/>
      <c r="L338" s="292"/>
      <c r="M338" s="292"/>
      <c r="N338" s="292"/>
      <c r="O338" s="292"/>
      <c r="P338" s="292"/>
      <c r="Q338" s="292"/>
      <c r="AI338" s="293"/>
      <c r="AJ338" s="293"/>
      <c r="AK338" s="293"/>
      <c r="AL338" s="293"/>
      <c r="AM338" s="293"/>
      <c r="AN338" s="265"/>
      <c r="AO338" s="265"/>
      <c r="AP338" s="265"/>
      <c r="AQ338" s="265"/>
      <c r="AS338" s="265"/>
      <c r="AT338" s="265"/>
      <c r="AU338" s="265"/>
      <c r="AV338" s="265"/>
      <c r="AW338" s="265"/>
      <c r="AX338" s="265"/>
      <c r="AY338" s="265"/>
      <c r="AZ338" s="265"/>
      <c r="BA338" s="265"/>
      <c r="BB338" s="265"/>
    </row>
    <row r="339" spans="1:250" s="167" customFormat="1" ht="15" thickBot="1">
      <c r="A339" s="169"/>
      <c r="B339" s="291" t="s">
        <v>345</v>
      </c>
      <c r="C339" s="292">
        <v>173</v>
      </c>
      <c r="D339" s="292">
        <v>61</v>
      </c>
      <c r="E339" s="292">
        <v>8</v>
      </c>
      <c r="F339" s="292">
        <v>256</v>
      </c>
      <c r="G339" s="292">
        <v>30</v>
      </c>
      <c r="H339" s="292"/>
      <c r="I339" s="292"/>
      <c r="J339" s="292"/>
      <c r="K339" s="292"/>
      <c r="L339" s="292"/>
      <c r="M339" s="292"/>
      <c r="N339" s="292"/>
      <c r="O339" s="292"/>
      <c r="P339" s="292"/>
      <c r="Q339" s="292"/>
      <c r="AI339" s="265"/>
      <c r="AJ339" s="265"/>
      <c r="AK339" s="265"/>
      <c r="AL339" s="265"/>
      <c r="AM339" s="265"/>
      <c r="AN339" s="265"/>
      <c r="AO339" s="265"/>
      <c r="AP339" s="265"/>
      <c r="AQ339" s="265"/>
      <c r="AS339" s="265"/>
      <c r="AT339" s="265"/>
      <c r="AU339" s="265"/>
      <c r="AV339" s="265"/>
      <c r="AW339" s="265"/>
      <c r="AX339" s="265"/>
      <c r="AY339" s="265"/>
      <c r="AZ339" s="265"/>
      <c r="BA339" s="265"/>
      <c r="BB339" s="265"/>
    </row>
    <row r="340" spans="1:250" s="167" customFormat="1">
      <c r="A340" s="266"/>
      <c r="B340" s="294" t="s">
        <v>166</v>
      </c>
      <c r="C340" s="295">
        <f>IF(OR(C343="**",C343=""),"",VALUE(C343))</f>
        <v>79</v>
      </c>
      <c r="D340" s="295">
        <f t="shared" ref="D340:J340" si="31">IF(OR(D343="**",D343=""),"",VALUE(D343))</f>
        <v>78</v>
      </c>
      <c r="E340" s="295">
        <f t="shared" si="31"/>
        <v>44</v>
      </c>
      <c r="F340" s="295">
        <f t="shared" si="31"/>
        <v>84</v>
      </c>
      <c r="G340" s="295">
        <f t="shared" si="31"/>
        <v>50</v>
      </c>
      <c r="H340" s="295" t="str">
        <f t="shared" si="31"/>
        <v/>
      </c>
      <c r="I340" s="295" t="str">
        <f t="shared" si="31"/>
        <v/>
      </c>
      <c r="J340" s="295" t="str">
        <f t="shared" si="31"/>
        <v/>
      </c>
      <c r="K340" s="183"/>
      <c r="L340" s="183"/>
      <c r="M340" s="183"/>
      <c r="N340" s="183"/>
      <c r="O340" s="183"/>
      <c r="P340" s="183"/>
      <c r="Q340" s="183"/>
      <c r="AI340" s="265"/>
      <c r="AJ340" s="265"/>
      <c r="AK340" s="265"/>
      <c r="AL340" s="265"/>
      <c r="AM340" s="265"/>
      <c r="AN340" s="265"/>
      <c r="AO340" s="265"/>
      <c r="AP340" s="265"/>
      <c r="AQ340" s="265"/>
      <c r="AS340" s="265"/>
      <c r="AT340" s="265"/>
      <c r="AU340" s="265"/>
      <c r="AV340" s="265"/>
      <c r="AW340" s="265"/>
      <c r="AX340" s="265"/>
      <c r="AY340" s="265"/>
      <c r="AZ340" s="265"/>
      <c r="BA340" s="265"/>
      <c r="BB340" s="265"/>
    </row>
    <row r="341" spans="1:250" s="167" customFormat="1" ht="15" thickBot="1">
      <c r="A341" s="266"/>
      <c r="B341" s="296" t="s">
        <v>165</v>
      </c>
      <c r="C341" s="297">
        <f t="shared" ref="C341:J341" si="32">IF(OR(C337="**",C337=""),"",VALUE(C337))</f>
        <v>82</v>
      </c>
      <c r="D341" s="297">
        <f t="shared" si="32"/>
        <v>83</v>
      </c>
      <c r="E341" s="297">
        <f t="shared" si="32"/>
        <v>33</v>
      </c>
      <c r="F341" s="297">
        <f t="shared" si="32"/>
        <v>87</v>
      </c>
      <c r="G341" s="297">
        <f t="shared" si="32"/>
        <v>69</v>
      </c>
      <c r="H341" s="297" t="str">
        <f t="shared" si="32"/>
        <v/>
      </c>
      <c r="I341" s="297" t="str">
        <f t="shared" si="32"/>
        <v/>
      </c>
      <c r="J341" s="297" t="str">
        <f t="shared" si="32"/>
        <v/>
      </c>
      <c r="K341" s="260"/>
      <c r="L341" s="260"/>
      <c r="M341" s="260"/>
      <c r="N341" s="260"/>
      <c r="O341" s="260"/>
      <c r="P341" s="260"/>
      <c r="Q341" s="260"/>
      <c r="AI341" s="260"/>
      <c r="AJ341" s="260"/>
      <c r="AK341" s="260"/>
      <c r="AL341" s="260"/>
      <c r="AM341" s="260"/>
      <c r="AN341" s="260"/>
      <c r="AO341" s="260"/>
      <c r="AP341" s="260"/>
      <c r="AQ341" s="265"/>
      <c r="AR341" s="265"/>
      <c r="AS341" s="265"/>
      <c r="AT341" s="265"/>
      <c r="AU341" s="265"/>
      <c r="AV341" s="265"/>
      <c r="AW341" s="265"/>
      <c r="AX341" s="265"/>
      <c r="AY341" s="265"/>
      <c r="AZ341" s="265"/>
      <c r="BA341" s="265"/>
      <c r="BB341" s="265"/>
    </row>
    <row r="342" spans="1:250" s="167" customFormat="1">
      <c r="A342" s="169"/>
      <c r="B342" s="298" t="s">
        <v>385</v>
      </c>
      <c r="C342" s="195" t="s">
        <v>190</v>
      </c>
      <c r="D342" s="195" t="s">
        <v>187</v>
      </c>
      <c r="E342" s="195" t="s">
        <v>188</v>
      </c>
      <c r="F342" s="195" t="s">
        <v>0</v>
      </c>
      <c r="G342" s="195" t="s">
        <v>1</v>
      </c>
      <c r="H342" s="195"/>
      <c r="I342" s="195"/>
      <c r="J342" s="195"/>
      <c r="K342" s="264"/>
      <c r="L342" s="264"/>
      <c r="M342" s="264"/>
      <c r="N342" s="264"/>
      <c r="O342" s="264"/>
      <c r="P342" s="264"/>
      <c r="Q342" s="264"/>
      <c r="AI342" s="265"/>
      <c r="AJ342" s="265"/>
      <c r="AK342" s="265"/>
      <c r="AL342" s="265"/>
      <c r="AM342" s="265"/>
      <c r="AN342" s="265"/>
      <c r="AO342" s="265"/>
      <c r="AP342" s="265"/>
      <c r="AQ342" s="265"/>
      <c r="AR342" s="265"/>
      <c r="AS342" s="265"/>
      <c r="AT342" s="265"/>
      <c r="AU342" s="265"/>
      <c r="AV342" s="265"/>
      <c r="AW342" s="265"/>
      <c r="AX342" s="265"/>
      <c r="AY342" s="265"/>
      <c r="AZ342" s="265"/>
      <c r="BA342" s="265"/>
      <c r="BB342" s="265"/>
    </row>
    <row r="343" spans="1:250" s="167" customFormat="1">
      <c r="A343" s="169"/>
      <c r="B343" s="291" t="s">
        <v>158</v>
      </c>
      <c r="C343" s="258">
        <v>79</v>
      </c>
      <c r="D343" s="258">
        <v>78</v>
      </c>
      <c r="E343" s="258">
        <v>44</v>
      </c>
      <c r="F343" s="258">
        <v>84</v>
      </c>
      <c r="G343" s="258">
        <v>50</v>
      </c>
      <c r="H343" s="258"/>
      <c r="I343" s="258"/>
      <c r="J343" s="258"/>
      <c r="K343" s="264"/>
      <c r="L343" s="264"/>
      <c r="M343" s="264"/>
      <c r="N343" s="264"/>
      <c r="O343" s="264"/>
      <c r="P343" s="264"/>
      <c r="Q343" s="264"/>
      <c r="AI343" s="265"/>
      <c r="AJ343" s="265"/>
      <c r="AK343" s="265"/>
      <c r="AL343" s="265"/>
      <c r="AM343" s="265"/>
      <c r="AN343" s="265"/>
      <c r="AO343" s="265"/>
      <c r="AP343" s="265"/>
      <c r="AQ343" s="265"/>
      <c r="AR343" s="265"/>
      <c r="AS343" s="265"/>
      <c r="AT343" s="265"/>
      <c r="AU343" s="265"/>
      <c r="AV343" s="265"/>
      <c r="AW343" s="265"/>
      <c r="AX343" s="265"/>
      <c r="AY343" s="265"/>
      <c r="AZ343" s="265"/>
      <c r="BA343" s="265"/>
      <c r="BB343" s="265"/>
    </row>
    <row r="344" spans="1:250" s="167" customFormat="1">
      <c r="A344" s="169"/>
      <c r="B344" s="298" t="s">
        <v>345</v>
      </c>
      <c r="C344" s="258">
        <v>156</v>
      </c>
      <c r="D344" s="258">
        <v>49</v>
      </c>
      <c r="E344" s="258">
        <v>10</v>
      </c>
      <c r="F344" s="258">
        <v>189</v>
      </c>
      <c r="G344" s="258">
        <v>37</v>
      </c>
      <c r="H344" s="258"/>
      <c r="I344" s="258"/>
      <c r="J344" s="258"/>
      <c r="W344" s="265"/>
      <c r="X344" s="265"/>
      <c r="Y344" s="265"/>
      <c r="Z344" s="265"/>
      <c r="AA344" s="265"/>
      <c r="AB344" s="265"/>
      <c r="AC344" s="265"/>
      <c r="AD344" s="265"/>
      <c r="AE344" s="265"/>
      <c r="AF344" s="265"/>
      <c r="AG344" s="265"/>
      <c r="AH344" s="265"/>
      <c r="AI344" s="265"/>
      <c r="AJ344" s="265"/>
      <c r="AK344" s="265"/>
      <c r="AL344" s="265"/>
      <c r="AM344" s="265"/>
      <c r="AN344" s="265"/>
      <c r="AO344" s="265"/>
      <c r="AP344" s="265"/>
      <c r="AQ344" s="265"/>
      <c r="IF344" s="303"/>
      <c r="IG344" s="260"/>
      <c r="IH344" s="260"/>
      <c r="II344" s="260"/>
      <c r="IJ344" s="260"/>
      <c r="IK344" s="260"/>
      <c r="IL344" s="264"/>
      <c r="IM344" s="264"/>
      <c r="IN344" s="264"/>
      <c r="IO344" s="264"/>
      <c r="IP344" s="264"/>
    </row>
    <row r="345" spans="1:250" s="167" customFormat="1">
      <c r="A345" s="169"/>
      <c r="B345" s="169"/>
      <c r="C345" s="169"/>
      <c r="D345" s="169"/>
      <c r="E345" s="169"/>
      <c r="F345" s="169"/>
      <c r="G345" s="169"/>
      <c r="H345" s="169"/>
      <c r="I345" s="169"/>
      <c r="J345" s="169"/>
      <c r="V345" s="265"/>
      <c r="W345" s="265"/>
      <c r="X345" s="265"/>
      <c r="Y345" s="265"/>
      <c r="Z345" s="265"/>
      <c r="AA345" s="265"/>
      <c r="AB345" s="265"/>
      <c r="AC345" s="265"/>
      <c r="AD345" s="265"/>
      <c r="AE345" s="265"/>
      <c r="AF345" s="265"/>
      <c r="AG345" s="265"/>
      <c r="AH345" s="265"/>
      <c r="AI345" s="265"/>
      <c r="AJ345" s="265"/>
      <c r="AK345" s="265"/>
      <c r="AL345" s="265"/>
      <c r="AM345" s="265"/>
      <c r="AN345" s="265"/>
      <c r="AO345" s="265"/>
      <c r="AP345" s="265"/>
      <c r="IE345" s="303"/>
      <c r="IF345" s="260"/>
      <c r="IG345" s="260"/>
      <c r="IH345" s="260"/>
      <c r="II345" s="260"/>
      <c r="IJ345" s="260"/>
      <c r="IK345" s="264"/>
      <c r="IL345" s="264"/>
      <c r="IM345" s="264"/>
      <c r="IN345" s="264"/>
      <c r="IO345" s="264"/>
    </row>
    <row r="346" spans="1:250" s="167" customFormat="1">
      <c r="A346" s="169"/>
      <c r="B346" s="169"/>
      <c r="C346" s="169"/>
      <c r="D346" s="169"/>
      <c r="E346" s="169"/>
      <c r="F346" s="169"/>
      <c r="G346" s="169"/>
      <c r="H346" s="169"/>
      <c r="I346" s="169"/>
      <c r="J346" s="169"/>
      <c r="U346" s="265"/>
      <c r="V346" s="265"/>
      <c r="W346" s="265"/>
      <c r="X346" s="265"/>
      <c r="Y346" s="265"/>
      <c r="Z346" s="265"/>
      <c r="AA346" s="265"/>
      <c r="AB346" s="265"/>
      <c r="AC346" s="265"/>
      <c r="AD346" s="265"/>
      <c r="AE346" s="265"/>
      <c r="AF346" s="265"/>
      <c r="AG346" s="265"/>
      <c r="AH346" s="265"/>
      <c r="AI346" s="265"/>
      <c r="AJ346" s="265"/>
      <c r="AK346" s="265"/>
      <c r="AL346" s="265"/>
      <c r="AM346" s="265"/>
      <c r="AN346" s="265"/>
      <c r="AO346" s="265"/>
      <c r="ID346" s="303"/>
      <c r="IE346" s="260"/>
      <c r="IF346" s="260"/>
      <c r="IG346" s="260"/>
      <c r="IH346" s="260"/>
      <c r="II346" s="260"/>
      <c r="IJ346" s="264"/>
      <c r="IK346" s="264"/>
      <c r="IL346" s="264"/>
      <c r="IM346" s="264"/>
      <c r="IN346" s="264"/>
    </row>
    <row r="347" spans="1:250" s="167" customFormat="1">
      <c r="A347" s="169"/>
      <c r="B347" s="169"/>
      <c r="C347" s="169"/>
      <c r="D347" s="169"/>
      <c r="E347" s="169"/>
      <c r="F347" s="169"/>
      <c r="G347" s="169"/>
      <c r="H347" s="169"/>
      <c r="I347" s="169"/>
      <c r="J347" s="169"/>
      <c r="T347" s="265"/>
      <c r="U347" s="265"/>
      <c r="V347" s="265"/>
      <c r="W347" s="265"/>
      <c r="X347" s="265"/>
      <c r="Y347" s="265"/>
      <c r="Z347" s="265"/>
      <c r="AA347" s="265"/>
      <c r="AB347" s="265"/>
      <c r="AC347" s="265"/>
      <c r="AD347" s="265"/>
      <c r="AE347" s="265"/>
      <c r="AF347" s="265"/>
      <c r="AG347" s="265"/>
      <c r="AH347" s="265"/>
      <c r="AI347" s="265"/>
      <c r="AJ347" s="265"/>
      <c r="AK347" s="265"/>
      <c r="AL347" s="265"/>
      <c r="AM347" s="265"/>
      <c r="AN347" s="265"/>
      <c r="IC347" s="301"/>
      <c r="ID347" s="303"/>
      <c r="IE347" s="260"/>
      <c r="IF347" s="260"/>
      <c r="IG347" s="260"/>
      <c r="IH347" s="260"/>
      <c r="II347" s="260"/>
      <c r="IJ347" s="264"/>
      <c r="IK347" s="264"/>
      <c r="IL347" s="264"/>
      <c r="IM347" s="264"/>
      <c r="IN347" s="264"/>
    </row>
    <row r="348" spans="1:250" s="167" customFormat="1" ht="18" customHeight="1">
      <c r="A348" s="169"/>
      <c r="B348" s="169"/>
      <c r="C348" s="169"/>
      <c r="D348" s="169"/>
      <c r="E348" s="169"/>
      <c r="F348" s="169"/>
      <c r="G348" s="169"/>
      <c r="H348" s="169"/>
      <c r="I348" s="169"/>
      <c r="J348" s="169"/>
      <c r="T348" s="265"/>
      <c r="U348" s="265"/>
      <c r="V348" s="265"/>
      <c r="W348" s="265"/>
      <c r="X348" s="265"/>
      <c r="Y348" s="265"/>
      <c r="Z348" s="265"/>
      <c r="AA348" s="265"/>
      <c r="AB348" s="265"/>
      <c r="AC348" s="265"/>
      <c r="AD348" s="265"/>
      <c r="AE348" s="265"/>
      <c r="AF348" s="265"/>
      <c r="AG348" s="265"/>
      <c r="AH348" s="265"/>
      <c r="AI348" s="265"/>
      <c r="AJ348" s="265"/>
      <c r="AK348" s="265"/>
      <c r="AL348" s="265"/>
      <c r="AM348" s="265"/>
      <c r="AN348" s="265"/>
      <c r="AP348" s="301"/>
      <c r="AQ348" s="303"/>
      <c r="AR348" s="260"/>
      <c r="AS348" s="260"/>
      <c r="AT348" s="260"/>
      <c r="AU348" s="260"/>
      <c r="AV348" s="260"/>
      <c r="AW348" s="264"/>
      <c r="AX348" s="264"/>
      <c r="AY348" s="264"/>
      <c r="AZ348" s="264"/>
      <c r="BA348" s="264"/>
      <c r="CD348" s="265"/>
      <c r="CE348" s="265"/>
      <c r="CF348" s="265"/>
      <c r="CG348" s="265"/>
      <c r="CH348" s="265"/>
      <c r="CI348" s="265"/>
      <c r="CJ348" s="265"/>
      <c r="CK348" s="265"/>
      <c r="CL348" s="265"/>
      <c r="CM348" s="265"/>
      <c r="CN348" s="265"/>
      <c r="CO348" s="265"/>
      <c r="CP348" s="265"/>
      <c r="CQ348" s="265"/>
      <c r="CR348" s="265"/>
      <c r="CS348" s="265"/>
      <c r="CT348" s="265"/>
      <c r="CU348" s="265"/>
      <c r="CV348" s="265"/>
      <c r="CW348" s="265"/>
      <c r="CX348" s="265"/>
      <c r="CZ348" s="301"/>
      <c r="DA348" s="303"/>
      <c r="DB348" s="260"/>
      <c r="DC348" s="260"/>
      <c r="DD348" s="260"/>
      <c r="DE348" s="260"/>
      <c r="DF348" s="260"/>
      <c r="DG348" s="264"/>
      <c r="DH348" s="264"/>
      <c r="DI348" s="264"/>
      <c r="DJ348" s="264"/>
      <c r="DK348" s="264"/>
      <c r="EN348" s="265"/>
      <c r="EO348" s="265"/>
      <c r="EP348" s="265"/>
      <c r="EQ348" s="265"/>
      <c r="ER348" s="265"/>
      <c r="ES348" s="265"/>
      <c r="ET348" s="265"/>
      <c r="EU348" s="265"/>
      <c r="EV348" s="265"/>
      <c r="EW348" s="265"/>
      <c r="EX348" s="265"/>
      <c r="EY348" s="265"/>
      <c r="EZ348" s="265"/>
      <c r="FA348" s="265"/>
      <c r="FB348" s="265"/>
      <c r="FC348" s="265"/>
      <c r="FD348" s="265"/>
      <c r="FE348" s="265"/>
      <c r="FF348" s="265"/>
      <c r="FG348" s="265"/>
      <c r="FH348" s="265"/>
      <c r="FJ348" s="301"/>
      <c r="FK348" s="303"/>
      <c r="FL348" s="260"/>
      <c r="FM348" s="260"/>
      <c r="FN348" s="260"/>
      <c r="FO348" s="260"/>
      <c r="FP348" s="260"/>
      <c r="FQ348" s="264"/>
      <c r="FR348" s="264"/>
      <c r="FS348" s="264"/>
      <c r="FT348" s="264"/>
      <c r="FU348" s="264"/>
      <c r="GX348" s="265"/>
      <c r="GY348" s="265"/>
      <c r="GZ348" s="265"/>
      <c r="HA348" s="265"/>
      <c r="HB348" s="265"/>
      <c r="HC348" s="265"/>
      <c r="HD348" s="265"/>
      <c r="HE348" s="265"/>
      <c r="HF348" s="265"/>
      <c r="HG348" s="265"/>
      <c r="HH348" s="265"/>
      <c r="HI348" s="265"/>
      <c r="HJ348" s="265"/>
      <c r="HK348" s="265"/>
      <c r="HL348" s="265"/>
      <c r="HM348" s="265"/>
      <c r="HN348" s="265"/>
      <c r="HO348" s="265"/>
      <c r="HP348" s="265"/>
      <c r="HQ348" s="265"/>
      <c r="HR348" s="265"/>
      <c r="HT348" s="301"/>
      <c r="HU348" s="303"/>
      <c r="HV348" s="260"/>
      <c r="HW348" s="260"/>
      <c r="HX348" s="260"/>
      <c r="HY348" s="260"/>
      <c r="HZ348" s="260"/>
      <c r="IA348" s="264"/>
      <c r="IB348" s="264"/>
      <c r="IC348" s="264"/>
      <c r="ID348" s="264"/>
      <c r="IE348" s="264"/>
    </row>
    <row r="349" spans="1:250" s="167" customFormat="1" ht="18" customHeight="1">
      <c r="A349" s="169" t="s">
        <v>183</v>
      </c>
      <c r="B349" s="169"/>
      <c r="C349" s="169"/>
      <c r="D349" s="169"/>
      <c r="E349" s="169"/>
      <c r="F349" s="169"/>
      <c r="G349" s="169"/>
      <c r="H349" s="169"/>
      <c r="I349" s="169"/>
      <c r="J349" s="169"/>
      <c r="R349" s="265"/>
      <c r="S349" s="265"/>
      <c r="T349" s="265"/>
      <c r="U349" s="265"/>
      <c r="V349" s="265"/>
      <c r="W349" s="265"/>
      <c r="X349" s="265"/>
      <c r="Y349" s="265"/>
      <c r="Z349" s="265"/>
      <c r="AA349" s="265"/>
      <c r="AB349" s="265"/>
      <c r="AC349" s="265"/>
      <c r="AD349" s="265"/>
      <c r="AE349" s="265"/>
      <c r="AG349" s="301"/>
      <c r="AH349" s="303"/>
      <c r="AI349" s="260"/>
      <c r="AJ349" s="260"/>
      <c r="AK349" s="260"/>
      <c r="AL349" s="260"/>
      <c r="AM349" s="260"/>
      <c r="AN349" s="264"/>
      <c r="AO349" s="264"/>
      <c r="AP349" s="264"/>
      <c r="AQ349" s="264"/>
      <c r="AR349" s="264"/>
      <c r="BU349" s="265"/>
      <c r="BV349" s="265"/>
      <c r="BW349" s="265"/>
      <c r="BX349" s="265"/>
      <c r="BY349" s="265"/>
      <c r="BZ349" s="265"/>
      <c r="CA349" s="265"/>
      <c r="CB349" s="265"/>
      <c r="CC349" s="265"/>
      <c r="CD349" s="265"/>
      <c r="CE349" s="265"/>
      <c r="CF349" s="265"/>
      <c r="CG349" s="265"/>
      <c r="CH349" s="265"/>
      <c r="CI349" s="265"/>
      <c r="CJ349" s="265"/>
      <c r="CK349" s="265"/>
      <c r="CL349" s="265"/>
      <c r="CM349" s="265"/>
      <c r="CN349" s="265"/>
      <c r="CO349" s="265"/>
      <c r="CQ349" s="301"/>
      <c r="CR349" s="303"/>
      <c r="CS349" s="260"/>
      <c r="CT349" s="260"/>
      <c r="CU349" s="260"/>
      <c r="CV349" s="260"/>
      <c r="CW349" s="260"/>
      <c r="CX349" s="264"/>
      <c r="CY349" s="264"/>
      <c r="CZ349" s="264"/>
      <c r="DA349" s="264"/>
      <c r="DB349" s="264"/>
      <c r="EE349" s="265"/>
      <c r="EF349" s="265"/>
      <c r="EG349" s="265"/>
      <c r="EH349" s="265"/>
      <c r="EI349" s="265"/>
      <c r="EJ349" s="265"/>
      <c r="EK349" s="265"/>
      <c r="EL349" s="265"/>
      <c r="EM349" s="265"/>
      <c r="EN349" s="265"/>
      <c r="EO349" s="265"/>
      <c r="EP349" s="265"/>
      <c r="EQ349" s="265"/>
      <c r="ER349" s="265"/>
      <c r="ES349" s="265"/>
      <c r="ET349" s="265"/>
      <c r="EU349" s="265"/>
      <c r="EV349" s="265"/>
      <c r="EW349" s="265"/>
      <c r="EX349" s="265"/>
      <c r="EY349" s="265"/>
      <c r="FA349" s="301"/>
      <c r="FB349" s="303"/>
      <c r="FC349" s="260"/>
      <c r="FD349" s="260"/>
      <c r="FE349" s="260"/>
      <c r="FF349" s="260"/>
      <c r="FG349" s="260"/>
      <c r="FH349" s="264"/>
      <c r="FI349" s="264"/>
      <c r="FJ349" s="264"/>
      <c r="FK349" s="264"/>
      <c r="FL349" s="264"/>
      <c r="GO349" s="265"/>
      <c r="GP349" s="265"/>
      <c r="GQ349" s="265"/>
      <c r="GR349" s="265"/>
      <c r="GS349" s="265"/>
      <c r="GT349" s="265"/>
      <c r="GU349" s="265"/>
      <c r="GV349" s="265"/>
      <c r="GW349" s="265"/>
      <c r="GX349" s="265"/>
      <c r="GY349" s="265"/>
      <c r="GZ349" s="265"/>
      <c r="HA349" s="265"/>
      <c r="HB349" s="265"/>
      <c r="HC349" s="265"/>
      <c r="HD349" s="265"/>
      <c r="HE349" s="265"/>
      <c r="HF349" s="265"/>
      <c r="HG349" s="265"/>
      <c r="HH349" s="265"/>
      <c r="HI349" s="265"/>
      <c r="HK349" s="301"/>
      <c r="HL349" s="303"/>
      <c r="HM349" s="260"/>
      <c r="HN349" s="260"/>
      <c r="HO349" s="260"/>
      <c r="HP349" s="260"/>
      <c r="HQ349" s="260"/>
      <c r="HR349" s="264"/>
      <c r="HS349" s="264"/>
      <c r="HT349" s="264"/>
      <c r="HU349" s="264"/>
      <c r="HV349" s="264"/>
    </row>
    <row r="350" spans="1:250" s="265" customFormat="1" ht="18" customHeight="1">
      <c r="A350" s="169">
        <v>7</v>
      </c>
      <c r="B350" s="169"/>
      <c r="C350" s="169"/>
      <c r="D350" s="169"/>
      <c r="E350" s="169"/>
      <c r="F350" s="169"/>
      <c r="G350" s="169"/>
      <c r="H350" s="169"/>
      <c r="I350" s="169"/>
      <c r="J350" s="169"/>
      <c r="W350" s="167"/>
      <c r="X350" s="307"/>
      <c r="Y350" s="303"/>
      <c r="Z350" s="260"/>
      <c r="AA350" s="260"/>
      <c r="AB350" s="260"/>
      <c r="AC350" s="260"/>
      <c r="AD350" s="260"/>
      <c r="AE350" s="264"/>
      <c r="AF350" s="264"/>
      <c r="AG350" s="264"/>
      <c r="AH350" s="314"/>
      <c r="AI350" s="273"/>
      <c r="AJ350" s="274"/>
      <c r="AK350" s="274"/>
      <c r="AL350" s="274"/>
      <c r="AM350" s="274"/>
      <c r="AN350" s="274"/>
      <c r="AO350" s="274"/>
      <c r="AP350" s="274"/>
      <c r="AQ350" s="274"/>
      <c r="AR350" s="274"/>
      <c r="AS350" s="274"/>
      <c r="AT350" s="274"/>
      <c r="AU350" s="274"/>
      <c r="AV350" s="274"/>
      <c r="AW350" s="274"/>
      <c r="AX350" s="274"/>
      <c r="AY350" s="274"/>
      <c r="AZ350" s="274"/>
      <c r="BA350" s="274"/>
      <c r="BB350" s="274"/>
      <c r="BC350" s="274"/>
      <c r="BD350" s="274"/>
      <c r="BE350" s="274"/>
      <c r="BF350" s="274"/>
      <c r="BG350" s="274"/>
      <c r="BH350" s="274"/>
      <c r="BI350" s="274"/>
      <c r="BJ350" s="274"/>
      <c r="BK350" s="274"/>
      <c r="BL350" s="275"/>
      <c r="BM350" s="275"/>
      <c r="BN350" s="275"/>
      <c r="BO350" s="275"/>
      <c r="BP350" s="275"/>
      <c r="BQ350" s="275"/>
      <c r="BR350" s="275"/>
      <c r="BS350" s="275"/>
      <c r="BT350" s="275"/>
      <c r="BU350" s="275"/>
      <c r="BV350" s="275"/>
      <c r="BW350" s="275"/>
      <c r="BX350" s="275"/>
      <c r="BY350" s="275"/>
      <c r="BZ350" s="275"/>
      <c r="CA350" s="275"/>
      <c r="CB350" s="275"/>
      <c r="CC350" s="275"/>
      <c r="CD350" s="275"/>
      <c r="CE350" s="275"/>
      <c r="CF350" s="275"/>
      <c r="CG350" s="274"/>
      <c r="CH350" s="307"/>
      <c r="CI350" s="303"/>
      <c r="CJ350" s="302"/>
      <c r="CK350" s="302"/>
      <c r="CL350" s="302"/>
      <c r="CM350" s="302"/>
      <c r="CN350" s="302"/>
      <c r="CO350" s="302"/>
      <c r="CP350" s="302"/>
      <c r="CQ350" s="302"/>
      <c r="CR350" s="302"/>
      <c r="CS350" s="302"/>
      <c r="CT350" s="302"/>
      <c r="CU350" s="302"/>
      <c r="CV350" s="302"/>
      <c r="CW350" s="302"/>
      <c r="CX350" s="302"/>
      <c r="CY350" s="274"/>
      <c r="CZ350" s="274"/>
      <c r="DA350" s="274"/>
      <c r="DB350" s="274"/>
      <c r="DC350" s="274"/>
      <c r="DD350" s="274"/>
      <c r="DE350" s="274"/>
      <c r="DF350" s="274"/>
      <c r="DG350" s="274"/>
      <c r="DH350" s="274"/>
      <c r="DI350" s="274"/>
      <c r="DJ350" s="274"/>
      <c r="DK350" s="274"/>
      <c r="DL350" s="274"/>
      <c r="DM350" s="274"/>
      <c r="DN350" s="274"/>
      <c r="DO350" s="274"/>
      <c r="DP350" s="274"/>
      <c r="DQ350" s="274"/>
      <c r="DR350" s="274"/>
      <c r="DS350" s="274"/>
      <c r="DT350" s="274"/>
      <c r="DU350" s="274"/>
      <c r="DV350" s="275"/>
      <c r="DW350" s="275"/>
      <c r="DX350" s="275"/>
      <c r="DY350" s="275"/>
      <c r="DZ350" s="275"/>
      <c r="EA350" s="275"/>
      <c r="EB350" s="275"/>
      <c r="EC350" s="275"/>
      <c r="ED350" s="275"/>
      <c r="EE350" s="275"/>
      <c r="EF350" s="275"/>
      <c r="EG350" s="275"/>
      <c r="EH350" s="275"/>
      <c r="EI350" s="275"/>
      <c r="EJ350" s="275"/>
      <c r="EK350" s="275"/>
      <c r="EL350" s="275"/>
      <c r="EM350" s="275"/>
      <c r="EN350" s="275"/>
      <c r="EO350" s="275"/>
      <c r="EP350" s="275"/>
      <c r="EQ350" s="274"/>
      <c r="ER350" s="308"/>
      <c r="ES350" s="309"/>
      <c r="ET350" s="279"/>
      <c r="EU350" s="279"/>
      <c r="EV350" s="279"/>
      <c r="EW350" s="279"/>
      <c r="EX350" s="279"/>
      <c r="EY350" s="279"/>
      <c r="EZ350" s="279"/>
      <c r="FA350" s="279"/>
      <c r="FB350" s="310"/>
      <c r="FC350" s="310"/>
      <c r="FD350" s="280"/>
      <c r="FE350" s="280"/>
      <c r="FF350" s="280"/>
      <c r="FG350" s="280"/>
      <c r="FH350" s="280"/>
      <c r="FI350" s="280"/>
      <c r="FJ350" s="280"/>
      <c r="FK350" s="280"/>
      <c r="FL350" s="280"/>
      <c r="FM350" s="280"/>
      <c r="FN350" s="280"/>
      <c r="FO350" s="280"/>
      <c r="FP350" s="280"/>
      <c r="FQ350" s="280"/>
      <c r="FR350" s="280"/>
      <c r="FS350" s="280"/>
      <c r="FT350" s="280"/>
      <c r="FU350" s="280"/>
      <c r="FV350" s="280"/>
      <c r="FW350" s="280"/>
      <c r="FX350" s="280"/>
      <c r="FY350" s="280"/>
      <c r="FZ350" s="280"/>
      <c r="GA350" s="280"/>
      <c r="GB350" s="280"/>
      <c r="GC350" s="280"/>
      <c r="GD350" s="280"/>
      <c r="GE350" s="280"/>
      <c r="GF350" s="281"/>
      <c r="GG350" s="281"/>
      <c r="GH350" s="281"/>
      <c r="GI350" s="281"/>
      <c r="GJ350" s="281"/>
      <c r="GK350" s="281"/>
      <c r="GL350" s="281"/>
      <c r="GM350" s="281"/>
      <c r="GN350" s="281"/>
      <c r="GO350" s="280"/>
      <c r="GP350" s="281"/>
      <c r="GQ350" s="281"/>
      <c r="GR350" s="281"/>
      <c r="GS350" s="281"/>
      <c r="GT350" s="281"/>
      <c r="GU350" s="281"/>
      <c r="GV350" s="281"/>
      <c r="GW350" s="281"/>
      <c r="GX350" s="281"/>
      <c r="GY350" s="281"/>
      <c r="GZ350" s="281"/>
      <c r="HA350" s="280"/>
      <c r="HB350" s="301"/>
      <c r="HC350" s="291"/>
      <c r="HD350" s="289"/>
      <c r="HE350" s="299"/>
      <c r="HF350" s="299"/>
      <c r="HG350" s="299"/>
      <c r="HH350" s="299"/>
      <c r="HI350" s="299"/>
      <c r="HJ350" s="299"/>
      <c r="HK350" s="299"/>
      <c r="HL350" s="264"/>
      <c r="HM350" s="264"/>
      <c r="HN350" s="167"/>
      <c r="HO350" s="167"/>
      <c r="HP350" s="167"/>
      <c r="HQ350" s="167"/>
      <c r="HR350" s="167"/>
      <c r="HS350" s="167"/>
      <c r="HT350" s="167"/>
      <c r="HU350" s="167"/>
      <c r="HV350" s="167"/>
      <c r="HW350" s="167"/>
      <c r="HX350" s="167"/>
      <c r="HY350" s="167"/>
      <c r="HZ350" s="167"/>
      <c r="IA350" s="167"/>
      <c r="IB350" s="167"/>
      <c r="IC350" s="167"/>
      <c r="ID350" s="167"/>
      <c r="IE350" s="167"/>
      <c r="IF350" s="167"/>
      <c r="IG350" s="167"/>
      <c r="IH350" s="167"/>
      <c r="II350" s="167"/>
      <c r="IJ350" s="167"/>
      <c r="IK350" s="167"/>
      <c r="IL350" s="167"/>
      <c r="IM350" s="167"/>
      <c r="IN350" s="167"/>
      <c r="IO350" s="167"/>
    </row>
    <row r="351" spans="1:250" s="265" customFormat="1" ht="18" customHeight="1">
      <c r="A351" s="195"/>
      <c r="B351" s="195"/>
      <c r="C351" s="195"/>
      <c r="D351" s="195"/>
      <c r="E351" s="195"/>
      <c r="F351" s="195"/>
      <c r="G351" s="195"/>
      <c r="H351" s="195"/>
      <c r="I351" s="195"/>
      <c r="J351" s="195"/>
      <c r="K351" s="167"/>
      <c r="L351" s="167"/>
      <c r="M351" s="167"/>
      <c r="N351" s="167"/>
      <c r="O351" s="167"/>
      <c r="P351" s="167"/>
      <c r="Q351" s="167"/>
      <c r="R351" s="289"/>
      <c r="S351" s="289"/>
      <c r="T351" s="289"/>
      <c r="U351" s="289"/>
      <c r="V351" s="289"/>
      <c r="W351" s="289"/>
      <c r="X351" s="289"/>
      <c r="Y351" s="264"/>
      <c r="Z351" s="264"/>
      <c r="AA351" s="167"/>
      <c r="AB351" s="167"/>
      <c r="AC351" s="167"/>
      <c r="AD351" s="167"/>
      <c r="AE351" s="167"/>
      <c r="AF351" s="167"/>
      <c r="AG351" s="167"/>
      <c r="AH351" s="167"/>
      <c r="AI351" s="167"/>
      <c r="AJ351" s="167"/>
      <c r="AK351" s="167"/>
      <c r="AL351" s="167"/>
      <c r="AM351" s="167"/>
      <c r="AN351" s="167"/>
      <c r="AO351" s="167"/>
      <c r="AP351" s="167"/>
      <c r="AQ351" s="167"/>
      <c r="AR351" s="167"/>
      <c r="AS351" s="167"/>
      <c r="AT351" s="167"/>
      <c r="AU351" s="167"/>
      <c r="AV351" s="167"/>
      <c r="AW351" s="167"/>
      <c r="AX351" s="167"/>
      <c r="AY351" s="167"/>
      <c r="AZ351" s="167"/>
      <c r="BA351" s="167"/>
      <c r="BB351" s="167"/>
      <c r="BL351" s="167"/>
      <c r="BX351" s="167"/>
      <c r="BY351" s="301"/>
      <c r="BZ351" s="291"/>
      <c r="CA351" s="289"/>
      <c r="CB351" s="289"/>
      <c r="CC351" s="289"/>
      <c r="CD351" s="289"/>
      <c r="CE351" s="289"/>
      <c r="CF351" s="289"/>
      <c r="CG351" s="289"/>
      <c r="CH351" s="289"/>
      <c r="CI351" s="264"/>
      <c r="CJ351" s="264"/>
      <c r="CK351" s="167"/>
      <c r="CL351" s="167"/>
      <c r="CM351" s="167"/>
      <c r="CN351" s="167"/>
      <c r="CO351" s="167"/>
      <c r="CP351" s="167"/>
      <c r="CQ351" s="167"/>
      <c r="CR351" s="167"/>
      <c r="CS351" s="167"/>
      <c r="CT351" s="167"/>
      <c r="CU351" s="167"/>
      <c r="CV351" s="167"/>
      <c r="CW351" s="167"/>
      <c r="CX351" s="167"/>
      <c r="CY351" s="167"/>
      <c r="CZ351" s="167"/>
      <c r="DA351" s="167"/>
      <c r="DB351" s="167"/>
      <c r="DC351" s="167"/>
      <c r="DD351" s="167"/>
      <c r="DE351" s="167"/>
      <c r="DF351" s="167"/>
      <c r="DG351" s="167"/>
      <c r="DH351" s="167"/>
      <c r="DI351" s="167"/>
      <c r="DJ351" s="167"/>
      <c r="DK351" s="167"/>
      <c r="DL351" s="167"/>
      <c r="DV351" s="167"/>
      <c r="EH351" s="167"/>
      <c r="EI351" s="301"/>
      <c r="EJ351" s="291"/>
      <c r="EK351" s="289"/>
      <c r="EL351" s="289"/>
      <c r="EM351" s="289"/>
      <c r="EN351" s="289"/>
      <c r="EO351" s="289"/>
      <c r="EP351" s="289"/>
      <c r="EQ351" s="289"/>
      <c r="ER351" s="289"/>
      <c r="ES351" s="264"/>
      <c r="ET351" s="264"/>
      <c r="EU351" s="167"/>
      <c r="EV351" s="167"/>
      <c r="EW351" s="167"/>
      <c r="EX351" s="167"/>
      <c r="EY351" s="167"/>
      <c r="EZ351" s="167"/>
      <c r="FA351" s="167"/>
      <c r="FB351" s="167"/>
      <c r="FC351" s="167"/>
      <c r="FD351" s="167"/>
      <c r="FE351" s="167"/>
      <c r="FF351" s="167"/>
      <c r="FG351" s="167"/>
      <c r="FH351" s="167"/>
      <c r="FI351" s="167"/>
      <c r="FJ351" s="167"/>
      <c r="FK351" s="167"/>
      <c r="FL351" s="167"/>
      <c r="FM351" s="167"/>
      <c r="FN351" s="167"/>
      <c r="FO351" s="167"/>
      <c r="FP351" s="167"/>
      <c r="FQ351" s="167"/>
      <c r="FR351" s="167"/>
      <c r="FS351" s="167"/>
      <c r="FT351" s="167"/>
      <c r="FU351" s="167"/>
      <c r="FV351" s="167"/>
      <c r="GF351" s="167"/>
      <c r="GR351" s="167"/>
      <c r="GS351" s="301"/>
      <c r="GT351" s="291"/>
      <c r="GU351" s="289"/>
      <c r="GV351" s="289"/>
      <c r="GW351" s="289"/>
      <c r="GX351" s="289"/>
      <c r="GY351" s="289"/>
      <c r="GZ351" s="289"/>
      <c r="HA351" s="289"/>
      <c r="HB351" s="289"/>
      <c r="HC351" s="264"/>
      <c r="HD351" s="264"/>
      <c r="HE351" s="167"/>
      <c r="HF351" s="167"/>
      <c r="HG351" s="167"/>
      <c r="HH351" s="167"/>
      <c r="HI351" s="167"/>
      <c r="HJ351" s="167"/>
      <c r="HK351" s="167"/>
      <c r="HL351" s="167"/>
      <c r="HM351" s="167"/>
      <c r="HN351" s="167"/>
      <c r="HO351" s="167"/>
      <c r="HP351" s="167"/>
      <c r="HQ351" s="167"/>
      <c r="HR351" s="167"/>
      <c r="HS351" s="167"/>
      <c r="HT351" s="167"/>
      <c r="HU351" s="167"/>
      <c r="HV351" s="167"/>
      <c r="HW351" s="167"/>
      <c r="HX351" s="167"/>
      <c r="HY351" s="167"/>
      <c r="HZ351" s="167"/>
      <c r="IA351" s="167"/>
      <c r="IB351" s="167"/>
      <c r="IC351" s="167"/>
      <c r="ID351" s="167"/>
      <c r="IE351" s="167"/>
      <c r="IF351" s="167"/>
      <c r="IP351" s="167"/>
    </row>
    <row r="352" spans="1:250" s="265" customFormat="1" ht="18" customHeight="1">
      <c r="A352" s="195"/>
      <c r="B352" s="195"/>
      <c r="C352" s="195"/>
      <c r="D352" s="195"/>
      <c r="E352" s="195"/>
      <c r="F352" s="195"/>
      <c r="G352" s="195"/>
      <c r="H352" s="195"/>
      <c r="I352" s="195"/>
      <c r="J352" s="195"/>
      <c r="R352" s="167"/>
      <c r="S352" s="167"/>
      <c r="T352" s="167"/>
      <c r="U352" s="167"/>
      <c r="V352" s="167"/>
      <c r="W352" s="167"/>
      <c r="X352" s="167"/>
      <c r="Y352" s="167"/>
      <c r="Z352" s="167"/>
      <c r="AA352" s="167"/>
      <c r="AB352" s="167"/>
      <c r="AC352" s="167"/>
      <c r="AD352" s="167"/>
      <c r="AE352" s="167"/>
      <c r="AF352" s="167"/>
      <c r="AG352" s="167"/>
      <c r="AH352" s="167"/>
      <c r="AI352" s="167"/>
      <c r="AJ352" s="167"/>
      <c r="AK352" s="167"/>
      <c r="AL352" s="167"/>
      <c r="AM352" s="167"/>
      <c r="AN352" s="167"/>
      <c r="AO352" s="167"/>
      <c r="AP352" s="167"/>
      <c r="AQ352" s="167"/>
      <c r="AR352" s="167"/>
      <c r="AS352" s="167"/>
      <c r="AT352" s="167"/>
      <c r="AU352" s="167"/>
      <c r="AV352" s="167"/>
      <c r="AW352" s="167"/>
      <c r="AX352" s="167"/>
      <c r="AY352" s="167"/>
      <c r="AZ352" s="167"/>
      <c r="BA352" s="167"/>
      <c r="BB352" s="167"/>
      <c r="BC352" s="167"/>
      <c r="BD352" s="167"/>
      <c r="BE352" s="167"/>
      <c r="BF352" s="167"/>
      <c r="BG352" s="167"/>
      <c r="BH352" s="167"/>
      <c r="BI352" s="167"/>
      <c r="BJ352" s="167"/>
      <c r="BK352" s="167"/>
      <c r="BL352" s="167"/>
      <c r="BM352" s="167"/>
      <c r="BN352" s="167"/>
      <c r="BO352" s="167"/>
      <c r="BP352" s="167"/>
      <c r="BQ352" s="167"/>
      <c r="BR352" s="167"/>
      <c r="BS352" s="167"/>
      <c r="BT352" s="167"/>
      <c r="BU352" s="167"/>
      <c r="BV352" s="167"/>
      <c r="BW352" s="167"/>
      <c r="BX352" s="167"/>
      <c r="BY352" s="167"/>
      <c r="BZ352" s="167"/>
      <c r="CA352" s="167"/>
      <c r="CB352" s="167"/>
      <c r="CC352" s="167"/>
      <c r="CD352" s="167"/>
      <c r="CE352" s="167"/>
      <c r="CF352" s="167"/>
      <c r="CG352" s="167"/>
      <c r="CH352" s="167"/>
      <c r="CI352" s="167"/>
      <c r="CJ352" s="167"/>
      <c r="CK352" s="167"/>
      <c r="CL352" s="167"/>
      <c r="CM352" s="167"/>
      <c r="CN352" s="167"/>
      <c r="CO352" s="167"/>
      <c r="CP352" s="167"/>
      <c r="CQ352" s="167"/>
      <c r="CR352" s="167"/>
      <c r="CS352" s="167"/>
      <c r="CT352" s="167"/>
      <c r="CU352" s="167"/>
      <c r="CV352" s="167"/>
      <c r="CW352" s="167"/>
      <c r="CX352" s="167"/>
      <c r="CY352" s="167"/>
      <c r="CZ352" s="167"/>
      <c r="DA352" s="167"/>
      <c r="DB352" s="167"/>
      <c r="DC352" s="167"/>
      <c r="DD352" s="167"/>
      <c r="DE352" s="167"/>
      <c r="DF352" s="167"/>
      <c r="DG352" s="167"/>
      <c r="DH352" s="167"/>
      <c r="DI352" s="167"/>
      <c r="DJ352" s="167"/>
      <c r="DK352" s="167"/>
      <c r="DL352" s="167"/>
      <c r="DM352" s="167"/>
      <c r="DN352" s="167"/>
      <c r="DO352" s="167"/>
      <c r="DP352" s="167"/>
      <c r="DQ352" s="167"/>
      <c r="DR352" s="167"/>
      <c r="DS352" s="167"/>
      <c r="DT352" s="167"/>
      <c r="DU352" s="167"/>
      <c r="DV352" s="167"/>
      <c r="DW352" s="167"/>
      <c r="DX352" s="167"/>
      <c r="DY352" s="167"/>
      <c r="DZ352" s="167"/>
      <c r="EA352" s="167"/>
      <c r="EB352" s="167"/>
      <c r="EC352" s="167"/>
      <c r="ED352" s="167"/>
      <c r="EE352" s="167"/>
      <c r="EF352" s="167"/>
      <c r="EG352" s="167"/>
      <c r="EH352" s="167"/>
      <c r="EI352" s="167"/>
      <c r="EJ352" s="167"/>
      <c r="EK352" s="167"/>
      <c r="EL352" s="167"/>
      <c r="EM352" s="167"/>
      <c r="EN352" s="167"/>
      <c r="EO352" s="167"/>
      <c r="EP352" s="167"/>
      <c r="EQ352" s="167"/>
      <c r="ER352" s="167"/>
      <c r="ES352" s="167"/>
      <c r="ET352" s="167"/>
      <c r="EU352" s="167"/>
      <c r="EV352" s="167"/>
      <c r="EW352" s="167"/>
      <c r="EX352" s="167"/>
      <c r="EY352" s="167"/>
      <c r="EZ352" s="167"/>
      <c r="FA352" s="167"/>
      <c r="FB352" s="167"/>
      <c r="FC352" s="167"/>
      <c r="FD352" s="167"/>
      <c r="FE352" s="167"/>
      <c r="FF352" s="167"/>
      <c r="FG352" s="167"/>
      <c r="FH352" s="167"/>
      <c r="FI352" s="167"/>
      <c r="FJ352" s="167"/>
      <c r="FK352" s="167"/>
      <c r="FL352" s="167"/>
      <c r="FM352" s="167"/>
      <c r="FN352" s="167"/>
      <c r="FO352" s="167"/>
      <c r="FP352" s="167"/>
      <c r="FQ352" s="167"/>
      <c r="FR352" s="167"/>
      <c r="FS352" s="167"/>
      <c r="FT352" s="167"/>
      <c r="FU352" s="167"/>
      <c r="FV352" s="167"/>
      <c r="FW352" s="167"/>
      <c r="FX352" s="167"/>
      <c r="FY352" s="167"/>
      <c r="FZ352" s="167"/>
      <c r="GA352" s="167"/>
      <c r="GB352" s="167"/>
      <c r="GC352" s="167"/>
      <c r="GD352" s="167"/>
      <c r="GE352" s="167"/>
      <c r="GF352" s="167"/>
      <c r="GG352" s="167"/>
      <c r="GH352" s="167"/>
      <c r="GI352" s="167"/>
      <c r="GJ352" s="167"/>
      <c r="GK352" s="167"/>
      <c r="GL352" s="167"/>
      <c r="GM352" s="167"/>
      <c r="GN352" s="167"/>
      <c r="GO352" s="167"/>
      <c r="GP352" s="167"/>
      <c r="GQ352" s="167"/>
      <c r="GR352" s="167"/>
      <c r="GS352" s="301"/>
      <c r="GT352" s="291"/>
      <c r="GU352" s="289"/>
      <c r="GV352" s="289"/>
      <c r="GW352" s="289"/>
      <c r="GX352" s="289"/>
      <c r="GY352" s="289"/>
      <c r="GZ352" s="289"/>
      <c r="HA352" s="289"/>
      <c r="HB352" s="289"/>
      <c r="HC352" s="264"/>
      <c r="HD352" s="264"/>
      <c r="HE352" s="167"/>
      <c r="HF352" s="167"/>
      <c r="HG352" s="167"/>
      <c r="HH352" s="167"/>
      <c r="HI352" s="167"/>
      <c r="HJ352" s="167"/>
      <c r="HK352" s="167"/>
      <c r="HL352" s="167"/>
      <c r="HM352" s="167"/>
      <c r="HN352" s="167"/>
      <c r="HO352" s="167"/>
      <c r="HP352" s="167"/>
      <c r="HQ352" s="167"/>
      <c r="HR352" s="167"/>
      <c r="HS352" s="167"/>
      <c r="HT352" s="167"/>
      <c r="HU352" s="167"/>
      <c r="HV352" s="167"/>
      <c r="HW352" s="167"/>
      <c r="HX352" s="167"/>
      <c r="HY352" s="167"/>
      <c r="HZ352" s="167"/>
      <c r="IA352" s="167"/>
      <c r="IB352" s="167"/>
      <c r="IC352" s="167"/>
      <c r="ID352" s="167"/>
      <c r="IE352" s="167"/>
      <c r="IP352" s="167"/>
    </row>
    <row r="353" spans="1:55" s="167" customFormat="1" ht="18" customHeight="1">
      <c r="A353" s="195"/>
      <c r="B353" s="195"/>
      <c r="C353" s="195"/>
      <c r="D353" s="195"/>
      <c r="E353" s="195"/>
      <c r="F353" s="195"/>
      <c r="G353" s="195"/>
      <c r="H353" s="195"/>
      <c r="I353" s="195"/>
      <c r="J353" s="195"/>
      <c r="K353" s="265"/>
      <c r="L353" s="265"/>
      <c r="M353" s="265"/>
      <c r="N353" s="265"/>
      <c r="O353" s="265"/>
      <c r="P353" s="265"/>
      <c r="Q353" s="265"/>
    </row>
    <row r="354" spans="1:55" s="167" customFormat="1" ht="18" customHeight="1">
      <c r="A354" s="169"/>
      <c r="B354" s="169"/>
      <c r="C354" s="169"/>
      <c r="D354" s="169"/>
      <c r="E354" s="169"/>
      <c r="F354" s="169"/>
      <c r="G354" s="169"/>
      <c r="H354" s="169"/>
      <c r="I354" s="169"/>
      <c r="J354" s="169"/>
    </row>
    <row r="355" spans="1:55" s="167" customFormat="1" ht="18" customHeight="1">
      <c r="A355" s="169"/>
      <c r="B355" s="169"/>
      <c r="C355" s="169"/>
      <c r="D355" s="169"/>
      <c r="E355" s="169"/>
      <c r="F355" s="169"/>
      <c r="G355" s="169"/>
      <c r="H355" s="169"/>
      <c r="I355" s="169"/>
      <c r="J355" s="169"/>
    </row>
    <row r="356" spans="1:55" s="265" customFormat="1" ht="18" customHeight="1">
      <c r="A356" s="169"/>
      <c r="B356" s="169"/>
      <c r="C356" s="169"/>
      <c r="D356" s="169"/>
      <c r="E356" s="169"/>
      <c r="F356" s="169"/>
      <c r="G356" s="169"/>
      <c r="H356" s="169"/>
      <c r="I356" s="169"/>
      <c r="J356" s="169"/>
      <c r="K356" s="167"/>
      <c r="L356" s="167"/>
      <c r="M356" s="167"/>
      <c r="N356" s="167"/>
      <c r="O356" s="167"/>
      <c r="P356" s="167"/>
      <c r="Q356" s="167"/>
      <c r="R356" s="183"/>
      <c r="S356" s="183"/>
      <c r="T356" s="183"/>
      <c r="U356" s="183"/>
      <c r="V356" s="183"/>
      <c r="W356" s="183"/>
      <c r="X356" s="183"/>
      <c r="Y356" s="264"/>
      <c r="Z356" s="264"/>
      <c r="AA356" s="167"/>
      <c r="AB356" s="167"/>
      <c r="AC356" s="167"/>
      <c r="AD356" s="167"/>
      <c r="AE356" s="167"/>
      <c r="AF356" s="167"/>
      <c r="AG356" s="167"/>
      <c r="AH356" s="167"/>
      <c r="AI356" s="167"/>
      <c r="AJ356" s="167"/>
      <c r="AK356" s="167"/>
      <c r="AL356" s="167"/>
      <c r="AM356" s="167"/>
      <c r="AN356" s="167"/>
      <c r="AO356" s="167"/>
      <c r="AP356" s="167"/>
      <c r="AQ356" s="167"/>
      <c r="AR356" s="167"/>
      <c r="AS356" s="167"/>
      <c r="AT356" s="167"/>
      <c r="AU356" s="167"/>
      <c r="AV356" s="167"/>
      <c r="AW356" s="167"/>
      <c r="AX356" s="167"/>
      <c r="AY356" s="167"/>
      <c r="AZ356" s="167"/>
      <c r="BA356" s="167"/>
      <c r="BB356" s="167"/>
    </row>
    <row r="357" spans="1:55" s="167" customFormat="1" ht="18" customHeight="1">
      <c r="A357" s="195"/>
      <c r="B357" s="195"/>
      <c r="C357" s="195"/>
      <c r="D357" s="195"/>
      <c r="E357" s="195"/>
      <c r="F357" s="195"/>
      <c r="G357" s="195"/>
      <c r="H357" s="195"/>
      <c r="I357" s="195"/>
      <c r="J357" s="195"/>
    </row>
    <row r="358" spans="1:55" s="167" customFormat="1" ht="18" customHeight="1">
      <c r="A358" s="169"/>
      <c r="B358" s="169"/>
      <c r="C358" s="169"/>
      <c r="D358" s="169"/>
      <c r="E358" s="169"/>
      <c r="F358" s="169"/>
      <c r="G358" s="169"/>
      <c r="H358" s="169"/>
      <c r="I358" s="169"/>
      <c r="J358" s="169"/>
    </row>
    <row r="359" spans="1:55" s="274" customFormat="1" ht="18" customHeight="1">
      <c r="A359" s="270">
        <f>A329+1</f>
        <v>12</v>
      </c>
      <c r="B359" s="271"/>
      <c r="C359" s="272" t="str">
        <f>IF($A$1 = 1, (IF("("&amp;C369&amp;")" ="()","","("&amp;C369&amp;")")), (IF("("&amp;C374&amp;")    ("&amp;C369&amp;")"="()    ()","","("&amp;C374&amp;")    ("&amp;C369&amp;")")))</f>
        <v>(130)    ()</v>
      </c>
      <c r="D359" s="272" t="str">
        <f t="shared" ref="D359:J359" si="33">IF($A$1 = 1, (IF("("&amp;D369&amp;")" ="()","","("&amp;D369&amp;")")), (IF("("&amp;D374&amp;")    ("&amp;D369&amp;")"="()    ()","","("&amp;D374&amp;")    ("&amp;D369&amp;")")))</f>
        <v>(60)    ()</v>
      </c>
      <c r="E359" s="272" t="str">
        <f t="shared" si="33"/>
        <v>(126)    ()</v>
      </c>
      <c r="F359" s="272" t="str">
        <f t="shared" si="33"/>
        <v>(115)    ()</v>
      </c>
      <c r="G359" s="272" t="str">
        <f t="shared" si="33"/>
        <v/>
      </c>
      <c r="H359" s="272" t="str">
        <f t="shared" si="33"/>
        <v/>
      </c>
      <c r="I359" s="272" t="str">
        <f t="shared" si="33"/>
        <v/>
      </c>
      <c r="J359" s="272" t="str">
        <f t="shared" si="33"/>
        <v/>
      </c>
      <c r="K359" s="273"/>
      <c r="L359" s="273"/>
      <c r="M359" s="273"/>
      <c r="N359" s="273"/>
      <c r="O359" s="273"/>
      <c r="P359" s="273"/>
      <c r="Q359" s="273"/>
      <c r="AI359" s="275"/>
      <c r="AJ359" s="275"/>
      <c r="AK359" s="275"/>
      <c r="AL359" s="275"/>
      <c r="AM359" s="275"/>
      <c r="AN359" s="275"/>
      <c r="AO359" s="275"/>
      <c r="AP359" s="275"/>
      <c r="AQ359" s="275"/>
      <c r="AR359" s="275"/>
      <c r="AS359" s="275"/>
      <c r="AT359" s="275"/>
      <c r="AU359" s="275"/>
      <c r="AV359" s="275"/>
      <c r="AW359" s="275"/>
      <c r="AX359" s="275"/>
      <c r="AY359" s="275"/>
      <c r="AZ359" s="275"/>
      <c r="BA359" s="275"/>
      <c r="BB359" s="275"/>
      <c r="BC359" s="275"/>
    </row>
    <row r="360" spans="1:55" s="280" customFormat="1" ht="59.1" customHeight="1">
      <c r="A360" s="276"/>
      <c r="B360" s="277"/>
      <c r="C360" s="278"/>
      <c r="D360" s="278"/>
      <c r="E360" s="278"/>
      <c r="F360" s="278"/>
      <c r="G360" s="278"/>
      <c r="H360" s="278"/>
      <c r="I360" s="278"/>
      <c r="J360" s="278"/>
      <c r="K360" s="279"/>
      <c r="L360" s="279"/>
      <c r="M360" s="279"/>
      <c r="N360" s="279"/>
      <c r="O360" s="279"/>
      <c r="P360" s="279"/>
      <c r="Q360" s="279"/>
      <c r="AI360" s="281"/>
      <c r="AJ360" s="281"/>
      <c r="AK360" s="281"/>
      <c r="AL360" s="281"/>
      <c r="AM360" s="281"/>
      <c r="AN360" s="281"/>
      <c r="AO360" s="281"/>
      <c r="AP360" s="281"/>
      <c r="AQ360" s="281"/>
      <c r="AS360" s="281"/>
      <c r="AT360" s="281"/>
      <c r="AU360" s="281"/>
      <c r="AV360" s="281"/>
      <c r="AW360" s="281"/>
      <c r="AX360" s="281"/>
      <c r="AY360" s="281"/>
      <c r="AZ360" s="281"/>
      <c r="BA360" s="281"/>
      <c r="BB360" s="281"/>
      <c r="BC360" s="281"/>
    </row>
    <row r="361" spans="1:55" s="167" customFormat="1" ht="21.95" customHeight="1">
      <c r="A361" s="266"/>
      <c r="B361" s="282" t="s">
        <v>3</v>
      </c>
      <c r="C361" s="283"/>
      <c r="D361" s="283"/>
      <c r="E361" s="283"/>
      <c r="F361" s="283"/>
      <c r="G361" s="283"/>
      <c r="H361" s="283"/>
      <c r="I361" s="283"/>
      <c r="J361" s="283"/>
      <c r="K361" s="284"/>
      <c r="L361" s="284"/>
      <c r="M361" s="284"/>
      <c r="N361" s="284"/>
      <c r="O361" s="284"/>
      <c r="P361" s="284"/>
      <c r="Q361" s="284"/>
      <c r="AI361" s="265"/>
      <c r="AJ361" s="265"/>
      <c r="AK361" s="265"/>
      <c r="AL361" s="265"/>
      <c r="AM361" s="265"/>
      <c r="AN361" s="265"/>
      <c r="AO361" s="265"/>
      <c r="AP361" s="265"/>
      <c r="AQ361" s="265"/>
      <c r="AS361" s="265"/>
      <c r="AT361" s="265"/>
      <c r="AU361" s="265"/>
      <c r="AV361" s="265"/>
      <c r="AW361" s="265"/>
      <c r="AX361" s="265"/>
      <c r="AY361" s="265"/>
      <c r="AZ361" s="265"/>
      <c r="BA361" s="265"/>
      <c r="BB361" s="265"/>
      <c r="BC361" s="265"/>
    </row>
    <row r="362" spans="1:55" s="167" customFormat="1" ht="21.95" customHeight="1">
      <c r="A362" s="266"/>
      <c r="B362" s="285" t="s">
        <v>18</v>
      </c>
      <c r="C362" s="283"/>
      <c r="D362" s="283"/>
      <c r="E362" s="283"/>
      <c r="F362" s="283"/>
      <c r="G362" s="283"/>
      <c r="H362" s="283"/>
      <c r="I362" s="283"/>
      <c r="J362" s="283"/>
      <c r="K362" s="286"/>
      <c r="L362" s="286"/>
      <c r="M362" s="286"/>
      <c r="N362" s="286"/>
      <c r="O362" s="286"/>
      <c r="P362" s="286"/>
      <c r="Q362" s="286"/>
      <c r="AI362" s="265"/>
      <c r="AJ362" s="265"/>
      <c r="AK362" s="265"/>
      <c r="AL362" s="265"/>
      <c r="AM362" s="265"/>
      <c r="AN362" s="265"/>
      <c r="AO362" s="265"/>
      <c r="AP362" s="265"/>
      <c r="AQ362" s="265"/>
      <c r="AS362" s="265"/>
      <c r="AT362" s="265"/>
      <c r="AU362" s="265"/>
      <c r="AV362" s="265"/>
      <c r="AW362" s="265"/>
      <c r="AX362" s="265"/>
      <c r="AY362" s="265"/>
      <c r="AZ362" s="265"/>
      <c r="BA362" s="265"/>
      <c r="BB362" s="265"/>
      <c r="BC362" s="265"/>
    </row>
    <row r="363" spans="1:55" s="167" customFormat="1" ht="21.95" customHeight="1">
      <c r="A363" s="169"/>
      <c r="B363" s="287" t="s">
        <v>32</v>
      </c>
      <c r="C363" s="283"/>
      <c r="D363" s="283"/>
      <c r="E363" s="283"/>
      <c r="F363" s="283"/>
      <c r="G363" s="283"/>
      <c r="H363" s="283"/>
      <c r="I363" s="283"/>
      <c r="J363" s="283"/>
      <c r="K363" s="286"/>
      <c r="L363" s="286"/>
      <c r="M363" s="286"/>
      <c r="N363" s="286"/>
      <c r="O363" s="286"/>
      <c r="P363" s="286"/>
      <c r="Q363" s="286"/>
      <c r="AI363" s="265"/>
      <c r="AJ363" s="265"/>
      <c r="AK363" s="265"/>
      <c r="AL363" s="265"/>
      <c r="AM363" s="265"/>
      <c r="AN363" s="265"/>
      <c r="AO363" s="265"/>
      <c r="AP363" s="265"/>
      <c r="AQ363" s="265"/>
      <c r="AS363" s="265"/>
      <c r="AT363" s="265"/>
      <c r="AU363" s="265"/>
      <c r="AV363" s="265"/>
      <c r="AW363" s="265"/>
      <c r="AX363" s="265"/>
      <c r="AY363" s="265"/>
      <c r="AZ363" s="265"/>
      <c r="BA363" s="265"/>
      <c r="BB363" s="265"/>
    </row>
    <row r="364" spans="1:55" s="167" customFormat="1" ht="21.95" customHeight="1">
      <c r="A364" s="169"/>
      <c r="B364" s="288" t="s">
        <v>45</v>
      </c>
      <c r="C364" s="283"/>
      <c r="D364" s="283"/>
      <c r="E364" s="283"/>
      <c r="F364" s="283"/>
      <c r="G364" s="283"/>
      <c r="H364" s="283"/>
      <c r="I364" s="283"/>
      <c r="J364" s="283"/>
      <c r="K364" s="286"/>
      <c r="L364" s="286"/>
      <c r="M364" s="286"/>
      <c r="N364" s="286"/>
      <c r="O364" s="286"/>
      <c r="P364" s="286"/>
      <c r="Q364" s="286"/>
      <c r="AI364" s="265"/>
      <c r="AJ364" s="265"/>
      <c r="AK364" s="265"/>
      <c r="AL364" s="265"/>
      <c r="AM364" s="265"/>
      <c r="AN364" s="265"/>
      <c r="AO364" s="265"/>
      <c r="AP364" s="265"/>
      <c r="AQ364" s="265"/>
      <c r="AS364" s="265"/>
      <c r="AT364" s="265"/>
      <c r="AU364" s="265"/>
      <c r="AV364" s="265"/>
      <c r="AW364" s="265"/>
      <c r="AX364" s="265"/>
      <c r="AY364" s="265"/>
      <c r="AZ364" s="265"/>
      <c r="BA364" s="265"/>
      <c r="BB364" s="265"/>
    </row>
    <row r="365" spans="1:55" s="167" customFormat="1" ht="21.95" customHeight="1">
      <c r="A365" s="169"/>
      <c r="B365" s="290" t="s">
        <v>54</v>
      </c>
      <c r="C365" s="283"/>
      <c r="D365" s="283"/>
      <c r="E365" s="283"/>
      <c r="F365" s="283"/>
      <c r="G365" s="283"/>
      <c r="H365" s="283"/>
      <c r="I365" s="283"/>
      <c r="J365" s="283"/>
      <c r="K365" s="286"/>
      <c r="L365" s="286"/>
      <c r="M365" s="286"/>
      <c r="N365" s="286"/>
      <c r="O365" s="286"/>
      <c r="P365" s="286"/>
      <c r="Q365" s="286"/>
      <c r="AI365" s="265"/>
      <c r="AJ365" s="265"/>
      <c r="AK365" s="265"/>
      <c r="AL365" s="265"/>
      <c r="AM365" s="265"/>
      <c r="AN365" s="265"/>
      <c r="AO365" s="265"/>
      <c r="AP365" s="265"/>
      <c r="AQ365" s="265"/>
      <c r="AS365" s="265"/>
      <c r="AT365" s="265"/>
      <c r="AU365" s="265"/>
      <c r="AV365" s="265"/>
      <c r="AW365" s="265"/>
      <c r="AX365" s="265"/>
      <c r="AY365" s="265"/>
      <c r="AZ365" s="265"/>
      <c r="BA365" s="265"/>
      <c r="BB365" s="265"/>
    </row>
    <row r="366" spans="1:55" s="167" customFormat="1">
      <c r="A366" s="169"/>
      <c r="B366" s="291" t="s">
        <v>66</v>
      </c>
      <c r="C366" s="286"/>
      <c r="D366" s="286"/>
      <c r="E366" s="286"/>
      <c r="F366" s="286"/>
      <c r="G366" s="286"/>
      <c r="H366" s="286"/>
      <c r="I366" s="286"/>
      <c r="J366" s="286"/>
      <c r="K366" s="286"/>
      <c r="L366" s="286"/>
      <c r="M366" s="286"/>
      <c r="N366" s="286"/>
      <c r="O366" s="286"/>
      <c r="P366" s="286"/>
      <c r="Q366" s="286"/>
      <c r="AI366" s="265"/>
      <c r="AJ366" s="265"/>
      <c r="AK366" s="265"/>
      <c r="AL366" s="265"/>
      <c r="AM366" s="265"/>
      <c r="AN366" s="265"/>
      <c r="AO366" s="265"/>
      <c r="AP366" s="265"/>
      <c r="AQ366" s="265"/>
      <c r="AS366" s="265"/>
      <c r="AT366" s="265"/>
      <c r="AU366" s="265"/>
      <c r="AV366" s="265"/>
      <c r="AW366" s="265"/>
      <c r="AX366" s="265"/>
      <c r="AY366" s="265"/>
      <c r="AZ366" s="265"/>
      <c r="BA366" s="265"/>
      <c r="BB366" s="265"/>
    </row>
    <row r="367" spans="1:55" s="167" customFormat="1">
      <c r="A367" s="169"/>
      <c r="B367" s="291" t="s">
        <v>158</v>
      </c>
      <c r="C367" s="292"/>
      <c r="D367" s="292"/>
      <c r="E367" s="292"/>
      <c r="F367" s="292"/>
      <c r="G367" s="292"/>
      <c r="H367" s="292"/>
      <c r="I367" s="292"/>
      <c r="J367" s="292"/>
      <c r="K367" s="292"/>
      <c r="L367" s="292"/>
      <c r="M367" s="292"/>
      <c r="N367" s="292"/>
      <c r="O367" s="292"/>
      <c r="P367" s="292"/>
      <c r="Q367" s="292"/>
      <c r="AI367" s="265"/>
      <c r="AJ367" s="265"/>
      <c r="AK367" s="265"/>
      <c r="AL367" s="265"/>
      <c r="AM367" s="265"/>
      <c r="AN367" s="265"/>
      <c r="AO367" s="265"/>
      <c r="AP367" s="265"/>
      <c r="AQ367" s="265"/>
      <c r="AS367" s="265"/>
      <c r="AT367" s="265"/>
      <c r="AU367" s="265"/>
      <c r="AV367" s="265"/>
      <c r="AW367" s="265"/>
      <c r="AX367" s="265"/>
      <c r="AY367" s="265"/>
      <c r="AZ367" s="265"/>
      <c r="BA367" s="265"/>
      <c r="BB367" s="265"/>
    </row>
    <row r="368" spans="1:55" s="167" customFormat="1">
      <c r="A368" s="169"/>
      <c r="B368" s="291" t="s">
        <v>189</v>
      </c>
      <c r="C368" s="292"/>
      <c r="D368" s="292"/>
      <c r="E368" s="292"/>
      <c r="F368" s="292"/>
      <c r="G368" s="292"/>
      <c r="H368" s="292"/>
      <c r="I368" s="292"/>
      <c r="J368" s="292"/>
      <c r="K368" s="292"/>
      <c r="L368" s="292"/>
      <c r="M368" s="292"/>
      <c r="N368" s="292"/>
      <c r="O368" s="292"/>
      <c r="P368" s="292"/>
      <c r="Q368" s="292"/>
      <c r="AI368" s="293"/>
      <c r="AJ368" s="293"/>
      <c r="AK368" s="293"/>
      <c r="AL368" s="293"/>
      <c r="AM368" s="293"/>
      <c r="AN368" s="265"/>
      <c r="AO368" s="265"/>
      <c r="AP368" s="265"/>
      <c r="AQ368" s="265"/>
      <c r="AS368" s="265"/>
      <c r="AT368" s="265"/>
      <c r="AU368" s="265"/>
      <c r="AV368" s="265"/>
      <c r="AW368" s="265"/>
      <c r="AX368" s="265"/>
      <c r="AY368" s="265"/>
      <c r="AZ368" s="265"/>
      <c r="BA368" s="265"/>
      <c r="BB368" s="265"/>
    </row>
    <row r="369" spans="1:250" s="167" customFormat="1" ht="15" thickBot="1">
      <c r="A369" s="169"/>
      <c r="B369" s="291" t="s">
        <v>345</v>
      </c>
      <c r="C369" s="292"/>
      <c r="D369" s="292"/>
      <c r="E369" s="292"/>
      <c r="F369" s="292"/>
      <c r="G369" s="292"/>
      <c r="H369" s="292"/>
      <c r="I369" s="292"/>
      <c r="J369" s="292"/>
      <c r="K369" s="292"/>
      <c r="L369" s="292"/>
      <c r="M369" s="292"/>
      <c r="N369" s="292"/>
      <c r="O369" s="292"/>
      <c r="P369" s="292"/>
      <c r="Q369" s="292"/>
      <c r="AI369" s="265"/>
      <c r="AJ369" s="265"/>
      <c r="AK369" s="265"/>
      <c r="AL369" s="265"/>
      <c r="AM369" s="265"/>
      <c r="AN369" s="265"/>
      <c r="AO369" s="265"/>
      <c r="AP369" s="265"/>
      <c r="AQ369" s="265"/>
      <c r="AS369" s="265"/>
      <c r="AT369" s="265"/>
      <c r="AU369" s="265"/>
      <c r="AV369" s="265"/>
      <c r="AW369" s="265"/>
      <c r="AX369" s="265"/>
      <c r="AY369" s="265"/>
      <c r="AZ369" s="265"/>
      <c r="BA369" s="265"/>
      <c r="BB369" s="265"/>
    </row>
    <row r="370" spans="1:250" s="167" customFormat="1">
      <c r="A370" s="266"/>
      <c r="B370" s="294" t="s">
        <v>166</v>
      </c>
      <c r="C370" s="295">
        <f>IF(OR(C373="**",C373=""),"",VALUE(C373))</f>
        <v>89</v>
      </c>
      <c r="D370" s="295">
        <f t="shared" ref="D370:J370" si="34">IF(OR(D373="**",D373=""),"",VALUE(D373))</f>
        <v>80</v>
      </c>
      <c r="E370" s="295">
        <f t="shared" si="34"/>
        <v>79</v>
      </c>
      <c r="F370" s="295">
        <f t="shared" si="34"/>
        <v>61</v>
      </c>
      <c r="G370" s="295" t="str">
        <f t="shared" si="34"/>
        <v/>
      </c>
      <c r="H370" s="295" t="str">
        <f t="shared" si="34"/>
        <v/>
      </c>
      <c r="I370" s="295" t="str">
        <f t="shared" si="34"/>
        <v/>
      </c>
      <c r="J370" s="295" t="str">
        <f t="shared" si="34"/>
        <v/>
      </c>
      <c r="K370" s="183"/>
      <c r="L370" s="183"/>
      <c r="M370" s="183"/>
      <c r="N370" s="183"/>
      <c r="O370" s="183"/>
      <c r="P370" s="183"/>
      <c r="Q370" s="183"/>
      <c r="AI370" s="265"/>
      <c r="AJ370" s="265"/>
      <c r="AK370" s="265"/>
      <c r="AL370" s="265"/>
      <c r="AM370" s="265"/>
      <c r="AN370" s="265"/>
      <c r="AO370" s="265"/>
      <c r="AP370" s="265"/>
      <c r="AQ370" s="265"/>
      <c r="AS370" s="265"/>
      <c r="AT370" s="265"/>
      <c r="AU370" s="265"/>
      <c r="AV370" s="265"/>
      <c r="AW370" s="265"/>
      <c r="AX370" s="265"/>
      <c r="AY370" s="265"/>
      <c r="AZ370" s="265"/>
      <c r="BA370" s="265"/>
      <c r="BB370" s="265"/>
    </row>
    <row r="371" spans="1:250" s="167" customFormat="1" ht="15" thickBot="1">
      <c r="A371" s="266"/>
      <c r="B371" s="296" t="s">
        <v>165</v>
      </c>
      <c r="C371" s="297" t="str">
        <f t="shared" ref="C371:J371" si="35">IF(OR(C367="**",C367=""),"",VALUE(C367))</f>
        <v/>
      </c>
      <c r="D371" s="297" t="str">
        <f t="shared" si="35"/>
        <v/>
      </c>
      <c r="E371" s="297" t="str">
        <f t="shared" si="35"/>
        <v/>
      </c>
      <c r="F371" s="297" t="str">
        <f t="shared" si="35"/>
        <v/>
      </c>
      <c r="G371" s="297" t="str">
        <f t="shared" si="35"/>
        <v/>
      </c>
      <c r="H371" s="297" t="str">
        <f t="shared" si="35"/>
        <v/>
      </c>
      <c r="I371" s="297" t="str">
        <f t="shared" si="35"/>
        <v/>
      </c>
      <c r="J371" s="297" t="str">
        <f t="shared" si="35"/>
        <v/>
      </c>
      <c r="K371" s="260"/>
      <c r="L371" s="260"/>
      <c r="M371" s="260"/>
      <c r="N371" s="260"/>
      <c r="O371" s="260"/>
      <c r="P371" s="260"/>
      <c r="Q371" s="260"/>
      <c r="AI371" s="260"/>
      <c r="AJ371" s="260"/>
      <c r="AK371" s="260"/>
      <c r="AL371" s="260"/>
      <c r="AM371" s="260"/>
      <c r="AN371" s="260"/>
      <c r="AO371" s="260"/>
      <c r="AP371" s="260"/>
      <c r="AQ371" s="265"/>
      <c r="AR371" s="265"/>
      <c r="AS371" s="265"/>
      <c r="AT371" s="265"/>
      <c r="AU371" s="265"/>
      <c r="AV371" s="265"/>
      <c r="AW371" s="265"/>
      <c r="AX371" s="265"/>
      <c r="AY371" s="265"/>
      <c r="AZ371" s="265"/>
      <c r="BA371" s="265"/>
      <c r="BB371" s="265"/>
    </row>
    <row r="372" spans="1:250" s="167" customFormat="1">
      <c r="A372" s="169"/>
      <c r="B372" s="298" t="s">
        <v>385</v>
      </c>
      <c r="C372" s="195" t="s">
        <v>822</v>
      </c>
      <c r="D372" s="195" t="s">
        <v>817</v>
      </c>
      <c r="E372" s="195" t="s">
        <v>818</v>
      </c>
      <c r="F372" s="195" t="s">
        <v>819</v>
      </c>
      <c r="G372" s="195"/>
      <c r="H372" s="195"/>
      <c r="I372" s="195"/>
      <c r="J372" s="195"/>
      <c r="K372" s="264"/>
      <c r="L372" s="264"/>
      <c r="M372" s="264"/>
      <c r="N372" s="264"/>
      <c r="O372" s="264"/>
      <c r="P372" s="264"/>
      <c r="Q372" s="264"/>
      <c r="AI372" s="265"/>
      <c r="AJ372" s="265"/>
      <c r="AK372" s="265"/>
      <c r="AL372" s="265"/>
      <c r="AM372" s="265"/>
      <c r="AN372" s="265"/>
      <c r="AO372" s="265"/>
      <c r="AP372" s="265"/>
      <c r="AQ372" s="265"/>
      <c r="AR372" s="265"/>
      <c r="AS372" s="265"/>
      <c r="AT372" s="265"/>
      <c r="AU372" s="265"/>
      <c r="AV372" s="265"/>
      <c r="AW372" s="265"/>
      <c r="AX372" s="265"/>
      <c r="AY372" s="265"/>
      <c r="AZ372" s="265"/>
      <c r="BA372" s="265"/>
      <c r="BB372" s="265"/>
    </row>
    <row r="373" spans="1:250" s="167" customFormat="1">
      <c r="A373" s="169"/>
      <c r="B373" s="291" t="s">
        <v>158</v>
      </c>
      <c r="C373" s="258">
        <v>89</v>
      </c>
      <c r="D373" s="258">
        <v>80</v>
      </c>
      <c r="E373" s="258">
        <v>79</v>
      </c>
      <c r="F373" s="258">
        <v>61</v>
      </c>
      <c r="G373" s="258"/>
      <c r="H373" s="258"/>
      <c r="I373" s="258"/>
      <c r="J373" s="258"/>
      <c r="K373" s="264"/>
      <c r="L373" s="264"/>
      <c r="M373" s="264"/>
      <c r="N373" s="264"/>
      <c r="O373" s="264"/>
      <c r="P373" s="264"/>
      <c r="Q373" s="264"/>
      <c r="AI373" s="265"/>
      <c r="AJ373" s="265"/>
      <c r="AK373" s="265"/>
      <c r="AL373" s="265"/>
      <c r="AM373" s="265"/>
      <c r="AN373" s="265"/>
      <c r="AO373" s="265"/>
      <c r="AP373" s="265"/>
      <c r="AQ373" s="265"/>
      <c r="AR373" s="265"/>
      <c r="AS373" s="265"/>
      <c r="AT373" s="265"/>
      <c r="AU373" s="265"/>
      <c r="AV373" s="265"/>
      <c r="AW373" s="265"/>
      <c r="AX373" s="265"/>
      <c r="AY373" s="265"/>
      <c r="AZ373" s="265"/>
      <c r="BA373" s="265"/>
      <c r="BB373" s="265"/>
    </row>
    <row r="374" spans="1:250" s="167" customFormat="1">
      <c r="A374" s="169"/>
      <c r="B374" s="298" t="s">
        <v>345</v>
      </c>
      <c r="C374" s="258">
        <v>130</v>
      </c>
      <c r="D374" s="258">
        <v>60</v>
      </c>
      <c r="E374" s="258">
        <v>126</v>
      </c>
      <c r="F374" s="258">
        <v>115</v>
      </c>
      <c r="G374" s="258"/>
      <c r="H374" s="258"/>
      <c r="I374" s="258"/>
      <c r="J374" s="258"/>
      <c r="W374" s="265"/>
      <c r="X374" s="265"/>
      <c r="Y374" s="265"/>
      <c r="Z374" s="265"/>
      <c r="AA374" s="265"/>
      <c r="AB374" s="265"/>
      <c r="AC374" s="265"/>
      <c r="AD374" s="265"/>
      <c r="AE374" s="265"/>
      <c r="AF374" s="265"/>
      <c r="AG374" s="265"/>
      <c r="AH374" s="265"/>
      <c r="AI374" s="265"/>
      <c r="AJ374" s="265"/>
      <c r="AK374" s="265"/>
      <c r="AL374" s="265"/>
      <c r="AM374" s="265"/>
      <c r="AN374" s="265"/>
      <c r="AO374" s="265"/>
      <c r="AP374" s="265"/>
      <c r="AQ374" s="265"/>
      <c r="IF374" s="303"/>
      <c r="IG374" s="260"/>
      <c r="IH374" s="260"/>
      <c r="II374" s="260"/>
      <c r="IJ374" s="260"/>
      <c r="IK374" s="260"/>
      <c r="IL374" s="264"/>
      <c r="IM374" s="264"/>
      <c r="IN374" s="264"/>
      <c r="IO374" s="264"/>
      <c r="IP374" s="264"/>
    </row>
    <row r="375" spans="1:250" s="167" customFormat="1">
      <c r="A375" s="169"/>
      <c r="B375" s="169"/>
      <c r="C375" s="169"/>
      <c r="D375" s="169"/>
      <c r="E375" s="169"/>
      <c r="F375" s="169"/>
      <c r="G375" s="169"/>
      <c r="H375" s="169"/>
      <c r="I375" s="169"/>
      <c r="J375" s="169"/>
      <c r="T375" s="265"/>
      <c r="U375" s="265"/>
      <c r="V375" s="265"/>
      <c r="W375" s="265"/>
      <c r="X375" s="265"/>
      <c r="Y375" s="265"/>
      <c r="Z375" s="265"/>
      <c r="AA375" s="265"/>
      <c r="AB375" s="265"/>
      <c r="AC375" s="265"/>
      <c r="AD375" s="265"/>
      <c r="AE375" s="265"/>
      <c r="AF375" s="265"/>
      <c r="AG375" s="265"/>
      <c r="AH375" s="265"/>
      <c r="AI375" s="265"/>
      <c r="AJ375" s="265"/>
      <c r="AK375" s="265"/>
      <c r="AL375" s="265"/>
      <c r="AM375" s="265"/>
      <c r="AN375" s="265"/>
      <c r="IC375" s="301"/>
      <c r="ID375" s="303"/>
      <c r="IE375" s="260"/>
      <c r="IF375" s="260"/>
      <c r="IG375" s="260"/>
      <c r="IH375" s="260"/>
      <c r="II375" s="260"/>
      <c r="IJ375" s="264"/>
      <c r="IK375" s="264"/>
      <c r="IL375" s="264"/>
      <c r="IM375" s="264"/>
      <c r="IN375" s="264"/>
    </row>
    <row r="376" spans="1:250" s="167" customFormat="1">
      <c r="A376" s="169"/>
      <c r="B376" s="169"/>
      <c r="C376" s="169"/>
      <c r="D376" s="169"/>
      <c r="E376" s="169"/>
      <c r="F376" s="169"/>
      <c r="G376" s="169"/>
      <c r="H376" s="169"/>
      <c r="I376" s="169"/>
      <c r="J376" s="169"/>
      <c r="T376" s="265"/>
      <c r="U376" s="265"/>
      <c r="V376" s="265"/>
      <c r="W376" s="265"/>
      <c r="X376" s="265"/>
      <c r="Y376" s="265"/>
      <c r="Z376" s="265"/>
      <c r="AA376" s="265"/>
      <c r="AB376" s="265"/>
      <c r="AC376" s="265"/>
      <c r="AD376" s="265"/>
      <c r="AE376" s="265"/>
      <c r="AF376" s="265"/>
      <c r="AG376" s="265"/>
      <c r="AH376" s="265"/>
      <c r="AI376" s="265"/>
      <c r="AJ376" s="265"/>
      <c r="AK376" s="265"/>
      <c r="AL376" s="265"/>
      <c r="AM376" s="265"/>
      <c r="AN376" s="265"/>
      <c r="IC376" s="301"/>
      <c r="ID376" s="303"/>
      <c r="IE376" s="260"/>
      <c r="IF376" s="260"/>
      <c r="IG376" s="260"/>
      <c r="IH376" s="260"/>
      <c r="II376" s="260"/>
      <c r="IJ376" s="264"/>
      <c r="IK376" s="264"/>
      <c r="IL376" s="264"/>
      <c r="IM376" s="264"/>
      <c r="IN376" s="264"/>
    </row>
    <row r="377" spans="1:250" s="167" customFormat="1">
      <c r="A377" s="169"/>
      <c r="B377" s="169"/>
      <c r="C377" s="169"/>
      <c r="D377" s="169"/>
      <c r="E377" s="169"/>
      <c r="F377" s="169"/>
      <c r="G377" s="169"/>
      <c r="H377" s="169"/>
      <c r="I377" s="169"/>
      <c r="J377" s="169"/>
      <c r="T377" s="265"/>
      <c r="U377" s="265"/>
      <c r="V377" s="265"/>
      <c r="W377" s="265"/>
      <c r="X377" s="265"/>
      <c r="Y377" s="265"/>
      <c r="Z377" s="265"/>
      <c r="AA377" s="265"/>
      <c r="AB377" s="265"/>
      <c r="AC377" s="265"/>
      <c r="AD377" s="265"/>
      <c r="AE377" s="265"/>
      <c r="AF377" s="265"/>
      <c r="AG377" s="265"/>
      <c r="AH377" s="265"/>
      <c r="AI377" s="265"/>
      <c r="AJ377" s="265"/>
      <c r="AK377" s="265"/>
      <c r="AL377" s="265"/>
      <c r="AM377" s="265"/>
      <c r="AN377" s="265"/>
      <c r="IC377" s="301"/>
      <c r="ID377" s="303"/>
      <c r="IE377" s="260"/>
      <c r="IF377" s="260"/>
      <c r="IG377" s="260"/>
      <c r="IH377" s="260"/>
      <c r="II377" s="260"/>
      <c r="IJ377" s="264"/>
      <c r="IK377" s="264"/>
      <c r="IL377" s="264"/>
      <c r="IM377" s="264"/>
      <c r="IN377" s="264"/>
    </row>
    <row r="378" spans="1:250" s="167" customFormat="1" ht="18" customHeight="1">
      <c r="A378" s="169"/>
      <c r="B378" s="169"/>
      <c r="C378" s="169"/>
      <c r="D378" s="169"/>
      <c r="E378" s="169"/>
      <c r="F378" s="169"/>
      <c r="G378" s="169"/>
      <c r="H378" s="169"/>
      <c r="I378" s="169"/>
      <c r="J378" s="169"/>
      <c r="T378" s="265"/>
      <c r="U378" s="265"/>
      <c r="V378" s="265"/>
      <c r="W378" s="265"/>
      <c r="X378" s="265"/>
      <c r="Y378" s="265"/>
      <c r="Z378" s="265"/>
      <c r="AA378" s="265"/>
      <c r="AB378" s="265"/>
      <c r="AC378" s="265"/>
      <c r="AD378" s="265"/>
      <c r="AE378" s="265"/>
      <c r="AF378" s="265"/>
      <c r="AG378" s="265"/>
      <c r="AH378" s="265"/>
      <c r="AI378" s="265"/>
      <c r="AJ378" s="265"/>
      <c r="AK378" s="265"/>
      <c r="AL378" s="265"/>
      <c r="AM378" s="265"/>
      <c r="AN378" s="265"/>
      <c r="IC378" s="301"/>
      <c r="ID378" s="303"/>
      <c r="IE378" s="260"/>
      <c r="IF378" s="260"/>
      <c r="IG378" s="260"/>
      <c r="IH378" s="260"/>
      <c r="II378" s="260"/>
      <c r="IJ378" s="264"/>
      <c r="IK378" s="264"/>
      <c r="IL378" s="264"/>
      <c r="IM378" s="264"/>
      <c r="IN378" s="264"/>
    </row>
    <row r="379" spans="1:250" s="167" customFormat="1" ht="18" customHeight="1">
      <c r="A379" s="169" t="s">
        <v>183</v>
      </c>
      <c r="B379" s="169"/>
      <c r="C379" s="169"/>
      <c r="D379" s="169"/>
      <c r="E379" s="169"/>
      <c r="F379" s="169"/>
      <c r="G379" s="169"/>
      <c r="H379" s="169"/>
      <c r="I379" s="169"/>
      <c r="J379" s="169"/>
      <c r="T379" s="265"/>
      <c r="U379" s="265"/>
      <c r="V379" s="265"/>
      <c r="W379" s="265"/>
      <c r="X379" s="265"/>
      <c r="Y379" s="265"/>
      <c r="Z379" s="265"/>
      <c r="AA379" s="265"/>
      <c r="AB379" s="265"/>
      <c r="AC379" s="265"/>
      <c r="AD379" s="265"/>
      <c r="AE379" s="265"/>
      <c r="AF379" s="265"/>
      <c r="AG379" s="265"/>
      <c r="AH379" s="265"/>
      <c r="AI379" s="265"/>
      <c r="AJ379" s="265"/>
      <c r="AK379" s="265"/>
      <c r="AL379" s="265"/>
      <c r="AM379" s="265"/>
      <c r="AN379" s="265"/>
      <c r="IC379" s="301"/>
      <c r="ID379" s="303"/>
      <c r="IE379" s="260"/>
      <c r="IF379" s="260"/>
      <c r="IG379" s="260"/>
      <c r="IH379" s="260"/>
      <c r="II379" s="260"/>
      <c r="IJ379" s="264"/>
      <c r="IK379" s="264"/>
      <c r="IL379" s="264"/>
      <c r="IM379" s="264"/>
      <c r="IN379" s="264"/>
    </row>
    <row r="380" spans="1:250" s="167" customFormat="1" ht="18" customHeight="1">
      <c r="A380" s="169">
        <v>7</v>
      </c>
      <c r="B380" s="169"/>
      <c r="C380" s="169"/>
      <c r="D380" s="169"/>
      <c r="E380" s="169"/>
      <c r="F380" s="169"/>
      <c r="G380" s="169"/>
      <c r="H380" s="169"/>
      <c r="I380" s="169"/>
      <c r="J380" s="169"/>
      <c r="T380" s="265"/>
      <c r="U380" s="265"/>
      <c r="V380" s="265"/>
      <c r="W380" s="265"/>
      <c r="X380" s="265"/>
      <c r="Y380" s="265"/>
      <c r="Z380" s="265"/>
      <c r="AA380" s="265"/>
      <c r="AB380" s="265"/>
      <c r="AC380" s="265"/>
      <c r="AD380" s="265"/>
      <c r="AE380" s="265"/>
      <c r="AF380" s="265"/>
      <c r="AG380" s="265"/>
      <c r="AH380" s="265"/>
      <c r="AI380" s="265"/>
      <c r="AJ380" s="265"/>
      <c r="AK380" s="265"/>
      <c r="AL380" s="265"/>
      <c r="AM380" s="265"/>
      <c r="AN380" s="265"/>
      <c r="AP380" s="301"/>
      <c r="AQ380" s="303"/>
      <c r="AR380" s="260"/>
      <c r="AS380" s="260"/>
      <c r="AT380" s="260"/>
      <c r="AU380" s="260"/>
      <c r="AV380" s="260"/>
      <c r="AW380" s="264"/>
      <c r="AX380" s="264"/>
      <c r="AY380" s="264"/>
      <c r="AZ380" s="264"/>
      <c r="BA380" s="264"/>
      <c r="CD380" s="265"/>
      <c r="CE380" s="265"/>
      <c r="CF380" s="265"/>
      <c r="CG380" s="265"/>
      <c r="CH380" s="265"/>
      <c r="CI380" s="265"/>
      <c r="CJ380" s="265"/>
      <c r="CK380" s="265"/>
      <c r="CL380" s="265"/>
      <c r="CM380" s="265"/>
      <c r="CN380" s="265"/>
      <c r="CO380" s="265"/>
      <c r="CP380" s="265"/>
      <c r="CQ380" s="265"/>
      <c r="CR380" s="265"/>
      <c r="CS380" s="265"/>
      <c r="CT380" s="265"/>
      <c r="CU380" s="265"/>
      <c r="CV380" s="265"/>
      <c r="CW380" s="265"/>
      <c r="CX380" s="265"/>
      <c r="CZ380" s="301"/>
      <c r="DA380" s="303"/>
      <c r="DB380" s="260"/>
      <c r="DC380" s="260"/>
      <c r="DD380" s="260"/>
      <c r="DE380" s="260"/>
      <c r="DF380" s="260"/>
      <c r="DG380" s="264"/>
      <c r="DH380" s="264"/>
      <c r="DI380" s="264"/>
      <c r="DJ380" s="264"/>
      <c r="DK380" s="264"/>
      <c r="EN380" s="265"/>
      <c r="EO380" s="265"/>
      <c r="EP380" s="265"/>
      <c r="EQ380" s="265"/>
      <c r="ER380" s="265"/>
      <c r="ES380" s="265"/>
      <c r="ET380" s="265"/>
      <c r="EU380" s="265"/>
      <c r="EV380" s="265"/>
      <c r="EW380" s="265"/>
      <c r="EX380" s="265"/>
      <c r="EY380" s="265"/>
      <c r="EZ380" s="265"/>
      <c r="FA380" s="265"/>
      <c r="FB380" s="265"/>
      <c r="FC380" s="265"/>
      <c r="FD380" s="265"/>
      <c r="FE380" s="265"/>
      <c r="FF380" s="265"/>
      <c r="FG380" s="265"/>
      <c r="FH380" s="265"/>
      <c r="FJ380" s="301"/>
      <c r="FK380" s="303"/>
      <c r="FL380" s="260"/>
      <c r="FM380" s="260"/>
      <c r="FN380" s="260"/>
      <c r="FO380" s="260"/>
      <c r="FP380" s="260"/>
      <c r="FQ380" s="264"/>
      <c r="FR380" s="264"/>
      <c r="FS380" s="264"/>
      <c r="FT380" s="264"/>
      <c r="FU380" s="264"/>
      <c r="GX380" s="265"/>
      <c r="GY380" s="265"/>
      <c r="GZ380" s="265"/>
      <c r="HA380" s="265"/>
      <c r="HB380" s="265"/>
      <c r="HC380" s="265"/>
      <c r="HD380" s="265"/>
      <c r="HE380" s="265"/>
      <c r="HF380" s="265"/>
      <c r="HG380" s="265"/>
      <c r="HH380" s="265"/>
      <c r="HI380" s="265"/>
      <c r="HJ380" s="265"/>
      <c r="HK380" s="265"/>
      <c r="HL380" s="265"/>
      <c r="HM380" s="265"/>
      <c r="HN380" s="265"/>
      <c r="HO380" s="265"/>
      <c r="HP380" s="265"/>
      <c r="HQ380" s="265"/>
      <c r="HR380" s="265"/>
      <c r="HT380" s="301"/>
      <c r="HU380" s="303"/>
      <c r="HV380" s="260"/>
      <c r="HW380" s="260"/>
      <c r="HX380" s="260"/>
      <c r="HY380" s="260"/>
      <c r="HZ380" s="260"/>
      <c r="IA380" s="264"/>
      <c r="IB380" s="264"/>
      <c r="IC380" s="264"/>
      <c r="ID380" s="264"/>
      <c r="IE380" s="264"/>
    </row>
    <row r="381" spans="1:250" s="274" customFormat="1" ht="18" customHeight="1">
      <c r="A381" s="169"/>
      <c r="B381" s="169"/>
      <c r="C381" s="169"/>
      <c r="D381" s="169"/>
      <c r="E381" s="169"/>
      <c r="F381" s="169"/>
      <c r="G381" s="169"/>
      <c r="H381" s="169"/>
      <c r="I381" s="169"/>
      <c r="J381" s="169"/>
      <c r="K381" s="167"/>
      <c r="L381" s="167"/>
      <c r="M381" s="167"/>
      <c r="N381" s="167"/>
      <c r="O381" s="167"/>
      <c r="P381" s="167"/>
      <c r="Q381" s="167"/>
      <c r="R381" s="265"/>
      <c r="S381" s="265"/>
      <c r="T381" s="265"/>
      <c r="U381" s="265"/>
      <c r="V381" s="265"/>
      <c r="W381" s="265"/>
      <c r="X381" s="265"/>
      <c r="Y381" s="265"/>
      <c r="Z381" s="265"/>
      <c r="AA381" s="265"/>
      <c r="AB381" s="265"/>
      <c r="AC381" s="265"/>
      <c r="AD381" s="265"/>
      <c r="AE381" s="265"/>
      <c r="AF381" s="167"/>
      <c r="AG381" s="301"/>
      <c r="AH381" s="303"/>
      <c r="AI381" s="260"/>
      <c r="AJ381" s="260"/>
      <c r="AK381" s="260"/>
      <c r="AL381" s="260"/>
      <c r="AM381" s="260"/>
      <c r="AN381" s="264"/>
      <c r="AO381" s="264"/>
      <c r="AP381" s="264"/>
      <c r="AQ381" s="264"/>
      <c r="AR381" s="264"/>
      <c r="AS381" s="167"/>
      <c r="AT381" s="167"/>
      <c r="AU381" s="167"/>
      <c r="AV381" s="167"/>
      <c r="AW381" s="167"/>
      <c r="AX381" s="167"/>
      <c r="AY381" s="167"/>
      <c r="AZ381" s="167"/>
      <c r="BA381" s="167"/>
      <c r="BB381" s="167"/>
      <c r="BC381" s="167"/>
      <c r="BD381" s="167"/>
      <c r="BE381" s="167"/>
      <c r="BF381" s="167"/>
      <c r="BG381" s="167"/>
      <c r="BH381" s="167"/>
      <c r="BI381" s="167"/>
      <c r="BJ381" s="167"/>
      <c r="BK381" s="167"/>
      <c r="BL381" s="167"/>
      <c r="BM381" s="167"/>
      <c r="BN381" s="167"/>
      <c r="BO381" s="167"/>
      <c r="BP381" s="167"/>
      <c r="BQ381" s="167"/>
      <c r="BR381" s="167"/>
      <c r="BS381" s="167"/>
      <c r="BT381" s="167"/>
      <c r="BU381" s="265"/>
      <c r="BV381" s="265"/>
      <c r="BW381" s="265"/>
      <c r="BX381" s="265"/>
      <c r="BY381" s="265"/>
      <c r="BZ381" s="265"/>
      <c r="CA381" s="265"/>
      <c r="CB381" s="265"/>
      <c r="CC381" s="265"/>
      <c r="CD381" s="265"/>
      <c r="CE381" s="265"/>
      <c r="CF381" s="265"/>
      <c r="CG381" s="265"/>
      <c r="CH381" s="265"/>
      <c r="CI381" s="265"/>
      <c r="CJ381" s="265"/>
      <c r="CK381" s="265"/>
      <c r="CL381" s="265"/>
      <c r="CM381" s="265"/>
      <c r="CN381" s="265"/>
      <c r="CO381" s="265"/>
      <c r="CP381" s="167"/>
      <c r="CQ381" s="301"/>
      <c r="CR381" s="303"/>
      <c r="CS381" s="260"/>
      <c r="CT381" s="260"/>
      <c r="CU381" s="260"/>
      <c r="CV381" s="260"/>
      <c r="CW381" s="260"/>
      <c r="CX381" s="264"/>
      <c r="CY381" s="264"/>
      <c r="CZ381" s="264"/>
      <c r="DA381" s="264"/>
      <c r="DB381" s="264"/>
      <c r="DC381" s="167"/>
      <c r="DD381" s="167"/>
      <c r="DE381" s="167"/>
      <c r="DF381" s="167"/>
      <c r="DG381" s="167"/>
      <c r="DH381" s="167"/>
      <c r="DI381" s="167"/>
      <c r="DJ381" s="167"/>
      <c r="DK381" s="167"/>
      <c r="DL381" s="167"/>
      <c r="DM381" s="167"/>
      <c r="DN381" s="167"/>
      <c r="DO381" s="167"/>
      <c r="DP381" s="167"/>
      <c r="DQ381" s="167"/>
      <c r="DR381" s="167"/>
      <c r="DS381" s="167"/>
      <c r="DT381" s="167"/>
      <c r="DU381" s="167"/>
      <c r="DV381" s="167"/>
      <c r="DW381" s="167"/>
      <c r="DX381" s="167"/>
      <c r="DY381" s="167"/>
      <c r="DZ381" s="167"/>
      <c r="EA381" s="167"/>
      <c r="EB381" s="167"/>
      <c r="EC381" s="167"/>
      <c r="ED381" s="167"/>
      <c r="EE381" s="265"/>
      <c r="EF381" s="265"/>
      <c r="EG381" s="265"/>
      <c r="EH381" s="265"/>
      <c r="EI381" s="265"/>
      <c r="EJ381" s="265"/>
      <c r="EK381" s="265"/>
      <c r="EL381" s="265"/>
      <c r="EM381" s="265"/>
      <c r="EN381" s="265"/>
      <c r="EO381" s="265"/>
      <c r="EP381" s="265"/>
      <c r="EQ381" s="265"/>
      <c r="ER381" s="265"/>
      <c r="ES381" s="265"/>
      <c r="ET381" s="265"/>
      <c r="EU381" s="265"/>
      <c r="EV381" s="265"/>
      <c r="EW381" s="265"/>
      <c r="EX381" s="265"/>
      <c r="EY381" s="265"/>
      <c r="EZ381" s="167"/>
      <c r="FA381" s="301"/>
      <c r="FB381" s="303"/>
      <c r="FC381" s="260"/>
      <c r="FD381" s="260"/>
      <c r="FE381" s="260"/>
      <c r="FF381" s="260"/>
      <c r="FG381" s="260"/>
      <c r="FH381" s="264"/>
      <c r="FI381" s="264"/>
      <c r="FJ381" s="264"/>
      <c r="FK381" s="314"/>
      <c r="FL381" s="264"/>
      <c r="FM381" s="167"/>
      <c r="FN381" s="167"/>
      <c r="FO381" s="167"/>
      <c r="FP381" s="167"/>
      <c r="FQ381" s="167"/>
      <c r="FR381" s="167"/>
      <c r="FS381" s="167"/>
      <c r="FT381" s="167"/>
      <c r="FU381" s="167"/>
      <c r="FV381" s="167"/>
      <c r="FW381" s="167"/>
      <c r="FX381" s="167"/>
      <c r="FY381" s="167"/>
      <c r="FZ381" s="167"/>
      <c r="GA381" s="167"/>
      <c r="GB381" s="167"/>
      <c r="GC381" s="167"/>
      <c r="GD381" s="167"/>
      <c r="GE381" s="167"/>
      <c r="GF381" s="167"/>
      <c r="GG381" s="167"/>
      <c r="GH381" s="167"/>
      <c r="GI381" s="167"/>
      <c r="GJ381" s="167"/>
      <c r="GK381" s="167"/>
      <c r="GL381" s="167"/>
      <c r="GM381" s="167"/>
      <c r="GN381" s="167"/>
      <c r="GO381" s="265"/>
      <c r="GP381" s="265"/>
      <c r="GQ381" s="265"/>
      <c r="GR381" s="265"/>
      <c r="GS381" s="265"/>
      <c r="GT381" s="265"/>
      <c r="GU381" s="265"/>
      <c r="GV381" s="265"/>
      <c r="GW381" s="265"/>
      <c r="GX381" s="265"/>
      <c r="GY381" s="265"/>
      <c r="GZ381" s="265"/>
      <c r="HA381" s="265"/>
      <c r="HB381" s="265"/>
      <c r="HC381" s="265"/>
      <c r="HD381" s="265"/>
      <c r="HE381" s="265"/>
      <c r="HF381" s="265"/>
      <c r="HG381" s="265"/>
      <c r="HH381" s="265"/>
      <c r="HI381" s="265"/>
      <c r="HJ381" s="167"/>
      <c r="HK381" s="307"/>
      <c r="HL381" s="303"/>
      <c r="HM381" s="302"/>
      <c r="HN381" s="302"/>
      <c r="HO381" s="302"/>
      <c r="HP381" s="302"/>
      <c r="HQ381" s="302"/>
      <c r="HR381" s="302"/>
      <c r="HS381" s="302"/>
      <c r="HT381" s="302"/>
      <c r="HU381" s="302"/>
      <c r="HV381" s="302"/>
      <c r="HW381" s="302"/>
      <c r="HX381" s="302"/>
      <c r="HY381" s="302"/>
      <c r="HZ381" s="302"/>
    </row>
    <row r="382" spans="1:250" s="265" customFormat="1" ht="18" customHeight="1">
      <c r="A382" s="304"/>
      <c r="B382" s="304"/>
      <c r="C382" s="304"/>
      <c r="D382" s="304"/>
      <c r="E382" s="304"/>
      <c r="F382" s="304"/>
      <c r="G382" s="304"/>
      <c r="H382" s="304"/>
      <c r="I382" s="304"/>
      <c r="J382" s="304"/>
      <c r="K382" s="275"/>
      <c r="L382" s="275"/>
      <c r="M382" s="275"/>
      <c r="N382" s="275"/>
      <c r="O382" s="275"/>
      <c r="P382" s="275"/>
      <c r="Q382" s="275"/>
      <c r="R382" s="275"/>
      <c r="S382" s="275"/>
      <c r="T382" s="275"/>
      <c r="U382" s="275"/>
      <c r="V382" s="275"/>
      <c r="W382" s="274"/>
      <c r="X382" s="308"/>
      <c r="Y382" s="309"/>
      <c r="Z382" s="279"/>
      <c r="AA382" s="279"/>
      <c r="AB382" s="279"/>
      <c r="AC382" s="279"/>
      <c r="AD382" s="279"/>
      <c r="AE382" s="279"/>
      <c r="AF382" s="279"/>
      <c r="AG382" s="279"/>
      <c r="AH382" s="310"/>
      <c r="AI382" s="310"/>
      <c r="AJ382" s="280"/>
      <c r="AK382" s="280"/>
      <c r="AL382" s="280"/>
      <c r="AM382" s="280"/>
      <c r="AN382" s="280"/>
      <c r="AO382" s="280"/>
      <c r="AP382" s="280"/>
      <c r="AQ382" s="280"/>
      <c r="AR382" s="280"/>
      <c r="AS382" s="280"/>
      <c r="AT382" s="280"/>
      <c r="AU382" s="280"/>
      <c r="AV382" s="280"/>
      <c r="AW382" s="280"/>
      <c r="AX382" s="280"/>
      <c r="AY382" s="280"/>
      <c r="AZ382" s="280"/>
      <c r="BA382" s="280"/>
      <c r="BB382" s="280"/>
      <c r="BC382" s="280"/>
      <c r="BD382" s="280"/>
      <c r="BE382" s="280"/>
      <c r="BF382" s="280"/>
      <c r="BG382" s="280"/>
      <c r="BH382" s="280"/>
      <c r="BI382" s="280"/>
      <c r="BJ382" s="280"/>
      <c r="BK382" s="280"/>
      <c r="BL382" s="281"/>
      <c r="BM382" s="281"/>
      <c r="BN382" s="281"/>
      <c r="BO382" s="281"/>
      <c r="BP382" s="281"/>
      <c r="BQ382" s="281"/>
      <c r="BR382" s="281"/>
      <c r="BS382" s="281"/>
      <c r="BT382" s="281"/>
      <c r="BU382" s="280"/>
      <c r="BV382" s="281"/>
      <c r="BW382" s="281"/>
      <c r="BX382" s="281"/>
      <c r="BY382" s="281"/>
      <c r="BZ382" s="281"/>
      <c r="CA382" s="281"/>
      <c r="CB382" s="281"/>
      <c r="CC382" s="281"/>
      <c r="CD382" s="281"/>
      <c r="CE382" s="281"/>
      <c r="CF382" s="281"/>
      <c r="CG382" s="280"/>
      <c r="CH382" s="301"/>
      <c r="CI382" s="291"/>
      <c r="CJ382" s="289"/>
      <c r="CK382" s="299"/>
      <c r="CL382" s="299"/>
      <c r="CM382" s="299"/>
      <c r="CN382" s="299"/>
      <c r="CO382" s="299"/>
      <c r="CP382" s="299"/>
      <c r="CQ382" s="299"/>
      <c r="CR382" s="264"/>
      <c r="CS382" s="264"/>
      <c r="CT382" s="167"/>
      <c r="CU382" s="167"/>
      <c r="CV382" s="167"/>
      <c r="CW382" s="167"/>
      <c r="CX382" s="167"/>
      <c r="CY382" s="167"/>
      <c r="CZ382" s="167"/>
      <c r="DA382" s="167"/>
      <c r="DB382" s="167"/>
      <c r="DC382" s="167"/>
      <c r="DD382" s="167"/>
      <c r="DE382" s="167"/>
      <c r="DF382" s="167"/>
      <c r="DG382" s="167"/>
      <c r="DH382" s="167"/>
      <c r="DI382" s="167"/>
      <c r="DJ382" s="167"/>
      <c r="DK382" s="167"/>
      <c r="DL382" s="167"/>
      <c r="DM382" s="167"/>
      <c r="DN382" s="167"/>
      <c r="DO382" s="167"/>
      <c r="DP382" s="167"/>
      <c r="DQ382" s="167"/>
      <c r="DR382" s="167"/>
      <c r="DS382" s="167"/>
      <c r="DT382" s="167"/>
      <c r="DU382" s="167"/>
      <c r="EE382" s="167"/>
      <c r="EQ382" s="167"/>
      <c r="ER382" s="301"/>
      <c r="ES382" s="291"/>
      <c r="ET382" s="289"/>
      <c r="EU382" s="289"/>
      <c r="EV382" s="289"/>
      <c r="EW382" s="289"/>
      <c r="EX382" s="289"/>
      <c r="EY382" s="289"/>
      <c r="EZ382" s="289"/>
      <c r="FA382" s="289"/>
      <c r="FB382" s="264"/>
      <c r="FC382" s="264"/>
      <c r="FD382" s="167"/>
      <c r="FE382" s="167"/>
      <c r="FF382" s="167"/>
      <c r="FG382" s="167"/>
      <c r="FH382" s="167"/>
      <c r="FI382" s="167"/>
      <c r="FJ382" s="167"/>
      <c r="FK382" s="167"/>
      <c r="FL382" s="167"/>
      <c r="FM382" s="167"/>
      <c r="FN382" s="167"/>
      <c r="FO382" s="167"/>
      <c r="FP382" s="167"/>
      <c r="FQ382" s="167"/>
      <c r="FR382" s="167"/>
      <c r="FS382" s="167"/>
      <c r="FT382" s="167"/>
      <c r="FU382" s="167"/>
      <c r="FV382" s="167"/>
      <c r="FW382" s="167"/>
      <c r="FX382" s="167"/>
      <c r="FY382" s="167"/>
      <c r="FZ382" s="167"/>
      <c r="GA382" s="167"/>
      <c r="GB382" s="167"/>
      <c r="GC382" s="167"/>
      <c r="GD382" s="167"/>
      <c r="GE382" s="167"/>
      <c r="GO382" s="167"/>
      <c r="HA382" s="167"/>
      <c r="HB382" s="301"/>
      <c r="HC382" s="291"/>
      <c r="HD382" s="289"/>
      <c r="HE382" s="289"/>
      <c r="HF382" s="289"/>
      <c r="HG382" s="289"/>
      <c r="HH382" s="289"/>
      <c r="HI382" s="289"/>
      <c r="HJ382" s="289"/>
      <c r="HK382" s="289"/>
      <c r="HL382" s="264"/>
      <c r="HM382" s="264"/>
      <c r="HN382" s="167"/>
      <c r="HO382" s="167"/>
      <c r="HP382" s="167"/>
      <c r="HQ382" s="167"/>
      <c r="HR382" s="167"/>
      <c r="HS382" s="167"/>
      <c r="HT382" s="167"/>
      <c r="HU382" s="167"/>
      <c r="HV382" s="167"/>
      <c r="HW382" s="167"/>
      <c r="HX382" s="167"/>
      <c r="HY382" s="167"/>
      <c r="HZ382" s="167"/>
      <c r="IA382" s="167"/>
      <c r="IB382" s="167"/>
      <c r="IC382" s="167"/>
      <c r="ID382" s="167"/>
      <c r="IE382" s="167"/>
      <c r="IF382" s="167"/>
      <c r="IG382" s="167"/>
      <c r="IH382" s="167"/>
      <c r="II382" s="167"/>
      <c r="IJ382" s="167"/>
      <c r="IK382" s="167"/>
      <c r="IL382" s="167"/>
      <c r="IM382" s="167"/>
      <c r="IN382" s="167"/>
      <c r="IO382" s="167"/>
    </row>
    <row r="383" spans="1:250" s="265" customFormat="1" ht="18" customHeight="1">
      <c r="A383" s="195"/>
      <c r="B383" s="195"/>
      <c r="C383" s="195"/>
      <c r="D383" s="195"/>
      <c r="E383" s="195"/>
      <c r="F383" s="195"/>
      <c r="G383" s="195"/>
      <c r="H383" s="195"/>
      <c r="I383" s="195"/>
      <c r="J383" s="195"/>
      <c r="K383" s="167"/>
      <c r="L383" s="167"/>
      <c r="M383" s="167"/>
      <c r="N383" s="167"/>
      <c r="O383" s="167"/>
      <c r="P383" s="167"/>
      <c r="Q383" s="167"/>
      <c r="R383" s="289"/>
      <c r="S383" s="289"/>
      <c r="T383" s="289"/>
      <c r="U383" s="289"/>
      <c r="V383" s="289"/>
      <c r="W383" s="289"/>
      <c r="X383" s="289"/>
      <c r="Y383" s="264"/>
      <c r="Z383" s="264"/>
      <c r="AA383" s="167"/>
      <c r="AB383" s="167"/>
      <c r="AC383" s="167"/>
      <c r="AD383" s="167"/>
      <c r="AE383" s="167"/>
      <c r="AF383" s="167"/>
      <c r="AG383" s="167"/>
      <c r="AH383" s="167"/>
      <c r="AI383" s="167"/>
      <c r="AJ383" s="167"/>
      <c r="AK383" s="167"/>
      <c r="AL383" s="167"/>
      <c r="AM383" s="167"/>
      <c r="AN383" s="167"/>
      <c r="AO383" s="167"/>
      <c r="AP383" s="167"/>
      <c r="AQ383" s="167"/>
      <c r="AR383" s="167"/>
      <c r="AS383" s="167"/>
      <c r="AT383" s="167"/>
      <c r="AU383" s="167"/>
      <c r="AV383" s="167"/>
      <c r="AW383" s="167"/>
      <c r="AX383" s="167"/>
      <c r="AY383" s="167"/>
      <c r="AZ383" s="167"/>
      <c r="BA383" s="167"/>
      <c r="BB383" s="167"/>
      <c r="BL383" s="167"/>
      <c r="BX383" s="167"/>
      <c r="BY383" s="301"/>
      <c r="BZ383" s="291"/>
      <c r="CA383" s="289"/>
      <c r="CB383" s="289"/>
      <c r="CC383" s="289"/>
      <c r="CD383" s="289"/>
      <c r="CE383" s="289"/>
      <c r="CF383" s="289"/>
      <c r="CG383" s="289"/>
      <c r="CH383" s="289"/>
      <c r="CI383" s="264"/>
      <c r="CJ383" s="264"/>
      <c r="CK383" s="167"/>
      <c r="CL383" s="167"/>
      <c r="CM383" s="167"/>
      <c r="CN383" s="167"/>
      <c r="CO383" s="167"/>
      <c r="CP383" s="167"/>
      <c r="CQ383" s="167"/>
      <c r="CR383" s="167"/>
      <c r="CS383" s="167"/>
      <c r="CT383" s="167"/>
      <c r="CU383" s="167"/>
      <c r="CV383" s="167"/>
      <c r="CW383" s="167"/>
      <c r="CX383" s="167"/>
      <c r="CY383" s="167"/>
      <c r="CZ383" s="167"/>
      <c r="DA383" s="167"/>
      <c r="DB383" s="167"/>
      <c r="DC383" s="167"/>
      <c r="DD383" s="167"/>
      <c r="DE383" s="167"/>
      <c r="DF383" s="167"/>
      <c r="DG383" s="167"/>
      <c r="DH383" s="167"/>
      <c r="DI383" s="167"/>
      <c r="DJ383" s="167"/>
      <c r="DK383" s="167"/>
      <c r="DL383" s="167"/>
      <c r="DV383" s="167"/>
      <c r="EH383" s="167"/>
      <c r="EI383" s="301"/>
      <c r="EJ383" s="291"/>
      <c r="EK383" s="289"/>
      <c r="EL383" s="289"/>
      <c r="EM383" s="289"/>
      <c r="EN383" s="289"/>
      <c r="EO383" s="289"/>
      <c r="EP383" s="289"/>
      <c r="EQ383" s="289"/>
      <c r="ER383" s="289"/>
      <c r="ES383" s="264"/>
      <c r="ET383" s="264"/>
      <c r="EU383" s="167"/>
      <c r="EV383" s="167"/>
      <c r="EW383" s="167"/>
      <c r="EX383" s="167"/>
      <c r="EY383" s="167"/>
      <c r="EZ383" s="167"/>
      <c r="FA383" s="167"/>
      <c r="FB383" s="167"/>
      <c r="FC383" s="167"/>
      <c r="FD383" s="167"/>
      <c r="FE383" s="167"/>
      <c r="FF383" s="167"/>
      <c r="FG383" s="167"/>
      <c r="FH383" s="167"/>
      <c r="FI383" s="167"/>
      <c r="FJ383" s="167"/>
      <c r="FK383" s="167"/>
      <c r="FL383" s="167"/>
      <c r="FM383" s="167"/>
      <c r="FN383" s="167"/>
      <c r="FO383" s="167"/>
      <c r="FP383" s="167"/>
      <c r="FQ383" s="167"/>
      <c r="FR383" s="167"/>
      <c r="FS383" s="167"/>
      <c r="FT383" s="167"/>
      <c r="FU383" s="167"/>
      <c r="GF383" s="167"/>
      <c r="GR383" s="167"/>
      <c r="GS383" s="301"/>
      <c r="GT383" s="291"/>
      <c r="GU383" s="183"/>
      <c r="GV383" s="183"/>
      <c r="GW383" s="183"/>
      <c r="GX383" s="183"/>
      <c r="GY383" s="183"/>
      <c r="GZ383" s="183"/>
      <c r="HA383" s="183"/>
      <c r="HB383" s="183"/>
      <c r="HC383" s="264"/>
      <c r="HD383" s="264"/>
      <c r="HE383" s="167"/>
      <c r="HF383" s="167"/>
      <c r="HG383" s="167"/>
      <c r="HH383" s="167"/>
      <c r="HI383" s="167"/>
      <c r="HJ383" s="167"/>
      <c r="HK383" s="167"/>
      <c r="HL383" s="167"/>
      <c r="HM383" s="167"/>
      <c r="HN383" s="167"/>
      <c r="HO383" s="167"/>
      <c r="HP383" s="167"/>
      <c r="HQ383" s="167"/>
      <c r="HR383" s="167"/>
      <c r="HS383" s="167"/>
      <c r="HT383" s="167"/>
      <c r="HU383" s="167"/>
      <c r="HV383" s="167"/>
      <c r="HW383" s="167"/>
      <c r="HX383" s="167"/>
      <c r="HY383" s="167"/>
      <c r="HZ383" s="167"/>
      <c r="IA383" s="167"/>
      <c r="IB383" s="167"/>
      <c r="IC383" s="167"/>
      <c r="ID383" s="167"/>
      <c r="IE383" s="167"/>
      <c r="IF383" s="167"/>
      <c r="IP383" s="167"/>
    </row>
    <row r="384" spans="1:250" s="293" customFormat="1" ht="18" customHeight="1">
      <c r="A384" s="195"/>
      <c r="B384" s="195"/>
      <c r="C384" s="195"/>
      <c r="D384" s="195"/>
      <c r="E384" s="195"/>
      <c r="F384" s="195"/>
      <c r="G384" s="195"/>
      <c r="H384" s="195"/>
      <c r="I384" s="195"/>
      <c r="J384" s="195"/>
      <c r="K384" s="265"/>
      <c r="L384" s="265"/>
      <c r="M384" s="265"/>
      <c r="N384" s="265"/>
      <c r="O384" s="265"/>
      <c r="P384" s="265"/>
      <c r="Q384" s="265"/>
      <c r="R384" s="167"/>
      <c r="S384" s="167"/>
      <c r="T384" s="167"/>
      <c r="U384" s="167"/>
      <c r="V384" s="167"/>
      <c r="W384" s="167"/>
      <c r="X384" s="167"/>
      <c r="Y384" s="167"/>
      <c r="Z384" s="167"/>
      <c r="AA384" s="167"/>
      <c r="AB384" s="167"/>
      <c r="AC384" s="167"/>
      <c r="AD384" s="167"/>
      <c r="AE384" s="167"/>
      <c r="AF384" s="167"/>
      <c r="AG384" s="167"/>
      <c r="AH384" s="167"/>
      <c r="AI384" s="167"/>
      <c r="AJ384" s="167"/>
      <c r="AK384" s="167"/>
      <c r="AL384" s="167"/>
      <c r="AM384" s="167"/>
      <c r="AN384" s="167"/>
      <c r="AO384" s="167"/>
      <c r="AP384" s="167"/>
      <c r="AQ384" s="167"/>
      <c r="AR384" s="167"/>
      <c r="AS384" s="167"/>
      <c r="AT384" s="167"/>
      <c r="AU384" s="167"/>
      <c r="AV384" s="167"/>
      <c r="AW384" s="167"/>
      <c r="AX384" s="167"/>
      <c r="AY384" s="167"/>
      <c r="AZ384" s="167"/>
      <c r="BA384" s="167"/>
      <c r="BB384" s="167"/>
      <c r="BC384" s="167"/>
      <c r="BD384" s="167"/>
      <c r="BE384" s="167"/>
      <c r="BF384" s="167"/>
      <c r="BG384" s="167"/>
      <c r="BH384" s="167"/>
      <c r="BI384" s="167"/>
      <c r="BJ384" s="167"/>
      <c r="BK384" s="167"/>
      <c r="BL384" s="167"/>
      <c r="BM384" s="167"/>
      <c r="BN384" s="167"/>
      <c r="BO384" s="167"/>
      <c r="BP384" s="167"/>
      <c r="BQ384" s="167"/>
      <c r="BR384" s="167"/>
      <c r="BS384" s="167"/>
      <c r="BT384" s="167"/>
      <c r="BU384" s="167"/>
      <c r="BV384" s="167"/>
      <c r="BW384" s="167"/>
      <c r="BX384" s="167"/>
      <c r="BY384" s="167"/>
      <c r="BZ384" s="167"/>
      <c r="CA384" s="167"/>
      <c r="CB384" s="167"/>
      <c r="CC384" s="167"/>
      <c r="CD384" s="167"/>
      <c r="CE384" s="167"/>
      <c r="CF384" s="167"/>
      <c r="CG384" s="167"/>
      <c r="CH384" s="167"/>
      <c r="CI384" s="167"/>
      <c r="CJ384" s="167"/>
      <c r="CK384" s="167"/>
      <c r="CL384" s="167"/>
      <c r="CM384" s="167"/>
      <c r="CN384" s="167"/>
      <c r="CO384" s="167"/>
      <c r="CP384" s="167"/>
      <c r="CQ384" s="167"/>
      <c r="CR384" s="167"/>
      <c r="CS384" s="167"/>
      <c r="CT384" s="167"/>
      <c r="CU384" s="167"/>
      <c r="CV384" s="167"/>
      <c r="CW384" s="167"/>
      <c r="CX384" s="167"/>
      <c r="CY384" s="167"/>
      <c r="CZ384" s="167"/>
      <c r="DA384" s="167"/>
      <c r="DB384" s="167"/>
      <c r="DC384" s="167"/>
      <c r="DD384" s="167"/>
      <c r="DE384" s="167"/>
      <c r="DF384" s="167"/>
      <c r="DG384" s="167"/>
      <c r="DH384" s="167"/>
      <c r="DI384" s="167"/>
      <c r="DJ384" s="167"/>
      <c r="DK384" s="167"/>
      <c r="DL384" s="167"/>
      <c r="DM384" s="167"/>
      <c r="DN384" s="167"/>
      <c r="DO384" s="167"/>
      <c r="DP384" s="167"/>
      <c r="DQ384" s="167"/>
      <c r="DR384" s="167"/>
      <c r="DS384" s="167"/>
      <c r="DT384" s="167"/>
      <c r="DU384" s="167"/>
      <c r="DV384" s="167"/>
      <c r="DW384" s="167"/>
      <c r="DX384" s="167"/>
      <c r="DY384" s="167"/>
      <c r="DZ384" s="167"/>
      <c r="EA384" s="167"/>
      <c r="EB384" s="167"/>
      <c r="EC384" s="167"/>
      <c r="ED384" s="167"/>
      <c r="EE384" s="167"/>
      <c r="EF384" s="167"/>
      <c r="EG384" s="167"/>
      <c r="EH384" s="167"/>
      <c r="EI384" s="167"/>
      <c r="EJ384" s="167"/>
      <c r="EK384" s="167"/>
      <c r="EL384" s="167"/>
      <c r="EM384" s="167"/>
      <c r="EN384" s="167"/>
      <c r="EO384" s="167"/>
      <c r="EP384" s="167"/>
      <c r="EQ384" s="167"/>
      <c r="ER384" s="167"/>
      <c r="ES384" s="167"/>
      <c r="ET384" s="167"/>
      <c r="EU384" s="167"/>
      <c r="EV384" s="167"/>
      <c r="EW384" s="167"/>
      <c r="EX384" s="167"/>
      <c r="EY384" s="167"/>
      <c r="EZ384" s="167"/>
      <c r="FA384" s="167"/>
      <c r="FB384" s="167"/>
      <c r="FC384" s="167"/>
      <c r="FD384" s="167"/>
      <c r="FE384" s="167"/>
      <c r="FF384" s="167"/>
      <c r="FG384" s="167"/>
      <c r="FH384" s="167"/>
      <c r="FI384" s="167"/>
      <c r="FJ384" s="167"/>
      <c r="FK384" s="167"/>
      <c r="FL384" s="167"/>
      <c r="FM384" s="167"/>
      <c r="FN384" s="167"/>
      <c r="FO384" s="167"/>
      <c r="FP384" s="167"/>
      <c r="FQ384" s="167"/>
      <c r="FR384" s="167"/>
      <c r="FS384" s="167"/>
      <c r="FT384" s="167"/>
      <c r="FU384" s="167"/>
      <c r="FV384" s="167"/>
      <c r="FW384" s="167"/>
      <c r="FX384" s="167"/>
      <c r="FY384" s="167"/>
      <c r="FZ384" s="167"/>
      <c r="GA384" s="167"/>
      <c r="GB384" s="167"/>
      <c r="GC384" s="167"/>
      <c r="GD384" s="167"/>
      <c r="GE384" s="167"/>
      <c r="GF384" s="167"/>
      <c r="GG384" s="167"/>
      <c r="GH384" s="167"/>
      <c r="GI384" s="167"/>
      <c r="GJ384" s="167"/>
      <c r="GK384" s="167"/>
      <c r="GL384" s="167"/>
      <c r="GM384" s="167"/>
      <c r="GN384" s="167"/>
      <c r="GO384" s="167"/>
      <c r="GP384" s="167"/>
      <c r="GQ384" s="167"/>
      <c r="GR384" s="167"/>
      <c r="GS384" s="301"/>
      <c r="GT384" s="291"/>
      <c r="GU384" s="300"/>
      <c r="GV384" s="300"/>
      <c r="GW384" s="300"/>
      <c r="GX384" s="300"/>
      <c r="GY384" s="300"/>
      <c r="GZ384" s="300"/>
      <c r="HA384" s="300"/>
      <c r="HB384" s="300"/>
      <c r="HC384" s="315"/>
      <c r="HD384" s="315"/>
      <c r="HE384" s="316"/>
      <c r="HF384" s="316"/>
      <c r="HG384" s="316"/>
      <c r="HH384" s="316"/>
      <c r="HI384" s="316"/>
      <c r="HJ384" s="316"/>
      <c r="HK384" s="316"/>
      <c r="HL384" s="316"/>
      <c r="HM384" s="316"/>
      <c r="HN384" s="316"/>
      <c r="HO384" s="316"/>
      <c r="HP384" s="316"/>
      <c r="HQ384" s="316"/>
      <c r="HR384" s="316"/>
      <c r="HS384" s="316"/>
      <c r="HT384" s="316"/>
      <c r="HU384" s="316"/>
      <c r="HV384" s="316"/>
      <c r="HW384" s="316"/>
      <c r="HX384" s="167"/>
      <c r="HY384" s="167"/>
      <c r="HZ384" s="167"/>
      <c r="IA384" s="167"/>
      <c r="IB384" s="167"/>
      <c r="IC384" s="167"/>
      <c r="ID384" s="167"/>
      <c r="IE384" s="167"/>
      <c r="IF384" s="167"/>
      <c r="IP384" s="316"/>
    </row>
    <row r="385" spans="1:55" s="167" customFormat="1" ht="18" customHeight="1">
      <c r="A385" s="306"/>
      <c r="B385" s="306"/>
      <c r="C385" s="306"/>
      <c r="D385" s="306"/>
      <c r="E385" s="306"/>
      <c r="F385" s="306"/>
      <c r="G385" s="306"/>
      <c r="H385" s="306"/>
      <c r="I385" s="306"/>
      <c r="J385" s="306"/>
      <c r="K385" s="293"/>
      <c r="L385" s="293"/>
      <c r="M385" s="293"/>
      <c r="N385" s="293"/>
      <c r="O385" s="293"/>
      <c r="P385" s="293"/>
      <c r="Q385" s="293"/>
    </row>
    <row r="386" spans="1:55" s="167" customFormat="1" ht="18" customHeight="1">
      <c r="A386" s="169"/>
      <c r="B386" s="169"/>
      <c r="C386" s="169"/>
      <c r="D386" s="169"/>
      <c r="E386" s="169"/>
      <c r="F386" s="169"/>
      <c r="G386" s="169"/>
      <c r="H386" s="169"/>
      <c r="I386" s="169"/>
      <c r="J386" s="169"/>
    </row>
    <row r="387" spans="1:55" s="167" customFormat="1" ht="18" customHeight="1">
      <c r="A387" s="169"/>
      <c r="B387" s="169"/>
      <c r="C387" s="169"/>
      <c r="D387" s="169"/>
      <c r="E387" s="169"/>
      <c r="F387" s="169"/>
      <c r="G387" s="169"/>
      <c r="H387" s="169"/>
      <c r="I387" s="169"/>
      <c r="J387" s="169"/>
    </row>
    <row r="388" spans="1:55" s="265" customFormat="1" ht="18" customHeight="1">
      <c r="A388" s="169"/>
      <c r="B388" s="169"/>
      <c r="C388" s="169"/>
      <c r="D388" s="169"/>
      <c r="E388" s="169"/>
      <c r="F388" s="169"/>
      <c r="G388" s="169"/>
      <c r="H388" s="169"/>
      <c r="I388" s="169"/>
      <c r="J388" s="169"/>
      <c r="K388" s="167"/>
      <c r="L388" s="167"/>
      <c r="M388" s="167"/>
      <c r="N388" s="167"/>
      <c r="O388" s="167"/>
      <c r="P388" s="167"/>
      <c r="Q388" s="167"/>
      <c r="R388" s="183"/>
      <c r="S388" s="183"/>
      <c r="T388" s="183"/>
      <c r="U388" s="183"/>
      <c r="V388" s="183"/>
      <c r="W388" s="183"/>
      <c r="X388" s="183"/>
      <c r="Y388" s="264"/>
      <c r="Z388" s="264"/>
      <c r="AA388" s="167"/>
      <c r="AB388" s="167"/>
      <c r="AC388" s="167"/>
      <c r="AD388" s="167"/>
      <c r="AE388" s="167"/>
      <c r="AF388" s="167"/>
      <c r="AG388" s="167"/>
      <c r="AH388" s="167"/>
      <c r="AI388" s="167"/>
      <c r="AJ388" s="167"/>
      <c r="AK388" s="167"/>
      <c r="AL388" s="167"/>
      <c r="AM388" s="167"/>
      <c r="AN388" s="167"/>
      <c r="AO388" s="167"/>
      <c r="AP388" s="167"/>
      <c r="AQ388" s="167"/>
      <c r="AR388" s="167"/>
      <c r="AS388" s="167"/>
      <c r="AT388" s="167"/>
      <c r="AU388" s="167"/>
      <c r="AV388" s="167"/>
      <c r="AW388" s="167"/>
      <c r="AX388" s="167"/>
      <c r="AY388" s="167"/>
      <c r="AZ388" s="167"/>
      <c r="BA388" s="167"/>
      <c r="BB388" s="167"/>
    </row>
    <row r="389" spans="1:55" s="274" customFormat="1" ht="18" customHeight="1">
      <c r="A389" s="270">
        <f>A359+1</f>
        <v>13</v>
      </c>
      <c r="B389" s="271"/>
      <c r="C389" s="272" t="str">
        <f>IF($A$1 = 1, (IF("("&amp;C399&amp;")" ="()","","("&amp;C399&amp;")")), (IF("("&amp;C404&amp;")    ("&amp;C399&amp;")"="()    ()","","("&amp;C404&amp;")    ("&amp;C399&amp;")")))</f>
        <v/>
      </c>
      <c r="D389" s="272" t="str">
        <f t="shared" ref="D389:J389" si="36">IF($A$1 = 1, (IF("("&amp;D399&amp;")" ="()","","("&amp;D399&amp;")")), (IF("("&amp;D404&amp;")    ("&amp;D399&amp;")"="()    ()","","("&amp;D404&amp;")    ("&amp;D399&amp;")")))</f>
        <v/>
      </c>
      <c r="E389" s="272" t="str">
        <f t="shared" si="36"/>
        <v/>
      </c>
      <c r="F389" s="272" t="str">
        <f t="shared" si="36"/>
        <v/>
      </c>
      <c r="G389" s="272" t="str">
        <f t="shared" si="36"/>
        <v/>
      </c>
      <c r="H389" s="272" t="str">
        <f t="shared" si="36"/>
        <v/>
      </c>
      <c r="I389" s="272" t="str">
        <f t="shared" si="36"/>
        <v/>
      </c>
      <c r="J389" s="272" t="str">
        <f t="shared" si="36"/>
        <v/>
      </c>
      <c r="K389" s="273"/>
      <c r="L389" s="273"/>
      <c r="M389" s="273"/>
      <c r="N389" s="273"/>
      <c r="O389" s="273"/>
      <c r="P389" s="273"/>
      <c r="Q389" s="273"/>
      <c r="AI389" s="275"/>
      <c r="AJ389" s="275"/>
      <c r="AK389" s="275"/>
      <c r="AL389" s="275"/>
      <c r="AM389" s="275"/>
      <c r="AN389" s="275"/>
      <c r="AO389" s="275"/>
      <c r="AP389" s="275"/>
      <c r="AQ389" s="275"/>
      <c r="AR389" s="275"/>
      <c r="AS389" s="275"/>
      <c r="AT389" s="275"/>
      <c r="AU389" s="275"/>
      <c r="AV389" s="275"/>
      <c r="AW389" s="275"/>
      <c r="AX389" s="275"/>
      <c r="AY389" s="275"/>
      <c r="AZ389" s="275"/>
      <c r="BA389" s="275"/>
      <c r="BB389" s="275"/>
      <c r="BC389" s="275"/>
    </row>
    <row r="390" spans="1:55" s="280" customFormat="1" ht="59.1" customHeight="1">
      <c r="A390" s="276"/>
      <c r="B390" s="277"/>
      <c r="C390" s="278"/>
      <c r="D390" s="278"/>
      <c r="E390" s="278"/>
      <c r="F390" s="278"/>
      <c r="G390" s="278"/>
      <c r="H390" s="278"/>
      <c r="I390" s="278"/>
      <c r="J390" s="278"/>
      <c r="K390" s="279"/>
      <c r="L390" s="279"/>
      <c r="M390" s="279"/>
      <c r="N390" s="279"/>
      <c r="O390" s="279"/>
      <c r="P390" s="279"/>
      <c r="Q390" s="279"/>
      <c r="AI390" s="281"/>
      <c r="AJ390" s="281"/>
      <c r="AK390" s="281"/>
      <c r="AL390" s="281"/>
      <c r="AM390" s="281"/>
      <c r="AN390" s="281"/>
      <c r="AO390" s="281"/>
      <c r="AP390" s="281"/>
      <c r="AQ390" s="281"/>
      <c r="AS390" s="281"/>
      <c r="AT390" s="281"/>
      <c r="AU390" s="281"/>
      <c r="AV390" s="281"/>
      <c r="AW390" s="281"/>
      <c r="AX390" s="281"/>
      <c r="AY390" s="281"/>
      <c r="AZ390" s="281"/>
      <c r="BA390" s="281"/>
      <c r="BB390" s="281"/>
      <c r="BC390" s="281"/>
    </row>
    <row r="391" spans="1:55" s="167" customFormat="1" ht="21.95" customHeight="1">
      <c r="A391" s="266"/>
      <c r="B391" s="282" t="s">
        <v>3</v>
      </c>
      <c r="C391" s="283"/>
      <c r="D391" s="283"/>
      <c r="E391" s="283"/>
      <c r="F391" s="283"/>
      <c r="G391" s="283"/>
      <c r="H391" s="283"/>
      <c r="I391" s="283"/>
      <c r="J391" s="283"/>
      <c r="K391" s="284"/>
      <c r="L391" s="284"/>
      <c r="M391" s="284"/>
      <c r="N391" s="284"/>
      <c r="O391" s="284"/>
      <c r="P391" s="284"/>
      <c r="Q391" s="284"/>
      <c r="AI391" s="265"/>
      <c r="AJ391" s="265"/>
      <c r="AK391" s="265"/>
      <c r="AL391" s="265"/>
      <c r="AM391" s="265"/>
      <c r="AN391" s="265"/>
      <c r="AO391" s="265"/>
      <c r="AP391" s="265"/>
      <c r="AQ391" s="265"/>
      <c r="AS391" s="265"/>
      <c r="AT391" s="265"/>
      <c r="AU391" s="265"/>
      <c r="AV391" s="265"/>
      <c r="AW391" s="265"/>
      <c r="AX391" s="265"/>
      <c r="AY391" s="265"/>
      <c r="AZ391" s="265"/>
      <c r="BA391" s="265"/>
      <c r="BB391" s="265"/>
      <c r="BC391" s="265"/>
    </row>
    <row r="392" spans="1:55" s="167" customFormat="1" ht="21.95" customHeight="1">
      <c r="A392" s="266"/>
      <c r="B392" s="285" t="s">
        <v>18</v>
      </c>
      <c r="C392" s="283"/>
      <c r="D392" s="283"/>
      <c r="E392" s="283"/>
      <c r="F392" s="283"/>
      <c r="G392" s="283"/>
      <c r="H392" s="283"/>
      <c r="I392" s="283"/>
      <c r="J392" s="283"/>
      <c r="K392" s="286"/>
      <c r="L392" s="286"/>
      <c r="M392" s="286"/>
      <c r="N392" s="286"/>
      <c r="O392" s="286"/>
      <c r="P392" s="286"/>
      <c r="Q392" s="286"/>
      <c r="AI392" s="265"/>
      <c r="AJ392" s="265"/>
      <c r="AK392" s="265"/>
      <c r="AL392" s="265"/>
      <c r="AM392" s="265"/>
      <c r="AN392" s="265"/>
      <c r="AO392" s="265"/>
      <c r="AP392" s="265"/>
      <c r="AQ392" s="265"/>
      <c r="AS392" s="265"/>
      <c r="AT392" s="265"/>
      <c r="AU392" s="265"/>
      <c r="AV392" s="265"/>
      <c r="AW392" s="265"/>
      <c r="AX392" s="265"/>
      <c r="AY392" s="265"/>
      <c r="AZ392" s="265"/>
      <c r="BA392" s="265"/>
      <c r="BB392" s="265"/>
      <c r="BC392" s="265"/>
    </row>
    <row r="393" spans="1:55" s="167" customFormat="1" ht="21.95" customHeight="1">
      <c r="A393" s="169"/>
      <c r="B393" s="287" t="s">
        <v>32</v>
      </c>
      <c r="C393" s="283"/>
      <c r="D393" s="283"/>
      <c r="E393" s="283"/>
      <c r="F393" s="283"/>
      <c r="G393" s="283"/>
      <c r="H393" s="283"/>
      <c r="I393" s="283"/>
      <c r="J393" s="283"/>
      <c r="K393" s="286"/>
      <c r="L393" s="286"/>
      <c r="M393" s="286"/>
      <c r="N393" s="286"/>
      <c r="O393" s="286"/>
      <c r="P393" s="286"/>
      <c r="Q393" s="286"/>
      <c r="AI393" s="265"/>
      <c r="AJ393" s="265"/>
      <c r="AK393" s="265"/>
      <c r="AL393" s="265"/>
      <c r="AM393" s="265"/>
      <c r="AN393" s="265"/>
      <c r="AO393" s="265"/>
      <c r="AP393" s="265"/>
      <c r="AQ393" s="265"/>
      <c r="AS393" s="265"/>
      <c r="AT393" s="265"/>
      <c r="AU393" s="265"/>
      <c r="AV393" s="265"/>
      <c r="AW393" s="265"/>
      <c r="AX393" s="265"/>
      <c r="AY393" s="265"/>
      <c r="AZ393" s="265"/>
      <c r="BA393" s="265"/>
      <c r="BB393" s="265"/>
    </row>
    <row r="394" spans="1:55" s="167" customFormat="1" ht="21.95" customHeight="1">
      <c r="A394" s="169"/>
      <c r="B394" s="288" t="s">
        <v>45</v>
      </c>
      <c r="C394" s="283"/>
      <c r="D394" s="283"/>
      <c r="E394" s="283"/>
      <c r="F394" s="283"/>
      <c r="G394" s="283"/>
      <c r="H394" s="283"/>
      <c r="I394" s="283"/>
      <c r="J394" s="283"/>
      <c r="K394" s="286"/>
      <c r="L394" s="286"/>
      <c r="M394" s="286"/>
      <c r="N394" s="286"/>
      <c r="O394" s="286"/>
      <c r="P394" s="286"/>
      <c r="Q394" s="286"/>
      <c r="AI394" s="265"/>
      <c r="AJ394" s="265"/>
      <c r="AK394" s="265"/>
      <c r="AL394" s="265"/>
      <c r="AM394" s="265"/>
      <c r="AN394" s="265"/>
      <c r="AO394" s="265"/>
      <c r="AP394" s="265"/>
      <c r="AQ394" s="265"/>
      <c r="AS394" s="265"/>
      <c r="AT394" s="265"/>
      <c r="AU394" s="265"/>
      <c r="AV394" s="265"/>
      <c r="AW394" s="265"/>
      <c r="AX394" s="265"/>
      <c r="AY394" s="265"/>
      <c r="AZ394" s="265"/>
      <c r="BA394" s="265"/>
      <c r="BB394" s="265"/>
    </row>
    <row r="395" spans="1:55" s="167" customFormat="1" ht="21.95" customHeight="1">
      <c r="A395" s="169"/>
      <c r="B395" s="290" t="s">
        <v>54</v>
      </c>
      <c r="C395" s="283"/>
      <c r="D395" s="283"/>
      <c r="E395" s="283"/>
      <c r="F395" s="283"/>
      <c r="G395" s="283"/>
      <c r="H395" s="283"/>
      <c r="I395" s="283"/>
      <c r="J395" s="283"/>
      <c r="K395" s="286"/>
      <c r="L395" s="286"/>
      <c r="M395" s="286"/>
      <c r="N395" s="286"/>
      <c r="O395" s="286"/>
      <c r="P395" s="286"/>
      <c r="Q395" s="286"/>
      <c r="AI395" s="265"/>
      <c r="AJ395" s="265"/>
      <c r="AK395" s="265"/>
      <c r="AL395" s="265"/>
      <c r="AM395" s="265"/>
      <c r="AN395" s="265"/>
      <c r="AO395" s="265"/>
      <c r="AP395" s="265"/>
      <c r="AQ395" s="265"/>
      <c r="AS395" s="265"/>
      <c r="AT395" s="265"/>
      <c r="AU395" s="265"/>
      <c r="AV395" s="265"/>
      <c r="AW395" s="265"/>
      <c r="AX395" s="265"/>
      <c r="AY395" s="265"/>
      <c r="AZ395" s="265"/>
      <c r="BA395" s="265"/>
      <c r="BB395" s="265"/>
    </row>
    <row r="396" spans="1:55" s="167" customFormat="1">
      <c r="A396" s="169"/>
      <c r="B396" s="291" t="s">
        <v>66</v>
      </c>
      <c r="C396" s="286"/>
      <c r="D396" s="286"/>
      <c r="E396" s="286"/>
      <c r="F396" s="286"/>
      <c r="G396" s="286"/>
      <c r="H396" s="286"/>
      <c r="I396" s="286"/>
      <c r="J396" s="286"/>
      <c r="K396" s="286"/>
      <c r="L396" s="286"/>
      <c r="M396" s="286"/>
      <c r="N396" s="286"/>
      <c r="O396" s="286"/>
      <c r="P396" s="286"/>
      <c r="Q396" s="286"/>
      <c r="AI396" s="265"/>
      <c r="AJ396" s="265"/>
      <c r="AK396" s="265"/>
      <c r="AL396" s="265"/>
      <c r="AM396" s="265"/>
      <c r="AN396" s="265"/>
      <c r="AO396" s="265"/>
      <c r="AP396" s="265"/>
      <c r="AQ396" s="265"/>
      <c r="AS396" s="265"/>
      <c r="AT396" s="265"/>
      <c r="AU396" s="265"/>
      <c r="AV396" s="265"/>
      <c r="AW396" s="265"/>
      <c r="AX396" s="265"/>
      <c r="AY396" s="265"/>
      <c r="AZ396" s="265"/>
      <c r="BA396" s="265"/>
      <c r="BB396" s="265"/>
    </row>
    <row r="397" spans="1:55" s="167" customFormat="1">
      <c r="A397" s="169"/>
      <c r="B397" s="291" t="s">
        <v>158</v>
      </c>
      <c r="C397" s="292"/>
      <c r="D397" s="292"/>
      <c r="E397" s="292"/>
      <c r="F397" s="292"/>
      <c r="G397" s="292"/>
      <c r="H397" s="292"/>
      <c r="I397" s="292"/>
      <c r="J397" s="292"/>
      <c r="K397" s="292"/>
      <c r="L397" s="292"/>
      <c r="M397" s="292"/>
      <c r="N397" s="292"/>
      <c r="O397" s="292"/>
      <c r="P397" s="292"/>
      <c r="Q397" s="292"/>
      <c r="AI397" s="265"/>
      <c r="AJ397" s="265"/>
      <c r="AK397" s="265"/>
      <c r="AL397" s="265"/>
      <c r="AM397" s="265"/>
      <c r="AN397" s="265"/>
      <c r="AO397" s="265"/>
      <c r="AP397" s="265"/>
      <c r="AQ397" s="265"/>
      <c r="AS397" s="265"/>
      <c r="AT397" s="265"/>
      <c r="AU397" s="265"/>
      <c r="AV397" s="265"/>
      <c r="AW397" s="265"/>
      <c r="AX397" s="265"/>
      <c r="AY397" s="265"/>
      <c r="AZ397" s="265"/>
      <c r="BA397" s="265"/>
      <c r="BB397" s="265"/>
    </row>
    <row r="398" spans="1:55" s="167" customFormat="1">
      <c r="A398" s="169"/>
      <c r="B398" s="291" t="s">
        <v>189</v>
      </c>
      <c r="C398" s="292"/>
      <c r="D398" s="292"/>
      <c r="E398" s="292"/>
      <c r="F398" s="292"/>
      <c r="G398" s="292"/>
      <c r="H398" s="292"/>
      <c r="I398" s="292"/>
      <c r="J398" s="292"/>
      <c r="K398" s="292"/>
      <c r="L398" s="292"/>
      <c r="M398" s="292"/>
      <c r="N398" s="292"/>
      <c r="O398" s="292"/>
      <c r="P398" s="292"/>
      <c r="Q398" s="292"/>
      <c r="AI398" s="293"/>
      <c r="AJ398" s="293"/>
      <c r="AK398" s="293"/>
      <c r="AL398" s="293"/>
      <c r="AM398" s="293"/>
      <c r="AN398" s="265"/>
      <c r="AO398" s="265"/>
      <c r="AP398" s="265"/>
      <c r="AQ398" s="265"/>
      <c r="AS398" s="265"/>
      <c r="AT398" s="265"/>
      <c r="AU398" s="265"/>
      <c r="AV398" s="265"/>
      <c r="AW398" s="265"/>
      <c r="AX398" s="265"/>
      <c r="AY398" s="265"/>
      <c r="AZ398" s="265"/>
      <c r="BA398" s="265"/>
      <c r="BB398" s="265"/>
    </row>
    <row r="399" spans="1:55" s="167" customFormat="1" ht="15" thickBot="1">
      <c r="A399" s="169"/>
      <c r="B399" s="291" t="s">
        <v>345</v>
      </c>
      <c r="C399" s="292"/>
      <c r="D399" s="292"/>
      <c r="E399" s="292"/>
      <c r="F399" s="292"/>
      <c r="G399" s="292"/>
      <c r="H399" s="292"/>
      <c r="I399" s="292"/>
      <c r="J399" s="292"/>
      <c r="K399" s="292"/>
      <c r="L399" s="292"/>
      <c r="M399" s="292"/>
      <c r="N399" s="292"/>
      <c r="O399" s="292"/>
      <c r="P399" s="292"/>
      <c r="Q399" s="292"/>
      <c r="AI399" s="265"/>
      <c r="AJ399" s="265"/>
      <c r="AK399" s="265"/>
      <c r="AL399" s="265"/>
      <c r="AM399" s="265"/>
      <c r="AN399" s="265"/>
      <c r="AO399" s="265"/>
      <c r="AP399" s="265"/>
      <c r="AQ399" s="265"/>
      <c r="AS399" s="265"/>
      <c r="AT399" s="265"/>
      <c r="AU399" s="265"/>
      <c r="AV399" s="265"/>
      <c r="AW399" s="265"/>
      <c r="AX399" s="265"/>
      <c r="AY399" s="265"/>
      <c r="AZ399" s="265"/>
      <c r="BA399" s="265"/>
      <c r="BB399" s="265"/>
    </row>
    <row r="400" spans="1:55" s="167" customFormat="1">
      <c r="A400" s="266"/>
      <c r="B400" s="294" t="s">
        <v>166</v>
      </c>
      <c r="C400" s="295" t="str">
        <f>IF(OR(C403="**",C403=""),"",VALUE(C403))</f>
        <v/>
      </c>
      <c r="D400" s="295" t="str">
        <f t="shared" ref="D400:J400" si="37">IF(OR(D403="**",D403=""),"",VALUE(D403))</f>
        <v/>
      </c>
      <c r="E400" s="295" t="str">
        <f t="shared" si="37"/>
        <v/>
      </c>
      <c r="F400" s="295" t="str">
        <f t="shared" si="37"/>
        <v/>
      </c>
      <c r="G400" s="295" t="str">
        <f t="shared" si="37"/>
        <v/>
      </c>
      <c r="H400" s="295" t="str">
        <f t="shared" si="37"/>
        <v/>
      </c>
      <c r="I400" s="295" t="str">
        <f t="shared" si="37"/>
        <v/>
      </c>
      <c r="J400" s="295" t="str">
        <f t="shared" si="37"/>
        <v/>
      </c>
      <c r="K400" s="183"/>
      <c r="L400" s="183"/>
      <c r="M400" s="183"/>
      <c r="N400" s="183"/>
      <c r="O400" s="183"/>
      <c r="P400" s="183"/>
      <c r="Q400" s="183"/>
      <c r="AI400" s="265"/>
      <c r="AJ400" s="265"/>
      <c r="AK400" s="265"/>
      <c r="AL400" s="265"/>
      <c r="AM400" s="265"/>
      <c r="AN400" s="265"/>
      <c r="AO400" s="265"/>
      <c r="AP400" s="265"/>
      <c r="AQ400" s="265"/>
      <c r="AS400" s="265"/>
      <c r="AT400" s="265"/>
      <c r="AU400" s="265"/>
      <c r="AV400" s="265"/>
      <c r="AW400" s="265"/>
      <c r="AX400" s="265"/>
      <c r="AY400" s="265"/>
      <c r="AZ400" s="265"/>
      <c r="BA400" s="265"/>
      <c r="BB400" s="265"/>
    </row>
    <row r="401" spans="1:250" s="167" customFormat="1" ht="15" thickBot="1">
      <c r="A401" s="266"/>
      <c r="B401" s="296" t="s">
        <v>165</v>
      </c>
      <c r="C401" s="297" t="str">
        <f t="shared" ref="C401:J401" si="38">IF(OR(C397="**",C397=""),"",VALUE(C397))</f>
        <v/>
      </c>
      <c r="D401" s="297" t="str">
        <f t="shared" si="38"/>
        <v/>
      </c>
      <c r="E401" s="297" t="str">
        <f t="shared" si="38"/>
        <v/>
      </c>
      <c r="F401" s="297" t="str">
        <f t="shared" si="38"/>
        <v/>
      </c>
      <c r="G401" s="297" t="str">
        <f t="shared" si="38"/>
        <v/>
      </c>
      <c r="H401" s="297" t="str">
        <f t="shared" si="38"/>
        <v/>
      </c>
      <c r="I401" s="297" t="str">
        <f t="shared" si="38"/>
        <v/>
      </c>
      <c r="J401" s="297" t="str">
        <f t="shared" si="38"/>
        <v/>
      </c>
      <c r="K401" s="260"/>
      <c r="L401" s="260"/>
      <c r="M401" s="260"/>
      <c r="N401" s="260"/>
      <c r="O401" s="260"/>
      <c r="P401" s="260"/>
      <c r="Q401" s="260"/>
      <c r="AI401" s="260"/>
      <c r="AJ401" s="260"/>
      <c r="AK401" s="260"/>
      <c r="AL401" s="260"/>
      <c r="AM401" s="260"/>
      <c r="AN401" s="260"/>
      <c r="AO401" s="260"/>
      <c r="AP401" s="260"/>
      <c r="AQ401" s="265"/>
      <c r="AR401" s="265"/>
      <c r="AS401" s="265"/>
      <c r="AT401" s="265"/>
      <c r="AU401" s="265"/>
      <c r="AV401" s="265"/>
      <c r="AW401" s="265"/>
      <c r="AX401" s="265"/>
      <c r="AY401" s="265"/>
      <c r="AZ401" s="265"/>
      <c r="BA401" s="265"/>
      <c r="BB401" s="265"/>
    </row>
    <row r="402" spans="1:250" s="167" customFormat="1">
      <c r="A402" s="169"/>
      <c r="B402" s="298" t="s">
        <v>385</v>
      </c>
      <c r="C402" s="195"/>
      <c r="D402" s="195"/>
      <c r="E402" s="195"/>
      <c r="F402" s="195"/>
      <c r="G402" s="195"/>
      <c r="H402" s="195"/>
      <c r="I402" s="195"/>
      <c r="J402" s="195"/>
      <c r="K402" s="264"/>
      <c r="L402" s="264"/>
      <c r="M402" s="264"/>
      <c r="N402" s="264"/>
      <c r="O402" s="264"/>
      <c r="P402" s="264"/>
      <c r="Q402" s="264"/>
      <c r="AI402" s="265"/>
      <c r="AJ402" s="265"/>
      <c r="AK402" s="265"/>
      <c r="AL402" s="265"/>
      <c r="AM402" s="265"/>
      <c r="AN402" s="265"/>
      <c r="AO402" s="265"/>
      <c r="AP402" s="265"/>
      <c r="AQ402" s="265"/>
      <c r="AR402" s="265"/>
      <c r="AS402" s="265"/>
      <c r="AT402" s="265"/>
      <c r="AU402" s="265"/>
      <c r="AV402" s="265"/>
      <c r="AW402" s="265"/>
      <c r="AX402" s="265"/>
      <c r="AY402" s="265"/>
      <c r="AZ402" s="265"/>
      <c r="BA402" s="265"/>
      <c r="BB402" s="265"/>
    </row>
    <row r="403" spans="1:250" s="167" customFormat="1">
      <c r="A403" s="169"/>
      <c r="B403" s="291" t="s">
        <v>158</v>
      </c>
      <c r="C403" s="258"/>
      <c r="D403" s="258"/>
      <c r="E403" s="258"/>
      <c r="F403" s="258"/>
      <c r="G403" s="258"/>
      <c r="H403" s="258"/>
      <c r="I403" s="258"/>
      <c r="J403" s="258"/>
      <c r="K403" s="264"/>
      <c r="L403" s="264"/>
      <c r="M403" s="264"/>
      <c r="N403" s="264"/>
      <c r="O403" s="264"/>
      <c r="P403" s="264"/>
      <c r="Q403" s="264"/>
      <c r="AI403" s="265"/>
      <c r="AJ403" s="265"/>
      <c r="AK403" s="265"/>
      <c r="AL403" s="265"/>
      <c r="AM403" s="265"/>
      <c r="AN403" s="265"/>
      <c r="AO403" s="265"/>
      <c r="AP403" s="265"/>
      <c r="AQ403" s="265"/>
      <c r="AR403" s="265"/>
      <c r="AS403" s="265"/>
      <c r="AT403" s="265"/>
      <c r="AU403" s="265"/>
      <c r="AV403" s="265"/>
      <c r="AW403" s="265"/>
      <c r="AX403" s="265"/>
      <c r="AY403" s="265"/>
      <c r="AZ403" s="265"/>
      <c r="BA403" s="265"/>
      <c r="BB403" s="265"/>
    </row>
    <row r="404" spans="1:250" s="167" customFormat="1">
      <c r="A404" s="169"/>
      <c r="B404" s="298" t="s">
        <v>345</v>
      </c>
      <c r="C404" s="258"/>
      <c r="D404" s="258"/>
      <c r="E404" s="258"/>
      <c r="F404" s="258"/>
      <c r="G404" s="258"/>
      <c r="H404" s="258"/>
      <c r="I404" s="258"/>
      <c r="J404" s="258"/>
      <c r="W404" s="265"/>
      <c r="X404" s="265"/>
      <c r="Y404" s="265"/>
      <c r="Z404" s="265"/>
      <c r="AA404" s="265"/>
      <c r="AB404" s="265"/>
      <c r="AC404" s="265"/>
      <c r="AD404" s="265"/>
      <c r="AE404" s="265"/>
      <c r="AF404" s="265"/>
      <c r="AG404" s="265"/>
      <c r="AH404" s="265"/>
      <c r="AI404" s="265"/>
      <c r="AJ404" s="265"/>
      <c r="AK404" s="265"/>
      <c r="AL404" s="265"/>
      <c r="AM404" s="265"/>
      <c r="AN404" s="265"/>
      <c r="AO404" s="265"/>
      <c r="AP404" s="265"/>
      <c r="AQ404" s="265"/>
      <c r="IF404" s="303"/>
      <c r="IG404" s="260"/>
      <c r="IH404" s="260"/>
      <c r="II404" s="260"/>
      <c r="IJ404" s="260"/>
      <c r="IK404" s="260"/>
      <c r="IL404" s="264"/>
      <c r="IM404" s="264"/>
      <c r="IN404" s="264"/>
      <c r="IO404" s="264"/>
      <c r="IP404" s="264"/>
    </row>
    <row r="405" spans="1:250" s="167" customFormat="1">
      <c r="A405" s="258"/>
      <c r="B405" s="261"/>
      <c r="C405" s="261"/>
      <c r="D405" s="261"/>
      <c r="E405" s="261"/>
      <c r="F405" s="261"/>
      <c r="G405" s="169"/>
      <c r="H405" s="169"/>
      <c r="I405" s="169"/>
      <c r="J405" s="169"/>
      <c r="AC405" s="265"/>
      <c r="AD405" s="265"/>
      <c r="AE405" s="265"/>
      <c r="AF405" s="265"/>
      <c r="AG405" s="265"/>
      <c r="AH405" s="265"/>
      <c r="AI405" s="265"/>
      <c r="AJ405" s="265"/>
      <c r="AK405" s="265"/>
      <c r="AL405" s="265"/>
      <c r="AM405" s="265"/>
      <c r="AN405" s="265"/>
      <c r="AO405" s="265"/>
      <c r="AP405" s="265"/>
      <c r="AQ405" s="265"/>
      <c r="AR405" s="265"/>
      <c r="AS405" s="265"/>
      <c r="AT405" s="265"/>
      <c r="AU405" s="265"/>
      <c r="AV405" s="265"/>
      <c r="AW405" s="265"/>
    </row>
    <row r="406" spans="1:250" s="167" customFormat="1">
      <c r="A406" s="169"/>
      <c r="B406" s="169"/>
      <c r="C406" s="169"/>
      <c r="D406" s="169"/>
      <c r="E406" s="169"/>
      <c r="F406" s="169"/>
      <c r="G406" s="169"/>
      <c r="H406" s="169"/>
      <c r="I406" s="169"/>
      <c r="J406" s="169"/>
    </row>
    <row r="407" spans="1:250" s="167" customFormat="1">
      <c r="A407" s="169"/>
      <c r="B407" s="169"/>
      <c r="C407" s="169"/>
      <c r="D407" s="169"/>
      <c r="E407" s="169"/>
      <c r="F407" s="169"/>
      <c r="G407" s="169"/>
      <c r="H407" s="169"/>
      <c r="I407" s="169"/>
      <c r="J407" s="169"/>
    </row>
    <row r="408" spans="1:250" s="167" customFormat="1" ht="18" customHeight="1">
      <c r="A408" s="169"/>
      <c r="B408" s="169"/>
      <c r="C408" s="169"/>
      <c r="D408" s="169"/>
      <c r="E408" s="169"/>
      <c r="F408" s="169"/>
      <c r="G408" s="169"/>
      <c r="H408" s="169"/>
      <c r="I408" s="169"/>
      <c r="J408" s="169"/>
    </row>
    <row r="409" spans="1:250" s="265" customFormat="1" ht="18" customHeight="1">
      <c r="A409" s="169" t="s">
        <v>183</v>
      </c>
      <c r="B409" s="169"/>
      <c r="C409" s="169"/>
      <c r="D409" s="266"/>
      <c r="E409" s="271"/>
      <c r="F409" s="258"/>
      <c r="G409" s="258"/>
      <c r="H409" s="258"/>
      <c r="I409" s="258"/>
      <c r="J409" s="258"/>
      <c r="K409" s="260"/>
      <c r="L409" s="260"/>
      <c r="M409" s="260"/>
      <c r="N409" s="260"/>
      <c r="O409" s="260"/>
      <c r="P409" s="260"/>
      <c r="Q409" s="260"/>
      <c r="R409" s="167"/>
      <c r="S409" s="167"/>
      <c r="T409" s="167"/>
      <c r="U409" s="167"/>
      <c r="V409" s="167"/>
      <c r="W409" s="167"/>
      <c r="X409" s="167"/>
      <c r="Y409" s="167"/>
      <c r="Z409" s="167"/>
      <c r="AA409" s="167"/>
      <c r="AB409" s="167"/>
      <c r="AC409" s="167"/>
      <c r="AD409" s="167"/>
      <c r="AE409" s="167"/>
      <c r="AF409" s="167"/>
      <c r="AG409" s="167"/>
      <c r="AH409" s="167"/>
      <c r="AI409" s="167"/>
      <c r="AJ409" s="167"/>
      <c r="AK409" s="167"/>
    </row>
    <row r="410" spans="1:250" s="167" customFormat="1" ht="18" customHeight="1">
      <c r="A410" s="195">
        <v>7</v>
      </c>
      <c r="B410" s="195"/>
      <c r="C410" s="169"/>
      <c r="D410" s="169"/>
      <c r="E410" s="169"/>
      <c r="F410" s="169"/>
      <c r="G410" s="169"/>
      <c r="H410" s="169"/>
      <c r="I410" s="169"/>
      <c r="J410" s="169"/>
    </row>
    <row r="411" spans="1:250" s="167" customFormat="1" ht="18" customHeight="1">
      <c r="A411" s="169"/>
      <c r="B411" s="169"/>
      <c r="C411" s="169"/>
      <c r="D411" s="169"/>
      <c r="E411" s="169"/>
      <c r="F411" s="169"/>
      <c r="G411" s="169"/>
      <c r="H411" s="169"/>
      <c r="I411" s="169"/>
      <c r="J411" s="169"/>
    </row>
    <row r="412" spans="1:250" s="167" customFormat="1" ht="18" customHeight="1">
      <c r="A412" s="169"/>
      <c r="B412" s="169"/>
      <c r="C412" s="169"/>
      <c r="D412" s="169"/>
      <c r="E412" s="169"/>
      <c r="F412" s="169"/>
      <c r="G412" s="169"/>
      <c r="H412" s="169"/>
      <c r="I412" s="169"/>
      <c r="J412" s="169"/>
    </row>
    <row r="413" spans="1:250" s="265" customFormat="1" ht="18" customHeight="1">
      <c r="A413" s="169"/>
      <c r="B413" s="169"/>
      <c r="C413" s="169"/>
      <c r="D413" s="169"/>
      <c r="E413" s="169"/>
      <c r="F413" s="169"/>
      <c r="G413" s="169"/>
      <c r="H413" s="169"/>
      <c r="I413" s="169"/>
      <c r="J413" s="169"/>
      <c r="K413" s="167"/>
      <c r="L413" s="167"/>
      <c r="M413" s="167"/>
      <c r="N413" s="167"/>
      <c r="O413" s="167"/>
      <c r="P413" s="167"/>
      <c r="Q413" s="167"/>
      <c r="R413" s="264"/>
      <c r="S413" s="167"/>
      <c r="T413" s="167"/>
      <c r="U413" s="167"/>
      <c r="V413" s="167"/>
      <c r="W413" s="167"/>
      <c r="X413" s="167"/>
      <c r="Y413" s="167"/>
      <c r="Z413" s="167"/>
      <c r="AA413" s="167"/>
      <c r="AB413" s="167"/>
      <c r="AC413" s="167"/>
      <c r="AD413" s="167"/>
      <c r="AE413" s="167"/>
      <c r="AF413" s="167"/>
      <c r="AG413" s="167"/>
      <c r="AH413" s="167"/>
      <c r="AI413" s="167"/>
      <c r="AJ413" s="167"/>
      <c r="AK413" s="167"/>
      <c r="AL413" s="167"/>
      <c r="AM413" s="167"/>
      <c r="AN413" s="167"/>
      <c r="AO413" s="167"/>
      <c r="AP413" s="167"/>
      <c r="AQ413" s="167"/>
      <c r="AR413" s="167"/>
      <c r="AS413" s="167"/>
      <c r="AT413" s="167"/>
    </row>
    <row r="414" spans="1:250" s="167" customFormat="1" ht="18" customHeight="1">
      <c r="A414" s="195"/>
      <c r="B414" s="195"/>
      <c r="C414" s="195"/>
      <c r="D414" s="195"/>
      <c r="E414" s="195"/>
      <c r="F414" s="195"/>
      <c r="G414" s="195"/>
      <c r="H414" s="195"/>
      <c r="I414" s="195"/>
      <c r="J414" s="195"/>
      <c r="K414" s="265"/>
      <c r="L414" s="265"/>
      <c r="M414" s="265"/>
      <c r="N414" s="265"/>
      <c r="O414" s="265"/>
      <c r="P414" s="265"/>
      <c r="Q414" s="265"/>
    </row>
    <row r="415" spans="1:250" s="167" customFormat="1" ht="18" customHeight="1">
      <c r="A415" s="169"/>
      <c r="B415" s="169"/>
      <c r="C415" s="169"/>
      <c r="D415" s="169"/>
      <c r="E415" s="169"/>
      <c r="F415" s="169"/>
      <c r="G415" s="169"/>
      <c r="H415" s="169"/>
      <c r="I415" s="169"/>
      <c r="J415" s="169"/>
    </row>
    <row r="416" spans="1:250" s="167" customFormat="1" ht="18" customHeight="1">
      <c r="A416" s="169"/>
      <c r="B416" s="169"/>
      <c r="C416" s="169"/>
      <c r="D416" s="169"/>
      <c r="E416" s="169"/>
      <c r="F416" s="169"/>
      <c r="G416" s="169"/>
      <c r="H416" s="169"/>
      <c r="I416" s="169"/>
      <c r="J416" s="169"/>
    </row>
    <row r="417" spans="1:55" s="265" customFormat="1" ht="18" customHeight="1">
      <c r="A417" s="169"/>
      <c r="B417" s="169"/>
      <c r="C417" s="169"/>
      <c r="D417" s="169"/>
      <c r="E417" s="169"/>
      <c r="F417" s="169"/>
      <c r="G417" s="169"/>
      <c r="H417" s="169"/>
      <c r="I417" s="169"/>
      <c r="J417" s="169"/>
      <c r="K417" s="167"/>
      <c r="L417" s="167"/>
      <c r="M417" s="167"/>
      <c r="N417" s="167"/>
      <c r="O417" s="167"/>
      <c r="P417" s="167"/>
      <c r="Q417" s="167"/>
      <c r="R417" s="260"/>
      <c r="S417" s="260"/>
      <c r="T417" s="260"/>
      <c r="U417" s="260"/>
      <c r="V417" s="260"/>
      <c r="W417" s="264"/>
      <c r="X417" s="264"/>
      <c r="Y417" s="264"/>
      <c r="Z417" s="264"/>
      <c r="AA417" s="264"/>
      <c r="AB417" s="167"/>
      <c r="AC417" s="167"/>
      <c r="AD417" s="167"/>
      <c r="AE417" s="167"/>
      <c r="AF417" s="167"/>
      <c r="AG417" s="167"/>
      <c r="AH417" s="167"/>
      <c r="AI417" s="167"/>
      <c r="AJ417" s="167"/>
      <c r="AK417" s="167"/>
      <c r="AL417" s="167"/>
      <c r="AM417" s="167"/>
      <c r="AN417" s="167"/>
      <c r="AO417" s="167"/>
      <c r="AP417" s="167"/>
      <c r="AQ417" s="167"/>
      <c r="AR417" s="167"/>
      <c r="AS417" s="167"/>
      <c r="AT417" s="167"/>
      <c r="AU417" s="167"/>
      <c r="AV417" s="167"/>
      <c r="AW417" s="167"/>
      <c r="AX417" s="167"/>
      <c r="AY417" s="167"/>
      <c r="AZ417" s="167"/>
      <c r="BA417" s="167"/>
      <c r="BB417" s="167"/>
      <c r="BC417" s="167"/>
    </row>
    <row r="418" spans="1:55" s="167" customFormat="1" ht="18" customHeight="1">
      <c r="A418" s="195"/>
      <c r="B418" s="195"/>
      <c r="C418" s="195"/>
      <c r="D418" s="195"/>
      <c r="E418" s="195"/>
      <c r="F418" s="195"/>
      <c r="G418" s="195"/>
      <c r="H418" s="195"/>
      <c r="I418" s="195"/>
      <c r="J418" s="195"/>
      <c r="K418" s="265"/>
      <c r="L418" s="265"/>
      <c r="M418" s="265"/>
      <c r="N418" s="265"/>
      <c r="O418" s="265"/>
      <c r="P418" s="265"/>
      <c r="Q418" s="265"/>
    </row>
    <row r="419" spans="1:55" s="274" customFormat="1" ht="18" customHeight="1">
      <c r="A419" s="270">
        <f>A389+1</f>
        <v>14</v>
      </c>
      <c r="B419" s="271"/>
      <c r="C419" s="272" t="str">
        <f>IF($A$1 = 1, (IF("("&amp;C429&amp;")" ="()","","("&amp;C429&amp;")")), (IF("("&amp;C434&amp;")    ("&amp;C429&amp;")"="()    ()","","("&amp;C434&amp;")    ("&amp;C429&amp;")")))</f>
        <v/>
      </c>
      <c r="D419" s="272" t="str">
        <f t="shared" ref="D419:J419" si="39">IF($A$1 = 1, (IF("("&amp;D429&amp;")" ="()","","("&amp;D429&amp;")")), (IF("("&amp;D434&amp;")    ("&amp;D429&amp;")"="()    ()","","("&amp;D434&amp;")    ("&amp;D429&amp;")")))</f>
        <v/>
      </c>
      <c r="E419" s="272" t="str">
        <f t="shared" si="39"/>
        <v/>
      </c>
      <c r="F419" s="272" t="str">
        <f t="shared" si="39"/>
        <v/>
      </c>
      <c r="G419" s="272" t="str">
        <f t="shared" si="39"/>
        <v/>
      </c>
      <c r="H419" s="272" t="str">
        <f t="shared" si="39"/>
        <v/>
      </c>
      <c r="I419" s="272" t="str">
        <f t="shared" si="39"/>
        <v/>
      </c>
      <c r="J419" s="272" t="str">
        <f t="shared" si="39"/>
        <v/>
      </c>
      <c r="K419" s="273"/>
      <c r="L419" s="273"/>
      <c r="M419" s="273"/>
      <c r="N419" s="273"/>
      <c r="O419" s="273"/>
      <c r="P419" s="273"/>
      <c r="Q419" s="273"/>
      <c r="AI419" s="275"/>
      <c r="AJ419" s="275"/>
      <c r="AK419" s="275"/>
      <c r="AL419" s="275"/>
      <c r="AM419" s="275"/>
      <c r="AN419" s="275"/>
      <c r="AO419" s="275"/>
      <c r="AP419" s="275"/>
      <c r="AQ419" s="275"/>
      <c r="AR419" s="275"/>
      <c r="AS419" s="275"/>
      <c r="AT419" s="275"/>
      <c r="AU419" s="275"/>
      <c r="AV419" s="275"/>
      <c r="AW419" s="275"/>
      <c r="AX419" s="275"/>
      <c r="AY419" s="275"/>
      <c r="AZ419" s="275"/>
      <c r="BA419" s="275"/>
      <c r="BB419" s="275"/>
      <c r="BC419" s="275"/>
    </row>
    <row r="420" spans="1:55" s="280" customFormat="1" ht="59.1" customHeight="1">
      <c r="A420" s="276"/>
      <c r="B420" s="277"/>
      <c r="C420" s="278"/>
      <c r="D420" s="278"/>
      <c r="E420" s="278"/>
      <c r="F420" s="278"/>
      <c r="G420" s="278"/>
      <c r="H420" s="278"/>
      <c r="I420" s="278"/>
      <c r="J420" s="278"/>
      <c r="K420" s="279"/>
      <c r="L420" s="279"/>
      <c r="M420" s="279"/>
      <c r="N420" s="279"/>
      <c r="O420" s="279"/>
      <c r="P420" s="279"/>
      <c r="Q420" s="279"/>
      <c r="AI420" s="281"/>
      <c r="AJ420" s="281"/>
      <c r="AK420" s="281"/>
      <c r="AL420" s="281"/>
      <c r="AM420" s="281"/>
      <c r="AN420" s="281"/>
      <c r="AO420" s="281"/>
      <c r="AP420" s="281"/>
      <c r="AQ420" s="281"/>
      <c r="AS420" s="281"/>
      <c r="AT420" s="281"/>
      <c r="AU420" s="281"/>
      <c r="AV420" s="281"/>
      <c r="AW420" s="281"/>
      <c r="AX420" s="281"/>
      <c r="AY420" s="281"/>
      <c r="AZ420" s="281"/>
      <c r="BA420" s="281"/>
      <c r="BB420" s="281"/>
      <c r="BC420" s="281"/>
    </row>
    <row r="421" spans="1:55" s="167" customFormat="1" ht="21.95" customHeight="1">
      <c r="A421" s="266"/>
      <c r="B421" s="282" t="s">
        <v>3</v>
      </c>
      <c r="C421" s="283"/>
      <c r="D421" s="283"/>
      <c r="E421" s="283"/>
      <c r="F421" s="283"/>
      <c r="G421" s="283"/>
      <c r="H421" s="283"/>
      <c r="I421" s="283"/>
      <c r="J421" s="283"/>
      <c r="K421" s="284"/>
      <c r="L421" s="284"/>
      <c r="M421" s="284"/>
      <c r="N421" s="284"/>
      <c r="O421" s="284"/>
      <c r="P421" s="284"/>
      <c r="Q421" s="284"/>
      <c r="AI421" s="265"/>
      <c r="AJ421" s="265"/>
      <c r="AK421" s="265"/>
      <c r="AL421" s="265"/>
      <c r="AM421" s="265"/>
      <c r="AN421" s="265"/>
      <c r="AO421" s="265"/>
      <c r="AP421" s="265"/>
      <c r="AQ421" s="265"/>
      <c r="AS421" s="265"/>
      <c r="AT421" s="265"/>
      <c r="AU421" s="265"/>
      <c r="AV421" s="265"/>
      <c r="AW421" s="265"/>
      <c r="AX421" s="265"/>
      <c r="AY421" s="265"/>
      <c r="AZ421" s="265"/>
      <c r="BA421" s="265"/>
      <c r="BB421" s="265"/>
      <c r="BC421" s="265"/>
    </row>
    <row r="422" spans="1:55" s="167" customFormat="1" ht="21.95" customHeight="1">
      <c r="A422" s="266"/>
      <c r="B422" s="285" t="s">
        <v>18</v>
      </c>
      <c r="C422" s="283"/>
      <c r="D422" s="283"/>
      <c r="E422" s="283"/>
      <c r="F422" s="283"/>
      <c r="G422" s="283"/>
      <c r="H422" s="283"/>
      <c r="I422" s="283"/>
      <c r="J422" s="283"/>
      <c r="K422" s="286"/>
      <c r="L422" s="286"/>
      <c r="M422" s="286"/>
      <c r="N422" s="286"/>
      <c r="O422" s="286"/>
      <c r="P422" s="286"/>
      <c r="Q422" s="286"/>
      <c r="AI422" s="265"/>
      <c r="AJ422" s="265"/>
      <c r="AK422" s="265"/>
      <c r="AL422" s="265"/>
      <c r="AM422" s="265"/>
      <c r="AN422" s="265"/>
      <c r="AO422" s="265"/>
      <c r="AP422" s="265"/>
      <c r="AQ422" s="265"/>
      <c r="AS422" s="265"/>
      <c r="AT422" s="265"/>
      <c r="AU422" s="265"/>
      <c r="AV422" s="265"/>
      <c r="AW422" s="265"/>
      <c r="AX422" s="265"/>
      <c r="AY422" s="265"/>
      <c r="AZ422" s="265"/>
      <c r="BA422" s="265"/>
      <c r="BB422" s="265"/>
      <c r="BC422" s="265"/>
    </row>
    <row r="423" spans="1:55" s="167" customFormat="1" ht="21.95" customHeight="1">
      <c r="A423" s="169"/>
      <c r="B423" s="287" t="s">
        <v>32</v>
      </c>
      <c r="C423" s="283"/>
      <c r="D423" s="283"/>
      <c r="E423" s="283"/>
      <c r="F423" s="283"/>
      <c r="G423" s="283"/>
      <c r="H423" s="283"/>
      <c r="I423" s="283"/>
      <c r="J423" s="283"/>
      <c r="K423" s="286"/>
      <c r="L423" s="286"/>
      <c r="M423" s="286"/>
      <c r="N423" s="286"/>
      <c r="O423" s="286"/>
      <c r="P423" s="286"/>
      <c r="Q423" s="286"/>
      <c r="AI423" s="265"/>
      <c r="AJ423" s="265"/>
      <c r="AK423" s="265"/>
      <c r="AL423" s="265"/>
      <c r="AM423" s="265"/>
      <c r="AN423" s="265"/>
      <c r="AO423" s="265"/>
      <c r="AP423" s="265"/>
      <c r="AQ423" s="265"/>
      <c r="AS423" s="265"/>
      <c r="AT423" s="265"/>
      <c r="AU423" s="265"/>
      <c r="AV423" s="265"/>
      <c r="AW423" s="265"/>
      <c r="AX423" s="265"/>
      <c r="AY423" s="265"/>
      <c r="AZ423" s="265"/>
      <c r="BA423" s="265"/>
      <c r="BB423" s="265"/>
    </row>
    <row r="424" spans="1:55" s="167" customFormat="1" ht="21.95" customHeight="1">
      <c r="A424" s="169"/>
      <c r="B424" s="288" t="s">
        <v>45</v>
      </c>
      <c r="C424" s="283"/>
      <c r="D424" s="283"/>
      <c r="E424" s="283"/>
      <c r="F424" s="283"/>
      <c r="G424" s="283"/>
      <c r="H424" s="283"/>
      <c r="I424" s="283"/>
      <c r="J424" s="283"/>
      <c r="K424" s="286"/>
      <c r="L424" s="286"/>
      <c r="M424" s="286"/>
      <c r="N424" s="286"/>
      <c r="O424" s="286"/>
      <c r="P424" s="286"/>
      <c r="Q424" s="286"/>
      <c r="AI424" s="265"/>
      <c r="AJ424" s="265"/>
      <c r="AK424" s="265"/>
      <c r="AL424" s="265"/>
      <c r="AM424" s="265"/>
      <c r="AN424" s="265"/>
      <c r="AO424" s="265"/>
      <c r="AP424" s="265"/>
      <c r="AQ424" s="265"/>
      <c r="AS424" s="265"/>
      <c r="AT424" s="265"/>
      <c r="AU424" s="265"/>
      <c r="AV424" s="265"/>
      <c r="AW424" s="265"/>
      <c r="AX424" s="265"/>
      <c r="AY424" s="265"/>
      <c r="AZ424" s="265"/>
      <c r="BA424" s="265"/>
      <c r="BB424" s="265"/>
    </row>
    <row r="425" spans="1:55" s="167" customFormat="1" ht="21.95" customHeight="1">
      <c r="A425" s="169"/>
      <c r="B425" s="290" t="s">
        <v>54</v>
      </c>
      <c r="C425" s="283"/>
      <c r="D425" s="283"/>
      <c r="E425" s="283"/>
      <c r="F425" s="283"/>
      <c r="G425" s="283"/>
      <c r="H425" s="283"/>
      <c r="I425" s="283"/>
      <c r="J425" s="283"/>
      <c r="K425" s="286"/>
      <c r="L425" s="286"/>
      <c r="M425" s="286"/>
      <c r="N425" s="286"/>
      <c r="O425" s="286"/>
      <c r="P425" s="286"/>
      <c r="Q425" s="286"/>
      <c r="AI425" s="265"/>
      <c r="AJ425" s="265"/>
      <c r="AK425" s="265"/>
      <c r="AL425" s="265"/>
      <c r="AM425" s="265"/>
      <c r="AN425" s="265"/>
      <c r="AO425" s="265"/>
      <c r="AP425" s="265"/>
      <c r="AQ425" s="265"/>
      <c r="AS425" s="265"/>
      <c r="AT425" s="265"/>
      <c r="AU425" s="265"/>
      <c r="AV425" s="265"/>
      <c r="AW425" s="265"/>
      <c r="AX425" s="265"/>
      <c r="AY425" s="265"/>
      <c r="AZ425" s="265"/>
      <c r="BA425" s="265"/>
      <c r="BB425" s="265"/>
    </row>
    <row r="426" spans="1:55" s="167" customFormat="1">
      <c r="A426" s="169"/>
      <c r="B426" s="291" t="s">
        <v>66</v>
      </c>
      <c r="C426" s="286"/>
      <c r="D426" s="286"/>
      <c r="E426" s="286"/>
      <c r="F426" s="286"/>
      <c r="G426" s="286"/>
      <c r="H426" s="286"/>
      <c r="I426" s="286"/>
      <c r="J426" s="286"/>
      <c r="K426" s="286"/>
      <c r="L426" s="286"/>
      <c r="M426" s="286"/>
      <c r="N426" s="286"/>
      <c r="O426" s="286"/>
      <c r="P426" s="286"/>
      <c r="Q426" s="286"/>
      <c r="AI426" s="265"/>
      <c r="AJ426" s="265"/>
      <c r="AK426" s="265"/>
      <c r="AL426" s="265"/>
      <c r="AM426" s="265"/>
      <c r="AN426" s="265"/>
      <c r="AO426" s="265"/>
      <c r="AP426" s="265"/>
      <c r="AQ426" s="265"/>
      <c r="AS426" s="265"/>
      <c r="AT426" s="265"/>
      <c r="AU426" s="265"/>
      <c r="AV426" s="265"/>
      <c r="AW426" s="265"/>
      <c r="AX426" s="265"/>
      <c r="AY426" s="265"/>
      <c r="AZ426" s="265"/>
      <c r="BA426" s="265"/>
      <c r="BB426" s="265"/>
    </row>
    <row r="427" spans="1:55" s="167" customFormat="1">
      <c r="A427" s="169"/>
      <c r="B427" s="291" t="s">
        <v>158</v>
      </c>
      <c r="C427" s="292"/>
      <c r="D427" s="292"/>
      <c r="E427" s="292"/>
      <c r="F427" s="292"/>
      <c r="G427" s="292"/>
      <c r="H427" s="292"/>
      <c r="I427" s="292"/>
      <c r="J427" s="292"/>
      <c r="K427" s="292"/>
      <c r="L427" s="292"/>
      <c r="M427" s="292"/>
      <c r="N427" s="292"/>
      <c r="O427" s="292"/>
      <c r="P427" s="292"/>
      <c r="Q427" s="292"/>
      <c r="AI427" s="265"/>
      <c r="AJ427" s="265"/>
      <c r="AK427" s="265"/>
      <c r="AL427" s="265"/>
      <c r="AM427" s="265"/>
      <c r="AN427" s="265"/>
      <c r="AO427" s="265"/>
      <c r="AP427" s="265"/>
      <c r="AQ427" s="265"/>
      <c r="AS427" s="265"/>
      <c r="AT427" s="265"/>
      <c r="AU427" s="265"/>
      <c r="AV427" s="265"/>
      <c r="AW427" s="265"/>
      <c r="AX427" s="265"/>
      <c r="AY427" s="265"/>
      <c r="AZ427" s="265"/>
      <c r="BA427" s="265"/>
      <c r="BB427" s="265"/>
    </row>
    <row r="428" spans="1:55" s="167" customFormat="1">
      <c r="A428" s="169"/>
      <c r="B428" s="291" t="s">
        <v>189</v>
      </c>
      <c r="C428" s="292"/>
      <c r="D428" s="292"/>
      <c r="E428" s="292"/>
      <c r="F428" s="292"/>
      <c r="G428" s="292"/>
      <c r="H428" s="292"/>
      <c r="I428" s="292"/>
      <c r="J428" s="292"/>
      <c r="K428" s="292"/>
      <c r="L428" s="292"/>
      <c r="M428" s="292"/>
      <c r="N428" s="292"/>
      <c r="O428" s="292"/>
      <c r="P428" s="292"/>
      <c r="Q428" s="292"/>
      <c r="AI428" s="293"/>
      <c r="AJ428" s="293"/>
      <c r="AK428" s="293"/>
      <c r="AL428" s="293"/>
      <c r="AM428" s="293"/>
      <c r="AN428" s="265"/>
      <c r="AO428" s="265"/>
      <c r="AP428" s="265"/>
      <c r="AQ428" s="265"/>
      <c r="AS428" s="265"/>
      <c r="AT428" s="265"/>
      <c r="AU428" s="265"/>
      <c r="AV428" s="265"/>
      <c r="AW428" s="265"/>
      <c r="AX428" s="265"/>
      <c r="AY428" s="265"/>
      <c r="AZ428" s="265"/>
      <c r="BA428" s="265"/>
      <c r="BB428" s="265"/>
    </row>
    <row r="429" spans="1:55" s="167" customFormat="1" ht="15" thickBot="1">
      <c r="A429" s="169"/>
      <c r="B429" s="291" t="s">
        <v>345</v>
      </c>
      <c r="C429" s="292"/>
      <c r="D429" s="292"/>
      <c r="E429" s="292"/>
      <c r="F429" s="292"/>
      <c r="G429" s="292"/>
      <c r="H429" s="292"/>
      <c r="I429" s="292"/>
      <c r="J429" s="292"/>
      <c r="K429" s="292"/>
      <c r="L429" s="292"/>
      <c r="M429" s="292"/>
      <c r="N429" s="292"/>
      <c r="O429" s="292"/>
      <c r="P429" s="292"/>
      <c r="Q429" s="292"/>
      <c r="AI429" s="265"/>
      <c r="AJ429" s="265"/>
      <c r="AK429" s="265"/>
      <c r="AL429" s="265"/>
      <c r="AM429" s="265"/>
      <c r="AN429" s="265"/>
      <c r="AO429" s="265"/>
      <c r="AP429" s="265"/>
      <c r="AQ429" s="265"/>
      <c r="AS429" s="265"/>
      <c r="AT429" s="265"/>
      <c r="AU429" s="265"/>
      <c r="AV429" s="265"/>
      <c r="AW429" s="265"/>
      <c r="AX429" s="265"/>
      <c r="AY429" s="265"/>
      <c r="AZ429" s="265"/>
      <c r="BA429" s="265"/>
      <c r="BB429" s="265"/>
    </row>
    <row r="430" spans="1:55" s="167" customFormat="1">
      <c r="A430" s="266"/>
      <c r="B430" s="294" t="s">
        <v>166</v>
      </c>
      <c r="C430" s="295" t="str">
        <f>IF(OR(C433="**",C433=""),"",VALUE(C433))</f>
        <v/>
      </c>
      <c r="D430" s="295" t="str">
        <f t="shared" ref="D430:J430" si="40">IF(OR(D433="**",D433=""),"",VALUE(D433))</f>
        <v/>
      </c>
      <c r="E430" s="295" t="str">
        <f t="shared" si="40"/>
        <v/>
      </c>
      <c r="F430" s="295" t="str">
        <f t="shared" si="40"/>
        <v/>
      </c>
      <c r="G430" s="295" t="str">
        <f t="shared" si="40"/>
        <v/>
      </c>
      <c r="H430" s="295" t="str">
        <f t="shared" si="40"/>
        <v/>
      </c>
      <c r="I430" s="295" t="str">
        <f t="shared" si="40"/>
        <v/>
      </c>
      <c r="J430" s="295" t="str">
        <f t="shared" si="40"/>
        <v/>
      </c>
      <c r="K430" s="183"/>
      <c r="L430" s="183"/>
      <c r="M430" s="183"/>
      <c r="N430" s="183"/>
      <c r="O430" s="183"/>
      <c r="P430" s="183"/>
      <c r="Q430" s="183"/>
      <c r="AI430" s="265"/>
      <c r="AJ430" s="265"/>
      <c r="AK430" s="265"/>
      <c r="AL430" s="265"/>
      <c r="AM430" s="265"/>
      <c r="AN430" s="265"/>
      <c r="AO430" s="265"/>
      <c r="AP430" s="265"/>
      <c r="AQ430" s="265"/>
      <c r="AS430" s="265"/>
      <c r="AT430" s="265"/>
      <c r="AU430" s="265"/>
      <c r="AV430" s="265"/>
      <c r="AW430" s="265"/>
      <c r="AX430" s="265"/>
      <c r="AY430" s="265"/>
      <c r="AZ430" s="265"/>
      <c r="BA430" s="265"/>
      <c r="BB430" s="265"/>
    </row>
    <row r="431" spans="1:55" s="167" customFormat="1" ht="15" thickBot="1">
      <c r="A431" s="266"/>
      <c r="B431" s="296" t="s">
        <v>165</v>
      </c>
      <c r="C431" s="297" t="str">
        <f t="shared" ref="C431:J431" si="41">IF(OR(C427="**",C427=""),"",VALUE(C427))</f>
        <v/>
      </c>
      <c r="D431" s="297" t="str">
        <f t="shared" si="41"/>
        <v/>
      </c>
      <c r="E431" s="297" t="str">
        <f t="shared" si="41"/>
        <v/>
      </c>
      <c r="F431" s="297" t="str">
        <f t="shared" si="41"/>
        <v/>
      </c>
      <c r="G431" s="297" t="str">
        <f t="shared" si="41"/>
        <v/>
      </c>
      <c r="H431" s="297" t="str">
        <f t="shared" si="41"/>
        <v/>
      </c>
      <c r="I431" s="297" t="str">
        <f t="shared" si="41"/>
        <v/>
      </c>
      <c r="J431" s="297" t="str">
        <f t="shared" si="41"/>
        <v/>
      </c>
      <c r="K431" s="260"/>
      <c r="L431" s="260"/>
      <c r="M431" s="260"/>
      <c r="N431" s="260"/>
      <c r="O431" s="260"/>
      <c r="P431" s="260"/>
      <c r="Q431" s="260"/>
      <c r="AI431" s="260"/>
      <c r="AJ431" s="260"/>
      <c r="AK431" s="260"/>
      <c r="AL431" s="260"/>
      <c r="AM431" s="260"/>
      <c r="AN431" s="260"/>
      <c r="AO431" s="260"/>
      <c r="AP431" s="260"/>
      <c r="AQ431" s="265"/>
      <c r="AR431" s="265"/>
      <c r="AS431" s="265"/>
      <c r="AT431" s="265"/>
      <c r="AU431" s="265"/>
      <c r="AV431" s="265"/>
      <c r="AW431" s="265"/>
      <c r="AX431" s="265"/>
      <c r="AY431" s="265"/>
      <c r="AZ431" s="265"/>
      <c r="BA431" s="265"/>
      <c r="BB431" s="265"/>
    </row>
    <row r="432" spans="1:55" s="167" customFormat="1">
      <c r="A432" s="169"/>
      <c r="B432" s="298" t="s">
        <v>385</v>
      </c>
      <c r="C432" s="195"/>
      <c r="D432" s="195"/>
      <c r="E432" s="195"/>
      <c r="F432" s="195"/>
      <c r="G432" s="195"/>
      <c r="H432" s="195"/>
      <c r="I432" s="195"/>
      <c r="J432" s="195"/>
      <c r="K432" s="264"/>
      <c r="L432" s="264"/>
      <c r="M432" s="264"/>
      <c r="N432" s="264"/>
      <c r="O432" s="264"/>
      <c r="P432" s="264"/>
      <c r="Q432" s="264"/>
      <c r="AI432" s="265"/>
      <c r="AJ432" s="265"/>
      <c r="AK432" s="265"/>
      <c r="AL432" s="265"/>
      <c r="AM432" s="265"/>
      <c r="AN432" s="265"/>
      <c r="AO432" s="265"/>
      <c r="AP432" s="265"/>
      <c r="AQ432" s="265"/>
      <c r="AR432" s="265"/>
      <c r="AS432" s="265"/>
      <c r="AT432" s="265"/>
      <c r="AU432" s="265"/>
      <c r="AV432" s="265"/>
      <c r="AW432" s="265"/>
      <c r="AX432" s="265"/>
      <c r="AY432" s="265"/>
      <c r="AZ432" s="265"/>
      <c r="BA432" s="265"/>
      <c r="BB432" s="265"/>
    </row>
    <row r="433" spans="1:250" s="167" customFormat="1">
      <c r="A433" s="169"/>
      <c r="B433" s="291" t="s">
        <v>158</v>
      </c>
      <c r="C433" s="258"/>
      <c r="D433" s="258"/>
      <c r="E433" s="258"/>
      <c r="F433" s="258"/>
      <c r="G433" s="258"/>
      <c r="H433" s="258"/>
      <c r="I433" s="258"/>
      <c r="J433" s="258"/>
      <c r="K433" s="264"/>
      <c r="L433" s="264"/>
      <c r="M433" s="264"/>
      <c r="N433" s="264"/>
      <c r="O433" s="264"/>
      <c r="P433" s="264"/>
      <c r="Q433" s="264"/>
      <c r="AI433" s="265"/>
      <c r="AJ433" s="265"/>
      <c r="AK433" s="265"/>
      <c r="AL433" s="265"/>
      <c r="AM433" s="265"/>
      <c r="AN433" s="265"/>
      <c r="AO433" s="265"/>
      <c r="AP433" s="265"/>
      <c r="AQ433" s="265"/>
      <c r="AR433" s="265"/>
      <c r="AS433" s="265"/>
      <c r="AT433" s="265"/>
      <c r="AU433" s="265"/>
      <c r="AV433" s="265"/>
      <c r="AW433" s="265"/>
      <c r="AX433" s="265"/>
      <c r="AY433" s="265"/>
      <c r="AZ433" s="265"/>
      <c r="BA433" s="265"/>
      <c r="BB433" s="265"/>
    </row>
    <row r="434" spans="1:250" s="167" customFormat="1">
      <c r="A434" s="169"/>
      <c r="B434" s="298" t="s">
        <v>345</v>
      </c>
      <c r="C434" s="258"/>
      <c r="D434" s="258"/>
      <c r="E434" s="258"/>
      <c r="F434" s="258"/>
      <c r="G434" s="258"/>
      <c r="H434" s="258"/>
      <c r="I434" s="258"/>
      <c r="J434" s="258"/>
      <c r="W434" s="265"/>
      <c r="X434" s="265"/>
      <c r="Y434" s="265"/>
      <c r="Z434" s="265"/>
      <c r="AA434" s="265"/>
      <c r="AB434" s="265"/>
      <c r="AC434" s="265"/>
      <c r="AD434" s="265"/>
      <c r="AE434" s="265"/>
      <c r="AF434" s="265"/>
      <c r="AG434" s="265"/>
      <c r="AH434" s="265"/>
      <c r="AI434" s="265"/>
      <c r="AJ434" s="265"/>
      <c r="AK434" s="265"/>
      <c r="AL434" s="265"/>
      <c r="AM434" s="265"/>
      <c r="AN434" s="265"/>
      <c r="AO434" s="265"/>
      <c r="AP434" s="265"/>
      <c r="AQ434" s="265"/>
      <c r="IF434" s="303"/>
      <c r="IG434" s="260"/>
      <c r="IH434" s="260"/>
      <c r="II434" s="260"/>
      <c r="IJ434" s="260"/>
      <c r="IK434" s="260"/>
      <c r="IL434" s="264"/>
      <c r="IM434" s="264"/>
      <c r="IN434" s="264"/>
      <c r="IO434" s="264"/>
      <c r="IP434" s="264"/>
    </row>
    <row r="435" spans="1:250" s="167" customFormat="1">
      <c r="A435" s="169"/>
      <c r="B435" s="169"/>
      <c r="C435" s="169"/>
      <c r="D435" s="169"/>
      <c r="E435" s="169"/>
      <c r="F435" s="169"/>
      <c r="G435" s="169"/>
      <c r="H435" s="169"/>
      <c r="I435" s="169"/>
      <c r="J435" s="169"/>
    </row>
    <row r="436" spans="1:250" s="167" customFormat="1">
      <c r="A436" s="169"/>
      <c r="B436" s="169"/>
      <c r="C436" s="169"/>
      <c r="D436" s="169"/>
      <c r="E436" s="169"/>
      <c r="F436" s="169"/>
      <c r="G436" s="169"/>
      <c r="H436" s="169"/>
      <c r="I436" s="169"/>
      <c r="J436" s="169"/>
    </row>
    <row r="437" spans="1:250" s="167" customFormat="1">
      <c r="A437" s="169"/>
      <c r="B437" s="169"/>
      <c r="C437" s="169"/>
      <c r="D437" s="169"/>
      <c r="E437" s="169"/>
      <c r="F437" s="169"/>
      <c r="G437" s="169"/>
      <c r="H437" s="169"/>
      <c r="I437" s="169"/>
      <c r="J437" s="169"/>
    </row>
    <row r="438" spans="1:250" s="265" customFormat="1" ht="18" customHeight="1">
      <c r="A438" s="169"/>
      <c r="B438" s="169"/>
      <c r="C438" s="169"/>
      <c r="D438" s="169"/>
      <c r="E438" s="266"/>
      <c r="F438" s="271"/>
      <c r="G438" s="258"/>
      <c r="H438" s="258"/>
      <c r="I438" s="258"/>
      <c r="J438" s="258"/>
      <c r="K438" s="260"/>
      <c r="L438" s="260"/>
      <c r="M438" s="260"/>
      <c r="N438" s="260"/>
      <c r="O438" s="260"/>
      <c r="P438" s="260"/>
      <c r="Q438" s="260"/>
    </row>
    <row r="439" spans="1:250" s="167" customFormat="1" ht="18" customHeight="1">
      <c r="A439" s="195" t="s">
        <v>183</v>
      </c>
      <c r="B439" s="195"/>
      <c r="C439" s="195"/>
      <c r="D439" s="169"/>
      <c r="E439" s="169"/>
      <c r="F439" s="169"/>
      <c r="G439" s="169"/>
      <c r="H439" s="169"/>
      <c r="I439" s="169"/>
      <c r="J439" s="169"/>
    </row>
    <row r="440" spans="1:250" s="167" customFormat="1" ht="18" customHeight="1">
      <c r="A440" s="169">
        <v>7</v>
      </c>
      <c r="B440" s="169"/>
      <c r="C440" s="169"/>
      <c r="D440" s="169"/>
      <c r="E440" s="169"/>
      <c r="F440" s="169"/>
      <c r="G440" s="169"/>
      <c r="H440" s="169"/>
      <c r="I440" s="169"/>
      <c r="J440" s="169"/>
    </row>
    <row r="441" spans="1:250" s="167" customFormat="1" ht="18" customHeight="1">
      <c r="A441" s="169"/>
      <c r="B441" s="169"/>
      <c r="C441" s="169"/>
      <c r="D441" s="169"/>
      <c r="E441" s="169"/>
      <c r="F441" s="169"/>
      <c r="G441" s="169"/>
      <c r="H441" s="169"/>
      <c r="I441" s="169"/>
      <c r="J441" s="169"/>
    </row>
    <row r="442" spans="1:250" s="265" customFormat="1" ht="18" customHeight="1">
      <c r="A442" s="169"/>
      <c r="B442" s="169"/>
      <c r="C442" s="169"/>
      <c r="D442" s="169"/>
      <c r="E442" s="169"/>
      <c r="F442" s="169"/>
      <c r="G442" s="169"/>
      <c r="H442" s="169"/>
      <c r="I442" s="169"/>
      <c r="J442" s="169"/>
      <c r="K442" s="167"/>
      <c r="L442" s="167"/>
      <c r="M442" s="167"/>
      <c r="N442" s="167"/>
      <c r="O442" s="167"/>
      <c r="P442" s="167"/>
      <c r="Q442" s="167"/>
    </row>
    <row r="443" spans="1:250" s="167" customFormat="1" ht="18" customHeight="1">
      <c r="A443" s="195"/>
      <c r="B443" s="195"/>
      <c r="C443" s="195"/>
      <c r="D443" s="195"/>
      <c r="E443" s="195"/>
      <c r="F443" s="195"/>
      <c r="G443" s="195"/>
      <c r="H443" s="195"/>
      <c r="I443" s="195"/>
      <c r="J443" s="195"/>
      <c r="K443" s="265"/>
      <c r="L443" s="265"/>
      <c r="M443" s="265"/>
      <c r="N443" s="265"/>
      <c r="O443" s="265"/>
      <c r="P443" s="265"/>
      <c r="Q443" s="265"/>
    </row>
    <row r="444" spans="1:250" s="167" customFormat="1" ht="18" customHeight="1">
      <c r="A444" s="169"/>
      <c r="B444" s="169"/>
      <c r="C444" s="169"/>
      <c r="D444" s="169"/>
      <c r="E444" s="169"/>
      <c r="F444" s="169"/>
      <c r="G444" s="169"/>
      <c r="H444" s="169"/>
      <c r="I444" s="169"/>
      <c r="J444" s="169"/>
    </row>
    <row r="445" spans="1:250" s="167" customFormat="1" ht="18" customHeight="1">
      <c r="A445" s="169"/>
      <c r="B445" s="169"/>
      <c r="C445" s="169"/>
      <c r="D445" s="169"/>
      <c r="E445" s="169"/>
      <c r="F445" s="169"/>
      <c r="G445" s="169"/>
      <c r="H445" s="169"/>
      <c r="I445" s="169"/>
      <c r="J445" s="169"/>
    </row>
    <row r="446" spans="1:250" s="167" customFormat="1" ht="18" customHeight="1">
      <c r="A446" s="169"/>
      <c r="B446" s="169"/>
      <c r="C446" s="169"/>
      <c r="D446" s="169"/>
      <c r="E446" s="169"/>
      <c r="F446" s="169"/>
      <c r="G446" s="169"/>
      <c r="H446" s="169"/>
      <c r="I446" s="169"/>
      <c r="J446" s="169"/>
    </row>
    <row r="447" spans="1:250" s="167" customFormat="1" ht="18" customHeight="1">
      <c r="A447" s="195"/>
      <c r="B447" s="195"/>
      <c r="C447" s="195"/>
      <c r="D447" s="195"/>
      <c r="E447" s="195"/>
      <c r="F447" s="195"/>
      <c r="G447" s="195"/>
      <c r="H447" s="195"/>
      <c r="I447" s="195"/>
      <c r="J447" s="195"/>
      <c r="K447" s="265"/>
      <c r="L447" s="265"/>
      <c r="M447" s="265"/>
      <c r="N447" s="265"/>
      <c r="O447" s="265"/>
      <c r="P447" s="265"/>
      <c r="Q447" s="265"/>
    </row>
    <row r="448" spans="1:250" s="167" customFormat="1" ht="18" customHeight="1">
      <c r="A448" s="195"/>
      <c r="B448" s="195"/>
      <c r="C448" s="195"/>
      <c r="D448" s="195"/>
      <c r="E448" s="195"/>
      <c r="F448" s="195"/>
      <c r="G448" s="195"/>
      <c r="H448" s="195"/>
      <c r="I448" s="195"/>
      <c r="J448" s="195"/>
      <c r="K448" s="265"/>
      <c r="L448" s="265"/>
      <c r="M448" s="265"/>
      <c r="N448" s="265"/>
      <c r="O448" s="265"/>
      <c r="P448" s="265"/>
      <c r="Q448" s="265"/>
    </row>
    <row r="449" spans="1:250" s="274" customFormat="1" ht="18" customHeight="1">
      <c r="A449" s="270">
        <f>A419+1</f>
        <v>15</v>
      </c>
      <c r="B449" s="271"/>
      <c r="C449" s="272" t="str">
        <f>IF($A$1 = 1, (IF("("&amp;C459&amp;")" ="()","","("&amp;C459&amp;")")), (IF("("&amp;C464&amp;")    ("&amp;C459&amp;")"="()    ()","","("&amp;C464&amp;")    ("&amp;C459&amp;")")))</f>
        <v/>
      </c>
      <c r="D449" s="272" t="str">
        <f t="shared" ref="D449:J449" si="42">IF($A$1 = 1, (IF("("&amp;D459&amp;")" ="()","","("&amp;D459&amp;")")), (IF("("&amp;D464&amp;")    ("&amp;D459&amp;")"="()    ()","","("&amp;D464&amp;")    ("&amp;D459&amp;")")))</f>
        <v/>
      </c>
      <c r="E449" s="272" t="str">
        <f t="shared" si="42"/>
        <v/>
      </c>
      <c r="F449" s="272" t="str">
        <f t="shared" si="42"/>
        <v/>
      </c>
      <c r="G449" s="272" t="str">
        <f t="shared" si="42"/>
        <v/>
      </c>
      <c r="H449" s="272" t="str">
        <f t="shared" si="42"/>
        <v/>
      </c>
      <c r="I449" s="272" t="str">
        <f t="shared" si="42"/>
        <v/>
      </c>
      <c r="J449" s="272" t="str">
        <f t="shared" si="42"/>
        <v/>
      </c>
      <c r="K449" s="273"/>
      <c r="L449" s="273"/>
      <c r="M449" s="273"/>
      <c r="N449" s="273"/>
      <c r="O449" s="273"/>
      <c r="P449" s="273"/>
      <c r="Q449" s="273"/>
      <c r="AI449" s="275"/>
      <c r="AJ449" s="275"/>
      <c r="AK449" s="275"/>
      <c r="AL449" s="275"/>
      <c r="AM449" s="275"/>
      <c r="AN449" s="275"/>
      <c r="AO449" s="275"/>
      <c r="AP449" s="275"/>
      <c r="AQ449" s="275"/>
      <c r="AR449" s="275"/>
      <c r="AS449" s="275"/>
      <c r="AT449" s="275"/>
      <c r="AU449" s="275"/>
      <c r="AV449" s="275"/>
      <c r="AW449" s="275"/>
      <c r="AX449" s="275"/>
      <c r="AY449" s="275"/>
      <c r="AZ449" s="275"/>
      <c r="BA449" s="275"/>
      <c r="BB449" s="275"/>
      <c r="BC449" s="275"/>
    </row>
    <row r="450" spans="1:250" s="280" customFormat="1" ht="59.1" customHeight="1">
      <c r="A450" s="276"/>
      <c r="B450" s="277"/>
      <c r="C450" s="278"/>
      <c r="D450" s="278"/>
      <c r="E450" s="278"/>
      <c r="F450" s="278"/>
      <c r="G450" s="278"/>
      <c r="H450" s="278"/>
      <c r="I450" s="278"/>
      <c r="J450" s="278"/>
      <c r="K450" s="279"/>
      <c r="L450" s="279"/>
      <c r="M450" s="279"/>
      <c r="N450" s="279"/>
      <c r="O450" s="279"/>
      <c r="P450" s="279"/>
      <c r="Q450" s="279"/>
      <c r="AI450" s="281"/>
      <c r="AJ450" s="281"/>
      <c r="AK450" s="281"/>
      <c r="AL450" s="281"/>
      <c r="AM450" s="281"/>
      <c r="AN450" s="281"/>
      <c r="AO450" s="281"/>
      <c r="AP450" s="281"/>
      <c r="AQ450" s="281"/>
      <c r="AS450" s="281"/>
      <c r="AT450" s="281"/>
      <c r="AU450" s="281"/>
      <c r="AV450" s="281"/>
      <c r="AW450" s="281"/>
      <c r="AX450" s="281"/>
      <c r="AY450" s="281"/>
      <c r="AZ450" s="281"/>
      <c r="BA450" s="281"/>
      <c r="BB450" s="281"/>
      <c r="BC450" s="281"/>
    </row>
    <row r="451" spans="1:250" s="167" customFormat="1" ht="21.95" customHeight="1">
      <c r="A451" s="266"/>
      <c r="B451" s="282" t="s">
        <v>3</v>
      </c>
      <c r="C451" s="283"/>
      <c r="D451" s="283"/>
      <c r="E451" s="283"/>
      <c r="F451" s="283"/>
      <c r="G451" s="283"/>
      <c r="H451" s="283"/>
      <c r="I451" s="283"/>
      <c r="J451" s="283"/>
      <c r="K451" s="284"/>
      <c r="L451" s="284"/>
      <c r="M451" s="284"/>
      <c r="N451" s="284"/>
      <c r="O451" s="284"/>
      <c r="P451" s="284"/>
      <c r="Q451" s="284"/>
      <c r="AI451" s="265"/>
      <c r="AJ451" s="265"/>
      <c r="AK451" s="265"/>
      <c r="AL451" s="265"/>
      <c r="AM451" s="265"/>
      <c r="AN451" s="265"/>
      <c r="AO451" s="265"/>
      <c r="AP451" s="265"/>
      <c r="AQ451" s="265"/>
      <c r="AS451" s="265"/>
      <c r="AT451" s="265"/>
      <c r="AU451" s="265"/>
      <c r="AV451" s="265"/>
      <c r="AW451" s="265"/>
      <c r="AX451" s="265"/>
      <c r="AY451" s="265"/>
      <c r="AZ451" s="265"/>
      <c r="BA451" s="265"/>
      <c r="BB451" s="265"/>
      <c r="BC451" s="265"/>
    </row>
    <row r="452" spans="1:250" s="167" customFormat="1" ht="21.95" customHeight="1">
      <c r="A452" s="266"/>
      <c r="B452" s="285" t="s">
        <v>18</v>
      </c>
      <c r="C452" s="283"/>
      <c r="D452" s="283"/>
      <c r="E452" s="283"/>
      <c r="F452" s="283"/>
      <c r="G452" s="283"/>
      <c r="H452" s="283"/>
      <c r="I452" s="283"/>
      <c r="J452" s="283"/>
      <c r="K452" s="286"/>
      <c r="L452" s="286"/>
      <c r="M452" s="286"/>
      <c r="N452" s="286"/>
      <c r="O452" s="286"/>
      <c r="P452" s="286"/>
      <c r="Q452" s="286"/>
      <c r="AI452" s="265"/>
      <c r="AJ452" s="265"/>
      <c r="AK452" s="265"/>
      <c r="AL452" s="265"/>
      <c r="AM452" s="265"/>
      <c r="AN452" s="265"/>
      <c r="AO452" s="265"/>
      <c r="AP452" s="265"/>
      <c r="AQ452" s="265"/>
      <c r="AS452" s="265"/>
      <c r="AT452" s="265"/>
      <c r="AU452" s="265"/>
      <c r="AV452" s="265"/>
      <c r="AW452" s="265"/>
      <c r="AX452" s="265"/>
      <c r="AY452" s="265"/>
      <c r="AZ452" s="265"/>
      <c r="BA452" s="265"/>
      <c r="BB452" s="265"/>
      <c r="BC452" s="265"/>
    </row>
    <row r="453" spans="1:250" s="167" customFormat="1" ht="21.95" customHeight="1">
      <c r="A453" s="169"/>
      <c r="B453" s="287" t="s">
        <v>32</v>
      </c>
      <c r="C453" s="283"/>
      <c r="D453" s="283"/>
      <c r="E453" s="283"/>
      <c r="F453" s="283"/>
      <c r="G453" s="283"/>
      <c r="H453" s="283"/>
      <c r="I453" s="283"/>
      <c r="J453" s="283"/>
      <c r="K453" s="286"/>
      <c r="L453" s="286"/>
      <c r="M453" s="286"/>
      <c r="N453" s="286"/>
      <c r="O453" s="286"/>
      <c r="P453" s="286"/>
      <c r="Q453" s="286"/>
      <c r="AI453" s="265"/>
      <c r="AJ453" s="265"/>
      <c r="AK453" s="265"/>
      <c r="AL453" s="265"/>
      <c r="AM453" s="265"/>
      <c r="AN453" s="265"/>
      <c r="AO453" s="265"/>
      <c r="AP453" s="265"/>
      <c r="AQ453" s="265"/>
      <c r="AS453" s="265"/>
      <c r="AT453" s="265"/>
      <c r="AU453" s="265"/>
      <c r="AV453" s="265"/>
      <c r="AW453" s="265"/>
      <c r="AX453" s="265"/>
      <c r="AY453" s="265"/>
      <c r="AZ453" s="265"/>
      <c r="BA453" s="265"/>
      <c r="BB453" s="265"/>
    </row>
    <row r="454" spans="1:250" s="167" customFormat="1" ht="21.95" customHeight="1">
      <c r="A454" s="169"/>
      <c r="B454" s="288" t="s">
        <v>45</v>
      </c>
      <c r="C454" s="283"/>
      <c r="D454" s="283"/>
      <c r="E454" s="283"/>
      <c r="F454" s="283"/>
      <c r="G454" s="283"/>
      <c r="H454" s="283"/>
      <c r="I454" s="283"/>
      <c r="J454" s="283"/>
      <c r="K454" s="286"/>
      <c r="L454" s="286"/>
      <c r="M454" s="286"/>
      <c r="N454" s="286"/>
      <c r="O454" s="286"/>
      <c r="P454" s="286"/>
      <c r="Q454" s="286"/>
      <c r="AI454" s="265"/>
      <c r="AJ454" s="265"/>
      <c r="AK454" s="265"/>
      <c r="AL454" s="265"/>
      <c r="AM454" s="265"/>
      <c r="AN454" s="265"/>
      <c r="AO454" s="265"/>
      <c r="AP454" s="265"/>
      <c r="AQ454" s="265"/>
      <c r="AS454" s="265"/>
      <c r="AT454" s="265"/>
      <c r="AU454" s="265"/>
      <c r="AV454" s="265"/>
      <c r="AW454" s="265"/>
      <c r="AX454" s="265"/>
      <c r="AY454" s="265"/>
      <c r="AZ454" s="265"/>
      <c r="BA454" s="265"/>
      <c r="BB454" s="265"/>
    </row>
    <row r="455" spans="1:250" s="167" customFormat="1" ht="21.95" customHeight="1">
      <c r="A455" s="169"/>
      <c r="B455" s="290" t="s">
        <v>54</v>
      </c>
      <c r="C455" s="283"/>
      <c r="D455" s="283"/>
      <c r="E455" s="283"/>
      <c r="F455" s="283"/>
      <c r="G455" s="283"/>
      <c r="H455" s="283"/>
      <c r="I455" s="283"/>
      <c r="J455" s="283"/>
      <c r="K455" s="286"/>
      <c r="L455" s="286"/>
      <c r="M455" s="286"/>
      <c r="N455" s="286"/>
      <c r="O455" s="286"/>
      <c r="P455" s="286"/>
      <c r="Q455" s="286"/>
      <c r="AI455" s="265"/>
      <c r="AJ455" s="265"/>
      <c r="AK455" s="265"/>
      <c r="AL455" s="265"/>
      <c r="AM455" s="265"/>
      <c r="AN455" s="265"/>
      <c r="AO455" s="265"/>
      <c r="AP455" s="265"/>
      <c r="AQ455" s="265"/>
      <c r="AS455" s="265"/>
      <c r="AT455" s="265"/>
      <c r="AU455" s="265"/>
      <c r="AV455" s="265"/>
      <c r="AW455" s="265"/>
      <c r="AX455" s="265"/>
      <c r="AY455" s="265"/>
      <c r="AZ455" s="265"/>
      <c r="BA455" s="265"/>
      <c r="BB455" s="265"/>
    </row>
    <row r="456" spans="1:250" s="167" customFormat="1">
      <c r="A456" s="169"/>
      <c r="B456" s="291" t="s">
        <v>66</v>
      </c>
      <c r="C456" s="286"/>
      <c r="D456" s="286"/>
      <c r="E456" s="286"/>
      <c r="F456" s="286"/>
      <c r="G456" s="286"/>
      <c r="H456" s="286"/>
      <c r="I456" s="286"/>
      <c r="J456" s="286"/>
      <c r="K456" s="286"/>
      <c r="L456" s="286"/>
      <c r="M456" s="286"/>
      <c r="N456" s="286"/>
      <c r="O456" s="286"/>
      <c r="P456" s="286"/>
      <c r="Q456" s="286"/>
      <c r="AI456" s="265"/>
      <c r="AJ456" s="265"/>
      <c r="AK456" s="265"/>
      <c r="AL456" s="265"/>
      <c r="AM456" s="265"/>
      <c r="AN456" s="265"/>
      <c r="AO456" s="265"/>
      <c r="AP456" s="265"/>
      <c r="AQ456" s="265"/>
      <c r="AS456" s="265"/>
      <c r="AT456" s="265"/>
      <c r="AU456" s="265"/>
      <c r="AV456" s="265"/>
      <c r="AW456" s="265"/>
      <c r="AX456" s="265"/>
      <c r="AY456" s="265"/>
      <c r="AZ456" s="265"/>
      <c r="BA456" s="265"/>
      <c r="BB456" s="265"/>
    </row>
    <row r="457" spans="1:250" s="167" customFormat="1">
      <c r="A457" s="169"/>
      <c r="B457" s="291" t="s">
        <v>158</v>
      </c>
      <c r="C457" s="292"/>
      <c r="D457" s="292"/>
      <c r="E457" s="292"/>
      <c r="F457" s="292"/>
      <c r="G457" s="292"/>
      <c r="H457" s="292"/>
      <c r="I457" s="292"/>
      <c r="J457" s="292"/>
      <c r="K457" s="292"/>
      <c r="L457" s="292"/>
      <c r="M457" s="292"/>
      <c r="N457" s="292"/>
      <c r="O457" s="292"/>
      <c r="P457" s="292"/>
      <c r="Q457" s="292"/>
      <c r="AI457" s="265"/>
      <c r="AJ457" s="265"/>
      <c r="AK457" s="265"/>
      <c r="AL457" s="265"/>
      <c r="AM457" s="265"/>
      <c r="AN457" s="265"/>
      <c r="AO457" s="265"/>
      <c r="AP457" s="265"/>
      <c r="AQ457" s="265"/>
      <c r="AS457" s="265"/>
      <c r="AT457" s="265"/>
      <c r="AU457" s="265"/>
      <c r="AV457" s="265"/>
      <c r="AW457" s="265"/>
      <c r="AX457" s="265"/>
      <c r="AY457" s="265"/>
      <c r="AZ457" s="265"/>
      <c r="BA457" s="265"/>
      <c r="BB457" s="265"/>
    </row>
    <row r="458" spans="1:250" s="167" customFormat="1">
      <c r="A458" s="169"/>
      <c r="B458" s="291" t="s">
        <v>189</v>
      </c>
      <c r="C458" s="292"/>
      <c r="D458" s="292"/>
      <c r="E458" s="292"/>
      <c r="F458" s="292"/>
      <c r="G458" s="292"/>
      <c r="H458" s="292"/>
      <c r="I458" s="292"/>
      <c r="J458" s="292"/>
      <c r="K458" s="292"/>
      <c r="L458" s="292"/>
      <c r="M458" s="292"/>
      <c r="N458" s="292"/>
      <c r="O458" s="292"/>
      <c r="P458" s="292"/>
      <c r="Q458" s="292"/>
      <c r="AI458" s="293"/>
      <c r="AJ458" s="293"/>
      <c r="AK458" s="293"/>
      <c r="AL458" s="293"/>
      <c r="AM458" s="293"/>
      <c r="AN458" s="265"/>
      <c r="AO458" s="265"/>
      <c r="AP458" s="265"/>
      <c r="AQ458" s="265"/>
      <c r="AS458" s="265"/>
      <c r="AT458" s="265"/>
      <c r="AU458" s="265"/>
      <c r="AV458" s="265"/>
      <c r="AW458" s="265"/>
      <c r="AX458" s="265"/>
      <c r="AY458" s="265"/>
      <c r="AZ458" s="265"/>
      <c r="BA458" s="265"/>
      <c r="BB458" s="265"/>
    </row>
    <row r="459" spans="1:250" s="167" customFormat="1" ht="15" thickBot="1">
      <c r="A459" s="169"/>
      <c r="B459" s="291" t="s">
        <v>345</v>
      </c>
      <c r="C459" s="292"/>
      <c r="D459" s="292"/>
      <c r="E459" s="292"/>
      <c r="F459" s="292"/>
      <c r="G459" s="292"/>
      <c r="H459" s="292"/>
      <c r="I459" s="292"/>
      <c r="J459" s="292"/>
      <c r="K459" s="292"/>
      <c r="L459" s="292"/>
      <c r="M459" s="292"/>
      <c r="N459" s="292"/>
      <c r="O459" s="292"/>
      <c r="P459" s="292"/>
      <c r="Q459" s="292"/>
      <c r="AI459" s="265"/>
      <c r="AJ459" s="265"/>
      <c r="AK459" s="265"/>
      <c r="AL459" s="265"/>
      <c r="AM459" s="265"/>
      <c r="AN459" s="265"/>
      <c r="AO459" s="265"/>
      <c r="AP459" s="265"/>
      <c r="AQ459" s="265"/>
      <c r="AS459" s="265"/>
      <c r="AT459" s="265"/>
      <c r="AU459" s="265"/>
      <c r="AV459" s="265"/>
      <c r="AW459" s="265"/>
      <c r="AX459" s="265"/>
      <c r="AY459" s="265"/>
      <c r="AZ459" s="265"/>
      <c r="BA459" s="265"/>
      <c r="BB459" s="265"/>
    </row>
    <row r="460" spans="1:250" s="167" customFormat="1">
      <c r="A460" s="266"/>
      <c r="B460" s="294" t="s">
        <v>166</v>
      </c>
      <c r="C460" s="295" t="str">
        <f>IF(OR(C463="**",C463=""),"",VALUE(C463))</f>
        <v/>
      </c>
      <c r="D460" s="295" t="str">
        <f t="shared" ref="D460:J460" si="43">IF(OR(D463="**",D463=""),"",VALUE(D463))</f>
        <v/>
      </c>
      <c r="E460" s="295" t="str">
        <f t="shared" si="43"/>
        <v/>
      </c>
      <c r="F460" s="295" t="str">
        <f t="shared" si="43"/>
        <v/>
      </c>
      <c r="G460" s="295" t="str">
        <f t="shared" si="43"/>
        <v/>
      </c>
      <c r="H460" s="295" t="str">
        <f t="shared" si="43"/>
        <v/>
      </c>
      <c r="I460" s="295" t="str">
        <f t="shared" si="43"/>
        <v/>
      </c>
      <c r="J460" s="295" t="str">
        <f t="shared" si="43"/>
        <v/>
      </c>
      <c r="K460" s="183"/>
      <c r="L460" s="183"/>
      <c r="M460" s="183"/>
      <c r="N460" s="183"/>
      <c r="O460" s="183"/>
      <c r="P460" s="183"/>
      <c r="Q460" s="183"/>
      <c r="AI460" s="265"/>
      <c r="AJ460" s="265"/>
      <c r="AK460" s="265"/>
      <c r="AL460" s="265"/>
      <c r="AM460" s="265"/>
      <c r="AN460" s="265"/>
      <c r="AO460" s="265"/>
      <c r="AP460" s="265"/>
      <c r="AQ460" s="265"/>
      <c r="AS460" s="265"/>
      <c r="AT460" s="265"/>
      <c r="AU460" s="265"/>
      <c r="AV460" s="265"/>
      <c r="AW460" s="265"/>
      <c r="AX460" s="265"/>
      <c r="AY460" s="265"/>
      <c r="AZ460" s="265"/>
      <c r="BA460" s="265"/>
      <c r="BB460" s="265"/>
    </row>
    <row r="461" spans="1:250" s="167" customFormat="1" ht="15" thickBot="1">
      <c r="A461" s="266"/>
      <c r="B461" s="296" t="s">
        <v>165</v>
      </c>
      <c r="C461" s="297" t="str">
        <f t="shared" ref="C461:J461" si="44">IF(OR(C457="**",C457=""),"",VALUE(C457))</f>
        <v/>
      </c>
      <c r="D461" s="297" t="str">
        <f t="shared" si="44"/>
        <v/>
      </c>
      <c r="E461" s="297" t="str">
        <f t="shared" si="44"/>
        <v/>
      </c>
      <c r="F461" s="297" t="str">
        <f t="shared" si="44"/>
        <v/>
      </c>
      <c r="G461" s="297" t="str">
        <f t="shared" si="44"/>
        <v/>
      </c>
      <c r="H461" s="297" t="str">
        <f t="shared" si="44"/>
        <v/>
      </c>
      <c r="I461" s="297" t="str">
        <f t="shared" si="44"/>
        <v/>
      </c>
      <c r="J461" s="297" t="str">
        <f t="shared" si="44"/>
        <v/>
      </c>
      <c r="K461" s="260"/>
      <c r="L461" s="260"/>
      <c r="M461" s="260"/>
      <c r="N461" s="260"/>
      <c r="O461" s="260"/>
      <c r="P461" s="260"/>
      <c r="Q461" s="260"/>
      <c r="AI461" s="260"/>
      <c r="AJ461" s="260"/>
      <c r="AK461" s="260"/>
      <c r="AL461" s="260"/>
      <c r="AM461" s="260"/>
      <c r="AN461" s="260"/>
      <c r="AO461" s="260"/>
      <c r="AP461" s="260"/>
      <c r="AQ461" s="265"/>
      <c r="AR461" s="265"/>
      <c r="AS461" s="265"/>
      <c r="AT461" s="265"/>
      <c r="AU461" s="265"/>
      <c r="AV461" s="265"/>
      <c r="AW461" s="265"/>
      <c r="AX461" s="265"/>
      <c r="AY461" s="265"/>
      <c r="AZ461" s="265"/>
      <c r="BA461" s="265"/>
      <c r="BB461" s="265"/>
    </row>
    <row r="462" spans="1:250" s="167" customFormat="1">
      <c r="A462" s="169"/>
      <c r="B462" s="298" t="s">
        <v>385</v>
      </c>
      <c r="C462" s="195"/>
      <c r="D462" s="195"/>
      <c r="E462" s="195"/>
      <c r="F462" s="195"/>
      <c r="G462" s="195"/>
      <c r="H462" s="195"/>
      <c r="I462" s="195"/>
      <c r="J462" s="195"/>
      <c r="K462" s="264"/>
      <c r="L462" s="264"/>
      <c r="M462" s="264"/>
      <c r="N462" s="264"/>
      <c r="O462" s="264"/>
      <c r="P462" s="264"/>
      <c r="Q462" s="264"/>
      <c r="AI462" s="265"/>
      <c r="AJ462" s="265"/>
      <c r="AK462" s="265"/>
      <c r="AL462" s="265"/>
      <c r="AM462" s="265"/>
      <c r="AN462" s="265"/>
      <c r="AO462" s="265"/>
      <c r="AP462" s="265"/>
      <c r="AQ462" s="265"/>
      <c r="AR462" s="265"/>
      <c r="AS462" s="265"/>
      <c r="AT462" s="265"/>
      <c r="AU462" s="265"/>
      <c r="AV462" s="265"/>
      <c r="AW462" s="265"/>
      <c r="AX462" s="265"/>
      <c r="AY462" s="265"/>
      <c r="AZ462" s="265"/>
      <c r="BA462" s="265"/>
      <c r="BB462" s="265"/>
    </row>
    <row r="463" spans="1:250" s="167" customFormat="1">
      <c r="A463" s="169"/>
      <c r="B463" s="291" t="s">
        <v>158</v>
      </c>
      <c r="C463" s="258"/>
      <c r="D463" s="258"/>
      <c r="E463" s="258"/>
      <c r="F463" s="258"/>
      <c r="G463" s="258"/>
      <c r="H463" s="258"/>
      <c r="I463" s="258"/>
      <c r="J463" s="258"/>
      <c r="K463" s="264"/>
      <c r="L463" s="264"/>
      <c r="M463" s="264"/>
      <c r="N463" s="264"/>
      <c r="O463" s="264"/>
      <c r="P463" s="264"/>
      <c r="Q463" s="264"/>
      <c r="AI463" s="265"/>
      <c r="AJ463" s="265"/>
      <c r="AK463" s="265"/>
      <c r="AL463" s="265"/>
      <c r="AM463" s="265"/>
      <c r="AN463" s="265"/>
      <c r="AO463" s="265"/>
      <c r="AP463" s="265"/>
      <c r="AQ463" s="265"/>
      <c r="AR463" s="265"/>
      <c r="AS463" s="265"/>
      <c r="AT463" s="265"/>
      <c r="AU463" s="265"/>
      <c r="AV463" s="265"/>
      <c r="AW463" s="265"/>
      <c r="AX463" s="265"/>
      <c r="AY463" s="265"/>
      <c r="AZ463" s="265"/>
      <c r="BA463" s="265"/>
      <c r="BB463" s="265"/>
    </row>
    <row r="464" spans="1:250" s="167" customFormat="1">
      <c r="A464" s="169"/>
      <c r="B464" s="298" t="s">
        <v>345</v>
      </c>
      <c r="C464" s="258"/>
      <c r="D464" s="258"/>
      <c r="E464" s="258"/>
      <c r="F464" s="258"/>
      <c r="G464" s="258"/>
      <c r="H464" s="258"/>
      <c r="I464" s="258"/>
      <c r="J464" s="258"/>
      <c r="W464" s="265"/>
      <c r="X464" s="265"/>
      <c r="Y464" s="265"/>
      <c r="Z464" s="265"/>
      <c r="AA464" s="265"/>
      <c r="AB464" s="265"/>
      <c r="AC464" s="265"/>
      <c r="AD464" s="265"/>
      <c r="AE464" s="265"/>
      <c r="AF464" s="265"/>
      <c r="AG464" s="265"/>
      <c r="AH464" s="265"/>
      <c r="AI464" s="265"/>
      <c r="AJ464" s="265"/>
      <c r="AK464" s="265"/>
      <c r="AL464" s="265"/>
      <c r="AM464" s="265"/>
      <c r="AN464" s="265"/>
      <c r="AO464" s="265"/>
      <c r="AP464" s="265"/>
      <c r="AQ464" s="265"/>
      <c r="IF464" s="303"/>
      <c r="IG464" s="260"/>
      <c r="IH464" s="260"/>
      <c r="II464" s="260"/>
      <c r="IJ464" s="260"/>
      <c r="IK464" s="260"/>
      <c r="IL464" s="264"/>
      <c r="IM464" s="264"/>
      <c r="IN464" s="264"/>
      <c r="IO464" s="264"/>
      <c r="IP464" s="264"/>
    </row>
    <row r="465" spans="1:55" s="167" customFormat="1">
      <c r="A465" s="169"/>
      <c r="B465" s="169"/>
      <c r="C465" s="169"/>
      <c r="D465" s="169"/>
      <c r="E465" s="169"/>
      <c r="F465" s="169"/>
      <c r="G465" s="169"/>
      <c r="H465" s="169"/>
      <c r="I465" s="169"/>
      <c r="J465" s="169"/>
    </row>
    <row r="466" spans="1:55" s="167" customFormat="1">
      <c r="A466" s="169"/>
      <c r="B466" s="169"/>
      <c r="C466" s="169"/>
      <c r="D466" s="169"/>
      <c r="E466" s="169"/>
      <c r="F466" s="169"/>
      <c r="G466" s="169"/>
      <c r="H466" s="169"/>
      <c r="I466" s="169"/>
      <c r="J466" s="169"/>
      <c r="Z466" s="301"/>
      <c r="AA466" s="291"/>
      <c r="AB466" s="183"/>
      <c r="AC466" s="183"/>
      <c r="AD466" s="183"/>
      <c r="AE466" s="183"/>
      <c r="AF466" s="183"/>
      <c r="AG466" s="183"/>
      <c r="AH466" s="183"/>
      <c r="AI466" s="183"/>
      <c r="AJ466" s="264"/>
      <c r="AK466" s="264"/>
    </row>
    <row r="467" spans="1:55" s="167" customFormat="1">
      <c r="A467" s="169"/>
      <c r="B467" s="169"/>
      <c r="C467" s="169"/>
      <c r="D467" s="169"/>
      <c r="E467" s="169"/>
      <c r="F467" s="169"/>
      <c r="G467" s="169"/>
      <c r="H467" s="169"/>
      <c r="I467" s="169"/>
      <c r="J467" s="169"/>
      <c r="R467" s="265"/>
      <c r="S467" s="265"/>
      <c r="T467" s="265"/>
      <c r="U467" s="265"/>
      <c r="V467" s="265"/>
      <c r="W467" s="265"/>
      <c r="X467" s="265"/>
    </row>
    <row r="468" spans="1:55" s="167" customFormat="1" ht="18" customHeight="1">
      <c r="A468" s="169"/>
      <c r="B468" s="169"/>
      <c r="C468" s="169"/>
      <c r="D468" s="169"/>
      <c r="E468" s="169"/>
      <c r="F468" s="169"/>
      <c r="G468" s="169"/>
      <c r="H468" s="169"/>
      <c r="I468" s="169"/>
      <c r="J468" s="169"/>
    </row>
    <row r="469" spans="1:55" s="167" customFormat="1" ht="18" customHeight="1">
      <c r="A469" s="169" t="s">
        <v>183</v>
      </c>
      <c r="B469" s="169"/>
      <c r="C469" s="169"/>
      <c r="D469" s="169"/>
      <c r="E469" s="169"/>
      <c r="F469" s="169"/>
      <c r="G469" s="169"/>
      <c r="H469" s="169"/>
      <c r="I469" s="169"/>
      <c r="J469" s="169"/>
    </row>
    <row r="470" spans="1:55" s="167" customFormat="1" ht="18" customHeight="1">
      <c r="A470" s="169">
        <v>7</v>
      </c>
      <c r="B470" s="169"/>
      <c r="C470" s="169"/>
      <c r="D470" s="169"/>
      <c r="E470" s="169"/>
      <c r="F470" s="169"/>
      <c r="G470" s="169"/>
      <c r="H470" s="169"/>
      <c r="I470" s="169"/>
      <c r="J470" s="169"/>
      <c r="AI470" s="301"/>
      <c r="AJ470" s="311"/>
      <c r="AK470" s="260"/>
      <c r="AL470" s="260"/>
      <c r="AM470" s="260"/>
      <c r="AN470" s="260"/>
      <c r="AO470" s="260"/>
      <c r="AP470" s="260"/>
      <c r="AQ470" s="260"/>
      <c r="AR470" s="260"/>
      <c r="AS470" s="264"/>
      <c r="AT470" s="264"/>
    </row>
    <row r="471" spans="1:55" s="167" customFormat="1" ht="18" customHeight="1">
      <c r="A471" s="169"/>
      <c r="B471" s="169"/>
      <c r="C471" s="169"/>
      <c r="D471" s="169"/>
      <c r="E471" s="169"/>
      <c r="F471" s="169"/>
      <c r="G471" s="169"/>
      <c r="H471" s="169"/>
      <c r="I471" s="169"/>
      <c r="J471" s="169"/>
      <c r="R471" s="260"/>
      <c r="S471" s="260"/>
      <c r="T471" s="260"/>
      <c r="U471" s="265"/>
      <c r="V471" s="265"/>
      <c r="W471" s="265"/>
      <c r="X471" s="265"/>
      <c r="Y471" s="265"/>
      <c r="Z471" s="265"/>
      <c r="AA471" s="265"/>
      <c r="AB471" s="265"/>
      <c r="AC471" s="265"/>
      <c r="AD471" s="265"/>
      <c r="AE471" s="265"/>
      <c r="AF471" s="265"/>
      <c r="AG471" s="265"/>
    </row>
    <row r="472" spans="1:55" s="167" customFormat="1" ht="18" customHeight="1">
      <c r="A472" s="169"/>
      <c r="B472" s="169"/>
      <c r="C472" s="169"/>
      <c r="D472" s="169"/>
      <c r="E472" s="169"/>
      <c r="F472" s="169"/>
      <c r="G472" s="169"/>
      <c r="H472" s="169"/>
      <c r="I472" s="169"/>
      <c r="J472" s="169"/>
    </row>
    <row r="473" spans="1:55" s="167" customFormat="1" ht="18" customHeight="1">
      <c r="A473" s="169"/>
      <c r="B473" s="169"/>
      <c r="C473" s="169"/>
      <c r="D473" s="169"/>
      <c r="E473" s="169"/>
      <c r="F473" s="169"/>
      <c r="G473" s="169"/>
      <c r="H473" s="169"/>
      <c r="I473" s="169"/>
      <c r="J473" s="169"/>
    </row>
    <row r="474" spans="1:55" s="167" customFormat="1" ht="18" customHeight="1">
      <c r="A474" s="169"/>
      <c r="B474" s="169"/>
      <c r="C474" s="169"/>
      <c r="D474" s="169"/>
      <c r="E474" s="169"/>
      <c r="F474" s="169"/>
      <c r="G474" s="169"/>
      <c r="H474" s="169"/>
      <c r="I474" s="169"/>
      <c r="J474" s="169"/>
      <c r="AI474" s="260"/>
      <c r="AJ474" s="260"/>
      <c r="AK474" s="260"/>
      <c r="AL474" s="260"/>
      <c r="AM474" s="260"/>
      <c r="AN474" s="260"/>
      <c r="AO474" s="260"/>
      <c r="AP474" s="260"/>
      <c r="AR474" s="301"/>
      <c r="AS474" s="303"/>
      <c r="AT474" s="265"/>
      <c r="AU474" s="265"/>
      <c r="AV474" s="265"/>
      <c r="AW474" s="265"/>
      <c r="AX474" s="265"/>
      <c r="AY474" s="264"/>
      <c r="AZ474" s="264"/>
      <c r="BA474" s="264"/>
      <c r="BB474" s="264"/>
      <c r="BC474" s="264"/>
    </row>
    <row r="475" spans="1:55" s="167" customFormat="1" ht="18" customHeight="1">
      <c r="A475" s="169"/>
      <c r="B475" s="169"/>
      <c r="C475" s="169"/>
      <c r="D475" s="169"/>
      <c r="E475" s="169"/>
      <c r="F475" s="169"/>
      <c r="G475" s="169"/>
      <c r="H475" s="169"/>
      <c r="I475" s="169"/>
      <c r="J475" s="169"/>
      <c r="V475" s="265"/>
      <c r="W475" s="265"/>
      <c r="X475" s="265"/>
      <c r="Y475" s="265"/>
      <c r="Z475" s="265"/>
      <c r="AA475" s="265"/>
      <c r="AB475" s="265"/>
      <c r="AC475" s="265"/>
      <c r="AD475" s="265"/>
      <c r="AE475" s="265"/>
      <c r="AF475" s="265"/>
      <c r="AG475" s="265"/>
      <c r="AH475" s="265"/>
      <c r="AI475" s="265"/>
      <c r="AJ475" s="265"/>
      <c r="AK475" s="265"/>
      <c r="AL475" s="265"/>
      <c r="AM475" s="265"/>
      <c r="AN475" s="265"/>
      <c r="AO475" s="265"/>
      <c r="AP475" s="265"/>
    </row>
    <row r="476" spans="1:55" s="167" customFormat="1" ht="18" customHeight="1">
      <c r="A476" s="169"/>
      <c r="B476" s="169"/>
      <c r="C476" s="169"/>
      <c r="D476" s="169"/>
      <c r="E476" s="169"/>
      <c r="F476" s="169"/>
      <c r="G476" s="169"/>
      <c r="H476" s="169"/>
      <c r="I476" s="169"/>
      <c r="J476" s="169"/>
    </row>
    <row r="477" spans="1:55" s="167" customFormat="1" ht="18" customHeight="1">
      <c r="A477" s="169"/>
      <c r="B477" s="169"/>
      <c r="C477" s="169"/>
      <c r="D477" s="169"/>
      <c r="E477" s="169"/>
      <c r="F477" s="169"/>
      <c r="G477" s="169"/>
      <c r="H477" s="169"/>
      <c r="I477" s="169"/>
      <c r="J477" s="169"/>
    </row>
    <row r="478" spans="1:55" s="260" customFormat="1" ht="18" customHeight="1">
      <c r="A478" s="169"/>
      <c r="B478" s="169"/>
      <c r="C478" s="169"/>
      <c r="D478" s="169"/>
      <c r="E478" s="169"/>
      <c r="F478" s="169"/>
      <c r="G478" s="169"/>
      <c r="H478" s="169"/>
      <c r="I478" s="169"/>
      <c r="J478" s="169"/>
      <c r="K478" s="167"/>
      <c r="L478" s="167"/>
      <c r="M478" s="167"/>
      <c r="N478" s="167"/>
      <c r="O478" s="167"/>
      <c r="P478" s="167"/>
      <c r="Q478" s="167"/>
      <c r="R478" s="167"/>
      <c r="S478" s="167"/>
      <c r="T478" s="167"/>
      <c r="U478" s="167"/>
      <c r="V478" s="167"/>
      <c r="W478" s="167"/>
      <c r="X478" s="167"/>
      <c r="Y478" s="167"/>
      <c r="Z478" s="167"/>
      <c r="AA478" s="167"/>
      <c r="AB478" s="167"/>
      <c r="AC478" s="167"/>
      <c r="AD478" s="167"/>
      <c r="AE478" s="167"/>
      <c r="AF478" s="167"/>
      <c r="AG478" s="167"/>
      <c r="AH478" s="167"/>
      <c r="AI478" s="167"/>
      <c r="AJ478" s="167"/>
      <c r="AK478" s="167"/>
      <c r="AL478" s="167"/>
      <c r="AM478" s="167"/>
      <c r="AN478" s="167"/>
      <c r="AO478" s="167"/>
      <c r="AP478" s="167"/>
      <c r="AQ478" s="167"/>
      <c r="AR478" s="167"/>
      <c r="AS478" s="167"/>
      <c r="AT478" s="167"/>
      <c r="AU478" s="167"/>
      <c r="AV478" s="167"/>
      <c r="AW478" s="167"/>
      <c r="AX478" s="167"/>
      <c r="AY478" s="167"/>
      <c r="AZ478" s="167"/>
      <c r="BA478" s="301"/>
      <c r="BB478" s="303"/>
    </row>
    <row r="479" spans="1:55" s="274" customFormat="1" ht="18" customHeight="1">
      <c r="A479" s="270">
        <f>A449+1</f>
        <v>16</v>
      </c>
      <c r="B479" s="271"/>
      <c r="C479" s="272" t="str">
        <f>IF($A$1 = 1, (IF("("&amp;C489&amp;")" ="()","","("&amp;C489&amp;")")), (IF("("&amp;C494&amp;")    ("&amp;C489&amp;")"="()    ()","","("&amp;C494&amp;")    ("&amp;C489&amp;")")))</f>
        <v/>
      </c>
      <c r="D479" s="272" t="str">
        <f t="shared" ref="D479:J479" si="45">IF($A$1 = 1, (IF("("&amp;D489&amp;")" ="()","","("&amp;D489&amp;")")), (IF("("&amp;D494&amp;")    ("&amp;D489&amp;")"="()    ()","","("&amp;D494&amp;")    ("&amp;D489&amp;")")))</f>
        <v/>
      </c>
      <c r="E479" s="272" t="str">
        <f t="shared" si="45"/>
        <v/>
      </c>
      <c r="F479" s="272" t="str">
        <f t="shared" si="45"/>
        <v/>
      </c>
      <c r="G479" s="272" t="str">
        <f t="shared" si="45"/>
        <v/>
      </c>
      <c r="H479" s="272" t="str">
        <f t="shared" si="45"/>
        <v/>
      </c>
      <c r="I479" s="272" t="str">
        <f t="shared" si="45"/>
        <v/>
      </c>
      <c r="J479" s="272" t="str">
        <f t="shared" si="45"/>
        <v/>
      </c>
      <c r="K479" s="273"/>
      <c r="L479" s="273"/>
      <c r="M479" s="273"/>
      <c r="N479" s="273"/>
      <c r="O479" s="273"/>
      <c r="P479" s="273"/>
      <c r="Q479" s="273"/>
      <c r="AI479" s="275"/>
      <c r="AJ479" s="275"/>
      <c r="AK479" s="275"/>
      <c r="AL479" s="275"/>
      <c r="AM479" s="275"/>
      <c r="AN479" s="275"/>
      <c r="AO479" s="275"/>
      <c r="AP479" s="275"/>
      <c r="AQ479" s="275"/>
      <c r="AR479" s="275"/>
      <c r="AS479" s="275"/>
      <c r="AT479" s="275"/>
      <c r="AU479" s="275"/>
      <c r="AV479" s="275"/>
      <c r="AW479" s="275"/>
      <c r="AX479" s="275"/>
      <c r="AY479" s="275"/>
      <c r="AZ479" s="275"/>
      <c r="BA479" s="275"/>
      <c r="BB479" s="275"/>
      <c r="BC479" s="275"/>
    </row>
    <row r="480" spans="1:55" s="280" customFormat="1" ht="59.1" customHeight="1">
      <c r="A480" s="276"/>
      <c r="B480" s="277"/>
      <c r="C480" s="278"/>
      <c r="D480" s="278"/>
      <c r="E480" s="278"/>
      <c r="F480" s="278"/>
      <c r="G480" s="278"/>
      <c r="H480" s="278"/>
      <c r="I480" s="278"/>
      <c r="J480" s="278"/>
      <c r="K480" s="279"/>
      <c r="L480" s="279"/>
      <c r="M480" s="279"/>
      <c r="N480" s="279"/>
      <c r="O480" s="279"/>
      <c r="P480" s="279"/>
      <c r="Q480" s="279"/>
      <c r="AI480" s="281"/>
      <c r="AJ480" s="281"/>
      <c r="AK480" s="281"/>
      <c r="AL480" s="281"/>
      <c r="AM480" s="281"/>
      <c r="AN480" s="281"/>
      <c r="AO480" s="281"/>
      <c r="AP480" s="281"/>
      <c r="AQ480" s="281"/>
      <c r="AS480" s="281"/>
      <c r="AT480" s="281"/>
      <c r="AU480" s="281"/>
      <c r="AV480" s="281"/>
      <c r="AW480" s="281"/>
      <c r="AX480" s="281"/>
      <c r="AY480" s="281"/>
      <c r="AZ480" s="281"/>
      <c r="BA480" s="281"/>
      <c r="BB480" s="281"/>
      <c r="BC480" s="281"/>
    </row>
    <row r="481" spans="1:250" s="167" customFormat="1" ht="21.95" customHeight="1">
      <c r="A481" s="266"/>
      <c r="B481" s="282" t="s">
        <v>3</v>
      </c>
      <c r="C481" s="283"/>
      <c r="D481" s="283"/>
      <c r="E481" s="283"/>
      <c r="F481" s="283"/>
      <c r="G481" s="283"/>
      <c r="H481" s="283"/>
      <c r="I481" s="283"/>
      <c r="J481" s="283"/>
      <c r="K481" s="284"/>
      <c r="L481" s="284"/>
      <c r="M481" s="284"/>
      <c r="N481" s="284"/>
      <c r="O481" s="284"/>
      <c r="P481" s="284"/>
      <c r="Q481" s="284"/>
      <c r="AI481" s="265"/>
      <c r="AJ481" s="265"/>
      <c r="AK481" s="265"/>
      <c r="AL481" s="265"/>
      <c r="AM481" s="265"/>
      <c r="AN481" s="265"/>
      <c r="AO481" s="265"/>
      <c r="AP481" s="265"/>
      <c r="AQ481" s="265"/>
      <c r="AS481" s="265"/>
      <c r="AT481" s="265"/>
      <c r="AU481" s="265"/>
      <c r="AV481" s="265"/>
      <c r="AW481" s="265"/>
      <c r="AX481" s="265"/>
      <c r="AY481" s="265"/>
      <c r="AZ481" s="265"/>
      <c r="BA481" s="265"/>
      <c r="BB481" s="265"/>
      <c r="BC481" s="265"/>
    </row>
    <row r="482" spans="1:250" s="167" customFormat="1" ht="21.95" customHeight="1">
      <c r="A482" s="266"/>
      <c r="B482" s="285" t="s">
        <v>18</v>
      </c>
      <c r="C482" s="283"/>
      <c r="D482" s="283"/>
      <c r="E482" s="283"/>
      <c r="F482" s="283"/>
      <c r="G482" s="283"/>
      <c r="H482" s="283"/>
      <c r="I482" s="283"/>
      <c r="J482" s="283"/>
      <c r="K482" s="286"/>
      <c r="L482" s="286"/>
      <c r="M482" s="286"/>
      <c r="N482" s="286"/>
      <c r="O482" s="286"/>
      <c r="P482" s="286"/>
      <c r="Q482" s="286"/>
      <c r="AI482" s="265"/>
      <c r="AJ482" s="265"/>
      <c r="AK482" s="265"/>
      <c r="AL482" s="265"/>
      <c r="AM482" s="265"/>
      <c r="AN482" s="265"/>
      <c r="AO482" s="265"/>
      <c r="AP482" s="265"/>
      <c r="AQ482" s="265"/>
      <c r="AS482" s="265"/>
      <c r="AT482" s="265"/>
      <c r="AU482" s="265"/>
      <c r="AV482" s="265"/>
      <c r="AW482" s="265"/>
      <c r="AX482" s="265"/>
      <c r="AY482" s="265"/>
      <c r="AZ482" s="265"/>
      <c r="BA482" s="265"/>
      <c r="BB482" s="265"/>
      <c r="BC482" s="265"/>
    </row>
    <row r="483" spans="1:250" s="167" customFormat="1" ht="21.95" customHeight="1">
      <c r="A483" s="169"/>
      <c r="B483" s="287" t="s">
        <v>32</v>
      </c>
      <c r="C483" s="283"/>
      <c r="D483" s="283"/>
      <c r="E483" s="283"/>
      <c r="F483" s="283"/>
      <c r="G483" s="283"/>
      <c r="H483" s="283"/>
      <c r="I483" s="283"/>
      <c r="J483" s="283"/>
      <c r="K483" s="286"/>
      <c r="L483" s="286"/>
      <c r="M483" s="286"/>
      <c r="N483" s="286"/>
      <c r="O483" s="286"/>
      <c r="P483" s="286"/>
      <c r="Q483" s="286"/>
      <c r="AI483" s="265"/>
      <c r="AJ483" s="265"/>
      <c r="AK483" s="265"/>
      <c r="AL483" s="265"/>
      <c r="AM483" s="265"/>
      <c r="AN483" s="265"/>
      <c r="AO483" s="265"/>
      <c r="AP483" s="265"/>
      <c r="AQ483" s="265"/>
      <c r="AS483" s="265"/>
      <c r="AT483" s="265"/>
      <c r="AU483" s="265"/>
      <c r="AV483" s="265"/>
      <c r="AW483" s="265"/>
      <c r="AX483" s="265"/>
      <c r="AY483" s="265"/>
      <c r="AZ483" s="265"/>
      <c r="BA483" s="265"/>
      <c r="BB483" s="265"/>
    </row>
    <row r="484" spans="1:250" s="167" customFormat="1" ht="21.95" customHeight="1">
      <c r="A484" s="169"/>
      <c r="B484" s="288" t="s">
        <v>45</v>
      </c>
      <c r="C484" s="283"/>
      <c r="D484" s="283"/>
      <c r="E484" s="283"/>
      <c r="F484" s="283"/>
      <c r="G484" s="283"/>
      <c r="H484" s="283"/>
      <c r="I484" s="283"/>
      <c r="J484" s="283"/>
      <c r="K484" s="286"/>
      <c r="L484" s="286"/>
      <c r="M484" s="286"/>
      <c r="N484" s="286"/>
      <c r="O484" s="286"/>
      <c r="P484" s="286"/>
      <c r="Q484" s="286"/>
      <c r="AI484" s="265"/>
      <c r="AJ484" s="265"/>
      <c r="AK484" s="265"/>
      <c r="AL484" s="265"/>
      <c r="AM484" s="265"/>
      <c r="AN484" s="265"/>
      <c r="AO484" s="265"/>
      <c r="AP484" s="265"/>
      <c r="AQ484" s="265"/>
      <c r="AS484" s="265"/>
      <c r="AT484" s="265"/>
      <c r="AU484" s="265"/>
      <c r="AV484" s="265"/>
      <c r="AW484" s="265"/>
      <c r="AX484" s="265"/>
      <c r="AY484" s="265"/>
      <c r="AZ484" s="265"/>
      <c r="BA484" s="265"/>
      <c r="BB484" s="265"/>
    </row>
    <row r="485" spans="1:250" s="167" customFormat="1" ht="21.95" customHeight="1">
      <c r="A485" s="169"/>
      <c r="B485" s="290" t="s">
        <v>54</v>
      </c>
      <c r="C485" s="283"/>
      <c r="D485" s="283"/>
      <c r="E485" s="283"/>
      <c r="F485" s="283"/>
      <c r="G485" s="283"/>
      <c r="H485" s="283"/>
      <c r="I485" s="283"/>
      <c r="J485" s="283"/>
      <c r="K485" s="286"/>
      <c r="L485" s="286"/>
      <c r="M485" s="286"/>
      <c r="N485" s="286"/>
      <c r="O485" s="286"/>
      <c r="P485" s="286"/>
      <c r="Q485" s="286"/>
      <c r="AI485" s="265"/>
      <c r="AJ485" s="265"/>
      <c r="AK485" s="265"/>
      <c r="AL485" s="265"/>
      <c r="AM485" s="265"/>
      <c r="AN485" s="265"/>
      <c r="AO485" s="265"/>
      <c r="AP485" s="265"/>
      <c r="AQ485" s="265"/>
      <c r="AS485" s="265"/>
      <c r="AT485" s="265"/>
      <c r="AU485" s="265"/>
      <c r="AV485" s="265"/>
      <c r="AW485" s="265"/>
      <c r="AX485" s="265"/>
      <c r="AY485" s="265"/>
      <c r="AZ485" s="265"/>
      <c r="BA485" s="265"/>
      <c r="BB485" s="265"/>
    </row>
    <row r="486" spans="1:250" s="167" customFormat="1">
      <c r="A486" s="169"/>
      <c r="B486" s="291" t="s">
        <v>66</v>
      </c>
      <c r="C486" s="286"/>
      <c r="D486" s="286"/>
      <c r="E486" s="286"/>
      <c r="F486" s="286"/>
      <c r="G486" s="286"/>
      <c r="H486" s="286"/>
      <c r="I486" s="286"/>
      <c r="J486" s="286"/>
      <c r="K486" s="286"/>
      <c r="L486" s="286"/>
      <c r="M486" s="286"/>
      <c r="N486" s="286"/>
      <c r="O486" s="286"/>
      <c r="P486" s="286"/>
      <c r="Q486" s="286"/>
      <c r="AI486" s="265"/>
      <c r="AJ486" s="265"/>
      <c r="AK486" s="265"/>
      <c r="AL486" s="265"/>
      <c r="AM486" s="265"/>
      <c r="AN486" s="265"/>
      <c r="AO486" s="265"/>
      <c r="AP486" s="265"/>
      <c r="AQ486" s="265"/>
      <c r="AS486" s="265"/>
      <c r="AT486" s="265"/>
      <c r="AU486" s="265"/>
      <c r="AV486" s="265"/>
      <c r="AW486" s="265"/>
      <c r="AX486" s="265"/>
      <c r="AY486" s="265"/>
      <c r="AZ486" s="265"/>
      <c r="BA486" s="265"/>
      <c r="BB486" s="265"/>
    </row>
    <row r="487" spans="1:250" s="167" customFormat="1">
      <c r="A487" s="169"/>
      <c r="B487" s="291" t="s">
        <v>158</v>
      </c>
      <c r="C487" s="292"/>
      <c r="D487" s="292"/>
      <c r="E487" s="292"/>
      <c r="F487" s="292"/>
      <c r="G487" s="292"/>
      <c r="H487" s="292"/>
      <c r="I487" s="292"/>
      <c r="J487" s="292"/>
      <c r="K487" s="292"/>
      <c r="L487" s="292"/>
      <c r="M487" s="292"/>
      <c r="N487" s="292"/>
      <c r="O487" s="292"/>
      <c r="P487" s="292"/>
      <c r="Q487" s="292"/>
      <c r="AI487" s="265"/>
      <c r="AJ487" s="265"/>
      <c r="AK487" s="265"/>
      <c r="AL487" s="265"/>
      <c r="AM487" s="265"/>
      <c r="AN487" s="265"/>
      <c r="AO487" s="265"/>
      <c r="AP487" s="265"/>
      <c r="AQ487" s="265"/>
      <c r="AS487" s="265"/>
      <c r="AT487" s="265"/>
      <c r="AU487" s="265"/>
      <c r="AV487" s="265"/>
      <c r="AW487" s="265"/>
      <c r="AX487" s="265"/>
      <c r="AY487" s="265"/>
      <c r="AZ487" s="265"/>
      <c r="BA487" s="265"/>
      <c r="BB487" s="265"/>
    </row>
    <row r="488" spans="1:250" s="167" customFormat="1">
      <c r="A488" s="169"/>
      <c r="B488" s="291" t="s">
        <v>189</v>
      </c>
      <c r="C488" s="292"/>
      <c r="D488" s="292"/>
      <c r="E488" s="292"/>
      <c r="F488" s="292"/>
      <c r="G488" s="292"/>
      <c r="H488" s="292"/>
      <c r="I488" s="292"/>
      <c r="J488" s="292"/>
      <c r="K488" s="292"/>
      <c r="L488" s="292"/>
      <c r="M488" s="292"/>
      <c r="N488" s="292"/>
      <c r="O488" s="292"/>
      <c r="P488" s="292"/>
      <c r="Q488" s="292"/>
      <c r="AI488" s="293"/>
      <c r="AJ488" s="293"/>
      <c r="AK488" s="293"/>
      <c r="AL488" s="293"/>
      <c r="AM488" s="293"/>
      <c r="AN488" s="265"/>
      <c r="AO488" s="265"/>
      <c r="AP488" s="265"/>
      <c r="AQ488" s="265"/>
      <c r="AS488" s="265"/>
      <c r="AT488" s="265"/>
      <c r="AU488" s="265"/>
      <c r="AV488" s="265"/>
      <c r="AW488" s="265"/>
      <c r="AX488" s="265"/>
      <c r="AY488" s="265"/>
      <c r="AZ488" s="265"/>
      <c r="BA488" s="265"/>
      <c r="BB488" s="265"/>
    </row>
    <row r="489" spans="1:250" s="167" customFormat="1" ht="15" thickBot="1">
      <c r="A489" s="169"/>
      <c r="B489" s="291" t="s">
        <v>345</v>
      </c>
      <c r="C489" s="292"/>
      <c r="D489" s="292"/>
      <c r="E489" s="292"/>
      <c r="F489" s="292"/>
      <c r="G489" s="292"/>
      <c r="H489" s="292"/>
      <c r="I489" s="292"/>
      <c r="J489" s="292"/>
      <c r="K489" s="292"/>
      <c r="L489" s="292"/>
      <c r="M489" s="292"/>
      <c r="N489" s="292"/>
      <c r="O489" s="292"/>
      <c r="P489" s="292"/>
      <c r="Q489" s="292"/>
      <c r="AI489" s="265"/>
      <c r="AJ489" s="265"/>
      <c r="AK489" s="265"/>
      <c r="AL489" s="265"/>
      <c r="AM489" s="265"/>
      <c r="AN489" s="265"/>
      <c r="AO489" s="265"/>
      <c r="AP489" s="265"/>
      <c r="AQ489" s="265"/>
      <c r="AS489" s="265"/>
      <c r="AT489" s="265"/>
      <c r="AU489" s="265"/>
      <c r="AV489" s="265"/>
      <c r="AW489" s="265"/>
      <c r="AX489" s="265"/>
      <c r="AY489" s="265"/>
      <c r="AZ489" s="265"/>
      <c r="BA489" s="265"/>
      <c r="BB489" s="265"/>
    </row>
    <row r="490" spans="1:250" s="167" customFormat="1">
      <c r="A490" s="266"/>
      <c r="B490" s="294" t="s">
        <v>166</v>
      </c>
      <c r="C490" s="295" t="str">
        <f>IF(OR(C493="**",C493=""),"",VALUE(C493))</f>
        <v/>
      </c>
      <c r="D490" s="295" t="str">
        <f t="shared" ref="D490:J490" si="46">IF(OR(D493="**",D493=""),"",VALUE(D493))</f>
        <v/>
      </c>
      <c r="E490" s="295" t="str">
        <f t="shared" si="46"/>
        <v/>
      </c>
      <c r="F490" s="295" t="str">
        <f t="shared" si="46"/>
        <v/>
      </c>
      <c r="G490" s="295" t="str">
        <f t="shared" si="46"/>
        <v/>
      </c>
      <c r="H490" s="295" t="str">
        <f t="shared" si="46"/>
        <v/>
      </c>
      <c r="I490" s="295" t="str">
        <f t="shared" si="46"/>
        <v/>
      </c>
      <c r="J490" s="295" t="str">
        <f t="shared" si="46"/>
        <v/>
      </c>
      <c r="K490" s="183"/>
      <c r="L490" s="183"/>
      <c r="M490" s="183"/>
      <c r="N490" s="183"/>
      <c r="O490" s="183"/>
      <c r="P490" s="183"/>
      <c r="Q490" s="183"/>
      <c r="AI490" s="265"/>
      <c r="AJ490" s="265"/>
      <c r="AK490" s="265"/>
      <c r="AL490" s="265"/>
      <c r="AM490" s="265"/>
      <c r="AN490" s="265"/>
      <c r="AO490" s="265"/>
      <c r="AP490" s="265"/>
      <c r="AQ490" s="265"/>
      <c r="AS490" s="265"/>
      <c r="AT490" s="265"/>
      <c r="AU490" s="265"/>
      <c r="AV490" s="265"/>
      <c r="AW490" s="265"/>
      <c r="AX490" s="265"/>
      <c r="AY490" s="265"/>
      <c r="AZ490" s="265"/>
      <c r="BA490" s="265"/>
      <c r="BB490" s="265"/>
    </row>
    <row r="491" spans="1:250" s="167" customFormat="1" ht="15" thickBot="1">
      <c r="A491" s="266"/>
      <c r="B491" s="296" t="s">
        <v>165</v>
      </c>
      <c r="C491" s="297" t="str">
        <f t="shared" ref="C491:J491" si="47">IF(OR(C487="**",C487=""),"",VALUE(C487))</f>
        <v/>
      </c>
      <c r="D491" s="297" t="str">
        <f t="shared" si="47"/>
        <v/>
      </c>
      <c r="E491" s="297" t="str">
        <f t="shared" si="47"/>
        <v/>
      </c>
      <c r="F491" s="297" t="str">
        <f t="shared" si="47"/>
        <v/>
      </c>
      <c r="G491" s="297" t="str">
        <f t="shared" si="47"/>
        <v/>
      </c>
      <c r="H491" s="297" t="str">
        <f t="shared" si="47"/>
        <v/>
      </c>
      <c r="I491" s="297" t="str">
        <f t="shared" si="47"/>
        <v/>
      </c>
      <c r="J491" s="297" t="str">
        <f t="shared" si="47"/>
        <v/>
      </c>
      <c r="K491" s="260"/>
      <c r="L491" s="260"/>
      <c r="M491" s="260"/>
      <c r="N491" s="260"/>
      <c r="O491" s="260"/>
      <c r="P491" s="260"/>
      <c r="Q491" s="260"/>
      <c r="AI491" s="260"/>
      <c r="AJ491" s="260"/>
      <c r="AK491" s="260"/>
      <c r="AL491" s="260"/>
      <c r="AM491" s="260"/>
      <c r="AN491" s="260"/>
      <c r="AO491" s="260"/>
      <c r="AP491" s="260"/>
      <c r="AQ491" s="265"/>
      <c r="AR491" s="265"/>
      <c r="AS491" s="265"/>
      <c r="AT491" s="265"/>
      <c r="AU491" s="265"/>
      <c r="AV491" s="265"/>
      <c r="AW491" s="265"/>
      <c r="AX491" s="265"/>
      <c r="AY491" s="265"/>
      <c r="AZ491" s="265"/>
      <c r="BA491" s="265"/>
      <c r="BB491" s="265"/>
    </row>
    <row r="492" spans="1:250" s="167" customFormat="1">
      <c r="A492" s="169"/>
      <c r="B492" s="298" t="s">
        <v>385</v>
      </c>
      <c r="C492" s="195"/>
      <c r="D492" s="195"/>
      <c r="E492" s="195"/>
      <c r="F492" s="195"/>
      <c r="G492" s="195"/>
      <c r="H492" s="195"/>
      <c r="I492" s="195"/>
      <c r="J492" s="195"/>
      <c r="K492" s="264"/>
      <c r="L492" s="264"/>
      <c r="M492" s="264"/>
      <c r="N492" s="264"/>
      <c r="O492" s="264"/>
      <c r="P492" s="264"/>
      <c r="Q492" s="264"/>
      <c r="AI492" s="265"/>
      <c r="AJ492" s="265"/>
      <c r="AK492" s="265"/>
      <c r="AL492" s="265"/>
      <c r="AM492" s="265"/>
      <c r="AN492" s="265"/>
      <c r="AO492" s="265"/>
      <c r="AP492" s="265"/>
      <c r="AQ492" s="265"/>
      <c r="AR492" s="265"/>
      <c r="AS492" s="265"/>
      <c r="AT492" s="265"/>
      <c r="AU492" s="265"/>
      <c r="AV492" s="265"/>
      <c r="AW492" s="265"/>
      <c r="AX492" s="265"/>
      <c r="AY492" s="265"/>
      <c r="AZ492" s="265"/>
      <c r="BA492" s="265"/>
      <c r="BB492" s="265"/>
    </row>
    <row r="493" spans="1:250" s="167" customFormat="1">
      <c r="A493" s="169"/>
      <c r="B493" s="291" t="s">
        <v>158</v>
      </c>
      <c r="C493" s="258"/>
      <c r="D493" s="258"/>
      <c r="E493" s="258"/>
      <c r="F493" s="258"/>
      <c r="G493" s="258"/>
      <c r="H493" s="258"/>
      <c r="I493" s="258"/>
      <c r="J493" s="258"/>
      <c r="K493" s="264"/>
      <c r="L493" s="264"/>
      <c r="M493" s="264"/>
      <c r="N493" s="264"/>
      <c r="O493" s="264"/>
      <c r="P493" s="264"/>
      <c r="Q493" s="264"/>
      <c r="AI493" s="265"/>
      <c r="AJ493" s="265"/>
      <c r="AK493" s="265"/>
      <c r="AL493" s="265"/>
      <c r="AM493" s="265"/>
      <c r="AN493" s="265"/>
      <c r="AO493" s="265"/>
      <c r="AP493" s="265"/>
      <c r="AQ493" s="265"/>
      <c r="AR493" s="265"/>
      <c r="AS493" s="265"/>
      <c r="AT493" s="265"/>
      <c r="AU493" s="265"/>
      <c r="AV493" s="265"/>
      <c r="AW493" s="265"/>
      <c r="AX493" s="265"/>
      <c r="AY493" s="265"/>
      <c r="AZ493" s="265"/>
      <c r="BA493" s="265"/>
      <c r="BB493" s="265"/>
    </row>
    <row r="494" spans="1:250" s="167" customFormat="1">
      <c r="A494" s="169"/>
      <c r="B494" s="298" t="s">
        <v>345</v>
      </c>
      <c r="C494" s="258"/>
      <c r="D494" s="258"/>
      <c r="E494" s="258"/>
      <c r="F494" s="258"/>
      <c r="G494" s="258"/>
      <c r="H494" s="258"/>
      <c r="I494" s="258"/>
      <c r="J494" s="258"/>
      <c r="W494" s="265"/>
      <c r="X494" s="265"/>
      <c r="Y494" s="265"/>
      <c r="Z494" s="265"/>
      <c r="AA494" s="265"/>
      <c r="AB494" s="265"/>
      <c r="AC494" s="265"/>
      <c r="AD494" s="265"/>
      <c r="AE494" s="265"/>
      <c r="AF494" s="265"/>
      <c r="AG494" s="265"/>
      <c r="AH494" s="265"/>
      <c r="AI494" s="265"/>
      <c r="AJ494" s="265"/>
      <c r="AK494" s="265"/>
      <c r="AL494" s="265"/>
      <c r="AM494" s="265"/>
      <c r="AN494" s="265"/>
      <c r="AO494" s="265"/>
      <c r="AP494" s="265"/>
      <c r="AQ494" s="265"/>
      <c r="IF494" s="303"/>
      <c r="IG494" s="260"/>
      <c r="IH494" s="260"/>
      <c r="II494" s="260"/>
      <c r="IJ494" s="260"/>
      <c r="IK494" s="260"/>
      <c r="IL494" s="264"/>
      <c r="IM494" s="264"/>
      <c r="IN494" s="264"/>
      <c r="IO494" s="264"/>
      <c r="IP494" s="264"/>
    </row>
    <row r="495" spans="1:250" s="167" customFormat="1">
      <c r="A495" s="169"/>
      <c r="B495" s="169"/>
      <c r="C495" s="169"/>
      <c r="D495" s="169"/>
      <c r="E495" s="169"/>
      <c r="F495" s="169"/>
      <c r="G495" s="169"/>
      <c r="H495" s="169"/>
      <c r="I495" s="169"/>
      <c r="J495" s="169"/>
      <c r="AA495" s="301"/>
      <c r="AB495" s="303"/>
      <c r="AC495" s="260"/>
      <c r="AD495" s="260"/>
      <c r="AE495" s="260"/>
      <c r="AF495" s="260"/>
      <c r="AG495" s="260"/>
      <c r="AH495" s="264"/>
      <c r="AI495" s="264"/>
      <c r="AJ495" s="264"/>
      <c r="AK495" s="264"/>
      <c r="AL495" s="264"/>
    </row>
    <row r="496" spans="1:250" s="167" customFormat="1">
      <c r="A496" s="169"/>
      <c r="B496" s="169"/>
      <c r="C496" s="169"/>
      <c r="D496" s="169"/>
      <c r="E496" s="169"/>
      <c r="F496" s="169"/>
      <c r="G496" s="169"/>
      <c r="H496" s="169"/>
      <c r="I496" s="169"/>
      <c r="J496" s="169"/>
      <c r="R496" s="265"/>
      <c r="S496" s="265"/>
      <c r="T496" s="265"/>
      <c r="U496" s="265"/>
      <c r="V496" s="265"/>
      <c r="W496" s="265"/>
      <c r="X496" s="265"/>
      <c r="Y496" s="265"/>
    </row>
    <row r="497" spans="1:55" s="167" customFormat="1">
      <c r="A497" s="169"/>
      <c r="B497" s="169"/>
      <c r="C497" s="169"/>
      <c r="D497" s="169"/>
      <c r="E497" s="169"/>
      <c r="F497" s="169"/>
      <c r="G497" s="169"/>
      <c r="H497" s="169"/>
      <c r="I497" s="169"/>
      <c r="J497" s="169"/>
    </row>
    <row r="498" spans="1:55" s="167" customFormat="1" ht="18" customHeight="1">
      <c r="A498" s="169"/>
      <c r="B498" s="169"/>
      <c r="C498" s="169"/>
      <c r="D498" s="169"/>
      <c r="E498" s="169"/>
      <c r="F498" s="169"/>
      <c r="G498" s="169"/>
      <c r="H498" s="169"/>
      <c r="I498" s="169"/>
      <c r="J498" s="169"/>
    </row>
    <row r="499" spans="1:55" s="167" customFormat="1" ht="18" customHeight="1">
      <c r="A499" s="169" t="s">
        <v>183</v>
      </c>
      <c r="B499" s="169"/>
      <c r="C499" s="169"/>
      <c r="D499" s="169"/>
      <c r="E499" s="169"/>
      <c r="F499" s="169"/>
      <c r="G499" s="169"/>
      <c r="H499" s="169"/>
      <c r="I499" s="169"/>
      <c r="J499" s="169"/>
      <c r="AJ499" s="301"/>
      <c r="AK499" s="303"/>
      <c r="AL499" s="260"/>
      <c r="AM499" s="260"/>
      <c r="AN499" s="260"/>
      <c r="AO499" s="260"/>
      <c r="AP499" s="260"/>
      <c r="AQ499" s="264"/>
      <c r="AR499" s="264"/>
      <c r="AS499" s="264"/>
      <c r="AT499" s="264"/>
      <c r="AU499" s="264"/>
    </row>
    <row r="500" spans="1:55" s="167" customFormat="1" ht="18" customHeight="1">
      <c r="A500" s="169">
        <v>7</v>
      </c>
      <c r="B500" s="169"/>
      <c r="C500" s="169"/>
      <c r="D500" s="169"/>
      <c r="E500" s="169"/>
      <c r="F500" s="169"/>
      <c r="G500" s="169"/>
      <c r="H500" s="169"/>
      <c r="I500" s="169"/>
      <c r="J500" s="169"/>
      <c r="R500" s="265"/>
      <c r="S500" s="265"/>
      <c r="T500" s="265"/>
      <c r="U500" s="265"/>
      <c r="V500" s="265"/>
      <c r="W500" s="265"/>
      <c r="X500" s="265"/>
      <c r="Y500" s="265"/>
      <c r="Z500" s="265"/>
      <c r="AA500" s="265"/>
      <c r="AB500" s="265"/>
      <c r="AC500" s="265"/>
      <c r="AD500" s="265"/>
      <c r="AE500" s="265"/>
      <c r="AF500" s="265"/>
      <c r="AG500" s="265"/>
      <c r="AH500" s="265"/>
    </row>
    <row r="501" spans="1:55" s="167" customFormat="1" ht="18" customHeight="1">
      <c r="A501" s="169"/>
      <c r="B501" s="169"/>
      <c r="C501" s="169"/>
      <c r="D501" s="169"/>
      <c r="E501" s="169"/>
      <c r="F501" s="169"/>
      <c r="G501" s="169"/>
      <c r="H501" s="169"/>
      <c r="I501" s="169"/>
      <c r="J501" s="169"/>
    </row>
    <row r="502" spans="1:55" s="167" customFormat="1" ht="18" customHeight="1">
      <c r="A502" s="169"/>
      <c r="B502" s="169"/>
      <c r="C502" s="169"/>
      <c r="D502" s="169"/>
      <c r="E502" s="169"/>
      <c r="F502" s="169"/>
      <c r="G502" s="169"/>
      <c r="H502" s="169"/>
      <c r="I502" s="169"/>
      <c r="J502" s="169"/>
    </row>
    <row r="503" spans="1:55" s="264" customFormat="1" ht="18" customHeight="1">
      <c r="A503" s="169"/>
      <c r="B503" s="169"/>
      <c r="C503" s="169"/>
      <c r="D503" s="169"/>
      <c r="E503" s="169"/>
      <c r="F503" s="169"/>
      <c r="G503" s="169"/>
      <c r="H503" s="169"/>
      <c r="I503" s="169"/>
      <c r="J503" s="169"/>
      <c r="K503" s="167"/>
      <c r="L503" s="167"/>
      <c r="M503" s="167"/>
      <c r="N503" s="167"/>
      <c r="O503" s="167"/>
      <c r="P503" s="167"/>
      <c r="Q503" s="167"/>
      <c r="R503" s="167"/>
      <c r="S503" s="167"/>
      <c r="T503" s="167"/>
      <c r="U503" s="167"/>
      <c r="V503" s="167"/>
      <c r="W503" s="167"/>
      <c r="X503" s="167"/>
      <c r="Y503" s="167"/>
      <c r="Z503" s="167"/>
      <c r="AA503" s="167"/>
      <c r="AB503" s="167"/>
      <c r="AC503" s="167"/>
      <c r="AD503" s="167"/>
      <c r="AE503" s="167"/>
      <c r="AF503" s="167"/>
      <c r="AG503" s="167"/>
      <c r="AH503" s="167"/>
      <c r="AI503" s="167"/>
      <c r="AJ503" s="167"/>
      <c r="AK503" s="167"/>
      <c r="AL503" s="167"/>
      <c r="AM503" s="167"/>
      <c r="AN503" s="167"/>
      <c r="AO503" s="167"/>
      <c r="AP503" s="167"/>
      <c r="AQ503" s="167"/>
      <c r="AR503" s="167"/>
      <c r="AS503" s="301"/>
      <c r="AT503" s="303"/>
      <c r="AU503" s="260"/>
      <c r="AV503" s="260"/>
      <c r="AW503" s="260"/>
      <c r="AX503" s="260"/>
      <c r="AY503" s="260"/>
    </row>
    <row r="504" spans="1:55" s="167" customFormat="1" ht="18" customHeight="1">
      <c r="A504" s="169"/>
      <c r="B504" s="169"/>
      <c r="C504" s="169"/>
      <c r="D504" s="169"/>
      <c r="E504" s="169"/>
      <c r="F504" s="169"/>
      <c r="G504" s="169"/>
      <c r="H504" s="169"/>
      <c r="I504" s="169"/>
      <c r="J504" s="169"/>
      <c r="W504" s="265"/>
      <c r="X504" s="265"/>
      <c r="Y504" s="265"/>
      <c r="Z504" s="265"/>
      <c r="AA504" s="265"/>
      <c r="AB504" s="265"/>
      <c r="AC504" s="265"/>
      <c r="AD504" s="265"/>
      <c r="AE504" s="265"/>
      <c r="AF504" s="265"/>
      <c r="AG504" s="265"/>
      <c r="AH504" s="265"/>
      <c r="AI504" s="265"/>
      <c r="AJ504" s="265"/>
      <c r="AK504" s="265"/>
      <c r="AL504" s="265"/>
      <c r="AM504" s="265"/>
      <c r="AN504" s="265"/>
      <c r="AO504" s="265"/>
      <c r="AP504" s="265"/>
      <c r="AQ504" s="265"/>
    </row>
    <row r="505" spans="1:55" s="167" customFormat="1" ht="18" customHeight="1">
      <c r="A505" s="169"/>
      <c r="B505" s="169"/>
      <c r="C505" s="169"/>
      <c r="D505" s="169"/>
      <c r="E505" s="169"/>
      <c r="F505" s="169"/>
      <c r="G505" s="169"/>
      <c r="H505" s="169"/>
      <c r="I505" s="169"/>
      <c r="J505" s="169"/>
    </row>
    <row r="506" spans="1:55" s="167" customFormat="1" ht="18" customHeight="1">
      <c r="A506" s="169"/>
      <c r="B506" s="169"/>
      <c r="C506" s="169"/>
      <c r="D506" s="169"/>
      <c r="E506" s="169"/>
      <c r="F506" s="169"/>
      <c r="G506" s="169"/>
      <c r="H506" s="169"/>
      <c r="I506" s="169"/>
      <c r="J506" s="169"/>
    </row>
    <row r="507" spans="1:55" s="260" customFormat="1" ht="18" customHeight="1">
      <c r="A507" s="169"/>
      <c r="B507" s="169"/>
      <c r="C507" s="169"/>
      <c r="D507" s="169"/>
      <c r="E507" s="169"/>
      <c r="F507" s="169"/>
      <c r="G507" s="169"/>
      <c r="H507" s="169"/>
      <c r="I507" s="169"/>
      <c r="J507" s="169"/>
      <c r="K507" s="167"/>
      <c r="L507" s="167"/>
      <c r="M507" s="167"/>
      <c r="N507" s="167"/>
      <c r="O507" s="167"/>
      <c r="P507" s="167"/>
      <c r="Q507" s="167"/>
      <c r="R507" s="167"/>
      <c r="S507" s="167"/>
      <c r="T507" s="167"/>
      <c r="U507" s="167"/>
      <c r="V507" s="167"/>
      <c r="W507" s="167"/>
      <c r="X507" s="167"/>
      <c r="Y507" s="167"/>
      <c r="Z507" s="167"/>
      <c r="AA507" s="167"/>
      <c r="AB507" s="167"/>
      <c r="AC507" s="167"/>
      <c r="AD507" s="167"/>
      <c r="AE507" s="167"/>
      <c r="AF507" s="167"/>
      <c r="AG507" s="167"/>
      <c r="AH507" s="167"/>
      <c r="AI507" s="167"/>
      <c r="AJ507" s="167"/>
      <c r="AK507" s="167"/>
      <c r="AL507" s="167"/>
      <c r="AM507" s="167"/>
      <c r="AN507" s="167"/>
      <c r="AO507" s="167"/>
      <c r="AP507" s="167"/>
      <c r="AQ507" s="167"/>
      <c r="AR507" s="167"/>
      <c r="AS507" s="167"/>
      <c r="AT507" s="167"/>
      <c r="AU507" s="167"/>
      <c r="AV507" s="167"/>
      <c r="AW507" s="167"/>
      <c r="AX507" s="167"/>
      <c r="AY507" s="167"/>
      <c r="AZ507" s="167"/>
      <c r="BA507" s="167"/>
      <c r="BB507" s="301"/>
      <c r="BC507" s="303"/>
    </row>
    <row r="508" spans="1:55" s="167" customFormat="1" ht="18" customHeight="1">
      <c r="A508" s="258"/>
      <c r="B508" s="258"/>
      <c r="C508" s="258"/>
      <c r="D508" s="258"/>
      <c r="E508" s="261"/>
      <c r="F508" s="261"/>
      <c r="G508" s="261"/>
      <c r="H508" s="261"/>
      <c r="I508" s="261"/>
      <c r="J508" s="261"/>
      <c r="K508" s="264"/>
      <c r="L508" s="264"/>
      <c r="M508" s="264"/>
      <c r="N508" s="264"/>
      <c r="O508" s="264"/>
      <c r="P508" s="264"/>
      <c r="Q508" s="264"/>
      <c r="AF508" s="265"/>
      <c r="AG508" s="265"/>
      <c r="AH508" s="265"/>
      <c r="AI508" s="265"/>
      <c r="AJ508" s="265"/>
      <c r="AK508" s="265"/>
      <c r="AL508" s="265"/>
      <c r="AM508" s="265"/>
      <c r="AN508" s="265"/>
      <c r="AO508" s="265"/>
      <c r="AP508" s="265"/>
      <c r="AQ508" s="265"/>
      <c r="AR508" s="265"/>
      <c r="AS508" s="265"/>
      <c r="AT508" s="265"/>
      <c r="AU508" s="265"/>
      <c r="AV508" s="265"/>
      <c r="AW508" s="265"/>
      <c r="AX508" s="265"/>
      <c r="AY508" s="265"/>
      <c r="AZ508" s="265"/>
    </row>
    <row r="509" spans="1:55" s="274" customFormat="1" ht="18" customHeight="1">
      <c r="A509" s="270">
        <f>A479+1</f>
        <v>17</v>
      </c>
      <c r="B509" s="271"/>
      <c r="C509" s="272" t="str">
        <f>IF($A$1 = 1, (IF("("&amp;C519&amp;")" ="()","","("&amp;C519&amp;")")), (IF("("&amp;C524&amp;")    ("&amp;C519&amp;")"="()    ()","","("&amp;C524&amp;")    ("&amp;C519&amp;")")))</f>
        <v/>
      </c>
      <c r="D509" s="272" t="str">
        <f t="shared" ref="D509:J509" si="48">IF($A$1 = 1, (IF("("&amp;D519&amp;")" ="()","","("&amp;D519&amp;")")), (IF("("&amp;D524&amp;")    ("&amp;D519&amp;")"="()    ()","","("&amp;D524&amp;")    ("&amp;D519&amp;")")))</f>
        <v/>
      </c>
      <c r="E509" s="272" t="str">
        <f t="shared" si="48"/>
        <v/>
      </c>
      <c r="F509" s="272" t="str">
        <f t="shared" si="48"/>
        <v/>
      </c>
      <c r="G509" s="272" t="str">
        <f t="shared" si="48"/>
        <v/>
      </c>
      <c r="H509" s="272" t="str">
        <f t="shared" si="48"/>
        <v/>
      </c>
      <c r="I509" s="272" t="str">
        <f t="shared" si="48"/>
        <v/>
      </c>
      <c r="J509" s="272" t="str">
        <f t="shared" si="48"/>
        <v/>
      </c>
      <c r="K509" s="273"/>
      <c r="L509" s="273"/>
      <c r="M509" s="273"/>
      <c r="N509" s="273"/>
      <c r="O509" s="273"/>
      <c r="P509" s="273"/>
      <c r="Q509" s="273"/>
      <c r="AI509" s="275"/>
      <c r="AJ509" s="275"/>
      <c r="AK509" s="275"/>
      <c r="AL509" s="275"/>
      <c r="AM509" s="275"/>
      <c r="AN509" s="275"/>
      <c r="AO509" s="275"/>
      <c r="AP509" s="275"/>
      <c r="AQ509" s="275"/>
      <c r="AR509" s="275"/>
      <c r="AS509" s="275"/>
      <c r="AT509" s="275"/>
      <c r="AU509" s="275"/>
      <c r="AV509" s="275"/>
      <c r="AW509" s="275"/>
      <c r="AX509" s="275"/>
      <c r="AY509" s="275"/>
      <c r="AZ509" s="275"/>
      <c r="BA509" s="275"/>
      <c r="BB509" s="275"/>
      <c r="BC509" s="275"/>
    </row>
    <row r="510" spans="1:55" s="280" customFormat="1" ht="59.1" customHeight="1">
      <c r="A510" s="276"/>
      <c r="B510" s="277"/>
      <c r="C510" s="278"/>
      <c r="D510" s="278"/>
      <c r="E510" s="278"/>
      <c r="F510" s="278"/>
      <c r="G510" s="278"/>
      <c r="H510" s="278"/>
      <c r="I510" s="278"/>
      <c r="J510" s="278"/>
      <c r="K510" s="279"/>
      <c r="L510" s="279"/>
      <c r="M510" s="279"/>
      <c r="N510" s="279"/>
      <c r="O510" s="279"/>
      <c r="P510" s="279"/>
      <c r="Q510" s="279"/>
      <c r="AI510" s="281"/>
      <c r="AJ510" s="281"/>
      <c r="AK510" s="281"/>
      <c r="AL510" s="281"/>
      <c r="AM510" s="281"/>
      <c r="AN510" s="281"/>
      <c r="AO510" s="281"/>
      <c r="AP510" s="281"/>
      <c r="AQ510" s="281"/>
      <c r="AS510" s="281"/>
      <c r="AT510" s="281"/>
      <c r="AU510" s="281"/>
      <c r="AV510" s="281"/>
      <c r="AW510" s="281"/>
      <c r="AX510" s="281"/>
      <c r="AY510" s="281"/>
      <c r="AZ510" s="281"/>
      <c r="BA510" s="281"/>
      <c r="BB510" s="281"/>
      <c r="BC510" s="281"/>
    </row>
    <row r="511" spans="1:55" s="167" customFormat="1" ht="21.95" customHeight="1">
      <c r="A511" s="266"/>
      <c r="B511" s="282" t="s">
        <v>3</v>
      </c>
      <c r="C511" s="283"/>
      <c r="D511" s="283"/>
      <c r="E511" s="283"/>
      <c r="F511" s="283"/>
      <c r="G511" s="283"/>
      <c r="H511" s="283"/>
      <c r="I511" s="283"/>
      <c r="J511" s="283"/>
      <c r="K511" s="284"/>
      <c r="L511" s="284"/>
      <c r="M511" s="284"/>
      <c r="N511" s="284"/>
      <c r="O511" s="284"/>
      <c r="P511" s="284"/>
      <c r="Q511" s="284"/>
      <c r="AI511" s="265"/>
      <c r="AJ511" s="265"/>
      <c r="AK511" s="265"/>
      <c r="AL511" s="265"/>
      <c r="AM511" s="265"/>
      <c r="AN511" s="265"/>
      <c r="AO511" s="265"/>
      <c r="AP511" s="265"/>
      <c r="AQ511" s="265"/>
      <c r="AS511" s="265"/>
      <c r="AT511" s="265"/>
      <c r="AU511" s="265"/>
      <c r="AV511" s="265"/>
      <c r="AW511" s="265"/>
      <c r="AX511" s="265"/>
      <c r="AY511" s="265"/>
      <c r="AZ511" s="265"/>
      <c r="BA511" s="265"/>
      <c r="BB511" s="265"/>
      <c r="BC511" s="265"/>
    </row>
    <row r="512" spans="1:55" s="167" customFormat="1" ht="21.95" customHeight="1">
      <c r="A512" s="266"/>
      <c r="B512" s="285" t="s">
        <v>18</v>
      </c>
      <c r="C512" s="283"/>
      <c r="D512" s="283"/>
      <c r="E512" s="283"/>
      <c r="F512" s="283"/>
      <c r="G512" s="283"/>
      <c r="H512" s="283"/>
      <c r="I512" s="283"/>
      <c r="J512" s="283"/>
      <c r="K512" s="286"/>
      <c r="L512" s="286"/>
      <c r="M512" s="286"/>
      <c r="N512" s="286"/>
      <c r="O512" s="286"/>
      <c r="P512" s="286"/>
      <c r="Q512" s="286"/>
      <c r="AI512" s="265"/>
      <c r="AJ512" s="265"/>
      <c r="AK512" s="265"/>
      <c r="AL512" s="265"/>
      <c r="AM512" s="265"/>
      <c r="AN512" s="265"/>
      <c r="AO512" s="265"/>
      <c r="AP512" s="265"/>
      <c r="AQ512" s="265"/>
      <c r="AS512" s="265"/>
      <c r="AT512" s="265"/>
      <c r="AU512" s="265"/>
      <c r="AV512" s="265"/>
      <c r="AW512" s="265"/>
      <c r="AX512" s="265"/>
      <c r="AY512" s="265"/>
      <c r="AZ512" s="265"/>
      <c r="BA512" s="265"/>
      <c r="BB512" s="265"/>
      <c r="BC512" s="265"/>
    </row>
    <row r="513" spans="1:250" s="167" customFormat="1" ht="21.95" customHeight="1">
      <c r="A513" s="169"/>
      <c r="B513" s="287" t="s">
        <v>32</v>
      </c>
      <c r="C513" s="283"/>
      <c r="D513" s="283"/>
      <c r="E513" s="283"/>
      <c r="F513" s="283"/>
      <c r="G513" s="283"/>
      <c r="H513" s="283"/>
      <c r="I513" s="283"/>
      <c r="J513" s="283"/>
      <c r="K513" s="286"/>
      <c r="L513" s="286"/>
      <c r="M513" s="286"/>
      <c r="N513" s="286"/>
      <c r="O513" s="286"/>
      <c r="P513" s="286"/>
      <c r="Q513" s="286"/>
      <c r="AI513" s="265"/>
      <c r="AJ513" s="265"/>
      <c r="AK513" s="265"/>
      <c r="AL513" s="265"/>
      <c r="AM513" s="265"/>
      <c r="AN513" s="265"/>
      <c r="AO513" s="265"/>
      <c r="AP513" s="265"/>
      <c r="AQ513" s="265"/>
      <c r="AS513" s="265"/>
      <c r="AT513" s="265"/>
      <c r="AU513" s="265"/>
      <c r="AV513" s="265"/>
      <c r="AW513" s="265"/>
      <c r="AX513" s="265"/>
      <c r="AY513" s="265"/>
      <c r="AZ513" s="265"/>
      <c r="BA513" s="265"/>
      <c r="BB513" s="265"/>
    </row>
    <row r="514" spans="1:250" s="167" customFormat="1" ht="21.95" customHeight="1">
      <c r="A514" s="169"/>
      <c r="B514" s="288" t="s">
        <v>45</v>
      </c>
      <c r="C514" s="283"/>
      <c r="D514" s="283"/>
      <c r="E514" s="283"/>
      <c r="F514" s="283"/>
      <c r="G514" s="283"/>
      <c r="H514" s="283"/>
      <c r="I514" s="283"/>
      <c r="J514" s="283"/>
      <c r="K514" s="286"/>
      <c r="L514" s="286"/>
      <c r="M514" s="286"/>
      <c r="N514" s="286"/>
      <c r="O514" s="286"/>
      <c r="P514" s="286"/>
      <c r="Q514" s="286"/>
      <c r="AI514" s="265"/>
      <c r="AJ514" s="265"/>
      <c r="AK514" s="265"/>
      <c r="AL514" s="265"/>
      <c r="AM514" s="265"/>
      <c r="AN514" s="265"/>
      <c r="AO514" s="265"/>
      <c r="AP514" s="265"/>
      <c r="AQ514" s="265"/>
      <c r="AS514" s="265"/>
      <c r="AT514" s="265"/>
      <c r="AU514" s="265"/>
      <c r="AV514" s="265"/>
      <c r="AW514" s="265"/>
      <c r="AX514" s="265"/>
      <c r="AY514" s="265"/>
      <c r="AZ514" s="265"/>
      <c r="BA514" s="265"/>
      <c r="BB514" s="265"/>
    </row>
    <row r="515" spans="1:250" s="167" customFormat="1" ht="21.95" customHeight="1">
      <c r="A515" s="169"/>
      <c r="B515" s="290" t="s">
        <v>54</v>
      </c>
      <c r="C515" s="283"/>
      <c r="D515" s="283"/>
      <c r="E515" s="283"/>
      <c r="F515" s="283"/>
      <c r="G515" s="283"/>
      <c r="H515" s="283"/>
      <c r="I515" s="283"/>
      <c r="J515" s="283"/>
      <c r="K515" s="286"/>
      <c r="L515" s="286"/>
      <c r="M515" s="286"/>
      <c r="N515" s="286"/>
      <c r="O515" s="286"/>
      <c r="P515" s="286"/>
      <c r="Q515" s="286"/>
      <c r="AI515" s="265"/>
      <c r="AJ515" s="265"/>
      <c r="AK515" s="265"/>
      <c r="AL515" s="265"/>
      <c r="AM515" s="265"/>
      <c r="AN515" s="265"/>
      <c r="AO515" s="265"/>
      <c r="AP515" s="265"/>
      <c r="AQ515" s="265"/>
      <c r="AS515" s="265"/>
      <c r="AT515" s="265"/>
      <c r="AU515" s="265"/>
      <c r="AV515" s="265"/>
      <c r="AW515" s="265"/>
      <c r="AX515" s="265"/>
      <c r="AY515" s="265"/>
      <c r="AZ515" s="265"/>
      <c r="BA515" s="265"/>
      <c r="BB515" s="265"/>
    </row>
    <row r="516" spans="1:250" s="167" customFormat="1">
      <c r="A516" s="169"/>
      <c r="B516" s="291" t="s">
        <v>66</v>
      </c>
      <c r="C516" s="286"/>
      <c r="D516" s="286"/>
      <c r="E516" s="286"/>
      <c r="F516" s="286"/>
      <c r="G516" s="286"/>
      <c r="H516" s="286"/>
      <c r="I516" s="286"/>
      <c r="J516" s="286"/>
      <c r="K516" s="286"/>
      <c r="L516" s="286"/>
      <c r="M516" s="286"/>
      <c r="N516" s="286"/>
      <c r="O516" s="286"/>
      <c r="P516" s="286"/>
      <c r="Q516" s="286"/>
      <c r="AI516" s="265"/>
      <c r="AJ516" s="265"/>
      <c r="AK516" s="265"/>
      <c r="AL516" s="265"/>
      <c r="AM516" s="265"/>
      <c r="AN516" s="265"/>
      <c r="AO516" s="265"/>
      <c r="AP516" s="265"/>
      <c r="AQ516" s="265"/>
      <c r="AS516" s="265"/>
      <c r="AT516" s="265"/>
      <c r="AU516" s="265"/>
      <c r="AV516" s="265"/>
      <c r="AW516" s="265"/>
      <c r="AX516" s="265"/>
      <c r="AY516" s="265"/>
      <c r="AZ516" s="265"/>
      <c r="BA516" s="265"/>
      <c r="BB516" s="265"/>
    </row>
    <row r="517" spans="1:250" s="167" customFormat="1">
      <c r="A517" s="169"/>
      <c r="B517" s="291" t="s">
        <v>158</v>
      </c>
      <c r="C517" s="292"/>
      <c r="D517" s="292"/>
      <c r="E517" s="292"/>
      <c r="F517" s="292"/>
      <c r="G517" s="292"/>
      <c r="H517" s="292"/>
      <c r="I517" s="292"/>
      <c r="J517" s="292"/>
      <c r="K517" s="292"/>
      <c r="L517" s="292"/>
      <c r="M517" s="292"/>
      <c r="N517" s="292"/>
      <c r="O517" s="292"/>
      <c r="P517" s="292"/>
      <c r="Q517" s="292"/>
      <c r="AI517" s="265"/>
      <c r="AJ517" s="265"/>
      <c r="AK517" s="265"/>
      <c r="AL517" s="265"/>
      <c r="AM517" s="265"/>
      <c r="AN517" s="265"/>
      <c r="AO517" s="265"/>
      <c r="AP517" s="265"/>
      <c r="AQ517" s="265"/>
      <c r="AS517" s="265"/>
      <c r="AT517" s="265"/>
      <c r="AU517" s="265"/>
      <c r="AV517" s="265"/>
      <c r="AW517" s="265"/>
      <c r="AX517" s="265"/>
      <c r="AY517" s="265"/>
      <c r="AZ517" s="265"/>
      <c r="BA517" s="265"/>
      <c r="BB517" s="265"/>
    </row>
    <row r="518" spans="1:250" s="167" customFormat="1">
      <c r="A518" s="169"/>
      <c r="B518" s="291" t="s">
        <v>189</v>
      </c>
      <c r="C518" s="292"/>
      <c r="D518" s="292"/>
      <c r="E518" s="292"/>
      <c r="F518" s="292"/>
      <c r="G518" s="292"/>
      <c r="H518" s="292"/>
      <c r="I518" s="292"/>
      <c r="J518" s="292"/>
      <c r="K518" s="292"/>
      <c r="L518" s="292"/>
      <c r="M518" s="292"/>
      <c r="N518" s="292"/>
      <c r="O518" s="292"/>
      <c r="P518" s="292"/>
      <c r="Q518" s="292"/>
      <c r="AI518" s="293"/>
      <c r="AJ518" s="293"/>
      <c r="AK518" s="293"/>
      <c r="AL518" s="293"/>
      <c r="AM518" s="293"/>
      <c r="AN518" s="265"/>
      <c r="AO518" s="265"/>
      <c r="AP518" s="265"/>
      <c r="AQ518" s="265"/>
      <c r="AS518" s="265"/>
      <c r="AT518" s="265"/>
      <c r="AU518" s="265"/>
      <c r="AV518" s="265"/>
      <c r="AW518" s="265"/>
      <c r="AX518" s="265"/>
      <c r="AY518" s="265"/>
      <c r="AZ518" s="265"/>
      <c r="BA518" s="265"/>
      <c r="BB518" s="265"/>
    </row>
    <row r="519" spans="1:250" s="167" customFormat="1" ht="15" thickBot="1">
      <c r="A519" s="169"/>
      <c r="B519" s="291" t="s">
        <v>345</v>
      </c>
      <c r="C519" s="292"/>
      <c r="D519" s="292"/>
      <c r="E519" s="292"/>
      <c r="F519" s="292"/>
      <c r="G519" s="292"/>
      <c r="H519" s="292"/>
      <c r="I519" s="292"/>
      <c r="J519" s="292"/>
      <c r="K519" s="292"/>
      <c r="L519" s="292"/>
      <c r="M519" s="292"/>
      <c r="N519" s="292"/>
      <c r="O519" s="292"/>
      <c r="P519" s="292"/>
      <c r="Q519" s="292"/>
      <c r="AI519" s="265"/>
      <c r="AJ519" s="265"/>
      <c r="AK519" s="265"/>
      <c r="AL519" s="265"/>
      <c r="AM519" s="265"/>
      <c r="AN519" s="265"/>
      <c r="AO519" s="265"/>
      <c r="AP519" s="265"/>
      <c r="AQ519" s="265"/>
      <c r="AS519" s="265"/>
      <c r="AT519" s="265"/>
      <c r="AU519" s="265"/>
      <c r="AV519" s="265"/>
      <c r="AW519" s="265"/>
      <c r="AX519" s="265"/>
      <c r="AY519" s="265"/>
      <c r="AZ519" s="265"/>
      <c r="BA519" s="265"/>
      <c r="BB519" s="265"/>
    </row>
    <row r="520" spans="1:250" s="167" customFormat="1">
      <c r="A520" s="266"/>
      <c r="B520" s="294" t="s">
        <v>166</v>
      </c>
      <c r="C520" s="295" t="str">
        <f>IF(OR(C523="**",C523=""),"",VALUE(C523))</f>
        <v/>
      </c>
      <c r="D520" s="295" t="str">
        <f t="shared" ref="D520:J520" si="49">IF(OR(D523="**",D523=""),"",VALUE(D523))</f>
        <v/>
      </c>
      <c r="E520" s="295" t="str">
        <f t="shared" si="49"/>
        <v/>
      </c>
      <c r="F520" s="295" t="str">
        <f t="shared" si="49"/>
        <v/>
      </c>
      <c r="G520" s="295" t="str">
        <f t="shared" si="49"/>
        <v/>
      </c>
      <c r="H520" s="295" t="str">
        <f t="shared" si="49"/>
        <v/>
      </c>
      <c r="I520" s="295" t="str">
        <f t="shared" si="49"/>
        <v/>
      </c>
      <c r="J520" s="295" t="str">
        <f t="shared" si="49"/>
        <v/>
      </c>
      <c r="K520" s="183"/>
      <c r="L520" s="183"/>
      <c r="M520" s="183"/>
      <c r="N520" s="183"/>
      <c r="O520" s="183"/>
      <c r="P520" s="183"/>
      <c r="Q520" s="183"/>
      <c r="AI520" s="265"/>
      <c r="AJ520" s="265"/>
      <c r="AK520" s="265"/>
      <c r="AL520" s="265"/>
      <c r="AM520" s="265"/>
      <c r="AN520" s="265"/>
      <c r="AO520" s="265"/>
      <c r="AP520" s="265"/>
      <c r="AQ520" s="265"/>
      <c r="AS520" s="265"/>
      <c r="AT520" s="265"/>
      <c r="AU520" s="265"/>
      <c r="AV520" s="265"/>
      <c r="AW520" s="265"/>
      <c r="AX520" s="265"/>
      <c r="AY520" s="265"/>
      <c r="AZ520" s="265"/>
      <c r="BA520" s="265"/>
      <c r="BB520" s="265"/>
    </row>
    <row r="521" spans="1:250" s="167" customFormat="1" ht="15" thickBot="1">
      <c r="A521" s="266"/>
      <c r="B521" s="296" t="s">
        <v>165</v>
      </c>
      <c r="C521" s="297" t="str">
        <f t="shared" ref="C521:J521" si="50">IF(OR(C517="**",C517=""),"",VALUE(C517))</f>
        <v/>
      </c>
      <c r="D521" s="297" t="str">
        <f t="shared" si="50"/>
        <v/>
      </c>
      <c r="E521" s="297" t="str">
        <f t="shared" si="50"/>
        <v/>
      </c>
      <c r="F521" s="297" t="str">
        <f t="shared" si="50"/>
        <v/>
      </c>
      <c r="G521" s="297" t="str">
        <f t="shared" si="50"/>
        <v/>
      </c>
      <c r="H521" s="297" t="str">
        <f t="shared" si="50"/>
        <v/>
      </c>
      <c r="I521" s="297" t="str">
        <f t="shared" si="50"/>
        <v/>
      </c>
      <c r="J521" s="297" t="str">
        <f t="shared" si="50"/>
        <v/>
      </c>
      <c r="K521" s="260"/>
      <c r="L521" s="260"/>
      <c r="M521" s="260"/>
      <c r="N521" s="260"/>
      <c r="O521" s="260"/>
      <c r="P521" s="260"/>
      <c r="Q521" s="260"/>
      <c r="AI521" s="260"/>
      <c r="AJ521" s="260"/>
      <c r="AK521" s="260"/>
      <c r="AL521" s="260"/>
      <c r="AM521" s="260"/>
      <c r="AN521" s="260"/>
      <c r="AO521" s="260"/>
      <c r="AP521" s="260"/>
      <c r="AQ521" s="265"/>
      <c r="AR521" s="265"/>
      <c r="AS521" s="265"/>
      <c r="AT521" s="265"/>
      <c r="AU521" s="265"/>
      <c r="AV521" s="265"/>
      <c r="AW521" s="265"/>
      <c r="AX521" s="265"/>
      <c r="AY521" s="265"/>
      <c r="AZ521" s="265"/>
      <c r="BA521" s="265"/>
      <c r="BB521" s="265"/>
    </row>
    <row r="522" spans="1:250" s="167" customFormat="1">
      <c r="A522" s="169"/>
      <c r="B522" s="298" t="s">
        <v>385</v>
      </c>
      <c r="C522" s="195"/>
      <c r="D522" s="195"/>
      <c r="E522" s="195"/>
      <c r="F522" s="195"/>
      <c r="G522" s="195"/>
      <c r="H522" s="195"/>
      <c r="I522" s="195"/>
      <c r="J522" s="195"/>
      <c r="K522" s="264"/>
      <c r="L522" s="264"/>
      <c r="M522" s="264"/>
      <c r="N522" s="264"/>
      <c r="O522" s="264"/>
      <c r="P522" s="264"/>
      <c r="Q522" s="264"/>
      <c r="AI522" s="265"/>
      <c r="AJ522" s="265"/>
      <c r="AK522" s="265"/>
      <c r="AL522" s="265"/>
      <c r="AM522" s="265"/>
      <c r="AN522" s="265"/>
      <c r="AO522" s="265"/>
      <c r="AP522" s="265"/>
      <c r="AQ522" s="265"/>
      <c r="AR522" s="265"/>
      <c r="AS522" s="265"/>
      <c r="AT522" s="265"/>
      <c r="AU522" s="265"/>
      <c r="AV522" s="265"/>
      <c r="AW522" s="265"/>
      <c r="AX522" s="265"/>
      <c r="AY522" s="265"/>
      <c r="AZ522" s="265"/>
      <c r="BA522" s="265"/>
      <c r="BB522" s="265"/>
    </row>
    <row r="523" spans="1:250" s="167" customFormat="1">
      <c r="A523" s="169"/>
      <c r="B523" s="291" t="s">
        <v>158</v>
      </c>
      <c r="C523" s="258"/>
      <c r="D523" s="258"/>
      <c r="E523" s="258"/>
      <c r="F523" s="258"/>
      <c r="G523" s="258"/>
      <c r="H523" s="258"/>
      <c r="I523" s="258"/>
      <c r="J523" s="258"/>
      <c r="K523" s="264"/>
      <c r="L523" s="264"/>
      <c r="M523" s="264"/>
      <c r="N523" s="264"/>
      <c r="O523" s="264"/>
      <c r="P523" s="264"/>
      <c r="Q523" s="264"/>
      <c r="AI523" s="265"/>
      <c r="AJ523" s="265"/>
      <c r="AK523" s="265"/>
      <c r="AL523" s="265"/>
      <c r="AM523" s="265"/>
      <c r="AN523" s="265"/>
      <c r="AO523" s="265"/>
      <c r="AP523" s="265"/>
      <c r="AQ523" s="265"/>
      <c r="AR523" s="265"/>
      <c r="AS523" s="265"/>
      <c r="AT523" s="265"/>
      <c r="AU523" s="265"/>
      <c r="AV523" s="265"/>
      <c r="AW523" s="265"/>
      <c r="AX523" s="265"/>
      <c r="AY523" s="265"/>
      <c r="AZ523" s="265"/>
      <c r="BA523" s="265"/>
      <c r="BB523" s="265"/>
    </row>
    <row r="524" spans="1:250" s="167" customFormat="1">
      <c r="A524" s="169"/>
      <c r="B524" s="298" t="s">
        <v>345</v>
      </c>
      <c r="C524" s="258"/>
      <c r="D524" s="258"/>
      <c r="E524" s="258"/>
      <c r="F524" s="258"/>
      <c r="G524" s="258"/>
      <c r="H524" s="258"/>
      <c r="I524" s="258"/>
      <c r="J524" s="258"/>
      <c r="W524" s="265"/>
      <c r="X524" s="265"/>
      <c r="Y524" s="265"/>
      <c r="Z524" s="265"/>
      <c r="AA524" s="265"/>
      <c r="AB524" s="265"/>
      <c r="AC524" s="265"/>
      <c r="AD524" s="265"/>
      <c r="AE524" s="265"/>
      <c r="AF524" s="265"/>
      <c r="AG524" s="265"/>
      <c r="AH524" s="265"/>
      <c r="AI524" s="265"/>
      <c r="AJ524" s="265"/>
      <c r="AK524" s="265"/>
      <c r="AL524" s="265"/>
      <c r="AM524" s="265"/>
      <c r="AN524" s="265"/>
      <c r="AO524" s="265"/>
      <c r="AP524" s="265"/>
      <c r="AQ524" s="265"/>
      <c r="IF524" s="303"/>
      <c r="IG524" s="260"/>
      <c r="IH524" s="260"/>
      <c r="II524" s="260"/>
      <c r="IJ524" s="260"/>
      <c r="IK524" s="260"/>
      <c r="IL524" s="264"/>
      <c r="IM524" s="264"/>
      <c r="IN524" s="264"/>
      <c r="IO524" s="264"/>
      <c r="IP524" s="264"/>
    </row>
    <row r="525" spans="1:250" s="167" customFormat="1">
      <c r="A525" s="169"/>
      <c r="B525" s="169"/>
      <c r="C525" s="169"/>
      <c r="D525" s="169"/>
      <c r="E525" s="169"/>
      <c r="F525" s="169"/>
      <c r="G525" s="169"/>
      <c r="H525" s="169"/>
      <c r="I525" s="169"/>
      <c r="J525" s="169"/>
      <c r="R525" s="265"/>
      <c r="S525" s="265"/>
      <c r="T525" s="265"/>
      <c r="U525" s="265"/>
      <c r="V525" s="265"/>
      <c r="W525" s="265"/>
      <c r="X525" s="265"/>
      <c r="Y525" s="265"/>
      <c r="Z525" s="265"/>
    </row>
    <row r="526" spans="1:250" s="167" customFormat="1">
      <c r="A526" s="169"/>
      <c r="B526" s="169"/>
      <c r="C526" s="169"/>
      <c r="D526" s="169"/>
      <c r="E526" s="169"/>
      <c r="F526" s="169"/>
      <c r="G526" s="169"/>
      <c r="H526" s="169"/>
      <c r="I526" s="169"/>
      <c r="J526" s="169"/>
    </row>
    <row r="527" spans="1:250" s="167" customFormat="1">
      <c r="A527" s="169"/>
      <c r="B527" s="169"/>
      <c r="C527" s="169"/>
      <c r="D527" s="169"/>
      <c r="E527" s="169"/>
      <c r="F527" s="169"/>
      <c r="G527" s="169"/>
      <c r="H527" s="169"/>
      <c r="I527" s="169"/>
      <c r="J527" s="169"/>
    </row>
    <row r="528" spans="1:250" s="167" customFormat="1" ht="18" customHeight="1">
      <c r="A528" s="169"/>
      <c r="B528" s="169"/>
      <c r="C528" s="169"/>
      <c r="D528" s="169"/>
      <c r="E528" s="169"/>
      <c r="F528" s="169"/>
      <c r="G528" s="169"/>
      <c r="H528" s="169"/>
      <c r="I528" s="169"/>
      <c r="J528" s="169"/>
      <c r="AK528" s="301"/>
      <c r="AL528" s="303"/>
      <c r="AM528" s="260"/>
      <c r="AN528" s="260"/>
      <c r="AO528" s="260"/>
      <c r="AP528" s="260"/>
      <c r="AQ528" s="260"/>
      <c r="AR528" s="264"/>
      <c r="AS528" s="264"/>
      <c r="AT528" s="264"/>
      <c r="AU528" s="264"/>
      <c r="AV528" s="264"/>
    </row>
    <row r="529" spans="1:55" s="167" customFormat="1" ht="18" customHeight="1">
      <c r="A529" s="169" t="s">
        <v>183</v>
      </c>
      <c r="B529" s="169"/>
      <c r="C529" s="169"/>
      <c r="D529" s="169"/>
      <c r="E529" s="169"/>
      <c r="F529" s="169"/>
      <c r="G529" s="169"/>
      <c r="H529" s="169"/>
      <c r="I529" s="169"/>
      <c r="J529" s="169"/>
      <c r="R529" s="265"/>
      <c r="S529" s="265"/>
      <c r="T529" s="265"/>
      <c r="U529" s="265"/>
      <c r="V529" s="265"/>
      <c r="W529" s="265"/>
      <c r="X529" s="265"/>
      <c r="Y529" s="265"/>
      <c r="Z529" s="265"/>
      <c r="AA529" s="265"/>
      <c r="AB529" s="265"/>
      <c r="AC529" s="265"/>
      <c r="AD529" s="265"/>
      <c r="AE529" s="265"/>
      <c r="AF529" s="265"/>
      <c r="AG529" s="265"/>
      <c r="AH529" s="265"/>
      <c r="AI529" s="265"/>
      <c r="AK529" s="301"/>
      <c r="AL529" s="303"/>
      <c r="AM529" s="260"/>
      <c r="AN529" s="260"/>
      <c r="AO529" s="260"/>
      <c r="AP529" s="260"/>
      <c r="AQ529" s="260"/>
      <c r="AR529" s="264"/>
      <c r="AS529" s="264"/>
      <c r="AT529" s="264"/>
      <c r="AU529" s="264"/>
      <c r="AV529" s="264"/>
    </row>
    <row r="530" spans="1:55" s="167" customFormat="1" ht="18" customHeight="1">
      <c r="A530" s="169">
        <v>7</v>
      </c>
      <c r="B530" s="169"/>
      <c r="C530" s="169"/>
      <c r="D530" s="169"/>
      <c r="E530" s="169"/>
      <c r="F530" s="169"/>
      <c r="G530" s="169"/>
      <c r="H530" s="169"/>
      <c r="I530" s="169"/>
      <c r="J530" s="169"/>
      <c r="R530" s="265"/>
      <c r="S530" s="265"/>
      <c r="T530" s="265"/>
      <c r="U530" s="265"/>
      <c r="V530" s="265"/>
      <c r="W530" s="265"/>
      <c r="X530" s="265"/>
      <c r="Y530" s="265"/>
      <c r="Z530" s="265"/>
      <c r="AA530" s="265"/>
      <c r="AB530" s="265"/>
      <c r="AC530" s="265"/>
      <c r="AD530" s="265"/>
      <c r="AE530" s="265"/>
      <c r="AF530" s="265"/>
      <c r="AG530" s="265"/>
      <c r="AH530" s="265"/>
      <c r="AI530" s="265"/>
      <c r="AK530" s="301"/>
      <c r="AL530" s="303"/>
      <c r="AM530" s="260"/>
      <c r="AN530" s="260"/>
      <c r="AO530" s="260"/>
      <c r="AP530" s="260"/>
      <c r="AQ530" s="260"/>
      <c r="AR530" s="264"/>
      <c r="AS530" s="264"/>
      <c r="AT530" s="264"/>
      <c r="AU530" s="264"/>
      <c r="AV530" s="264"/>
    </row>
    <row r="531" spans="1:55" s="167" customFormat="1" ht="18" customHeight="1">
      <c r="A531" s="169"/>
      <c r="B531" s="169"/>
      <c r="C531" s="169"/>
      <c r="D531" s="169"/>
      <c r="E531" s="169"/>
      <c r="F531" s="169"/>
      <c r="G531" s="169"/>
      <c r="H531" s="169"/>
      <c r="I531" s="169"/>
      <c r="J531" s="169"/>
      <c r="R531" s="265"/>
      <c r="S531" s="265"/>
      <c r="T531" s="265"/>
      <c r="U531" s="265"/>
      <c r="V531" s="265"/>
      <c r="W531" s="265"/>
      <c r="X531" s="265"/>
      <c r="Y531" s="265"/>
      <c r="Z531" s="265"/>
      <c r="AA531" s="265"/>
      <c r="AB531" s="265"/>
      <c r="AC531" s="265"/>
      <c r="AD531" s="265"/>
      <c r="AE531" s="265"/>
      <c r="AF531" s="265"/>
      <c r="AG531" s="265"/>
      <c r="AH531" s="265"/>
      <c r="AI531" s="265"/>
      <c r="AK531" s="301"/>
      <c r="AL531" s="303"/>
      <c r="AM531" s="260"/>
      <c r="AN531" s="260"/>
      <c r="AO531" s="260"/>
      <c r="AP531" s="260"/>
      <c r="AQ531" s="260"/>
      <c r="AR531" s="264"/>
      <c r="AS531" s="264"/>
      <c r="AT531" s="264"/>
      <c r="AU531" s="314"/>
      <c r="AV531" s="264"/>
    </row>
    <row r="532" spans="1:55" s="167" customFormat="1" ht="18" customHeight="1">
      <c r="A532" s="169"/>
      <c r="B532" s="169"/>
      <c r="C532" s="169"/>
      <c r="D532" s="169"/>
      <c r="E532" s="169"/>
      <c r="F532" s="169"/>
      <c r="G532" s="169"/>
      <c r="H532" s="169"/>
      <c r="I532" s="169"/>
      <c r="J532" s="169"/>
      <c r="R532" s="265"/>
      <c r="S532" s="265"/>
      <c r="T532" s="265"/>
      <c r="U532" s="265"/>
      <c r="V532" s="265"/>
      <c r="W532" s="265"/>
      <c r="X532" s="265"/>
      <c r="Y532" s="265"/>
      <c r="Z532" s="265"/>
      <c r="AA532" s="265"/>
      <c r="AB532" s="265"/>
      <c r="AC532" s="265"/>
      <c r="AD532" s="265"/>
      <c r="AE532" s="265"/>
      <c r="AF532" s="265"/>
      <c r="AG532" s="265"/>
      <c r="AH532" s="265"/>
      <c r="AI532" s="265"/>
      <c r="AK532" s="307"/>
      <c r="AL532" s="303"/>
      <c r="AM532" s="302"/>
      <c r="AN532" s="302"/>
      <c r="AO532" s="302"/>
      <c r="AP532" s="302"/>
      <c r="AQ532" s="302"/>
      <c r="AR532" s="302"/>
      <c r="AS532" s="302"/>
      <c r="AT532" s="302"/>
      <c r="AU532" s="302"/>
      <c r="AV532" s="302"/>
      <c r="AW532" s="302"/>
      <c r="AX532" s="302"/>
      <c r="AY532" s="302"/>
      <c r="AZ532" s="302"/>
      <c r="BA532" s="302"/>
      <c r="BB532" s="302"/>
      <c r="BC532" s="302"/>
    </row>
    <row r="533" spans="1:55" s="280" customFormat="1" ht="18" customHeight="1">
      <c r="A533" s="169"/>
      <c r="B533" s="169"/>
      <c r="C533" s="169"/>
      <c r="D533" s="169"/>
      <c r="E533" s="169"/>
      <c r="F533" s="169"/>
      <c r="G533" s="169"/>
      <c r="H533" s="169"/>
      <c r="I533" s="169"/>
      <c r="J533" s="169"/>
      <c r="K533" s="167"/>
      <c r="L533" s="167"/>
      <c r="M533" s="167"/>
      <c r="N533" s="167"/>
      <c r="O533" s="167"/>
      <c r="P533" s="167"/>
      <c r="Q533" s="167"/>
      <c r="R533" s="265"/>
      <c r="S533" s="265"/>
      <c r="T533" s="265"/>
      <c r="U533" s="265"/>
      <c r="V533" s="265"/>
      <c r="W533" s="265"/>
      <c r="X533" s="265"/>
      <c r="Y533" s="265"/>
      <c r="Z533" s="265"/>
      <c r="AA533" s="265"/>
      <c r="AB533" s="265"/>
      <c r="AC533" s="265"/>
      <c r="AD533" s="265"/>
      <c r="AE533" s="265"/>
      <c r="AF533" s="265"/>
      <c r="AG533" s="265"/>
      <c r="AH533" s="265"/>
      <c r="AI533" s="265"/>
      <c r="AJ533" s="167"/>
      <c r="AK533" s="308"/>
      <c r="AL533" s="309"/>
      <c r="AM533" s="279"/>
      <c r="AN533" s="279"/>
      <c r="AO533" s="279"/>
      <c r="AP533" s="279"/>
      <c r="AQ533" s="279"/>
      <c r="AR533" s="279"/>
      <c r="AS533" s="279"/>
      <c r="AT533" s="279"/>
      <c r="AU533" s="310"/>
      <c r="AV533" s="310"/>
    </row>
    <row r="534" spans="1:55" s="167" customFormat="1" ht="18" customHeight="1">
      <c r="A534" s="305"/>
      <c r="B534" s="305"/>
      <c r="C534" s="305"/>
      <c r="D534" s="305"/>
      <c r="E534" s="305"/>
      <c r="F534" s="305"/>
      <c r="G534" s="305"/>
      <c r="H534" s="305"/>
      <c r="I534" s="305"/>
      <c r="J534" s="305"/>
      <c r="K534" s="280"/>
      <c r="L534" s="280"/>
      <c r="M534" s="280"/>
      <c r="N534" s="280"/>
      <c r="O534" s="280"/>
      <c r="P534" s="280"/>
      <c r="Q534" s="280"/>
      <c r="R534" s="281"/>
      <c r="S534" s="281"/>
      <c r="T534" s="281"/>
      <c r="U534" s="281"/>
      <c r="V534" s="281"/>
      <c r="W534" s="281"/>
      <c r="X534" s="280"/>
      <c r="Y534" s="281"/>
      <c r="Z534" s="281"/>
      <c r="AA534" s="281"/>
      <c r="AB534" s="281"/>
      <c r="AC534" s="281"/>
      <c r="AD534" s="281"/>
      <c r="AE534" s="281"/>
      <c r="AF534" s="281"/>
      <c r="AG534" s="281"/>
      <c r="AH534" s="281"/>
      <c r="AI534" s="281"/>
      <c r="AJ534" s="280"/>
      <c r="AK534" s="301"/>
      <c r="AL534" s="291"/>
      <c r="AM534" s="289"/>
      <c r="AN534" s="299"/>
      <c r="AO534" s="299"/>
      <c r="AP534" s="299"/>
      <c r="AQ534" s="299"/>
      <c r="AR534" s="299"/>
      <c r="AS534" s="299"/>
      <c r="AT534" s="299"/>
      <c r="AU534" s="264"/>
      <c r="AV534" s="264"/>
    </row>
    <row r="535" spans="1:55" s="167" customFormat="1" ht="18" customHeight="1">
      <c r="A535" s="169"/>
      <c r="B535" s="169"/>
      <c r="C535" s="169"/>
      <c r="D535" s="169"/>
      <c r="E535" s="169"/>
      <c r="F535" s="169"/>
      <c r="G535" s="169"/>
      <c r="H535" s="169"/>
      <c r="I535" s="169"/>
      <c r="J535" s="169"/>
      <c r="R535" s="265"/>
      <c r="S535" s="265"/>
      <c r="T535" s="265"/>
      <c r="U535" s="265"/>
      <c r="V535" s="265"/>
      <c r="W535" s="265"/>
      <c r="Y535" s="265"/>
      <c r="Z535" s="265"/>
      <c r="AA535" s="265"/>
      <c r="AB535" s="265"/>
      <c r="AC535" s="265"/>
      <c r="AD535" s="265"/>
      <c r="AE535" s="265"/>
      <c r="AF535" s="265"/>
      <c r="AG535" s="265"/>
      <c r="AH535" s="265"/>
      <c r="AI535" s="265"/>
      <c r="AK535" s="301"/>
      <c r="AL535" s="291"/>
      <c r="AM535" s="289"/>
      <c r="AN535" s="289"/>
      <c r="AO535" s="289"/>
      <c r="AP535" s="289"/>
      <c r="AQ535" s="289"/>
      <c r="AR535" s="289"/>
      <c r="AS535" s="289"/>
      <c r="AT535" s="289"/>
      <c r="AU535" s="264"/>
      <c r="AV535" s="264"/>
    </row>
    <row r="536" spans="1:55" s="167" customFormat="1" ht="18" customHeight="1">
      <c r="A536" s="169"/>
      <c r="B536" s="169"/>
      <c r="C536" s="169"/>
      <c r="D536" s="169"/>
      <c r="E536" s="169"/>
      <c r="F536" s="169"/>
      <c r="G536" s="169"/>
      <c r="H536" s="169"/>
      <c r="I536" s="169"/>
      <c r="J536" s="169"/>
      <c r="R536" s="265"/>
      <c r="S536" s="265"/>
      <c r="T536" s="265"/>
      <c r="U536" s="265"/>
      <c r="V536" s="265"/>
      <c r="W536" s="265"/>
      <c r="Y536" s="265"/>
      <c r="Z536" s="265"/>
      <c r="AA536" s="265"/>
      <c r="AB536" s="265"/>
      <c r="AC536" s="265"/>
      <c r="AD536" s="265"/>
      <c r="AE536" s="265"/>
      <c r="AF536" s="265"/>
      <c r="AG536" s="265"/>
      <c r="AH536" s="265"/>
      <c r="AI536" s="265"/>
      <c r="AK536" s="301"/>
      <c r="AL536" s="291"/>
      <c r="AM536" s="289"/>
      <c r="AN536" s="289"/>
      <c r="AO536" s="289"/>
      <c r="AP536" s="289"/>
      <c r="AQ536" s="289"/>
      <c r="AR536" s="289"/>
      <c r="AS536" s="289"/>
      <c r="AT536" s="289"/>
      <c r="AU536" s="264"/>
      <c r="AV536" s="264"/>
    </row>
    <row r="537" spans="1:55" s="167" customFormat="1" ht="18" customHeight="1">
      <c r="A537" s="169"/>
      <c r="B537" s="169"/>
      <c r="C537" s="169"/>
      <c r="D537" s="169"/>
      <c r="E537" s="169"/>
      <c r="F537" s="169"/>
      <c r="G537" s="169"/>
      <c r="H537" s="169"/>
      <c r="I537" s="169"/>
      <c r="J537" s="169"/>
      <c r="R537" s="265"/>
      <c r="S537" s="265"/>
      <c r="T537" s="265"/>
      <c r="U537" s="265"/>
      <c r="V537" s="265"/>
      <c r="W537" s="265"/>
      <c r="Y537" s="265"/>
      <c r="Z537" s="265"/>
      <c r="AA537" s="265"/>
      <c r="AB537" s="265"/>
      <c r="AC537" s="265"/>
      <c r="AD537" s="265"/>
      <c r="AE537" s="265"/>
      <c r="AF537" s="265"/>
      <c r="AG537" s="265"/>
      <c r="AH537" s="265"/>
      <c r="AI537" s="265"/>
      <c r="AK537" s="301"/>
      <c r="AL537" s="291"/>
      <c r="AM537" s="289"/>
      <c r="AN537" s="289"/>
      <c r="AO537" s="289"/>
      <c r="AP537" s="289"/>
      <c r="AQ537" s="289"/>
      <c r="AR537" s="289"/>
      <c r="AS537" s="289"/>
      <c r="AT537" s="289"/>
      <c r="AU537" s="264"/>
      <c r="AV537" s="264"/>
    </row>
    <row r="538" spans="1:55" s="167" customFormat="1" ht="18" customHeight="1">
      <c r="A538" s="169"/>
      <c r="B538" s="169"/>
      <c r="C538" s="169"/>
      <c r="D538" s="169"/>
      <c r="E538" s="169"/>
      <c r="F538" s="169"/>
      <c r="G538" s="169"/>
      <c r="H538" s="169"/>
      <c r="I538" s="169"/>
      <c r="J538" s="169"/>
      <c r="R538" s="265"/>
      <c r="S538" s="265"/>
      <c r="T538" s="265"/>
      <c r="U538" s="265"/>
      <c r="V538" s="265"/>
      <c r="W538" s="265"/>
      <c r="Y538" s="265"/>
      <c r="Z538" s="265"/>
      <c r="AA538" s="265"/>
      <c r="AB538" s="265"/>
      <c r="AC538" s="265"/>
      <c r="AD538" s="265"/>
      <c r="AE538" s="265"/>
      <c r="AF538" s="265"/>
      <c r="AG538" s="265"/>
      <c r="AH538" s="265"/>
      <c r="AI538" s="265"/>
      <c r="AK538" s="301"/>
      <c r="AL538" s="291"/>
      <c r="AM538" s="289"/>
      <c r="AN538" s="289"/>
      <c r="AO538" s="289"/>
      <c r="AP538" s="289"/>
      <c r="AQ538" s="289"/>
      <c r="AR538" s="289"/>
      <c r="AS538" s="289"/>
      <c r="AT538" s="289"/>
      <c r="AU538" s="264"/>
      <c r="AV538" s="264"/>
    </row>
    <row r="539" spans="1:55" s="274" customFormat="1" ht="18" customHeight="1">
      <c r="A539" s="270">
        <f>A509+1</f>
        <v>18</v>
      </c>
      <c r="B539" s="271"/>
      <c r="C539" s="272" t="str">
        <f>IF($A$1 = 1, (IF("("&amp;C549&amp;")" ="()","","("&amp;C549&amp;")")), (IF("("&amp;C554&amp;")    ("&amp;C549&amp;")"="()    ()","","("&amp;C554&amp;")    ("&amp;C549&amp;")")))</f>
        <v/>
      </c>
      <c r="D539" s="272" t="str">
        <f t="shared" ref="D539:J539" si="51">IF($A$1 = 1, (IF("("&amp;D549&amp;")" ="()","","("&amp;D549&amp;")")), (IF("("&amp;D554&amp;")    ("&amp;D549&amp;")"="()    ()","","("&amp;D554&amp;")    ("&amp;D549&amp;")")))</f>
        <v/>
      </c>
      <c r="E539" s="272" t="str">
        <f t="shared" si="51"/>
        <v/>
      </c>
      <c r="F539" s="272" t="str">
        <f t="shared" si="51"/>
        <v/>
      </c>
      <c r="G539" s="272" t="str">
        <f t="shared" si="51"/>
        <v/>
      </c>
      <c r="H539" s="272" t="str">
        <f t="shared" si="51"/>
        <v/>
      </c>
      <c r="I539" s="272" t="str">
        <f t="shared" si="51"/>
        <v/>
      </c>
      <c r="J539" s="272" t="str">
        <f t="shared" si="51"/>
        <v/>
      </c>
      <c r="K539" s="273"/>
      <c r="L539" s="273"/>
      <c r="M539" s="273"/>
      <c r="N539" s="273"/>
      <c r="O539" s="273"/>
      <c r="P539" s="273"/>
      <c r="Q539" s="273"/>
      <c r="AI539" s="275"/>
      <c r="AJ539" s="275"/>
      <c r="AK539" s="275"/>
      <c r="AL539" s="275"/>
      <c r="AM539" s="275"/>
      <c r="AN539" s="275"/>
      <c r="AO539" s="275"/>
      <c r="AP539" s="275"/>
      <c r="AQ539" s="275"/>
      <c r="AR539" s="275"/>
      <c r="AS539" s="275"/>
      <c r="AT539" s="275"/>
      <c r="AU539" s="275"/>
      <c r="AV539" s="275"/>
      <c r="AW539" s="275"/>
      <c r="AX539" s="275"/>
      <c r="AY539" s="275"/>
      <c r="AZ539" s="275"/>
      <c r="BA539" s="275"/>
      <c r="BB539" s="275"/>
      <c r="BC539" s="275"/>
    </row>
    <row r="540" spans="1:55" s="280" customFormat="1" ht="59.1" customHeight="1">
      <c r="A540" s="276"/>
      <c r="B540" s="277"/>
      <c r="C540" s="278"/>
      <c r="D540" s="278"/>
      <c r="E540" s="278"/>
      <c r="F540" s="278"/>
      <c r="G540" s="278"/>
      <c r="H540" s="278"/>
      <c r="I540" s="278"/>
      <c r="J540" s="278"/>
      <c r="K540" s="279"/>
      <c r="L540" s="279"/>
      <c r="M540" s="279"/>
      <c r="N540" s="279"/>
      <c r="O540" s="279"/>
      <c r="P540" s="279"/>
      <c r="Q540" s="279"/>
      <c r="AI540" s="281"/>
      <c r="AJ540" s="281"/>
      <c r="AK540" s="281"/>
      <c r="AL540" s="281"/>
      <c r="AM540" s="281"/>
      <c r="AN540" s="281"/>
      <c r="AO540" s="281"/>
      <c r="AP540" s="281"/>
      <c r="AQ540" s="281"/>
      <c r="AS540" s="281"/>
      <c r="AT540" s="281"/>
      <c r="AU540" s="281"/>
      <c r="AV540" s="281"/>
      <c r="AW540" s="281"/>
      <c r="AX540" s="281"/>
      <c r="AY540" s="281"/>
      <c r="AZ540" s="281"/>
      <c r="BA540" s="281"/>
      <c r="BB540" s="281"/>
      <c r="BC540" s="281"/>
    </row>
    <row r="541" spans="1:55" s="167" customFormat="1" ht="21.95" customHeight="1">
      <c r="A541" s="266"/>
      <c r="B541" s="282" t="s">
        <v>3</v>
      </c>
      <c r="C541" s="283"/>
      <c r="D541" s="283"/>
      <c r="E541" s="283"/>
      <c r="F541" s="283"/>
      <c r="G541" s="283"/>
      <c r="H541" s="283"/>
      <c r="I541" s="283"/>
      <c r="J541" s="283"/>
      <c r="K541" s="284"/>
      <c r="L541" s="284"/>
      <c r="M541" s="284"/>
      <c r="N541" s="284"/>
      <c r="O541" s="284"/>
      <c r="P541" s="284"/>
      <c r="Q541" s="284"/>
      <c r="AI541" s="265"/>
      <c r="AJ541" s="265"/>
      <c r="AK541" s="265"/>
      <c r="AL541" s="265"/>
      <c r="AM541" s="265"/>
      <c r="AN541" s="265"/>
      <c r="AO541" s="265"/>
      <c r="AP541" s="265"/>
      <c r="AQ541" s="265"/>
      <c r="AS541" s="265"/>
      <c r="AT541" s="265"/>
      <c r="AU541" s="265"/>
      <c r="AV541" s="265"/>
      <c r="AW541" s="265"/>
      <c r="AX541" s="265"/>
      <c r="AY541" s="265"/>
      <c r="AZ541" s="265"/>
      <c r="BA541" s="265"/>
      <c r="BB541" s="265"/>
      <c r="BC541" s="265"/>
    </row>
    <row r="542" spans="1:55" s="167" customFormat="1" ht="21.95" customHeight="1">
      <c r="A542" s="266"/>
      <c r="B542" s="285" t="s">
        <v>18</v>
      </c>
      <c r="C542" s="283"/>
      <c r="D542" s="283"/>
      <c r="E542" s="283"/>
      <c r="F542" s="283"/>
      <c r="G542" s="283"/>
      <c r="H542" s="283"/>
      <c r="I542" s="283"/>
      <c r="J542" s="283"/>
      <c r="K542" s="286"/>
      <c r="L542" s="286"/>
      <c r="M542" s="286"/>
      <c r="N542" s="286"/>
      <c r="O542" s="286"/>
      <c r="P542" s="286"/>
      <c r="Q542" s="286"/>
      <c r="AI542" s="265"/>
      <c r="AJ542" s="265"/>
      <c r="AK542" s="265"/>
      <c r="AL542" s="265"/>
      <c r="AM542" s="265"/>
      <c r="AN542" s="265"/>
      <c r="AO542" s="265"/>
      <c r="AP542" s="265"/>
      <c r="AQ542" s="265"/>
      <c r="AS542" s="265"/>
      <c r="AT542" s="265"/>
      <c r="AU542" s="265"/>
      <c r="AV542" s="265"/>
      <c r="AW542" s="265"/>
      <c r="AX542" s="265"/>
      <c r="AY542" s="265"/>
      <c r="AZ542" s="265"/>
      <c r="BA542" s="265"/>
      <c r="BB542" s="265"/>
      <c r="BC542" s="265"/>
    </row>
    <row r="543" spans="1:55" s="167" customFormat="1" ht="21.95" customHeight="1">
      <c r="A543" s="169"/>
      <c r="B543" s="287" t="s">
        <v>32</v>
      </c>
      <c r="C543" s="283"/>
      <c r="D543" s="283"/>
      <c r="E543" s="283"/>
      <c r="F543" s="283"/>
      <c r="G543" s="283"/>
      <c r="H543" s="283"/>
      <c r="I543" s="283"/>
      <c r="J543" s="283"/>
      <c r="K543" s="286"/>
      <c r="L543" s="286"/>
      <c r="M543" s="286"/>
      <c r="N543" s="286"/>
      <c r="O543" s="286"/>
      <c r="P543" s="286"/>
      <c r="Q543" s="286"/>
      <c r="AI543" s="265"/>
      <c r="AJ543" s="265"/>
      <c r="AK543" s="265"/>
      <c r="AL543" s="265"/>
      <c r="AM543" s="265"/>
      <c r="AN543" s="265"/>
      <c r="AO543" s="265"/>
      <c r="AP543" s="265"/>
      <c r="AQ543" s="265"/>
      <c r="AS543" s="265"/>
      <c r="AT543" s="265"/>
      <c r="AU543" s="265"/>
      <c r="AV543" s="265"/>
      <c r="AW543" s="265"/>
      <c r="AX543" s="265"/>
      <c r="AY543" s="265"/>
      <c r="AZ543" s="265"/>
      <c r="BA543" s="265"/>
      <c r="BB543" s="265"/>
    </row>
    <row r="544" spans="1:55" s="167" customFormat="1" ht="21.95" customHeight="1">
      <c r="A544" s="169"/>
      <c r="B544" s="288" t="s">
        <v>45</v>
      </c>
      <c r="C544" s="283"/>
      <c r="D544" s="283"/>
      <c r="E544" s="283"/>
      <c r="F544" s="283"/>
      <c r="G544" s="283"/>
      <c r="H544" s="283"/>
      <c r="I544" s="283"/>
      <c r="J544" s="283"/>
      <c r="K544" s="286"/>
      <c r="L544" s="286"/>
      <c r="M544" s="286"/>
      <c r="N544" s="286"/>
      <c r="O544" s="286"/>
      <c r="P544" s="286"/>
      <c r="Q544" s="286"/>
      <c r="AI544" s="265"/>
      <c r="AJ544" s="265"/>
      <c r="AK544" s="265"/>
      <c r="AL544" s="265"/>
      <c r="AM544" s="265"/>
      <c r="AN544" s="265"/>
      <c r="AO544" s="265"/>
      <c r="AP544" s="265"/>
      <c r="AQ544" s="265"/>
      <c r="AS544" s="265"/>
      <c r="AT544" s="265"/>
      <c r="AU544" s="265"/>
      <c r="AV544" s="265"/>
      <c r="AW544" s="265"/>
      <c r="AX544" s="265"/>
      <c r="AY544" s="265"/>
      <c r="AZ544" s="265"/>
      <c r="BA544" s="265"/>
      <c r="BB544" s="265"/>
    </row>
    <row r="545" spans="1:250" s="167" customFormat="1" ht="21.95" customHeight="1">
      <c r="A545" s="169"/>
      <c r="B545" s="290" t="s">
        <v>54</v>
      </c>
      <c r="C545" s="283"/>
      <c r="D545" s="283"/>
      <c r="E545" s="283"/>
      <c r="F545" s="283"/>
      <c r="G545" s="283"/>
      <c r="H545" s="283"/>
      <c r="I545" s="283"/>
      <c r="J545" s="283"/>
      <c r="K545" s="286"/>
      <c r="L545" s="286"/>
      <c r="M545" s="286"/>
      <c r="N545" s="286"/>
      <c r="O545" s="286"/>
      <c r="P545" s="286"/>
      <c r="Q545" s="286"/>
      <c r="AI545" s="265"/>
      <c r="AJ545" s="265"/>
      <c r="AK545" s="265"/>
      <c r="AL545" s="265"/>
      <c r="AM545" s="265"/>
      <c r="AN545" s="265"/>
      <c r="AO545" s="265"/>
      <c r="AP545" s="265"/>
      <c r="AQ545" s="265"/>
      <c r="AS545" s="265"/>
      <c r="AT545" s="265"/>
      <c r="AU545" s="265"/>
      <c r="AV545" s="265"/>
      <c r="AW545" s="265"/>
      <c r="AX545" s="265"/>
      <c r="AY545" s="265"/>
      <c r="AZ545" s="265"/>
      <c r="BA545" s="265"/>
      <c r="BB545" s="265"/>
    </row>
    <row r="546" spans="1:250" s="167" customFormat="1">
      <c r="A546" s="169"/>
      <c r="B546" s="291" t="s">
        <v>66</v>
      </c>
      <c r="C546" s="286"/>
      <c r="D546" s="286"/>
      <c r="E546" s="286"/>
      <c r="F546" s="286"/>
      <c r="G546" s="286"/>
      <c r="H546" s="286"/>
      <c r="I546" s="286"/>
      <c r="J546" s="286"/>
      <c r="K546" s="286"/>
      <c r="L546" s="286"/>
      <c r="M546" s="286"/>
      <c r="N546" s="286"/>
      <c r="O546" s="286"/>
      <c r="P546" s="286"/>
      <c r="Q546" s="286"/>
      <c r="AI546" s="265"/>
      <c r="AJ546" s="265"/>
      <c r="AK546" s="265"/>
      <c r="AL546" s="265"/>
      <c r="AM546" s="265"/>
      <c r="AN546" s="265"/>
      <c r="AO546" s="265"/>
      <c r="AP546" s="265"/>
      <c r="AQ546" s="265"/>
      <c r="AS546" s="265"/>
      <c r="AT546" s="265"/>
      <c r="AU546" s="265"/>
      <c r="AV546" s="265"/>
      <c r="AW546" s="265"/>
      <c r="AX546" s="265"/>
      <c r="AY546" s="265"/>
      <c r="AZ546" s="265"/>
      <c r="BA546" s="265"/>
      <c r="BB546" s="265"/>
    </row>
    <row r="547" spans="1:250" s="167" customFormat="1">
      <c r="A547" s="169"/>
      <c r="B547" s="291" t="s">
        <v>158</v>
      </c>
      <c r="C547" s="292"/>
      <c r="D547" s="292"/>
      <c r="E547" s="292"/>
      <c r="F547" s="292"/>
      <c r="G547" s="292"/>
      <c r="H547" s="292"/>
      <c r="I547" s="292"/>
      <c r="J547" s="292"/>
      <c r="K547" s="292"/>
      <c r="L547" s="292"/>
      <c r="M547" s="292"/>
      <c r="N547" s="292"/>
      <c r="O547" s="292"/>
      <c r="P547" s="292"/>
      <c r="Q547" s="292"/>
      <c r="AI547" s="265"/>
      <c r="AJ547" s="265"/>
      <c r="AK547" s="265"/>
      <c r="AL547" s="265"/>
      <c r="AM547" s="265"/>
      <c r="AN547" s="265"/>
      <c r="AO547" s="265"/>
      <c r="AP547" s="265"/>
      <c r="AQ547" s="265"/>
      <c r="AS547" s="265"/>
      <c r="AT547" s="265"/>
      <c r="AU547" s="265"/>
      <c r="AV547" s="265"/>
      <c r="AW547" s="265"/>
      <c r="AX547" s="265"/>
      <c r="AY547" s="265"/>
      <c r="AZ547" s="265"/>
      <c r="BA547" s="265"/>
      <c r="BB547" s="265"/>
    </row>
    <row r="548" spans="1:250" s="167" customFormat="1">
      <c r="A548" s="169"/>
      <c r="B548" s="291" t="s">
        <v>189</v>
      </c>
      <c r="C548" s="292"/>
      <c r="D548" s="292"/>
      <c r="E548" s="292"/>
      <c r="F548" s="292"/>
      <c r="G548" s="292"/>
      <c r="H548" s="292"/>
      <c r="I548" s="292"/>
      <c r="J548" s="292"/>
      <c r="K548" s="292"/>
      <c r="L548" s="292"/>
      <c r="M548" s="292"/>
      <c r="N548" s="292"/>
      <c r="O548" s="292"/>
      <c r="P548" s="292"/>
      <c r="Q548" s="292"/>
      <c r="AI548" s="293"/>
      <c r="AJ548" s="293"/>
      <c r="AK548" s="293"/>
      <c r="AL548" s="293"/>
      <c r="AM548" s="293"/>
      <c r="AN548" s="265"/>
      <c r="AO548" s="265"/>
      <c r="AP548" s="265"/>
      <c r="AQ548" s="265"/>
      <c r="AS548" s="265"/>
      <c r="AT548" s="265"/>
      <c r="AU548" s="265"/>
      <c r="AV548" s="265"/>
      <c r="AW548" s="265"/>
      <c r="AX548" s="265"/>
      <c r="AY548" s="265"/>
      <c r="AZ548" s="265"/>
      <c r="BA548" s="265"/>
      <c r="BB548" s="265"/>
    </row>
    <row r="549" spans="1:250" s="167" customFormat="1" ht="15" thickBot="1">
      <c r="A549" s="169"/>
      <c r="B549" s="291" t="s">
        <v>345</v>
      </c>
      <c r="C549" s="292"/>
      <c r="D549" s="292"/>
      <c r="E549" s="292"/>
      <c r="F549" s="292"/>
      <c r="G549" s="292"/>
      <c r="H549" s="292"/>
      <c r="I549" s="292"/>
      <c r="J549" s="292"/>
      <c r="K549" s="292"/>
      <c r="L549" s="292"/>
      <c r="M549" s="292"/>
      <c r="N549" s="292"/>
      <c r="O549" s="292"/>
      <c r="P549" s="292"/>
      <c r="Q549" s="292"/>
      <c r="AI549" s="265"/>
      <c r="AJ549" s="265"/>
      <c r="AK549" s="265"/>
      <c r="AL549" s="265"/>
      <c r="AM549" s="265"/>
      <c r="AN549" s="265"/>
      <c r="AO549" s="265"/>
      <c r="AP549" s="265"/>
      <c r="AQ549" s="265"/>
      <c r="AS549" s="265"/>
      <c r="AT549" s="265"/>
      <c r="AU549" s="265"/>
      <c r="AV549" s="265"/>
      <c r="AW549" s="265"/>
      <c r="AX549" s="265"/>
      <c r="AY549" s="265"/>
      <c r="AZ549" s="265"/>
      <c r="BA549" s="265"/>
      <c r="BB549" s="265"/>
    </row>
    <row r="550" spans="1:250" s="167" customFormat="1">
      <c r="A550" s="266"/>
      <c r="B550" s="294" t="s">
        <v>166</v>
      </c>
      <c r="C550" s="295" t="str">
        <f>IF(OR(C553="**",C553=""),"",VALUE(C553))</f>
        <v/>
      </c>
      <c r="D550" s="295" t="str">
        <f t="shared" ref="D550:J550" si="52">IF(OR(D553="**",D553=""),"",VALUE(D553))</f>
        <v/>
      </c>
      <c r="E550" s="295" t="str">
        <f t="shared" si="52"/>
        <v/>
      </c>
      <c r="F550" s="295" t="str">
        <f t="shared" si="52"/>
        <v/>
      </c>
      <c r="G550" s="295" t="str">
        <f t="shared" si="52"/>
        <v/>
      </c>
      <c r="H550" s="295" t="str">
        <f t="shared" si="52"/>
        <v/>
      </c>
      <c r="I550" s="295" t="str">
        <f t="shared" si="52"/>
        <v/>
      </c>
      <c r="J550" s="295" t="str">
        <f t="shared" si="52"/>
        <v/>
      </c>
      <c r="K550" s="183"/>
      <c r="L550" s="183"/>
      <c r="M550" s="183"/>
      <c r="N550" s="183"/>
      <c r="O550" s="183"/>
      <c r="P550" s="183"/>
      <c r="Q550" s="183"/>
      <c r="AI550" s="265"/>
      <c r="AJ550" s="265"/>
      <c r="AK550" s="265"/>
      <c r="AL550" s="265"/>
      <c r="AM550" s="265"/>
      <c r="AN550" s="265"/>
      <c r="AO550" s="265"/>
      <c r="AP550" s="265"/>
      <c r="AQ550" s="265"/>
      <c r="AS550" s="265"/>
      <c r="AT550" s="265"/>
      <c r="AU550" s="265"/>
      <c r="AV550" s="265"/>
      <c r="AW550" s="265"/>
      <c r="AX550" s="265"/>
      <c r="AY550" s="265"/>
      <c r="AZ550" s="265"/>
      <c r="BA550" s="265"/>
      <c r="BB550" s="265"/>
    </row>
    <row r="551" spans="1:250" s="167" customFormat="1" ht="15" thickBot="1">
      <c r="A551" s="266"/>
      <c r="B551" s="296" t="s">
        <v>165</v>
      </c>
      <c r="C551" s="297" t="str">
        <f t="shared" ref="C551:J551" si="53">IF(OR(C547="**",C547=""),"",VALUE(C547))</f>
        <v/>
      </c>
      <c r="D551" s="297" t="str">
        <f t="shared" si="53"/>
        <v/>
      </c>
      <c r="E551" s="297" t="str">
        <f t="shared" si="53"/>
        <v/>
      </c>
      <c r="F551" s="297" t="str">
        <f t="shared" si="53"/>
        <v/>
      </c>
      <c r="G551" s="297" t="str">
        <f t="shared" si="53"/>
        <v/>
      </c>
      <c r="H551" s="297" t="str">
        <f t="shared" si="53"/>
        <v/>
      </c>
      <c r="I551" s="297" t="str">
        <f t="shared" si="53"/>
        <v/>
      </c>
      <c r="J551" s="297" t="str">
        <f t="shared" si="53"/>
        <v/>
      </c>
      <c r="K551" s="260"/>
      <c r="L551" s="260"/>
      <c r="M551" s="260"/>
      <c r="N551" s="260"/>
      <c r="O551" s="260"/>
      <c r="P551" s="260"/>
      <c r="Q551" s="260"/>
      <c r="AI551" s="260"/>
      <c r="AJ551" s="260"/>
      <c r="AK551" s="260"/>
      <c r="AL551" s="260"/>
      <c r="AM551" s="260"/>
      <c r="AN551" s="260"/>
      <c r="AO551" s="260"/>
      <c r="AP551" s="260"/>
      <c r="AQ551" s="265"/>
      <c r="AR551" s="265"/>
      <c r="AS551" s="265"/>
      <c r="AT551" s="265"/>
      <c r="AU551" s="265"/>
      <c r="AV551" s="265"/>
      <c r="AW551" s="265"/>
      <c r="AX551" s="265"/>
      <c r="AY551" s="265"/>
      <c r="AZ551" s="265"/>
      <c r="BA551" s="265"/>
      <c r="BB551" s="265"/>
    </row>
    <row r="552" spans="1:250" s="167" customFormat="1">
      <c r="A552" s="169"/>
      <c r="B552" s="298" t="s">
        <v>385</v>
      </c>
      <c r="C552" s="195"/>
      <c r="D552" s="195"/>
      <c r="E552" s="195"/>
      <c r="F552" s="195"/>
      <c r="G552" s="195"/>
      <c r="H552" s="195"/>
      <c r="I552" s="195"/>
      <c r="J552" s="195"/>
      <c r="K552" s="264"/>
      <c r="L552" s="264"/>
      <c r="M552" s="264"/>
      <c r="N552" s="264"/>
      <c r="O552" s="264"/>
      <c r="P552" s="264"/>
      <c r="Q552" s="264"/>
      <c r="AI552" s="265"/>
      <c r="AJ552" s="265"/>
      <c r="AK552" s="265"/>
      <c r="AL552" s="265"/>
      <c r="AM552" s="265"/>
      <c r="AN552" s="265"/>
      <c r="AO552" s="265"/>
      <c r="AP552" s="265"/>
      <c r="AQ552" s="265"/>
      <c r="AR552" s="265"/>
      <c r="AS552" s="265"/>
      <c r="AT552" s="265"/>
      <c r="AU552" s="265"/>
      <c r="AV552" s="265"/>
      <c r="AW552" s="265"/>
      <c r="AX552" s="265"/>
      <c r="AY552" s="265"/>
      <c r="AZ552" s="265"/>
      <c r="BA552" s="265"/>
      <c r="BB552" s="265"/>
    </row>
    <row r="553" spans="1:250" s="167" customFormat="1">
      <c r="A553" s="169"/>
      <c r="B553" s="291" t="s">
        <v>158</v>
      </c>
      <c r="C553" s="258"/>
      <c r="D553" s="258"/>
      <c r="E553" s="258"/>
      <c r="F553" s="258"/>
      <c r="G553" s="258"/>
      <c r="H553" s="258"/>
      <c r="I553" s="258"/>
      <c r="J553" s="258"/>
      <c r="K553" s="264"/>
      <c r="L553" s="264"/>
      <c r="M553" s="264"/>
      <c r="N553" s="264"/>
      <c r="O553" s="264"/>
      <c r="P553" s="264"/>
      <c r="Q553" s="264"/>
      <c r="AI553" s="265"/>
      <c r="AJ553" s="265"/>
      <c r="AK553" s="265"/>
      <c r="AL553" s="265"/>
      <c r="AM553" s="265"/>
      <c r="AN553" s="265"/>
      <c r="AO553" s="265"/>
      <c r="AP553" s="265"/>
      <c r="AQ553" s="265"/>
      <c r="AR553" s="265"/>
      <c r="AS553" s="265"/>
      <c r="AT553" s="265"/>
      <c r="AU553" s="265"/>
      <c r="AV553" s="265"/>
      <c r="AW553" s="265"/>
      <c r="AX553" s="265"/>
      <c r="AY553" s="265"/>
      <c r="AZ553" s="265"/>
      <c r="BA553" s="265"/>
      <c r="BB553" s="265"/>
    </row>
    <row r="554" spans="1:250" s="167" customFormat="1">
      <c r="A554" s="169"/>
      <c r="B554" s="298" t="s">
        <v>345</v>
      </c>
      <c r="C554" s="258"/>
      <c r="D554" s="258"/>
      <c r="E554" s="258"/>
      <c r="F554" s="258"/>
      <c r="G554" s="258"/>
      <c r="H554" s="258"/>
      <c r="I554" s="258"/>
      <c r="J554" s="258"/>
      <c r="W554" s="265"/>
      <c r="X554" s="265"/>
      <c r="Y554" s="265"/>
      <c r="Z554" s="265"/>
      <c r="AA554" s="265"/>
      <c r="AB554" s="265"/>
      <c r="AC554" s="265"/>
      <c r="AD554" s="265"/>
      <c r="AE554" s="265"/>
      <c r="AF554" s="265"/>
      <c r="AG554" s="265"/>
      <c r="AH554" s="265"/>
      <c r="AI554" s="265"/>
      <c r="AJ554" s="265"/>
      <c r="AK554" s="265"/>
      <c r="AL554" s="265"/>
      <c r="AM554" s="265"/>
      <c r="AN554" s="265"/>
      <c r="AO554" s="265"/>
      <c r="AP554" s="265"/>
      <c r="AQ554" s="265"/>
      <c r="IF554" s="303"/>
      <c r="IG554" s="260"/>
      <c r="IH554" s="260"/>
      <c r="II554" s="260"/>
      <c r="IJ554" s="260"/>
      <c r="IK554" s="260"/>
      <c r="IL554" s="264"/>
      <c r="IM554" s="264"/>
      <c r="IN554" s="264"/>
      <c r="IO554" s="264"/>
      <c r="IP554" s="264"/>
    </row>
    <row r="555" spans="1:250" s="167" customFormat="1">
      <c r="A555" s="169"/>
      <c r="B555" s="169"/>
      <c r="C555" s="169"/>
      <c r="D555" s="169"/>
      <c r="E555" s="169"/>
      <c r="F555" s="169"/>
      <c r="G555" s="169"/>
      <c r="H555" s="169"/>
      <c r="I555" s="169"/>
      <c r="J555" s="169"/>
      <c r="R555" s="265"/>
      <c r="S555" s="265"/>
      <c r="T555" s="265"/>
      <c r="U555" s="265"/>
      <c r="V555" s="265"/>
      <c r="W555" s="265"/>
      <c r="X555" s="265"/>
      <c r="Z555" s="301"/>
      <c r="AA555" s="303"/>
      <c r="AB555" s="260"/>
      <c r="AC555" s="260"/>
      <c r="AD555" s="260"/>
      <c r="AE555" s="260"/>
      <c r="AF555" s="260"/>
      <c r="AG555" s="264"/>
      <c r="AH555" s="264"/>
      <c r="AI555" s="264"/>
      <c r="AJ555" s="264"/>
      <c r="AK555" s="264"/>
    </row>
    <row r="556" spans="1:250" s="167" customFormat="1">
      <c r="A556" s="169"/>
      <c r="B556" s="169"/>
      <c r="C556" s="169"/>
      <c r="D556" s="169"/>
      <c r="E556" s="169"/>
      <c r="F556" s="169"/>
      <c r="G556" s="169"/>
      <c r="H556" s="169"/>
      <c r="I556" s="169"/>
      <c r="J556" s="169"/>
      <c r="R556" s="265"/>
      <c r="S556" s="265"/>
      <c r="T556" s="265"/>
      <c r="U556" s="265"/>
      <c r="V556" s="265"/>
      <c r="W556" s="265"/>
      <c r="Y556" s="301"/>
      <c r="Z556" s="303"/>
      <c r="AA556" s="260"/>
      <c r="AB556" s="260"/>
      <c r="AC556" s="260"/>
      <c r="AD556" s="260"/>
      <c r="AE556" s="260"/>
      <c r="AF556" s="264"/>
      <c r="AG556" s="264"/>
      <c r="AH556" s="264"/>
      <c r="AI556" s="264"/>
      <c r="AJ556" s="264"/>
    </row>
    <row r="557" spans="1:250" s="167" customFormat="1">
      <c r="A557" s="169"/>
      <c r="B557" s="169"/>
      <c r="C557" s="169"/>
      <c r="D557" s="169"/>
      <c r="E557" s="169"/>
      <c r="F557" s="169"/>
      <c r="G557" s="169"/>
      <c r="H557" s="169"/>
      <c r="I557" s="169"/>
      <c r="J557" s="169"/>
      <c r="R557" s="265"/>
      <c r="S557" s="265"/>
      <c r="T557" s="265"/>
      <c r="U557" s="265"/>
      <c r="V557" s="265"/>
      <c r="X557" s="301"/>
      <c r="Y557" s="303"/>
      <c r="Z557" s="260"/>
      <c r="AA557" s="260"/>
      <c r="AB557" s="260"/>
      <c r="AC557" s="260"/>
      <c r="AD557" s="260"/>
      <c r="AE557" s="264"/>
      <c r="AF557" s="264"/>
      <c r="AG557" s="264"/>
      <c r="AH557" s="264"/>
      <c r="AI557" s="264"/>
    </row>
    <row r="558" spans="1:250" s="167" customFormat="1" ht="18" customHeight="1">
      <c r="A558" s="169"/>
      <c r="B558" s="169"/>
      <c r="C558" s="169"/>
      <c r="D558" s="169"/>
      <c r="E558" s="169"/>
      <c r="F558" s="169"/>
      <c r="G558" s="169"/>
      <c r="H558" s="169"/>
      <c r="I558" s="169"/>
      <c r="J558" s="169"/>
      <c r="K558" s="265"/>
      <c r="L558" s="265"/>
      <c r="M558" s="265"/>
      <c r="N558" s="265"/>
      <c r="O558" s="265"/>
      <c r="P558" s="265"/>
      <c r="Q558" s="265"/>
      <c r="R558" s="265"/>
      <c r="S558" s="265"/>
      <c r="T558" s="265"/>
      <c r="U558" s="265"/>
      <c r="W558" s="301"/>
      <c r="X558" s="303"/>
      <c r="Y558" s="260"/>
      <c r="Z558" s="260"/>
      <c r="AA558" s="260"/>
      <c r="AB558" s="260"/>
      <c r="AC558" s="260"/>
      <c r="AD558" s="264"/>
      <c r="AE558" s="264"/>
      <c r="AF558" s="264"/>
      <c r="AG558" s="264"/>
      <c r="AH558" s="264"/>
    </row>
    <row r="559" spans="1:250" s="167" customFormat="1" ht="18" customHeight="1">
      <c r="A559" s="169" t="s">
        <v>183</v>
      </c>
      <c r="B559" s="169"/>
      <c r="C559" s="169"/>
      <c r="D559" s="169"/>
      <c r="E559" s="169"/>
      <c r="F559" s="169"/>
      <c r="G559" s="195"/>
      <c r="H559" s="195"/>
      <c r="I559" s="195"/>
      <c r="J559" s="195"/>
      <c r="K559" s="265"/>
      <c r="L559" s="265"/>
      <c r="M559" s="265"/>
      <c r="N559" s="265"/>
      <c r="O559" s="265"/>
      <c r="P559" s="265"/>
      <c r="Q559" s="265"/>
      <c r="R559" s="265"/>
      <c r="S559" s="265"/>
      <c r="T559" s="265"/>
      <c r="V559" s="301"/>
      <c r="W559" s="303"/>
      <c r="X559" s="260"/>
      <c r="Y559" s="260"/>
      <c r="Z559" s="260"/>
      <c r="AA559" s="260"/>
      <c r="AB559" s="260"/>
      <c r="AC559" s="264"/>
      <c r="AD559" s="264"/>
      <c r="AE559" s="264"/>
      <c r="AF559" s="264"/>
      <c r="AG559" s="264"/>
    </row>
    <row r="560" spans="1:250" s="167" customFormat="1" ht="18" customHeight="1">
      <c r="A560" s="169">
        <v>7</v>
      </c>
      <c r="B560" s="169"/>
      <c r="C560" s="169"/>
      <c r="D560" s="169"/>
      <c r="E560" s="169"/>
      <c r="F560" s="195"/>
      <c r="G560" s="195"/>
      <c r="H560" s="195"/>
      <c r="I560" s="195"/>
      <c r="J560" s="195"/>
      <c r="K560" s="265"/>
      <c r="L560" s="265"/>
      <c r="M560" s="265"/>
      <c r="N560" s="265"/>
      <c r="O560" s="265"/>
      <c r="P560" s="265"/>
      <c r="Q560" s="265"/>
      <c r="R560" s="265"/>
      <c r="S560" s="265"/>
      <c r="U560" s="301"/>
      <c r="V560" s="303"/>
      <c r="W560" s="260"/>
      <c r="X560" s="260"/>
      <c r="Y560" s="260"/>
      <c r="Z560" s="260"/>
      <c r="AA560" s="260"/>
      <c r="AB560" s="264"/>
      <c r="AC560" s="264"/>
      <c r="AD560" s="264"/>
      <c r="AE560" s="264"/>
      <c r="AF560" s="264"/>
    </row>
    <row r="561" spans="1:55" s="167" customFormat="1" ht="18" customHeight="1">
      <c r="A561" s="169"/>
      <c r="B561" s="169"/>
      <c r="C561" s="169"/>
      <c r="D561" s="169"/>
      <c r="E561" s="195"/>
      <c r="F561" s="195"/>
      <c r="G561" s="195"/>
      <c r="H561" s="195"/>
      <c r="I561" s="195"/>
      <c r="J561" s="195"/>
      <c r="K561" s="265"/>
      <c r="L561" s="265"/>
      <c r="M561" s="265"/>
      <c r="N561" s="265"/>
      <c r="O561" s="265"/>
      <c r="P561" s="265"/>
      <c r="Q561" s="265"/>
      <c r="R561" s="265"/>
      <c r="S561" s="265"/>
      <c r="U561" s="301"/>
      <c r="V561" s="303"/>
      <c r="W561" s="260"/>
      <c r="X561" s="260"/>
      <c r="Y561" s="260"/>
      <c r="Z561" s="260"/>
      <c r="AA561" s="260"/>
      <c r="AB561" s="264"/>
      <c r="AC561" s="264"/>
      <c r="AD561" s="264"/>
      <c r="AE561" s="314"/>
      <c r="AF561" s="264"/>
    </row>
    <row r="562" spans="1:55" s="274" customFormat="1" ht="18" customHeight="1">
      <c r="A562" s="169"/>
      <c r="B562" s="169"/>
      <c r="C562" s="169"/>
      <c r="D562" s="169"/>
      <c r="E562" s="195"/>
      <c r="F562" s="195"/>
      <c r="G562" s="195"/>
      <c r="H562" s="195"/>
      <c r="I562" s="195"/>
      <c r="J562" s="195"/>
      <c r="K562" s="265"/>
      <c r="L562" s="265"/>
      <c r="M562" s="265"/>
      <c r="N562" s="265"/>
      <c r="O562" s="265"/>
      <c r="P562" s="265"/>
      <c r="Q562" s="265"/>
      <c r="R562" s="265"/>
      <c r="S562" s="265"/>
      <c r="T562" s="167"/>
      <c r="U562" s="307"/>
      <c r="V562" s="303"/>
      <c r="W562" s="302"/>
      <c r="X562" s="302"/>
      <c r="Y562" s="302"/>
      <c r="Z562" s="302"/>
      <c r="AA562" s="302"/>
      <c r="AB562" s="302"/>
      <c r="AC562" s="302"/>
      <c r="AD562" s="302"/>
      <c r="AE562" s="302"/>
      <c r="AF562" s="302"/>
      <c r="AG562" s="302"/>
      <c r="AH562" s="302"/>
      <c r="AI562" s="302"/>
      <c r="AJ562" s="302"/>
      <c r="AK562" s="302"/>
      <c r="AL562" s="302"/>
      <c r="AM562" s="302"/>
      <c r="AN562" s="302"/>
      <c r="AO562" s="302"/>
    </row>
    <row r="563" spans="1:55" s="280" customFormat="1" ht="18" customHeight="1">
      <c r="A563" s="304"/>
      <c r="B563" s="304"/>
      <c r="C563" s="304"/>
      <c r="D563" s="304"/>
      <c r="E563" s="312"/>
      <c r="F563" s="312"/>
      <c r="G563" s="312"/>
      <c r="H563" s="312"/>
      <c r="I563" s="312"/>
      <c r="J563" s="312"/>
      <c r="K563" s="275"/>
      <c r="L563" s="275"/>
      <c r="M563" s="275"/>
      <c r="N563" s="275"/>
      <c r="O563" s="275"/>
      <c r="P563" s="275"/>
      <c r="Q563" s="275"/>
      <c r="R563" s="275"/>
      <c r="S563" s="275"/>
      <c r="T563" s="274"/>
      <c r="U563" s="308"/>
      <c r="V563" s="309"/>
      <c r="W563" s="279"/>
      <c r="X563" s="279"/>
      <c r="Y563" s="279"/>
      <c r="Z563" s="279"/>
      <c r="AA563" s="279"/>
      <c r="AB563" s="279"/>
      <c r="AC563" s="279"/>
      <c r="AD563" s="279"/>
      <c r="AE563" s="310"/>
      <c r="AF563" s="310"/>
    </row>
    <row r="564" spans="1:55" s="167" customFormat="1" ht="18" customHeight="1">
      <c r="A564" s="305"/>
      <c r="B564" s="305"/>
      <c r="C564" s="305"/>
      <c r="D564" s="305"/>
      <c r="E564" s="313"/>
      <c r="F564" s="313"/>
      <c r="G564" s="313"/>
      <c r="H564" s="313"/>
      <c r="I564" s="313"/>
      <c r="J564" s="313"/>
      <c r="K564" s="281"/>
      <c r="L564" s="281"/>
      <c r="M564" s="281"/>
      <c r="N564" s="281"/>
      <c r="O564" s="281"/>
      <c r="P564" s="281"/>
      <c r="Q564" s="281"/>
      <c r="R564" s="281"/>
      <c r="S564" s="281"/>
      <c r="T564" s="280"/>
      <c r="U564" s="301"/>
      <c r="V564" s="291"/>
      <c r="W564" s="289"/>
      <c r="X564" s="299"/>
      <c r="Y564" s="299"/>
      <c r="Z564" s="299"/>
      <c r="AA564" s="299"/>
      <c r="AB564" s="299"/>
      <c r="AC564" s="299"/>
      <c r="AD564" s="299"/>
      <c r="AE564" s="264"/>
      <c r="AF564" s="264"/>
    </row>
    <row r="565" spans="1:55" s="167" customFormat="1" ht="18" customHeight="1">
      <c r="A565" s="169"/>
      <c r="B565" s="169"/>
      <c r="C565" s="169"/>
      <c r="D565" s="169"/>
      <c r="E565" s="195"/>
      <c r="F565" s="195"/>
      <c r="G565" s="195"/>
      <c r="H565" s="195"/>
      <c r="I565" s="195"/>
      <c r="J565" s="195"/>
      <c r="K565" s="265"/>
      <c r="L565" s="265"/>
      <c r="M565" s="265"/>
      <c r="N565" s="265"/>
      <c r="O565" s="265"/>
      <c r="P565" s="265"/>
      <c r="Q565" s="265"/>
      <c r="R565" s="265"/>
      <c r="S565" s="265"/>
      <c r="U565" s="301"/>
      <c r="V565" s="291"/>
      <c r="W565" s="289"/>
      <c r="X565" s="289"/>
      <c r="Y565" s="289"/>
      <c r="Z565" s="289"/>
      <c r="AA565" s="289"/>
      <c r="AB565" s="289"/>
      <c r="AC565" s="289"/>
      <c r="AD565" s="289"/>
      <c r="AE565" s="264"/>
      <c r="AF565" s="264"/>
    </row>
    <row r="566" spans="1:55" s="167" customFormat="1" ht="18" customHeight="1">
      <c r="A566" s="169"/>
      <c r="B566" s="169"/>
      <c r="C566" s="169"/>
      <c r="D566" s="169"/>
      <c r="E566" s="195"/>
      <c r="F566" s="195"/>
      <c r="G566" s="195"/>
      <c r="H566" s="195"/>
      <c r="I566" s="195"/>
      <c r="J566" s="195"/>
      <c r="K566" s="265"/>
      <c r="L566" s="265"/>
      <c r="M566" s="265"/>
      <c r="N566" s="265"/>
      <c r="O566" s="265"/>
      <c r="P566" s="265"/>
      <c r="Q566" s="265"/>
      <c r="R566" s="265"/>
      <c r="S566" s="265"/>
      <c r="U566" s="301"/>
      <c r="V566" s="291"/>
      <c r="W566" s="289"/>
      <c r="X566" s="289"/>
      <c r="Y566" s="289"/>
      <c r="Z566" s="289"/>
      <c r="AA566" s="289"/>
      <c r="AB566" s="289"/>
      <c r="AC566" s="289"/>
      <c r="AD566" s="289"/>
      <c r="AE566" s="264"/>
      <c r="AF566" s="264"/>
    </row>
    <row r="567" spans="1:55" s="167" customFormat="1" ht="18" customHeight="1">
      <c r="A567" s="169"/>
      <c r="B567" s="169"/>
      <c r="C567" s="169"/>
      <c r="D567" s="169"/>
      <c r="E567" s="195"/>
      <c r="F567" s="195"/>
      <c r="G567" s="195"/>
      <c r="H567" s="195"/>
      <c r="I567" s="195"/>
      <c r="J567" s="195"/>
      <c r="K567" s="265"/>
      <c r="L567" s="265"/>
      <c r="M567" s="265"/>
      <c r="N567" s="265"/>
      <c r="O567" s="265"/>
      <c r="P567" s="265"/>
      <c r="Q567" s="265"/>
      <c r="R567" s="265"/>
      <c r="S567" s="265"/>
      <c r="U567" s="301"/>
      <c r="V567" s="291"/>
      <c r="W567" s="289"/>
      <c r="X567" s="289"/>
      <c r="Y567" s="289"/>
      <c r="Z567" s="289"/>
      <c r="AA567" s="289"/>
      <c r="AB567" s="289"/>
      <c r="AC567" s="289"/>
      <c r="AD567" s="289"/>
      <c r="AE567" s="264"/>
      <c r="AF567" s="264"/>
    </row>
    <row r="568" spans="1:55" s="167" customFormat="1" ht="18" customHeight="1">
      <c r="A568" s="169"/>
      <c r="B568" s="169"/>
      <c r="C568" s="169"/>
      <c r="D568" s="169"/>
      <c r="E568" s="195"/>
      <c r="F568" s="195"/>
      <c r="G568" s="195"/>
      <c r="H568" s="195"/>
      <c r="I568" s="195"/>
      <c r="J568" s="195"/>
      <c r="K568" s="265"/>
      <c r="L568" s="265"/>
      <c r="M568" s="265"/>
      <c r="N568" s="265"/>
      <c r="O568" s="265"/>
      <c r="P568" s="265"/>
      <c r="Q568" s="265"/>
      <c r="R568" s="265"/>
      <c r="S568" s="265"/>
      <c r="U568" s="301"/>
      <c r="V568" s="291"/>
      <c r="W568" s="289"/>
      <c r="X568" s="289"/>
      <c r="Y568" s="289"/>
      <c r="Z568" s="289"/>
      <c r="AA568" s="289"/>
      <c r="AB568" s="289"/>
      <c r="AC568" s="289"/>
      <c r="AD568" s="289"/>
      <c r="AE568" s="264"/>
      <c r="AF568" s="264"/>
    </row>
    <row r="569" spans="1:55" s="274" customFormat="1" ht="18" customHeight="1">
      <c r="A569" s="270">
        <f>A539+1</f>
        <v>19</v>
      </c>
      <c r="B569" s="271"/>
      <c r="C569" s="272" t="str">
        <f>IF($A$1 = 1, (IF("("&amp;C579&amp;")" ="()","","("&amp;C579&amp;")")), (IF("("&amp;C584&amp;")    ("&amp;C579&amp;")"="()    ()","","("&amp;C584&amp;")    ("&amp;C579&amp;")")))</f>
        <v/>
      </c>
      <c r="D569" s="272" t="str">
        <f t="shared" ref="D569:J569" si="54">IF($A$1 = 1, (IF("("&amp;D579&amp;")" ="()","","("&amp;D579&amp;")")), (IF("("&amp;D584&amp;")    ("&amp;D579&amp;")"="()    ()","","("&amp;D584&amp;")    ("&amp;D579&amp;")")))</f>
        <v/>
      </c>
      <c r="E569" s="272" t="str">
        <f t="shared" si="54"/>
        <v/>
      </c>
      <c r="F569" s="272" t="str">
        <f t="shared" si="54"/>
        <v/>
      </c>
      <c r="G569" s="272" t="str">
        <f t="shared" si="54"/>
        <v/>
      </c>
      <c r="H569" s="272" t="str">
        <f t="shared" si="54"/>
        <v/>
      </c>
      <c r="I569" s="272" t="str">
        <f t="shared" si="54"/>
        <v/>
      </c>
      <c r="J569" s="272" t="str">
        <f t="shared" si="54"/>
        <v/>
      </c>
      <c r="K569" s="273"/>
      <c r="L569" s="273"/>
      <c r="M569" s="273"/>
      <c r="N569" s="273"/>
      <c r="O569" s="273"/>
      <c r="P569" s="273"/>
      <c r="Q569" s="273"/>
      <c r="AI569" s="275"/>
      <c r="AJ569" s="275"/>
      <c r="AK569" s="275"/>
      <c r="AL569" s="275"/>
      <c r="AM569" s="275"/>
      <c r="AN569" s="275"/>
      <c r="AO569" s="275"/>
      <c r="AP569" s="275"/>
      <c r="AQ569" s="275"/>
      <c r="AR569" s="275"/>
      <c r="AS569" s="275"/>
      <c r="AT569" s="275"/>
      <c r="AU569" s="275"/>
      <c r="AV569" s="275"/>
      <c r="AW569" s="275"/>
      <c r="AX569" s="275"/>
      <c r="AY569" s="275"/>
      <c r="AZ569" s="275"/>
      <c r="BA569" s="275"/>
      <c r="BB569" s="275"/>
      <c r="BC569" s="275"/>
    </row>
    <row r="570" spans="1:55" s="280" customFormat="1" ht="59.1" customHeight="1">
      <c r="A570" s="276"/>
      <c r="B570" s="277"/>
      <c r="C570" s="278"/>
      <c r="D570" s="278"/>
      <c r="E570" s="278"/>
      <c r="F570" s="278"/>
      <c r="G570" s="278"/>
      <c r="H570" s="278"/>
      <c r="I570" s="278"/>
      <c r="J570" s="278"/>
      <c r="K570" s="279"/>
      <c r="L570" s="279"/>
      <c r="M570" s="279"/>
      <c r="N570" s="279"/>
      <c r="O570" s="279"/>
      <c r="P570" s="279"/>
      <c r="Q570" s="279"/>
      <c r="AI570" s="281"/>
      <c r="AJ570" s="281"/>
      <c r="AK570" s="281"/>
      <c r="AL570" s="281"/>
      <c r="AM570" s="281"/>
      <c r="AN570" s="281"/>
      <c r="AO570" s="281"/>
      <c r="AP570" s="281"/>
      <c r="AQ570" s="281"/>
      <c r="AS570" s="281"/>
      <c r="AT570" s="281"/>
      <c r="AU570" s="281"/>
      <c r="AV570" s="281"/>
      <c r="AW570" s="281"/>
      <c r="AX570" s="281"/>
      <c r="AY570" s="281"/>
      <c r="AZ570" s="281"/>
      <c r="BA570" s="281"/>
      <c r="BB570" s="281"/>
      <c r="BC570" s="281"/>
    </row>
    <row r="571" spans="1:55" s="167" customFormat="1" ht="21.95" customHeight="1">
      <c r="A571" s="266"/>
      <c r="B571" s="282" t="s">
        <v>3</v>
      </c>
      <c r="C571" s="283"/>
      <c r="D571" s="283"/>
      <c r="E571" s="283"/>
      <c r="F571" s="283"/>
      <c r="G571" s="283"/>
      <c r="H571" s="283"/>
      <c r="I571" s="283"/>
      <c r="J571" s="283"/>
      <c r="K571" s="284"/>
      <c r="L571" s="284"/>
      <c r="M571" s="284"/>
      <c r="N571" s="284"/>
      <c r="O571" s="284"/>
      <c r="P571" s="284"/>
      <c r="Q571" s="284"/>
      <c r="AI571" s="265"/>
      <c r="AJ571" s="265"/>
      <c r="AK571" s="265"/>
      <c r="AL571" s="265"/>
      <c r="AM571" s="265"/>
      <c r="AN571" s="265"/>
      <c r="AO571" s="265"/>
      <c r="AP571" s="265"/>
      <c r="AQ571" s="265"/>
      <c r="AS571" s="265"/>
      <c r="AT571" s="265"/>
      <c r="AU571" s="265"/>
      <c r="AV571" s="265"/>
      <c r="AW571" s="265"/>
      <c r="AX571" s="265"/>
      <c r="AY571" s="265"/>
      <c r="AZ571" s="265"/>
      <c r="BA571" s="265"/>
      <c r="BB571" s="265"/>
      <c r="BC571" s="265"/>
    </row>
    <row r="572" spans="1:55" s="167" customFormat="1" ht="21.95" customHeight="1">
      <c r="A572" s="266"/>
      <c r="B572" s="285" t="s">
        <v>18</v>
      </c>
      <c r="C572" s="283"/>
      <c r="D572" s="283"/>
      <c r="E572" s="283"/>
      <c r="F572" s="283"/>
      <c r="G572" s="283"/>
      <c r="H572" s="283"/>
      <c r="I572" s="283"/>
      <c r="J572" s="283"/>
      <c r="K572" s="286"/>
      <c r="L572" s="286"/>
      <c r="M572" s="286"/>
      <c r="N572" s="286"/>
      <c r="O572" s="286"/>
      <c r="P572" s="286"/>
      <c r="Q572" s="286"/>
      <c r="AI572" s="265"/>
      <c r="AJ572" s="265"/>
      <c r="AK572" s="265"/>
      <c r="AL572" s="265"/>
      <c r="AM572" s="265"/>
      <c r="AN572" s="265"/>
      <c r="AO572" s="265"/>
      <c r="AP572" s="265"/>
      <c r="AQ572" s="265"/>
      <c r="AS572" s="265"/>
      <c r="AT572" s="265"/>
      <c r="AU572" s="265"/>
      <c r="AV572" s="265"/>
      <c r="AW572" s="265"/>
      <c r="AX572" s="265"/>
      <c r="AY572" s="265"/>
      <c r="AZ572" s="265"/>
      <c r="BA572" s="265"/>
      <c r="BB572" s="265"/>
      <c r="BC572" s="265"/>
    </row>
    <row r="573" spans="1:55" s="167" customFormat="1" ht="21.95" customHeight="1">
      <c r="A573" s="169"/>
      <c r="B573" s="287" t="s">
        <v>32</v>
      </c>
      <c r="C573" s="283"/>
      <c r="D573" s="283"/>
      <c r="E573" s="283"/>
      <c r="F573" s="283"/>
      <c r="G573" s="283"/>
      <c r="H573" s="283"/>
      <c r="I573" s="283"/>
      <c r="J573" s="283"/>
      <c r="K573" s="286"/>
      <c r="L573" s="286"/>
      <c r="M573" s="286"/>
      <c r="N573" s="286"/>
      <c r="O573" s="286"/>
      <c r="P573" s="286"/>
      <c r="Q573" s="286"/>
      <c r="AI573" s="265"/>
      <c r="AJ573" s="265"/>
      <c r="AK573" s="265"/>
      <c r="AL573" s="265"/>
      <c r="AM573" s="265"/>
      <c r="AN573" s="265"/>
      <c r="AO573" s="265"/>
      <c r="AP573" s="265"/>
      <c r="AQ573" s="265"/>
      <c r="AS573" s="265"/>
      <c r="AT573" s="265"/>
      <c r="AU573" s="265"/>
      <c r="AV573" s="265"/>
      <c r="AW573" s="265"/>
      <c r="AX573" s="265"/>
      <c r="AY573" s="265"/>
      <c r="AZ573" s="265"/>
      <c r="BA573" s="265"/>
      <c r="BB573" s="265"/>
    </row>
    <row r="574" spans="1:55" s="167" customFormat="1" ht="21.95" customHeight="1">
      <c r="A574" s="169"/>
      <c r="B574" s="288" t="s">
        <v>45</v>
      </c>
      <c r="C574" s="283"/>
      <c r="D574" s="283"/>
      <c r="E574" s="283"/>
      <c r="F574" s="283"/>
      <c r="G574" s="283"/>
      <c r="H574" s="283"/>
      <c r="I574" s="283"/>
      <c r="J574" s="283"/>
      <c r="K574" s="286"/>
      <c r="L574" s="286"/>
      <c r="M574" s="286"/>
      <c r="N574" s="286"/>
      <c r="O574" s="286"/>
      <c r="P574" s="286"/>
      <c r="Q574" s="286"/>
      <c r="AI574" s="265"/>
      <c r="AJ574" s="265"/>
      <c r="AK574" s="265"/>
      <c r="AL574" s="265"/>
      <c r="AM574" s="265"/>
      <c r="AN574" s="265"/>
      <c r="AO574" s="265"/>
      <c r="AP574" s="265"/>
      <c r="AQ574" s="265"/>
      <c r="AS574" s="265"/>
      <c r="AT574" s="265"/>
      <c r="AU574" s="265"/>
      <c r="AV574" s="265"/>
      <c r="AW574" s="265"/>
      <c r="AX574" s="265"/>
      <c r="AY574" s="265"/>
      <c r="AZ574" s="265"/>
      <c r="BA574" s="265"/>
      <c r="BB574" s="265"/>
    </row>
    <row r="575" spans="1:55" s="167" customFormat="1" ht="21.95" customHeight="1">
      <c r="A575" s="169"/>
      <c r="B575" s="290" t="s">
        <v>54</v>
      </c>
      <c r="C575" s="283"/>
      <c r="D575" s="283"/>
      <c r="E575" s="283"/>
      <c r="F575" s="283"/>
      <c r="G575" s="283"/>
      <c r="H575" s="283"/>
      <c r="I575" s="283"/>
      <c r="J575" s="283"/>
      <c r="K575" s="286"/>
      <c r="L575" s="286"/>
      <c r="M575" s="286"/>
      <c r="N575" s="286"/>
      <c r="O575" s="286"/>
      <c r="P575" s="286"/>
      <c r="Q575" s="286"/>
      <c r="AI575" s="265"/>
      <c r="AJ575" s="265"/>
      <c r="AK575" s="265"/>
      <c r="AL575" s="265"/>
      <c r="AM575" s="265"/>
      <c r="AN575" s="265"/>
      <c r="AO575" s="265"/>
      <c r="AP575" s="265"/>
      <c r="AQ575" s="265"/>
      <c r="AS575" s="265"/>
      <c r="AT575" s="265"/>
      <c r="AU575" s="265"/>
      <c r="AV575" s="265"/>
      <c r="AW575" s="265"/>
      <c r="AX575" s="265"/>
      <c r="AY575" s="265"/>
      <c r="AZ575" s="265"/>
      <c r="BA575" s="265"/>
      <c r="BB575" s="265"/>
    </row>
    <row r="576" spans="1:55" s="167" customFormat="1">
      <c r="A576" s="169"/>
      <c r="B576" s="291" t="s">
        <v>66</v>
      </c>
      <c r="C576" s="286"/>
      <c r="D576" s="286"/>
      <c r="E576" s="286"/>
      <c r="F576" s="286"/>
      <c r="G576" s="286"/>
      <c r="H576" s="286"/>
      <c r="I576" s="286"/>
      <c r="J576" s="286"/>
      <c r="K576" s="286"/>
      <c r="L576" s="286"/>
      <c r="M576" s="286"/>
      <c r="N576" s="286"/>
      <c r="O576" s="286"/>
      <c r="P576" s="286"/>
      <c r="Q576" s="286"/>
      <c r="AI576" s="265"/>
      <c r="AJ576" s="265"/>
      <c r="AK576" s="265"/>
      <c r="AL576" s="265"/>
      <c r="AM576" s="265"/>
      <c r="AN576" s="265"/>
      <c r="AO576" s="265"/>
      <c r="AP576" s="265"/>
      <c r="AQ576" s="265"/>
      <c r="AS576" s="265"/>
      <c r="AT576" s="265"/>
      <c r="AU576" s="265"/>
      <c r="AV576" s="265"/>
      <c r="AW576" s="265"/>
      <c r="AX576" s="265"/>
      <c r="AY576" s="265"/>
      <c r="AZ576" s="265"/>
      <c r="BA576" s="265"/>
      <c r="BB576" s="265"/>
    </row>
    <row r="577" spans="1:250" s="167" customFormat="1">
      <c r="A577" s="169"/>
      <c r="B577" s="291" t="s">
        <v>158</v>
      </c>
      <c r="C577" s="292"/>
      <c r="D577" s="292"/>
      <c r="E577" s="292"/>
      <c r="F577" s="292"/>
      <c r="G577" s="292"/>
      <c r="H577" s="292"/>
      <c r="I577" s="292"/>
      <c r="J577" s="292"/>
      <c r="K577" s="292"/>
      <c r="L577" s="292"/>
      <c r="M577" s="292"/>
      <c r="N577" s="292"/>
      <c r="O577" s="292"/>
      <c r="P577" s="292"/>
      <c r="Q577" s="292"/>
      <c r="AI577" s="265"/>
      <c r="AJ577" s="265"/>
      <c r="AK577" s="265"/>
      <c r="AL577" s="265"/>
      <c r="AM577" s="265"/>
      <c r="AN577" s="265"/>
      <c r="AO577" s="265"/>
      <c r="AP577" s="265"/>
      <c r="AQ577" s="265"/>
      <c r="AS577" s="265"/>
      <c r="AT577" s="265"/>
      <c r="AU577" s="265"/>
      <c r="AV577" s="265"/>
      <c r="AW577" s="265"/>
      <c r="AX577" s="265"/>
      <c r="AY577" s="265"/>
      <c r="AZ577" s="265"/>
      <c r="BA577" s="265"/>
      <c r="BB577" s="265"/>
    </row>
    <row r="578" spans="1:250" s="167" customFormat="1">
      <c r="A578" s="169"/>
      <c r="B578" s="291" t="s">
        <v>189</v>
      </c>
      <c r="C578" s="292"/>
      <c r="D578" s="292"/>
      <c r="E578" s="292"/>
      <c r="F578" s="292"/>
      <c r="G578" s="292"/>
      <c r="H578" s="292"/>
      <c r="I578" s="292"/>
      <c r="J578" s="292"/>
      <c r="K578" s="292"/>
      <c r="L578" s="292"/>
      <c r="M578" s="292"/>
      <c r="N578" s="292"/>
      <c r="O578" s="292"/>
      <c r="P578" s="292"/>
      <c r="Q578" s="292"/>
      <c r="AI578" s="293"/>
      <c r="AJ578" s="293"/>
      <c r="AK578" s="293"/>
      <c r="AL578" s="293"/>
      <c r="AM578" s="293"/>
      <c r="AN578" s="265"/>
      <c r="AO578" s="265"/>
      <c r="AP578" s="265"/>
      <c r="AQ578" s="265"/>
      <c r="AS578" s="265"/>
      <c r="AT578" s="265"/>
      <c r="AU578" s="265"/>
      <c r="AV578" s="265"/>
      <c r="AW578" s="265"/>
      <c r="AX578" s="265"/>
      <c r="AY578" s="265"/>
      <c r="AZ578" s="265"/>
      <c r="BA578" s="265"/>
      <c r="BB578" s="265"/>
    </row>
    <row r="579" spans="1:250" s="167" customFormat="1" ht="15" thickBot="1">
      <c r="A579" s="169"/>
      <c r="B579" s="291" t="s">
        <v>345</v>
      </c>
      <c r="C579" s="292"/>
      <c r="D579" s="292"/>
      <c r="E579" s="292"/>
      <c r="F579" s="292"/>
      <c r="G579" s="292"/>
      <c r="H579" s="292"/>
      <c r="I579" s="292"/>
      <c r="J579" s="292"/>
      <c r="K579" s="292"/>
      <c r="L579" s="292"/>
      <c r="M579" s="292"/>
      <c r="N579" s="292"/>
      <c r="O579" s="292"/>
      <c r="P579" s="292"/>
      <c r="Q579" s="292"/>
      <c r="AI579" s="265"/>
      <c r="AJ579" s="265"/>
      <c r="AK579" s="265"/>
      <c r="AL579" s="265"/>
      <c r="AM579" s="265"/>
      <c r="AN579" s="265"/>
      <c r="AO579" s="265"/>
      <c r="AP579" s="265"/>
      <c r="AQ579" s="265"/>
      <c r="AS579" s="265"/>
      <c r="AT579" s="265"/>
      <c r="AU579" s="265"/>
      <c r="AV579" s="265"/>
      <c r="AW579" s="265"/>
      <c r="AX579" s="265"/>
      <c r="AY579" s="265"/>
      <c r="AZ579" s="265"/>
      <c r="BA579" s="265"/>
      <c r="BB579" s="265"/>
    </row>
    <row r="580" spans="1:250" s="167" customFormat="1">
      <c r="A580" s="266"/>
      <c r="B580" s="294" t="s">
        <v>166</v>
      </c>
      <c r="C580" s="295" t="str">
        <f>IF(OR(C583="**",C583=""),"",VALUE(C583))</f>
        <v/>
      </c>
      <c r="D580" s="295" t="str">
        <f t="shared" ref="D580:J580" si="55">IF(OR(D583="**",D583=""),"",VALUE(D583))</f>
        <v/>
      </c>
      <c r="E580" s="295" t="str">
        <f t="shared" si="55"/>
        <v/>
      </c>
      <c r="F580" s="295" t="str">
        <f t="shared" si="55"/>
        <v/>
      </c>
      <c r="G580" s="295" t="str">
        <f t="shared" si="55"/>
        <v/>
      </c>
      <c r="H580" s="295" t="str">
        <f t="shared" si="55"/>
        <v/>
      </c>
      <c r="I580" s="295" t="str">
        <f t="shared" si="55"/>
        <v/>
      </c>
      <c r="J580" s="295" t="str">
        <f t="shared" si="55"/>
        <v/>
      </c>
      <c r="K580" s="183"/>
      <c r="L580" s="183"/>
      <c r="M580" s="183"/>
      <c r="N580" s="183"/>
      <c r="O580" s="183"/>
      <c r="P580" s="183"/>
      <c r="Q580" s="183"/>
      <c r="AI580" s="265"/>
      <c r="AJ580" s="265"/>
      <c r="AK580" s="265"/>
      <c r="AL580" s="265"/>
      <c r="AM580" s="265"/>
      <c r="AN580" s="265"/>
      <c r="AO580" s="265"/>
      <c r="AP580" s="265"/>
      <c r="AQ580" s="265"/>
      <c r="AS580" s="265"/>
      <c r="AT580" s="265"/>
      <c r="AU580" s="265"/>
      <c r="AV580" s="265"/>
      <c r="AW580" s="265"/>
      <c r="AX580" s="265"/>
      <c r="AY580" s="265"/>
      <c r="AZ580" s="265"/>
      <c r="BA580" s="265"/>
      <c r="BB580" s="265"/>
    </row>
    <row r="581" spans="1:250" s="167" customFormat="1" ht="15" thickBot="1">
      <c r="A581" s="266"/>
      <c r="B581" s="296" t="s">
        <v>165</v>
      </c>
      <c r="C581" s="297" t="str">
        <f t="shared" ref="C581:J581" si="56">IF(OR(C577="**",C577=""),"",VALUE(C577))</f>
        <v/>
      </c>
      <c r="D581" s="297" t="str">
        <f t="shared" si="56"/>
        <v/>
      </c>
      <c r="E581" s="297" t="str">
        <f t="shared" si="56"/>
        <v/>
      </c>
      <c r="F581" s="297" t="str">
        <f t="shared" si="56"/>
        <v/>
      </c>
      <c r="G581" s="297" t="str">
        <f t="shared" si="56"/>
        <v/>
      </c>
      <c r="H581" s="297" t="str">
        <f t="shared" si="56"/>
        <v/>
      </c>
      <c r="I581" s="297" t="str">
        <f t="shared" si="56"/>
        <v/>
      </c>
      <c r="J581" s="297" t="str">
        <f t="shared" si="56"/>
        <v/>
      </c>
      <c r="K581" s="260"/>
      <c r="L581" s="260"/>
      <c r="M581" s="260"/>
      <c r="N581" s="260"/>
      <c r="O581" s="260"/>
      <c r="P581" s="260"/>
      <c r="Q581" s="260"/>
      <c r="AI581" s="260"/>
      <c r="AJ581" s="260"/>
      <c r="AK581" s="260"/>
      <c r="AL581" s="260"/>
      <c r="AM581" s="260"/>
      <c r="AN581" s="260"/>
      <c r="AO581" s="260"/>
      <c r="AP581" s="260"/>
      <c r="AQ581" s="265"/>
      <c r="AR581" s="265"/>
      <c r="AS581" s="265"/>
      <c r="AT581" s="265"/>
      <c r="AU581" s="265"/>
      <c r="AV581" s="265"/>
      <c r="AW581" s="265"/>
      <c r="AX581" s="265"/>
      <c r="AY581" s="265"/>
      <c r="AZ581" s="265"/>
      <c r="BA581" s="265"/>
      <c r="BB581" s="265"/>
    </row>
    <row r="582" spans="1:250" s="167" customFormat="1">
      <c r="A582" s="169"/>
      <c r="B582" s="298" t="s">
        <v>385</v>
      </c>
      <c r="C582" s="195"/>
      <c r="D582" s="195"/>
      <c r="E582" s="195"/>
      <c r="F582" s="195"/>
      <c r="G582" s="195"/>
      <c r="H582" s="195"/>
      <c r="I582" s="195"/>
      <c r="J582" s="195"/>
      <c r="K582" s="264"/>
      <c r="L582" s="264"/>
      <c r="M582" s="264"/>
      <c r="N582" s="264"/>
      <c r="O582" s="264"/>
      <c r="P582" s="264"/>
      <c r="Q582" s="264"/>
      <c r="AI582" s="265"/>
      <c r="AJ582" s="265"/>
      <c r="AK582" s="265"/>
      <c r="AL582" s="265"/>
      <c r="AM582" s="265"/>
      <c r="AN582" s="265"/>
      <c r="AO582" s="265"/>
      <c r="AP582" s="265"/>
      <c r="AQ582" s="265"/>
      <c r="AR582" s="265"/>
      <c r="AS582" s="265"/>
      <c r="AT582" s="265"/>
      <c r="AU582" s="265"/>
      <c r="AV582" s="265"/>
      <c r="AW582" s="265"/>
      <c r="AX582" s="265"/>
      <c r="AY582" s="265"/>
      <c r="AZ582" s="265"/>
      <c r="BA582" s="265"/>
      <c r="BB582" s="265"/>
    </row>
    <row r="583" spans="1:250" s="167" customFormat="1">
      <c r="A583" s="169"/>
      <c r="B583" s="291" t="s">
        <v>158</v>
      </c>
      <c r="C583" s="258"/>
      <c r="D583" s="258"/>
      <c r="E583" s="258"/>
      <c r="F583" s="258"/>
      <c r="G583" s="258"/>
      <c r="H583" s="258"/>
      <c r="I583" s="258"/>
      <c r="J583" s="258"/>
      <c r="K583" s="264"/>
      <c r="L583" s="264"/>
      <c r="M583" s="264"/>
      <c r="N583" s="264"/>
      <c r="O583" s="264"/>
      <c r="P583" s="264"/>
      <c r="Q583" s="264"/>
      <c r="AI583" s="265"/>
      <c r="AJ583" s="265"/>
      <c r="AK583" s="265"/>
      <c r="AL583" s="265"/>
      <c r="AM583" s="265"/>
      <c r="AN583" s="265"/>
      <c r="AO583" s="265"/>
      <c r="AP583" s="265"/>
      <c r="AQ583" s="265"/>
      <c r="AR583" s="265"/>
      <c r="AS583" s="265"/>
      <c r="AT583" s="265"/>
      <c r="AU583" s="265"/>
      <c r="AV583" s="265"/>
      <c r="AW583" s="265"/>
      <c r="AX583" s="265"/>
      <c r="AY583" s="265"/>
      <c r="AZ583" s="265"/>
      <c r="BA583" s="265"/>
      <c r="BB583" s="265"/>
    </row>
    <row r="584" spans="1:250" s="167" customFormat="1">
      <c r="A584" s="169"/>
      <c r="B584" s="298" t="s">
        <v>345</v>
      </c>
      <c r="C584" s="258"/>
      <c r="D584" s="258"/>
      <c r="E584" s="258"/>
      <c r="F584" s="258"/>
      <c r="G584" s="258"/>
      <c r="H584" s="258"/>
      <c r="I584" s="258"/>
      <c r="J584" s="258"/>
      <c r="W584" s="265"/>
      <c r="X584" s="265"/>
      <c r="Y584" s="265"/>
      <c r="Z584" s="265"/>
      <c r="AA584" s="265"/>
      <c r="AB584" s="265"/>
      <c r="AC584" s="265"/>
      <c r="AD584" s="265"/>
      <c r="AE584" s="265"/>
      <c r="AF584" s="265"/>
      <c r="AG584" s="265"/>
      <c r="AH584" s="265"/>
      <c r="AI584" s="265"/>
      <c r="AJ584" s="265"/>
      <c r="AK584" s="265"/>
      <c r="AL584" s="265"/>
      <c r="AM584" s="265"/>
      <c r="AN584" s="265"/>
      <c r="AO584" s="265"/>
      <c r="AP584" s="265"/>
      <c r="AQ584" s="265"/>
      <c r="IF584" s="303"/>
      <c r="IG584" s="260"/>
      <c r="IH584" s="260"/>
      <c r="II584" s="260"/>
      <c r="IJ584" s="260"/>
      <c r="IK584" s="260"/>
      <c r="IL584" s="264"/>
      <c r="IM584" s="264"/>
      <c r="IN584" s="264"/>
      <c r="IO584" s="264"/>
      <c r="IP584" s="264"/>
    </row>
    <row r="585" spans="1:250" s="167" customFormat="1">
      <c r="A585" s="169"/>
      <c r="B585" s="169"/>
      <c r="C585" s="169"/>
      <c r="D585" s="169"/>
      <c r="E585" s="169"/>
      <c r="F585" s="169"/>
      <c r="G585" s="169"/>
      <c r="H585" s="169"/>
      <c r="I585" s="169"/>
      <c r="J585" s="169"/>
      <c r="R585" s="265"/>
      <c r="S585" s="265"/>
      <c r="T585" s="265"/>
      <c r="U585" s="265"/>
      <c r="V585" s="265"/>
      <c r="W585" s="265"/>
      <c r="X585" s="265"/>
      <c r="Y585" s="265"/>
      <c r="AA585" s="301"/>
      <c r="AB585" s="291"/>
      <c r="AC585" s="289"/>
      <c r="AD585" s="289"/>
      <c r="AE585" s="289"/>
      <c r="AF585" s="289"/>
      <c r="AG585" s="289"/>
      <c r="AH585" s="289"/>
      <c r="AI585" s="289"/>
      <c r="AJ585" s="289"/>
      <c r="AK585" s="264"/>
      <c r="AL585" s="264"/>
    </row>
    <row r="586" spans="1:250" s="167" customFormat="1">
      <c r="A586" s="169"/>
      <c r="B586" s="169"/>
      <c r="C586" s="169"/>
      <c r="D586" s="169"/>
      <c r="E586" s="169"/>
      <c r="F586" s="169"/>
      <c r="G586" s="169"/>
      <c r="H586" s="169"/>
      <c r="I586" s="169"/>
      <c r="J586" s="169"/>
      <c r="R586" s="265"/>
      <c r="S586" s="265"/>
      <c r="T586" s="265"/>
      <c r="U586" s="265"/>
      <c r="V586" s="265"/>
      <c r="W586" s="265"/>
      <c r="X586" s="265"/>
      <c r="Y586" s="265"/>
      <c r="AA586" s="301"/>
      <c r="AB586" s="291"/>
      <c r="AC586" s="289"/>
      <c r="AD586" s="289"/>
      <c r="AE586" s="289"/>
      <c r="AF586" s="289"/>
      <c r="AG586" s="289"/>
      <c r="AH586" s="289"/>
      <c r="AI586" s="289"/>
      <c r="AJ586" s="289"/>
      <c r="AK586" s="264"/>
      <c r="AL586" s="264"/>
    </row>
    <row r="587" spans="1:250" s="167" customFormat="1">
      <c r="A587" s="169"/>
      <c r="B587" s="169"/>
      <c r="C587" s="169"/>
      <c r="D587" s="169"/>
      <c r="E587" s="169"/>
      <c r="F587" s="169"/>
      <c r="G587" s="169"/>
      <c r="H587" s="169"/>
      <c r="I587" s="169"/>
      <c r="J587" s="169"/>
      <c r="R587" s="265"/>
      <c r="S587" s="265"/>
      <c r="T587" s="265"/>
      <c r="U587" s="265"/>
      <c r="V587" s="265"/>
      <c r="W587" s="265"/>
      <c r="X587" s="265"/>
      <c r="Y587" s="265"/>
      <c r="AA587" s="301"/>
      <c r="AB587" s="291"/>
      <c r="AC587" s="183"/>
      <c r="AD587" s="183"/>
      <c r="AE587" s="183"/>
      <c r="AF587" s="183"/>
      <c r="AG587" s="183"/>
      <c r="AH587" s="183"/>
      <c r="AI587" s="183"/>
      <c r="AJ587" s="183"/>
      <c r="AK587" s="264"/>
      <c r="AL587" s="264"/>
    </row>
    <row r="588" spans="1:250" s="167" customFormat="1" ht="18" customHeight="1">
      <c r="A588" s="169"/>
      <c r="B588" s="169"/>
      <c r="C588" s="169"/>
      <c r="D588" s="169"/>
      <c r="E588" s="169"/>
      <c r="F588" s="169"/>
      <c r="G588" s="169"/>
      <c r="H588" s="169"/>
      <c r="I588" s="169"/>
      <c r="J588" s="169"/>
      <c r="R588" s="265"/>
      <c r="S588" s="265"/>
      <c r="T588" s="265"/>
      <c r="U588" s="265"/>
      <c r="V588" s="265"/>
      <c r="W588" s="265"/>
      <c r="X588" s="265"/>
      <c r="Y588" s="265"/>
      <c r="AA588" s="301"/>
      <c r="AB588" s="291"/>
      <c r="AC588" s="300"/>
      <c r="AD588" s="300"/>
      <c r="AE588" s="300"/>
      <c r="AF588" s="300"/>
      <c r="AG588" s="300"/>
      <c r="AH588" s="183"/>
      <c r="AI588" s="183"/>
      <c r="AJ588" s="183"/>
      <c r="AK588" s="264"/>
      <c r="AL588" s="264"/>
    </row>
    <row r="589" spans="1:250" s="167" customFormat="1" ht="18" customHeight="1">
      <c r="A589" s="169" t="s">
        <v>183</v>
      </c>
      <c r="B589" s="169"/>
      <c r="C589" s="169"/>
      <c r="D589" s="169"/>
      <c r="E589" s="169"/>
      <c r="F589" s="169"/>
      <c r="G589" s="169"/>
      <c r="H589" s="169"/>
      <c r="I589" s="169"/>
      <c r="J589" s="169"/>
      <c r="R589" s="265"/>
      <c r="S589" s="265"/>
      <c r="T589" s="265"/>
      <c r="U589" s="265"/>
      <c r="V589" s="265"/>
      <c r="W589" s="265"/>
      <c r="X589" s="265"/>
      <c r="Y589" s="265"/>
      <c r="AA589" s="301"/>
      <c r="AB589" s="291"/>
      <c r="AC589" s="183"/>
      <c r="AD589" s="183"/>
      <c r="AE589" s="183"/>
      <c r="AF589" s="183"/>
      <c r="AG589" s="183"/>
      <c r="AH589" s="183"/>
      <c r="AI589" s="183"/>
      <c r="AJ589" s="183"/>
      <c r="AK589" s="264"/>
      <c r="AL589" s="264"/>
    </row>
    <row r="590" spans="1:250" s="167" customFormat="1" ht="18" customHeight="1">
      <c r="A590" s="169">
        <v>7</v>
      </c>
      <c r="B590" s="169"/>
      <c r="C590" s="169"/>
      <c r="D590" s="169"/>
      <c r="E590" s="169"/>
      <c r="F590" s="169"/>
      <c r="G590" s="169"/>
      <c r="H590" s="169"/>
      <c r="I590" s="169"/>
      <c r="J590" s="169"/>
      <c r="R590" s="265"/>
      <c r="S590" s="265"/>
      <c r="T590" s="265"/>
      <c r="U590" s="265"/>
      <c r="V590" s="265"/>
      <c r="W590" s="265"/>
      <c r="X590" s="265"/>
      <c r="Y590" s="265"/>
      <c r="AA590" s="301"/>
      <c r="AB590" s="291"/>
      <c r="AC590" s="183"/>
      <c r="AD590" s="183"/>
      <c r="AE590" s="183"/>
      <c r="AF590" s="183"/>
      <c r="AG590" s="183"/>
      <c r="AH590" s="183"/>
      <c r="AI590" s="183"/>
      <c r="AJ590" s="183"/>
      <c r="AK590" s="264"/>
      <c r="AL590" s="264"/>
    </row>
    <row r="591" spans="1:250" s="167" customFormat="1" ht="18" customHeight="1">
      <c r="A591" s="169"/>
      <c r="B591" s="169"/>
      <c r="C591" s="169"/>
      <c r="D591" s="169"/>
      <c r="E591" s="169"/>
      <c r="F591" s="169"/>
      <c r="G591" s="169"/>
      <c r="H591" s="169"/>
      <c r="I591" s="169"/>
      <c r="J591" s="169"/>
      <c r="R591" s="265"/>
      <c r="S591" s="265"/>
      <c r="T591" s="265"/>
      <c r="U591" s="265"/>
      <c r="V591" s="265"/>
      <c r="W591" s="265"/>
      <c r="X591" s="265"/>
      <c r="Y591" s="265"/>
      <c r="AA591" s="301"/>
      <c r="AB591" s="311"/>
      <c r="AC591" s="260"/>
      <c r="AD591" s="260"/>
      <c r="AE591" s="260"/>
      <c r="AF591" s="260"/>
      <c r="AG591" s="260"/>
      <c r="AH591" s="260"/>
      <c r="AI591" s="260"/>
      <c r="AJ591" s="260"/>
      <c r="AK591" s="264"/>
      <c r="AL591" s="264"/>
    </row>
    <row r="592" spans="1:250" s="167" customFormat="1" ht="18" customHeight="1">
      <c r="A592" s="169"/>
      <c r="B592" s="169"/>
      <c r="C592" s="169"/>
      <c r="D592" s="169"/>
      <c r="E592" s="169"/>
      <c r="F592" s="169"/>
      <c r="G592" s="169"/>
      <c r="H592" s="169"/>
      <c r="I592" s="169"/>
      <c r="J592" s="169"/>
      <c r="R592" s="265"/>
      <c r="S592" s="265"/>
      <c r="T592" s="265"/>
      <c r="U592" s="265"/>
      <c r="V592" s="265"/>
      <c r="W592" s="265"/>
      <c r="X592" s="265"/>
      <c r="Y592" s="265"/>
      <c r="AA592" s="301"/>
      <c r="AB592" s="303"/>
      <c r="AC592" s="265"/>
      <c r="AD592" s="265"/>
      <c r="AE592" s="265"/>
      <c r="AF592" s="265"/>
      <c r="AG592" s="265"/>
      <c r="AH592" s="264"/>
      <c r="AI592" s="264"/>
      <c r="AJ592" s="264"/>
      <c r="AK592" s="264"/>
      <c r="AL592" s="264"/>
    </row>
    <row r="593" spans="1:55" s="167" customFormat="1" ht="18" customHeight="1">
      <c r="A593" s="169"/>
      <c r="B593" s="169"/>
      <c r="C593" s="169"/>
      <c r="D593" s="169"/>
      <c r="E593" s="169"/>
      <c r="F593" s="169"/>
      <c r="G593" s="169"/>
      <c r="H593" s="169"/>
      <c r="I593" s="169"/>
      <c r="J593" s="169"/>
      <c r="R593" s="265"/>
      <c r="S593" s="265"/>
      <c r="T593" s="265"/>
      <c r="U593" s="265"/>
      <c r="V593" s="265"/>
      <c r="W593" s="265"/>
      <c r="X593" s="265"/>
      <c r="Y593" s="265"/>
      <c r="AA593" s="301"/>
      <c r="AB593" s="303"/>
      <c r="AC593" s="260"/>
      <c r="AD593" s="260"/>
      <c r="AE593" s="260"/>
      <c r="AF593" s="260"/>
      <c r="AG593" s="260"/>
      <c r="AH593" s="264"/>
      <c r="AI593" s="264"/>
      <c r="AJ593" s="264"/>
      <c r="AK593" s="264"/>
      <c r="AL593" s="264"/>
    </row>
    <row r="594" spans="1:55" s="167" customFormat="1" ht="18" customHeight="1">
      <c r="A594" s="169"/>
      <c r="B594" s="169"/>
      <c r="C594" s="169"/>
      <c r="D594" s="169"/>
      <c r="E594" s="169"/>
      <c r="F594" s="169"/>
      <c r="G594" s="169"/>
      <c r="H594" s="169"/>
      <c r="I594" s="169"/>
      <c r="J594" s="169"/>
      <c r="R594" s="265"/>
      <c r="S594" s="265"/>
      <c r="T594" s="265"/>
      <c r="U594" s="265"/>
      <c r="V594" s="265"/>
      <c r="W594" s="265"/>
      <c r="X594" s="265"/>
      <c r="Y594" s="265"/>
      <c r="AA594" s="301"/>
      <c r="AB594" s="303"/>
      <c r="AC594" s="260"/>
      <c r="AD594" s="260"/>
      <c r="AE594" s="260"/>
      <c r="AF594" s="260"/>
      <c r="AG594" s="260"/>
      <c r="AH594" s="264"/>
      <c r="AI594" s="264"/>
      <c r="AJ594" s="264"/>
      <c r="AK594" s="264"/>
      <c r="AL594" s="264"/>
    </row>
    <row r="595" spans="1:55" s="167" customFormat="1" ht="18" customHeight="1">
      <c r="A595" s="169"/>
      <c r="B595" s="169"/>
      <c r="C595" s="169"/>
      <c r="D595" s="169"/>
      <c r="E595" s="169"/>
      <c r="F595" s="169"/>
      <c r="G595" s="169"/>
      <c r="H595" s="169"/>
      <c r="I595" s="169"/>
      <c r="J595" s="169"/>
      <c r="R595" s="265"/>
      <c r="S595" s="265"/>
      <c r="T595" s="265"/>
      <c r="U595" s="265"/>
      <c r="V595" s="265"/>
      <c r="W595" s="265"/>
      <c r="X595" s="265"/>
      <c r="Y595" s="265"/>
      <c r="AA595" s="301"/>
      <c r="AB595" s="303"/>
      <c r="AC595" s="260"/>
      <c r="AD595" s="260"/>
      <c r="AE595" s="260"/>
      <c r="AF595" s="260"/>
      <c r="AG595" s="260"/>
      <c r="AH595" s="264"/>
      <c r="AI595" s="264"/>
      <c r="AJ595" s="264"/>
      <c r="AK595" s="264"/>
      <c r="AL595" s="264"/>
    </row>
    <row r="596" spans="1:55" s="167" customFormat="1" ht="18" customHeight="1">
      <c r="A596" s="169"/>
      <c r="B596" s="169"/>
      <c r="C596" s="169"/>
      <c r="D596" s="169"/>
      <c r="E596" s="169"/>
      <c r="F596" s="169"/>
      <c r="G596" s="169"/>
      <c r="H596" s="169"/>
      <c r="I596" s="169"/>
      <c r="J596" s="169"/>
      <c r="R596" s="265"/>
      <c r="S596" s="265"/>
      <c r="T596" s="265"/>
      <c r="U596" s="265"/>
      <c r="V596" s="265"/>
      <c r="W596" s="265"/>
      <c r="X596" s="265"/>
      <c r="Y596" s="265"/>
      <c r="AA596" s="301"/>
      <c r="AB596" s="303"/>
      <c r="AC596" s="260"/>
      <c r="AD596" s="260"/>
      <c r="AE596" s="260"/>
      <c r="AF596" s="260"/>
      <c r="AG596" s="260"/>
      <c r="AH596" s="264"/>
      <c r="AI596" s="264"/>
      <c r="AJ596" s="264"/>
      <c r="AK596" s="264"/>
      <c r="AL596" s="264"/>
    </row>
    <row r="597" spans="1:55" s="167" customFormat="1" ht="18" customHeight="1">
      <c r="A597" s="169"/>
      <c r="B597" s="169"/>
      <c r="C597" s="169"/>
      <c r="D597" s="169"/>
      <c r="E597" s="169"/>
      <c r="F597" s="169"/>
      <c r="G597" s="169"/>
      <c r="H597" s="169"/>
      <c r="I597" s="169"/>
      <c r="J597" s="169"/>
      <c r="R597" s="265"/>
      <c r="S597" s="265"/>
      <c r="T597" s="265"/>
      <c r="U597" s="265"/>
      <c r="V597" s="265"/>
      <c r="W597" s="265"/>
      <c r="X597" s="265"/>
      <c r="Y597" s="265"/>
      <c r="AA597" s="301"/>
      <c r="AB597" s="303"/>
      <c r="AC597" s="260"/>
      <c r="AD597" s="260"/>
      <c r="AE597" s="260"/>
      <c r="AF597" s="260"/>
      <c r="AG597" s="260"/>
      <c r="AH597" s="264"/>
      <c r="AI597" s="264"/>
      <c r="AJ597" s="264"/>
      <c r="AK597" s="264"/>
      <c r="AL597" s="264"/>
    </row>
    <row r="598" spans="1:55" s="167" customFormat="1" ht="18" customHeight="1">
      <c r="A598" s="169"/>
      <c r="B598" s="169"/>
      <c r="C598" s="169"/>
      <c r="D598" s="169"/>
      <c r="E598" s="169"/>
      <c r="F598" s="169"/>
      <c r="G598" s="169"/>
      <c r="H598" s="169"/>
      <c r="I598" s="169"/>
      <c r="J598" s="169"/>
      <c r="R598" s="265"/>
      <c r="S598" s="265"/>
      <c r="T598" s="265"/>
      <c r="U598" s="265"/>
      <c r="V598" s="265"/>
      <c r="W598" s="265"/>
      <c r="X598" s="265"/>
      <c r="Y598" s="265"/>
      <c r="AA598" s="301"/>
      <c r="AB598" s="303"/>
      <c r="AC598" s="260"/>
      <c r="AD598" s="260"/>
      <c r="AE598" s="260"/>
      <c r="AF598" s="260"/>
      <c r="AG598" s="260"/>
      <c r="AH598" s="264"/>
      <c r="AI598" s="264"/>
      <c r="AJ598" s="264"/>
      <c r="AK598" s="264"/>
      <c r="AL598" s="264"/>
    </row>
    <row r="599" spans="1:55" s="274" customFormat="1" ht="18" customHeight="1">
      <c r="A599" s="270">
        <f>A569+1</f>
        <v>20</v>
      </c>
      <c r="B599" s="271"/>
      <c r="C599" s="272" t="str">
        <f>IF($A$1 = 1, (IF("("&amp;C609&amp;")" ="()","","("&amp;C609&amp;")")), (IF("("&amp;C614&amp;")    ("&amp;C609&amp;")"="()    ()","","("&amp;C614&amp;")    ("&amp;C609&amp;")")))</f>
        <v/>
      </c>
      <c r="D599" s="272" t="str">
        <f t="shared" ref="D599:J599" si="57">IF($A$1 = 1, (IF("("&amp;D609&amp;")" ="()","","("&amp;D609&amp;")")), (IF("("&amp;D614&amp;")    ("&amp;D609&amp;")"="()    ()","","("&amp;D614&amp;")    ("&amp;D609&amp;")")))</f>
        <v/>
      </c>
      <c r="E599" s="272" t="str">
        <f t="shared" si="57"/>
        <v/>
      </c>
      <c r="F599" s="272" t="str">
        <f t="shared" si="57"/>
        <v/>
      </c>
      <c r="G599" s="272" t="str">
        <f t="shared" si="57"/>
        <v/>
      </c>
      <c r="H599" s="272" t="str">
        <f t="shared" si="57"/>
        <v/>
      </c>
      <c r="I599" s="272" t="str">
        <f t="shared" si="57"/>
        <v/>
      </c>
      <c r="J599" s="272" t="str">
        <f t="shared" si="57"/>
        <v/>
      </c>
      <c r="K599" s="273"/>
      <c r="L599" s="273"/>
      <c r="M599" s="273"/>
      <c r="N599" s="273"/>
      <c r="O599" s="273"/>
      <c r="P599" s="273"/>
      <c r="Q599" s="273"/>
      <c r="AI599" s="275"/>
      <c r="AJ599" s="275"/>
      <c r="AK599" s="275"/>
      <c r="AL599" s="275"/>
      <c r="AM599" s="275"/>
      <c r="AN599" s="275"/>
      <c r="AO599" s="275"/>
      <c r="AP599" s="275"/>
      <c r="AQ599" s="275"/>
      <c r="AR599" s="275"/>
      <c r="AS599" s="275"/>
      <c r="AT599" s="275"/>
      <c r="AU599" s="275"/>
      <c r="AV599" s="275"/>
      <c r="AW599" s="275"/>
      <c r="AX599" s="275"/>
      <c r="AY599" s="275"/>
      <c r="AZ599" s="275"/>
      <c r="BA599" s="275"/>
      <c r="BB599" s="275"/>
      <c r="BC599" s="275"/>
    </row>
    <row r="600" spans="1:55" s="280" customFormat="1" ht="59.1" customHeight="1">
      <c r="A600" s="276"/>
      <c r="B600" s="277"/>
      <c r="C600" s="278"/>
      <c r="D600" s="278"/>
      <c r="E600" s="278"/>
      <c r="F600" s="278"/>
      <c r="G600" s="278"/>
      <c r="H600" s="278"/>
      <c r="I600" s="278"/>
      <c r="J600" s="278"/>
      <c r="K600" s="279"/>
      <c r="L600" s="279"/>
      <c r="M600" s="279"/>
      <c r="N600" s="279"/>
      <c r="O600" s="279"/>
      <c r="P600" s="279"/>
      <c r="Q600" s="279"/>
      <c r="AI600" s="281"/>
      <c r="AJ600" s="281"/>
      <c r="AK600" s="281"/>
      <c r="AL600" s="281"/>
      <c r="AM600" s="281"/>
      <c r="AN600" s="281"/>
      <c r="AO600" s="281"/>
      <c r="AP600" s="281"/>
      <c r="AQ600" s="281"/>
      <c r="AS600" s="281"/>
      <c r="AT600" s="281"/>
      <c r="AU600" s="281"/>
      <c r="AV600" s="281"/>
      <c r="AW600" s="281"/>
      <c r="AX600" s="281"/>
      <c r="AY600" s="281"/>
      <c r="AZ600" s="281"/>
      <c r="BA600" s="281"/>
      <c r="BB600" s="281"/>
      <c r="BC600" s="281"/>
    </row>
    <row r="601" spans="1:55" s="167" customFormat="1" ht="21.95" customHeight="1">
      <c r="A601" s="266"/>
      <c r="B601" s="282" t="s">
        <v>3</v>
      </c>
      <c r="C601" s="283"/>
      <c r="D601" s="283"/>
      <c r="E601" s="283"/>
      <c r="F601" s="283"/>
      <c r="G601" s="283"/>
      <c r="H601" s="283"/>
      <c r="I601" s="283"/>
      <c r="J601" s="283"/>
      <c r="K601" s="284"/>
      <c r="L601" s="284"/>
      <c r="M601" s="284"/>
      <c r="N601" s="284"/>
      <c r="O601" s="284"/>
      <c r="P601" s="284"/>
      <c r="Q601" s="284"/>
      <c r="AI601" s="265"/>
      <c r="AJ601" s="265"/>
      <c r="AK601" s="265"/>
      <c r="AL601" s="265"/>
      <c r="AM601" s="265"/>
      <c r="AN601" s="265"/>
      <c r="AO601" s="265"/>
      <c r="AP601" s="265"/>
      <c r="AQ601" s="265"/>
      <c r="AS601" s="265"/>
      <c r="AT601" s="265"/>
      <c r="AU601" s="265"/>
      <c r="AV601" s="265"/>
      <c r="AW601" s="265"/>
      <c r="AX601" s="265"/>
      <c r="AY601" s="265"/>
      <c r="AZ601" s="265"/>
      <c r="BA601" s="265"/>
      <c r="BB601" s="265"/>
      <c r="BC601" s="265"/>
    </row>
    <row r="602" spans="1:55" s="167" customFormat="1" ht="21.95" customHeight="1">
      <c r="A602" s="266"/>
      <c r="B602" s="285" t="s">
        <v>18</v>
      </c>
      <c r="C602" s="283"/>
      <c r="D602" s="283"/>
      <c r="E602" s="283"/>
      <c r="F602" s="283"/>
      <c r="G602" s="283"/>
      <c r="H602" s="283"/>
      <c r="I602" s="283"/>
      <c r="J602" s="283"/>
      <c r="K602" s="286"/>
      <c r="L602" s="286"/>
      <c r="M602" s="286"/>
      <c r="N602" s="286"/>
      <c r="O602" s="286"/>
      <c r="P602" s="286"/>
      <c r="Q602" s="286"/>
      <c r="AI602" s="265"/>
      <c r="AJ602" s="265"/>
      <c r="AK602" s="265"/>
      <c r="AL602" s="265"/>
      <c r="AM602" s="265"/>
      <c r="AN602" s="265"/>
      <c r="AO602" s="265"/>
      <c r="AP602" s="265"/>
      <c r="AQ602" s="265"/>
      <c r="AS602" s="265"/>
      <c r="AT602" s="265"/>
      <c r="AU602" s="265"/>
      <c r="AV602" s="265"/>
      <c r="AW602" s="265"/>
      <c r="AX602" s="265"/>
      <c r="AY602" s="265"/>
      <c r="AZ602" s="265"/>
      <c r="BA602" s="265"/>
      <c r="BB602" s="265"/>
      <c r="BC602" s="265"/>
    </row>
    <row r="603" spans="1:55" s="167" customFormat="1" ht="21.95" customHeight="1">
      <c r="A603" s="169"/>
      <c r="B603" s="287" t="s">
        <v>32</v>
      </c>
      <c r="C603" s="283"/>
      <c r="D603" s="283"/>
      <c r="E603" s="283"/>
      <c r="F603" s="283"/>
      <c r="G603" s="283"/>
      <c r="H603" s="283"/>
      <c r="I603" s="283"/>
      <c r="J603" s="283"/>
      <c r="K603" s="286"/>
      <c r="L603" s="286"/>
      <c r="M603" s="286"/>
      <c r="N603" s="286"/>
      <c r="O603" s="286"/>
      <c r="P603" s="286"/>
      <c r="Q603" s="286"/>
      <c r="AI603" s="265"/>
      <c r="AJ603" s="265"/>
      <c r="AK603" s="265"/>
      <c r="AL603" s="265"/>
      <c r="AM603" s="265"/>
      <c r="AN603" s="265"/>
      <c r="AO603" s="265"/>
      <c r="AP603" s="265"/>
      <c r="AQ603" s="265"/>
      <c r="AS603" s="265"/>
      <c r="AT603" s="265"/>
      <c r="AU603" s="265"/>
      <c r="AV603" s="265"/>
      <c r="AW603" s="265"/>
      <c r="AX603" s="265"/>
      <c r="AY603" s="265"/>
      <c r="AZ603" s="265"/>
      <c r="BA603" s="265"/>
      <c r="BB603" s="265"/>
    </row>
    <row r="604" spans="1:55" s="167" customFormat="1" ht="21.95" customHeight="1">
      <c r="A604" s="169"/>
      <c r="B604" s="288" t="s">
        <v>45</v>
      </c>
      <c r="C604" s="283"/>
      <c r="D604" s="283"/>
      <c r="E604" s="283"/>
      <c r="F604" s="283"/>
      <c r="G604" s="283"/>
      <c r="H604" s="283"/>
      <c r="I604" s="283"/>
      <c r="J604" s="283"/>
      <c r="K604" s="286"/>
      <c r="L604" s="286"/>
      <c r="M604" s="286"/>
      <c r="N604" s="286"/>
      <c r="O604" s="286"/>
      <c r="P604" s="286"/>
      <c r="Q604" s="286"/>
      <c r="AI604" s="265"/>
      <c r="AJ604" s="265"/>
      <c r="AK604" s="265"/>
      <c r="AL604" s="265"/>
      <c r="AM604" s="265"/>
      <c r="AN604" s="265"/>
      <c r="AO604" s="265"/>
      <c r="AP604" s="265"/>
      <c r="AQ604" s="265"/>
      <c r="AS604" s="265"/>
      <c r="AT604" s="265"/>
      <c r="AU604" s="265"/>
      <c r="AV604" s="265"/>
      <c r="AW604" s="265"/>
      <c r="AX604" s="265"/>
      <c r="AY604" s="265"/>
      <c r="AZ604" s="265"/>
      <c r="BA604" s="265"/>
      <c r="BB604" s="265"/>
    </row>
    <row r="605" spans="1:55" s="167" customFormat="1" ht="21.95" customHeight="1">
      <c r="A605" s="169"/>
      <c r="B605" s="290" t="s">
        <v>54</v>
      </c>
      <c r="C605" s="283"/>
      <c r="D605" s="283"/>
      <c r="E605" s="283"/>
      <c r="F605" s="283"/>
      <c r="G605" s="283"/>
      <c r="H605" s="283"/>
      <c r="I605" s="283"/>
      <c r="J605" s="283"/>
      <c r="K605" s="286"/>
      <c r="L605" s="286"/>
      <c r="M605" s="286"/>
      <c r="N605" s="286"/>
      <c r="O605" s="286"/>
      <c r="P605" s="286"/>
      <c r="Q605" s="286"/>
      <c r="AI605" s="265"/>
      <c r="AJ605" s="265"/>
      <c r="AK605" s="265"/>
      <c r="AL605" s="265"/>
      <c r="AM605" s="265"/>
      <c r="AN605" s="265"/>
      <c r="AO605" s="265"/>
      <c r="AP605" s="265"/>
      <c r="AQ605" s="265"/>
      <c r="AS605" s="265"/>
      <c r="AT605" s="265"/>
      <c r="AU605" s="265"/>
      <c r="AV605" s="265"/>
      <c r="AW605" s="265"/>
      <c r="AX605" s="265"/>
      <c r="AY605" s="265"/>
      <c r="AZ605" s="265"/>
      <c r="BA605" s="265"/>
      <c r="BB605" s="265"/>
    </row>
    <row r="606" spans="1:55" s="167" customFormat="1">
      <c r="A606" s="169"/>
      <c r="B606" s="291" t="s">
        <v>66</v>
      </c>
      <c r="C606" s="286"/>
      <c r="D606" s="286"/>
      <c r="E606" s="286"/>
      <c r="F606" s="286"/>
      <c r="G606" s="286"/>
      <c r="H606" s="286"/>
      <c r="I606" s="286"/>
      <c r="J606" s="286"/>
      <c r="K606" s="286"/>
      <c r="L606" s="286"/>
      <c r="M606" s="286"/>
      <c r="N606" s="286"/>
      <c r="O606" s="286"/>
      <c r="P606" s="286"/>
      <c r="Q606" s="286"/>
      <c r="AI606" s="265"/>
      <c r="AJ606" s="265"/>
      <c r="AK606" s="265"/>
      <c r="AL606" s="265"/>
      <c r="AM606" s="265"/>
      <c r="AN606" s="265"/>
      <c r="AO606" s="265"/>
      <c r="AP606" s="265"/>
      <c r="AQ606" s="265"/>
      <c r="AS606" s="265"/>
      <c r="AT606" s="265"/>
      <c r="AU606" s="265"/>
      <c r="AV606" s="265"/>
      <c r="AW606" s="265"/>
      <c r="AX606" s="265"/>
      <c r="AY606" s="265"/>
      <c r="AZ606" s="265"/>
      <c r="BA606" s="265"/>
      <c r="BB606" s="265"/>
    </row>
    <row r="607" spans="1:55" s="167" customFormat="1">
      <c r="A607" s="169"/>
      <c r="B607" s="291" t="s">
        <v>158</v>
      </c>
      <c r="C607" s="292"/>
      <c r="D607" s="292"/>
      <c r="E607" s="292"/>
      <c r="F607" s="292"/>
      <c r="G607" s="292"/>
      <c r="H607" s="292"/>
      <c r="I607" s="292"/>
      <c r="J607" s="292"/>
      <c r="K607" s="292"/>
      <c r="L607" s="292"/>
      <c r="M607" s="292"/>
      <c r="N607" s="292"/>
      <c r="O607" s="292"/>
      <c r="P607" s="292"/>
      <c r="Q607" s="292"/>
      <c r="AI607" s="265"/>
      <c r="AJ607" s="265"/>
      <c r="AK607" s="265"/>
      <c r="AL607" s="265"/>
      <c r="AM607" s="265"/>
      <c r="AN607" s="265"/>
      <c r="AO607" s="265"/>
      <c r="AP607" s="265"/>
      <c r="AQ607" s="265"/>
      <c r="AS607" s="265"/>
      <c r="AT607" s="265"/>
      <c r="AU607" s="265"/>
      <c r="AV607" s="265"/>
      <c r="AW607" s="265"/>
      <c r="AX607" s="265"/>
      <c r="AY607" s="265"/>
      <c r="AZ607" s="265"/>
      <c r="BA607" s="265"/>
      <c r="BB607" s="265"/>
    </row>
    <row r="608" spans="1:55" s="167" customFormat="1">
      <c r="A608" s="169"/>
      <c r="B608" s="291" t="s">
        <v>189</v>
      </c>
      <c r="C608" s="292"/>
      <c r="D608" s="292"/>
      <c r="E608" s="292"/>
      <c r="F608" s="292"/>
      <c r="G608" s="292"/>
      <c r="H608" s="292"/>
      <c r="I608" s="292"/>
      <c r="J608" s="292"/>
      <c r="K608" s="292"/>
      <c r="L608" s="292"/>
      <c r="M608" s="292"/>
      <c r="N608" s="292"/>
      <c r="O608" s="292"/>
      <c r="P608" s="292"/>
      <c r="Q608" s="292"/>
      <c r="AI608" s="293"/>
      <c r="AJ608" s="293"/>
      <c r="AK608" s="293"/>
      <c r="AL608" s="293"/>
      <c r="AM608" s="293"/>
      <c r="AN608" s="265"/>
      <c r="AO608" s="265"/>
      <c r="AP608" s="265"/>
      <c r="AQ608" s="265"/>
      <c r="AS608" s="265"/>
      <c r="AT608" s="265"/>
      <c r="AU608" s="265"/>
      <c r="AV608" s="265"/>
      <c r="AW608" s="265"/>
      <c r="AX608" s="265"/>
      <c r="AY608" s="265"/>
      <c r="AZ608" s="265"/>
      <c r="BA608" s="265"/>
      <c r="BB608" s="265"/>
    </row>
    <row r="609" spans="1:250" s="167" customFormat="1" ht="15" thickBot="1">
      <c r="A609" s="169"/>
      <c r="B609" s="291" t="s">
        <v>345</v>
      </c>
      <c r="C609" s="292"/>
      <c r="D609" s="292"/>
      <c r="E609" s="292"/>
      <c r="F609" s="292"/>
      <c r="G609" s="292"/>
      <c r="H609" s="292"/>
      <c r="I609" s="292"/>
      <c r="J609" s="292"/>
      <c r="K609" s="292"/>
      <c r="L609" s="292"/>
      <c r="M609" s="292"/>
      <c r="N609" s="292"/>
      <c r="O609" s="292"/>
      <c r="P609" s="292"/>
      <c r="Q609" s="292"/>
      <c r="AI609" s="265"/>
      <c r="AJ609" s="265"/>
      <c r="AK609" s="265"/>
      <c r="AL609" s="265"/>
      <c r="AM609" s="265"/>
      <c r="AN609" s="265"/>
      <c r="AO609" s="265"/>
      <c r="AP609" s="265"/>
      <c r="AQ609" s="265"/>
      <c r="AS609" s="265"/>
      <c r="AT609" s="265"/>
      <c r="AU609" s="265"/>
      <c r="AV609" s="265"/>
      <c r="AW609" s="265"/>
      <c r="AX609" s="265"/>
      <c r="AY609" s="265"/>
      <c r="AZ609" s="265"/>
      <c r="BA609" s="265"/>
      <c r="BB609" s="265"/>
    </row>
    <row r="610" spans="1:250" s="167" customFormat="1">
      <c r="A610" s="266"/>
      <c r="B610" s="294" t="s">
        <v>166</v>
      </c>
      <c r="C610" s="295" t="str">
        <f>IF(OR(C613="**",C613=""),"",VALUE(C613))</f>
        <v/>
      </c>
      <c r="D610" s="295" t="str">
        <f t="shared" ref="D610:J610" si="58">IF(OR(D613="**",D613=""),"",VALUE(D613))</f>
        <v/>
      </c>
      <c r="E610" s="295" t="str">
        <f t="shared" si="58"/>
        <v/>
      </c>
      <c r="F610" s="295" t="str">
        <f t="shared" si="58"/>
        <v/>
      </c>
      <c r="G610" s="295" t="str">
        <f t="shared" si="58"/>
        <v/>
      </c>
      <c r="H610" s="295" t="str">
        <f t="shared" si="58"/>
        <v/>
      </c>
      <c r="I610" s="295" t="str">
        <f t="shared" si="58"/>
        <v/>
      </c>
      <c r="J610" s="295" t="str">
        <f t="shared" si="58"/>
        <v/>
      </c>
      <c r="K610" s="183"/>
      <c r="L610" s="183"/>
      <c r="M610" s="183"/>
      <c r="N610" s="183"/>
      <c r="O610" s="183"/>
      <c r="P610" s="183"/>
      <c r="Q610" s="183"/>
      <c r="AI610" s="265"/>
      <c r="AJ610" s="265"/>
      <c r="AK610" s="265"/>
      <c r="AL610" s="265"/>
      <c r="AM610" s="265"/>
      <c r="AN610" s="265"/>
      <c r="AO610" s="265"/>
      <c r="AP610" s="265"/>
      <c r="AQ610" s="265"/>
      <c r="AS610" s="265"/>
      <c r="AT610" s="265"/>
      <c r="AU610" s="265"/>
      <c r="AV610" s="265"/>
      <c r="AW610" s="265"/>
      <c r="AX610" s="265"/>
      <c r="AY610" s="265"/>
      <c r="AZ610" s="265"/>
      <c r="BA610" s="265"/>
      <c r="BB610" s="265"/>
    </row>
    <row r="611" spans="1:250" s="167" customFormat="1" ht="15" thickBot="1">
      <c r="A611" s="266"/>
      <c r="B611" s="296" t="s">
        <v>165</v>
      </c>
      <c r="C611" s="297" t="str">
        <f t="shared" ref="C611:J611" si="59">IF(OR(C607="**",C607=""),"",VALUE(C607))</f>
        <v/>
      </c>
      <c r="D611" s="297" t="str">
        <f t="shared" si="59"/>
        <v/>
      </c>
      <c r="E611" s="297" t="str">
        <f t="shared" si="59"/>
        <v/>
      </c>
      <c r="F611" s="297" t="str">
        <f t="shared" si="59"/>
        <v/>
      </c>
      <c r="G611" s="297" t="str">
        <f t="shared" si="59"/>
        <v/>
      </c>
      <c r="H611" s="297" t="str">
        <f t="shared" si="59"/>
        <v/>
      </c>
      <c r="I611" s="297" t="str">
        <f t="shared" si="59"/>
        <v/>
      </c>
      <c r="J611" s="297" t="str">
        <f t="shared" si="59"/>
        <v/>
      </c>
      <c r="K611" s="260"/>
      <c r="L611" s="260"/>
      <c r="M611" s="260"/>
      <c r="N611" s="260"/>
      <c r="O611" s="260"/>
      <c r="P611" s="260"/>
      <c r="Q611" s="260"/>
      <c r="AI611" s="260"/>
      <c r="AJ611" s="260"/>
      <c r="AK611" s="260"/>
      <c r="AL611" s="260"/>
      <c r="AM611" s="260"/>
      <c r="AN611" s="260"/>
      <c r="AO611" s="260"/>
      <c r="AP611" s="260"/>
      <c r="AQ611" s="265"/>
      <c r="AR611" s="265"/>
      <c r="AS611" s="265"/>
      <c r="AT611" s="265"/>
      <c r="AU611" s="265"/>
      <c r="AV611" s="265"/>
      <c r="AW611" s="265"/>
      <c r="AX611" s="265"/>
      <c r="AY611" s="265"/>
      <c r="AZ611" s="265"/>
      <c r="BA611" s="265"/>
      <c r="BB611" s="265"/>
    </row>
    <row r="612" spans="1:250" s="167" customFormat="1">
      <c r="A612" s="169"/>
      <c r="B612" s="298" t="s">
        <v>385</v>
      </c>
      <c r="C612" s="195"/>
      <c r="D612" s="195"/>
      <c r="E612" s="195"/>
      <c r="F612" s="195"/>
      <c r="G612" s="195"/>
      <c r="H612" s="195"/>
      <c r="I612" s="195"/>
      <c r="J612" s="195"/>
      <c r="K612" s="264"/>
      <c r="L612" s="264"/>
      <c r="M612" s="264"/>
      <c r="N612" s="264"/>
      <c r="O612" s="264"/>
      <c r="P612" s="264"/>
      <c r="Q612" s="264"/>
      <c r="AI612" s="265"/>
      <c r="AJ612" s="265"/>
      <c r="AK612" s="265"/>
      <c r="AL612" s="265"/>
      <c r="AM612" s="265"/>
      <c r="AN612" s="265"/>
      <c r="AO612" s="265"/>
      <c r="AP612" s="265"/>
      <c r="AQ612" s="265"/>
      <c r="AR612" s="265"/>
      <c r="AS612" s="265"/>
      <c r="AT612" s="265"/>
      <c r="AU612" s="265"/>
      <c r="AV612" s="265"/>
      <c r="AW612" s="265"/>
      <c r="AX612" s="265"/>
      <c r="AY612" s="265"/>
      <c r="AZ612" s="265"/>
      <c r="BA612" s="265"/>
      <c r="BB612" s="265"/>
    </row>
    <row r="613" spans="1:250" s="167" customFormat="1">
      <c r="A613" s="169"/>
      <c r="B613" s="291" t="s">
        <v>158</v>
      </c>
      <c r="C613" s="258"/>
      <c r="D613" s="258"/>
      <c r="E613" s="258"/>
      <c r="F613" s="258"/>
      <c r="G613" s="258"/>
      <c r="H613" s="258"/>
      <c r="I613" s="258"/>
      <c r="J613" s="258"/>
      <c r="K613" s="264"/>
      <c r="L613" s="264"/>
      <c r="M613" s="264"/>
      <c r="N613" s="264"/>
      <c r="O613" s="264"/>
      <c r="P613" s="264"/>
      <c r="Q613" s="264"/>
      <c r="AI613" s="265"/>
      <c r="AJ613" s="265"/>
      <c r="AK613" s="265"/>
      <c r="AL613" s="265"/>
      <c r="AM613" s="265"/>
      <c r="AN613" s="265"/>
      <c r="AO613" s="265"/>
      <c r="AP613" s="265"/>
      <c r="AQ613" s="265"/>
      <c r="AR613" s="265"/>
      <c r="AS613" s="265"/>
      <c r="AT613" s="265"/>
      <c r="AU613" s="265"/>
      <c r="AV613" s="265"/>
      <c r="AW613" s="265"/>
      <c r="AX613" s="265"/>
      <c r="AY613" s="265"/>
      <c r="AZ613" s="265"/>
      <c r="BA613" s="265"/>
      <c r="BB613" s="265"/>
    </row>
    <row r="614" spans="1:250" s="167" customFormat="1">
      <c r="A614" s="169"/>
      <c r="B614" s="298" t="s">
        <v>345</v>
      </c>
      <c r="C614" s="258"/>
      <c r="D614" s="258"/>
      <c r="E614" s="258"/>
      <c r="F614" s="258"/>
      <c r="G614" s="258"/>
      <c r="H614" s="258"/>
      <c r="I614" s="258"/>
      <c r="J614" s="258"/>
      <c r="W614" s="265"/>
      <c r="X614" s="265"/>
      <c r="Y614" s="265"/>
      <c r="Z614" s="265"/>
      <c r="AA614" s="265"/>
      <c r="AB614" s="265"/>
      <c r="AC614" s="265"/>
      <c r="AD614" s="265"/>
      <c r="AE614" s="265"/>
      <c r="AF614" s="265"/>
      <c r="AG614" s="265"/>
      <c r="AH614" s="265"/>
      <c r="AI614" s="265"/>
      <c r="AJ614" s="265"/>
      <c r="AK614" s="265"/>
      <c r="AL614" s="265"/>
      <c r="AM614" s="265"/>
      <c r="AN614" s="265"/>
      <c r="AO614" s="265"/>
      <c r="AP614" s="265"/>
      <c r="AQ614" s="265"/>
      <c r="IF614" s="303"/>
      <c r="IG614" s="260"/>
      <c r="IH614" s="260"/>
      <c r="II614" s="260"/>
      <c r="IJ614" s="260"/>
      <c r="IK614" s="260"/>
      <c r="IL614" s="264"/>
      <c r="IM614" s="264"/>
      <c r="IN614" s="264"/>
      <c r="IO614" s="264"/>
      <c r="IP614" s="264"/>
    </row>
    <row r="615" spans="1:250" s="167" customFormat="1">
      <c r="A615" s="169"/>
      <c r="B615" s="169"/>
      <c r="C615" s="169"/>
      <c r="D615" s="195"/>
      <c r="E615" s="195"/>
      <c r="F615" s="195"/>
      <c r="G615" s="195"/>
      <c r="H615" s="195"/>
      <c r="I615" s="195"/>
      <c r="J615" s="195"/>
      <c r="K615" s="265"/>
      <c r="L615" s="265"/>
      <c r="M615" s="265"/>
      <c r="N615" s="265"/>
      <c r="O615" s="265"/>
      <c r="P615" s="265"/>
      <c r="Q615" s="265"/>
      <c r="S615" s="291"/>
      <c r="T615" s="289"/>
      <c r="U615" s="289"/>
      <c r="V615" s="289"/>
      <c r="W615" s="289"/>
      <c r="X615" s="289"/>
      <c r="Y615" s="289"/>
      <c r="Z615" s="289"/>
      <c r="AA615" s="289"/>
      <c r="AB615" s="264"/>
      <c r="AC615" s="264"/>
    </row>
    <row r="616" spans="1:250" s="265" customFormat="1">
      <c r="A616" s="169"/>
      <c r="B616" s="195"/>
      <c r="C616" s="195"/>
      <c r="D616" s="195"/>
      <c r="E616" s="195"/>
      <c r="F616" s="195"/>
      <c r="G616" s="195"/>
      <c r="H616" s="195"/>
      <c r="I616" s="195"/>
      <c r="J616" s="195"/>
      <c r="R616" s="289"/>
      <c r="S616" s="289"/>
      <c r="T616" s="289"/>
      <c r="U616" s="289"/>
      <c r="V616" s="289"/>
      <c r="W616" s="289"/>
      <c r="X616" s="289"/>
      <c r="Y616" s="289"/>
      <c r="Z616" s="264"/>
      <c r="AA616" s="264"/>
      <c r="AB616" s="167"/>
      <c r="AC616" s="167"/>
      <c r="AD616" s="167"/>
      <c r="AE616" s="167"/>
      <c r="AF616" s="167"/>
      <c r="AG616" s="167"/>
      <c r="AH616" s="167"/>
      <c r="AI616" s="167"/>
      <c r="AJ616" s="167"/>
      <c r="AK616" s="167"/>
      <c r="AL616" s="167"/>
      <c r="AM616" s="167"/>
      <c r="AN616" s="167"/>
      <c r="AO616" s="167"/>
      <c r="AP616" s="167"/>
      <c r="AQ616" s="167"/>
      <c r="AR616" s="167"/>
      <c r="AS616" s="167"/>
      <c r="AT616" s="167"/>
      <c r="AU616" s="167"/>
      <c r="AV616" s="167"/>
      <c r="AW616" s="167"/>
      <c r="AX616" s="167"/>
      <c r="AY616" s="167"/>
      <c r="AZ616" s="167"/>
      <c r="BA616" s="167"/>
      <c r="BB616" s="167"/>
    </row>
    <row r="617" spans="1:250" s="265" customFormat="1">
      <c r="A617" s="195"/>
      <c r="B617" s="195"/>
      <c r="C617" s="195"/>
      <c r="D617" s="195"/>
      <c r="E617" s="195"/>
      <c r="F617" s="195"/>
      <c r="G617" s="195"/>
      <c r="H617" s="195"/>
      <c r="I617" s="195"/>
      <c r="J617" s="195"/>
      <c r="R617" s="183"/>
      <c r="S617" s="183"/>
      <c r="T617" s="183"/>
      <c r="U617" s="183"/>
      <c r="V617" s="183"/>
      <c r="W617" s="183"/>
      <c r="X617" s="264"/>
      <c r="Y617" s="264"/>
      <c r="Z617" s="167"/>
      <c r="AA617" s="167"/>
      <c r="AB617" s="167"/>
      <c r="AC617" s="167"/>
      <c r="AD617" s="167"/>
      <c r="AE617" s="167"/>
      <c r="AF617" s="167"/>
      <c r="AG617" s="167"/>
      <c r="AH617" s="167"/>
      <c r="AI617" s="167"/>
      <c r="AJ617" s="167"/>
      <c r="AK617" s="167"/>
      <c r="AL617" s="167"/>
      <c r="AM617" s="167"/>
      <c r="AN617" s="167"/>
      <c r="AO617" s="167"/>
      <c r="AP617" s="167"/>
      <c r="AQ617" s="167"/>
      <c r="AR617" s="167"/>
      <c r="AS617" s="167"/>
      <c r="AT617" s="167"/>
      <c r="AU617" s="167"/>
      <c r="AV617" s="167"/>
      <c r="AW617" s="167"/>
      <c r="AX617" s="167"/>
      <c r="AY617" s="167"/>
      <c r="AZ617" s="167"/>
      <c r="BA617" s="167"/>
    </row>
    <row r="618" spans="1:250" s="293" customFormat="1" ht="18" customHeight="1">
      <c r="A618" s="195"/>
      <c r="B618" s="195"/>
      <c r="C618" s="195"/>
      <c r="D618" s="195"/>
      <c r="E618" s="195"/>
      <c r="F618" s="195"/>
      <c r="G618" s="169"/>
      <c r="H618" s="169"/>
      <c r="I618" s="169"/>
      <c r="J618" s="169"/>
      <c r="K618" s="265"/>
      <c r="L618" s="265"/>
      <c r="M618" s="265"/>
      <c r="N618" s="265"/>
      <c r="O618" s="265"/>
      <c r="P618" s="265"/>
      <c r="Q618" s="265"/>
      <c r="R618" s="300"/>
      <c r="S618" s="300"/>
      <c r="T618" s="300"/>
      <c r="U618" s="300"/>
      <c r="V618" s="315"/>
      <c r="W618" s="315"/>
      <c r="X618" s="316"/>
      <c r="Y618" s="316"/>
      <c r="Z618" s="316"/>
      <c r="AA618" s="316"/>
      <c r="AB618" s="316"/>
      <c r="AC618" s="167"/>
      <c r="AD618" s="167"/>
      <c r="AE618" s="167"/>
      <c r="AF618" s="167"/>
      <c r="AG618" s="167"/>
      <c r="AH618" s="167"/>
      <c r="AI618" s="167"/>
      <c r="AJ618" s="167"/>
      <c r="AK618" s="167"/>
      <c r="AL618" s="167"/>
      <c r="AM618" s="167"/>
      <c r="AN618" s="167"/>
      <c r="AO618" s="167"/>
      <c r="AP618" s="167"/>
      <c r="AQ618" s="167"/>
      <c r="AR618" s="167"/>
      <c r="AS618" s="167"/>
      <c r="AT618" s="167"/>
      <c r="AU618" s="167"/>
      <c r="AV618" s="167"/>
      <c r="AW618" s="167"/>
      <c r="AX618" s="167"/>
      <c r="AY618" s="167"/>
    </row>
    <row r="619" spans="1:250" s="265" customFormat="1" ht="18" customHeight="1">
      <c r="A619" s="306" t="s">
        <v>183</v>
      </c>
      <c r="B619" s="306"/>
      <c r="C619" s="306"/>
      <c r="D619" s="306"/>
      <c r="E619" s="317"/>
      <c r="F619" s="306"/>
      <c r="G619" s="306"/>
      <c r="H619" s="306"/>
      <c r="I619" s="306"/>
      <c r="J619" s="306"/>
      <c r="K619" s="293"/>
      <c r="L619" s="293"/>
      <c r="M619" s="293"/>
      <c r="N619" s="293"/>
      <c r="O619" s="293"/>
      <c r="P619" s="293"/>
      <c r="Q619" s="293"/>
      <c r="R619" s="183"/>
      <c r="S619" s="183"/>
      <c r="T619" s="264"/>
      <c r="U619" s="264"/>
      <c r="V619" s="167"/>
      <c r="W619" s="167"/>
      <c r="X619" s="167"/>
      <c r="Y619" s="167"/>
      <c r="Z619" s="167"/>
      <c r="AA619" s="167"/>
      <c r="AB619" s="167"/>
      <c r="AC619" s="167"/>
      <c r="AD619" s="167"/>
      <c r="AE619" s="167"/>
      <c r="AF619" s="167"/>
      <c r="AG619" s="167"/>
      <c r="AH619" s="167"/>
      <c r="AI619" s="167"/>
      <c r="AJ619" s="167"/>
      <c r="AK619" s="167"/>
      <c r="AL619" s="167"/>
      <c r="AM619" s="167"/>
      <c r="AN619" s="167"/>
      <c r="AO619" s="167"/>
      <c r="AP619" s="167"/>
      <c r="AQ619" s="167"/>
      <c r="AR619" s="167"/>
      <c r="AS619" s="167"/>
      <c r="AT619" s="167"/>
      <c r="AU619" s="167"/>
      <c r="AV619" s="167"/>
      <c r="AW619" s="167"/>
    </row>
    <row r="620" spans="1:250" s="265" customFormat="1" ht="18" customHeight="1">
      <c r="A620" s="195">
        <v>7</v>
      </c>
      <c r="B620" s="195"/>
      <c r="C620" s="169"/>
      <c r="D620" s="195"/>
      <c r="E620" s="195"/>
      <c r="F620" s="195"/>
      <c r="G620" s="195"/>
      <c r="H620" s="195"/>
      <c r="I620" s="195"/>
      <c r="J620" s="195"/>
      <c r="R620" s="264"/>
      <c r="S620" s="264"/>
      <c r="T620" s="167"/>
      <c r="U620" s="167"/>
      <c r="V620" s="167"/>
      <c r="W620" s="167"/>
      <c r="X620" s="167"/>
      <c r="Y620" s="167"/>
      <c r="Z620" s="167"/>
      <c r="AA620" s="167"/>
      <c r="AB620" s="167"/>
      <c r="AC620" s="167"/>
      <c r="AD620" s="167"/>
      <c r="AE620" s="167"/>
      <c r="AF620" s="167"/>
      <c r="AG620" s="167"/>
      <c r="AH620" s="167"/>
      <c r="AI620" s="167"/>
      <c r="AJ620" s="167"/>
      <c r="AK620" s="167"/>
      <c r="AL620" s="167"/>
      <c r="AM620" s="167"/>
      <c r="AN620" s="167"/>
      <c r="AO620" s="167"/>
      <c r="AP620" s="167"/>
      <c r="AQ620" s="167"/>
      <c r="AR620" s="167"/>
      <c r="AS620" s="167"/>
      <c r="AT620" s="167"/>
      <c r="AU620" s="167"/>
    </row>
    <row r="621" spans="1:250" s="265" customFormat="1" ht="18" customHeight="1">
      <c r="A621" s="169"/>
      <c r="B621" s="195"/>
      <c r="C621" s="195"/>
      <c r="D621" s="195"/>
      <c r="E621" s="195"/>
      <c r="F621" s="195"/>
      <c r="G621" s="195"/>
      <c r="H621" s="195"/>
      <c r="I621" s="195"/>
      <c r="J621" s="195"/>
      <c r="R621" s="167"/>
      <c r="S621" s="167"/>
      <c r="T621" s="167"/>
      <c r="U621" s="167"/>
      <c r="V621" s="167"/>
      <c r="W621" s="167"/>
      <c r="X621" s="167"/>
      <c r="Y621" s="167"/>
      <c r="Z621" s="167"/>
      <c r="AA621" s="167"/>
      <c r="AB621" s="167"/>
      <c r="AC621" s="167"/>
      <c r="AD621" s="167"/>
      <c r="AE621" s="167"/>
      <c r="AF621" s="167"/>
      <c r="AG621" s="167"/>
      <c r="AH621" s="167"/>
      <c r="AI621" s="167"/>
      <c r="AJ621" s="167"/>
      <c r="AK621" s="167"/>
      <c r="AL621" s="167"/>
      <c r="AM621" s="167"/>
      <c r="AN621" s="167"/>
      <c r="AO621" s="167"/>
      <c r="AP621" s="167"/>
      <c r="AQ621" s="167"/>
      <c r="AR621" s="167"/>
      <c r="AS621" s="167"/>
      <c r="AT621" s="260"/>
      <c r="AU621" s="260"/>
      <c r="AV621" s="260"/>
      <c r="AW621" s="260"/>
      <c r="AX621" s="260"/>
      <c r="AY621" s="260"/>
      <c r="AZ621" s="260"/>
      <c r="BA621" s="260"/>
    </row>
    <row r="622" spans="1:250" s="265" customFormat="1" ht="18" customHeight="1">
      <c r="A622" s="195"/>
      <c r="B622" s="195"/>
      <c r="C622" s="195"/>
      <c r="D622" s="195"/>
      <c r="E622" s="195"/>
      <c r="F622" s="195"/>
      <c r="G622" s="195"/>
      <c r="H622" s="195"/>
      <c r="I622" s="195"/>
      <c r="J622" s="195"/>
      <c r="R622" s="167"/>
      <c r="S622" s="167"/>
      <c r="T622" s="167"/>
      <c r="U622" s="167"/>
      <c r="V622" s="167"/>
      <c r="W622" s="167"/>
      <c r="X622" s="167"/>
      <c r="Y622" s="167"/>
      <c r="Z622" s="167"/>
      <c r="AA622" s="167"/>
      <c r="AB622" s="167"/>
      <c r="AC622" s="167"/>
      <c r="AD622" s="167"/>
      <c r="AE622" s="167"/>
      <c r="AF622" s="167"/>
      <c r="AG622" s="167"/>
      <c r="AH622" s="167"/>
      <c r="AI622" s="167"/>
      <c r="AJ622" s="167"/>
      <c r="AK622" s="167"/>
      <c r="AL622" s="167"/>
      <c r="AM622" s="167"/>
      <c r="AN622" s="167"/>
      <c r="AO622" s="167"/>
      <c r="AP622" s="167"/>
      <c r="AQ622" s="167"/>
    </row>
    <row r="623" spans="1:250" s="265" customFormat="1" ht="18" customHeight="1">
      <c r="A623" s="195"/>
      <c r="B623" s="195"/>
      <c r="C623" s="195"/>
      <c r="D623" s="195"/>
      <c r="E623" s="195"/>
      <c r="F623" s="195"/>
      <c r="G623" s="195"/>
      <c r="H623" s="195"/>
      <c r="I623" s="195"/>
      <c r="J623" s="195"/>
      <c r="K623" s="167"/>
      <c r="L623" s="167"/>
      <c r="M623" s="167"/>
      <c r="N623" s="167"/>
      <c r="O623" s="167"/>
      <c r="P623" s="167"/>
      <c r="Q623" s="167"/>
      <c r="R623" s="167"/>
      <c r="S623" s="167"/>
      <c r="T623" s="167"/>
      <c r="U623" s="167"/>
      <c r="V623" s="167"/>
      <c r="W623" s="167"/>
      <c r="X623" s="167"/>
      <c r="Y623" s="167"/>
      <c r="Z623" s="167"/>
      <c r="AA623" s="167"/>
      <c r="AB623" s="167"/>
      <c r="AC623" s="167"/>
      <c r="AD623" s="167"/>
      <c r="AE623" s="167"/>
      <c r="AF623" s="167"/>
      <c r="AG623" s="167"/>
      <c r="AH623" s="167"/>
      <c r="AI623" s="167"/>
      <c r="AJ623" s="167"/>
      <c r="AK623" s="167"/>
      <c r="AL623" s="167"/>
      <c r="AM623" s="167"/>
      <c r="AN623" s="167"/>
      <c r="AO623" s="167"/>
    </row>
    <row r="624" spans="1:250" s="265" customFormat="1" ht="18" customHeight="1">
      <c r="A624" s="195"/>
      <c r="B624" s="195"/>
      <c r="C624" s="195"/>
      <c r="D624" s="195"/>
      <c r="E624" s="195"/>
      <c r="F624" s="169"/>
      <c r="G624" s="271"/>
      <c r="H624" s="271"/>
      <c r="I624" s="271"/>
      <c r="J624" s="271"/>
      <c r="K624" s="260"/>
      <c r="L624" s="260"/>
      <c r="M624" s="260"/>
      <c r="N624" s="260"/>
      <c r="O624" s="260"/>
      <c r="P624" s="260"/>
      <c r="Q624" s="260"/>
      <c r="R624" s="167"/>
      <c r="S624" s="167"/>
      <c r="T624" s="167"/>
      <c r="U624" s="167"/>
      <c r="V624" s="167"/>
      <c r="W624" s="167"/>
      <c r="X624" s="167"/>
      <c r="Y624" s="167"/>
      <c r="Z624" s="167"/>
      <c r="AA624" s="167"/>
      <c r="AB624" s="167"/>
      <c r="AC624" s="167"/>
      <c r="AD624" s="167"/>
      <c r="AE624" s="167"/>
      <c r="AF624" s="167"/>
      <c r="AG624" s="167"/>
      <c r="AH624" s="167"/>
      <c r="AI624" s="167"/>
      <c r="AJ624" s="167"/>
      <c r="AK624" s="167"/>
      <c r="AL624" s="167"/>
      <c r="AM624" s="167"/>
    </row>
    <row r="625" spans="1:55" s="265" customFormat="1" ht="18" customHeight="1">
      <c r="A625" s="195"/>
      <c r="B625" s="195"/>
      <c r="C625" s="195"/>
      <c r="D625" s="169"/>
      <c r="E625" s="271"/>
      <c r="F625" s="258"/>
      <c r="G625" s="258"/>
      <c r="H625" s="258"/>
      <c r="I625" s="258"/>
      <c r="J625" s="258"/>
      <c r="K625" s="260"/>
      <c r="L625" s="260"/>
      <c r="M625" s="260"/>
      <c r="N625" s="260"/>
      <c r="O625" s="260"/>
      <c r="P625" s="260"/>
      <c r="Q625" s="260"/>
      <c r="R625" s="167"/>
      <c r="S625" s="167"/>
      <c r="T625" s="167"/>
      <c r="U625" s="167"/>
      <c r="V625" s="167"/>
      <c r="W625" s="167"/>
      <c r="X625" s="167"/>
      <c r="Y625" s="167"/>
      <c r="Z625" s="167"/>
      <c r="AA625" s="167"/>
      <c r="AB625" s="167"/>
      <c r="AC625" s="167"/>
      <c r="AD625" s="167"/>
      <c r="AE625" s="167"/>
      <c r="AF625" s="167"/>
      <c r="AG625" s="167"/>
      <c r="AH625" s="167"/>
      <c r="AI625" s="167"/>
      <c r="AJ625" s="167"/>
      <c r="AK625" s="167"/>
    </row>
    <row r="626" spans="1:55" s="167" customFormat="1" ht="18" customHeight="1">
      <c r="A626" s="195"/>
      <c r="B626" s="169"/>
      <c r="C626" s="271"/>
      <c r="D626" s="258"/>
      <c r="E626" s="258"/>
      <c r="F626" s="258"/>
      <c r="G626" s="258"/>
      <c r="H626" s="258"/>
      <c r="I626" s="258"/>
      <c r="J626" s="258"/>
      <c r="K626" s="260"/>
      <c r="L626" s="260"/>
      <c r="M626" s="260"/>
      <c r="N626" s="260"/>
      <c r="O626" s="260"/>
      <c r="P626" s="260"/>
      <c r="Q626" s="260"/>
      <c r="AJ626" s="265"/>
      <c r="AK626" s="265"/>
      <c r="AL626" s="265"/>
      <c r="AM626" s="265"/>
      <c r="AN626" s="265"/>
      <c r="AO626" s="265"/>
      <c r="AP626" s="265"/>
      <c r="AQ626" s="265"/>
      <c r="AR626" s="265"/>
      <c r="AS626" s="265"/>
      <c r="AT626" s="265"/>
      <c r="AU626" s="265"/>
      <c r="AV626" s="265"/>
      <c r="AW626" s="265"/>
      <c r="AX626" s="265"/>
      <c r="AY626" s="265"/>
      <c r="AZ626" s="265"/>
      <c r="BA626" s="265"/>
      <c r="BB626" s="265"/>
      <c r="BC626" s="265"/>
    </row>
    <row r="627" spans="1:55" s="167" customFormat="1" ht="18" customHeight="1">
      <c r="A627" s="266"/>
      <c r="B627" s="271"/>
      <c r="C627" s="258"/>
      <c r="D627" s="258"/>
      <c r="E627" s="258"/>
      <c r="F627" s="258"/>
      <c r="G627" s="258"/>
      <c r="H627" s="258"/>
      <c r="I627" s="258"/>
      <c r="J627" s="258"/>
      <c r="K627" s="264"/>
      <c r="L627" s="264"/>
      <c r="M627" s="264"/>
      <c r="N627" s="264"/>
      <c r="O627" s="264"/>
      <c r="P627" s="264"/>
      <c r="Q627" s="264"/>
      <c r="AI627" s="265"/>
      <c r="AJ627" s="265"/>
      <c r="AK627" s="265"/>
      <c r="AL627" s="265"/>
      <c r="AM627" s="265"/>
      <c r="AN627" s="265"/>
      <c r="AO627" s="265"/>
      <c r="AP627" s="265"/>
      <c r="AQ627" s="265"/>
      <c r="AR627" s="265"/>
      <c r="AS627" s="265"/>
      <c r="AT627" s="265"/>
      <c r="AU627" s="265"/>
      <c r="AV627" s="265"/>
      <c r="AW627" s="265"/>
      <c r="AX627" s="265"/>
      <c r="AY627" s="265"/>
      <c r="AZ627" s="265"/>
      <c r="BA627" s="265"/>
      <c r="BB627" s="265"/>
      <c r="BC627" s="265"/>
    </row>
    <row r="628" spans="1:55" s="167" customFormat="1" ht="18" customHeight="1">
      <c r="A628" s="266"/>
      <c r="B628" s="271"/>
      <c r="C628" s="258"/>
      <c r="D628" s="258"/>
      <c r="E628" s="258"/>
      <c r="F628" s="258"/>
      <c r="G628" s="258"/>
      <c r="H628" s="258"/>
      <c r="I628" s="258"/>
      <c r="J628" s="258"/>
      <c r="K628" s="264"/>
      <c r="L628" s="264"/>
      <c r="M628" s="264"/>
      <c r="N628" s="264"/>
      <c r="O628" s="264"/>
      <c r="P628" s="264"/>
      <c r="Q628" s="264"/>
      <c r="AI628" s="265"/>
      <c r="AJ628" s="265"/>
      <c r="AK628" s="265"/>
      <c r="AL628" s="265"/>
      <c r="AM628" s="265"/>
      <c r="AN628" s="265"/>
      <c r="AO628" s="265"/>
      <c r="AP628" s="265"/>
      <c r="AQ628" s="265"/>
      <c r="AR628" s="265"/>
      <c r="AS628" s="265"/>
      <c r="AT628" s="265"/>
      <c r="AU628" s="265"/>
      <c r="AV628" s="265"/>
      <c r="AW628" s="265"/>
      <c r="AX628" s="265"/>
      <c r="AY628" s="265"/>
      <c r="AZ628" s="265"/>
      <c r="BA628" s="265"/>
      <c r="BB628" s="265"/>
      <c r="BC628" s="265"/>
    </row>
    <row r="629" spans="1:55" s="274" customFormat="1" ht="18" customHeight="1">
      <c r="A629" s="270">
        <f>A599+1</f>
        <v>21</v>
      </c>
      <c r="B629" s="271"/>
      <c r="C629" s="272" t="str">
        <f>IF($A$1 = 1, (IF("("&amp;C639&amp;")" ="()","","("&amp;C639&amp;")")), (IF("("&amp;C644&amp;")    ("&amp;C639&amp;")"="()    ()","","("&amp;C644&amp;")    ("&amp;C639&amp;")")))</f>
        <v/>
      </c>
      <c r="D629" s="272" t="str">
        <f t="shared" ref="D629:J629" si="60">IF($A$1 = 1, (IF("("&amp;D639&amp;")" ="()","","("&amp;D639&amp;")")), (IF("("&amp;D644&amp;")    ("&amp;D639&amp;")"="()    ()","","("&amp;D644&amp;")    ("&amp;D639&amp;")")))</f>
        <v/>
      </c>
      <c r="E629" s="272" t="str">
        <f t="shared" si="60"/>
        <v/>
      </c>
      <c r="F629" s="272" t="str">
        <f t="shared" si="60"/>
        <v/>
      </c>
      <c r="G629" s="272" t="str">
        <f t="shared" si="60"/>
        <v/>
      </c>
      <c r="H629" s="272" t="str">
        <f t="shared" si="60"/>
        <v/>
      </c>
      <c r="I629" s="272" t="str">
        <f t="shared" si="60"/>
        <v/>
      </c>
      <c r="J629" s="272" t="str">
        <f t="shared" si="60"/>
        <v/>
      </c>
      <c r="K629" s="273"/>
      <c r="L629" s="273"/>
      <c r="M629" s="273"/>
      <c r="N629" s="273"/>
      <c r="O629" s="273"/>
      <c r="P629" s="273"/>
      <c r="Q629" s="273"/>
      <c r="AI629" s="275"/>
      <c r="AJ629" s="275"/>
      <c r="AK629" s="275"/>
      <c r="AL629" s="275"/>
      <c r="AM629" s="275"/>
      <c r="AN629" s="275"/>
      <c r="AO629" s="275"/>
      <c r="AP629" s="275"/>
      <c r="AQ629" s="275"/>
      <c r="AR629" s="275"/>
      <c r="AS629" s="275"/>
      <c r="AT629" s="275"/>
      <c r="AU629" s="275"/>
      <c r="AV629" s="275"/>
      <c r="AW629" s="275"/>
      <c r="AX629" s="275"/>
      <c r="AY629" s="275"/>
      <c r="AZ629" s="275"/>
      <c r="BA629" s="275"/>
      <c r="BB629" s="275"/>
      <c r="BC629" s="275"/>
    </row>
    <row r="630" spans="1:55" s="280" customFormat="1" ht="59.1" customHeight="1">
      <c r="A630" s="276"/>
      <c r="B630" s="277"/>
      <c r="C630" s="278"/>
      <c r="D630" s="278"/>
      <c r="E630" s="278"/>
      <c r="F630" s="278"/>
      <c r="G630" s="278"/>
      <c r="H630" s="278"/>
      <c r="I630" s="278"/>
      <c r="J630" s="278"/>
      <c r="K630" s="279"/>
      <c r="L630" s="279"/>
      <c r="M630" s="279"/>
      <c r="N630" s="279"/>
      <c r="O630" s="279"/>
      <c r="P630" s="279"/>
      <c r="Q630" s="279"/>
      <c r="AI630" s="281"/>
      <c r="AJ630" s="281"/>
      <c r="AK630" s="281"/>
      <c r="AL630" s="281"/>
      <c r="AM630" s="281"/>
      <c r="AN630" s="281"/>
      <c r="AO630" s="281"/>
      <c r="AP630" s="281"/>
      <c r="AQ630" s="281"/>
      <c r="AS630" s="281"/>
      <c r="AT630" s="281"/>
      <c r="AU630" s="281"/>
      <c r="AV630" s="281"/>
      <c r="AW630" s="281"/>
      <c r="AX630" s="281"/>
      <c r="AY630" s="281"/>
      <c r="AZ630" s="281"/>
      <c r="BA630" s="281"/>
      <c r="BB630" s="281"/>
      <c r="BC630" s="281"/>
    </row>
    <row r="631" spans="1:55" s="167" customFormat="1" ht="21.95" customHeight="1">
      <c r="A631" s="266"/>
      <c r="B631" s="282" t="s">
        <v>3</v>
      </c>
      <c r="C631" s="283"/>
      <c r="D631" s="283"/>
      <c r="E631" s="283"/>
      <c r="F631" s="283"/>
      <c r="G631" s="283"/>
      <c r="H631" s="283"/>
      <c r="I631" s="283"/>
      <c r="J631" s="283"/>
      <c r="K631" s="284"/>
      <c r="L631" s="284"/>
      <c r="M631" s="284"/>
      <c r="N631" s="284"/>
      <c r="O631" s="284"/>
      <c r="P631" s="284"/>
      <c r="Q631" s="284"/>
      <c r="AI631" s="265"/>
      <c r="AJ631" s="265"/>
      <c r="AK631" s="265"/>
      <c r="AL631" s="265"/>
      <c r="AM631" s="265"/>
      <c r="AN631" s="265"/>
      <c r="AO631" s="265"/>
      <c r="AP631" s="265"/>
      <c r="AQ631" s="265"/>
      <c r="AS631" s="265"/>
      <c r="AT631" s="265"/>
      <c r="AU631" s="265"/>
      <c r="AV631" s="265"/>
      <c r="AW631" s="265"/>
      <c r="AX631" s="265"/>
      <c r="AY631" s="265"/>
      <c r="AZ631" s="265"/>
      <c r="BA631" s="265"/>
      <c r="BB631" s="265"/>
      <c r="BC631" s="265"/>
    </row>
    <row r="632" spans="1:55" s="167" customFormat="1" ht="21.95" customHeight="1">
      <c r="A632" s="266"/>
      <c r="B632" s="285" t="s">
        <v>18</v>
      </c>
      <c r="C632" s="283"/>
      <c r="D632" s="283"/>
      <c r="E632" s="283"/>
      <c r="F632" s="283"/>
      <c r="G632" s="283"/>
      <c r="H632" s="283"/>
      <c r="I632" s="283"/>
      <c r="J632" s="283"/>
      <c r="K632" s="286"/>
      <c r="L632" s="286"/>
      <c r="M632" s="286"/>
      <c r="N632" s="286"/>
      <c r="O632" s="286"/>
      <c r="P632" s="286"/>
      <c r="Q632" s="286"/>
      <c r="AI632" s="265"/>
      <c r="AJ632" s="265"/>
      <c r="AK632" s="265"/>
      <c r="AL632" s="265"/>
      <c r="AM632" s="265"/>
      <c r="AN632" s="265"/>
      <c r="AO632" s="265"/>
      <c r="AP632" s="265"/>
      <c r="AQ632" s="265"/>
      <c r="AS632" s="265"/>
      <c r="AT632" s="265"/>
      <c r="AU632" s="265"/>
      <c r="AV632" s="265"/>
      <c r="AW632" s="265"/>
      <c r="AX632" s="265"/>
      <c r="AY632" s="265"/>
      <c r="AZ632" s="265"/>
      <c r="BA632" s="265"/>
      <c r="BB632" s="265"/>
      <c r="BC632" s="265"/>
    </row>
    <row r="633" spans="1:55" s="167" customFormat="1" ht="21.95" customHeight="1">
      <c r="A633" s="169"/>
      <c r="B633" s="287" t="s">
        <v>32</v>
      </c>
      <c r="C633" s="283"/>
      <c r="D633" s="283"/>
      <c r="E633" s="283"/>
      <c r="F633" s="283"/>
      <c r="G633" s="283"/>
      <c r="H633" s="283"/>
      <c r="I633" s="283"/>
      <c r="J633" s="283"/>
      <c r="K633" s="286"/>
      <c r="L633" s="286"/>
      <c r="M633" s="286"/>
      <c r="N633" s="286"/>
      <c r="O633" s="286"/>
      <c r="P633" s="286"/>
      <c r="Q633" s="286"/>
      <c r="AI633" s="265"/>
      <c r="AJ633" s="265"/>
      <c r="AK633" s="265"/>
      <c r="AL633" s="265"/>
      <c r="AM633" s="265"/>
      <c r="AN633" s="265"/>
      <c r="AO633" s="265"/>
      <c r="AP633" s="265"/>
      <c r="AQ633" s="265"/>
      <c r="AS633" s="265"/>
      <c r="AT633" s="265"/>
      <c r="AU633" s="265"/>
      <c r="AV633" s="265"/>
      <c r="AW633" s="265"/>
      <c r="AX633" s="265"/>
      <c r="AY633" s="265"/>
      <c r="AZ633" s="265"/>
      <c r="BA633" s="265"/>
      <c r="BB633" s="265"/>
    </row>
    <row r="634" spans="1:55" s="167" customFormat="1" ht="21.95" customHeight="1">
      <c r="A634" s="169"/>
      <c r="B634" s="288" t="s">
        <v>45</v>
      </c>
      <c r="C634" s="283"/>
      <c r="D634" s="283"/>
      <c r="E634" s="283"/>
      <c r="F634" s="283"/>
      <c r="G634" s="283"/>
      <c r="H634" s="283"/>
      <c r="I634" s="283"/>
      <c r="J634" s="283"/>
      <c r="K634" s="286"/>
      <c r="L634" s="286"/>
      <c r="M634" s="286"/>
      <c r="N634" s="286"/>
      <c r="O634" s="286"/>
      <c r="P634" s="286"/>
      <c r="Q634" s="286"/>
      <c r="AI634" s="265"/>
      <c r="AJ634" s="265"/>
      <c r="AK634" s="265"/>
      <c r="AL634" s="265"/>
      <c r="AM634" s="265"/>
      <c r="AN634" s="265"/>
      <c r="AO634" s="265"/>
      <c r="AP634" s="265"/>
      <c r="AQ634" s="265"/>
      <c r="AS634" s="265"/>
      <c r="AT634" s="265"/>
      <c r="AU634" s="265"/>
      <c r="AV634" s="265"/>
      <c r="AW634" s="265"/>
      <c r="AX634" s="265"/>
      <c r="AY634" s="265"/>
      <c r="AZ634" s="265"/>
      <c r="BA634" s="265"/>
      <c r="BB634" s="265"/>
    </row>
    <row r="635" spans="1:55" s="167" customFormat="1" ht="21.95" customHeight="1">
      <c r="A635" s="169"/>
      <c r="B635" s="290" t="s">
        <v>54</v>
      </c>
      <c r="C635" s="283"/>
      <c r="D635" s="283"/>
      <c r="E635" s="283"/>
      <c r="F635" s="283"/>
      <c r="G635" s="283"/>
      <c r="H635" s="283"/>
      <c r="I635" s="283"/>
      <c r="J635" s="283"/>
      <c r="K635" s="286"/>
      <c r="L635" s="286"/>
      <c r="M635" s="286"/>
      <c r="N635" s="286"/>
      <c r="O635" s="286"/>
      <c r="P635" s="286"/>
      <c r="Q635" s="286"/>
      <c r="AI635" s="265"/>
      <c r="AJ635" s="265"/>
      <c r="AK635" s="265"/>
      <c r="AL635" s="265"/>
      <c r="AM635" s="265"/>
      <c r="AN635" s="265"/>
      <c r="AO635" s="265"/>
      <c r="AP635" s="265"/>
      <c r="AQ635" s="265"/>
      <c r="AS635" s="265"/>
      <c r="AT635" s="265"/>
      <c r="AU635" s="265"/>
      <c r="AV635" s="265"/>
      <c r="AW635" s="265"/>
      <c r="AX635" s="265"/>
      <c r="AY635" s="265"/>
      <c r="AZ635" s="265"/>
      <c r="BA635" s="265"/>
      <c r="BB635" s="265"/>
    </row>
    <row r="636" spans="1:55" s="167" customFormat="1">
      <c r="A636" s="169"/>
      <c r="B636" s="291" t="s">
        <v>66</v>
      </c>
      <c r="C636" s="286"/>
      <c r="D636" s="286"/>
      <c r="E636" s="286"/>
      <c r="F636" s="286"/>
      <c r="G636" s="286"/>
      <c r="H636" s="286"/>
      <c r="I636" s="286"/>
      <c r="J636" s="286"/>
      <c r="K636" s="286"/>
      <c r="L636" s="286"/>
      <c r="M636" s="286"/>
      <c r="N636" s="286"/>
      <c r="O636" s="286"/>
      <c r="P636" s="286"/>
      <c r="Q636" s="286"/>
      <c r="AI636" s="265"/>
      <c r="AJ636" s="265"/>
      <c r="AK636" s="265"/>
      <c r="AL636" s="265"/>
      <c r="AM636" s="265"/>
      <c r="AN636" s="265"/>
      <c r="AO636" s="265"/>
      <c r="AP636" s="265"/>
      <c r="AQ636" s="265"/>
      <c r="AS636" s="265"/>
      <c r="AT636" s="265"/>
      <c r="AU636" s="265"/>
      <c r="AV636" s="265"/>
      <c r="AW636" s="265"/>
      <c r="AX636" s="265"/>
      <c r="AY636" s="265"/>
      <c r="AZ636" s="265"/>
      <c r="BA636" s="265"/>
      <c r="BB636" s="265"/>
    </row>
    <row r="637" spans="1:55" s="167" customFormat="1">
      <c r="A637" s="169"/>
      <c r="B637" s="291" t="s">
        <v>158</v>
      </c>
      <c r="C637" s="292"/>
      <c r="D637" s="292"/>
      <c r="E637" s="292"/>
      <c r="F637" s="292"/>
      <c r="G637" s="292"/>
      <c r="H637" s="292"/>
      <c r="I637" s="292"/>
      <c r="J637" s="292"/>
      <c r="K637" s="292"/>
      <c r="L637" s="292"/>
      <c r="M637" s="292"/>
      <c r="N637" s="292"/>
      <c r="O637" s="292"/>
      <c r="P637" s="292"/>
      <c r="Q637" s="292"/>
      <c r="AI637" s="265"/>
      <c r="AJ637" s="265"/>
      <c r="AK637" s="265"/>
      <c r="AL637" s="265"/>
      <c r="AM637" s="265"/>
      <c r="AN637" s="265"/>
      <c r="AO637" s="265"/>
      <c r="AP637" s="265"/>
      <c r="AQ637" s="265"/>
      <c r="AS637" s="265"/>
      <c r="AT637" s="265"/>
      <c r="AU637" s="265"/>
      <c r="AV637" s="265"/>
      <c r="AW637" s="265"/>
      <c r="AX637" s="265"/>
      <c r="AY637" s="265"/>
      <c r="AZ637" s="265"/>
      <c r="BA637" s="265"/>
      <c r="BB637" s="265"/>
    </row>
    <row r="638" spans="1:55" s="167" customFormat="1">
      <c r="A638" s="169"/>
      <c r="B638" s="291" t="s">
        <v>189</v>
      </c>
      <c r="C638" s="292"/>
      <c r="D638" s="292"/>
      <c r="E638" s="292"/>
      <c r="F638" s="292"/>
      <c r="G638" s="292"/>
      <c r="H638" s="292"/>
      <c r="I638" s="292"/>
      <c r="J638" s="292"/>
      <c r="K638" s="292"/>
      <c r="L638" s="292"/>
      <c r="M638" s="292"/>
      <c r="N638" s="292"/>
      <c r="O638" s="292"/>
      <c r="P638" s="292"/>
      <c r="Q638" s="292"/>
      <c r="AI638" s="293"/>
      <c r="AJ638" s="293"/>
      <c r="AK638" s="293"/>
      <c r="AL638" s="293"/>
      <c r="AM638" s="293"/>
      <c r="AN638" s="265"/>
      <c r="AO638" s="265"/>
      <c r="AP638" s="265"/>
      <c r="AQ638" s="265"/>
      <c r="AS638" s="265"/>
      <c r="AT638" s="265"/>
      <c r="AU638" s="265"/>
      <c r="AV638" s="265"/>
      <c r="AW638" s="265"/>
      <c r="AX638" s="265"/>
      <c r="AY638" s="265"/>
      <c r="AZ638" s="265"/>
      <c r="BA638" s="265"/>
      <c r="BB638" s="265"/>
    </row>
    <row r="639" spans="1:55" s="167" customFormat="1" ht="15" thickBot="1">
      <c r="A639" s="169"/>
      <c r="B639" s="291" t="s">
        <v>345</v>
      </c>
      <c r="C639" s="292"/>
      <c r="D639" s="292"/>
      <c r="E639" s="292"/>
      <c r="F639" s="292"/>
      <c r="G639" s="292"/>
      <c r="H639" s="292"/>
      <c r="I639" s="292"/>
      <c r="J639" s="292"/>
      <c r="K639" s="292"/>
      <c r="L639" s="292"/>
      <c r="M639" s="292"/>
      <c r="N639" s="292"/>
      <c r="O639" s="292"/>
      <c r="P639" s="292"/>
      <c r="Q639" s="292"/>
      <c r="AI639" s="265"/>
      <c r="AJ639" s="265"/>
      <c r="AK639" s="265"/>
      <c r="AL639" s="265"/>
      <c r="AM639" s="265"/>
      <c r="AN639" s="265"/>
      <c r="AO639" s="265"/>
      <c r="AP639" s="265"/>
      <c r="AQ639" s="265"/>
      <c r="AS639" s="265"/>
      <c r="AT639" s="265"/>
      <c r="AU639" s="265"/>
      <c r="AV639" s="265"/>
      <c r="AW639" s="265"/>
      <c r="AX639" s="265"/>
      <c r="AY639" s="265"/>
      <c r="AZ639" s="265"/>
      <c r="BA639" s="265"/>
      <c r="BB639" s="265"/>
    </row>
    <row r="640" spans="1:55" s="167" customFormat="1">
      <c r="A640" s="266"/>
      <c r="B640" s="294" t="s">
        <v>166</v>
      </c>
      <c r="C640" s="295" t="str">
        <f>IF(OR(C643="**",C643=""),"",VALUE(C643))</f>
        <v/>
      </c>
      <c r="D640" s="295" t="str">
        <f t="shared" ref="D640:J640" si="61">IF(OR(D643="**",D643=""),"",VALUE(D643))</f>
        <v/>
      </c>
      <c r="E640" s="295" t="str">
        <f t="shared" si="61"/>
        <v/>
      </c>
      <c r="F640" s="295" t="str">
        <f t="shared" si="61"/>
        <v/>
      </c>
      <c r="G640" s="295" t="str">
        <f t="shared" si="61"/>
        <v/>
      </c>
      <c r="H640" s="295" t="str">
        <f t="shared" si="61"/>
        <v/>
      </c>
      <c r="I640" s="295" t="str">
        <f t="shared" si="61"/>
        <v/>
      </c>
      <c r="J640" s="295" t="str">
        <f t="shared" si="61"/>
        <v/>
      </c>
      <c r="K640" s="183"/>
      <c r="L640" s="183"/>
      <c r="M640" s="183"/>
      <c r="N640" s="183"/>
      <c r="O640" s="183"/>
      <c r="P640" s="183"/>
      <c r="Q640" s="183"/>
      <c r="AI640" s="265"/>
      <c r="AJ640" s="265"/>
      <c r="AK640" s="265"/>
      <c r="AL640" s="265"/>
      <c r="AM640" s="265"/>
      <c r="AN640" s="265"/>
      <c r="AO640" s="265"/>
      <c r="AP640" s="265"/>
      <c r="AQ640" s="265"/>
      <c r="AS640" s="265"/>
      <c r="AT640" s="265"/>
      <c r="AU640" s="265"/>
      <c r="AV640" s="265"/>
      <c r="AW640" s="265"/>
      <c r="AX640" s="265"/>
      <c r="AY640" s="265"/>
      <c r="AZ640" s="265"/>
      <c r="BA640" s="265"/>
      <c r="BB640" s="265"/>
    </row>
    <row r="641" spans="1:250" s="167" customFormat="1" ht="15" thickBot="1">
      <c r="A641" s="266"/>
      <c r="B641" s="296" t="s">
        <v>165</v>
      </c>
      <c r="C641" s="297" t="str">
        <f t="shared" ref="C641:J641" si="62">IF(OR(C637="**",C637=""),"",VALUE(C637))</f>
        <v/>
      </c>
      <c r="D641" s="297" t="str">
        <f t="shared" si="62"/>
        <v/>
      </c>
      <c r="E641" s="297" t="str">
        <f t="shared" si="62"/>
        <v/>
      </c>
      <c r="F641" s="297" t="str">
        <f t="shared" si="62"/>
        <v/>
      </c>
      <c r="G641" s="297" t="str">
        <f t="shared" si="62"/>
        <v/>
      </c>
      <c r="H641" s="297" t="str">
        <f t="shared" si="62"/>
        <v/>
      </c>
      <c r="I641" s="297" t="str">
        <f t="shared" si="62"/>
        <v/>
      </c>
      <c r="J641" s="297" t="str">
        <f t="shared" si="62"/>
        <v/>
      </c>
      <c r="K641" s="260"/>
      <c r="L641" s="260"/>
      <c r="M641" s="260"/>
      <c r="N641" s="260"/>
      <c r="O641" s="260"/>
      <c r="P641" s="260"/>
      <c r="Q641" s="260"/>
      <c r="AI641" s="260"/>
      <c r="AJ641" s="260"/>
      <c r="AK641" s="260"/>
      <c r="AL641" s="260"/>
      <c r="AM641" s="260"/>
      <c r="AN641" s="260"/>
      <c r="AO641" s="260"/>
      <c r="AP641" s="260"/>
      <c r="AQ641" s="265"/>
      <c r="AR641" s="265"/>
      <c r="AS641" s="265"/>
      <c r="AT641" s="265"/>
      <c r="AU641" s="265"/>
      <c r="AV641" s="265"/>
      <c r="AW641" s="265"/>
      <c r="AX641" s="265"/>
      <c r="AY641" s="265"/>
      <c r="AZ641" s="265"/>
      <c r="BA641" s="265"/>
      <c r="BB641" s="265"/>
    </row>
    <row r="642" spans="1:250" s="167" customFormat="1">
      <c r="A642" s="169"/>
      <c r="B642" s="298" t="s">
        <v>385</v>
      </c>
      <c r="C642" s="195"/>
      <c r="D642" s="195"/>
      <c r="E642" s="195"/>
      <c r="F642" s="195"/>
      <c r="G642" s="195"/>
      <c r="H642" s="195"/>
      <c r="I642" s="195"/>
      <c r="J642" s="195"/>
      <c r="K642" s="264"/>
      <c r="L642" s="264"/>
      <c r="M642" s="264"/>
      <c r="N642" s="264"/>
      <c r="O642" s="264"/>
      <c r="P642" s="264"/>
      <c r="Q642" s="264"/>
      <c r="AI642" s="265"/>
      <c r="AJ642" s="265"/>
      <c r="AK642" s="265"/>
      <c r="AL642" s="265"/>
      <c r="AM642" s="265"/>
      <c r="AN642" s="265"/>
      <c r="AO642" s="265"/>
      <c r="AP642" s="265"/>
      <c r="AQ642" s="265"/>
      <c r="AR642" s="265"/>
      <c r="AS642" s="265"/>
      <c r="AT642" s="265"/>
      <c r="AU642" s="265"/>
      <c r="AV642" s="265"/>
      <c r="AW642" s="265"/>
      <c r="AX642" s="265"/>
      <c r="AY642" s="265"/>
      <c r="AZ642" s="265"/>
      <c r="BA642" s="265"/>
      <c r="BB642" s="265"/>
    </row>
    <row r="643" spans="1:250" s="167" customFormat="1">
      <c r="A643" s="169"/>
      <c r="B643" s="291" t="s">
        <v>158</v>
      </c>
      <c r="C643" s="258"/>
      <c r="D643" s="258"/>
      <c r="E643" s="258"/>
      <c r="F643" s="258"/>
      <c r="G643" s="258"/>
      <c r="H643" s="258"/>
      <c r="I643" s="258"/>
      <c r="J643" s="258"/>
      <c r="K643" s="264"/>
      <c r="L643" s="264"/>
      <c r="M643" s="264"/>
      <c r="N643" s="264"/>
      <c r="O643" s="264"/>
      <c r="P643" s="264"/>
      <c r="Q643" s="264"/>
      <c r="AI643" s="265"/>
      <c r="AJ643" s="265"/>
      <c r="AK643" s="265"/>
      <c r="AL643" s="265"/>
      <c r="AM643" s="265"/>
      <c r="AN643" s="265"/>
      <c r="AO643" s="265"/>
      <c r="AP643" s="265"/>
      <c r="AQ643" s="265"/>
      <c r="AR643" s="265"/>
      <c r="AS643" s="265"/>
      <c r="AT643" s="265"/>
      <c r="AU643" s="265"/>
      <c r="AV643" s="265"/>
      <c r="AW643" s="265"/>
      <c r="AX643" s="265"/>
      <c r="AY643" s="265"/>
      <c r="AZ643" s="265"/>
      <c r="BA643" s="265"/>
      <c r="BB643" s="265"/>
    </row>
    <row r="644" spans="1:250" s="167" customFormat="1">
      <c r="A644" s="169"/>
      <c r="B644" s="298" t="s">
        <v>345</v>
      </c>
      <c r="C644" s="258"/>
      <c r="D644" s="258"/>
      <c r="E644" s="258"/>
      <c r="F644" s="258"/>
      <c r="G644" s="258"/>
      <c r="H644" s="258"/>
      <c r="I644" s="258"/>
      <c r="J644" s="258"/>
      <c r="W644" s="265"/>
      <c r="X644" s="265"/>
      <c r="Y644" s="265"/>
      <c r="Z644" s="265"/>
      <c r="AA644" s="265"/>
      <c r="AB644" s="265"/>
      <c r="AC644" s="265"/>
      <c r="AD644" s="265"/>
      <c r="AE644" s="265"/>
      <c r="AF644" s="265"/>
      <c r="AG644" s="265"/>
      <c r="AH644" s="265"/>
      <c r="AI644" s="265"/>
      <c r="AJ644" s="265"/>
      <c r="AK644" s="265"/>
      <c r="AL644" s="265"/>
      <c r="AM644" s="265"/>
      <c r="AN644" s="265"/>
      <c r="AO644" s="265"/>
      <c r="AP644" s="265"/>
      <c r="AQ644" s="265"/>
      <c r="IF644" s="303"/>
      <c r="IG644" s="260"/>
      <c r="IH644" s="260"/>
      <c r="II644" s="260"/>
      <c r="IJ644" s="260"/>
      <c r="IK644" s="260"/>
      <c r="IL644" s="264"/>
      <c r="IM644" s="264"/>
      <c r="IN644" s="264"/>
      <c r="IO644" s="264"/>
      <c r="IP644" s="264"/>
    </row>
    <row r="645" spans="1:250" s="289" customFormat="1">
      <c r="F645" s="264"/>
      <c r="G645" s="264"/>
      <c r="H645" s="264"/>
      <c r="I645" s="264"/>
      <c r="J645" s="264"/>
      <c r="K645" s="167"/>
      <c r="L645" s="167"/>
      <c r="M645" s="167"/>
      <c r="N645" s="167"/>
      <c r="O645" s="167"/>
      <c r="P645" s="167"/>
      <c r="Q645" s="167"/>
      <c r="R645" s="167"/>
      <c r="S645" s="167"/>
      <c r="T645" s="167"/>
      <c r="U645" s="167"/>
      <c r="V645" s="167"/>
      <c r="W645" s="167"/>
      <c r="X645" s="167"/>
      <c r="Y645" s="167"/>
      <c r="Z645" s="167"/>
      <c r="AA645" s="167"/>
      <c r="AB645" s="167"/>
      <c r="AC645" s="167"/>
      <c r="AD645" s="265"/>
      <c r="AE645" s="265"/>
      <c r="AF645" s="265"/>
      <c r="AG645" s="265"/>
      <c r="AH645" s="265"/>
      <c r="AI645" s="265"/>
      <c r="AJ645" s="265"/>
      <c r="AK645" s="265"/>
      <c r="AL645" s="265"/>
      <c r="AM645" s="167"/>
      <c r="AN645" s="265"/>
      <c r="AO645" s="265"/>
      <c r="AP645" s="265"/>
      <c r="AQ645" s="265"/>
      <c r="AR645" s="265"/>
      <c r="AS645" s="265"/>
      <c r="AT645" s="265"/>
      <c r="AU645" s="265"/>
      <c r="AV645" s="265"/>
      <c r="AW645" s="265"/>
      <c r="AX645" s="167"/>
      <c r="AY645" s="291"/>
    </row>
    <row r="646" spans="1:250" s="183" customFormat="1">
      <c r="A646" s="289"/>
      <c r="B646" s="289"/>
      <c r="C646" s="289"/>
      <c r="D646" s="261"/>
      <c r="E646" s="261"/>
      <c r="F646" s="169"/>
      <c r="G646" s="169"/>
      <c r="H646" s="169"/>
      <c r="I646" s="169"/>
      <c r="J646" s="169"/>
      <c r="K646" s="167"/>
      <c r="L646" s="167"/>
      <c r="M646" s="167"/>
      <c r="N646" s="167"/>
      <c r="O646" s="167"/>
      <c r="P646" s="167"/>
      <c r="Q646" s="167"/>
      <c r="R646" s="167"/>
      <c r="S646" s="167"/>
      <c r="T646" s="167"/>
      <c r="U646" s="167"/>
      <c r="V646" s="167"/>
      <c r="W646" s="167"/>
      <c r="X646" s="167"/>
      <c r="Y646" s="167"/>
      <c r="Z646" s="167"/>
      <c r="AA646" s="167"/>
      <c r="AB646" s="265"/>
      <c r="AC646" s="265"/>
      <c r="AD646" s="265"/>
      <c r="AE646" s="265"/>
      <c r="AF646" s="265"/>
      <c r="AG646" s="265"/>
      <c r="AH646" s="265"/>
      <c r="AI646" s="265"/>
      <c r="AJ646" s="265"/>
      <c r="AK646" s="167"/>
      <c r="AL646" s="265"/>
      <c r="AM646" s="265"/>
      <c r="AN646" s="265"/>
      <c r="AO646" s="265"/>
      <c r="AP646" s="265"/>
      <c r="AQ646" s="265"/>
      <c r="AR646" s="265"/>
      <c r="AS646" s="265"/>
      <c r="AT646" s="265"/>
      <c r="AU646" s="265"/>
      <c r="AV646" s="167"/>
      <c r="AW646" s="291"/>
    </row>
    <row r="647" spans="1:250" s="264" customFormat="1">
      <c r="A647" s="183"/>
      <c r="B647" s="261"/>
      <c r="C647" s="261"/>
      <c r="D647" s="169"/>
      <c r="E647" s="169"/>
      <c r="F647" s="169"/>
      <c r="G647" s="169"/>
      <c r="H647" s="169"/>
      <c r="I647" s="169"/>
      <c r="J647" s="169"/>
      <c r="K647" s="167"/>
      <c r="L647" s="167"/>
      <c r="M647" s="167"/>
      <c r="N647" s="167"/>
      <c r="O647" s="167"/>
      <c r="P647" s="167"/>
      <c r="Q647" s="167"/>
      <c r="R647" s="167"/>
      <c r="S647" s="167"/>
      <c r="T647" s="167"/>
      <c r="U647" s="167"/>
      <c r="V647" s="167"/>
      <c r="W647" s="167"/>
      <c r="X647" s="167"/>
      <c r="Y647" s="167"/>
      <c r="Z647" s="265"/>
      <c r="AA647" s="265"/>
      <c r="AB647" s="265"/>
      <c r="AC647" s="265"/>
      <c r="AD647" s="265"/>
      <c r="AE647" s="265"/>
      <c r="AF647" s="265"/>
      <c r="AG647" s="265"/>
      <c r="AH647" s="265"/>
      <c r="AI647" s="167"/>
      <c r="AJ647" s="265"/>
      <c r="AK647" s="265"/>
      <c r="AL647" s="265"/>
      <c r="AM647" s="265"/>
      <c r="AN647" s="265"/>
      <c r="AO647" s="265"/>
      <c r="AP647" s="265"/>
      <c r="AQ647" s="265"/>
      <c r="AR647" s="265"/>
      <c r="AS647" s="265"/>
      <c r="AT647" s="167"/>
      <c r="AU647" s="291"/>
      <c r="AV647" s="300"/>
      <c r="AW647" s="300"/>
      <c r="AX647" s="300"/>
      <c r="AY647" s="300"/>
      <c r="AZ647" s="300"/>
      <c r="BA647" s="300"/>
      <c r="BB647" s="300"/>
    </row>
    <row r="648" spans="1:250" s="167" customFormat="1" ht="18" customHeight="1">
      <c r="A648" s="261"/>
      <c r="B648" s="169"/>
      <c r="C648" s="169"/>
      <c r="D648" s="169"/>
      <c r="E648" s="169"/>
      <c r="F648" s="169"/>
      <c r="G648" s="169"/>
      <c r="H648" s="169"/>
      <c r="I648" s="169"/>
      <c r="J648" s="169"/>
      <c r="X648" s="293"/>
      <c r="Y648" s="293"/>
      <c r="Z648" s="293"/>
      <c r="AA648" s="293"/>
      <c r="AB648" s="293"/>
      <c r="AC648" s="293"/>
      <c r="AD648" s="293"/>
      <c r="AE648" s="265"/>
      <c r="AF648" s="265"/>
      <c r="AH648" s="265"/>
      <c r="AI648" s="265"/>
      <c r="AJ648" s="265"/>
      <c r="AK648" s="265"/>
      <c r="AL648" s="265"/>
      <c r="AM648" s="265"/>
      <c r="AN648" s="265"/>
      <c r="AO648" s="265"/>
      <c r="AP648" s="265"/>
      <c r="AQ648" s="265"/>
      <c r="AS648" s="291"/>
      <c r="AT648" s="183"/>
      <c r="AU648" s="183"/>
      <c r="AV648" s="183"/>
      <c r="AW648" s="183"/>
      <c r="AX648" s="183"/>
      <c r="AY648" s="183"/>
      <c r="AZ648" s="183"/>
      <c r="BA648" s="183"/>
      <c r="BB648" s="264"/>
    </row>
    <row r="649" spans="1:250" s="167" customFormat="1" ht="18" customHeight="1">
      <c r="A649" s="169" t="s">
        <v>183</v>
      </c>
      <c r="B649" s="169"/>
      <c r="C649" s="169"/>
      <c r="D649" s="169"/>
      <c r="E649" s="169"/>
      <c r="F649" s="169"/>
      <c r="G649" s="169"/>
      <c r="H649" s="169"/>
      <c r="I649" s="169"/>
      <c r="J649" s="169"/>
      <c r="V649" s="265"/>
      <c r="W649" s="265"/>
      <c r="X649" s="265"/>
      <c r="Y649" s="265"/>
      <c r="Z649" s="265"/>
      <c r="AA649" s="265"/>
      <c r="AB649" s="265"/>
      <c r="AC649" s="265"/>
      <c r="AD649" s="265"/>
      <c r="AF649" s="265"/>
      <c r="AG649" s="265"/>
      <c r="AH649" s="265"/>
      <c r="AI649" s="265"/>
      <c r="AJ649" s="265"/>
      <c r="AK649" s="265"/>
      <c r="AL649" s="265"/>
      <c r="AM649" s="265"/>
      <c r="AN649" s="265"/>
      <c r="AO649" s="265"/>
      <c r="AQ649" s="291"/>
      <c r="AR649" s="183"/>
      <c r="AS649" s="183"/>
      <c r="AT649" s="183"/>
      <c r="AU649" s="183"/>
      <c r="AV649" s="183"/>
      <c r="AW649" s="183"/>
      <c r="AX649" s="183"/>
      <c r="AY649" s="183"/>
      <c r="AZ649" s="264"/>
      <c r="BA649" s="264"/>
    </row>
    <row r="650" spans="1:250" s="167" customFormat="1" ht="18" customHeight="1">
      <c r="A650" s="169">
        <v>7</v>
      </c>
      <c r="B650" s="169"/>
      <c r="C650" s="169"/>
      <c r="D650" s="169"/>
      <c r="E650" s="169"/>
      <c r="F650" s="169"/>
      <c r="G650" s="169"/>
      <c r="H650" s="169"/>
      <c r="I650" s="169"/>
      <c r="J650" s="169"/>
      <c r="T650" s="265"/>
      <c r="U650" s="265"/>
      <c r="V650" s="265"/>
      <c r="W650" s="265"/>
      <c r="X650" s="265"/>
      <c r="Y650" s="265"/>
      <c r="Z650" s="265"/>
      <c r="AA650" s="265"/>
      <c r="AB650" s="265"/>
      <c r="AD650" s="265"/>
      <c r="AE650" s="265"/>
      <c r="AF650" s="265"/>
      <c r="AG650" s="265"/>
      <c r="AH650" s="265"/>
      <c r="AI650" s="265"/>
      <c r="AJ650" s="265"/>
      <c r="AK650" s="265"/>
      <c r="AL650" s="265"/>
      <c r="AM650" s="265"/>
      <c r="AO650" s="311"/>
      <c r="AP650" s="260"/>
      <c r="AQ650" s="260"/>
      <c r="AR650" s="260"/>
      <c r="AS650" s="260"/>
      <c r="AT650" s="260"/>
      <c r="AU650" s="260"/>
      <c r="AV650" s="260"/>
      <c r="AW650" s="260"/>
      <c r="AX650" s="264"/>
      <c r="AY650" s="264"/>
    </row>
    <row r="651" spans="1:250" s="167" customFormat="1" ht="18" customHeight="1">
      <c r="A651" s="169"/>
      <c r="B651" s="169"/>
      <c r="C651" s="169"/>
      <c r="D651" s="169"/>
      <c r="E651" s="169"/>
      <c r="F651" s="169"/>
      <c r="G651" s="169"/>
      <c r="H651" s="169"/>
      <c r="I651" s="169"/>
      <c r="J651" s="169"/>
      <c r="R651" s="260"/>
      <c r="S651" s="260"/>
      <c r="T651" s="260"/>
      <c r="U651" s="260"/>
      <c r="V651" s="260"/>
      <c r="W651" s="260"/>
      <c r="X651" s="260"/>
      <c r="Y651" s="260"/>
      <c r="Z651" s="265"/>
      <c r="AA651" s="265"/>
      <c r="AB651" s="265"/>
      <c r="AC651" s="265"/>
      <c r="AD651" s="265"/>
      <c r="AE651" s="265"/>
      <c r="AF651" s="265"/>
      <c r="AG651" s="265"/>
      <c r="AH651" s="265"/>
      <c r="AI651" s="265"/>
      <c r="AJ651" s="265"/>
      <c r="AK651" s="265"/>
      <c r="AM651" s="303"/>
      <c r="AN651" s="265"/>
      <c r="AO651" s="265"/>
      <c r="AP651" s="265"/>
      <c r="AQ651" s="265"/>
      <c r="AR651" s="265"/>
      <c r="AS651" s="264"/>
      <c r="AT651" s="264"/>
      <c r="AU651" s="264"/>
      <c r="AV651" s="264"/>
      <c r="AW651" s="264"/>
    </row>
    <row r="652" spans="1:250" s="167" customFormat="1" ht="18" customHeight="1">
      <c r="A652" s="169"/>
      <c r="B652" s="169"/>
      <c r="C652" s="169"/>
      <c r="D652" s="169"/>
      <c r="E652" s="169"/>
      <c r="F652" s="169"/>
      <c r="G652" s="169"/>
      <c r="H652" s="169"/>
      <c r="I652" s="169"/>
      <c r="J652" s="169"/>
      <c r="R652" s="265"/>
      <c r="S652" s="265"/>
      <c r="T652" s="265"/>
      <c r="U652" s="265"/>
      <c r="V652" s="265"/>
      <c r="W652" s="265"/>
      <c r="X652" s="265"/>
      <c r="Y652" s="265"/>
      <c r="Z652" s="265"/>
      <c r="AA652" s="265"/>
      <c r="AB652" s="265"/>
      <c r="AC652" s="265"/>
      <c r="AD652" s="265"/>
      <c r="AE652" s="265"/>
      <c r="AF652" s="265"/>
      <c r="AG652" s="265"/>
      <c r="AH652" s="265"/>
      <c r="AI652" s="265"/>
      <c r="AK652" s="303"/>
      <c r="AL652" s="260"/>
      <c r="AM652" s="260"/>
      <c r="AN652" s="260"/>
      <c r="AO652" s="260"/>
      <c r="AP652" s="260"/>
      <c r="AQ652" s="264"/>
      <c r="AR652" s="264"/>
      <c r="AS652" s="264"/>
      <c r="AT652" s="264"/>
      <c r="AU652" s="264"/>
    </row>
    <row r="653" spans="1:250" s="167" customFormat="1" ht="18" customHeight="1">
      <c r="A653" s="169"/>
      <c r="B653" s="169"/>
      <c r="C653" s="169"/>
      <c r="D653" s="169"/>
      <c r="E653" s="169"/>
      <c r="F653" s="169"/>
      <c r="G653" s="169"/>
      <c r="H653" s="169"/>
      <c r="I653" s="169"/>
      <c r="J653" s="169"/>
      <c r="R653" s="265"/>
      <c r="S653" s="265"/>
      <c r="T653" s="265"/>
      <c r="U653" s="265"/>
      <c r="V653" s="265"/>
      <c r="W653" s="265"/>
      <c r="X653" s="265"/>
      <c r="Y653" s="265"/>
      <c r="Z653" s="265"/>
      <c r="AA653" s="265"/>
      <c r="AB653" s="265"/>
      <c r="AC653" s="265"/>
      <c r="AD653" s="265"/>
      <c r="AE653" s="265"/>
      <c r="AF653" s="265"/>
      <c r="AG653" s="265"/>
      <c r="AI653" s="303"/>
      <c r="AJ653" s="260"/>
      <c r="AK653" s="260"/>
      <c r="AL653" s="260"/>
      <c r="AM653" s="260"/>
      <c r="AN653" s="260"/>
      <c r="AO653" s="264"/>
      <c r="AP653" s="264"/>
      <c r="AQ653" s="264"/>
      <c r="AR653" s="264"/>
      <c r="AS653" s="264"/>
    </row>
    <row r="654" spans="1:250" s="167" customFormat="1" ht="18" customHeight="1">
      <c r="A654" s="169"/>
      <c r="B654" s="169"/>
      <c r="C654" s="169"/>
      <c r="D654" s="169"/>
      <c r="E654" s="169"/>
      <c r="F654" s="169"/>
      <c r="G654" s="169"/>
      <c r="H654" s="169"/>
      <c r="I654" s="169"/>
      <c r="J654" s="169"/>
      <c r="R654" s="265"/>
      <c r="S654" s="265"/>
      <c r="T654" s="265"/>
      <c r="U654" s="265"/>
      <c r="V654" s="265"/>
      <c r="W654" s="265"/>
      <c r="X654" s="265"/>
      <c r="Y654" s="265"/>
      <c r="Z654" s="265"/>
      <c r="AA654" s="265"/>
      <c r="AB654" s="265"/>
      <c r="AC654" s="265"/>
      <c r="AD654" s="265"/>
      <c r="AE654" s="265"/>
      <c r="AG654" s="303"/>
      <c r="AH654" s="260"/>
      <c r="AI654" s="260"/>
      <c r="AJ654" s="260"/>
      <c r="AK654" s="260"/>
      <c r="AL654" s="260"/>
      <c r="AM654" s="264"/>
      <c r="AN654" s="264"/>
      <c r="AO654" s="264"/>
      <c r="AP654" s="264"/>
      <c r="AQ654" s="264"/>
    </row>
    <row r="655" spans="1:250" s="167" customFormat="1" ht="18" customHeight="1">
      <c r="A655" s="169"/>
      <c r="B655" s="169"/>
      <c r="C655" s="169"/>
      <c r="D655" s="169"/>
      <c r="E655" s="169"/>
      <c r="F655" s="169"/>
      <c r="G655" s="169"/>
      <c r="H655" s="169"/>
      <c r="I655" s="169"/>
      <c r="J655" s="169"/>
      <c r="R655" s="265"/>
      <c r="S655" s="265"/>
      <c r="T655" s="265"/>
      <c r="U655" s="265"/>
      <c r="V655" s="265"/>
      <c r="W655" s="265"/>
      <c r="X655" s="265"/>
      <c r="Y655" s="265"/>
      <c r="Z655" s="265"/>
      <c r="AA655" s="265"/>
      <c r="AB655" s="265"/>
      <c r="AC655" s="265"/>
      <c r="AE655" s="303"/>
      <c r="AF655" s="260"/>
      <c r="AG655" s="260"/>
      <c r="AH655" s="260"/>
      <c r="AI655" s="260"/>
      <c r="AJ655" s="260"/>
      <c r="AK655" s="264"/>
      <c r="AL655" s="264"/>
      <c r="AM655" s="264"/>
      <c r="AN655" s="264"/>
      <c r="AO655" s="264"/>
    </row>
    <row r="656" spans="1:250" s="167" customFormat="1" ht="18" customHeight="1">
      <c r="A656" s="169"/>
      <c r="B656" s="169"/>
      <c r="C656" s="169"/>
      <c r="D656" s="169"/>
      <c r="E656" s="169"/>
      <c r="F656" s="169"/>
      <c r="G656" s="169"/>
      <c r="H656" s="169"/>
      <c r="I656" s="169"/>
      <c r="J656" s="169"/>
      <c r="R656" s="265"/>
      <c r="S656" s="265"/>
      <c r="T656" s="265"/>
      <c r="U656" s="265"/>
      <c r="V656" s="265"/>
      <c r="W656" s="265"/>
      <c r="X656" s="265"/>
      <c r="Y656" s="265"/>
      <c r="Z656" s="265"/>
      <c r="AA656" s="265"/>
      <c r="AC656" s="303"/>
      <c r="AD656" s="260"/>
      <c r="AE656" s="260"/>
      <c r="AF656" s="260"/>
      <c r="AG656" s="260"/>
      <c r="AH656" s="260"/>
      <c r="AI656" s="264"/>
      <c r="AJ656" s="264"/>
      <c r="AK656" s="264"/>
      <c r="AL656" s="264"/>
      <c r="AM656" s="264"/>
    </row>
    <row r="657" spans="1:55" s="167" customFormat="1" ht="18" customHeight="1">
      <c r="A657" s="169"/>
      <c r="B657" s="169"/>
      <c r="C657" s="169"/>
      <c r="D657" s="169"/>
      <c r="E657" s="169"/>
      <c r="F657" s="169"/>
      <c r="G657" s="169"/>
      <c r="H657" s="169"/>
      <c r="I657" s="169"/>
      <c r="J657" s="169"/>
      <c r="R657" s="265"/>
      <c r="S657" s="265"/>
      <c r="T657" s="265"/>
      <c r="U657" s="265"/>
      <c r="V657" s="265"/>
      <c r="W657" s="265"/>
      <c r="X657" s="265"/>
      <c r="Y657" s="265"/>
      <c r="AA657" s="303"/>
      <c r="AB657" s="260"/>
      <c r="AC657" s="260"/>
      <c r="AD657" s="260"/>
      <c r="AE657" s="260"/>
      <c r="AF657" s="260"/>
      <c r="AG657" s="264"/>
      <c r="AH657" s="264"/>
      <c r="AI657" s="264"/>
      <c r="AJ657" s="264"/>
      <c r="AK657" s="264"/>
    </row>
    <row r="658" spans="1:55" s="167" customFormat="1" ht="18" customHeight="1">
      <c r="A658" s="169"/>
      <c r="B658" s="169"/>
      <c r="C658" s="169"/>
      <c r="D658" s="169"/>
      <c r="E658" s="169"/>
      <c r="F658" s="169"/>
      <c r="G658" s="169"/>
      <c r="H658" s="169"/>
      <c r="I658" s="169"/>
      <c r="J658" s="169"/>
      <c r="R658" s="265"/>
      <c r="S658" s="265"/>
      <c r="T658" s="265"/>
      <c r="U658" s="265"/>
      <c r="V658" s="265"/>
      <c r="W658" s="265"/>
      <c r="Y658" s="301"/>
      <c r="Z658" s="303"/>
      <c r="AA658" s="260"/>
      <c r="AB658" s="260"/>
      <c r="AC658" s="260"/>
      <c r="AD658" s="260"/>
      <c r="AE658" s="260"/>
      <c r="AF658" s="264"/>
      <c r="AG658" s="264"/>
      <c r="AH658" s="264"/>
      <c r="AI658" s="264"/>
      <c r="AJ658" s="264"/>
    </row>
    <row r="659" spans="1:55" s="274" customFormat="1" ht="18" customHeight="1">
      <c r="A659" s="270">
        <f>A629+1</f>
        <v>22</v>
      </c>
      <c r="B659" s="271"/>
      <c r="C659" s="272" t="str">
        <f>IF($A$1 = 1, (IF("("&amp;C669&amp;")" ="()","","("&amp;C669&amp;")")), (IF("("&amp;C674&amp;")    ("&amp;C669&amp;")"="()    ()","","("&amp;C674&amp;")    ("&amp;C669&amp;")")))</f>
        <v/>
      </c>
      <c r="D659" s="272" t="str">
        <f t="shared" ref="D659:J659" si="63">IF($A$1 = 1, (IF("("&amp;D669&amp;")" ="()","","("&amp;D669&amp;")")), (IF("("&amp;D674&amp;")    ("&amp;D669&amp;")"="()    ()","","("&amp;D674&amp;")    ("&amp;D669&amp;")")))</f>
        <v/>
      </c>
      <c r="E659" s="272" t="str">
        <f t="shared" si="63"/>
        <v/>
      </c>
      <c r="F659" s="272" t="str">
        <f t="shared" si="63"/>
        <v/>
      </c>
      <c r="G659" s="272" t="str">
        <f t="shared" si="63"/>
        <v/>
      </c>
      <c r="H659" s="272" t="str">
        <f t="shared" si="63"/>
        <v/>
      </c>
      <c r="I659" s="272" t="str">
        <f t="shared" si="63"/>
        <v/>
      </c>
      <c r="J659" s="272" t="str">
        <f t="shared" si="63"/>
        <v/>
      </c>
      <c r="K659" s="273"/>
      <c r="L659" s="273"/>
      <c r="M659" s="273"/>
      <c r="N659" s="273"/>
      <c r="O659" s="273"/>
      <c r="P659" s="273"/>
      <c r="Q659" s="273"/>
      <c r="AI659" s="275"/>
      <c r="AJ659" s="275"/>
      <c r="AK659" s="275"/>
      <c r="AL659" s="275"/>
      <c r="AM659" s="275"/>
      <c r="AN659" s="275"/>
      <c r="AO659" s="275"/>
      <c r="AP659" s="275"/>
      <c r="AQ659" s="275"/>
      <c r="AR659" s="275"/>
      <c r="AS659" s="275"/>
      <c r="AT659" s="275"/>
      <c r="AU659" s="275"/>
      <c r="AV659" s="275"/>
      <c r="AW659" s="275"/>
      <c r="AX659" s="275"/>
      <c r="AY659" s="275"/>
      <c r="AZ659" s="275"/>
      <c r="BA659" s="275"/>
      <c r="BB659" s="275"/>
      <c r="BC659" s="275"/>
    </row>
    <row r="660" spans="1:55" s="280" customFormat="1" ht="59.1" customHeight="1">
      <c r="A660" s="276"/>
      <c r="B660" s="277"/>
      <c r="C660" s="278"/>
      <c r="D660" s="278"/>
      <c r="E660" s="278"/>
      <c r="F660" s="278"/>
      <c r="G660" s="278"/>
      <c r="H660" s="278"/>
      <c r="I660" s="278"/>
      <c r="J660" s="278"/>
      <c r="K660" s="279"/>
      <c r="L660" s="279"/>
      <c r="M660" s="279"/>
      <c r="N660" s="279"/>
      <c r="O660" s="279"/>
      <c r="P660" s="279"/>
      <c r="Q660" s="279"/>
      <c r="AI660" s="281"/>
      <c r="AJ660" s="281"/>
      <c r="AK660" s="281"/>
      <c r="AL660" s="281"/>
      <c r="AM660" s="281"/>
      <c r="AN660" s="281"/>
      <c r="AO660" s="281"/>
      <c r="AP660" s="281"/>
      <c r="AQ660" s="281"/>
      <c r="AS660" s="281"/>
      <c r="AT660" s="281"/>
      <c r="AU660" s="281"/>
      <c r="AV660" s="281"/>
      <c r="AW660" s="281"/>
      <c r="AX660" s="281"/>
      <c r="AY660" s="281"/>
      <c r="AZ660" s="281"/>
      <c r="BA660" s="281"/>
      <c r="BB660" s="281"/>
      <c r="BC660" s="281"/>
    </row>
    <row r="661" spans="1:55" s="167" customFormat="1" ht="21.95" customHeight="1">
      <c r="A661" s="266"/>
      <c r="B661" s="282" t="s">
        <v>3</v>
      </c>
      <c r="C661" s="283"/>
      <c r="D661" s="283"/>
      <c r="E661" s="283"/>
      <c r="F661" s="283"/>
      <c r="G661" s="283"/>
      <c r="H661" s="283"/>
      <c r="I661" s="283"/>
      <c r="J661" s="283"/>
      <c r="K661" s="284"/>
      <c r="L661" s="284"/>
      <c r="M661" s="284"/>
      <c r="N661" s="284"/>
      <c r="O661" s="284"/>
      <c r="P661" s="284"/>
      <c r="Q661" s="284"/>
      <c r="AI661" s="265"/>
      <c r="AJ661" s="265"/>
      <c r="AK661" s="265"/>
      <c r="AL661" s="265"/>
      <c r="AM661" s="265"/>
      <c r="AN661" s="265"/>
      <c r="AO661" s="265"/>
      <c r="AP661" s="265"/>
      <c r="AQ661" s="265"/>
      <c r="AS661" s="265"/>
      <c r="AT661" s="265"/>
      <c r="AU661" s="265"/>
      <c r="AV661" s="265"/>
      <c r="AW661" s="265"/>
      <c r="AX661" s="265"/>
      <c r="AY661" s="265"/>
      <c r="AZ661" s="265"/>
      <c r="BA661" s="265"/>
      <c r="BB661" s="265"/>
      <c r="BC661" s="265"/>
    </row>
    <row r="662" spans="1:55" s="167" customFormat="1" ht="21.95" customHeight="1">
      <c r="A662" s="266"/>
      <c r="B662" s="285" t="s">
        <v>18</v>
      </c>
      <c r="C662" s="283"/>
      <c r="D662" s="283"/>
      <c r="E662" s="283"/>
      <c r="F662" s="283"/>
      <c r="G662" s="283"/>
      <c r="H662" s="283"/>
      <c r="I662" s="283"/>
      <c r="J662" s="283"/>
      <c r="K662" s="286"/>
      <c r="L662" s="286"/>
      <c r="M662" s="286"/>
      <c r="N662" s="286"/>
      <c r="O662" s="286"/>
      <c r="P662" s="286"/>
      <c r="Q662" s="286"/>
      <c r="AI662" s="265"/>
      <c r="AJ662" s="265"/>
      <c r="AK662" s="265"/>
      <c r="AL662" s="265"/>
      <c r="AM662" s="265"/>
      <c r="AN662" s="265"/>
      <c r="AO662" s="265"/>
      <c r="AP662" s="265"/>
      <c r="AQ662" s="265"/>
      <c r="AS662" s="265"/>
      <c r="AT662" s="265"/>
      <c r="AU662" s="265"/>
      <c r="AV662" s="265"/>
      <c r="AW662" s="265"/>
      <c r="AX662" s="265"/>
      <c r="AY662" s="265"/>
      <c r="AZ662" s="265"/>
      <c r="BA662" s="265"/>
      <c r="BB662" s="265"/>
      <c r="BC662" s="265"/>
    </row>
    <row r="663" spans="1:55" s="167" customFormat="1" ht="21.95" customHeight="1">
      <c r="A663" s="169"/>
      <c r="B663" s="287" t="s">
        <v>32</v>
      </c>
      <c r="C663" s="283"/>
      <c r="D663" s="283"/>
      <c r="E663" s="283"/>
      <c r="F663" s="283"/>
      <c r="G663" s="283"/>
      <c r="H663" s="283"/>
      <c r="I663" s="283"/>
      <c r="J663" s="283"/>
      <c r="K663" s="286"/>
      <c r="L663" s="286"/>
      <c r="M663" s="286"/>
      <c r="N663" s="286"/>
      <c r="O663" s="286"/>
      <c r="P663" s="286"/>
      <c r="Q663" s="286"/>
      <c r="AI663" s="265"/>
      <c r="AJ663" s="265"/>
      <c r="AK663" s="265"/>
      <c r="AL663" s="265"/>
      <c r="AM663" s="265"/>
      <c r="AN663" s="265"/>
      <c r="AO663" s="265"/>
      <c r="AP663" s="265"/>
      <c r="AQ663" s="265"/>
      <c r="AS663" s="265"/>
      <c r="AT663" s="265"/>
      <c r="AU663" s="265"/>
      <c r="AV663" s="265"/>
      <c r="AW663" s="265"/>
      <c r="AX663" s="265"/>
      <c r="AY663" s="265"/>
      <c r="AZ663" s="265"/>
      <c r="BA663" s="265"/>
      <c r="BB663" s="265"/>
    </row>
    <row r="664" spans="1:55" s="167" customFormat="1" ht="21.95" customHeight="1">
      <c r="A664" s="169"/>
      <c r="B664" s="288" t="s">
        <v>45</v>
      </c>
      <c r="C664" s="283"/>
      <c r="D664" s="283"/>
      <c r="E664" s="283"/>
      <c r="F664" s="283"/>
      <c r="G664" s="283"/>
      <c r="H664" s="283"/>
      <c r="I664" s="283"/>
      <c r="J664" s="283"/>
      <c r="K664" s="286"/>
      <c r="L664" s="286"/>
      <c r="M664" s="286"/>
      <c r="N664" s="286"/>
      <c r="O664" s="286"/>
      <c r="P664" s="286"/>
      <c r="Q664" s="286"/>
      <c r="AI664" s="265"/>
      <c r="AJ664" s="265"/>
      <c r="AK664" s="265"/>
      <c r="AL664" s="265"/>
      <c r="AM664" s="265"/>
      <c r="AN664" s="265"/>
      <c r="AO664" s="265"/>
      <c r="AP664" s="265"/>
      <c r="AQ664" s="265"/>
      <c r="AS664" s="265"/>
      <c r="AT664" s="265"/>
      <c r="AU664" s="265"/>
      <c r="AV664" s="265"/>
      <c r="AW664" s="265"/>
      <c r="AX664" s="265"/>
      <c r="AY664" s="265"/>
      <c r="AZ664" s="265"/>
      <c r="BA664" s="265"/>
      <c r="BB664" s="265"/>
    </row>
    <row r="665" spans="1:55" s="167" customFormat="1" ht="21.95" customHeight="1">
      <c r="A665" s="169"/>
      <c r="B665" s="290" t="s">
        <v>54</v>
      </c>
      <c r="C665" s="283"/>
      <c r="D665" s="283"/>
      <c r="E665" s="283"/>
      <c r="F665" s="283"/>
      <c r="G665" s="283"/>
      <c r="H665" s="283"/>
      <c r="I665" s="283"/>
      <c r="J665" s="283"/>
      <c r="K665" s="286"/>
      <c r="L665" s="286"/>
      <c r="M665" s="286"/>
      <c r="N665" s="286"/>
      <c r="O665" s="286"/>
      <c r="P665" s="286"/>
      <c r="Q665" s="286"/>
      <c r="AI665" s="265"/>
      <c r="AJ665" s="265"/>
      <c r="AK665" s="265"/>
      <c r="AL665" s="265"/>
      <c r="AM665" s="265"/>
      <c r="AN665" s="265"/>
      <c r="AO665" s="265"/>
      <c r="AP665" s="265"/>
      <c r="AQ665" s="265"/>
      <c r="AS665" s="265"/>
      <c r="AT665" s="265"/>
      <c r="AU665" s="265"/>
      <c r="AV665" s="265"/>
      <c r="AW665" s="265"/>
      <c r="AX665" s="265"/>
      <c r="AY665" s="265"/>
      <c r="AZ665" s="265"/>
      <c r="BA665" s="265"/>
      <c r="BB665" s="265"/>
    </row>
    <row r="666" spans="1:55" s="167" customFormat="1">
      <c r="A666" s="169"/>
      <c r="B666" s="291" t="s">
        <v>66</v>
      </c>
      <c r="C666" s="286"/>
      <c r="D666" s="286"/>
      <c r="E666" s="286"/>
      <c r="F666" s="286"/>
      <c r="G666" s="286"/>
      <c r="H666" s="286"/>
      <c r="I666" s="286"/>
      <c r="J666" s="286"/>
      <c r="K666" s="286"/>
      <c r="L666" s="286"/>
      <c r="M666" s="286"/>
      <c r="N666" s="286"/>
      <c r="O666" s="286"/>
      <c r="P666" s="286"/>
      <c r="Q666" s="286"/>
      <c r="AI666" s="265"/>
      <c r="AJ666" s="265"/>
      <c r="AK666" s="265"/>
      <c r="AL666" s="265"/>
      <c r="AM666" s="265"/>
      <c r="AN666" s="265"/>
      <c r="AO666" s="265"/>
      <c r="AP666" s="265"/>
      <c r="AQ666" s="265"/>
      <c r="AS666" s="265"/>
      <c r="AT666" s="265"/>
      <c r="AU666" s="265"/>
      <c r="AV666" s="265"/>
      <c r="AW666" s="265"/>
      <c r="AX666" s="265"/>
      <c r="AY666" s="265"/>
      <c r="AZ666" s="265"/>
      <c r="BA666" s="265"/>
      <c r="BB666" s="265"/>
    </row>
    <row r="667" spans="1:55" s="167" customFormat="1">
      <c r="A667" s="169"/>
      <c r="B667" s="291" t="s">
        <v>158</v>
      </c>
      <c r="C667" s="292"/>
      <c r="D667" s="292"/>
      <c r="E667" s="292"/>
      <c r="F667" s="292"/>
      <c r="G667" s="292"/>
      <c r="H667" s="292"/>
      <c r="I667" s="292"/>
      <c r="J667" s="292"/>
      <c r="K667" s="292"/>
      <c r="L667" s="292"/>
      <c r="M667" s="292"/>
      <c r="N667" s="292"/>
      <c r="O667" s="292"/>
      <c r="P667" s="292"/>
      <c r="Q667" s="292"/>
      <c r="AI667" s="265"/>
      <c r="AJ667" s="265"/>
      <c r="AK667" s="265"/>
      <c r="AL667" s="265"/>
      <c r="AM667" s="265"/>
      <c r="AN667" s="265"/>
      <c r="AO667" s="265"/>
      <c r="AP667" s="265"/>
      <c r="AQ667" s="265"/>
      <c r="AS667" s="265"/>
      <c r="AT667" s="265"/>
      <c r="AU667" s="265"/>
      <c r="AV667" s="265"/>
      <c r="AW667" s="265"/>
      <c r="AX667" s="265"/>
      <c r="AY667" s="265"/>
      <c r="AZ667" s="265"/>
      <c r="BA667" s="265"/>
      <c r="BB667" s="265"/>
    </row>
    <row r="668" spans="1:55" s="167" customFormat="1">
      <c r="A668" s="169"/>
      <c r="B668" s="291" t="s">
        <v>189</v>
      </c>
      <c r="C668" s="292"/>
      <c r="D668" s="292"/>
      <c r="E668" s="292"/>
      <c r="F668" s="292"/>
      <c r="G668" s="292"/>
      <c r="H668" s="292"/>
      <c r="I668" s="292"/>
      <c r="J668" s="292"/>
      <c r="K668" s="292"/>
      <c r="L668" s="292"/>
      <c r="M668" s="292"/>
      <c r="N668" s="292"/>
      <c r="O668" s="292"/>
      <c r="P668" s="292"/>
      <c r="Q668" s="292"/>
      <c r="AI668" s="293"/>
      <c r="AJ668" s="293"/>
      <c r="AK668" s="293"/>
      <c r="AL668" s="293"/>
      <c r="AM668" s="293"/>
      <c r="AN668" s="265"/>
      <c r="AO668" s="265"/>
      <c r="AP668" s="265"/>
      <c r="AQ668" s="265"/>
      <c r="AS668" s="265"/>
      <c r="AT668" s="265"/>
      <c r="AU668" s="265"/>
      <c r="AV668" s="265"/>
      <c r="AW668" s="265"/>
      <c r="AX668" s="265"/>
      <c r="AY668" s="265"/>
      <c r="AZ668" s="265"/>
      <c r="BA668" s="265"/>
      <c r="BB668" s="265"/>
    </row>
    <row r="669" spans="1:55" s="167" customFormat="1" ht="15" thickBot="1">
      <c r="A669" s="169"/>
      <c r="B669" s="291" t="s">
        <v>345</v>
      </c>
      <c r="C669" s="292"/>
      <c r="D669" s="292"/>
      <c r="E669" s="292"/>
      <c r="F669" s="292"/>
      <c r="G669" s="292"/>
      <c r="H669" s="292"/>
      <c r="I669" s="292"/>
      <c r="J669" s="292"/>
      <c r="K669" s="292"/>
      <c r="L669" s="292"/>
      <c r="M669" s="292"/>
      <c r="N669" s="292"/>
      <c r="O669" s="292"/>
      <c r="P669" s="292"/>
      <c r="Q669" s="292"/>
      <c r="AI669" s="265"/>
      <c r="AJ669" s="265"/>
      <c r="AK669" s="265"/>
      <c r="AL669" s="265"/>
      <c r="AM669" s="265"/>
      <c r="AN669" s="265"/>
      <c r="AO669" s="265"/>
      <c r="AP669" s="265"/>
      <c r="AQ669" s="265"/>
      <c r="AS669" s="265"/>
      <c r="AT669" s="265"/>
      <c r="AU669" s="265"/>
      <c r="AV669" s="265"/>
      <c r="AW669" s="265"/>
      <c r="AX669" s="265"/>
      <c r="AY669" s="265"/>
      <c r="AZ669" s="265"/>
      <c r="BA669" s="265"/>
      <c r="BB669" s="265"/>
    </row>
    <row r="670" spans="1:55" s="167" customFormat="1">
      <c r="A670" s="266"/>
      <c r="B670" s="294" t="s">
        <v>166</v>
      </c>
      <c r="C670" s="295" t="str">
        <f>IF(OR(C673="**",C673=""),"",VALUE(C673))</f>
        <v/>
      </c>
      <c r="D670" s="295" t="str">
        <f t="shared" ref="D670:J670" si="64">IF(OR(D673="**",D673=""),"",VALUE(D673))</f>
        <v/>
      </c>
      <c r="E670" s="295" t="str">
        <f t="shared" si="64"/>
        <v/>
      </c>
      <c r="F670" s="295" t="str">
        <f t="shared" si="64"/>
        <v/>
      </c>
      <c r="G670" s="295" t="str">
        <f t="shared" si="64"/>
        <v/>
      </c>
      <c r="H670" s="295" t="str">
        <f t="shared" si="64"/>
        <v/>
      </c>
      <c r="I670" s="295" t="str">
        <f t="shared" si="64"/>
        <v/>
      </c>
      <c r="J670" s="295" t="str">
        <f t="shared" si="64"/>
        <v/>
      </c>
      <c r="K670" s="183"/>
      <c r="L670" s="183"/>
      <c r="M670" s="183"/>
      <c r="N670" s="183"/>
      <c r="O670" s="183"/>
      <c r="P670" s="183"/>
      <c r="Q670" s="183"/>
      <c r="AI670" s="265"/>
      <c r="AJ670" s="265"/>
      <c r="AK670" s="265"/>
      <c r="AL670" s="265"/>
      <c r="AM670" s="265"/>
      <c r="AN670" s="265"/>
      <c r="AO670" s="265"/>
      <c r="AP670" s="265"/>
      <c r="AQ670" s="265"/>
      <c r="AS670" s="265"/>
      <c r="AT670" s="265"/>
      <c r="AU670" s="265"/>
      <c r="AV670" s="265"/>
      <c r="AW670" s="265"/>
      <c r="AX670" s="265"/>
      <c r="AY670" s="265"/>
      <c r="AZ670" s="265"/>
      <c r="BA670" s="265"/>
      <c r="BB670" s="265"/>
    </row>
    <row r="671" spans="1:55" s="167" customFormat="1" ht="15" thickBot="1">
      <c r="A671" s="266"/>
      <c r="B671" s="296" t="s">
        <v>165</v>
      </c>
      <c r="C671" s="297" t="str">
        <f t="shared" ref="C671:J671" si="65">IF(OR(C667="**",C667=""),"",VALUE(C667))</f>
        <v/>
      </c>
      <c r="D671" s="297" t="str">
        <f t="shared" si="65"/>
        <v/>
      </c>
      <c r="E671" s="297" t="str">
        <f t="shared" si="65"/>
        <v/>
      </c>
      <c r="F671" s="297" t="str">
        <f t="shared" si="65"/>
        <v/>
      </c>
      <c r="G671" s="297" t="str">
        <f t="shared" si="65"/>
        <v/>
      </c>
      <c r="H671" s="297" t="str">
        <f t="shared" si="65"/>
        <v/>
      </c>
      <c r="I671" s="297" t="str">
        <f t="shared" si="65"/>
        <v/>
      </c>
      <c r="J671" s="297" t="str">
        <f t="shared" si="65"/>
        <v/>
      </c>
      <c r="K671" s="260"/>
      <c r="L671" s="260"/>
      <c r="M671" s="260"/>
      <c r="N671" s="260"/>
      <c r="O671" s="260"/>
      <c r="P671" s="260"/>
      <c r="Q671" s="260"/>
      <c r="AI671" s="260"/>
      <c r="AJ671" s="260"/>
      <c r="AK671" s="260"/>
      <c r="AL671" s="260"/>
      <c r="AM671" s="260"/>
      <c r="AN671" s="260"/>
      <c r="AO671" s="260"/>
      <c r="AP671" s="260"/>
      <c r="AQ671" s="265"/>
      <c r="AR671" s="265"/>
      <c r="AS671" s="265"/>
      <c r="AT671" s="265"/>
      <c r="AU671" s="265"/>
      <c r="AV671" s="265"/>
      <c r="AW671" s="265"/>
      <c r="AX671" s="265"/>
      <c r="AY671" s="265"/>
      <c r="AZ671" s="265"/>
      <c r="BA671" s="265"/>
      <c r="BB671" s="265"/>
    </row>
    <row r="672" spans="1:55" s="167" customFormat="1">
      <c r="A672" s="169"/>
      <c r="B672" s="298" t="s">
        <v>385</v>
      </c>
      <c r="C672" s="195"/>
      <c r="D672" s="195"/>
      <c r="E672" s="195"/>
      <c r="F672" s="195"/>
      <c r="G672" s="195"/>
      <c r="H672" s="195"/>
      <c r="I672" s="195"/>
      <c r="J672" s="195"/>
      <c r="K672" s="264"/>
      <c r="L672" s="264"/>
      <c r="M672" s="264"/>
      <c r="N672" s="264"/>
      <c r="O672" s="264"/>
      <c r="P672" s="264"/>
      <c r="Q672" s="264"/>
      <c r="AI672" s="265"/>
      <c r="AJ672" s="265"/>
      <c r="AK672" s="265"/>
      <c r="AL672" s="265"/>
      <c r="AM672" s="265"/>
      <c r="AN672" s="265"/>
      <c r="AO672" s="265"/>
      <c r="AP672" s="265"/>
      <c r="AQ672" s="265"/>
      <c r="AR672" s="265"/>
      <c r="AS672" s="265"/>
      <c r="AT672" s="265"/>
      <c r="AU672" s="265"/>
      <c r="AV672" s="265"/>
      <c r="AW672" s="265"/>
      <c r="AX672" s="265"/>
      <c r="AY672" s="265"/>
      <c r="AZ672" s="265"/>
      <c r="BA672" s="265"/>
      <c r="BB672" s="265"/>
    </row>
    <row r="673" spans="1:250" s="167" customFormat="1">
      <c r="A673" s="169"/>
      <c r="B673" s="291" t="s">
        <v>158</v>
      </c>
      <c r="C673" s="258"/>
      <c r="D673" s="258"/>
      <c r="E673" s="258"/>
      <c r="F673" s="258"/>
      <c r="G673" s="258"/>
      <c r="H673" s="258"/>
      <c r="I673" s="258"/>
      <c r="J673" s="258"/>
      <c r="K673" s="264"/>
      <c r="L673" s="264"/>
      <c r="M673" s="264"/>
      <c r="N673" s="264"/>
      <c r="O673" s="264"/>
      <c r="P673" s="264"/>
      <c r="Q673" s="264"/>
      <c r="AI673" s="265"/>
      <c r="AJ673" s="265"/>
      <c r="AK673" s="265"/>
      <c r="AL673" s="265"/>
      <c r="AM673" s="265"/>
      <c r="AN673" s="265"/>
      <c r="AO673" s="265"/>
      <c r="AP673" s="265"/>
      <c r="AQ673" s="265"/>
      <c r="AR673" s="265"/>
      <c r="AS673" s="265"/>
      <c r="AT673" s="265"/>
      <c r="AU673" s="265"/>
      <c r="AV673" s="265"/>
      <c r="AW673" s="265"/>
      <c r="AX673" s="265"/>
      <c r="AY673" s="265"/>
      <c r="AZ673" s="265"/>
      <c r="BA673" s="265"/>
      <c r="BB673" s="265"/>
    </row>
    <row r="674" spans="1:250" s="167" customFormat="1">
      <c r="A674" s="169"/>
      <c r="B674" s="298" t="s">
        <v>345</v>
      </c>
      <c r="C674" s="258"/>
      <c r="D674" s="258"/>
      <c r="E674" s="258"/>
      <c r="F674" s="258"/>
      <c r="G674" s="258"/>
      <c r="H674" s="258"/>
      <c r="I674" s="258"/>
      <c r="J674" s="258"/>
      <c r="W674" s="265"/>
      <c r="X674" s="265"/>
      <c r="Y674" s="265"/>
      <c r="Z674" s="265"/>
      <c r="AA674" s="265"/>
      <c r="AB674" s="265"/>
      <c r="AC674" s="265"/>
      <c r="AD674" s="265"/>
      <c r="AE674" s="265"/>
      <c r="AF674" s="265"/>
      <c r="AG674" s="265"/>
      <c r="AH674" s="265"/>
      <c r="AI674" s="265"/>
      <c r="AJ674" s="265"/>
      <c r="AK674" s="265"/>
      <c r="AL674" s="265"/>
      <c r="AM674" s="265"/>
      <c r="AN674" s="265"/>
      <c r="AO674" s="265"/>
      <c r="AP674" s="265"/>
      <c r="AQ674" s="265"/>
      <c r="IF674" s="303"/>
      <c r="IG674" s="260"/>
      <c r="IH674" s="260"/>
      <c r="II674" s="260"/>
      <c r="IJ674" s="260"/>
      <c r="IK674" s="260"/>
      <c r="IL674" s="264"/>
      <c r="IM674" s="264"/>
      <c r="IN674" s="264"/>
      <c r="IO674" s="264"/>
      <c r="IP674" s="264"/>
    </row>
    <row r="675" spans="1:250" s="167" customFormat="1">
      <c r="A675" s="169"/>
      <c r="B675" s="169"/>
      <c r="C675" s="169"/>
      <c r="D675" s="169"/>
      <c r="E675" s="169"/>
      <c r="F675" s="169"/>
      <c r="G675" s="169"/>
      <c r="H675" s="169"/>
      <c r="I675" s="169"/>
      <c r="J675" s="169"/>
    </row>
    <row r="676" spans="1:250" s="167" customFormat="1">
      <c r="A676" s="169"/>
      <c r="B676" s="169"/>
      <c r="C676" s="169"/>
      <c r="D676" s="169"/>
      <c r="E676" s="169"/>
      <c r="F676" s="169"/>
      <c r="G676" s="169"/>
      <c r="H676" s="169"/>
      <c r="I676" s="169"/>
      <c r="J676" s="169"/>
      <c r="K676" s="265"/>
      <c r="L676" s="265"/>
      <c r="M676" s="265"/>
      <c r="N676" s="265"/>
      <c r="O676" s="265"/>
      <c r="P676" s="265"/>
      <c r="Q676" s="265"/>
    </row>
    <row r="677" spans="1:250" s="167" customFormat="1">
      <c r="A677" s="169"/>
      <c r="B677" s="169"/>
      <c r="C677" s="169"/>
      <c r="D677" s="169"/>
      <c r="E677" s="169"/>
      <c r="F677" s="169"/>
      <c r="G677" s="195"/>
      <c r="H677" s="195"/>
      <c r="I677" s="195"/>
      <c r="J677" s="195"/>
      <c r="K677" s="265"/>
      <c r="L677" s="265"/>
      <c r="M677" s="265"/>
      <c r="N677" s="265"/>
      <c r="O677" s="265"/>
      <c r="P677" s="265"/>
      <c r="Q677" s="265"/>
    </row>
    <row r="678" spans="1:250" s="167" customFormat="1" ht="18" customHeight="1">
      <c r="A678" s="169"/>
      <c r="B678" s="169"/>
      <c r="C678" s="169"/>
      <c r="D678" s="169"/>
      <c r="E678" s="169"/>
      <c r="F678" s="306"/>
      <c r="G678" s="306"/>
      <c r="H678" s="306"/>
      <c r="I678" s="306"/>
      <c r="J678" s="306"/>
      <c r="K678" s="265"/>
      <c r="L678" s="265"/>
      <c r="M678" s="265"/>
      <c r="N678" s="265"/>
      <c r="O678" s="265"/>
      <c r="P678" s="265"/>
      <c r="Q678" s="265"/>
    </row>
    <row r="679" spans="1:250" s="167" customFormat="1" ht="18" customHeight="1">
      <c r="A679" s="169" t="s">
        <v>183</v>
      </c>
      <c r="B679" s="169"/>
      <c r="C679" s="169"/>
      <c r="D679" s="169"/>
      <c r="E679" s="195"/>
      <c r="F679" s="195"/>
      <c r="G679" s="195"/>
      <c r="H679" s="195"/>
      <c r="I679" s="195"/>
      <c r="J679" s="195"/>
      <c r="K679" s="265"/>
      <c r="L679" s="265"/>
      <c r="M679" s="265"/>
      <c r="N679" s="265"/>
      <c r="O679" s="265"/>
      <c r="P679" s="265"/>
      <c r="Q679" s="265"/>
    </row>
    <row r="680" spans="1:250" s="167" customFormat="1" ht="18" customHeight="1">
      <c r="A680" s="169">
        <v>7</v>
      </c>
      <c r="B680" s="169"/>
      <c r="C680" s="169"/>
      <c r="D680" s="195"/>
      <c r="E680" s="195"/>
      <c r="F680" s="195"/>
      <c r="G680" s="195"/>
      <c r="H680" s="195"/>
      <c r="I680" s="195"/>
      <c r="J680" s="195"/>
      <c r="K680" s="265"/>
      <c r="L680" s="265"/>
      <c r="M680" s="265"/>
      <c r="N680" s="265"/>
      <c r="O680" s="265"/>
      <c r="P680" s="265"/>
      <c r="Q680" s="265"/>
    </row>
    <row r="681" spans="1:250" s="167" customFormat="1" ht="18" customHeight="1">
      <c r="A681" s="169"/>
      <c r="B681" s="169"/>
      <c r="C681" s="258"/>
      <c r="D681" s="258"/>
      <c r="E681" s="258"/>
      <c r="F681" s="258"/>
      <c r="G681" s="258"/>
      <c r="H681" s="258"/>
      <c r="I681" s="258"/>
      <c r="J681" s="258"/>
      <c r="K681" s="260"/>
      <c r="L681" s="260"/>
      <c r="M681" s="260"/>
      <c r="N681" s="260"/>
      <c r="O681" s="260"/>
      <c r="P681" s="260"/>
      <c r="Q681" s="260"/>
    </row>
    <row r="682" spans="1:250" s="167" customFormat="1" ht="18" customHeight="1">
      <c r="A682" s="169"/>
      <c r="B682" s="195"/>
      <c r="C682" s="195"/>
      <c r="D682" s="195"/>
      <c r="E682" s="195"/>
      <c r="F682" s="195"/>
      <c r="G682" s="195"/>
      <c r="H682" s="195"/>
      <c r="I682" s="195"/>
      <c r="J682" s="195"/>
      <c r="K682" s="265"/>
      <c r="L682" s="265"/>
      <c r="M682" s="265"/>
      <c r="N682" s="265"/>
      <c r="O682" s="265"/>
      <c r="P682" s="265"/>
      <c r="Q682" s="265"/>
    </row>
    <row r="683" spans="1:250" s="265" customFormat="1" ht="18" customHeight="1">
      <c r="A683" s="195"/>
      <c r="B683" s="195"/>
      <c r="C683" s="195"/>
      <c r="D683" s="195"/>
      <c r="E683" s="195"/>
      <c r="F683" s="195"/>
      <c r="G683" s="195"/>
      <c r="H683" s="195"/>
      <c r="I683" s="195"/>
      <c r="J683" s="195"/>
    </row>
    <row r="684" spans="1:250" s="265" customFormat="1" ht="18" customHeight="1">
      <c r="A684" s="195"/>
      <c r="B684" s="195"/>
      <c r="C684" s="195"/>
      <c r="D684" s="195"/>
      <c r="E684" s="195"/>
      <c r="F684" s="195"/>
      <c r="G684" s="195"/>
      <c r="H684" s="195"/>
      <c r="I684" s="195"/>
      <c r="J684" s="195"/>
    </row>
    <row r="685" spans="1:250" s="265" customFormat="1" ht="18" customHeight="1">
      <c r="A685" s="195"/>
      <c r="B685" s="195"/>
      <c r="C685" s="195"/>
      <c r="D685" s="195"/>
      <c r="E685" s="195"/>
      <c r="F685" s="195"/>
      <c r="G685" s="195"/>
      <c r="H685" s="195"/>
      <c r="I685" s="195"/>
      <c r="J685" s="195"/>
    </row>
    <row r="686" spans="1:250" s="265" customFormat="1" ht="18" customHeight="1">
      <c r="A686" s="195"/>
      <c r="B686" s="195"/>
      <c r="C686" s="195"/>
      <c r="D686" s="195"/>
      <c r="E686" s="195"/>
      <c r="F686" s="195"/>
      <c r="G686" s="195"/>
      <c r="H686" s="195"/>
      <c r="I686" s="195"/>
      <c r="J686" s="195"/>
    </row>
    <row r="687" spans="1:250" s="265" customFormat="1" ht="18" customHeight="1">
      <c r="A687" s="195"/>
      <c r="B687" s="195"/>
      <c r="C687" s="195"/>
      <c r="D687" s="195"/>
      <c r="E687" s="195"/>
      <c r="F687" s="195"/>
      <c r="G687" s="195"/>
      <c r="H687" s="195"/>
      <c r="I687" s="195"/>
      <c r="J687" s="195"/>
    </row>
    <row r="688" spans="1:250" s="265" customFormat="1" ht="18" customHeight="1">
      <c r="A688" s="195"/>
      <c r="B688" s="195"/>
      <c r="C688" s="195"/>
      <c r="D688" s="195"/>
      <c r="E688" s="195"/>
      <c r="F688" s="195"/>
      <c r="G688" s="195"/>
      <c r="H688" s="195"/>
      <c r="I688" s="195"/>
      <c r="J688" s="195"/>
    </row>
    <row r="689" spans="1:250" s="274" customFormat="1" ht="18" customHeight="1">
      <c r="A689" s="270">
        <f>A659+1</f>
        <v>23</v>
      </c>
      <c r="B689" s="271"/>
      <c r="C689" s="272" t="str">
        <f>IF($A$1 = 1, (IF("("&amp;C699&amp;")" ="()","","("&amp;C699&amp;")")), (IF("("&amp;C704&amp;")    ("&amp;C699&amp;")"="()    ()","","("&amp;C704&amp;")    ("&amp;C699&amp;")")))</f>
        <v/>
      </c>
      <c r="D689" s="272" t="str">
        <f t="shared" ref="D689:J689" si="66">IF($A$1 = 1, (IF("("&amp;D699&amp;")" ="()","","("&amp;D699&amp;")")), (IF("("&amp;D704&amp;")    ("&amp;D699&amp;")"="()    ()","","("&amp;D704&amp;")    ("&amp;D699&amp;")")))</f>
        <v/>
      </c>
      <c r="E689" s="272" t="str">
        <f t="shared" si="66"/>
        <v/>
      </c>
      <c r="F689" s="272" t="str">
        <f t="shared" si="66"/>
        <v/>
      </c>
      <c r="G689" s="272" t="str">
        <f t="shared" si="66"/>
        <v/>
      </c>
      <c r="H689" s="272" t="str">
        <f t="shared" si="66"/>
        <v/>
      </c>
      <c r="I689" s="272" t="str">
        <f t="shared" si="66"/>
        <v/>
      </c>
      <c r="J689" s="272" t="str">
        <f t="shared" si="66"/>
        <v/>
      </c>
      <c r="K689" s="273"/>
      <c r="L689" s="273"/>
      <c r="M689" s="273"/>
      <c r="N689" s="273"/>
      <c r="O689" s="273"/>
      <c r="P689" s="273"/>
      <c r="Q689" s="273"/>
      <c r="AI689" s="275"/>
      <c r="AJ689" s="275"/>
      <c r="AK689" s="275"/>
      <c r="AL689" s="275"/>
      <c r="AM689" s="275"/>
      <c r="AN689" s="275"/>
      <c r="AO689" s="275"/>
      <c r="AP689" s="275"/>
      <c r="AQ689" s="275"/>
      <c r="AR689" s="275"/>
      <c r="AS689" s="275"/>
      <c r="AT689" s="275"/>
      <c r="AU689" s="275"/>
      <c r="AV689" s="275"/>
      <c r="AW689" s="275"/>
      <c r="AX689" s="275"/>
      <c r="AY689" s="275"/>
      <c r="AZ689" s="275"/>
      <c r="BA689" s="275"/>
      <c r="BB689" s="275"/>
      <c r="BC689" s="275"/>
    </row>
    <row r="690" spans="1:250" s="280" customFormat="1" ht="59.1" customHeight="1">
      <c r="A690" s="276"/>
      <c r="B690" s="277"/>
      <c r="C690" s="278"/>
      <c r="D690" s="278"/>
      <c r="E690" s="278"/>
      <c r="F690" s="278"/>
      <c r="G690" s="278"/>
      <c r="H690" s="278"/>
      <c r="I690" s="278"/>
      <c r="J690" s="278"/>
      <c r="K690" s="279"/>
      <c r="L690" s="279"/>
      <c r="M690" s="279"/>
      <c r="N690" s="279"/>
      <c r="O690" s="279"/>
      <c r="P690" s="279"/>
      <c r="Q690" s="279"/>
      <c r="AI690" s="281"/>
      <c r="AJ690" s="281"/>
      <c r="AK690" s="281"/>
      <c r="AL690" s="281"/>
      <c r="AM690" s="281"/>
      <c r="AN690" s="281"/>
      <c r="AO690" s="281"/>
      <c r="AP690" s="281"/>
      <c r="AQ690" s="281"/>
      <c r="AS690" s="281"/>
      <c r="AT690" s="281"/>
      <c r="AU690" s="281"/>
      <c r="AV690" s="281"/>
      <c r="AW690" s="281"/>
      <c r="AX690" s="281"/>
      <c r="AY690" s="281"/>
      <c r="AZ690" s="281"/>
      <c r="BA690" s="281"/>
      <c r="BB690" s="281"/>
      <c r="BC690" s="281"/>
    </row>
    <row r="691" spans="1:250" s="167" customFormat="1" ht="21.95" customHeight="1">
      <c r="A691" s="266"/>
      <c r="B691" s="282" t="s">
        <v>3</v>
      </c>
      <c r="C691" s="283"/>
      <c r="D691" s="283"/>
      <c r="E691" s="283"/>
      <c r="F691" s="283"/>
      <c r="G691" s="283"/>
      <c r="H691" s="283"/>
      <c r="I691" s="283"/>
      <c r="J691" s="283"/>
      <c r="K691" s="284"/>
      <c r="L691" s="284"/>
      <c r="M691" s="284"/>
      <c r="N691" s="284"/>
      <c r="O691" s="284"/>
      <c r="P691" s="284"/>
      <c r="Q691" s="284"/>
      <c r="AI691" s="265"/>
      <c r="AJ691" s="265"/>
      <c r="AK691" s="265"/>
      <c r="AL691" s="265"/>
      <c r="AM691" s="265"/>
      <c r="AN691" s="265"/>
      <c r="AO691" s="265"/>
      <c r="AP691" s="265"/>
      <c r="AQ691" s="265"/>
      <c r="AS691" s="265"/>
      <c r="AT691" s="265"/>
      <c r="AU691" s="265"/>
      <c r="AV691" s="265"/>
      <c r="AW691" s="265"/>
      <c r="AX691" s="265"/>
      <c r="AY691" s="265"/>
      <c r="AZ691" s="265"/>
      <c r="BA691" s="265"/>
      <c r="BB691" s="265"/>
      <c r="BC691" s="265"/>
    </row>
    <row r="692" spans="1:250" s="167" customFormat="1" ht="21.95" customHeight="1">
      <c r="A692" s="266"/>
      <c r="B692" s="285" t="s">
        <v>18</v>
      </c>
      <c r="C692" s="283"/>
      <c r="D692" s="283"/>
      <c r="E692" s="283"/>
      <c r="F692" s="283"/>
      <c r="G692" s="283"/>
      <c r="H692" s="283"/>
      <c r="I692" s="283"/>
      <c r="J692" s="283"/>
      <c r="K692" s="286"/>
      <c r="L692" s="286"/>
      <c r="M692" s="286"/>
      <c r="N692" s="286"/>
      <c r="O692" s="286"/>
      <c r="P692" s="286"/>
      <c r="Q692" s="286"/>
      <c r="AI692" s="265"/>
      <c r="AJ692" s="265"/>
      <c r="AK692" s="265"/>
      <c r="AL692" s="265"/>
      <c r="AM692" s="265"/>
      <c r="AN692" s="265"/>
      <c r="AO692" s="265"/>
      <c r="AP692" s="265"/>
      <c r="AQ692" s="265"/>
      <c r="AS692" s="265"/>
      <c r="AT692" s="265"/>
      <c r="AU692" s="265"/>
      <c r="AV692" s="265"/>
      <c r="AW692" s="265"/>
      <c r="AX692" s="265"/>
      <c r="AY692" s="265"/>
      <c r="AZ692" s="265"/>
      <c r="BA692" s="265"/>
      <c r="BB692" s="265"/>
      <c r="BC692" s="265"/>
    </row>
    <row r="693" spans="1:250" s="167" customFormat="1" ht="21.95" customHeight="1">
      <c r="A693" s="169"/>
      <c r="B693" s="287" t="s">
        <v>32</v>
      </c>
      <c r="C693" s="283"/>
      <c r="D693" s="283"/>
      <c r="E693" s="283"/>
      <c r="F693" s="283"/>
      <c r="G693" s="283"/>
      <c r="H693" s="283"/>
      <c r="I693" s="283"/>
      <c r="J693" s="283"/>
      <c r="K693" s="286"/>
      <c r="L693" s="286"/>
      <c r="M693" s="286"/>
      <c r="N693" s="286"/>
      <c r="O693" s="286"/>
      <c r="P693" s="286"/>
      <c r="Q693" s="286"/>
      <c r="AI693" s="265"/>
      <c r="AJ693" s="265"/>
      <c r="AK693" s="265"/>
      <c r="AL693" s="265"/>
      <c r="AM693" s="265"/>
      <c r="AN693" s="265"/>
      <c r="AO693" s="265"/>
      <c r="AP693" s="265"/>
      <c r="AQ693" s="265"/>
      <c r="AS693" s="265"/>
      <c r="AT693" s="265"/>
      <c r="AU693" s="265"/>
      <c r="AV693" s="265"/>
      <c r="AW693" s="265"/>
      <c r="AX693" s="265"/>
      <c r="AY693" s="265"/>
      <c r="AZ693" s="265"/>
      <c r="BA693" s="265"/>
      <c r="BB693" s="265"/>
    </row>
    <row r="694" spans="1:250" s="167" customFormat="1" ht="21.95" customHeight="1">
      <c r="A694" s="169"/>
      <c r="B694" s="288" t="s">
        <v>45</v>
      </c>
      <c r="C694" s="283"/>
      <c r="D694" s="283"/>
      <c r="E694" s="283"/>
      <c r="F694" s="283"/>
      <c r="G694" s="283"/>
      <c r="H694" s="283"/>
      <c r="I694" s="283"/>
      <c r="J694" s="283"/>
      <c r="K694" s="286"/>
      <c r="L694" s="286"/>
      <c r="M694" s="286"/>
      <c r="N694" s="286"/>
      <c r="O694" s="286"/>
      <c r="P694" s="286"/>
      <c r="Q694" s="286"/>
      <c r="AI694" s="265"/>
      <c r="AJ694" s="265"/>
      <c r="AK694" s="265"/>
      <c r="AL694" s="265"/>
      <c r="AM694" s="265"/>
      <c r="AN694" s="265"/>
      <c r="AO694" s="265"/>
      <c r="AP694" s="265"/>
      <c r="AQ694" s="265"/>
      <c r="AS694" s="265"/>
      <c r="AT694" s="265"/>
      <c r="AU694" s="265"/>
      <c r="AV694" s="265"/>
      <c r="AW694" s="265"/>
      <c r="AX694" s="265"/>
      <c r="AY694" s="265"/>
      <c r="AZ694" s="265"/>
      <c r="BA694" s="265"/>
      <c r="BB694" s="265"/>
    </row>
    <row r="695" spans="1:250" s="167" customFormat="1" ht="21.95" customHeight="1">
      <c r="A695" s="169"/>
      <c r="B695" s="290" t="s">
        <v>54</v>
      </c>
      <c r="C695" s="283"/>
      <c r="D695" s="283"/>
      <c r="E695" s="283"/>
      <c r="F695" s="283"/>
      <c r="G695" s="283"/>
      <c r="H695" s="283"/>
      <c r="I695" s="283"/>
      <c r="J695" s="283"/>
      <c r="K695" s="286"/>
      <c r="L695" s="286"/>
      <c r="M695" s="286"/>
      <c r="N695" s="286"/>
      <c r="O695" s="286"/>
      <c r="P695" s="286"/>
      <c r="Q695" s="286"/>
      <c r="AI695" s="265"/>
      <c r="AJ695" s="265"/>
      <c r="AK695" s="265"/>
      <c r="AL695" s="265"/>
      <c r="AM695" s="265"/>
      <c r="AN695" s="265"/>
      <c r="AO695" s="265"/>
      <c r="AP695" s="265"/>
      <c r="AQ695" s="265"/>
      <c r="AS695" s="265"/>
      <c r="AT695" s="265"/>
      <c r="AU695" s="265"/>
      <c r="AV695" s="265"/>
      <c r="AW695" s="265"/>
      <c r="AX695" s="265"/>
      <c r="AY695" s="265"/>
      <c r="AZ695" s="265"/>
      <c r="BA695" s="265"/>
      <c r="BB695" s="265"/>
    </row>
    <row r="696" spans="1:250" s="167" customFormat="1">
      <c r="A696" s="169"/>
      <c r="B696" s="291" t="s">
        <v>66</v>
      </c>
      <c r="C696" s="286"/>
      <c r="D696" s="286"/>
      <c r="E696" s="286"/>
      <c r="F696" s="286"/>
      <c r="G696" s="286"/>
      <c r="H696" s="286"/>
      <c r="I696" s="286"/>
      <c r="J696" s="286"/>
      <c r="K696" s="286"/>
      <c r="L696" s="286"/>
      <c r="M696" s="286"/>
      <c r="N696" s="286"/>
      <c r="O696" s="286"/>
      <c r="P696" s="286"/>
      <c r="Q696" s="286"/>
      <c r="AI696" s="265"/>
      <c r="AJ696" s="265"/>
      <c r="AK696" s="265"/>
      <c r="AL696" s="265"/>
      <c r="AM696" s="265"/>
      <c r="AN696" s="265"/>
      <c r="AO696" s="265"/>
      <c r="AP696" s="265"/>
      <c r="AQ696" s="265"/>
      <c r="AS696" s="265"/>
      <c r="AT696" s="265"/>
      <c r="AU696" s="265"/>
      <c r="AV696" s="265"/>
      <c r="AW696" s="265"/>
      <c r="AX696" s="265"/>
      <c r="AY696" s="265"/>
      <c r="AZ696" s="265"/>
      <c r="BA696" s="265"/>
      <c r="BB696" s="265"/>
    </row>
    <row r="697" spans="1:250" s="167" customFormat="1">
      <c r="A697" s="169"/>
      <c r="B697" s="291" t="s">
        <v>158</v>
      </c>
      <c r="C697" s="292"/>
      <c r="D697" s="292"/>
      <c r="E697" s="292"/>
      <c r="F697" s="292"/>
      <c r="G697" s="292"/>
      <c r="H697" s="292"/>
      <c r="I697" s="292"/>
      <c r="J697" s="292"/>
      <c r="K697" s="292"/>
      <c r="L697" s="292"/>
      <c r="M697" s="292"/>
      <c r="N697" s="292"/>
      <c r="O697" s="292"/>
      <c r="P697" s="292"/>
      <c r="Q697" s="292"/>
      <c r="AI697" s="265"/>
      <c r="AJ697" s="265"/>
      <c r="AK697" s="265"/>
      <c r="AL697" s="265"/>
      <c r="AM697" s="265"/>
      <c r="AN697" s="265"/>
      <c r="AO697" s="265"/>
      <c r="AP697" s="265"/>
      <c r="AQ697" s="265"/>
      <c r="AS697" s="265"/>
      <c r="AT697" s="265"/>
      <c r="AU697" s="265"/>
      <c r="AV697" s="265"/>
      <c r="AW697" s="265"/>
      <c r="AX697" s="265"/>
      <c r="AY697" s="265"/>
      <c r="AZ697" s="265"/>
      <c r="BA697" s="265"/>
      <c r="BB697" s="265"/>
    </row>
    <row r="698" spans="1:250" s="167" customFormat="1">
      <c r="A698" s="169"/>
      <c r="B698" s="291" t="s">
        <v>189</v>
      </c>
      <c r="C698" s="292"/>
      <c r="D698" s="292"/>
      <c r="E698" s="292"/>
      <c r="F698" s="292"/>
      <c r="G698" s="292"/>
      <c r="H698" s="292"/>
      <c r="I698" s="292"/>
      <c r="J698" s="292"/>
      <c r="K698" s="292"/>
      <c r="L698" s="292"/>
      <c r="M698" s="292"/>
      <c r="N698" s="292"/>
      <c r="O698" s="292"/>
      <c r="P698" s="292"/>
      <c r="Q698" s="292"/>
      <c r="AI698" s="293"/>
      <c r="AJ698" s="293"/>
      <c r="AK698" s="293"/>
      <c r="AL698" s="293"/>
      <c r="AM698" s="293"/>
      <c r="AN698" s="265"/>
      <c r="AO698" s="265"/>
      <c r="AP698" s="265"/>
      <c r="AQ698" s="265"/>
      <c r="AS698" s="265"/>
      <c r="AT698" s="265"/>
      <c r="AU698" s="265"/>
      <c r="AV698" s="265"/>
      <c r="AW698" s="265"/>
      <c r="AX698" s="265"/>
      <c r="AY698" s="265"/>
      <c r="AZ698" s="265"/>
      <c r="BA698" s="265"/>
      <c r="BB698" s="265"/>
    </row>
    <row r="699" spans="1:250" s="167" customFormat="1" ht="15" thickBot="1">
      <c r="A699" s="169"/>
      <c r="B699" s="291" t="s">
        <v>345</v>
      </c>
      <c r="C699" s="292"/>
      <c r="D699" s="292"/>
      <c r="E699" s="292"/>
      <c r="F699" s="292"/>
      <c r="G699" s="292"/>
      <c r="H699" s="292"/>
      <c r="I699" s="292"/>
      <c r="J699" s="292"/>
      <c r="K699" s="292"/>
      <c r="L699" s="292"/>
      <c r="M699" s="292"/>
      <c r="N699" s="292"/>
      <c r="O699" s="292"/>
      <c r="P699" s="292"/>
      <c r="Q699" s="292"/>
      <c r="AI699" s="265"/>
      <c r="AJ699" s="265"/>
      <c r="AK699" s="265"/>
      <c r="AL699" s="265"/>
      <c r="AM699" s="265"/>
      <c r="AN699" s="265"/>
      <c r="AO699" s="265"/>
      <c r="AP699" s="265"/>
      <c r="AQ699" s="265"/>
      <c r="AS699" s="265"/>
      <c r="AT699" s="265"/>
      <c r="AU699" s="265"/>
      <c r="AV699" s="265"/>
      <c r="AW699" s="265"/>
      <c r="AX699" s="265"/>
      <c r="AY699" s="265"/>
      <c r="AZ699" s="265"/>
      <c r="BA699" s="265"/>
      <c r="BB699" s="265"/>
    </row>
    <row r="700" spans="1:250" s="167" customFormat="1">
      <c r="A700" s="266"/>
      <c r="B700" s="294" t="s">
        <v>166</v>
      </c>
      <c r="C700" s="295" t="str">
        <f>IF(OR(C703="**",C703=""),"",VALUE(C703))</f>
        <v/>
      </c>
      <c r="D700" s="295" t="str">
        <f t="shared" ref="D700:J700" si="67">IF(OR(D703="**",D703=""),"",VALUE(D703))</f>
        <v/>
      </c>
      <c r="E700" s="295" t="str">
        <f t="shared" si="67"/>
        <v/>
      </c>
      <c r="F700" s="295" t="str">
        <f t="shared" si="67"/>
        <v/>
      </c>
      <c r="G700" s="295" t="str">
        <f t="shared" si="67"/>
        <v/>
      </c>
      <c r="H700" s="295" t="str">
        <f t="shared" si="67"/>
        <v/>
      </c>
      <c r="I700" s="295" t="str">
        <f t="shared" si="67"/>
        <v/>
      </c>
      <c r="J700" s="295" t="str">
        <f t="shared" si="67"/>
        <v/>
      </c>
      <c r="K700" s="183"/>
      <c r="L700" s="183"/>
      <c r="M700" s="183"/>
      <c r="N700" s="183"/>
      <c r="O700" s="183"/>
      <c r="P700" s="183"/>
      <c r="Q700" s="183"/>
      <c r="AI700" s="265"/>
      <c r="AJ700" s="265"/>
      <c r="AK700" s="265"/>
      <c r="AL700" s="265"/>
      <c r="AM700" s="265"/>
      <c r="AN700" s="265"/>
      <c r="AO700" s="265"/>
      <c r="AP700" s="265"/>
      <c r="AQ700" s="265"/>
      <c r="AS700" s="265"/>
      <c r="AT700" s="265"/>
      <c r="AU700" s="265"/>
      <c r="AV700" s="265"/>
      <c r="AW700" s="265"/>
      <c r="AX700" s="265"/>
      <c r="AY700" s="265"/>
      <c r="AZ700" s="265"/>
      <c r="BA700" s="265"/>
      <c r="BB700" s="265"/>
    </row>
    <row r="701" spans="1:250" s="167" customFormat="1" ht="15" thickBot="1">
      <c r="A701" s="266"/>
      <c r="B701" s="296" t="s">
        <v>165</v>
      </c>
      <c r="C701" s="297" t="str">
        <f t="shared" ref="C701:J701" si="68">IF(OR(C697="**",C697=""),"",VALUE(C697))</f>
        <v/>
      </c>
      <c r="D701" s="297" t="str">
        <f t="shared" si="68"/>
        <v/>
      </c>
      <c r="E701" s="297" t="str">
        <f t="shared" si="68"/>
        <v/>
      </c>
      <c r="F701" s="297" t="str">
        <f t="shared" si="68"/>
        <v/>
      </c>
      <c r="G701" s="297" t="str">
        <f t="shared" si="68"/>
        <v/>
      </c>
      <c r="H701" s="297" t="str">
        <f t="shared" si="68"/>
        <v/>
      </c>
      <c r="I701" s="297" t="str">
        <f t="shared" si="68"/>
        <v/>
      </c>
      <c r="J701" s="297" t="str">
        <f t="shared" si="68"/>
        <v/>
      </c>
      <c r="K701" s="260"/>
      <c r="L701" s="260"/>
      <c r="M701" s="260"/>
      <c r="N701" s="260"/>
      <c r="O701" s="260"/>
      <c r="P701" s="260"/>
      <c r="Q701" s="260"/>
      <c r="AI701" s="260"/>
      <c r="AJ701" s="260"/>
      <c r="AK701" s="260"/>
      <c r="AL701" s="260"/>
      <c r="AM701" s="260"/>
      <c r="AN701" s="260"/>
      <c r="AO701" s="260"/>
      <c r="AP701" s="260"/>
      <c r="AQ701" s="265"/>
      <c r="AR701" s="265"/>
      <c r="AS701" s="265"/>
      <c r="AT701" s="265"/>
      <c r="AU701" s="265"/>
      <c r="AV701" s="265"/>
      <c r="AW701" s="265"/>
      <c r="AX701" s="265"/>
      <c r="AY701" s="265"/>
      <c r="AZ701" s="265"/>
      <c r="BA701" s="265"/>
      <c r="BB701" s="265"/>
    </row>
    <row r="702" spans="1:250" s="167" customFormat="1">
      <c r="A702" s="169"/>
      <c r="B702" s="298" t="s">
        <v>385</v>
      </c>
      <c r="C702" s="195"/>
      <c r="D702" s="195"/>
      <c r="E702" s="195"/>
      <c r="F702" s="195"/>
      <c r="G702" s="195"/>
      <c r="H702" s="195"/>
      <c r="I702" s="195"/>
      <c r="J702" s="195"/>
      <c r="K702" s="264"/>
      <c r="L702" s="264"/>
      <c r="M702" s="264"/>
      <c r="N702" s="264"/>
      <c r="O702" s="264"/>
      <c r="P702" s="264"/>
      <c r="Q702" s="264"/>
      <c r="AI702" s="265"/>
      <c r="AJ702" s="265"/>
      <c r="AK702" s="265"/>
      <c r="AL702" s="265"/>
      <c r="AM702" s="265"/>
      <c r="AN702" s="265"/>
      <c r="AO702" s="265"/>
      <c r="AP702" s="265"/>
      <c r="AQ702" s="265"/>
      <c r="AR702" s="265"/>
      <c r="AS702" s="265"/>
      <c r="AT702" s="265"/>
      <c r="AU702" s="265"/>
      <c r="AV702" s="265"/>
      <c r="AW702" s="265"/>
      <c r="AX702" s="265"/>
      <c r="AY702" s="265"/>
      <c r="AZ702" s="265"/>
      <c r="BA702" s="265"/>
      <c r="BB702" s="265"/>
    </row>
    <row r="703" spans="1:250" s="167" customFormat="1">
      <c r="A703" s="169"/>
      <c r="B703" s="291" t="s">
        <v>158</v>
      </c>
      <c r="C703" s="258"/>
      <c r="D703" s="258"/>
      <c r="E703" s="258"/>
      <c r="F703" s="258"/>
      <c r="G703" s="258"/>
      <c r="H703" s="258"/>
      <c r="I703" s="258"/>
      <c r="J703" s="258"/>
      <c r="K703" s="264"/>
      <c r="L703" s="264"/>
      <c r="M703" s="264"/>
      <c r="N703" s="264"/>
      <c r="O703" s="264"/>
      <c r="P703" s="264"/>
      <c r="Q703" s="264"/>
      <c r="AI703" s="265"/>
      <c r="AJ703" s="265"/>
      <c r="AK703" s="265"/>
      <c r="AL703" s="265"/>
      <c r="AM703" s="265"/>
      <c r="AN703" s="265"/>
      <c r="AO703" s="265"/>
      <c r="AP703" s="265"/>
      <c r="AQ703" s="265"/>
      <c r="AR703" s="265"/>
      <c r="AS703" s="265"/>
      <c r="AT703" s="265"/>
      <c r="AU703" s="265"/>
      <c r="AV703" s="265"/>
      <c r="AW703" s="265"/>
      <c r="AX703" s="265"/>
      <c r="AY703" s="265"/>
      <c r="AZ703" s="265"/>
      <c r="BA703" s="265"/>
      <c r="BB703" s="265"/>
    </row>
    <row r="704" spans="1:250" s="167" customFormat="1">
      <c r="A704" s="169"/>
      <c r="B704" s="298" t="s">
        <v>345</v>
      </c>
      <c r="C704" s="258"/>
      <c r="D704" s="258"/>
      <c r="E704" s="258"/>
      <c r="F704" s="258"/>
      <c r="G704" s="258"/>
      <c r="H704" s="258"/>
      <c r="I704" s="258"/>
      <c r="J704" s="258"/>
      <c r="W704" s="265"/>
      <c r="X704" s="265"/>
      <c r="Y704" s="265"/>
      <c r="Z704" s="265"/>
      <c r="AA704" s="265"/>
      <c r="AB704" s="265"/>
      <c r="AC704" s="265"/>
      <c r="AD704" s="265"/>
      <c r="AE704" s="265"/>
      <c r="AF704" s="265"/>
      <c r="AG704" s="265"/>
      <c r="AH704" s="265"/>
      <c r="AI704" s="265"/>
      <c r="AJ704" s="265"/>
      <c r="AK704" s="265"/>
      <c r="AL704" s="265"/>
      <c r="AM704" s="265"/>
      <c r="AN704" s="265"/>
      <c r="AO704" s="265"/>
      <c r="AP704" s="265"/>
      <c r="AQ704" s="265"/>
      <c r="IF704" s="303"/>
      <c r="IG704" s="260"/>
      <c r="IH704" s="260"/>
      <c r="II704" s="260"/>
      <c r="IJ704" s="260"/>
      <c r="IK704" s="260"/>
      <c r="IL704" s="264"/>
      <c r="IM704" s="264"/>
      <c r="IN704" s="264"/>
      <c r="IO704" s="264"/>
      <c r="IP704" s="264"/>
    </row>
    <row r="705" spans="1:55" s="265" customFormat="1">
      <c r="A705" s="195"/>
      <c r="B705" s="169"/>
      <c r="C705" s="195"/>
      <c r="D705" s="195"/>
      <c r="E705" s="195"/>
      <c r="F705" s="195"/>
      <c r="G705" s="195"/>
      <c r="H705" s="195"/>
      <c r="I705" s="195"/>
      <c r="J705" s="195"/>
      <c r="R705" s="289"/>
      <c r="S705" s="264"/>
      <c r="T705" s="264"/>
      <c r="U705" s="167"/>
      <c r="V705" s="167"/>
      <c r="W705" s="167"/>
      <c r="X705" s="167"/>
      <c r="Y705" s="167"/>
      <c r="Z705" s="167"/>
      <c r="AA705" s="167"/>
      <c r="AB705" s="167"/>
      <c r="AC705" s="167"/>
      <c r="AD705" s="167"/>
      <c r="AE705" s="167"/>
      <c r="AF705" s="167"/>
      <c r="AG705" s="167"/>
      <c r="AH705" s="167"/>
      <c r="AI705" s="167"/>
      <c r="AJ705" s="167"/>
      <c r="AK705" s="167"/>
      <c r="AL705" s="167"/>
      <c r="AM705" s="167"/>
      <c r="AN705" s="167"/>
      <c r="AO705" s="167"/>
      <c r="AP705" s="167"/>
      <c r="AQ705" s="167"/>
      <c r="AR705" s="167"/>
      <c r="AS705" s="167"/>
      <c r="AT705" s="167"/>
      <c r="AU705" s="167"/>
      <c r="AV705" s="167"/>
    </row>
    <row r="706" spans="1:55" s="265" customFormat="1">
      <c r="A706" s="195"/>
      <c r="B706" s="169"/>
      <c r="C706" s="195"/>
      <c r="D706" s="195"/>
      <c r="E706" s="195"/>
      <c r="F706" s="195"/>
      <c r="G706" s="195"/>
      <c r="H706" s="195"/>
      <c r="I706" s="195"/>
      <c r="J706" s="195"/>
      <c r="R706" s="183"/>
      <c r="S706" s="264"/>
      <c r="T706" s="264"/>
      <c r="U706" s="167"/>
      <c r="V706" s="167"/>
      <c r="W706" s="167"/>
      <c r="X706" s="167"/>
      <c r="Y706" s="167"/>
      <c r="Z706" s="167"/>
      <c r="AA706" s="167"/>
      <c r="AB706" s="167"/>
      <c r="AC706" s="167"/>
      <c r="AD706" s="167"/>
      <c r="AE706" s="167"/>
      <c r="AF706" s="167"/>
      <c r="AG706" s="167"/>
      <c r="AH706" s="167"/>
      <c r="AI706" s="167"/>
      <c r="AJ706" s="167"/>
      <c r="AK706" s="167"/>
      <c r="AL706" s="167"/>
      <c r="AM706" s="167"/>
      <c r="AN706" s="167"/>
      <c r="AO706" s="167"/>
      <c r="AP706" s="167"/>
      <c r="AQ706" s="167"/>
      <c r="AR706" s="167"/>
      <c r="AS706" s="167"/>
      <c r="AT706" s="167"/>
      <c r="AU706" s="167"/>
      <c r="AV706" s="167"/>
    </row>
    <row r="707" spans="1:55" s="265" customFormat="1">
      <c r="A707" s="195"/>
      <c r="B707" s="169"/>
      <c r="C707" s="195"/>
      <c r="D707" s="195"/>
      <c r="E707" s="195"/>
      <c r="F707" s="195"/>
      <c r="G707" s="195"/>
      <c r="H707" s="195"/>
      <c r="I707" s="195"/>
      <c r="J707" s="195"/>
      <c r="R707" s="264"/>
      <c r="S707" s="264"/>
      <c r="T707" s="167"/>
      <c r="U707" s="167"/>
      <c r="V707" s="167"/>
      <c r="W707" s="167"/>
      <c r="X707" s="167"/>
      <c r="Y707" s="167"/>
      <c r="Z707" s="167"/>
      <c r="AA707" s="167"/>
      <c r="AB707" s="167"/>
      <c r="AC707" s="167"/>
      <c r="AD707" s="167"/>
      <c r="AE707" s="167"/>
      <c r="AF707" s="167"/>
      <c r="AG707" s="167"/>
      <c r="AH707" s="167"/>
      <c r="AI707" s="167"/>
      <c r="AJ707" s="167"/>
      <c r="AK707" s="167"/>
      <c r="AL707" s="167"/>
      <c r="AM707" s="167"/>
      <c r="AN707" s="167"/>
      <c r="AO707" s="167"/>
      <c r="AP707" s="167"/>
      <c r="AQ707" s="167"/>
      <c r="AR707" s="167"/>
      <c r="AS707" s="167"/>
      <c r="AT707" s="167"/>
      <c r="AU707" s="167"/>
      <c r="AV707" s="293"/>
      <c r="AW707" s="293"/>
      <c r="AX707" s="293"/>
      <c r="AY707" s="293"/>
      <c r="AZ707" s="293"/>
    </row>
    <row r="708" spans="1:55" s="167" customFormat="1" ht="18" customHeight="1">
      <c r="A708" s="169"/>
      <c r="B708" s="195"/>
      <c r="C708" s="195"/>
      <c r="D708" s="195"/>
      <c r="E708" s="195"/>
      <c r="F708" s="195"/>
      <c r="G708" s="195"/>
      <c r="H708" s="195"/>
      <c r="I708" s="195"/>
      <c r="J708" s="195"/>
      <c r="K708" s="265"/>
      <c r="L708" s="265"/>
      <c r="M708" s="265"/>
      <c r="N708" s="265"/>
      <c r="O708" s="265"/>
      <c r="P708" s="265"/>
      <c r="Q708" s="265"/>
      <c r="R708" s="264"/>
      <c r="AU708" s="265"/>
      <c r="AV708" s="265"/>
      <c r="AW708" s="265"/>
      <c r="AX708" s="265"/>
      <c r="AY708" s="265"/>
      <c r="AZ708" s="265"/>
      <c r="BA708" s="265"/>
      <c r="BB708" s="265"/>
      <c r="BC708" s="265"/>
    </row>
    <row r="709" spans="1:55" s="265" customFormat="1" ht="18" customHeight="1">
      <c r="A709" s="195" t="s">
        <v>183</v>
      </c>
      <c r="B709" s="195"/>
      <c r="C709" s="195"/>
      <c r="D709" s="195"/>
      <c r="E709" s="195"/>
      <c r="F709" s="195"/>
      <c r="G709" s="195"/>
      <c r="H709" s="195"/>
      <c r="I709" s="195"/>
      <c r="J709" s="195"/>
      <c r="R709" s="167"/>
      <c r="S709" s="167"/>
      <c r="T709" s="167"/>
      <c r="U709" s="167"/>
      <c r="V709" s="167"/>
      <c r="W709" s="167"/>
      <c r="X709" s="167"/>
      <c r="Y709" s="167"/>
      <c r="Z709" s="167"/>
      <c r="AA709" s="167"/>
      <c r="AB709" s="167"/>
      <c r="AC709" s="167"/>
      <c r="AD709" s="167"/>
      <c r="AE709" s="167"/>
      <c r="AF709" s="167"/>
      <c r="AG709" s="167"/>
      <c r="AH709" s="167"/>
      <c r="AI709" s="167"/>
      <c r="AJ709" s="167"/>
      <c r="AK709" s="167"/>
      <c r="AL709" s="167"/>
      <c r="AM709" s="167"/>
      <c r="AN709" s="167"/>
      <c r="AO709" s="167"/>
      <c r="AP709" s="167"/>
      <c r="AQ709" s="167"/>
      <c r="AR709" s="167"/>
      <c r="AS709" s="167"/>
      <c r="BC709" s="167"/>
    </row>
    <row r="710" spans="1:55" s="265" customFormat="1" ht="18" customHeight="1">
      <c r="A710" s="195">
        <v>7</v>
      </c>
      <c r="B710" s="195"/>
      <c r="C710" s="195"/>
      <c r="D710" s="195"/>
      <c r="E710" s="195"/>
      <c r="F710" s="195"/>
      <c r="G710" s="195"/>
      <c r="H710" s="195"/>
      <c r="I710" s="195"/>
      <c r="J710" s="195"/>
      <c r="R710" s="167"/>
      <c r="S710" s="167"/>
      <c r="T710" s="167"/>
      <c r="U710" s="167"/>
      <c r="V710" s="167"/>
      <c r="W710" s="167"/>
      <c r="X710" s="167"/>
      <c r="Y710" s="167"/>
      <c r="Z710" s="167"/>
      <c r="AA710" s="167"/>
      <c r="AB710" s="167"/>
      <c r="AC710" s="167"/>
      <c r="AD710" s="167"/>
      <c r="AE710" s="167"/>
      <c r="AF710" s="167"/>
      <c r="AG710" s="167"/>
      <c r="AH710" s="167"/>
      <c r="AI710" s="167"/>
      <c r="AJ710" s="167"/>
      <c r="AK710" s="167"/>
      <c r="AL710" s="167"/>
      <c r="AM710" s="167"/>
      <c r="AN710" s="167"/>
      <c r="AO710" s="167"/>
      <c r="AP710" s="167"/>
      <c r="AQ710" s="167"/>
      <c r="AR710" s="167"/>
      <c r="AS710" s="260"/>
      <c r="AT710" s="260"/>
      <c r="AU710" s="260"/>
      <c r="AV710" s="260"/>
      <c r="AW710" s="260"/>
      <c r="AX710" s="260"/>
      <c r="AY710" s="260"/>
      <c r="AZ710" s="260"/>
    </row>
    <row r="711" spans="1:55" s="265" customFormat="1" ht="18" customHeight="1">
      <c r="A711" s="195"/>
      <c r="B711" s="195"/>
      <c r="C711" s="195"/>
      <c r="D711" s="195"/>
      <c r="E711" s="195"/>
      <c r="F711" s="195"/>
      <c r="G711" s="195"/>
      <c r="H711" s="195"/>
      <c r="I711" s="195"/>
      <c r="J711" s="195"/>
      <c r="R711" s="167"/>
      <c r="S711" s="167"/>
      <c r="T711" s="167"/>
      <c r="U711" s="167"/>
      <c r="V711" s="167"/>
      <c r="W711" s="167"/>
      <c r="X711" s="167"/>
      <c r="Y711" s="167"/>
      <c r="Z711" s="167"/>
      <c r="AA711" s="167"/>
      <c r="AB711" s="167"/>
      <c r="AC711" s="167"/>
      <c r="AD711" s="167"/>
      <c r="AE711" s="167"/>
      <c r="AF711" s="167"/>
      <c r="AG711" s="167"/>
      <c r="AH711" s="167"/>
      <c r="AI711" s="167"/>
      <c r="AJ711" s="167"/>
      <c r="AK711" s="167"/>
      <c r="AL711" s="167"/>
      <c r="AM711" s="167"/>
      <c r="AN711" s="167"/>
      <c r="AO711" s="167"/>
      <c r="AP711" s="167"/>
      <c r="AQ711" s="167"/>
    </row>
    <row r="712" spans="1:55" s="265" customFormat="1" ht="18" customHeight="1">
      <c r="A712" s="195"/>
      <c r="B712" s="195"/>
      <c r="C712" s="195"/>
      <c r="D712" s="195"/>
      <c r="E712" s="195"/>
      <c r="F712" s="195"/>
      <c r="G712" s="195"/>
      <c r="H712" s="195"/>
      <c r="I712" s="195"/>
      <c r="J712" s="195"/>
      <c r="K712" s="167"/>
      <c r="L712" s="167"/>
      <c r="M712" s="167"/>
      <c r="N712" s="167"/>
      <c r="O712" s="167"/>
      <c r="P712" s="167"/>
      <c r="Q712" s="167"/>
      <c r="R712" s="167"/>
      <c r="S712" s="167"/>
      <c r="T712" s="167"/>
      <c r="U712" s="167"/>
      <c r="V712" s="167"/>
      <c r="W712" s="167"/>
      <c r="X712" s="167"/>
      <c r="Y712" s="167"/>
      <c r="Z712" s="167"/>
      <c r="AA712" s="167"/>
      <c r="AB712" s="167"/>
      <c r="AC712" s="167"/>
      <c r="AD712" s="167"/>
      <c r="AE712" s="167"/>
      <c r="AF712" s="167"/>
      <c r="AG712" s="167"/>
      <c r="AH712" s="167"/>
      <c r="AI712" s="167"/>
      <c r="AJ712" s="167"/>
      <c r="AK712" s="167"/>
      <c r="AL712" s="167"/>
      <c r="AM712" s="167"/>
      <c r="AN712" s="167"/>
      <c r="AO712" s="167"/>
      <c r="AP712" s="167"/>
    </row>
    <row r="713" spans="1:55" s="265" customFormat="1" ht="18" customHeight="1">
      <c r="A713" s="195"/>
      <c r="B713" s="195"/>
      <c r="C713" s="195"/>
      <c r="D713" s="195"/>
      <c r="E713" s="195"/>
      <c r="F713" s="195"/>
      <c r="G713" s="169"/>
      <c r="H713" s="169"/>
      <c r="I713" s="169"/>
      <c r="J713" s="169"/>
      <c r="K713" s="301"/>
      <c r="L713" s="301"/>
      <c r="M713" s="301"/>
      <c r="N713" s="301"/>
      <c r="O713" s="301"/>
      <c r="P713" s="301"/>
      <c r="Q713" s="301"/>
      <c r="R713" s="167"/>
      <c r="S713" s="167"/>
      <c r="T713" s="167"/>
      <c r="U713" s="167"/>
      <c r="V713" s="167"/>
      <c r="W713" s="167"/>
      <c r="X713" s="167"/>
      <c r="Y713" s="167"/>
      <c r="Z713" s="167"/>
      <c r="AA713" s="167"/>
      <c r="AB713" s="167"/>
      <c r="AC713" s="167"/>
      <c r="AD713" s="167"/>
      <c r="AE713" s="167"/>
      <c r="AF713" s="167"/>
      <c r="AG713" s="167"/>
      <c r="AH713" s="167"/>
      <c r="AI713" s="167"/>
      <c r="AJ713" s="167"/>
      <c r="AK713" s="167"/>
      <c r="AL713" s="167"/>
      <c r="AM713" s="167"/>
      <c r="AN713" s="167"/>
      <c r="AO713" s="167"/>
    </row>
    <row r="714" spans="1:55" s="265" customFormat="1" ht="18" customHeight="1">
      <c r="A714" s="195"/>
      <c r="B714" s="195"/>
      <c r="C714" s="195"/>
      <c r="D714" s="195"/>
      <c r="E714" s="195"/>
      <c r="F714" s="169"/>
      <c r="G714" s="266"/>
      <c r="H714" s="266"/>
      <c r="I714" s="266"/>
      <c r="J714" s="266"/>
      <c r="K714" s="303"/>
      <c r="L714" s="303"/>
      <c r="M714" s="303"/>
      <c r="N714" s="303"/>
      <c r="O714" s="303"/>
      <c r="P714" s="303"/>
      <c r="Q714" s="303"/>
      <c r="R714" s="167"/>
      <c r="S714" s="167"/>
      <c r="T714" s="167"/>
      <c r="U714" s="167"/>
      <c r="V714" s="167"/>
      <c r="W714" s="167"/>
      <c r="X714" s="167"/>
      <c r="Y714" s="167"/>
      <c r="Z714" s="167"/>
      <c r="AA714" s="167"/>
      <c r="AB714" s="167"/>
      <c r="AC714" s="167"/>
      <c r="AD714" s="167"/>
      <c r="AE714" s="167"/>
      <c r="AF714" s="167"/>
      <c r="AG714" s="167"/>
      <c r="AH714" s="167"/>
      <c r="AI714" s="167"/>
      <c r="AJ714" s="167"/>
      <c r="AK714" s="167"/>
      <c r="AL714" s="167"/>
      <c r="AM714" s="167"/>
      <c r="AN714" s="167"/>
    </row>
    <row r="715" spans="1:55" s="265" customFormat="1" ht="18" customHeight="1">
      <c r="A715" s="195"/>
      <c r="B715" s="195"/>
      <c r="C715" s="195"/>
      <c r="D715" s="195"/>
      <c r="E715" s="169"/>
      <c r="F715" s="266"/>
      <c r="G715" s="271"/>
      <c r="H715" s="271"/>
      <c r="I715" s="271"/>
      <c r="J715" s="271"/>
      <c r="K715" s="260"/>
      <c r="L715" s="260"/>
      <c r="M715" s="260"/>
      <c r="N715" s="260"/>
      <c r="O715" s="260"/>
      <c r="P715" s="260"/>
      <c r="Q715" s="260"/>
      <c r="R715" s="167"/>
      <c r="S715" s="167"/>
      <c r="T715" s="167"/>
      <c r="U715" s="167"/>
      <c r="V715" s="167"/>
      <c r="W715" s="167"/>
      <c r="X715" s="167"/>
      <c r="Y715" s="167"/>
      <c r="Z715" s="167"/>
      <c r="AA715" s="167"/>
      <c r="AB715" s="167"/>
      <c r="AC715" s="167"/>
      <c r="AD715" s="167"/>
      <c r="AE715" s="167"/>
      <c r="AF715" s="167"/>
      <c r="AG715" s="167"/>
      <c r="AH715" s="167"/>
      <c r="AI715" s="167"/>
      <c r="AJ715" s="167"/>
      <c r="AK715" s="167"/>
      <c r="AL715" s="167"/>
      <c r="AM715" s="167"/>
    </row>
    <row r="716" spans="1:55" s="265" customFormat="1" ht="18" customHeight="1">
      <c r="A716" s="195"/>
      <c r="B716" s="195"/>
      <c r="C716" s="195"/>
      <c r="D716" s="169"/>
      <c r="E716" s="266"/>
      <c r="F716" s="271"/>
      <c r="G716" s="258"/>
      <c r="H716" s="258"/>
      <c r="I716" s="258"/>
      <c r="J716" s="258"/>
      <c r="K716" s="260"/>
      <c r="L716" s="260"/>
      <c r="M716" s="260"/>
      <c r="N716" s="260"/>
      <c r="O716" s="260"/>
      <c r="P716" s="260"/>
      <c r="Q716" s="260"/>
      <c r="R716" s="167"/>
      <c r="S716" s="167"/>
      <c r="T716" s="167"/>
      <c r="U716" s="167"/>
      <c r="V716" s="167"/>
      <c r="W716" s="167"/>
      <c r="X716" s="167"/>
      <c r="Y716" s="167"/>
      <c r="Z716" s="167"/>
      <c r="AA716" s="167"/>
      <c r="AB716" s="167"/>
      <c r="AC716" s="167"/>
      <c r="AD716" s="167"/>
      <c r="AE716" s="167"/>
      <c r="AF716" s="167"/>
      <c r="AG716" s="167"/>
      <c r="AH716" s="167"/>
      <c r="AI716" s="167"/>
      <c r="AJ716" s="167"/>
      <c r="AK716" s="167"/>
      <c r="AL716" s="167"/>
    </row>
    <row r="717" spans="1:55" s="265" customFormat="1" ht="18" customHeight="1">
      <c r="A717" s="195"/>
      <c r="B717" s="195"/>
      <c r="C717" s="169"/>
      <c r="D717" s="266"/>
      <c r="E717" s="271"/>
      <c r="F717" s="258"/>
      <c r="G717" s="258"/>
      <c r="H717" s="258"/>
      <c r="I717" s="258"/>
      <c r="J717" s="258"/>
      <c r="K717" s="260"/>
      <c r="L717" s="260"/>
      <c r="M717" s="260"/>
      <c r="N717" s="260"/>
      <c r="O717" s="260"/>
      <c r="P717" s="260"/>
      <c r="Q717" s="260"/>
      <c r="R717" s="167"/>
      <c r="S717" s="167"/>
      <c r="T717" s="167"/>
      <c r="U717" s="167"/>
      <c r="V717" s="167"/>
      <c r="W717" s="167"/>
      <c r="X717" s="167"/>
      <c r="Y717" s="167"/>
      <c r="Z717" s="167"/>
      <c r="AA717" s="167"/>
      <c r="AB717" s="167"/>
      <c r="AC717" s="167"/>
      <c r="AD717" s="167"/>
      <c r="AE717" s="167"/>
      <c r="AF717" s="167"/>
      <c r="AG717" s="167"/>
      <c r="AH717" s="167"/>
      <c r="AI717" s="167"/>
      <c r="AJ717" s="167"/>
      <c r="AK717" s="167"/>
    </row>
    <row r="718" spans="1:55" s="265" customFormat="1" ht="18" customHeight="1">
      <c r="A718" s="195"/>
      <c r="B718" s="169"/>
      <c r="C718" s="266"/>
      <c r="D718" s="271"/>
      <c r="E718" s="258"/>
      <c r="F718" s="258"/>
      <c r="G718" s="258"/>
      <c r="H718" s="258"/>
      <c r="I718" s="258"/>
      <c r="J718" s="258"/>
      <c r="K718" s="260"/>
      <c r="L718" s="260"/>
      <c r="M718" s="260"/>
      <c r="N718" s="260"/>
      <c r="O718" s="260"/>
      <c r="P718" s="260"/>
      <c r="Q718" s="260"/>
      <c r="R718" s="167"/>
      <c r="S718" s="167"/>
      <c r="T718" s="167"/>
      <c r="U718" s="167"/>
      <c r="V718" s="167"/>
      <c r="W718" s="167"/>
      <c r="X718" s="167"/>
      <c r="Y718" s="167"/>
      <c r="Z718" s="167"/>
      <c r="AA718" s="167"/>
      <c r="AB718" s="167"/>
      <c r="AC718" s="167"/>
      <c r="AD718" s="167"/>
      <c r="AE718" s="167"/>
      <c r="AF718" s="167"/>
      <c r="AG718" s="167"/>
      <c r="AH718" s="167"/>
      <c r="AI718" s="167"/>
      <c r="AJ718" s="167"/>
    </row>
    <row r="719" spans="1:55" s="274" customFormat="1" ht="18" customHeight="1">
      <c r="A719" s="270">
        <f>A689+1</f>
        <v>24</v>
      </c>
      <c r="B719" s="271"/>
      <c r="C719" s="272" t="str">
        <f>IF($A$1 = 1, (IF("("&amp;C729&amp;")" ="()","","("&amp;C729&amp;")")), (IF("("&amp;C734&amp;")    ("&amp;C729&amp;")"="()    ()","","("&amp;C734&amp;")    ("&amp;C729&amp;")")))</f>
        <v/>
      </c>
      <c r="D719" s="272" t="str">
        <f t="shared" ref="D719:J719" si="69">IF($A$1 = 1, (IF("("&amp;D729&amp;")" ="()","","("&amp;D729&amp;")")), (IF("("&amp;D734&amp;")    ("&amp;D729&amp;")"="()    ()","","("&amp;D734&amp;")    ("&amp;D729&amp;")")))</f>
        <v/>
      </c>
      <c r="E719" s="272" t="str">
        <f t="shared" si="69"/>
        <v/>
      </c>
      <c r="F719" s="272" t="str">
        <f t="shared" si="69"/>
        <v/>
      </c>
      <c r="G719" s="272" t="str">
        <f t="shared" si="69"/>
        <v/>
      </c>
      <c r="H719" s="272" t="str">
        <f t="shared" si="69"/>
        <v/>
      </c>
      <c r="I719" s="272" t="str">
        <f t="shared" si="69"/>
        <v/>
      </c>
      <c r="J719" s="272" t="str">
        <f t="shared" si="69"/>
        <v/>
      </c>
      <c r="K719" s="273"/>
      <c r="L719" s="273"/>
      <c r="M719" s="273"/>
      <c r="N719" s="273"/>
      <c r="O719" s="273"/>
      <c r="P719" s="273"/>
      <c r="Q719" s="273"/>
      <c r="AI719" s="275"/>
      <c r="AJ719" s="275"/>
      <c r="AK719" s="275"/>
      <c r="AL719" s="275"/>
      <c r="AM719" s="275"/>
      <c r="AN719" s="275"/>
      <c r="AO719" s="275"/>
      <c r="AP719" s="275"/>
      <c r="AQ719" s="275"/>
      <c r="AR719" s="275"/>
      <c r="AS719" s="275"/>
      <c r="AT719" s="275"/>
      <c r="AU719" s="275"/>
      <c r="AV719" s="275"/>
      <c r="AW719" s="275"/>
      <c r="AX719" s="275"/>
      <c r="AY719" s="275"/>
      <c r="AZ719" s="275"/>
      <c r="BA719" s="275"/>
      <c r="BB719" s="275"/>
      <c r="BC719" s="275"/>
    </row>
    <row r="720" spans="1:55" s="280" customFormat="1" ht="59.1" customHeight="1">
      <c r="A720" s="276"/>
      <c r="B720" s="277"/>
      <c r="C720" s="278"/>
      <c r="D720" s="278"/>
      <c r="E720" s="278"/>
      <c r="F720" s="278"/>
      <c r="G720" s="278"/>
      <c r="H720" s="278"/>
      <c r="I720" s="278"/>
      <c r="J720" s="278"/>
      <c r="K720" s="279"/>
      <c r="L720" s="279"/>
      <c r="M720" s="279"/>
      <c r="N720" s="279"/>
      <c r="O720" s="279"/>
      <c r="P720" s="279"/>
      <c r="Q720" s="279"/>
      <c r="AI720" s="281"/>
      <c r="AJ720" s="281"/>
      <c r="AK720" s="281"/>
      <c r="AL720" s="281"/>
      <c r="AM720" s="281"/>
      <c r="AN720" s="281"/>
      <c r="AO720" s="281"/>
      <c r="AP720" s="281"/>
      <c r="AQ720" s="281"/>
      <c r="AS720" s="281"/>
      <c r="AT720" s="281"/>
      <c r="AU720" s="281"/>
      <c r="AV720" s="281"/>
      <c r="AW720" s="281"/>
      <c r="AX720" s="281"/>
      <c r="AY720" s="281"/>
      <c r="AZ720" s="281"/>
      <c r="BA720" s="281"/>
      <c r="BB720" s="281"/>
      <c r="BC720" s="281"/>
    </row>
    <row r="721" spans="1:250" s="167" customFormat="1" ht="21.95" customHeight="1">
      <c r="A721" s="266"/>
      <c r="B721" s="282" t="s">
        <v>3</v>
      </c>
      <c r="C721" s="283"/>
      <c r="D721" s="283"/>
      <c r="E721" s="283"/>
      <c r="F721" s="283"/>
      <c r="G721" s="283"/>
      <c r="H721" s="283"/>
      <c r="I721" s="283"/>
      <c r="J721" s="283"/>
      <c r="K721" s="284"/>
      <c r="L721" s="284"/>
      <c r="M721" s="284"/>
      <c r="N721" s="284"/>
      <c r="O721" s="284"/>
      <c r="P721" s="284"/>
      <c r="Q721" s="284"/>
      <c r="AI721" s="265"/>
      <c r="AJ721" s="265"/>
      <c r="AK721" s="265"/>
      <c r="AL721" s="265"/>
      <c r="AM721" s="265"/>
      <c r="AN721" s="265"/>
      <c r="AO721" s="265"/>
      <c r="AP721" s="265"/>
      <c r="AQ721" s="265"/>
      <c r="AS721" s="265"/>
      <c r="AT721" s="265"/>
      <c r="AU721" s="265"/>
      <c r="AV721" s="265"/>
      <c r="AW721" s="265"/>
      <c r="AX721" s="265"/>
      <c r="AY721" s="265"/>
      <c r="AZ721" s="265"/>
      <c r="BA721" s="265"/>
      <c r="BB721" s="265"/>
      <c r="BC721" s="265"/>
    </row>
    <row r="722" spans="1:250" s="167" customFormat="1" ht="21.95" customHeight="1">
      <c r="A722" s="266"/>
      <c r="B722" s="285" t="s">
        <v>18</v>
      </c>
      <c r="C722" s="283"/>
      <c r="D722" s="283"/>
      <c r="E722" s="283"/>
      <c r="F722" s="283"/>
      <c r="G722" s="283"/>
      <c r="H722" s="283"/>
      <c r="I722" s="283"/>
      <c r="J722" s="283"/>
      <c r="K722" s="286"/>
      <c r="L722" s="286"/>
      <c r="M722" s="286"/>
      <c r="N722" s="286"/>
      <c r="O722" s="286"/>
      <c r="P722" s="286"/>
      <c r="Q722" s="286"/>
      <c r="AI722" s="265"/>
      <c r="AJ722" s="265"/>
      <c r="AK722" s="265"/>
      <c r="AL722" s="265"/>
      <c r="AM722" s="265"/>
      <c r="AN722" s="265"/>
      <c r="AO722" s="265"/>
      <c r="AP722" s="265"/>
      <c r="AQ722" s="265"/>
      <c r="AS722" s="265"/>
      <c r="AT722" s="265"/>
      <c r="AU722" s="265"/>
      <c r="AV722" s="265"/>
      <c r="AW722" s="265"/>
      <c r="AX722" s="265"/>
      <c r="AY722" s="265"/>
      <c r="AZ722" s="265"/>
      <c r="BA722" s="265"/>
      <c r="BB722" s="265"/>
      <c r="BC722" s="265"/>
    </row>
    <row r="723" spans="1:250" s="167" customFormat="1" ht="21.95" customHeight="1">
      <c r="A723" s="169"/>
      <c r="B723" s="287" t="s">
        <v>32</v>
      </c>
      <c r="C723" s="283"/>
      <c r="D723" s="283"/>
      <c r="E723" s="283"/>
      <c r="F723" s="283"/>
      <c r="G723" s="283"/>
      <c r="H723" s="283"/>
      <c r="I723" s="283"/>
      <c r="J723" s="283"/>
      <c r="K723" s="286"/>
      <c r="L723" s="286"/>
      <c r="M723" s="286"/>
      <c r="N723" s="286"/>
      <c r="O723" s="286"/>
      <c r="P723" s="286"/>
      <c r="Q723" s="286"/>
      <c r="AI723" s="265"/>
      <c r="AJ723" s="265"/>
      <c r="AK723" s="265"/>
      <c r="AL723" s="265"/>
      <c r="AM723" s="265"/>
      <c r="AN723" s="265"/>
      <c r="AO723" s="265"/>
      <c r="AP723" s="265"/>
      <c r="AQ723" s="265"/>
      <c r="AS723" s="265"/>
      <c r="AT723" s="265"/>
      <c r="AU723" s="265"/>
      <c r="AV723" s="265"/>
      <c r="AW723" s="265"/>
      <c r="AX723" s="265"/>
      <c r="AY723" s="265"/>
      <c r="AZ723" s="265"/>
      <c r="BA723" s="265"/>
      <c r="BB723" s="265"/>
    </row>
    <row r="724" spans="1:250" s="167" customFormat="1" ht="21.95" customHeight="1">
      <c r="A724" s="169"/>
      <c r="B724" s="288" t="s">
        <v>45</v>
      </c>
      <c r="C724" s="283"/>
      <c r="D724" s="283"/>
      <c r="E724" s="283"/>
      <c r="F724" s="283"/>
      <c r="G724" s="283"/>
      <c r="H724" s="283"/>
      <c r="I724" s="283"/>
      <c r="J724" s="283"/>
      <c r="K724" s="286"/>
      <c r="L724" s="286"/>
      <c r="M724" s="286"/>
      <c r="N724" s="286"/>
      <c r="O724" s="286"/>
      <c r="P724" s="286"/>
      <c r="Q724" s="286"/>
      <c r="AI724" s="265"/>
      <c r="AJ724" s="265"/>
      <c r="AK724" s="265"/>
      <c r="AL724" s="265"/>
      <c r="AM724" s="265"/>
      <c r="AN724" s="265"/>
      <c r="AO724" s="265"/>
      <c r="AP724" s="265"/>
      <c r="AQ724" s="265"/>
      <c r="AS724" s="265"/>
      <c r="AT724" s="265"/>
      <c r="AU724" s="265"/>
      <c r="AV724" s="265"/>
      <c r="AW724" s="265"/>
      <c r="AX724" s="265"/>
      <c r="AY724" s="265"/>
      <c r="AZ724" s="265"/>
      <c r="BA724" s="265"/>
      <c r="BB724" s="265"/>
    </row>
    <row r="725" spans="1:250" s="167" customFormat="1" ht="21.95" customHeight="1">
      <c r="A725" s="169"/>
      <c r="B725" s="290" t="s">
        <v>54</v>
      </c>
      <c r="C725" s="283"/>
      <c r="D725" s="283"/>
      <c r="E725" s="283"/>
      <c r="F725" s="283"/>
      <c r="G725" s="283"/>
      <c r="H725" s="283"/>
      <c r="I725" s="283"/>
      <c r="J725" s="283"/>
      <c r="K725" s="286"/>
      <c r="L725" s="286"/>
      <c r="M725" s="286"/>
      <c r="N725" s="286"/>
      <c r="O725" s="286"/>
      <c r="P725" s="286"/>
      <c r="Q725" s="286"/>
      <c r="AI725" s="265"/>
      <c r="AJ725" s="265"/>
      <c r="AK725" s="265"/>
      <c r="AL725" s="265"/>
      <c r="AM725" s="265"/>
      <c r="AN725" s="265"/>
      <c r="AO725" s="265"/>
      <c r="AP725" s="265"/>
      <c r="AQ725" s="265"/>
      <c r="AS725" s="265"/>
      <c r="AT725" s="265"/>
      <c r="AU725" s="265"/>
      <c r="AV725" s="265"/>
      <c r="AW725" s="265"/>
      <c r="AX725" s="265"/>
      <c r="AY725" s="265"/>
      <c r="AZ725" s="265"/>
      <c r="BA725" s="265"/>
      <c r="BB725" s="265"/>
    </row>
    <row r="726" spans="1:250" s="167" customFormat="1">
      <c r="A726" s="169"/>
      <c r="B726" s="291" t="s">
        <v>66</v>
      </c>
      <c r="C726" s="286"/>
      <c r="D726" s="286"/>
      <c r="E726" s="286"/>
      <c r="F726" s="286"/>
      <c r="G726" s="286"/>
      <c r="H726" s="286"/>
      <c r="I726" s="286"/>
      <c r="J726" s="286"/>
      <c r="K726" s="286"/>
      <c r="L726" s="286"/>
      <c r="M726" s="286"/>
      <c r="N726" s="286"/>
      <c r="O726" s="286"/>
      <c r="P726" s="286"/>
      <c r="Q726" s="286"/>
      <c r="AI726" s="265"/>
      <c r="AJ726" s="265"/>
      <c r="AK726" s="265"/>
      <c r="AL726" s="265"/>
      <c r="AM726" s="265"/>
      <c r="AN726" s="265"/>
      <c r="AO726" s="265"/>
      <c r="AP726" s="265"/>
      <c r="AQ726" s="265"/>
      <c r="AS726" s="265"/>
      <c r="AT726" s="265"/>
      <c r="AU726" s="265"/>
      <c r="AV726" s="265"/>
      <c r="AW726" s="265"/>
      <c r="AX726" s="265"/>
      <c r="AY726" s="265"/>
      <c r="AZ726" s="265"/>
      <c r="BA726" s="265"/>
      <c r="BB726" s="265"/>
    </row>
    <row r="727" spans="1:250" s="167" customFormat="1">
      <c r="A727" s="169"/>
      <c r="B727" s="291" t="s">
        <v>158</v>
      </c>
      <c r="C727" s="292"/>
      <c r="D727" s="292"/>
      <c r="E727" s="292"/>
      <c r="F727" s="292"/>
      <c r="G727" s="292"/>
      <c r="H727" s="292"/>
      <c r="I727" s="292"/>
      <c r="J727" s="292"/>
      <c r="K727" s="292"/>
      <c r="L727" s="292"/>
      <c r="M727" s="292"/>
      <c r="N727" s="292"/>
      <c r="O727" s="292"/>
      <c r="P727" s="292"/>
      <c r="Q727" s="292"/>
      <c r="AI727" s="265"/>
      <c r="AJ727" s="265"/>
      <c r="AK727" s="265"/>
      <c r="AL727" s="265"/>
      <c r="AM727" s="265"/>
      <c r="AN727" s="265"/>
      <c r="AO727" s="265"/>
      <c r="AP727" s="265"/>
      <c r="AQ727" s="265"/>
      <c r="AS727" s="265"/>
      <c r="AT727" s="265"/>
      <c r="AU727" s="265"/>
      <c r="AV727" s="265"/>
      <c r="AW727" s="265"/>
      <c r="AX727" s="265"/>
      <c r="AY727" s="265"/>
      <c r="AZ727" s="265"/>
      <c r="BA727" s="265"/>
      <c r="BB727" s="265"/>
    </row>
    <row r="728" spans="1:250" s="167" customFormat="1">
      <c r="A728" s="169"/>
      <c r="B728" s="291" t="s">
        <v>189</v>
      </c>
      <c r="C728" s="292"/>
      <c r="D728" s="292"/>
      <c r="E728" s="292"/>
      <c r="F728" s="292"/>
      <c r="G728" s="292"/>
      <c r="H728" s="292"/>
      <c r="I728" s="292"/>
      <c r="J728" s="292"/>
      <c r="K728" s="292"/>
      <c r="L728" s="292"/>
      <c r="M728" s="292"/>
      <c r="N728" s="292"/>
      <c r="O728" s="292"/>
      <c r="P728" s="292"/>
      <c r="Q728" s="292"/>
      <c r="AI728" s="293"/>
      <c r="AJ728" s="293"/>
      <c r="AK728" s="293"/>
      <c r="AL728" s="293"/>
      <c r="AM728" s="293"/>
      <c r="AN728" s="265"/>
      <c r="AO728" s="265"/>
      <c r="AP728" s="265"/>
      <c r="AQ728" s="265"/>
      <c r="AS728" s="265"/>
      <c r="AT728" s="265"/>
      <c r="AU728" s="265"/>
      <c r="AV728" s="265"/>
      <c r="AW728" s="265"/>
      <c r="AX728" s="265"/>
      <c r="AY728" s="265"/>
      <c r="AZ728" s="265"/>
      <c r="BA728" s="265"/>
      <c r="BB728" s="265"/>
    </row>
    <row r="729" spans="1:250" s="167" customFormat="1" ht="15" thickBot="1">
      <c r="A729" s="169"/>
      <c r="B729" s="291" t="s">
        <v>345</v>
      </c>
      <c r="C729" s="292"/>
      <c r="D729" s="292"/>
      <c r="E729" s="292"/>
      <c r="F729" s="292"/>
      <c r="G729" s="292"/>
      <c r="H729" s="292"/>
      <c r="I729" s="292"/>
      <c r="J729" s="292"/>
      <c r="K729" s="292"/>
      <c r="L729" s="292"/>
      <c r="M729" s="292"/>
      <c r="N729" s="292"/>
      <c r="O729" s="292"/>
      <c r="P729" s="292"/>
      <c r="Q729" s="292"/>
      <c r="AI729" s="265"/>
      <c r="AJ729" s="265"/>
      <c r="AK729" s="265"/>
      <c r="AL729" s="265"/>
      <c r="AM729" s="265"/>
      <c r="AN729" s="265"/>
      <c r="AO729" s="265"/>
      <c r="AP729" s="265"/>
      <c r="AQ729" s="265"/>
      <c r="AS729" s="265"/>
      <c r="AT729" s="265"/>
      <c r="AU729" s="265"/>
      <c r="AV729" s="265"/>
      <c r="AW729" s="265"/>
      <c r="AX729" s="265"/>
      <c r="AY729" s="265"/>
      <c r="AZ729" s="265"/>
      <c r="BA729" s="265"/>
      <c r="BB729" s="265"/>
    </row>
    <row r="730" spans="1:250" s="167" customFormat="1">
      <c r="A730" s="266"/>
      <c r="B730" s="294" t="s">
        <v>166</v>
      </c>
      <c r="C730" s="295" t="str">
        <f>IF(OR(C733="**",C733=""),"",VALUE(C733))</f>
        <v/>
      </c>
      <c r="D730" s="295" t="str">
        <f t="shared" ref="D730:J730" si="70">IF(OR(D733="**",D733=""),"",VALUE(D733))</f>
        <v/>
      </c>
      <c r="E730" s="295" t="str">
        <f t="shared" si="70"/>
        <v/>
      </c>
      <c r="F730" s="295" t="str">
        <f t="shared" si="70"/>
        <v/>
      </c>
      <c r="G730" s="295" t="str">
        <f t="shared" si="70"/>
        <v/>
      </c>
      <c r="H730" s="295" t="str">
        <f t="shared" si="70"/>
        <v/>
      </c>
      <c r="I730" s="295" t="str">
        <f t="shared" si="70"/>
        <v/>
      </c>
      <c r="J730" s="295" t="str">
        <f t="shared" si="70"/>
        <v/>
      </c>
      <c r="K730" s="183"/>
      <c r="L730" s="183"/>
      <c r="M730" s="183"/>
      <c r="N730" s="183"/>
      <c r="O730" s="183"/>
      <c r="P730" s="183"/>
      <c r="Q730" s="183"/>
      <c r="AI730" s="265"/>
      <c r="AJ730" s="265"/>
      <c r="AK730" s="265"/>
      <c r="AL730" s="265"/>
      <c r="AM730" s="265"/>
      <c r="AN730" s="265"/>
      <c r="AO730" s="265"/>
      <c r="AP730" s="265"/>
      <c r="AQ730" s="265"/>
      <c r="AS730" s="265"/>
      <c r="AT730" s="265"/>
      <c r="AU730" s="265"/>
      <c r="AV730" s="265"/>
      <c r="AW730" s="265"/>
      <c r="AX730" s="265"/>
      <c r="AY730" s="265"/>
      <c r="AZ730" s="265"/>
      <c r="BA730" s="265"/>
      <c r="BB730" s="265"/>
    </row>
    <row r="731" spans="1:250" s="167" customFormat="1" ht="15" thickBot="1">
      <c r="A731" s="266"/>
      <c r="B731" s="296" t="s">
        <v>165</v>
      </c>
      <c r="C731" s="297" t="str">
        <f t="shared" ref="C731:J731" si="71">IF(OR(C727="**",C727=""),"",VALUE(C727))</f>
        <v/>
      </c>
      <c r="D731" s="297" t="str">
        <f t="shared" si="71"/>
        <v/>
      </c>
      <c r="E731" s="297" t="str">
        <f t="shared" si="71"/>
        <v/>
      </c>
      <c r="F731" s="297" t="str">
        <f t="shared" si="71"/>
        <v/>
      </c>
      <c r="G731" s="297" t="str">
        <f t="shared" si="71"/>
        <v/>
      </c>
      <c r="H731" s="297" t="str">
        <f t="shared" si="71"/>
        <v/>
      </c>
      <c r="I731" s="297" t="str">
        <f t="shared" si="71"/>
        <v/>
      </c>
      <c r="J731" s="297" t="str">
        <f t="shared" si="71"/>
        <v/>
      </c>
      <c r="K731" s="260"/>
      <c r="L731" s="260"/>
      <c r="M731" s="260"/>
      <c r="N731" s="260"/>
      <c r="O731" s="260"/>
      <c r="P731" s="260"/>
      <c r="Q731" s="260"/>
      <c r="AI731" s="260"/>
      <c r="AJ731" s="260"/>
      <c r="AK731" s="260"/>
      <c r="AL731" s="260"/>
      <c r="AM731" s="260"/>
      <c r="AN731" s="260"/>
      <c r="AO731" s="260"/>
      <c r="AP731" s="260"/>
      <c r="AQ731" s="265"/>
      <c r="AR731" s="265"/>
      <c r="AS731" s="265"/>
      <c r="AT731" s="265"/>
      <c r="AU731" s="265"/>
      <c r="AV731" s="265"/>
      <c r="AW731" s="265"/>
      <c r="AX731" s="265"/>
      <c r="AY731" s="265"/>
      <c r="AZ731" s="265"/>
      <c r="BA731" s="265"/>
      <c r="BB731" s="265"/>
    </row>
    <row r="732" spans="1:250" s="167" customFormat="1">
      <c r="A732" s="169"/>
      <c r="B732" s="298" t="s">
        <v>385</v>
      </c>
      <c r="C732" s="195"/>
      <c r="D732" s="195"/>
      <c r="E732" s="195"/>
      <c r="F732" s="195"/>
      <c r="G732" s="195"/>
      <c r="H732" s="195"/>
      <c r="I732" s="195"/>
      <c r="J732" s="195"/>
      <c r="K732" s="264"/>
      <c r="L732" s="264"/>
      <c r="M732" s="264"/>
      <c r="N732" s="264"/>
      <c r="O732" s="264"/>
      <c r="P732" s="264"/>
      <c r="Q732" s="264"/>
      <c r="AI732" s="265"/>
      <c r="AJ732" s="265"/>
      <c r="AK732" s="265"/>
      <c r="AL732" s="265"/>
      <c r="AM732" s="265"/>
      <c r="AN732" s="265"/>
      <c r="AO732" s="265"/>
      <c r="AP732" s="265"/>
      <c r="AQ732" s="265"/>
      <c r="AR732" s="265"/>
      <c r="AS732" s="265"/>
      <c r="AT732" s="265"/>
      <c r="AU732" s="265"/>
      <c r="AV732" s="265"/>
      <c r="AW732" s="265"/>
      <c r="AX732" s="265"/>
      <c r="AY732" s="265"/>
      <c r="AZ732" s="265"/>
      <c r="BA732" s="265"/>
      <c r="BB732" s="265"/>
    </row>
    <row r="733" spans="1:250" s="167" customFormat="1">
      <c r="A733" s="169"/>
      <c r="B733" s="291" t="s">
        <v>158</v>
      </c>
      <c r="C733" s="258"/>
      <c r="D733" s="258"/>
      <c r="E733" s="258"/>
      <c r="F733" s="258"/>
      <c r="G733" s="258"/>
      <c r="H733" s="258"/>
      <c r="I733" s="258"/>
      <c r="J733" s="258"/>
      <c r="K733" s="264"/>
      <c r="L733" s="264"/>
      <c r="M733" s="264"/>
      <c r="N733" s="264"/>
      <c r="O733" s="264"/>
      <c r="P733" s="264"/>
      <c r="Q733" s="264"/>
      <c r="AI733" s="265"/>
      <c r="AJ733" s="265"/>
      <c r="AK733" s="265"/>
      <c r="AL733" s="265"/>
      <c r="AM733" s="265"/>
      <c r="AN733" s="265"/>
      <c r="AO733" s="265"/>
      <c r="AP733" s="265"/>
      <c r="AQ733" s="265"/>
      <c r="AR733" s="265"/>
      <c r="AS733" s="265"/>
      <c r="AT733" s="265"/>
      <c r="AU733" s="265"/>
      <c r="AV733" s="265"/>
      <c r="AW733" s="265"/>
      <c r="AX733" s="265"/>
      <c r="AY733" s="265"/>
      <c r="AZ733" s="265"/>
      <c r="BA733" s="265"/>
      <c r="BB733" s="265"/>
    </row>
    <row r="734" spans="1:250" s="167" customFormat="1">
      <c r="A734" s="169"/>
      <c r="B734" s="298" t="s">
        <v>345</v>
      </c>
      <c r="C734" s="258"/>
      <c r="D734" s="258"/>
      <c r="E734" s="258"/>
      <c r="F734" s="258"/>
      <c r="G734" s="258"/>
      <c r="H734" s="258"/>
      <c r="I734" s="258"/>
      <c r="J734" s="258"/>
      <c r="W734" s="265"/>
      <c r="X734" s="265"/>
      <c r="Y734" s="265"/>
      <c r="Z734" s="265"/>
      <c r="AA734" s="265"/>
      <c r="AB734" s="265"/>
      <c r="AC734" s="265"/>
      <c r="AD734" s="265"/>
      <c r="AE734" s="265"/>
      <c r="AF734" s="265"/>
      <c r="AG734" s="265"/>
      <c r="AH734" s="265"/>
      <c r="AI734" s="265"/>
      <c r="AJ734" s="265"/>
      <c r="AK734" s="265"/>
      <c r="AL734" s="265"/>
      <c r="AM734" s="265"/>
      <c r="AN734" s="265"/>
      <c r="AO734" s="265"/>
      <c r="AP734" s="265"/>
      <c r="AQ734" s="265"/>
      <c r="IF734" s="303"/>
      <c r="IG734" s="260"/>
      <c r="IH734" s="260"/>
      <c r="II734" s="260"/>
      <c r="IJ734" s="260"/>
      <c r="IK734" s="260"/>
      <c r="IL734" s="264"/>
      <c r="IM734" s="264"/>
      <c r="IN734" s="264"/>
      <c r="IO734" s="264"/>
      <c r="IP734" s="264"/>
    </row>
    <row r="735" spans="1:250" s="291" customFormat="1">
      <c r="B735" s="289"/>
      <c r="C735" s="289"/>
      <c r="D735" s="289"/>
      <c r="E735" s="289"/>
      <c r="F735" s="289"/>
      <c r="G735" s="289"/>
      <c r="H735" s="289"/>
      <c r="I735" s="289"/>
      <c r="J735" s="289"/>
      <c r="K735" s="289"/>
      <c r="L735" s="289"/>
      <c r="M735" s="289"/>
      <c r="N735" s="289"/>
      <c r="O735" s="289"/>
      <c r="P735" s="289"/>
      <c r="Q735" s="289"/>
      <c r="R735" s="167"/>
      <c r="S735" s="167"/>
      <c r="T735" s="167"/>
      <c r="U735" s="167"/>
      <c r="V735" s="167"/>
      <c r="W735" s="167"/>
      <c r="X735" s="167"/>
      <c r="Y735" s="167"/>
      <c r="Z735" s="167"/>
      <c r="AA735" s="167"/>
      <c r="AB735" s="167"/>
      <c r="AC735" s="167"/>
      <c r="AD735" s="167"/>
      <c r="AE735" s="167"/>
      <c r="AF735" s="167"/>
      <c r="AG735" s="265"/>
      <c r="AH735" s="265"/>
      <c r="AI735" s="265"/>
      <c r="AJ735" s="265"/>
      <c r="AK735" s="265"/>
      <c r="AL735" s="265"/>
      <c r="AM735" s="265"/>
      <c r="AN735" s="265"/>
      <c r="AO735" s="265"/>
      <c r="AP735" s="167"/>
      <c r="AQ735" s="265"/>
      <c r="AR735" s="265"/>
      <c r="AS735" s="265"/>
      <c r="AT735" s="265"/>
      <c r="AU735" s="265"/>
      <c r="AV735" s="265"/>
      <c r="AW735" s="265"/>
      <c r="AX735" s="265"/>
      <c r="AY735" s="265"/>
      <c r="AZ735" s="265"/>
      <c r="BA735" s="265"/>
      <c r="BB735" s="167"/>
    </row>
    <row r="736" spans="1:250" s="291" customFormat="1">
      <c r="B736" s="183"/>
      <c r="C736" s="183"/>
      <c r="D736" s="183"/>
      <c r="E736" s="183"/>
      <c r="F736" s="183"/>
      <c r="G736" s="183"/>
      <c r="H736" s="183"/>
      <c r="I736" s="183"/>
      <c r="J736" s="183"/>
      <c r="K736" s="183"/>
      <c r="L736" s="183"/>
      <c r="M736" s="183"/>
      <c r="N736" s="183"/>
      <c r="O736" s="183"/>
      <c r="P736" s="183"/>
      <c r="Q736" s="183"/>
      <c r="R736" s="167"/>
      <c r="S736" s="167"/>
      <c r="T736" s="167"/>
      <c r="U736" s="167"/>
      <c r="V736" s="167"/>
      <c r="W736" s="167"/>
      <c r="X736" s="167"/>
      <c r="Y736" s="167"/>
      <c r="Z736" s="167"/>
      <c r="AA736" s="167"/>
      <c r="AB736" s="167"/>
      <c r="AC736" s="167"/>
      <c r="AD736" s="167"/>
      <c r="AE736" s="167"/>
      <c r="AF736" s="167"/>
      <c r="AG736" s="265"/>
      <c r="AH736" s="265"/>
      <c r="AI736" s="265"/>
      <c r="AJ736" s="265"/>
      <c r="AK736" s="265"/>
      <c r="AL736" s="265"/>
      <c r="AM736" s="265"/>
      <c r="AN736" s="265"/>
      <c r="AO736" s="265"/>
      <c r="AP736" s="167"/>
      <c r="AQ736" s="265"/>
      <c r="AR736" s="265"/>
      <c r="AS736" s="265"/>
      <c r="AT736" s="265"/>
      <c r="AU736" s="265"/>
      <c r="AV736" s="265"/>
      <c r="AW736" s="265"/>
      <c r="AX736" s="265"/>
      <c r="AY736" s="265"/>
      <c r="AZ736" s="265"/>
      <c r="BA736" s="265"/>
      <c r="BB736" s="167"/>
    </row>
    <row r="737" spans="1:55" s="291" customFormat="1">
      <c r="A737" s="300"/>
      <c r="B737" s="300"/>
      <c r="C737" s="300"/>
      <c r="D737" s="300"/>
      <c r="E737" s="300"/>
      <c r="F737" s="183"/>
      <c r="G737" s="183"/>
      <c r="H737" s="183"/>
      <c r="I737" s="183"/>
      <c r="J737" s="183"/>
      <c r="K737" s="183"/>
      <c r="L737" s="183"/>
      <c r="M737" s="183"/>
      <c r="N737" s="183"/>
      <c r="O737" s="183"/>
      <c r="P737" s="183"/>
      <c r="Q737" s="183"/>
      <c r="R737" s="167"/>
      <c r="S737" s="167"/>
      <c r="T737" s="167"/>
      <c r="U737" s="167"/>
      <c r="V737" s="167"/>
      <c r="W737" s="167"/>
      <c r="X737" s="167"/>
      <c r="Y737" s="167"/>
      <c r="Z737" s="167"/>
      <c r="AA737" s="167"/>
      <c r="AB737" s="167"/>
      <c r="AC737" s="167"/>
      <c r="AD737" s="167"/>
      <c r="AE737" s="167"/>
      <c r="AF737" s="167"/>
      <c r="AG737" s="293"/>
      <c r="AH737" s="293"/>
      <c r="AI737" s="293"/>
      <c r="AJ737" s="293"/>
      <c r="AK737" s="293"/>
      <c r="AL737" s="265"/>
      <c r="AM737" s="265"/>
      <c r="AN737" s="265"/>
      <c r="AO737" s="265"/>
      <c r="AP737" s="167"/>
      <c r="AQ737" s="265"/>
      <c r="AR737" s="265"/>
      <c r="AS737" s="265"/>
      <c r="AT737" s="265"/>
      <c r="AU737" s="265"/>
      <c r="AV737" s="265"/>
      <c r="AW737" s="265"/>
      <c r="AX737" s="265"/>
      <c r="AY737" s="265"/>
      <c r="AZ737" s="265"/>
      <c r="BA737" s="265"/>
      <c r="BB737" s="167"/>
      <c r="BC737" s="301"/>
    </row>
    <row r="738" spans="1:55" s="183" customFormat="1" ht="18" customHeight="1">
      <c r="R738" s="167"/>
      <c r="S738" s="167"/>
      <c r="T738" s="167"/>
      <c r="U738" s="167"/>
      <c r="V738" s="167"/>
      <c r="W738" s="167"/>
      <c r="X738" s="167"/>
      <c r="Y738" s="167"/>
      <c r="Z738" s="167"/>
      <c r="AA738" s="167"/>
      <c r="AB738" s="167"/>
      <c r="AC738" s="167"/>
      <c r="AD738" s="167"/>
      <c r="AE738" s="167"/>
      <c r="AF738" s="167"/>
      <c r="AG738" s="265"/>
      <c r="AH738" s="265"/>
      <c r="AI738" s="265"/>
      <c r="AJ738" s="265"/>
      <c r="AK738" s="265"/>
      <c r="AL738" s="265"/>
      <c r="AM738" s="265"/>
      <c r="AN738" s="265"/>
      <c r="AO738" s="265"/>
      <c r="AP738" s="167"/>
      <c r="AQ738" s="265"/>
      <c r="AR738" s="265"/>
      <c r="AS738" s="265"/>
      <c r="AT738" s="265"/>
      <c r="AU738" s="265"/>
      <c r="AV738" s="265"/>
      <c r="AW738" s="265"/>
      <c r="AX738" s="265"/>
      <c r="AY738" s="265"/>
      <c r="AZ738" s="265"/>
      <c r="BA738" s="167"/>
      <c r="BB738" s="301"/>
      <c r="BC738" s="291"/>
    </row>
    <row r="739" spans="1:55" s="260" customFormat="1" ht="18" customHeight="1">
      <c r="A739" s="183" t="s">
        <v>183</v>
      </c>
      <c r="B739" s="183"/>
      <c r="C739" s="183"/>
      <c r="D739" s="183"/>
      <c r="E739" s="183"/>
      <c r="F739" s="183"/>
      <c r="G739" s="183"/>
      <c r="H739" s="183"/>
      <c r="I739" s="183"/>
      <c r="J739" s="183"/>
      <c r="K739" s="264"/>
      <c r="L739" s="264"/>
      <c r="M739" s="264"/>
      <c r="N739" s="264"/>
      <c r="O739" s="264"/>
      <c r="P739" s="264"/>
      <c r="Q739" s="264"/>
      <c r="R739" s="167"/>
      <c r="S739" s="167"/>
      <c r="T739" s="167"/>
      <c r="U739" s="167"/>
      <c r="V739" s="167"/>
      <c r="W739" s="167"/>
      <c r="X739" s="167"/>
      <c r="Y739" s="167"/>
      <c r="Z739" s="167"/>
      <c r="AA739" s="167"/>
      <c r="AB739" s="167"/>
      <c r="AC739" s="167"/>
      <c r="AD739" s="167"/>
      <c r="AE739" s="167"/>
      <c r="AF739" s="265"/>
      <c r="AG739" s="265"/>
      <c r="AH739" s="265"/>
      <c r="AI739" s="265"/>
      <c r="AJ739" s="265"/>
      <c r="AK739" s="265"/>
      <c r="AL739" s="265"/>
      <c r="AM739" s="265"/>
      <c r="AN739" s="265"/>
      <c r="AO739" s="167"/>
      <c r="AP739" s="265"/>
      <c r="AQ739" s="265"/>
      <c r="AR739" s="265"/>
      <c r="AS739" s="265"/>
      <c r="AT739" s="265"/>
      <c r="AU739" s="265"/>
      <c r="AV739" s="265"/>
      <c r="AW739" s="265"/>
      <c r="AX739" s="265"/>
      <c r="AY739" s="265"/>
      <c r="AZ739" s="167"/>
      <c r="BA739" s="301"/>
      <c r="BB739" s="311"/>
    </row>
    <row r="740" spans="1:55" s="265" customFormat="1" ht="18" customHeight="1">
      <c r="A740" s="258">
        <v>7</v>
      </c>
      <c r="B740" s="260"/>
      <c r="C740" s="260"/>
      <c r="D740" s="260"/>
      <c r="E740" s="260"/>
      <c r="F740" s="260"/>
      <c r="G740" s="264"/>
      <c r="H740" s="264"/>
      <c r="I740" s="264"/>
      <c r="J740" s="264"/>
      <c r="K740" s="264"/>
      <c r="L740" s="264"/>
      <c r="M740" s="264"/>
      <c r="N740" s="264"/>
      <c r="O740" s="264"/>
      <c r="P740" s="264"/>
      <c r="Q740" s="264"/>
      <c r="R740" s="167"/>
      <c r="S740" s="167"/>
      <c r="T740" s="167"/>
      <c r="U740" s="167"/>
      <c r="V740" s="167"/>
      <c r="W740" s="167"/>
      <c r="X740" s="167"/>
      <c r="Y740" s="167"/>
      <c r="Z740" s="167"/>
      <c r="AA740" s="167"/>
      <c r="AB740" s="167"/>
      <c r="AC740" s="167"/>
      <c r="AD740" s="167"/>
      <c r="AE740" s="260"/>
      <c r="AF740" s="260"/>
      <c r="AG740" s="260"/>
      <c r="AH740" s="260"/>
      <c r="AI740" s="260"/>
      <c r="AJ740" s="260"/>
      <c r="AK740" s="260"/>
      <c r="AL740" s="260"/>
      <c r="AY740" s="167"/>
      <c r="AZ740" s="301"/>
      <c r="BA740" s="303"/>
    </row>
    <row r="741" spans="1:55" s="260" customFormat="1" ht="18" customHeight="1">
      <c r="A741" s="195"/>
      <c r="B741" s="195"/>
      <c r="C741" s="261"/>
      <c r="D741" s="261"/>
      <c r="E741" s="261"/>
      <c r="F741" s="261"/>
      <c r="G741" s="261"/>
      <c r="H741" s="261"/>
      <c r="I741" s="261"/>
      <c r="J741" s="261"/>
      <c r="K741" s="167"/>
      <c r="L741" s="167"/>
      <c r="M741" s="167"/>
      <c r="N741" s="167"/>
      <c r="O741" s="167"/>
      <c r="P741" s="167"/>
      <c r="Q741" s="167"/>
      <c r="R741" s="167"/>
      <c r="S741" s="167"/>
      <c r="T741" s="167"/>
      <c r="U741" s="167"/>
      <c r="V741" s="167"/>
      <c r="W741" s="167"/>
      <c r="X741" s="167"/>
      <c r="Y741" s="167"/>
      <c r="Z741" s="167"/>
      <c r="AA741" s="167"/>
      <c r="AB741" s="167"/>
      <c r="AC741" s="167"/>
      <c r="AD741" s="265"/>
      <c r="AE741" s="265"/>
      <c r="AF741" s="265"/>
      <c r="AG741" s="265"/>
      <c r="AH741" s="265"/>
      <c r="AI741" s="265"/>
      <c r="AJ741" s="265"/>
      <c r="AK741" s="265"/>
      <c r="AL741" s="265"/>
      <c r="AM741" s="265"/>
      <c r="AN741" s="265"/>
      <c r="AO741" s="265"/>
      <c r="AP741" s="265"/>
      <c r="AQ741" s="265"/>
      <c r="AR741" s="265"/>
      <c r="AS741" s="265"/>
      <c r="AT741" s="265"/>
      <c r="AU741" s="265"/>
      <c r="AV741" s="265"/>
      <c r="AW741" s="265"/>
      <c r="AX741" s="167"/>
      <c r="AY741" s="301"/>
      <c r="AZ741" s="303"/>
    </row>
    <row r="742" spans="1:55" s="260" customFormat="1" ht="18" customHeight="1">
      <c r="A742" s="258"/>
      <c r="B742" s="261"/>
      <c r="C742" s="261"/>
      <c r="D742" s="261"/>
      <c r="E742" s="261"/>
      <c r="F742" s="261"/>
      <c r="G742" s="169"/>
      <c r="H742" s="169"/>
      <c r="I742" s="169"/>
      <c r="J742" s="169"/>
      <c r="K742" s="167"/>
      <c r="L742" s="167"/>
      <c r="M742" s="167"/>
      <c r="N742" s="167"/>
      <c r="O742" s="167"/>
      <c r="P742" s="167"/>
      <c r="Q742" s="167"/>
      <c r="R742" s="167"/>
      <c r="S742" s="167"/>
      <c r="T742" s="167"/>
      <c r="U742" s="167"/>
      <c r="V742" s="167"/>
      <c r="W742" s="167"/>
      <c r="X742" s="167"/>
      <c r="Y742" s="167"/>
      <c r="Z742" s="167"/>
      <c r="AA742" s="167"/>
      <c r="AB742" s="167"/>
      <c r="AC742" s="265"/>
      <c r="AD742" s="265"/>
      <c r="AE742" s="265"/>
      <c r="AF742" s="265"/>
      <c r="AG742" s="265"/>
      <c r="AH742" s="265"/>
      <c r="AI742" s="265"/>
      <c r="AJ742" s="265"/>
      <c r="AK742" s="265"/>
      <c r="AL742" s="265"/>
      <c r="AM742" s="265"/>
      <c r="AN742" s="265"/>
      <c r="AO742" s="265"/>
      <c r="AP742" s="265"/>
      <c r="AQ742" s="265"/>
      <c r="AR742" s="265"/>
      <c r="AS742" s="265"/>
      <c r="AT742" s="265"/>
      <c r="AU742" s="265"/>
      <c r="AV742" s="265"/>
      <c r="AW742" s="167"/>
      <c r="AX742" s="301"/>
      <c r="AY742" s="303"/>
    </row>
    <row r="743" spans="1:55" s="264" customFormat="1" ht="18" customHeight="1">
      <c r="A743" s="261"/>
      <c r="B743" s="261"/>
      <c r="C743" s="261"/>
      <c r="D743" s="261"/>
      <c r="E743" s="261"/>
      <c r="F743" s="169"/>
      <c r="G743" s="169"/>
      <c r="H743" s="169"/>
      <c r="I743" s="169"/>
      <c r="J743" s="169"/>
      <c r="K743" s="167"/>
      <c r="L743" s="167"/>
      <c r="M743" s="167"/>
      <c r="N743" s="167"/>
      <c r="O743" s="167"/>
      <c r="P743" s="167"/>
      <c r="Q743" s="167"/>
      <c r="R743" s="167"/>
      <c r="S743" s="167"/>
      <c r="T743" s="167"/>
      <c r="U743" s="167"/>
      <c r="V743" s="167"/>
      <c r="W743" s="167"/>
      <c r="X743" s="167"/>
      <c r="Y743" s="167"/>
      <c r="Z743" s="167"/>
      <c r="AA743" s="167"/>
      <c r="AB743" s="265"/>
      <c r="AC743" s="265"/>
      <c r="AD743" s="265"/>
      <c r="AE743" s="265"/>
      <c r="AF743" s="265"/>
      <c r="AG743" s="265"/>
      <c r="AH743" s="265"/>
      <c r="AI743" s="265"/>
      <c r="AJ743" s="265"/>
      <c r="AK743" s="265"/>
      <c r="AL743" s="265"/>
      <c r="AM743" s="265"/>
      <c r="AN743" s="265"/>
      <c r="AO743" s="265"/>
      <c r="AP743" s="265"/>
      <c r="AQ743" s="265"/>
      <c r="AR743" s="265"/>
      <c r="AS743" s="265"/>
      <c r="AT743" s="265"/>
      <c r="AU743" s="265"/>
      <c r="AV743" s="167"/>
      <c r="AW743" s="301"/>
      <c r="AX743" s="303"/>
      <c r="AY743" s="260"/>
      <c r="AZ743" s="260"/>
      <c r="BA743" s="260"/>
      <c r="BB743" s="260"/>
      <c r="BC743" s="260"/>
    </row>
    <row r="744" spans="1:55" s="264" customFormat="1" ht="18" customHeight="1">
      <c r="A744" s="261"/>
      <c r="B744" s="261"/>
      <c r="C744" s="261"/>
      <c r="D744" s="261"/>
      <c r="E744" s="169"/>
      <c r="F744" s="169"/>
      <c r="G744" s="169"/>
      <c r="H744" s="169"/>
      <c r="I744" s="169"/>
      <c r="J744" s="169"/>
      <c r="K744" s="167"/>
      <c r="L744" s="167"/>
      <c r="M744" s="167"/>
      <c r="N744" s="167"/>
      <c r="O744" s="167"/>
      <c r="P744" s="167"/>
      <c r="Q744" s="167"/>
      <c r="R744" s="167"/>
      <c r="S744" s="167"/>
      <c r="T744" s="167"/>
      <c r="U744" s="167"/>
      <c r="V744" s="167"/>
      <c r="W744" s="167"/>
      <c r="X744" s="167"/>
      <c r="Y744" s="167"/>
      <c r="Z744" s="167"/>
      <c r="AA744" s="265"/>
      <c r="AB744" s="265"/>
      <c r="AC744" s="265"/>
      <c r="AD744" s="265"/>
      <c r="AE744" s="265"/>
      <c r="AF744" s="265"/>
      <c r="AG744" s="265"/>
      <c r="AH744" s="265"/>
      <c r="AI744" s="265"/>
      <c r="AJ744" s="265"/>
      <c r="AK744" s="265"/>
      <c r="AL744" s="265"/>
      <c r="AM744" s="265"/>
      <c r="AN744" s="265"/>
      <c r="AO744" s="265"/>
      <c r="AP744" s="265"/>
      <c r="AQ744" s="265"/>
      <c r="AR744" s="265"/>
      <c r="AS744" s="265"/>
      <c r="AT744" s="265"/>
      <c r="AU744" s="167"/>
      <c r="AV744" s="301"/>
      <c r="AW744" s="303"/>
      <c r="AX744" s="260"/>
      <c r="AY744" s="260"/>
      <c r="AZ744" s="260"/>
      <c r="BA744" s="260"/>
      <c r="BB744" s="260"/>
    </row>
    <row r="745" spans="1:55" s="264" customFormat="1" ht="18" customHeight="1">
      <c r="A745" s="261"/>
      <c r="B745" s="261"/>
      <c r="C745" s="261"/>
      <c r="D745" s="169"/>
      <c r="E745" s="169"/>
      <c r="F745" s="169"/>
      <c r="G745" s="169"/>
      <c r="H745" s="169"/>
      <c r="I745" s="169"/>
      <c r="J745" s="169"/>
      <c r="K745" s="167"/>
      <c r="L745" s="167"/>
      <c r="M745" s="167"/>
      <c r="N745" s="167"/>
      <c r="O745" s="167"/>
      <c r="P745" s="167"/>
      <c r="Q745" s="167"/>
      <c r="R745" s="167"/>
      <c r="S745" s="167"/>
      <c r="T745" s="167"/>
      <c r="U745" s="167"/>
      <c r="V745" s="167"/>
      <c r="W745" s="167"/>
      <c r="X745" s="167"/>
      <c r="Y745" s="167"/>
      <c r="Z745" s="265"/>
      <c r="AA745" s="265"/>
      <c r="AB745" s="265"/>
      <c r="AC745" s="265"/>
      <c r="AD745" s="265"/>
      <c r="AE745" s="265"/>
      <c r="AF745" s="265"/>
      <c r="AG745" s="265"/>
      <c r="AH745" s="265"/>
      <c r="AI745" s="265"/>
      <c r="AJ745" s="265"/>
      <c r="AK745" s="265"/>
      <c r="AL745" s="265"/>
      <c r="AM745" s="265"/>
      <c r="AN745" s="265"/>
      <c r="AO745" s="265"/>
      <c r="AP745" s="265"/>
      <c r="AQ745" s="265"/>
      <c r="AR745" s="265"/>
      <c r="AS745" s="265"/>
      <c r="AT745" s="167"/>
      <c r="AU745" s="301"/>
      <c r="AV745" s="303"/>
      <c r="AW745" s="260"/>
      <c r="AX745" s="260"/>
      <c r="AY745" s="260"/>
      <c r="AZ745" s="260"/>
      <c r="BA745" s="260"/>
    </row>
    <row r="746" spans="1:55" s="264" customFormat="1" ht="18" customHeight="1">
      <c r="A746" s="261"/>
      <c r="B746" s="261"/>
      <c r="C746" s="169"/>
      <c r="D746" s="169"/>
      <c r="E746" s="169"/>
      <c r="F746" s="169"/>
      <c r="G746" s="169"/>
      <c r="H746" s="169"/>
      <c r="I746" s="169"/>
      <c r="J746" s="169"/>
      <c r="K746" s="167"/>
      <c r="L746" s="167"/>
      <c r="M746" s="167"/>
      <c r="N746" s="167"/>
      <c r="O746" s="167"/>
      <c r="P746" s="167"/>
      <c r="Q746" s="167"/>
      <c r="R746" s="167"/>
      <c r="S746" s="167"/>
      <c r="T746" s="167"/>
      <c r="U746" s="167"/>
      <c r="V746" s="167"/>
      <c r="W746" s="167"/>
      <c r="X746" s="167"/>
      <c r="Y746" s="265"/>
      <c r="Z746" s="265"/>
      <c r="AA746" s="265"/>
      <c r="AB746" s="265"/>
      <c r="AC746" s="265"/>
      <c r="AD746" s="265"/>
      <c r="AE746" s="265"/>
      <c r="AF746" s="265"/>
      <c r="AG746" s="265"/>
      <c r="AH746" s="265"/>
      <c r="AI746" s="265"/>
      <c r="AJ746" s="265"/>
      <c r="AK746" s="265"/>
      <c r="AL746" s="265"/>
      <c r="AM746" s="265"/>
      <c r="AN746" s="265"/>
      <c r="AO746" s="265"/>
      <c r="AP746" s="265"/>
      <c r="AQ746" s="265"/>
      <c r="AR746" s="265"/>
      <c r="AS746" s="167"/>
      <c r="AT746" s="301"/>
      <c r="AU746" s="303"/>
      <c r="AV746" s="260"/>
      <c r="AW746" s="260"/>
      <c r="AX746" s="260"/>
      <c r="AY746" s="260"/>
      <c r="AZ746" s="260"/>
    </row>
    <row r="747" spans="1:55" s="264" customFormat="1" ht="18" customHeight="1">
      <c r="A747" s="261"/>
      <c r="B747" s="169"/>
      <c r="C747" s="169"/>
      <c r="D747" s="169"/>
      <c r="E747" s="169"/>
      <c r="F747" s="169"/>
      <c r="G747" s="169"/>
      <c r="H747" s="169"/>
      <c r="I747" s="169"/>
      <c r="J747" s="169"/>
      <c r="K747" s="167"/>
      <c r="L747" s="167"/>
      <c r="M747" s="167"/>
      <c r="N747" s="167"/>
      <c r="O747" s="167"/>
      <c r="P747" s="167"/>
      <c r="Q747" s="167"/>
      <c r="R747" s="167"/>
      <c r="S747" s="167"/>
      <c r="T747" s="167"/>
      <c r="U747" s="167"/>
      <c r="V747" s="167"/>
      <c r="W747" s="167"/>
      <c r="X747" s="265"/>
      <c r="Y747" s="265"/>
      <c r="Z747" s="265"/>
      <c r="AA747" s="265"/>
      <c r="AB747" s="265"/>
      <c r="AC747" s="265"/>
      <c r="AD747" s="265"/>
      <c r="AE747" s="265"/>
      <c r="AF747" s="265"/>
      <c r="AG747" s="265"/>
      <c r="AH747" s="265"/>
      <c r="AI747" s="265"/>
      <c r="AJ747" s="265"/>
      <c r="AK747" s="265"/>
      <c r="AL747" s="265"/>
      <c r="AM747" s="265"/>
      <c r="AN747" s="265"/>
      <c r="AO747" s="265"/>
      <c r="AP747" s="265"/>
      <c r="AQ747" s="265"/>
      <c r="AR747" s="167"/>
      <c r="AS747" s="301"/>
      <c r="AT747" s="303"/>
      <c r="AU747" s="260"/>
      <c r="AV747" s="260"/>
      <c r="AW747" s="260"/>
      <c r="AX747" s="260"/>
      <c r="AY747" s="260"/>
    </row>
    <row r="748" spans="1:55" s="167" customFormat="1" ht="18" customHeight="1">
      <c r="A748" s="169"/>
      <c r="B748" s="169"/>
      <c r="C748" s="169"/>
      <c r="D748" s="169"/>
      <c r="E748" s="169"/>
      <c r="F748" s="169"/>
      <c r="G748" s="169"/>
      <c r="H748" s="169"/>
      <c r="I748" s="169"/>
      <c r="J748" s="169"/>
      <c r="W748" s="265"/>
      <c r="X748" s="265"/>
      <c r="Y748" s="265"/>
      <c r="Z748" s="265"/>
      <c r="AA748" s="265"/>
      <c r="AB748" s="265"/>
      <c r="AC748" s="265"/>
      <c r="AD748" s="265"/>
      <c r="AE748" s="265"/>
      <c r="AF748" s="265"/>
      <c r="AG748" s="265"/>
      <c r="AH748" s="265"/>
      <c r="AI748" s="265"/>
      <c r="AJ748" s="265"/>
      <c r="AK748" s="265"/>
      <c r="AL748" s="265"/>
      <c r="AM748" s="265"/>
      <c r="AN748" s="265"/>
      <c r="AO748" s="265"/>
      <c r="AP748" s="265"/>
      <c r="AR748" s="301"/>
      <c r="AS748" s="303"/>
      <c r="AT748" s="260"/>
      <c r="AU748" s="260"/>
      <c r="AV748" s="260"/>
      <c r="AW748" s="260"/>
      <c r="AX748" s="260"/>
      <c r="AY748" s="264"/>
      <c r="AZ748" s="264"/>
      <c r="BA748" s="264"/>
      <c r="BB748" s="264"/>
      <c r="BC748" s="264"/>
    </row>
    <row r="749" spans="1:55" s="274" customFormat="1" ht="18" customHeight="1">
      <c r="A749" s="270">
        <f>A719+1</f>
        <v>25</v>
      </c>
      <c r="B749" s="271"/>
      <c r="C749" s="272" t="str">
        <f>IF($A$1 = 1, (IF("("&amp;C759&amp;")" ="()","","("&amp;C759&amp;")")), (IF("("&amp;C764&amp;")    ("&amp;C759&amp;")"="()    ()","","("&amp;C764&amp;")    ("&amp;C759&amp;")")))</f>
        <v/>
      </c>
      <c r="D749" s="272" t="str">
        <f t="shared" ref="D749:J749" si="72">IF($A$1 = 1, (IF("("&amp;D759&amp;")" ="()","","("&amp;D759&amp;")")), (IF("("&amp;D764&amp;")    ("&amp;D759&amp;")"="()    ()","","("&amp;D764&amp;")    ("&amp;D759&amp;")")))</f>
        <v/>
      </c>
      <c r="E749" s="272" t="str">
        <f t="shared" si="72"/>
        <v/>
      </c>
      <c r="F749" s="272" t="str">
        <f t="shared" si="72"/>
        <v/>
      </c>
      <c r="G749" s="272" t="str">
        <f t="shared" si="72"/>
        <v/>
      </c>
      <c r="H749" s="272" t="str">
        <f t="shared" si="72"/>
        <v/>
      </c>
      <c r="I749" s="272" t="str">
        <f t="shared" si="72"/>
        <v/>
      </c>
      <c r="J749" s="272" t="str">
        <f t="shared" si="72"/>
        <v/>
      </c>
      <c r="K749" s="273"/>
      <c r="L749" s="273"/>
      <c r="M749" s="273"/>
      <c r="N749" s="273"/>
      <c r="O749" s="273"/>
      <c r="P749" s="273"/>
      <c r="Q749" s="273"/>
      <c r="AI749" s="275"/>
      <c r="AJ749" s="275"/>
      <c r="AK749" s="275"/>
      <c r="AL749" s="275"/>
      <c r="AM749" s="275"/>
      <c r="AN749" s="275"/>
      <c r="AO749" s="275"/>
      <c r="AP749" s="275"/>
      <c r="AQ749" s="275"/>
      <c r="AR749" s="275"/>
      <c r="AS749" s="275"/>
      <c r="AT749" s="275"/>
      <c r="AU749" s="275"/>
      <c r="AV749" s="275"/>
      <c r="AW749" s="275"/>
      <c r="AX749" s="275"/>
      <c r="AY749" s="275"/>
      <c r="AZ749" s="275"/>
      <c r="BA749" s="275"/>
      <c r="BB749" s="275"/>
      <c r="BC749" s="275"/>
    </row>
    <row r="750" spans="1:55" s="280" customFormat="1" ht="59.1" customHeight="1">
      <c r="A750" s="276"/>
      <c r="B750" s="277"/>
      <c r="C750" s="278"/>
      <c r="D750" s="278"/>
      <c r="E750" s="278"/>
      <c r="F750" s="278"/>
      <c r="G750" s="278"/>
      <c r="H750" s="278"/>
      <c r="I750" s="278"/>
      <c r="J750" s="278"/>
      <c r="K750" s="279"/>
      <c r="L750" s="279"/>
      <c r="M750" s="279"/>
      <c r="N750" s="279"/>
      <c r="O750" s="279"/>
      <c r="P750" s="279"/>
      <c r="Q750" s="279"/>
      <c r="AI750" s="281"/>
      <c r="AJ750" s="281"/>
      <c r="AK750" s="281"/>
      <c r="AL750" s="281"/>
      <c r="AM750" s="281"/>
      <c r="AN750" s="281"/>
      <c r="AO750" s="281"/>
      <c r="AP750" s="281"/>
      <c r="AQ750" s="281"/>
      <c r="AS750" s="281"/>
      <c r="AT750" s="281"/>
      <c r="AU750" s="281"/>
      <c r="AV750" s="281"/>
      <c r="AW750" s="281"/>
      <c r="AX750" s="281"/>
      <c r="AY750" s="281"/>
      <c r="AZ750" s="281"/>
      <c r="BA750" s="281"/>
      <c r="BB750" s="281"/>
      <c r="BC750" s="281"/>
    </row>
    <row r="751" spans="1:55" s="167" customFormat="1" ht="21.95" customHeight="1">
      <c r="A751" s="266"/>
      <c r="B751" s="282" t="s">
        <v>3</v>
      </c>
      <c r="C751" s="283"/>
      <c r="D751" s="283"/>
      <c r="E751" s="283"/>
      <c r="F751" s="283"/>
      <c r="G751" s="283"/>
      <c r="H751" s="283"/>
      <c r="I751" s="283"/>
      <c r="J751" s="283"/>
      <c r="K751" s="284"/>
      <c r="L751" s="284"/>
      <c r="M751" s="284"/>
      <c r="N751" s="284"/>
      <c r="O751" s="284"/>
      <c r="P751" s="284"/>
      <c r="Q751" s="284"/>
      <c r="AI751" s="265"/>
      <c r="AJ751" s="265"/>
      <c r="AK751" s="265"/>
      <c r="AL751" s="265"/>
      <c r="AM751" s="265"/>
      <c r="AN751" s="265"/>
      <c r="AO751" s="265"/>
      <c r="AP751" s="265"/>
      <c r="AQ751" s="265"/>
      <c r="AS751" s="265"/>
      <c r="AT751" s="265"/>
      <c r="AU751" s="265"/>
      <c r="AV751" s="265"/>
      <c r="AW751" s="265"/>
      <c r="AX751" s="265"/>
      <c r="AY751" s="265"/>
      <c r="AZ751" s="265"/>
      <c r="BA751" s="265"/>
      <c r="BB751" s="265"/>
      <c r="BC751" s="265"/>
    </row>
    <row r="752" spans="1:55" s="167" customFormat="1" ht="21.95" customHeight="1">
      <c r="A752" s="266"/>
      <c r="B752" s="285" t="s">
        <v>18</v>
      </c>
      <c r="C752" s="283"/>
      <c r="D752" s="283"/>
      <c r="E752" s="283"/>
      <c r="F752" s="283"/>
      <c r="G752" s="283"/>
      <c r="H752" s="283"/>
      <c r="I752" s="283"/>
      <c r="J752" s="283"/>
      <c r="K752" s="286"/>
      <c r="L752" s="286"/>
      <c r="M752" s="286"/>
      <c r="N752" s="286"/>
      <c r="O752" s="286"/>
      <c r="P752" s="286"/>
      <c r="Q752" s="286"/>
      <c r="AI752" s="265"/>
      <c r="AJ752" s="265"/>
      <c r="AK752" s="265"/>
      <c r="AL752" s="265"/>
      <c r="AM752" s="265"/>
      <c r="AN752" s="265"/>
      <c r="AO752" s="265"/>
      <c r="AP752" s="265"/>
      <c r="AQ752" s="265"/>
      <c r="AS752" s="265"/>
      <c r="AT752" s="265"/>
      <c r="AU752" s="265"/>
      <c r="AV752" s="265"/>
      <c r="AW752" s="265"/>
      <c r="AX752" s="265"/>
      <c r="AY752" s="265"/>
      <c r="AZ752" s="265"/>
      <c r="BA752" s="265"/>
      <c r="BB752" s="265"/>
      <c r="BC752" s="265"/>
    </row>
    <row r="753" spans="1:250" s="167" customFormat="1" ht="21.95" customHeight="1">
      <c r="A753" s="169"/>
      <c r="B753" s="287" t="s">
        <v>32</v>
      </c>
      <c r="C753" s="283"/>
      <c r="D753" s="283"/>
      <c r="E753" s="283"/>
      <c r="F753" s="283"/>
      <c r="G753" s="283"/>
      <c r="H753" s="283"/>
      <c r="I753" s="283"/>
      <c r="J753" s="283"/>
      <c r="K753" s="286"/>
      <c r="L753" s="286"/>
      <c r="M753" s="286"/>
      <c r="N753" s="286"/>
      <c r="O753" s="286"/>
      <c r="P753" s="286"/>
      <c r="Q753" s="286"/>
      <c r="AI753" s="265"/>
      <c r="AJ753" s="265"/>
      <c r="AK753" s="265"/>
      <c r="AL753" s="265"/>
      <c r="AM753" s="265"/>
      <c r="AN753" s="265"/>
      <c r="AO753" s="265"/>
      <c r="AP753" s="265"/>
      <c r="AQ753" s="265"/>
      <c r="AS753" s="265"/>
      <c r="AT753" s="265"/>
      <c r="AU753" s="265"/>
      <c r="AV753" s="265"/>
      <c r="AW753" s="265"/>
      <c r="AX753" s="265"/>
      <c r="AY753" s="265"/>
      <c r="AZ753" s="265"/>
      <c r="BA753" s="265"/>
      <c r="BB753" s="265"/>
    </row>
    <row r="754" spans="1:250" s="167" customFormat="1" ht="21.95" customHeight="1">
      <c r="A754" s="169"/>
      <c r="B754" s="288" t="s">
        <v>45</v>
      </c>
      <c r="C754" s="283"/>
      <c r="D754" s="283"/>
      <c r="E754" s="283"/>
      <c r="F754" s="283"/>
      <c r="G754" s="283"/>
      <c r="H754" s="283"/>
      <c r="I754" s="283"/>
      <c r="J754" s="283"/>
      <c r="K754" s="286"/>
      <c r="L754" s="286"/>
      <c r="M754" s="286"/>
      <c r="N754" s="286"/>
      <c r="O754" s="286"/>
      <c r="P754" s="286"/>
      <c r="Q754" s="286"/>
      <c r="AI754" s="265"/>
      <c r="AJ754" s="265"/>
      <c r="AK754" s="265"/>
      <c r="AL754" s="265"/>
      <c r="AM754" s="265"/>
      <c r="AN754" s="265"/>
      <c r="AO754" s="265"/>
      <c r="AP754" s="265"/>
      <c r="AQ754" s="265"/>
      <c r="AS754" s="265"/>
      <c r="AT754" s="265"/>
      <c r="AU754" s="265"/>
      <c r="AV754" s="265"/>
      <c r="AW754" s="265"/>
      <c r="AX754" s="265"/>
      <c r="AY754" s="265"/>
      <c r="AZ754" s="265"/>
      <c r="BA754" s="265"/>
      <c r="BB754" s="265"/>
    </row>
    <row r="755" spans="1:250" s="167" customFormat="1" ht="21.95" customHeight="1">
      <c r="A755" s="169"/>
      <c r="B755" s="290" t="s">
        <v>54</v>
      </c>
      <c r="C755" s="283"/>
      <c r="D755" s="283"/>
      <c r="E755" s="283"/>
      <c r="F755" s="283"/>
      <c r="G755" s="283"/>
      <c r="H755" s="283"/>
      <c r="I755" s="283"/>
      <c r="J755" s="283"/>
      <c r="K755" s="286"/>
      <c r="L755" s="286"/>
      <c r="M755" s="286"/>
      <c r="N755" s="286"/>
      <c r="O755" s="286"/>
      <c r="P755" s="286"/>
      <c r="Q755" s="286"/>
      <c r="AI755" s="265"/>
      <c r="AJ755" s="265"/>
      <c r="AK755" s="265"/>
      <c r="AL755" s="265"/>
      <c r="AM755" s="265"/>
      <c r="AN755" s="265"/>
      <c r="AO755" s="265"/>
      <c r="AP755" s="265"/>
      <c r="AQ755" s="265"/>
      <c r="AS755" s="265"/>
      <c r="AT755" s="265"/>
      <c r="AU755" s="265"/>
      <c r="AV755" s="265"/>
      <c r="AW755" s="265"/>
      <c r="AX755" s="265"/>
      <c r="AY755" s="265"/>
      <c r="AZ755" s="265"/>
      <c r="BA755" s="265"/>
      <c r="BB755" s="265"/>
    </row>
    <row r="756" spans="1:250" s="167" customFormat="1">
      <c r="A756" s="169"/>
      <c r="B756" s="291" t="s">
        <v>66</v>
      </c>
      <c r="C756" s="286"/>
      <c r="D756" s="286"/>
      <c r="E756" s="286"/>
      <c r="F756" s="286"/>
      <c r="G756" s="286"/>
      <c r="H756" s="286"/>
      <c r="I756" s="286"/>
      <c r="J756" s="286"/>
      <c r="K756" s="286"/>
      <c r="L756" s="286"/>
      <c r="M756" s="286"/>
      <c r="N756" s="286"/>
      <c r="O756" s="286"/>
      <c r="P756" s="286"/>
      <c r="Q756" s="286"/>
      <c r="AI756" s="265"/>
      <c r="AJ756" s="265"/>
      <c r="AK756" s="265"/>
      <c r="AL756" s="265"/>
      <c r="AM756" s="265"/>
      <c r="AN756" s="265"/>
      <c r="AO756" s="265"/>
      <c r="AP756" s="265"/>
      <c r="AQ756" s="265"/>
      <c r="AS756" s="265"/>
      <c r="AT756" s="265"/>
      <c r="AU756" s="265"/>
      <c r="AV756" s="265"/>
      <c r="AW756" s="265"/>
      <c r="AX756" s="265"/>
      <c r="AY756" s="265"/>
      <c r="AZ756" s="265"/>
      <c r="BA756" s="265"/>
      <c r="BB756" s="265"/>
    </row>
    <row r="757" spans="1:250" s="167" customFormat="1">
      <c r="A757" s="169"/>
      <c r="B757" s="291" t="s">
        <v>158</v>
      </c>
      <c r="C757" s="292"/>
      <c r="D757" s="292"/>
      <c r="E757" s="292"/>
      <c r="F757" s="292"/>
      <c r="G757" s="292"/>
      <c r="H757" s="292"/>
      <c r="I757" s="292"/>
      <c r="J757" s="292"/>
      <c r="K757" s="292"/>
      <c r="L757" s="292"/>
      <c r="M757" s="292"/>
      <c r="N757" s="292"/>
      <c r="O757" s="292"/>
      <c r="P757" s="292"/>
      <c r="Q757" s="292"/>
      <c r="AI757" s="265"/>
      <c r="AJ757" s="265"/>
      <c r="AK757" s="265"/>
      <c r="AL757" s="265"/>
      <c r="AM757" s="265"/>
      <c r="AN757" s="265"/>
      <c r="AO757" s="265"/>
      <c r="AP757" s="265"/>
      <c r="AQ757" s="265"/>
      <c r="AS757" s="265"/>
      <c r="AT757" s="265"/>
      <c r="AU757" s="265"/>
      <c r="AV757" s="265"/>
      <c r="AW757" s="265"/>
      <c r="AX757" s="265"/>
      <c r="AY757" s="265"/>
      <c r="AZ757" s="265"/>
      <c r="BA757" s="265"/>
      <c r="BB757" s="265"/>
    </row>
    <row r="758" spans="1:250" s="167" customFormat="1">
      <c r="A758" s="169"/>
      <c r="B758" s="291" t="s">
        <v>189</v>
      </c>
      <c r="C758" s="292"/>
      <c r="D758" s="292"/>
      <c r="E758" s="292"/>
      <c r="F758" s="292"/>
      <c r="G758" s="292"/>
      <c r="H758" s="292"/>
      <c r="I758" s="292"/>
      <c r="J758" s="292"/>
      <c r="K758" s="292"/>
      <c r="L758" s="292"/>
      <c r="M758" s="292"/>
      <c r="N758" s="292"/>
      <c r="O758" s="292"/>
      <c r="P758" s="292"/>
      <c r="Q758" s="292"/>
      <c r="AI758" s="293"/>
      <c r="AJ758" s="293"/>
      <c r="AK758" s="293"/>
      <c r="AL758" s="293"/>
      <c r="AM758" s="293"/>
      <c r="AN758" s="265"/>
      <c r="AO758" s="265"/>
      <c r="AP758" s="265"/>
      <c r="AQ758" s="265"/>
      <c r="AS758" s="265"/>
      <c r="AT758" s="265"/>
      <c r="AU758" s="265"/>
      <c r="AV758" s="265"/>
      <c r="AW758" s="265"/>
      <c r="AX758" s="265"/>
      <c r="AY758" s="265"/>
      <c r="AZ758" s="265"/>
      <c r="BA758" s="265"/>
      <c r="BB758" s="265"/>
    </row>
    <row r="759" spans="1:250" s="167" customFormat="1" ht="15" thickBot="1">
      <c r="A759" s="169"/>
      <c r="B759" s="291" t="s">
        <v>345</v>
      </c>
      <c r="C759" s="292"/>
      <c r="D759" s="292"/>
      <c r="E759" s="292"/>
      <c r="F759" s="292"/>
      <c r="G759" s="292"/>
      <c r="H759" s="292"/>
      <c r="I759" s="292"/>
      <c r="J759" s="292"/>
      <c r="K759" s="292"/>
      <c r="L759" s="292"/>
      <c r="M759" s="292"/>
      <c r="N759" s="292"/>
      <c r="O759" s="292"/>
      <c r="P759" s="292"/>
      <c r="Q759" s="292"/>
      <c r="AI759" s="265"/>
      <c r="AJ759" s="265"/>
      <c r="AK759" s="265"/>
      <c r="AL759" s="265"/>
      <c r="AM759" s="265"/>
      <c r="AN759" s="265"/>
      <c r="AO759" s="265"/>
      <c r="AP759" s="265"/>
      <c r="AQ759" s="265"/>
      <c r="AS759" s="265"/>
      <c r="AT759" s="265"/>
      <c r="AU759" s="265"/>
      <c r="AV759" s="265"/>
      <c r="AW759" s="265"/>
      <c r="AX759" s="265"/>
      <c r="AY759" s="265"/>
      <c r="AZ759" s="265"/>
      <c r="BA759" s="265"/>
      <c r="BB759" s="265"/>
    </row>
    <row r="760" spans="1:250" s="167" customFormat="1">
      <c r="A760" s="266"/>
      <c r="B760" s="294" t="s">
        <v>166</v>
      </c>
      <c r="C760" s="295" t="str">
        <f>IF(OR(C763="**",C763=""),"",VALUE(C763))</f>
        <v/>
      </c>
      <c r="D760" s="295" t="str">
        <f t="shared" ref="D760:J760" si="73">IF(OR(D763="**",D763=""),"",VALUE(D763))</f>
        <v/>
      </c>
      <c r="E760" s="295" t="str">
        <f t="shared" si="73"/>
        <v/>
      </c>
      <c r="F760" s="295" t="str">
        <f t="shared" si="73"/>
        <v/>
      </c>
      <c r="G760" s="295" t="str">
        <f t="shared" si="73"/>
        <v/>
      </c>
      <c r="H760" s="295" t="str">
        <f t="shared" si="73"/>
        <v/>
      </c>
      <c r="I760" s="295" t="str">
        <f t="shared" si="73"/>
        <v/>
      </c>
      <c r="J760" s="295" t="str">
        <f t="shared" si="73"/>
        <v/>
      </c>
      <c r="K760" s="183"/>
      <c r="L760" s="183"/>
      <c r="M760" s="183"/>
      <c r="N760" s="183"/>
      <c r="O760" s="183"/>
      <c r="P760" s="183"/>
      <c r="Q760" s="183"/>
      <c r="AI760" s="265"/>
      <c r="AJ760" s="265"/>
      <c r="AK760" s="265"/>
      <c r="AL760" s="265"/>
      <c r="AM760" s="265"/>
      <c r="AN760" s="265"/>
      <c r="AO760" s="265"/>
      <c r="AP760" s="265"/>
      <c r="AQ760" s="265"/>
      <c r="AS760" s="265"/>
      <c r="AT760" s="265"/>
      <c r="AU760" s="265"/>
      <c r="AV760" s="265"/>
      <c r="AW760" s="265"/>
      <c r="AX760" s="265"/>
      <c r="AY760" s="265"/>
      <c r="AZ760" s="265"/>
      <c r="BA760" s="265"/>
      <c r="BB760" s="265"/>
    </row>
    <row r="761" spans="1:250" s="167" customFormat="1" ht="15" thickBot="1">
      <c r="A761" s="266"/>
      <c r="B761" s="296" t="s">
        <v>165</v>
      </c>
      <c r="C761" s="297" t="str">
        <f t="shared" ref="C761:J761" si="74">IF(OR(C757="**",C757=""),"",VALUE(C757))</f>
        <v/>
      </c>
      <c r="D761" s="297" t="str">
        <f t="shared" si="74"/>
        <v/>
      </c>
      <c r="E761" s="297" t="str">
        <f t="shared" si="74"/>
        <v/>
      </c>
      <c r="F761" s="297" t="str">
        <f t="shared" si="74"/>
        <v/>
      </c>
      <c r="G761" s="297" t="str">
        <f t="shared" si="74"/>
        <v/>
      </c>
      <c r="H761" s="297" t="str">
        <f t="shared" si="74"/>
        <v/>
      </c>
      <c r="I761" s="297" t="str">
        <f t="shared" si="74"/>
        <v/>
      </c>
      <c r="J761" s="297" t="str">
        <f t="shared" si="74"/>
        <v/>
      </c>
      <c r="K761" s="260"/>
      <c r="L761" s="260"/>
      <c r="M761" s="260"/>
      <c r="N761" s="260"/>
      <c r="O761" s="260"/>
      <c r="P761" s="260"/>
      <c r="Q761" s="260"/>
      <c r="AI761" s="260"/>
      <c r="AJ761" s="260"/>
      <c r="AK761" s="260"/>
      <c r="AL761" s="260"/>
      <c r="AM761" s="260"/>
      <c r="AN761" s="260"/>
      <c r="AO761" s="260"/>
      <c r="AP761" s="260"/>
      <c r="AQ761" s="265"/>
      <c r="AR761" s="265"/>
      <c r="AS761" s="265"/>
      <c r="AT761" s="265"/>
      <c r="AU761" s="265"/>
      <c r="AV761" s="265"/>
      <c r="AW761" s="265"/>
      <c r="AX761" s="265"/>
      <c r="AY761" s="265"/>
      <c r="AZ761" s="265"/>
      <c r="BA761" s="265"/>
      <c r="BB761" s="265"/>
    </row>
    <row r="762" spans="1:250" s="167" customFormat="1">
      <c r="A762" s="169"/>
      <c r="B762" s="298" t="s">
        <v>385</v>
      </c>
      <c r="C762" s="195"/>
      <c r="D762" s="195"/>
      <c r="E762" s="195"/>
      <c r="F762" s="195"/>
      <c r="G762" s="195"/>
      <c r="H762" s="195"/>
      <c r="I762" s="195"/>
      <c r="J762" s="195"/>
      <c r="K762" s="264"/>
      <c r="L762" s="264"/>
      <c r="M762" s="264"/>
      <c r="N762" s="264"/>
      <c r="O762" s="264"/>
      <c r="P762" s="264"/>
      <c r="Q762" s="264"/>
      <c r="AI762" s="265"/>
      <c r="AJ762" s="265"/>
      <c r="AK762" s="265"/>
      <c r="AL762" s="265"/>
      <c r="AM762" s="265"/>
      <c r="AN762" s="265"/>
      <c r="AO762" s="265"/>
      <c r="AP762" s="265"/>
      <c r="AQ762" s="265"/>
      <c r="AR762" s="265"/>
      <c r="AS762" s="265"/>
      <c r="AT762" s="265"/>
      <c r="AU762" s="265"/>
      <c r="AV762" s="265"/>
      <c r="AW762" s="265"/>
      <c r="AX762" s="265"/>
      <c r="AY762" s="265"/>
      <c r="AZ762" s="265"/>
      <c r="BA762" s="265"/>
      <c r="BB762" s="265"/>
    </row>
    <row r="763" spans="1:250" s="167" customFormat="1">
      <c r="A763" s="169"/>
      <c r="B763" s="291" t="s">
        <v>158</v>
      </c>
      <c r="C763" s="258"/>
      <c r="D763" s="258"/>
      <c r="E763" s="258"/>
      <c r="F763" s="258"/>
      <c r="G763" s="258"/>
      <c r="H763" s="258"/>
      <c r="I763" s="258"/>
      <c r="J763" s="258"/>
      <c r="K763" s="264"/>
      <c r="L763" s="264"/>
      <c r="M763" s="264"/>
      <c r="N763" s="264"/>
      <c r="O763" s="264"/>
      <c r="P763" s="264"/>
      <c r="Q763" s="264"/>
      <c r="AI763" s="265"/>
      <c r="AJ763" s="265"/>
      <c r="AK763" s="265"/>
      <c r="AL763" s="265"/>
      <c r="AM763" s="265"/>
      <c r="AN763" s="265"/>
      <c r="AO763" s="265"/>
      <c r="AP763" s="265"/>
      <c r="AQ763" s="265"/>
      <c r="AR763" s="265"/>
      <c r="AS763" s="265"/>
      <c r="AT763" s="265"/>
      <c r="AU763" s="265"/>
      <c r="AV763" s="265"/>
      <c r="AW763" s="265"/>
      <c r="AX763" s="265"/>
      <c r="AY763" s="265"/>
      <c r="AZ763" s="265"/>
      <c r="BA763" s="265"/>
      <c r="BB763" s="265"/>
    </row>
    <row r="764" spans="1:250" s="167" customFormat="1">
      <c r="A764" s="169"/>
      <c r="B764" s="298" t="s">
        <v>345</v>
      </c>
      <c r="C764" s="258"/>
      <c r="D764" s="258"/>
      <c r="E764" s="258"/>
      <c r="F764" s="258"/>
      <c r="G764" s="258"/>
      <c r="H764" s="258"/>
      <c r="I764" s="258"/>
      <c r="J764" s="258"/>
      <c r="W764" s="265"/>
      <c r="X764" s="265"/>
      <c r="Y764" s="265"/>
      <c r="Z764" s="265"/>
      <c r="AA764" s="265"/>
      <c r="AB764" s="265"/>
      <c r="AC764" s="265"/>
      <c r="AD764" s="265"/>
      <c r="AE764" s="265"/>
      <c r="AF764" s="265"/>
      <c r="AG764" s="265"/>
      <c r="AH764" s="265"/>
      <c r="AI764" s="265"/>
      <c r="AJ764" s="265"/>
      <c r="AK764" s="265"/>
      <c r="AL764" s="265"/>
      <c r="AM764" s="265"/>
      <c r="AN764" s="265"/>
      <c r="AO764" s="265"/>
      <c r="AP764" s="265"/>
      <c r="AQ764" s="265"/>
      <c r="IF764" s="303"/>
      <c r="IG764" s="260"/>
      <c r="IH764" s="260"/>
      <c r="II764" s="260"/>
      <c r="IJ764" s="260"/>
      <c r="IK764" s="260"/>
      <c r="IL764" s="264"/>
      <c r="IM764" s="264"/>
      <c r="IN764" s="264"/>
      <c r="IO764" s="264"/>
      <c r="IP764" s="264"/>
    </row>
    <row r="765" spans="1:250" s="167" customFormat="1">
      <c r="A765" s="169"/>
      <c r="B765" s="169"/>
      <c r="C765" s="169"/>
      <c r="D765" s="169"/>
      <c r="E765" s="169"/>
      <c r="F765" s="169"/>
      <c r="G765" s="169"/>
      <c r="H765" s="169"/>
      <c r="I765" s="169"/>
      <c r="J765" s="169"/>
      <c r="R765" s="265"/>
      <c r="S765" s="265"/>
      <c r="T765" s="265"/>
      <c r="U765" s="265"/>
      <c r="V765" s="265"/>
      <c r="W765" s="265"/>
      <c r="X765" s="265"/>
      <c r="Y765" s="265"/>
      <c r="AA765" s="265"/>
      <c r="AB765" s="265"/>
      <c r="AC765" s="265"/>
      <c r="AD765" s="265"/>
      <c r="AE765" s="265"/>
      <c r="AF765" s="265"/>
      <c r="AG765" s="265"/>
      <c r="AH765" s="265"/>
      <c r="AI765" s="265"/>
      <c r="AJ765" s="265"/>
      <c r="AK765" s="265"/>
      <c r="AM765" s="301"/>
      <c r="AN765" s="291"/>
      <c r="AO765" s="183"/>
      <c r="AP765" s="183"/>
      <c r="AQ765" s="183"/>
      <c r="AR765" s="183"/>
      <c r="AS765" s="183"/>
      <c r="AT765" s="183"/>
      <c r="AU765" s="183"/>
      <c r="AV765" s="183"/>
      <c r="AW765" s="264"/>
      <c r="AX765" s="264"/>
    </row>
    <row r="766" spans="1:250" s="167" customFormat="1">
      <c r="A766" s="169"/>
      <c r="B766" s="169"/>
      <c r="C766" s="169"/>
      <c r="D766" s="169"/>
      <c r="E766" s="169"/>
      <c r="F766" s="169"/>
      <c r="G766" s="169"/>
      <c r="H766" s="169"/>
      <c r="I766" s="169"/>
      <c r="J766" s="169"/>
      <c r="R766" s="265"/>
      <c r="S766" s="265"/>
      <c r="T766" s="265"/>
      <c r="U766" s="265"/>
      <c r="V766" s="265"/>
      <c r="W766" s="265"/>
      <c r="X766" s="265"/>
      <c r="Y766" s="265"/>
      <c r="AA766" s="265"/>
      <c r="AB766" s="265"/>
      <c r="AC766" s="265"/>
      <c r="AD766" s="265"/>
      <c r="AE766" s="265"/>
      <c r="AF766" s="265"/>
      <c r="AG766" s="265"/>
      <c r="AH766" s="265"/>
      <c r="AI766" s="265"/>
      <c r="AJ766" s="265"/>
      <c r="AK766" s="265"/>
      <c r="AM766" s="301"/>
      <c r="AN766" s="291"/>
      <c r="AO766" s="300"/>
      <c r="AP766" s="300"/>
      <c r="AQ766" s="300"/>
      <c r="AR766" s="300"/>
      <c r="AS766" s="300"/>
      <c r="AT766" s="183"/>
      <c r="AU766" s="183"/>
      <c r="AV766" s="183"/>
      <c r="AW766" s="264"/>
      <c r="AX766" s="264"/>
    </row>
    <row r="767" spans="1:250" s="167" customFormat="1">
      <c r="A767" s="169"/>
      <c r="B767" s="169"/>
      <c r="C767" s="169"/>
      <c r="D767" s="169"/>
      <c r="E767" s="169"/>
      <c r="F767" s="169"/>
      <c r="G767" s="169"/>
      <c r="H767" s="169"/>
      <c r="I767" s="169"/>
      <c r="J767" s="169"/>
      <c r="R767" s="293"/>
      <c r="S767" s="293"/>
      <c r="T767" s="293"/>
      <c r="U767" s="293"/>
      <c r="V767" s="265"/>
      <c r="W767" s="265"/>
      <c r="X767" s="265"/>
      <c r="Y767" s="265"/>
      <c r="AA767" s="265"/>
      <c r="AB767" s="265"/>
      <c r="AC767" s="265"/>
      <c r="AD767" s="265"/>
      <c r="AE767" s="265"/>
      <c r="AF767" s="265"/>
      <c r="AG767" s="265"/>
      <c r="AH767" s="265"/>
      <c r="AI767" s="265"/>
      <c r="AJ767" s="265"/>
      <c r="AK767" s="265"/>
      <c r="AM767" s="301"/>
      <c r="AN767" s="291"/>
      <c r="AO767" s="300"/>
      <c r="AP767" s="300"/>
      <c r="AQ767" s="300"/>
      <c r="AR767" s="300"/>
      <c r="AS767" s="300"/>
      <c r="AT767" s="183"/>
      <c r="AU767" s="183"/>
      <c r="AV767" s="183"/>
      <c r="AW767" s="264"/>
      <c r="AX767" s="264"/>
    </row>
    <row r="768" spans="1:250" s="167" customFormat="1" ht="18" customHeight="1">
      <c r="A768" s="169"/>
      <c r="B768" s="169"/>
      <c r="C768" s="169"/>
      <c r="D768" s="169"/>
      <c r="E768" s="169"/>
      <c r="F768" s="169"/>
      <c r="G768" s="169"/>
      <c r="H768" s="169"/>
      <c r="I768" s="169"/>
      <c r="J768" s="169"/>
      <c r="R768" s="265"/>
      <c r="S768" s="265"/>
      <c r="T768" s="265"/>
      <c r="U768" s="265"/>
      <c r="V768" s="265"/>
      <c r="W768" s="265"/>
      <c r="X768" s="265"/>
      <c r="Y768" s="265"/>
      <c r="AA768" s="265"/>
      <c r="AB768" s="265"/>
      <c r="AC768" s="265"/>
      <c r="AD768" s="265"/>
      <c r="AE768" s="265"/>
      <c r="AF768" s="265"/>
      <c r="AG768" s="265"/>
      <c r="AH768" s="265"/>
      <c r="AI768" s="265"/>
      <c r="AJ768" s="265"/>
      <c r="AK768" s="265"/>
      <c r="AM768" s="301"/>
      <c r="AN768" s="291"/>
      <c r="AO768" s="183"/>
      <c r="AP768" s="183"/>
      <c r="AQ768" s="183"/>
      <c r="AR768" s="183"/>
      <c r="AS768" s="183"/>
      <c r="AT768" s="183"/>
      <c r="AU768" s="183"/>
      <c r="AV768" s="183"/>
      <c r="AW768" s="264"/>
      <c r="AX768" s="264"/>
    </row>
    <row r="769" spans="1:55" s="167" customFormat="1" ht="18" customHeight="1">
      <c r="A769" s="169" t="s">
        <v>183</v>
      </c>
      <c r="B769" s="169"/>
      <c r="C769" s="169"/>
      <c r="D769" s="169"/>
      <c r="E769" s="169"/>
      <c r="F769" s="169"/>
      <c r="G769" s="169"/>
      <c r="H769" s="169"/>
      <c r="I769" s="169"/>
      <c r="J769" s="169"/>
      <c r="R769" s="265"/>
      <c r="S769" s="265"/>
      <c r="T769" s="265"/>
      <c r="U769" s="265"/>
      <c r="V769" s="265"/>
      <c r="W769" s="265"/>
      <c r="X769" s="265"/>
      <c r="Y769" s="265"/>
      <c r="AA769" s="265"/>
      <c r="AB769" s="265"/>
      <c r="AC769" s="265"/>
      <c r="AD769" s="265"/>
      <c r="AE769" s="265"/>
      <c r="AF769" s="265"/>
      <c r="AG769" s="265"/>
      <c r="AH769" s="265"/>
      <c r="AI769" s="265"/>
      <c r="AJ769" s="265"/>
      <c r="AK769" s="265"/>
      <c r="AM769" s="301"/>
      <c r="AN769" s="311"/>
      <c r="AO769" s="260"/>
      <c r="AP769" s="260"/>
      <c r="AQ769" s="260"/>
      <c r="AR769" s="260"/>
      <c r="AS769" s="260"/>
      <c r="AT769" s="260"/>
      <c r="AU769" s="260"/>
      <c r="AV769" s="260"/>
      <c r="AW769" s="264"/>
      <c r="AX769" s="264"/>
    </row>
    <row r="770" spans="1:55" s="167" customFormat="1" ht="18" customHeight="1">
      <c r="A770" s="169">
        <v>7</v>
      </c>
      <c r="B770" s="169"/>
      <c r="C770" s="169"/>
      <c r="D770" s="169"/>
      <c r="E770" s="169"/>
      <c r="F770" s="169"/>
      <c r="G770" s="169"/>
      <c r="H770" s="169"/>
      <c r="I770" s="169"/>
      <c r="J770" s="169"/>
      <c r="R770" s="260"/>
      <c r="S770" s="260"/>
      <c r="T770" s="260"/>
      <c r="U770" s="260"/>
      <c r="V770" s="260"/>
      <c r="W770" s="260"/>
      <c r="X770" s="260"/>
      <c r="Y770" s="265"/>
      <c r="Z770" s="265"/>
      <c r="AA770" s="265"/>
      <c r="AB770" s="265"/>
      <c r="AC770" s="265"/>
      <c r="AD770" s="265"/>
      <c r="AE770" s="265"/>
      <c r="AF770" s="265"/>
      <c r="AG770" s="265"/>
      <c r="AH770" s="265"/>
      <c r="AI770" s="265"/>
      <c r="AJ770" s="265"/>
      <c r="AL770" s="301"/>
      <c r="AM770" s="303"/>
      <c r="AN770" s="265"/>
      <c r="AO770" s="265"/>
      <c r="AP770" s="265"/>
      <c r="AQ770" s="265"/>
      <c r="AR770" s="265"/>
      <c r="AS770" s="264"/>
      <c r="AT770" s="264"/>
      <c r="AU770" s="264"/>
      <c r="AV770" s="264"/>
      <c r="AW770" s="264"/>
    </row>
    <row r="771" spans="1:55" s="167" customFormat="1" ht="18" customHeight="1">
      <c r="A771" s="169"/>
      <c r="B771" s="169"/>
      <c r="C771" s="169"/>
      <c r="D771" s="169"/>
      <c r="E771" s="169"/>
      <c r="F771" s="169"/>
      <c r="G771" s="169"/>
      <c r="H771" s="169"/>
      <c r="I771" s="169"/>
      <c r="J771" s="169"/>
      <c r="R771" s="265"/>
      <c r="S771" s="265"/>
      <c r="T771" s="265"/>
      <c r="U771" s="265"/>
      <c r="V771" s="265"/>
      <c r="W771" s="265"/>
      <c r="X771" s="265"/>
      <c r="Y771" s="265"/>
      <c r="Z771" s="265"/>
      <c r="AA771" s="265"/>
      <c r="AB771" s="265"/>
      <c r="AC771" s="265"/>
      <c r="AD771" s="265"/>
      <c r="AE771" s="265"/>
      <c r="AF771" s="265"/>
      <c r="AG771" s="265"/>
      <c r="AH771" s="265"/>
      <c r="AI771" s="265"/>
      <c r="AK771" s="301"/>
      <c r="AL771" s="303"/>
      <c r="AM771" s="260"/>
      <c r="AN771" s="260"/>
      <c r="AO771" s="260"/>
      <c r="AP771" s="260"/>
      <c r="AQ771" s="260"/>
      <c r="AR771" s="264"/>
      <c r="AS771" s="264"/>
      <c r="AT771" s="264"/>
      <c r="AU771" s="264"/>
      <c r="AV771" s="264"/>
    </row>
    <row r="772" spans="1:55" s="167" customFormat="1" ht="18" customHeight="1">
      <c r="A772" s="169"/>
      <c r="B772" s="169"/>
      <c r="C772" s="169"/>
      <c r="D772" s="169"/>
      <c r="E772" s="169"/>
      <c r="F772" s="169"/>
      <c r="G772" s="169"/>
      <c r="H772" s="169"/>
      <c r="I772" s="169"/>
      <c r="J772" s="169"/>
      <c r="R772" s="265"/>
      <c r="S772" s="265"/>
      <c r="T772" s="265"/>
      <c r="U772" s="265"/>
      <c r="V772" s="265"/>
      <c r="W772" s="265"/>
      <c r="X772" s="265"/>
      <c r="Y772" s="265"/>
      <c r="Z772" s="265"/>
      <c r="AA772" s="265"/>
      <c r="AB772" s="265"/>
      <c r="AC772" s="265"/>
      <c r="AD772" s="265"/>
      <c r="AE772" s="265"/>
      <c r="AF772" s="265"/>
      <c r="AG772" s="265"/>
      <c r="AH772" s="265"/>
      <c r="AJ772" s="301"/>
      <c r="AK772" s="303"/>
      <c r="AL772" s="260"/>
      <c r="AM772" s="260"/>
      <c r="AN772" s="260"/>
      <c r="AO772" s="260"/>
      <c r="AP772" s="260"/>
      <c r="AQ772" s="264"/>
      <c r="AR772" s="264"/>
      <c r="AS772" s="264"/>
      <c r="AT772" s="264"/>
      <c r="AU772" s="264"/>
    </row>
    <row r="773" spans="1:55" s="167" customFormat="1" ht="18" customHeight="1">
      <c r="A773" s="169"/>
      <c r="B773" s="169"/>
      <c r="C773" s="169"/>
      <c r="D773" s="169"/>
      <c r="E773" s="169"/>
      <c r="F773" s="169"/>
      <c r="G773" s="169"/>
      <c r="H773" s="169"/>
      <c r="I773" s="169"/>
      <c r="J773" s="169"/>
      <c r="R773" s="265"/>
      <c r="S773" s="265"/>
      <c r="T773" s="265"/>
      <c r="U773" s="265"/>
      <c r="V773" s="265"/>
      <c r="W773" s="265"/>
      <c r="X773" s="265"/>
      <c r="Y773" s="265"/>
      <c r="Z773" s="265"/>
      <c r="AA773" s="265"/>
      <c r="AB773" s="265"/>
      <c r="AC773" s="265"/>
      <c r="AD773" s="265"/>
      <c r="AE773" s="265"/>
      <c r="AF773" s="265"/>
      <c r="AG773" s="265"/>
      <c r="AI773" s="301"/>
      <c r="AJ773" s="303"/>
      <c r="AK773" s="260"/>
      <c r="AL773" s="260"/>
      <c r="AM773" s="260"/>
      <c r="AN773" s="260"/>
      <c r="AO773" s="260"/>
      <c r="AP773" s="264"/>
      <c r="AQ773" s="264"/>
      <c r="AR773" s="264"/>
      <c r="AS773" s="264"/>
      <c r="AT773" s="264"/>
    </row>
    <row r="774" spans="1:55" s="167" customFormat="1" ht="18" customHeight="1">
      <c r="A774" s="169"/>
      <c r="B774" s="169"/>
      <c r="C774" s="169"/>
      <c r="D774" s="169"/>
      <c r="E774" s="169"/>
      <c r="F774" s="169"/>
      <c r="G774" s="169"/>
      <c r="H774" s="169"/>
      <c r="I774" s="169"/>
      <c r="J774" s="169"/>
      <c r="R774" s="265"/>
      <c r="S774" s="265"/>
      <c r="T774" s="265"/>
      <c r="U774" s="265"/>
      <c r="V774" s="265"/>
      <c r="W774" s="265"/>
      <c r="X774" s="265"/>
      <c r="Y774" s="265"/>
      <c r="Z774" s="265"/>
      <c r="AA774" s="265"/>
      <c r="AB774" s="265"/>
      <c r="AC774" s="265"/>
      <c r="AD774" s="265"/>
      <c r="AE774" s="265"/>
      <c r="AF774" s="265"/>
      <c r="AH774" s="301"/>
      <c r="AI774" s="303"/>
      <c r="AJ774" s="260"/>
      <c r="AK774" s="260"/>
      <c r="AL774" s="260"/>
      <c r="AM774" s="260"/>
      <c r="AN774" s="260"/>
      <c r="AO774" s="264"/>
      <c r="AP774" s="264"/>
      <c r="AQ774" s="264"/>
      <c r="AR774" s="264"/>
      <c r="AS774" s="264"/>
    </row>
    <row r="775" spans="1:55" s="167" customFormat="1" ht="18" customHeight="1">
      <c r="A775" s="169"/>
      <c r="B775" s="169"/>
      <c r="C775" s="169"/>
      <c r="D775" s="169"/>
      <c r="E775" s="169"/>
      <c r="F775" s="169"/>
      <c r="G775" s="169"/>
      <c r="H775" s="169"/>
      <c r="I775" s="169"/>
      <c r="J775" s="169"/>
      <c r="R775" s="265"/>
      <c r="S775" s="265"/>
      <c r="T775" s="265"/>
      <c r="U775" s="265"/>
      <c r="V775" s="265"/>
      <c r="W775" s="265"/>
      <c r="X775" s="265"/>
      <c r="Y775" s="265"/>
      <c r="Z775" s="265"/>
      <c r="AA775" s="265"/>
      <c r="AB775" s="265"/>
      <c r="AC775" s="265"/>
      <c r="AD775" s="265"/>
      <c r="AE775" s="265"/>
      <c r="AG775" s="301"/>
      <c r="AH775" s="303"/>
      <c r="AI775" s="260"/>
      <c r="AJ775" s="260"/>
      <c r="AK775" s="260"/>
      <c r="AL775" s="260"/>
      <c r="AM775" s="260"/>
      <c r="AN775" s="264"/>
      <c r="AO775" s="264"/>
      <c r="AP775" s="264"/>
      <c r="AQ775" s="264"/>
      <c r="AR775" s="264"/>
    </row>
    <row r="776" spans="1:55" s="167" customFormat="1" ht="18" customHeight="1">
      <c r="A776" s="169"/>
      <c r="B776" s="169"/>
      <c r="C776" s="169"/>
      <c r="D776" s="169"/>
      <c r="E776" s="169"/>
      <c r="F776" s="169"/>
      <c r="G776" s="169"/>
      <c r="H776" s="169"/>
      <c r="I776" s="169"/>
      <c r="J776" s="169"/>
      <c r="R776" s="265"/>
      <c r="S776" s="265"/>
      <c r="T776" s="265"/>
      <c r="U776" s="265"/>
      <c r="V776" s="265"/>
      <c r="W776" s="265"/>
      <c r="X776" s="265"/>
      <c r="Y776" s="265"/>
      <c r="Z776" s="265"/>
      <c r="AA776" s="265"/>
      <c r="AB776" s="265"/>
      <c r="AC776" s="265"/>
      <c r="AD776" s="265"/>
      <c r="AF776" s="301"/>
      <c r="AG776" s="303"/>
      <c r="AH776" s="260"/>
      <c r="AI776" s="260"/>
      <c r="AJ776" s="260"/>
      <c r="AK776" s="260"/>
      <c r="AL776" s="260"/>
      <c r="AM776" s="264"/>
      <c r="AN776" s="264"/>
      <c r="AO776" s="264"/>
      <c r="AP776" s="264"/>
      <c r="AQ776" s="264"/>
    </row>
    <row r="777" spans="1:55" s="167" customFormat="1" ht="18" customHeight="1">
      <c r="A777" s="169"/>
      <c r="B777" s="169"/>
      <c r="C777" s="169"/>
      <c r="D777" s="169"/>
      <c r="E777" s="169"/>
      <c r="F777" s="169"/>
      <c r="G777" s="169"/>
      <c r="H777" s="169"/>
      <c r="I777" s="169"/>
      <c r="J777" s="169"/>
      <c r="R777" s="265"/>
      <c r="S777" s="265"/>
      <c r="T777" s="265"/>
      <c r="U777" s="265"/>
      <c r="V777" s="265"/>
      <c r="W777" s="265"/>
      <c r="X777" s="265"/>
      <c r="Y777" s="265"/>
      <c r="Z777" s="265"/>
      <c r="AA777" s="265"/>
      <c r="AB777" s="265"/>
      <c r="AC777" s="265"/>
      <c r="AE777" s="301"/>
      <c r="AF777" s="303"/>
      <c r="AG777" s="260"/>
      <c r="AH777" s="260"/>
      <c r="AI777" s="260"/>
      <c r="AJ777" s="260"/>
      <c r="AK777" s="260"/>
      <c r="AL777" s="264"/>
      <c r="AM777" s="264"/>
      <c r="AN777" s="264"/>
      <c r="AO777" s="264"/>
      <c r="AP777" s="264"/>
    </row>
    <row r="778" spans="1:55" s="167" customFormat="1" ht="18" customHeight="1">
      <c r="A778" s="169"/>
      <c r="B778" s="169"/>
      <c r="C778" s="169"/>
      <c r="D778" s="169"/>
      <c r="E778" s="169"/>
      <c r="F778" s="169"/>
      <c r="G778" s="169"/>
      <c r="H778" s="169"/>
      <c r="I778" s="169"/>
      <c r="J778" s="169"/>
      <c r="R778" s="265"/>
      <c r="S778" s="265"/>
      <c r="T778" s="265"/>
      <c r="U778" s="265"/>
      <c r="V778" s="265"/>
      <c r="W778" s="265"/>
      <c r="X778" s="265"/>
      <c r="Y778" s="265"/>
      <c r="Z778" s="265"/>
      <c r="AA778" s="265"/>
      <c r="AB778" s="265"/>
      <c r="AD778" s="301"/>
      <c r="AE778" s="303"/>
      <c r="AF778" s="260"/>
      <c r="AG778" s="260"/>
      <c r="AH778" s="260"/>
      <c r="AI778" s="260"/>
      <c r="AJ778" s="260"/>
      <c r="AK778" s="264"/>
      <c r="AL778" s="264"/>
      <c r="AM778" s="264"/>
      <c r="AN778" s="264"/>
      <c r="AO778" s="264"/>
    </row>
    <row r="779" spans="1:55" s="274" customFormat="1" ht="18" customHeight="1">
      <c r="A779" s="270">
        <f>A749+1</f>
        <v>26</v>
      </c>
      <c r="B779" s="271"/>
      <c r="C779" s="272" t="str">
        <f>IF($A$1 = 1, (IF("("&amp;C789&amp;")" ="()","","("&amp;C789&amp;")")), (IF("("&amp;C794&amp;")    ("&amp;C789&amp;")"="()    ()","","("&amp;C794&amp;")    ("&amp;C789&amp;")")))</f>
        <v/>
      </c>
      <c r="D779" s="272" t="str">
        <f t="shared" ref="D779:J779" si="75">IF($A$1 = 1, (IF("("&amp;D789&amp;")" ="()","","("&amp;D789&amp;")")), (IF("("&amp;D794&amp;")    ("&amp;D789&amp;")"="()    ()","","("&amp;D794&amp;")    ("&amp;D789&amp;")")))</f>
        <v/>
      </c>
      <c r="E779" s="272" t="str">
        <f t="shared" si="75"/>
        <v/>
      </c>
      <c r="F779" s="272" t="str">
        <f t="shared" si="75"/>
        <v/>
      </c>
      <c r="G779" s="272" t="str">
        <f t="shared" si="75"/>
        <v/>
      </c>
      <c r="H779" s="272" t="str">
        <f t="shared" si="75"/>
        <v/>
      </c>
      <c r="I779" s="272" t="str">
        <f t="shared" si="75"/>
        <v/>
      </c>
      <c r="J779" s="272" t="str">
        <f t="shared" si="75"/>
        <v/>
      </c>
      <c r="K779" s="273"/>
      <c r="L779" s="273"/>
      <c r="M779" s="273"/>
      <c r="N779" s="273"/>
      <c r="O779" s="273"/>
      <c r="P779" s="273"/>
      <c r="Q779" s="273"/>
      <c r="AI779" s="275"/>
      <c r="AJ779" s="275"/>
      <c r="AK779" s="275"/>
      <c r="AL779" s="275"/>
      <c r="AM779" s="275"/>
      <c r="AN779" s="275"/>
      <c r="AO779" s="275"/>
      <c r="AP779" s="275"/>
      <c r="AQ779" s="275"/>
      <c r="AR779" s="275"/>
      <c r="AS779" s="275"/>
      <c r="AT779" s="275"/>
      <c r="AU779" s="275"/>
      <c r="AV779" s="275"/>
      <c r="AW779" s="275"/>
      <c r="AX779" s="275"/>
      <c r="AY779" s="275"/>
      <c r="AZ779" s="275"/>
      <c r="BA779" s="275"/>
      <c r="BB779" s="275"/>
      <c r="BC779" s="275"/>
    </row>
    <row r="780" spans="1:55" s="280" customFormat="1" ht="59.1" customHeight="1">
      <c r="A780" s="276"/>
      <c r="B780" s="277"/>
      <c r="C780" s="278"/>
      <c r="D780" s="278"/>
      <c r="E780" s="278"/>
      <c r="F780" s="278"/>
      <c r="G780" s="278"/>
      <c r="H780" s="278"/>
      <c r="I780" s="278"/>
      <c r="J780" s="278"/>
      <c r="K780" s="279"/>
      <c r="L780" s="279"/>
      <c r="M780" s="279"/>
      <c r="N780" s="279"/>
      <c r="O780" s="279"/>
      <c r="P780" s="279"/>
      <c r="Q780" s="279"/>
      <c r="AI780" s="281"/>
      <c r="AJ780" s="281"/>
      <c r="AK780" s="281"/>
      <c r="AL780" s="281"/>
      <c r="AM780" s="281"/>
      <c r="AN780" s="281"/>
      <c r="AO780" s="281"/>
      <c r="AP780" s="281"/>
      <c r="AQ780" s="281"/>
      <c r="AS780" s="281"/>
      <c r="AT780" s="281"/>
      <c r="AU780" s="281"/>
      <c r="AV780" s="281"/>
      <c r="AW780" s="281"/>
      <c r="AX780" s="281"/>
      <c r="AY780" s="281"/>
      <c r="AZ780" s="281"/>
      <c r="BA780" s="281"/>
      <c r="BB780" s="281"/>
      <c r="BC780" s="281"/>
    </row>
    <row r="781" spans="1:55" s="167" customFormat="1" ht="21.95" customHeight="1">
      <c r="A781" s="266"/>
      <c r="B781" s="282" t="s">
        <v>3</v>
      </c>
      <c r="C781" s="283"/>
      <c r="D781" s="283"/>
      <c r="E781" s="283"/>
      <c r="F781" s="283"/>
      <c r="G781" s="283"/>
      <c r="H781" s="283"/>
      <c r="I781" s="283"/>
      <c r="J781" s="283"/>
      <c r="K781" s="284"/>
      <c r="L781" s="284"/>
      <c r="M781" s="284"/>
      <c r="N781" s="284"/>
      <c r="O781" s="284"/>
      <c r="P781" s="284"/>
      <c r="Q781" s="284"/>
      <c r="AI781" s="265"/>
      <c r="AJ781" s="265"/>
      <c r="AK781" s="265"/>
      <c r="AL781" s="265"/>
      <c r="AM781" s="265"/>
      <c r="AN781" s="265"/>
      <c r="AO781" s="265"/>
      <c r="AP781" s="265"/>
      <c r="AQ781" s="265"/>
      <c r="AS781" s="265"/>
      <c r="AT781" s="265"/>
      <c r="AU781" s="265"/>
      <c r="AV781" s="265"/>
      <c r="AW781" s="265"/>
      <c r="AX781" s="265"/>
      <c r="AY781" s="265"/>
      <c r="AZ781" s="265"/>
      <c r="BA781" s="265"/>
      <c r="BB781" s="265"/>
      <c r="BC781" s="265"/>
    </row>
    <row r="782" spans="1:55" s="167" customFormat="1" ht="21.95" customHeight="1">
      <c r="A782" s="266"/>
      <c r="B782" s="285" t="s">
        <v>18</v>
      </c>
      <c r="C782" s="283"/>
      <c r="D782" s="283"/>
      <c r="E782" s="283"/>
      <c r="F782" s="283"/>
      <c r="G782" s="283"/>
      <c r="H782" s="283"/>
      <c r="I782" s="283"/>
      <c r="J782" s="283"/>
      <c r="K782" s="286"/>
      <c r="L782" s="286"/>
      <c r="M782" s="286"/>
      <c r="N782" s="286"/>
      <c r="O782" s="286"/>
      <c r="P782" s="286"/>
      <c r="Q782" s="286"/>
      <c r="AI782" s="265"/>
      <c r="AJ782" s="265"/>
      <c r="AK782" s="265"/>
      <c r="AL782" s="265"/>
      <c r="AM782" s="265"/>
      <c r="AN782" s="265"/>
      <c r="AO782" s="265"/>
      <c r="AP782" s="265"/>
      <c r="AQ782" s="265"/>
      <c r="AS782" s="265"/>
      <c r="AT782" s="265"/>
      <c r="AU782" s="265"/>
      <c r="AV782" s="265"/>
      <c r="AW782" s="265"/>
      <c r="AX782" s="265"/>
      <c r="AY782" s="265"/>
      <c r="AZ782" s="265"/>
      <c r="BA782" s="265"/>
      <c r="BB782" s="265"/>
      <c r="BC782" s="265"/>
    </row>
    <row r="783" spans="1:55" s="167" customFormat="1" ht="21.95" customHeight="1">
      <c r="A783" s="169"/>
      <c r="B783" s="287" t="s">
        <v>32</v>
      </c>
      <c r="C783" s="283"/>
      <c r="D783" s="283"/>
      <c r="E783" s="283"/>
      <c r="F783" s="283"/>
      <c r="G783" s="283"/>
      <c r="H783" s="283"/>
      <c r="I783" s="283"/>
      <c r="J783" s="283"/>
      <c r="K783" s="286"/>
      <c r="L783" s="286"/>
      <c r="M783" s="286"/>
      <c r="N783" s="286"/>
      <c r="O783" s="286"/>
      <c r="P783" s="286"/>
      <c r="Q783" s="286"/>
      <c r="AI783" s="265"/>
      <c r="AJ783" s="265"/>
      <c r="AK783" s="265"/>
      <c r="AL783" s="265"/>
      <c r="AM783" s="265"/>
      <c r="AN783" s="265"/>
      <c r="AO783" s="265"/>
      <c r="AP783" s="265"/>
      <c r="AQ783" s="265"/>
      <c r="AS783" s="265"/>
      <c r="AT783" s="265"/>
      <c r="AU783" s="265"/>
      <c r="AV783" s="265"/>
      <c r="AW783" s="265"/>
      <c r="AX783" s="265"/>
      <c r="AY783" s="265"/>
      <c r="AZ783" s="265"/>
      <c r="BA783" s="265"/>
      <c r="BB783" s="265"/>
    </row>
    <row r="784" spans="1:55" s="167" customFormat="1" ht="21.95" customHeight="1">
      <c r="A784" s="169"/>
      <c r="B784" s="288" t="s">
        <v>45</v>
      </c>
      <c r="C784" s="283"/>
      <c r="D784" s="283"/>
      <c r="E784" s="283"/>
      <c r="F784" s="283"/>
      <c r="G784" s="283"/>
      <c r="H784" s="283"/>
      <c r="I784" s="283"/>
      <c r="J784" s="283"/>
      <c r="K784" s="286"/>
      <c r="L784" s="286"/>
      <c r="M784" s="286"/>
      <c r="N784" s="286"/>
      <c r="O784" s="286"/>
      <c r="P784" s="286"/>
      <c r="Q784" s="286"/>
      <c r="AI784" s="265"/>
      <c r="AJ784" s="265"/>
      <c r="AK784" s="265"/>
      <c r="AL784" s="265"/>
      <c r="AM784" s="265"/>
      <c r="AN784" s="265"/>
      <c r="AO784" s="265"/>
      <c r="AP784" s="265"/>
      <c r="AQ784" s="265"/>
      <c r="AS784" s="265"/>
      <c r="AT784" s="265"/>
      <c r="AU784" s="265"/>
      <c r="AV784" s="265"/>
      <c r="AW784" s="265"/>
      <c r="AX784" s="265"/>
      <c r="AY784" s="265"/>
      <c r="AZ784" s="265"/>
      <c r="BA784" s="265"/>
      <c r="BB784" s="265"/>
    </row>
    <row r="785" spans="1:250" s="167" customFormat="1" ht="21.95" customHeight="1">
      <c r="A785" s="169"/>
      <c r="B785" s="290" t="s">
        <v>54</v>
      </c>
      <c r="C785" s="283"/>
      <c r="D785" s="283"/>
      <c r="E785" s="283"/>
      <c r="F785" s="283"/>
      <c r="G785" s="283"/>
      <c r="H785" s="283"/>
      <c r="I785" s="283"/>
      <c r="J785" s="283"/>
      <c r="K785" s="286"/>
      <c r="L785" s="286"/>
      <c r="M785" s="286"/>
      <c r="N785" s="286"/>
      <c r="O785" s="286"/>
      <c r="P785" s="286"/>
      <c r="Q785" s="286"/>
      <c r="AI785" s="265"/>
      <c r="AJ785" s="265"/>
      <c r="AK785" s="265"/>
      <c r="AL785" s="265"/>
      <c r="AM785" s="265"/>
      <c r="AN785" s="265"/>
      <c r="AO785" s="265"/>
      <c r="AP785" s="265"/>
      <c r="AQ785" s="265"/>
      <c r="AS785" s="265"/>
      <c r="AT785" s="265"/>
      <c r="AU785" s="265"/>
      <c r="AV785" s="265"/>
      <c r="AW785" s="265"/>
      <c r="AX785" s="265"/>
      <c r="AY785" s="265"/>
      <c r="AZ785" s="265"/>
      <c r="BA785" s="265"/>
      <c r="BB785" s="265"/>
    </row>
    <row r="786" spans="1:250" s="167" customFormat="1">
      <c r="A786" s="169"/>
      <c r="B786" s="291" t="s">
        <v>66</v>
      </c>
      <c r="C786" s="286"/>
      <c r="D786" s="286"/>
      <c r="E786" s="286"/>
      <c r="F786" s="286"/>
      <c r="G786" s="286"/>
      <c r="H786" s="286"/>
      <c r="I786" s="286"/>
      <c r="J786" s="286"/>
      <c r="K786" s="286"/>
      <c r="L786" s="286"/>
      <c r="M786" s="286"/>
      <c r="N786" s="286"/>
      <c r="O786" s="286"/>
      <c r="P786" s="286"/>
      <c r="Q786" s="286"/>
      <c r="AI786" s="265"/>
      <c r="AJ786" s="265"/>
      <c r="AK786" s="265"/>
      <c r="AL786" s="265"/>
      <c r="AM786" s="265"/>
      <c r="AN786" s="265"/>
      <c r="AO786" s="265"/>
      <c r="AP786" s="265"/>
      <c r="AQ786" s="265"/>
      <c r="AS786" s="265"/>
      <c r="AT786" s="265"/>
      <c r="AU786" s="265"/>
      <c r="AV786" s="265"/>
      <c r="AW786" s="265"/>
      <c r="AX786" s="265"/>
      <c r="AY786" s="265"/>
      <c r="AZ786" s="265"/>
      <c r="BA786" s="265"/>
      <c r="BB786" s="265"/>
    </row>
    <row r="787" spans="1:250" s="167" customFormat="1">
      <c r="A787" s="169"/>
      <c r="B787" s="291" t="s">
        <v>158</v>
      </c>
      <c r="C787" s="292"/>
      <c r="D787" s="292"/>
      <c r="E787" s="292"/>
      <c r="F787" s="292"/>
      <c r="G787" s="292"/>
      <c r="H787" s="292"/>
      <c r="I787" s="292"/>
      <c r="J787" s="292"/>
      <c r="K787" s="292"/>
      <c r="L787" s="292"/>
      <c r="M787" s="292"/>
      <c r="N787" s="292"/>
      <c r="O787" s="292"/>
      <c r="P787" s="292"/>
      <c r="Q787" s="292"/>
      <c r="AI787" s="265"/>
      <c r="AJ787" s="265"/>
      <c r="AK787" s="265"/>
      <c r="AL787" s="265"/>
      <c r="AM787" s="265"/>
      <c r="AN787" s="265"/>
      <c r="AO787" s="265"/>
      <c r="AP787" s="265"/>
      <c r="AQ787" s="265"/>
      <c r="AS787" s="265"/>
      <c r="AT787" s="265"/>
      <c r="AU787" s="265"/>
      <c r="AV787" s="265"/>
      <c r="AW787" s="265"/>
      <c r="AX787" s="265"/>
      <c r="AY787" s="265"/>
      <c r="AZ787" s="265"/>
      <c r="BA787" s="265"/>
      <c r="BB787" s="265"/>
    </row>
    <row r="788" spans="1:250" s="167" customFormat="1">
      <c r="A788" s="169"/>
      <c r="B788" s="291" t="s">
        <v>189</v>
      </c>
      <c r="C788" s="292"/>
      <c r="D788" s="292"/>
      <c r="E788" s="292"/>
      <c r="F788" s="292"/>
      <c r="G788" s="292"/>
      <c r="H788" s="292"/>
      <c r="I788" s="292"/>
      <c r="J788" s="292"/>
      <c r="K788" s="292"/>
      <c r="L788" s="292"/>
      <c r="M788" s="292"/>
      <c r="N788" s="292"/>
      <c r="O788" s="292"/>
      <c r="P788" s="292"/>
      <c r="Q788" s="292"/>
      <c r="AI788" s="293"/>
      <c r="AJ788" s="293"/>
      <c r="AK788" s="293"/>
      <c r="AL788" s="293"/>
      <c r="AM788" s="293"/>
      <c r="AN788" s="265"/>
      <c r="AO788" s="265"/>
      <c r="AP788" s="265"/>
      <c r="AQ788" s="265"/>
      <c r="AS788" s="265"/>
      <c r="AT788" s="265"/>
      <c r="AU788" s="265"/>
      <c r="AV788" s="265"/>
      <c r="AW788" s="265"/>
      <c r="AX788" s="265"/>
      <c r="AY788" s="265"/>
      <c r="AZ788" s="265"/>
      <c r="BA788" s="265"/>
      <c r="BB788" s="265"/>
    </row>
    <row r="789" spans="1:250" s="167" customFormat="1" ht="15" thickBot="1">
      <c r="A789" s="169"/>
      <c r="B789" s="291" t="s">
        <v>345</v>
      </c>
      <c r="C789" s="292"/>
      <c r="D789" s="292"/>
      <c r="E789" s="292"/>
      <c r="F789" s="292"/>
      <c r="G789" s="292"/>
      <c r="H789" s="292"/>
      <c r="I789" s="292"/>
      <c r="J789" s="292"/>
      <c r="K789" s="292"/>
      <c r="L789" s="292"/>
      <c r="M789" s="292"/>
      <c r="N789" s="292"/>
      <c r="O789" s="292"/>
      <c r="P789" s="292"/>
      <c r="Q789" s="292"/>
      <c r="AI789" s="265"/>
      <c r="AJ789" s="265"/>
      <c r="AK789" s="265"/>
      <c r="AL789" s="265"/>
      <c r="AM789" s="265"/>
      <c r="AN789" s="265"/>
      <c r="AO789" s="265"/>
      <c r="AP789" s="265"/>
      <c r="AQ789" s="265"/>
      <c r="AS789" s="265"/>
      <c r="AT789" s="265"/>
      <c r="AU789" s="265"/>
      <c r="AV789" s="265"/>
      <c r="AW789" s="265"/>
      <c r="AX789" s="265"/>
      <c r="AY789" s="265"/>
      <c r="AZ789" s="265"/>
      <c r="BA789" s="265"/>
      <c r="BB789" s="265"/>
    </row>
    <row r="790" spans="1:250" s="167" customFormat="1">
      <c r="A790" s="266"/>
      <c r="B790" s="294" t="s">
        <v>166</v>
      </c>
      <c r="C790" s="295" t="str">
        <f>IF(OR(C793="**",C793=""),"",VALUE(C793))</f>
        <v/>
      </c>
      <c r="D790" s="295" t="str">
        <f t="shared" ref="D790:J790" si="76">IF(OR(D793="**",D793=""),"",VALUE(D793))</f>
        <v/>
      </c>
      <c r="E790" s="295" t="str">
        <f t="shared" si="76"/>
        <v/>
      </c>
      <c r="F790" s="295" t="str">
        <f t="shared" si="76"/>
        <v/>
      </c>
      <c r="G790" s="295" t="str">
        <f t="shared" si="76"/>
        <v/>
      </c>
      <c r="H790" s="295" t="str">
        <f t="shared" si="76"/>
        <v/>
      </c>
      <c r="I790" s="295" t="str">
        <f t="shared" si="76"/>
        <v/>
      </c>
      <c r="J790" s="295" t="str">
        <f t="shared" si="76"/>
        <v/>
      </c>
      <c r="K790" s="183"/>
      <c r="L790" s="183"/>
      <c r="M790" s="183"/>
      <c r="N790" s="183"/>
      <c r="O790" s="183"/>
      <c r="P790" s="183"/>
      <c r="Q790" s="183"/>
      <c r="AI790" s="265"/>
      <c r="AJ790" s="265"/>
      <c r="AK790" s="265"/>
      <c r="AL790" s="265"/>
      <c r="AM790" s="265"/>
      <c r="AN790" s="265"/>
      <c r="AO790" s="265"/>
      <c r="AP790" s="265"/>
      <c r="AQ790" s="265"/>
      <c r="AS790" s="265"/>
      <c r="AT790" s="265"/>
      <c r="AU790" s="265"/>
      <c r="AV790" s="265"/>
      <c r="AW790" s="265"/>
      <c r="AX790" s="265"/>
      <c r="AY790" s="265"/>
      <c r="AZ790" s="265"/>
      <c r="BA790" s="265"/>
      <c r="BB790" s="265"/>
    </row>
    <row r="791" spans="1:250" s="167" customFormat="1" ht="15" thickBot="1">
      <c r="A791" s="266"/>
      <c r="B791" s="296" t="s">
        <v>165</v>
      </c>
      <c r="C791" s="297" t="str">
        <f t="shared" ref="C791:J791" si="77">IF(OR(C787="**",C787=""),"",VALUE(C787))</f>
        <v/>
      </c>
      <c r="D791" s="297" t="str">
        <f t="shared" si="77"/>
        <v/>
      </c>
      <c r="E791" s="297" t="str">
        <f t="shared" si="77"/>
        <v/>
      </c>
      <c r="F791" s="297" t="str">
        <f t="shared" si="77"/>
        <v/>
      </c>
      <c r="G791" s="297" t="str">
        <f t="shared" si="77"/>
        <v/>
      </c>
      <c r="H791" s="297" t="str">
        <f t="shared" si="77"/>
        <v/>
      </c>
      <c r="I791" s="297" t="str">
        <f t="shared" si="77"/>
        <v/>
      </c>
      <c r="J791" s="297" t="str">
        <f t="shared" si="77"/>
        <v/>
      </c>
      <c r="K791" s="260"/>
      <c r="L791" s="260"/>
      <c r="M791" s="260"/>
      <c r="N791" s="260"/>
      <c r="O791" s="260"/>
      <c r="P791" s="260"/>
      <c r="Q791" s="260"/>
      <c r="AI791" s="260"/>
      <c r="AJ791" s="260"/>
      <c r="AK791" s="260"/>
      <c r="AL791" s="260"/>
      <c r="AM791" s="260"/>
      <c r="AN791" s="260"/>
      <c r="AO791" s="260"/>
      <c r="AP791" s="260"/>
      <c r="AQ791" s="265"/>
      <c r="AR791" s="265"/>
      <c r="AS791" s="265"/>
      <c r="AT791" s="265"/>
      <c r="AU791" s="265"/>
      <c r="AV791" s="265"/>
      <c r="AW791" s="265"/>
      <c r="AX791" s="265"/>
      <c r="AY791" s="265"/>
      <c r="AZ791" s="265"/>
      <c r="BA791" s="265"/>
      <c r="BB791" s="265"/>
    </row>
    <row r="792" spans="1:250" s="167" customFormat="1">
      <c r="A792" s="169"/>
      <c r="B792" s="298" t="s">
        <v>385</v>
      </c>
      <c r="C792" s="195"/>
      <c r="D792" s="195"/>
      <c r="E792" s="195"/>
      <c r="F792" s="195"/>
      <c r="G792" s="195"/>
      <c r="H792" s="195"/>
      <c r="I792" s="195"/>
      <c r="J792" s="195"/>
      <c r="K792" s="264"/>
      <c r="L792" s="264"/>
      <c r="M792" s="264"/>
      <c r="N792" s="264"/>
      <c r="O792" s="264"/>
      <c r="P792" s="264"/>
      <c r="Q792" s="264"/>
      <c r="AI792" s="265"/>
      <c r="AJ792" s="265"/>
      <c r="AK792" s="265"/>
      <c r="AL792" s="265"/>
      <c r="AM792" s="265"/>
      <c r="AN792" s="265"/>
      <c r="AO792" s="265"/>
      <c r="AP792" s="265"/>
      <c r="AQ792" s="265"/>
      <c r="AR792" s="265"/>
      <c r="AS792" s="265"/>
      <c r="AT792" s="265"/>
      <c r="AU792" s="265"/>
      <c r="AV792" s="265"/>
      <c r="AW792" s="265"/>
      <c r="AX792" s="265"/>
      <c r="AY792" s="265"/>
      <c r="AZ792" s="265"/>
      <c r="BA792" s="265"/>
      <c r="BB792" s="265"/>
    </row>
    <row r="793" spans="1:250" s="167" customFormat="1">
      <c r="A793" s="169"/>
      <c r="B793" s="291" t="s">
        <v>158</v>
      </c>
      <c r="C793" s="258"/>
      <c r="D793" s="258"/>
      <c r="E793" s="258"/>
      <c r="F793" s="258"/>
      <c r="G793" s="258"/>
      <c r="H793" s="258"/>
      <c r="I793" s="258"/>
      <c r="J793" s="258"/>
      <c r="K793" s="264"/>
      <c r="L793" s="264"/>
      <c r="M793" s="264"/>
      <c r="N793" s="264"/>
      <c r="O793" s="264"/>
      <c r="P793" s="264"/>
      <c r="Q793" s="264"/>
      <c r="AI793" s="265"/>
      <c r="AJ793" s="265"/>
      <c r="AK793" s="265"/>
      <c r="AL793" s="265"/>
      <c r="AM793" s="265"/>
      <c r="AN793" s="265"/>
      <c r="AO793" s="265"/>
      <c r="AP793" s="265"/>
      <c r="AQ793" s="265"/>
      <c r="AR793" s="265"/>
      <c r="AS793" s="265"/>
      <c r="AT793" s="265"/>
      <c r="AU793" s="265"/>
      <c r="AV793" s="265"/>
      <c r="AW793" s="265"/>
      <c r="AX793" s="265"/>
      <c r="AY793" s="265"/>
      <c r="AZ793" s="265"/>
      <c r="BA793" s="265"/>
      <c r="BB793" s="265"/>
    </row>
    <row r="794" spans="1:250" s="167" customFormat="1">
      <c r="A794" s="169"/>
      <c r="B794" s="298" t="s">
        <v>345</v>
      </c>
      <c r="C794" s="258"/>
      <c r="D794" s="258"/>
      <c r="E794" s="258"/>
      <c r="F794" s="258"/>
      <c r="G794" s="258"/>
      <c r="H794" s="258"/>
      <c r="I794" s="258"/>
      <c r="J794" s="258"/>
      <c r="W794" s="265"/>
      <c r="X794" s="265"/>
      <c r="Y794" s="265"/>
      <c r="Z794" s="265"/>
      <c r="AA794" s="265"/>
      <c r="AB794" s="265"/>
      <c r="AC794" s="265"/>
      <c r="AD794" s="265"/>
      <c r="AE794" s="265"/>
      <c r="AF794" s="265"/>
      <c r="AG794" s="265"/>
      <c r="AH794" s="265"/>
      <c r="AI794" s="265"/>
      <c r="AJ794" s="265"/>
      <c r="AK794" s="265"/>
      <c r="AL794" s="265"/>
      <c r="AM794" s="265"/>
      <c r="AN794" s="265"/>
      <c r="AO794" s="265"/>
      <c r="AP794" s="265"/>
      <c r="AQ794" s="265"/>
      <c r="IF794" s="303"/>
      <c r="IG794" s="260"/>
      <c r="IH794" s="260"/>
      <c r="II794" s="260"/>
      <c r="IJ794" s="260"/>
      <c r="IK794" s="260"/>
      <c r="IL794" s="264"/>
      <c r="IM794" s="264"/>
      <c r="IN794" s="264"/>
      <c r="IO794" s="264"/>
      <c r="IP794" s="264"/>
    </row>
    <row r="795" spans="1:250" s="167" customFormat="1">
      <c r="A795" s="169"/>
      <c r="B795" s="169"/>
      <c r="C795" s="169"/>
      <c r="D795" s="169"/>
      <c r="E795" s="169"/>
      <c r="F795" s="169"/>
      <c r="G795" s="195"/>
      <c r="H795" s="195"/>
      <c r="I795" s="195"/>
      <c r="J795" s="195"/>
      <c r="K795" s="265"/>
      <c r="L795" s="265"/>
      <c r="M795" s="265"/>
      <c r="N795" s="265"/>
      <c r="O795" s="265"/>
      <c r="P795" s="265"/>
      <c r="Q795" s="265"/>
      <c r="R795" s="265"/>
      <c r="S795" s="265"/>
      <c r="T795" s="265"/>
      <c r="U795" s="265"/>
      <c r="W795" s="301"/>
      <c r="X795" s="291"/>
      <c r="Y795" s="183"/>
      <c r="Z795" s="183"/>
      <c r="AA795" s="183"/>
      <c r="AB795" s="183"/>
      <c r="AC795" s="183"/>
      <c r="AD795" s="183"/>
      <c r="AE795" s="183"/>
      <c r="AF795" s="183"/>
      <c r="AG795" s="264"/>
      <c r="AH795" s="264"/>
    </row>
    <row r="796" spans="1:250" s="167" customFormat="1">
      <c r="A796" s="169"/>
      <c r="B796" s="169"/>
      <c r="C796" s="169"/>
      <c r="D796" s="169"/>
      <c r="E796" s="169"/>
      <c r="F796" s="169"/>
      <c r="G796" s="195"/>
      <c r="H796" s="195"/>
      <c r="I796" s="195"/>
      <c r="J796" s="195"/>
      <c r="K796" s="265"/>
      <c r="L796" s="265"/>
      <c r="M796" s="265"/>
      <c r="N796" s="265"/>
      <c r="O796" s="265"/>
      <c r="P796" s="265"/>
      <c r="Q796" s="265"/>
      <c r="R796" s="265"/>
      <c r="S796" s="265"/>
      <c r="T796" s="265"/>
      <c r="U796" s="265"/>
      <c r="W796" s="301"/>
      <c r="X796" s="291"/>
      <c r="Y796" s="183"/>
      <c r="Z796" s="183"/>
      <c r="AA796" s="183"/>
      <c r="AB796" s="183"/>
      <c r="AC796" s="183"/>
      <c r="AD796" s="183"/>
      <c r="AE796" s="183"/>
      <c r="AF796" s="183"/>
      <c r="AG796" s="264"/>
      <c r="AH796" s="264"/>
    </row>
    <row r="797" spans="1:250" s="167" customFormat="1">
      <c r="A797" s="169"/>
      <c r="B797" s="169"/>
      <c r="C797" s="169"/>
      <c r="D797" s="169"/>
      <c r="E797" s="169"/>
      <c r="F797" s="169"/>
      <c r="G797" s="306"/>
      <c r="H797" s="306"/>
      <c r="I797" s="306"/>
      <c r="J797" s="306"/>
      <c r="K797" s="293"/>
      <c r="L797" s="293"/>
      <c r="M797" s="293"/>
      <c r="N797" s="293"/>
      <c r="O797" s="293"/>
      <c r="P797" s="293"/>
      <c r="Q797" s="293"/>
      <c r="R797" s="265"/>
      <c r="S797" s="265"/>
      <c r="T797" s="265"/>
      <c r="U797" s="265"/>
      <c r="W797" s="301"/>
      <c r="X797" s="291"/>
      <c r="Y797" s="183"/>
      <c r="Z797" s="183"/>
      <c r="AA797" s="183"/>
      <c r="AB797" s="183"/>
      <c r="AC797" s="183"/>
      <c r="AD797" s="183"/>
      <c r="AE797" s="183"/>
      <c r="AF797" s="183"/>
      <c r="AG797" s="264"/>
      <c r="AH797" s="264"/>
    </row>
    <row r="798" spans="1:250" s="167" customFormat="1" ht="18" customHeight="1">
      <c r="A798" s="169"/>
      <c r="B798" s="169"/>
      <c r="C798" s="169"/>
      <c r="D798" s="169"/>
      <c r="E798" s="169"/>
      <c r="F798" s="169"/>
      <c r="G798" s="195"/>
      <c r="H798" s="195"/>
      <c r="I798" s="195"/>
      <c r="J798" s="195"/>
      <c r="K798" s="265"/>
      <c r="L798" s="265"/>
      <c r="M798" s="265"/>
      <c r="N798" s="265"/>
      <c r="O798" s="265"/>
      <c r="P798" s="265"/>
      <c r="Q798" s="265"/>
      <c r="R798" s="265"/>
      <c r="S798" s="265"/>
      <c r="T798" s="265"/>
      <c r="U798" s="265"/>
      <c r="W798" s="301"/>
      <c r="X798" s="291"/>
      <c r="Y798" s="183"/>
      <c r="Z798" s="183"/>
      <c r="AA798" s="183"/>
      <c r="AB798" s="183"/>
      <c r="AC798" s="183"/>
      <c r="AD798" s="183"/>
      <c r="AE798" s="183"/>
      <c r="AF798" s="183"/>
      <c r="AG798" s="264"/>
      <c r="AH798" s="264"/>
    </row>
    <row r="799" spans="1:250" s="167" customFormat="1" ht="18" customHeight="1">
      <c r="A799" s="169" t="s">
        <v>183</v>
      </c>
      <c r="B799" s="169"/>
      <c r="C799" s="169"/>
      <c r="D799" s="169"/>
      <c r="E799" s="169"/>
      <c r="F799" s="169"/>
      <c r="G799" s="195"/>
      <c r="H799" s="195"/>
      <c r="I799" s="195"/>
      <c r="J799" s="195"/>
      <c r="K799" s="265"/>
      <c r="L799" s="265"/>
      <c r="M799" s="265"/>
      <c r="N799" s="265"/>
      <c r="O799" s="265"/>
      <c r="P799" s="265"/>
      <c r="Q799" s="265"/>
      <c r="R799" s="265"/>
      <c r="S799" s="265"/>
      <c r="T799" s="265"/>
      <c r="U799" s="265"/>
      <c r="W799" s="301"/>
      <c r="X799" s="311"/>
      <c r="Y799" s="260"/>
      <c r="Z799" s="260"/>
      <c r="AA799" s="260"/>
      <c r="AB799" s="260"/>
      <c r="AC799" s="260"/>
      <c r="AD799" s="260"/>
      <c r="AE799" s="260"/>
      <c r="AF799" s="260"/>
      <c r="AG799" s="264"/>
      <c r="AH799" s="264"/>
    </row>
    <row r="800" spans="1:250" s="167" customFormat="1" ht="18" customHeight="1">
      <c r="A800" s="169">
        <v>7</v>
      </c>
      <c r="B800" s="169"/>
      <c r="C800" s="169"/>
      <c r="D800" s="169"/>
      <c r="E800" s="169"/>
      <c r="F800" s="169"/>
      <c r="G800" s="258"/>
      <c r="H800" s="258"/>
      <c r="I800" s="258"/>
      <c r="J800" s="258"/>
      <c r="K800" s="260"/>
      <c r="L800" s="260"/>
      <c r="M800" s="260"/>
      <c r="N800" s="260"/>
      <c r="O800" s="260"/>
      <c r="P800" s="260"/>
      <c r="Q800" s="260"/>
      <c r="R800" s="265"/>
      <c r="S800" s="265"/>
      <c r="T800" s="265"/>
      <c r="U800" s="265"/>
      <c r="W800" s="301"/>
      <c r="X800" s="303"/>
      <c r="Y800" s="265"/>
      <c r="Z800" s="265"/>
      <c r="AA800" s="265"/>
      <c r="AB800" s="265"/>
      <c r="AC800" s="265"/>
      <c r="AD800" s="264"/>
      <c r="AE800" s="264"/>
      <c r="AF800" s="264"/>
      <c r="AG800" s="264"/>
      <c r="AH800" s="264"/>
    </row>
    <row r="801" spans="1:55" s="301" customFormat="1" ht="18" customHeight="1">
      <c r="A801" s="169"/>
      <c r="B801" s="169"/>
      <c r="C801" s="169"/>
      <c r="D801" s="169"/>
      <c r="E801" s="169"/>
      <c r="F801" s="169"/>
      <c r="G801" s="195"/>
      <c r="H801" s="195"/>
      <c r="I801" s="195"/>
      <c r="J801" s="195"/>
      <c r="K801" s="265"/>
      <c r="L801" s="265"/>
      <c r="M801" s="265"/>
      <c r="N801" s="265"/>
      <c r="O801" s="265"/>
      <c r="P801" s="265"/>
      <c r="Q801" s="265"/>
      <c r="R801" s="265"/>
      <c r="S801" s="265"/>
      <c r="T801" s="265"/>
      <c r="U801" s="265"/>
      <c r="V801" s="167"/>
      <c r="X801" s="303"/>
      <c r="Y801" s="260"/>
      <c r="Z801" s="260"/>
      <c r="AA801" s="260"/>
      <c r="AB801" s="260"/>
      <c r="AC801" s="260"/>
      <c r="AD801" s="264"/>
      <c r="AE801" s="264"/>
      <c r="AF801" s="264"/>
      <c r="AG801" s="167"/>
      <c r="AI801" s="303"/>
      <c r="AJ801" s="260"/>
      <c r="AK801" s="260"/>
      <c r="AL801" s="260"/>
      <c r="AM801" s="260"/>
      <c r="AN801" s="260"/>
      <c r="AO801" s="264"/>
      <c r="AP801" s="264"/>
      <c r="AQ801" s="264"/>
      <c r="AR801" s="167"/>
      <c r="AT801" s="303"/>
      <c r="AU801" s="260"/>
      <c r="AV801" s="260"/>
      <c r="AW801" s="260"/>
      <c r="AX801" s="260"/>
      <c r="AY801" s="260"/>
      <c r="AZ801" s="264"/>
      <c r="BA801" s="264"/>
      <c r="BB801" s="264"/>
      <c r="BC801" s="167"/>
    </row>
    <row r="802" spans="1:55" s="264" customFormat="1" ht="18" customHeight="1">
      <c r="A802" s="271"/>
      <c r="B802" s="258"/>
      <c r="C802" s="258"/>
      <c r="D802" s="258"/>
      <c r="E802" s="258"/>
      <c r="F802" s="258"/>
      <c r="G802" s="261"/>
      <c r="H802" s="261"/>
      <c r="I802" s="261"/>
      <c r="J802" s="261"/>
      <c r="R802" s="260"/>
      <c r="S802" s="260"/>
      <c r="T802" s="260"/>
      <c r="U802" s="260"/>
      <c r="V802" s="260"/>
      <c r="Z802" s="167"/>
      <c r="AA802" s="301"/>
      <c r="AB802" s="303"/>
      <c r="AC802" s="260"/>
      <c r="AD802" s="260"/>
      <c r="AE802" s="260"/>
      <c r="AF802" s="260"/>
      <c r="AG802" s="260"/>
      <c r="AK802" s="167"/>
      <c r="AL802" s="301"/>
      <c r="AM802" s="303"/>
      <c r="AN802" s="260"/>
      <c r="AO802" s="260"/>
      <c r="AP802" s="260"/>
      <c r="AQ802" s="260"/>
      <c r="AR802" s="260"/>
      <c r="AV802" s="167"/>
      <c r="AW802" s="301"/>
      <c r="AX802" s="303"/>
      <c r="AY802" s="260"/>
      <c r="AZ802" s="260"/>
      <c r="BA802" s="260"/>
      <c r="BB802" s="260"/>
      <c r="BC802" s="260"/>
    </row>
    <row r="803" spans="1:55" s="260" customFormat="1" ht="18" customHeight="1">
      <c r="A803" s="261"/>
      <c r="B803" s="261"/>
      <c r="C803" s="169"/>
      <c r="D803" s="266"/>
      <c r="E803" s="271"/>
      <c r="F803" s="258"/>
      <c r="G803" s="258"/>
      <c r="H803" s="258"/>
      <c r="I803" s="258"/>
      <c r="J803" s="258"/>
      <c r="R803" s="264"/>
      <c r="S803" s="167"/>
      <c r="T803" s="301"/>
      <c r="U803" s="303"/>
      <c r="AA803" s="264"/>
      <c r="AB803" s="264"/>
      <c r="AC803" s="264"/>
      <c r="AD803" s="167"/>
      <c r="AE803" s="301"/>
      <c r="AF803" s="303"/>
      <c r="AL803" s="264"/>
      <c r="AM803" s="264"/>
      <c r="AN803" s="264"/>
      <c r="AO803" s="167"/>
      <c r="AP803" s="301"/>
      <c r="AQ803" s="303"/>
      <c r="AW803" s="264"/>
      <c r="AX803" s="264"/>
      <c r="AY803" s="264"/>
      <c r="AZ803" s="167"/>
      <c r="BA803" s="301"/>
      <c r="BB803" s="303"/>
    </row>
    <row r="804" spans="1:55" s="275" customFormat="1" ht="18" customHeight="1">
      <c r="A804" s="258"/>
      <c r="B804" s="258"/>
      <c r="C804" s="258"/>
      <c r="D804" s="261"/>
      <c r="E804" s="261"/>
      <c r="F804" s="261"/>
      <c r="G804" s="169"/>
      <c r="H804" s="169"/>
      <c r="I804" s="169"/>
      <c r="J804" s="169"/>
      <c r="K804" s="301"/>
      <c r="L804" s="301"/>
      <c r="M804" s="301"/>
      <c r="N804" s="301"/>
      <c r="O804" s="301"/>
      <c r="P804" s="301"/>
      <c r="Q804" s="301"/>
      <c r="R804" s="302"/>
      <c r="S804" s="302"/>
      <c r="T804" s="302"/>
      <c r="U804" s="302"/>
      <c r="V804" s="302"/>
      <c r="W804" s="302"/>
      <c r="X804" s="302"/>
      <c r="Y804" s="302"/>
      <c r="Z804" s="302"/>
      <c r="AA804" s="302"/>
      <c r="AB804" s="302"/>
      <c r="AC804" s="302"/>
      <c r="AD804" s="302"/>
      <c r="AE804" s="302"/>
      <c r="AF804" s="302"/>
      <c r="AG804" s="302"/>
      <c r="AH804" s="302"/>
      <c r="AI804" s="302"/>
      <c r="AJ804" s="302"/>
      <c r="AK804" s="302"/>
      <c r="AL804" s="274"/>
      <c r="AM804" s="274"/>
      <c r="AN804" s="274"/>
      <c r="AO804" s="274"/>
      <c r="AP804" s="274"/>
      <c r="AQ804" s="274"/>
      <c r="AR804" s="274"/>
      <c r="AS804" s="274"/>
      <c r="AT804" s="274"/>
      <c r="AU804" s="274"/>
      <c r="AV804" s="274"/>
      <c r="AW804" s="274"/>
      <c r="AX804" s="274"/>
      <c r="AY804" s="274"/>
      <c r="AZ804" s="274"/>
    </row>
    <row r="805" spans="1:55" s="281" customFormat="1" ht="18" customHeight="1">
      <c r="A805" s="312"/>
      <c r="B805" s="312"/>
      <c r="C805" s="312"/>
      <c r="D805" s="312"/>
      <c r="E805" s="312"/>
      <c r="F805" s="312"/>
      <c r="G805" s="312"/>
      <c r="H805" s="312"/>
      <c r="I805" s="312"/>
      <c r="J805" s="312"/>
      <c r="K805" s="275"/>
      <c r="L805" s="275"/>
      <c r="M805" s="275"/>
      <c r="N805" s="275"/>
      <c r="O805" s="275"/>
      <c r="P805" s="275"/>
      <c r="Q805" s="275"/>
      <c r="R805" s="279"/>
      <c r="S805" s="279"/>
      <c r="T805" s="279"/>
      <c r="U805" s="279"/>
      <c r="V805" s="279"/>
      <c r="W805" s="310"/>
      <c r="X805" s="310"/>
      <c r="Y805" s="280"/>
      <c r="Z805" s="280"/>
      <c r="AA805" s="280"/>
      <c r="AB805" s="280"/>
      <c r="AC805" s="280"/>
      <c r="AD805" s="280"/>
      <c r="AE805" s="280"/>
      <c r="AF805" s="280"/>
      <c r="AG805" s="280"/>
      <c r="AH805" s="280"/>
      <c r="AI805" s="280"/>
      <c r="AJ805" s="280"/>
      <c r="AK805" s="280"/>
      <c r="AL805" s="280"/>
      <c r="AM805" s="280"/>
      <c r="AN805" s="280"/>
      <c r="AO805" s="280"/>
      <c r="AP805" s="280"/>
      <c r="AQ805" s="280"/>
      <c r="AR805" s="280"/>
      <c r="AS805" s="280"/>
      <c r="AT805" s="280"/>
      <c r="AU805" s="280"/>
      <c r="AV805" s="280"/>
      <c r="AW805" s="280"/>
      <c r="AX805" s="280"/>
      <c r="AY805" s="280"/>
      <c r="AZ805" s="280"/>
    </row>
    <row r="806" spans="1:55" s="265" customFormat="1" ht="18" customHeight="1">
      <c r="A806" s="313"/>
      <c r="B806" s="313"/>
      <c r="C806" s="313"/>
      <c r="D806" s="313"/>
      <c r="E806" s="313"/>
      <c r="F806" s="305"/>
      <c r="G806" s="313"/>
      <c r="H806" s="313"/>
      <c r="I806" s="313"/>
      <c r="J806" s="313"/>
      <c r="K806" s="281"/>
      <c r="L806" s="281"/>
      <c r="M806" s="281"/>
      <c r="N806" s="281"/>
      <c r="O806" s="281"/>
      <c r="P806" s="281"/>
      <c r="Q806" s="281"/>
      <c r="R806" s="299"/>
      <c r="S806" s="299"/>
      <c r="T806" s="299"/>
      <c r="U806" s="299"/>
      <c r="V806" s="299"/>
      <c r="W806" s="264"/>
      <c r="X806" s="264"/>
      <c r="Y806" s="167"/>
      <c r="Z806" s="167"/>
      <c r="AA806" s="167"/>
      <c r="AB806" s="167"/>
      <c r="AC806" s="167"/>
      <c r="AD806" s="167"/>
      <c r="AE806" s="167"/>
      <c r="AF806" s="167"/>
      <c r="AG806" s="167"/>
      <c r="AH806" s="167"/>
      <c r="AI806" s="167"/>
      <c r="AJ806" s="167"/>
      <c r="AK806" s="167"/>
      <c r="AL806" s="167"/>
      <c r="AM806" s="167"/>
      <c r="AN806" s="167"/>
      <c r="AO806" s="167"/>
      <c r="AP806" s="167"/>
      <c r="AQ806" s="167"/>
      <c r="AR806" s="167"/>
      <c r="AS806" s="167"/>
      <c r="AT806" s="167"/>
      <c r="AU806" s="167"/>
      <c r="AV806" s="167"/>
      <c r="AW806" s="167"/>
      <c r="AX806" s="167"/>
      <c r="AY806" s="167"/>
      <c r="AZ806" s="167"/>
    </row>
    <row r="807" spans="1:55" s="265" customFormat="1" ht="18" customHeight="1">
      <c r="A807" s="195"/>
      <c r="B807" s="195"/>
      <c r="C807" s="195"/>
      <c r="D807" s="195"/>
      <c r="E807" s="195"/>
      <c r="F807" s="169"/>
      <c r="G807" s="195"/>
      <c r="H807" s="195"/>
      <c r="I807" s="195"/>
      <c r="J807" s="195"/>
      <c r="R807" s="289"/>
      <c r="S807" s="289"/>
      <c r="T807" s="289"/>
      <c r="U807" s="289"/>
      <c r="V807" s="289"/>
      <c r="W807" s="264"/>
      <c r="X807" s="264"/>
      <c r="Y807" s="167"/>
      <c r="Z807" s="167"/>
      <c r="AA807" s="167"/>
      <c r="AB807" s="167"/>
      <c r="AC807" s="167"/>
      <c r="AD807" s="167"/>
      <c r="AE807" s="167"/>
      <c r="AF807" s="167"/>
      <c r="AG807" s="167"/>
      <c r="AH807" s="167"/>
      <c r="AI807" s="167"/>
      <c r="AJ807" s="167"/>
      <c r="AK807" s="167"/>
      <c r="AL807" s="167"/>
      <c r="AM807" s="167"/>
      <c r="AN807" s="167"/>
      <c r="AO807" s="167"/>
      <c r="AP807" s="167"/>
      <c r="AQ807" s="167"/>
      <c r="AR807" s="167"/>
      <c r="AS807" s="167"/>
      <c r="AT807" s="167"/>
      <c r="AU807" s="167"/>
      <c r="AV807" s="167"/>
      <c r="AW807" s="167"/>
      <c r="AX807" s="167"/>
      <c r="AY807" s="167"/>
      <c r="AZ807" s="167"/>
    </row>
    <row r="808" spans="1:55" s="265" customFormat="1" ht="18" customHeight="1">
      <c r="A808" s="195"/>
      <c r="B808" s="195"/>
      <c r="C808" s="195"/>
      <c r="D808" s="195"/>
      <c r="E808" s="195"/>
      <c r="F808" s="169"/>
      <c r="G808" s="195"/>
      <c r="H808" s="195"/>
      <c r="I808" s="195"/>
      <c r="J808" s="195"/>
      <c r="R808" s="289"/>
      <c r="S808" s="289"/>
      <c r="T808" s="289"/>
      <c r="U808" s="289"/>
      <c r="V808" s="289"/>
      <c r="W808" s="264"/>
      <c r="X808" s="264"/>
      <c r="Y808" s="167"/>
      <c r="Z808" s="167"/>
      <c r="AA808" s="167"/>
      <c r="AB808" s="167"/>
      <c r="AC808" s="167"/>
      <c r="AD808" s="167"/>
      <c r="AE808" s="167"/>
      <c r="AF808" s="167"/>
      <c r="AG808" s="167"/>
      <c r="AH808" s="167"/>
      <c r="AI808" s="167"/>
      <c r="AJ808" s="167"/>
      <c r="AK808" s="167"/>
      <c r="AL808" s="167"/>
      <c r="AM808" s="167"/>
      <c r="AN808" s="167"/>
      <c r="AO808" s="167"/>
      <c r="AP808" s="167"/>
      <c r="AQ808" s="167"/>
      <c r="AR808" s="167"/>
      <c r="AS808" s="167"/>
      <c r="AT808" s="167"/>
      <c r="AU808" s="167"/>
      <c r="AV808" s="167"/>
      <c r="AW808" s="167"/>
      <c r="AX808" s="167"/>
      <c r="AY808" s="167"/>
      <c r="AZ808" s="167"/>
    </row>
    <row r="809" spans="1:55" s="274" customFormat="1" ht="18" customHeight="1">
      <c r="A809" s="270">
        <f>A779+1</f>
        <v>27</v>
      </c>
      <c r="B809" s="271"/>
      <c r="C809" s="272" t="str">
        <f>IF($A$1 = 1, (IF("("&amp;C819&amp;")" ="()","","("&amp;C819&amp;")")), (IF("("&amp;C824&amp;")    ("&amp;C819&amp;")"="()    ()","","("&amp;C824&amp;")    ("&amp;C819&amp;")")))</f>
        <v/>
      </c>
      <c r="D809" s="272" t="str">
        <f t="shared" ref="D809:J809" si="78">IF($A$1 = 1, (IF("("&amp;D819&amp;")" ="()","","("&amp;D819&amp;")")), (IF("("&amp;D824&amp;")    ("&amp;D819&amp;")"="()    ()","","("&amp;D824&amp;")    ("&amp;D819&amp;")")))</f>
        <v/>
      </c>
      <c r="E809" s="272" t="str">
        <f t="shared" si="78"/>
        <v/>
      </c>
      <c r="F809" s="272" t="str">
        <f t="shared" si="78"/>
        <v/>
      </c>
      <c r="G809" s="272" t="str">
        <f t="shared" si="78"/>
        <v/>
      </c>
      <c r="H809" s="272" t="str">
        <f t="shared" si="78"/>
        <v/>
      </c>
      <c r="I809" s="272" t="str">
        <f t="shared" si="78"/>
        <v/>
      </c>
      <c r="J809" s="272" t="str">
        <f t="shared" si="78"/>
        <v/>
      </c>
      <c r="K809" s="273"/>
      <c r="L809" s="273"/>
      <c r="M809" s="273"/>
      <c r="N809" s="273"/>
      <c r="O809" s="273"/>
      <c r="P809" s="273"/>
      <c r="Q809" s="273"/>
      <c r="AI809" s="275"/>
      <c r="AJ809" s="275"/>
      <c r="AK809" s="275"/>
      <c r="AL809" s="275"/>
      <c r="AM809" s="275"/>
      <c r="AN809" s="275"/>
      <c r="AO809" s="275"/>
      <c r="AP809" s="275"/>
      <c r="AQ809" s="275"/>
      <c r="AR809" s="275"/>
      <c r="AS809" s="275"/>
      <c r="AT809" s="275"/>
      <c r="AU809" s="275"/>
      <c r="AV809" s="275"/>
      <c r="AW809" s="275"/>
      <c r="AX809" s="275"/>
      <c r="AY809" s="275"/>
      <c r="AZ809" s="275"/>
      <c r="BA809" s="275"/>
      <c r="BB809" s="275"/>
      <c r="BC809" s="275"/>
    </row>
    <row r="810" spans="1:55" s="280" customFormat="1" ht="59.1" customHeight="1">
      <c r="A810" s="276"/>
      <c r="B810" s="277"/>
      <c r="C810" s="278"/>
      <c r="D810" s="278"/>
      <c r="E810" s="278"/>
      <c r="F810" s="278"/>
      <c r="G810" s="278"/>
      <c r="H810" s="278"/>
      <c r="I810" s="278"/>
      <c r="J810" s="278"/>
      <c r="K810" s="279"/>
      <c r="L810" s="279"/>
      <c r="M810" s="279"/>
      <c r="N810" s="279"/>
      <c r="O810" s="279"/>
      <c r="P810" s="279"/>
      <c r="Q810" s="279"/>
      <c r="AI810" s="281"/>
      <c r="AJ810" s="281"/>
      <c r="AK810" s="281"/>
      <c r="AL810" s="281"/>
      <c r="AM810" s="281"/>
      <c r="AN810" s="281"/>
      <c r="AO810" s="281"/>
      <c r="AP810" s="281"/>
      <c r="AQ810" s="281"/>
      <c r="AS810" s="281"/>
      <c r="AT810" s="281"/>
      <c r="AU810" s="281"/>
      <c r="AV810" s="281"/>
      <c r="AW810" s="281"/>
      <c r="AX810" s="281"/>
      <c r="AY810" s="281"/>
      <c r="AZ810" s="281"/>
      <c r="BA810" s="281"/>
      <c r="BB810" s="281"/>
      <c r="BC810" s="281"/>
    </row>
    <row r="811" spans="1:55" s="167" customFormat="1" ht="21.95" customHeight="1">
      <c r="A811" s="266"/>
      <c r="B811" s="282" t="s">
        <v>3</v>
      </c>
      <c r="C811" s="283"/>
      <c r="D811" s="283"/>
      <c r="E811" s="283"/>
      <c r="F811" s="283"/>
      <c r="G811" s="283"/>
      <c r="H811" s="283"/>
      <c r="I811" s="283"/>
      <c r="J811" s="283"/>
      <c r="K811" s="284"/>
      <c r="L811" s="284"/>
      <c r="M811" s="284"/>
      <c r="N811" s="284"/>
      <c r="O811" s="284"/>
      <c r="P811" s="284"/>
      <c r="Q811" s="284"/>
      <c r="AI811" s="265"/>
      <c r="AJ811" s="265"/>
      <c r="AK811" s="265"/>
      <c r="AL811" s="265"/>
      <c r="AM811" s="265"/>
      <c r="AN811" s="265"/>
      <c r="AO811" s="265"/>
      <c r="AP811" s="265"/>
      <c r="AQ811" s="265"/>
      <c r="AS811" s="265"/>
      <c r="AT811" s="265"/>
      <c r="AU811" s="265"/>
      <c r="AV811" s="265"/>
      <c r="AW811" s="265"/>
      <c r="AX811" s="265"/>
      <c r="AY811" s="265"/>
      <c r="AZ811" s="265"/>
      <c r="BA811" s="265"/>
      <c r="BB811" s="265"/>
      <c r="BC811" s="265"/>
    </row>
    <row r="812" spans="1:55" s="167" customFormat="1" ht="21.95" customHeight="1">
      <c r="A812" s="266"/>
      <c r="B812" s="285" t="s">
        <v>18</v>
      </c>
      <c r="C812" s="283"/>
      <c r="D812" s="283"/>
      <c r="E812" s="283"/>
      <c r="F812" s="283"/>
      <c r="G812" s="283"/>
      <c r="H812" s="283"/>
      <c r="I812" s="283"/>
      <c r="J812" s="283"/>
      <c r="K812" s="286"/>
      <c r="L812" s="286"/>
      <c r="M812" s="286"/>
      <c r="N812" s="286"/>
      <c r="O812" s="286"/>
      <c r="P812" s="286"/>
      <c r="Q812" s="286"/>
      <c r="AI812" s="265"/>
      <c r="AJ812" s="265"/>
      <c r="AK812" s="265"/>
      <c r="AL812" s="265"/>
      <c r="AM812" s="265"/>
      <c r="AN812" s="265"/>
      <c r="AO812" s="265"/>
      <c r="AP812" s="265"/>
      <c r="AQ812" s="265"/>
      <c r="AS812" s="265"/>
      <c r="AT812" s="265"/>
      <c r="AU812" s="265"/>
      <c r="AV812" s="265"/>
      <c r="AW812" s="265"/>
      <c r="AX812" s="265"/>
      <c r="AY812" s="265"/>
      <c r="AZ812" s="265"/>
      <c r="BA812" s="265"/>
      <c r="BB812" s="265"/>
      <c r="BC812" s="265"/>
    </row>
    <row r="813" spans="1:55" s="167" customFormat="1" ht="21.95" customHeight="1">
      <c r="A813" s="169"/>
      <c r="B813" s="287" t="s">
        <v>32</v>
      </c>
      <c r="C813" s="283"/>
      <c r="D813" s="283"/>
      <c r="E813" s="283"/>
      <c r="F813" s="283"/>
      <c r="G813" s="283"/>
      <c r="H813" s="283"/>
      <c r="I813" s="283"/>
      <c r="J813" s="283"/>
      <c r="K813" s="286"/>
      <c r="L813" s="286"/>
      <c r="M813" s="286"/>
      <c r="N813" s="286"/>
      <c r="O813" s="286"/>
      <c r="P813" s="286"/>
      <c r="Q813" s="286"/>
      <c r="AI813" s="265"/>
      <c r="AJ813" s="265"/>
      <c r="AK813" s="265"/>
      <c r="AL813" s="265"/>
      <c r="AM813" s="265"/>
      <c r="AN813" s="265"/>
      <c r="AO813" s="265"/>
      <c r="AP813" s="265"/>
      <c r="AQ813" s="265"/>
      <c r="AS813" s="265"/>
      <c r="AT813" s="265"/>
      <c r="AU813" s="265"/>
      <c r="AV813" s="265"/>
      <c r="AW813" s="265"/>
      <c r="AX813" s="265"/>
      <c r="AY813" s="265"/>
      <c r="AZ813" s="265"/>
      <c r="BA813" s="265"/>
      <c r="BB813" s="265"/>
    </row>
    <row r="814" spans="1:55" s="167" customFormat="1" ht="21.95" customHeight="1">
      <c r="A814" s="169"/>
      <c r="B814" s="288" t="s">
        <v>45</v>
      </c>
      <c r="C814" s="283"/>
      <c r="D814" s="283"/>
      <c r="E814" s="283"/>
      <c r="F814" s="283"/>
      <c r="G814" s="283"/>
      <c r="H814" s="283"/>
      <c r="I814" s="283"/>
      <c r="J814" s="283"/>
      <c r="K814" s="286"/>
      <c r="L814" s="286"/>
      <c r="M814" s="286"/>
      <c r="N814" s="286"/>
      <c r="O814" s="286"/>
      <c r="P814" s="286"/>
      <c r="Q814" s="286"/>
      <c r="AI814" s="265"/>
      <c r="AJ814" s="265"/>
      <c r="AK814" s="265"/>
      <c r="AL814" s="265"/>
      <c r="AM814" s="265"/>
      <c r="AN814" s="265"/>
      <c r="AO814" s="265"/>
      <c r="AP814" s="265"/>
      <c r="AQ814" s="265"/>
      <c r="AS814" s="265"/>
      <c r="AT814" s="265"/>
      <c r="AU814" s="265"/>
      <c r="AV814" s="265"/>
      <c r="AW814" s="265"/>
      <c r="AX814" s="265"/>
      <c r="AY814" s="265"/>
      <c r="AZ814" s="265"/>
      <c r="BA814" s="265"/>
      <c r="BB814" s="265"/>
    </row>
    <row r="815" spans="1:55" s="167" customFormat="1" ht="21.95" customHeight="1">
      <c r="A815" s="169"/>
      <c r="B815" s="290" t="s">
        <v>54</v>
      </c>
      <c r="C815" s="283"/>
      <c r="D815" s="283"/>
      <c r="E815" s="283"/>
      <c r="F815" s="283"/>
      <c r="G815" s="283"/>
      <c r="H815" s="283"/>
      <c r="I815" s="283"/>
      <c r="J815" s="283"/>
      <c r="K815" s="286"/>
      <c r="L815" s="286"/>
      <c r="M815" s="286"/>
      <c r="N815" s="286"/>
      <c r="O815" s="286"/>
      <c r="P815" s="286"/>
      <c r="Q815" s="286"/>
      <c r="AI815" s="265"/>
      <c r="AJ815" s="265"/>
      <c r="AK815" s="265"/>
      <c r="AL815" s="265"/>
      <c r="AM815" s="265"/>
      <c r="AN815" s="265"/>
      <c r="AO815" s="265"/>
      <c r="AP815" s="265"/>
      <c r="AQ815" s="265"/>
      <c r="AS815" s="265"/>
      <c r="AT815" s="265"/>
      <c r="AU815" s="265"/>
      <c r="AV815" s="265"/>
      <c r="AW815" s="265"/>
      <c r="AX815" s="265"/>
      <c r="AY815" s="265"/>
      <c r="AZ815" s="265"/>
      <c r="BA815" s="265"/>
      <c r="BB815" s="265"/>
    </row>
    <row r="816" spans="1:55" s="167" customFormat="1">
      <c r="A816" s="169"/>
      <c r="B816" s="291" t="s">
        <v>66</v>
      </c>
      <c r="C816" s="286"/>
      <c r="D816" s="286"/>
      <c r="E816" s="286"/>
      <c r="F816" s="286"/>
      <c r="G816" s="286"/>
      <c r="H816" s="286"/>
      <c r="I816" s="286"/>
      <c r="J816" s="286"/>
      <c r="K816" s="286"/>
      <c r="L816" s="286"/>
      <c r="M816" s="286"/>
      <c r="N816" s="286"/>
      <c r="O816" s="286"/>
      <c r="P816" s="286"/>
      <c r="Q816" s="286"/>
      <c r="AI816" s="265"/>
      <c r="AJ816" s="265"/>
      <c r="AK816" s="265"/>
      <c r="AL816" s="265"/>
      <c r="AM816" s="265"/>
      <c r="AN816" s="265"/>
      <c r="AO816" s="265"/>
      <c r="AP816" s="265"/>
      <c r="AQ816" s="265"/>
      <c r="AS816" s="265"/>
      <c r="AT816" s="265"/>
      <c r="AU816" s="265"/>
      <c r="AV816" s="265"/>
      <c r="AW816" s="265"/>
      <c r="AX816" s="265"/>
      <c r="AY816" s="265"/>
      <c r="AZ816" s="265"/>
      <c r="BA816" s="265"/>
      <c r="BB816" s="265"/>
    </row>
    <row r="817" spans="1:250" s="167" customFormat="1">
      <c r="A817" s="169"/>
      <c r="B817" s="291" t="s">
        <v>158</v>
      </c>
      <c r="C817" s="292"/>
      <c r="D817" s="292"/>
      <c r="E817" s="292"/>
      <c r="F817" s="292"/>
      <c r="G817" s="292"/>
      <c r="H817" s="292"/>
      <c r="I817" s="292"/>
      <c r="J817" s="292"/>
      <c r="K817" s="292"/>
      <c r="L817" s="292"/>
      <c r="M817" s="292"/>
      <c r="N817" s="292"/>
      <c r="O817" s="292"/>
      <c r="P817" s="292"/>
      <c r="Q817" s="292"/>
      <c r="AI817" s="265"/>
      <c r="AJ817" s="265"/>
      <c r="AK817" s="265"/>
      <c r="AL817" s="265"/>
      <c r="AM817" s="265"/>
      <c r="AN817" s="265"/>
      <c r="AO817" s="265"/>
      <c r="AP817" s="265"/>
      <c r="AQ817" s="265"/>
      <c r="AS817" s="265"/>
      <c r="AT817" s="265"/>
      <c r="AU817" s="265"/>
      <c r="AV817" s="265"/>
      <c r="AW817" s="265"/>
      <c r="AX817" s="265"/>
      <c r="AY817" s="265"/>
      <c r="AZ817" s="265"/>
      <c r="BA817" s="265"/>
      <c r="BB817" s="265"/>
    </row>
    <row r="818" spans="1:250" s="167" customFormat="1">
      <c r="A818" s="169"/>
      <c r="B818" s="291" t="s">
        <v>189</v>
      </c>
      <c r="C818" s="292"/>
      <c r="D818" s="292"/>
      <c r="E818" s="292"/>
      <c r="F818" s="292"/>
      <c r="G818" s="292"/>
      <c r="H818" s="292"/>
      <c r="I818" s="292"/>
      <c r="J818" s="292"/>
      <c r="K818" s="292"/>
      <c r="L818" s="292"/>
      <c r="M818" s="292"/>
      <c r="N818" s="292"/>
      <c r="O818" s="292"/>
      <c r="P818" s="292"/>
      <c r="Q818" s="292"/>
      <c r="AI818" s="293"/>
      <c r="AJ818" s="293"/>
      <c r="AK818" s="293"/>
      <c r="AL818" s="293"/>
      <c r="AM818" s="293"/>
      <c r="AN818" s="265"/>
      <c r="AO818" s="265"/>
      <c r="AP818" s="265"/>
      <c r="AQ818" s="265"/>
      <c r="AS818" s="265"/>
      <c r="AT818" s="265"/>
      <c r="AU818" s="265"/>
      <c r="AV818" s="265"/>
      <c r="AW818" s="265"/>
      <c r="AX818" s="265"/>
      <c r="AY818" s="265"/>
      <c r="AZ818" s="265"/>
      <c r="BA818" s="265"/>
      <c r="BB818" s="265"/>
    </row>
    <row r="819" spans="1:250" s="167" customFormat="1" ht="15" thickBot="1">
      <c r="A819" s="169"/>
      <c r="B819" s="291" t="s">
        <v>345</v>
      </c>
      <c r="C819" s="292"/>
      <c r="D819" s="292"/>
      <c r="E819" s="292"/>
      <c r="F819" s="292"/>
      <c r="G819" s="292"/>
      <c r="H819" s="292"/>
      <c r="I819" s="292"/>
      <c r="J819" s="292"/>
      <c r="K819" s="292"/>
      <c r="L819" s="292"/>
      <c r="M819" s="292"/>
      <c r="N819" s="292"/>
      <c r="O819" s="292"/>
      <c r="P819" s="292"/>
      <c r="Q819" s="292"/>
      <c r="AI819" s="265"/>
      <c r="AJ819" s="265"/>
      <c r="AK819" s="265"/>
      <c r="AL819" s="265"/>
      <c r="AM819" s="265"/>
      <c r="AN819" s="265"/>
      <c r="AO819" s="265"/>
      <c r="AP819" s="265"/>
      <c r="AQ819" s="265"/>
      <c r="AS819" s="265"/>
      <c r="AT819" s="265"/>
      <c r="AU819" s="265"/>
      <c r="AV819" s="265"/>
      <c r="AW819" s="265"/>
      <c r="AX819" s="265"/>
      <c r="AY819" s="265"/>
      <c r="AZ819" s="265"/>
      <c r="BA819" s="265"/>
      <c r="BB819" s="265"/>
    </row>
    <row r="820" spans="1:250" s="167" customFormat="1">
      <c r="A820" s="266"/>
      <c r="B820" s="294" t="s">
        <v>166</v>
      </c>
      <c r="C820" s="295" t="str">
        <f>IF(OR(C823="**",C823=""),"",VALUE(C823))</f>
        <v/>
      </c>
      <c r="D820" s="295" t="str">
        <f t="shared" ref="D820:J820" si="79">IF(OR(D823="**",D823=""),"",VALUE(D823))</f>
        <v/>
      </c>
      <c r="E820" s="295" t="str">
        <f t="shared" si="79"/>
        <v/>
      </c>
      <c r="F820" s="295" t="str">
        <f t="shared" si="79"/>
        <v/>
      </c>
      <c r="G820" s="295" t="str">
        <f t="shared" si="79"/>
        <v/>
      </c>
      <c r="H820" s="295" t="str">
        <f t="shared" si="79"/>
        <v/>
      </c>
      <c r="I820" s="295" t="str">
        <f t="shared" si="79"/>
        <v/>
      </c>
      <c r="J820" s="295" t="str">
        <f t="shared" si="79"/>
        <v/>
      </c>
      <c r="K820" s="183"/>
      <c r="L820" s="183"/>
      <c r="M820" s="183"/>
      <c r="N820" s="183"/>
      <c r="O820" s="183"/>
      <c r="P820" s="183"/>
      <c r="Q820" s="183"/>
      <c r="AI820" s="265"/>
      <c r="AJ820" s="265"/>
      <c r="AK820" s="265"/>
      <c r="AL820" s="265"/>
      <c r="AM820" s="265"/>
      <c r="AN820" s="265"/>
      <c r="AO820" s="265"/>
      <c r="AP820" s="265"/>
      <c r="AQ820" s="265"/>
      <c r="AS820" s="265"/>
      <c r="AT820" s="265"/>
      <c r="AU820" s="265"/>
      <c r="AV820" s="265"/>
      <c r="AW820" s="265"/>
      <c r="AX820" s="265"/>
      <c r="AY820" s="265"/>
      <c r="AZ820" s="265"/>
      <c r="BA820" s="265"/>
      <c r="BB820" s="265"/>
    </row>
    <row r="821" spans="1:250" s="167" customFormat="1" ht="15" thickBot="1">
      <c r="A821" s="266"/>
      <c r="B821" s="296" t="s">
        <v>165</v>
      </c>
      <c r="C821" s="297" t="str">
        <f t="shared" ref="C821:J821" si="80">IF(OR(C817="**",C817=""),"",VALUE(C817))</f>
        <v/>
      </c>
      <c r="D821" s="297" t="str">
        <f t="shared" si="80"/>
        <v/>
      </c>
      <c r="E821" s="297" t="str">
        <f t="shared" si="80"/>
        <v/>
      </c>
      <c r="F821" s="297" t="str">
        <f t="shared" si="80"/>
        <v/>
      </c>
      <c r="G821" s="297" t="str">
        <f t="shared" si="80"/>
        <v/>
      </c>
      <c r="H821" s="297" t="str">
        <f t="shared" si="80"/>
        <v/>
      </c>
      <c r="I821" s="297" t="str">
        <f t="shared" si="80"/>
        <v/>
      </c>
      <c r="J821" s="297" t="str">
        <f t="shared" si="80"/>
        <v/>
      </c>
      <c r="K821" s="260"/>
      <c r="L821" s="260"/>
      <c r="M821" s="260"/>
      <c r="N821" s="260"/>
      <c r="O821" s="260"/>
      <c r="P821" s="260"/>
      <c r="Q821" s="260"/>
      <c r="AI821" s="260"/>
      <c r="AJ821" s="260"/>
      <c r="AK821" s="260"/>
      <c r="AL821" s="260"/>
      <c r="AM821" s="260"/>
      <c r="AN821" s="260"/>
      <c r="AO821" s="260"/>
      <c r="AP821" s="260"/>
      <c r="AQ821" s="265"/>
      <c r="AR821" s="265"/>
      <c r="AS821" s="265"/>
      <c r="AT821" s="265"/>
      <c r="AU821" s="265"/>
      <c r="AV821" s="265"/>
      <c r="AW821" s="265"/>
      <c r="AX821" s="265"/>
      <c r="AY821" s="265"/>
      <c r="AZ821" s="265"/>
      <c r="BA821" s="265"/>
      <c r="BB821" s="265"/>
    </row>
    <row r="822" spans="1:250" s="167" customFormat="1">
      <c r="A822" s="169"/>
      <c r="B822" s="298" t="s">
        <v>385</v>
      </c>
      <c r="C822" s="195"/>
      <c r="D822" s="195"/>
      <c r="E822" s="195"/>
      <c r="F822" s="195"/>
      <c r="G822" s="195"/>
      <c r="H822" s="195"/>
      <c r="I822" s="195"/>
      <c r="J822" s="195"/>
      <c r="K822" s="264"/>
      <c r="L822" s="264"/>
      <c r="M822" s="264"/>
      <c r="N822" s="264"/>
      <c r="O822" s="264"/>
      <c r="P822" s="264"/>
      <c r="Q822" s="264"/>
      <c r="AI822" s="265"/>
      <c r="AJ822" s="265"/>
      <c r="AK822" s="265"/>
      <c r="AL822" s="265"/>
      <c r="AM822" s="265"/>
      <c r="AN822" s="265"/>
      <c r="AO822" s="265"/>
      <c r="AP822" s="265"/>
      <c r="AQ822" s="265"/>
      <c r="AR822" s="265"/>
      <c r="AS822" s="265"/>
      <c r="AT822" s="265"/>
      <c r="AU822" s="265"/>
      <c r="AV822" s="265"/>
      <c r="AW822" s="265"/>
      <c r="AX822" s="265"/>
      <c r="AY822" s="265"/>
      <c r="AZ822" s="265"/>
      <c r="BA822" s="265"/>
      <c r="BB822" s="265"/>
    </row>
    <row r="823" spans="1:250" s="167" customFormat="1">
      <c r="A823" s="169"/>
      <c r="B823" s="291" t="s">
        <v>158</v>
      </c>
      <c r="C823" s="258"/>
      <c r="D823" s="258"/>
      <c r="E823" s="258"/>
      <c r="F823" s="258"/>
      <c r="G823" s="258"/>
      <c r="H823" s="258"/>
      <c r="I823" s="258"/>
      <c r="J823" s="258"/>
      <c r="K823" s="264"/>
      <c r="L823" s="264"/>
      <c r="M823" s="264"/>
      <c r="N823" s="264"/>
      <c r="O823" s="264"/>
      <c r="P823" s="264"/>
      <c r="Q823" s="264"/>
      <c r="AI823" s="265"/>
      <c r="AJ823" s="265"/>
      <c r="AK823" s="265"/>
      <c r="AL823" s="265"/>
      <c r="AM823" s="265"/>
      <c r="AN823" s="265"/>
      <c r="AO823" s="265"/>
      <c r="AP823" s="265"/>
      <c r="AQ823" s="265"/>
      <c r="AR823" s="265"/>
      <c r="AS823" s="265"/>
      <c r="AT823" s="265"/>
      <c r="AU823" s="265"/>
      <c r="AV823" s="265"/>
      <c r="AW823" s="265"/>
      <c r="AX823" s="265"/>
      <c r="AY823" s="265"/>
      <c r="AZ823" s="265"/>
      <c r="BA823" s="265"/>
      <c r="BB823" s="265"/>
    </row>
    <row r="824" spans="1:250" s="167" customFormat="1">
      <c r="A824" s="169"/>
      <c r="B824" s="298" t="s">
        <v>345</v>
      </c>
      <c r="C824" s="258"/>
      <c r="D824" s="258"/>
      <c r="E824" s="258"/>
      <c r="F824" s="258"/>
      <c r="G824" s="258"/>
      <c r="H824" s="258"/>
      <c r="I824" s="258"/>
      <c r="J824" s="258"/>
      <c r="W824" s="265"/>
      <c r="X824" s="265"/>
      <c r="Y824" s="265"/>
      <c r="Z824" s="265"/>
      <c r="AA824" s="265"/>
      <c r="AB824" s="265"/>
      <c r="AC824" s="265"/>
      <c r="AD824" s="265"/>
      <c r="AE824" s="265"/>
      <c r="AF824" s="265"/>
      <c r="AG824" s="265"/>
      <c r="AH824" s="265"/>
      <c r="AI824" s="265"/>
      <c r="AJ824" s="265"/>
      <c r="AK824" s="265"/>
      <c r="AL824" s="265"/>
      <c r="AM824" s="265"/>
      <c r="AN824" s="265"/>
      <c r="AO824" s="265"/>
      <c r="AP824" s="265"/>
      <c r="AQ824" s="265"/>
      <c r="IF824" s="303"/>
      <c r="IG824" s="260"/>
      <c r="IH824" s="260"/>
      <c r="II824" s="260"/>
      <c r="IJ824" s="260"/>
      <c r="IK824" s="260"/>
      <c r="IL824" s="264"/>
      <c r="IM824" s="264"/>
      <c r="IN824" s="264"/>
      <c r="IO824" s="264"/>
      <c r="IP824" s="264"/>
    </row>
    <row r="825" spans="1:250" s="265" customFormat="1">
      <c r="A825" s="195"/>
      <c r="B825" s="195"/>
      <c r="C825" s="195"/>
      <c r="D825" s="195"/>
      <c r="E825" s="195"/>
      <c r="F825" s="195"/>
      <c r="G825" s="195"/>
      <c r="H825" s="195"/>
      <c r="I825" s="195"/>
      <c r="J825" s="195"/>
      <c r="R825" s="260"/>
      <c r="S825" s="260"/>
      <c r="T825" s="264"/>
      <c r="U825" s="264"/>
      <c r="V825" s="264"/>
      <c r="W825" s="264"/>
      <c r="X825" s="264"/>
      <c r="Y825" s="167"/>
      <c r="Z825" s="167"/>
      <c r="AA825" s="167"/>
      <c r="AB825" s="167"/>
      <c r="AC825" s="167"/>
      <c r="AD825" s="167"/>
      <c r="AE825" s="167"/>
      <c r="AF825" s="167"/>
      <c r="AG825" s="167"/>
      <c r="AH825" s="167"/>
      <c r="AI825" s="167"/>
      <c r="AJ825" s="167"/>
      <c r="AK825" s="167"/>
      <c r="AL825" s="167"/>
      <c r="AM825" s="167"/>
      <c r="AN825" s="167"/>
      <c r="AO825" s="167"/>
      <c r="AP825" s="167"/>
      <c r="AQ825" s="167"/>
      <c r="AR825" s="167"/>
      <c r="AS825" s="167"/>
      <c r="AT825" s="167"/>
      <c r="AU825" s="167"/>
      <c r="AV825" s="167"/>
      <c r="AW825" s="167"/>
      <c r="AX825" s="167"/>
      <c r="AY825" s="167"/>
      <c r="AZ825" s="167"/>
    </row>
    <row r="826" spans="1:250" s="265" customFormat="1">
      <c r="A826" s="195"/>
      <c r="B826" s="195"/>
      <c r="C826" s="195"/>
      <c r="D826" s="195"/>
      <c r="E826" s="195"/>
      <c r="F826" s="195"/>
      <c r="G826" s="195"/>
      <c r="H826" s="195"/>
      <c r="I826" s="195"/>
      <c r="J826" s="195"/>
      <c r="R826" s="260"/>
      <c r="S826" s="260"/>
      <c r="T826" s="264"/>
      <c r="U826" s="264"/>
      <c r="V826" s="264"/>
      <c r="W826" s="264"/>
      <c r="X826" s="264"/>
      <c r="Y826" s="167"/>
      <c r="Z826" s="167"/>
      <c r="AA826" s="167"/>
      <c r="AB826" s="167"/>
      <c r="AC826" s="167"/>
      <c r="AD826" s="167"/>
      <c r="AE826" s="167"/>
      <c r="AF826" s="167"/>
      <c r="AG826" s="167"/>
      <c r="AH826" s="167"/>
      <c r="AI826" s="167"/>
      <c r="AJ826" s="167"/>
      <c r="AK826" s="167"/>
      <c r="AL826" s="167"/>
      <c r="AM826" s="167"/>
      <c r="AN826" s="167"/>
      <c r="AO826" s="167"/>
      <c r="AP826" s="167"/>
      <c r="AQ826" s="167"/>
      <c r="AR826" s="167"/>
      <c r="AS826" s="167"/>
      <c r="AT826" s="167"/>
      <c r="AU826" s="167"/>
      <c r="AV826" s="167"/>
      <c r="AW826" s="167"/>
      <c r="AX826" s="167"/>
      <c r="AY826" s="167"/>
      <c r="AZ826" s="167"/>
    </row>
    <row r="827" spans="1:250" s="265" customFormat="1">
      <c r="A827" s="195"/>
      <c r="B827" s="195"/>
      <c r="C827" s="195"/>
      <c r="D827" s="195"/>
      <c r="E827" s="195"/>
      <c r="F827" s="195"/>
      <c r="G827" s="195"/>
      <c r="H827" s="195"/>
      <c r="I827" s="195"/>
      <c r="J827" s="195"/>
      <c r="R827" s="260"/>
      <c r="S827" s="260"/>
      <c r="T827" s="264"/>
      <c r="U827" s="264"/>
      <c r="V827" s="264"/>
      <c r="W827" s="264"/>
      <c r="X827" s="264"/>
      <c r="Y827" s="167"/>
      <c r="Z827" s="167"/>
      <c r="AA827" s="167"/>
      <c r="AB827" s="167"/>
      <c r="AC827" s="167"/>
      <c r="AD827" s="167"/>
      <c r="AE827" s="167"/>
      <c r="AF827" s="167"/>
      <c r="AG827" s="167"/>
      <c r="AH827" s="167"/>
      <c r="AI827" s="167"/>
      <c r="AJ827" s="167"/>
      <c r="AK827" s="167"/>
      <c r="AL827" s="167"/>
      <c r="AM827" s="167"/>
      <c r="AN827" s="167"/>
      <c r="AO827" s="167"/>
      <c r="AP827" s="167"/>
      <c r="AQ827" s="167"/>
      <c r="AR827" s="167"/>
      <c r="AS827" s="167"/>
      <c r="AT827" s="167"/>
      <c r="AU827" s="167"/>
      <c r="AV827" s="167"/>
      <c r="AW827" s="167"/>
      <c r="AX827" s="167"/>
      <c r="AY827" s="167"/>
      <c r="AZ827" s="167"/>
    </row>
    <row r="828" spans="1:250" s="265" customFormat="1" ht="18" customHeight="1">
      <c r="A828" s="195"/>
      <c r="B828" s="195"/>
      <c r="C828" s="195"/>
      <c r="D828" s="195"/>
      <c r="E828" s="195"/>
      <c r="F828" s="195"/>
      <c r="G828" s="195"/>
      <c r="H828" s="195"/>
      <c r="I828" s="195"/>
      <c r="J828" s="195"/>
      <c r="R828" s="260"/>
      <c r="S828" s="260"/>
      <c r="T828" s="264"/>
      <c r="U828" s="264"/>
      <c r="V828" s="264"/>
      <c r="W828" s="264"/>
      <c r="X828" s="264"/>
      <c r="Y828" s="167"/>
      <c r="Z828" s="167"/>
      <c r="AA828" s="167"/>
      <c r="AB828" s="167"/>
      <c r="AC828" s="167"/>
      <c r="AD828" s="167"/>
      <c r="AE828" s="167"/>
      <c r="AF828" s="167"/>
      <c r="AG828" s="167"/>
      <c r="AH828" s="167"/>
      <c r="AI828" s="167"/>
      <c r="AJ828" s="167"/>
      <c r="AK828" s="167"/>
      <c r="AL828" s="167"/>
      <c r="AM828" s="167"/>
      <c r="AN828" s="167"/>
      <c r="AO828" s="167"/>
      <c r="AP828" s="167"/>
      <c r="AQ828" s="167"/>
      <c r="AR828" s="167"/>
      <c r="AS828" s="167"/>
      <c r="AT828" s="167"/>
      <c r="AU828" s="167"/>
      <c r="AV828" s="167"/>
      <c r="AW828" s="167"/>
      <c r="AX828" s="167"/>
      <c r="AY828" s="167"/>
      <c r="AZ828" s="167"/>
    </row>
    <row r="829" spans="1:250" s="265" customFormat="1" ht="18" customHeight="1">
      <c r="A829" s="195" t="s">
        <v>183</v>
      </c>
      <c r="B829" s="195"/>
      <c r="C829" s="195"/>
      <c r="D829" s="195"/>
      <c r="E829" s="195"/>
      <c r="F829" s="195"/>
      <c r="G829" s="195"/>
      <c r="H829" s="195"/>
      <c r="I829" s="195"/>
      <c r="J829" s="195"/>
      <c r="R829" s="260"/>
      <c r="S829" s="260"/>
      <c r="T829" s="264"/>
      <c r="U829" s="264"/>
      <c r="V829" s="264"/>
      <c r="W829" s="264"/>
      <c r="X829" s="264"/>
      <c r="Y829" s="167"/>
      <c r="Z829" s="167"/>
      <c r="AA829" s="167"/>
      <c r="AB829" s="167"/>
      <c r="AC829" s="167"/>
      <c r="AD829" s="167"/>
      <c r="AE829" s="167"/>
      <c r="AF829" s="167"/>
      <c r="AG829" s="167"/>
      <c r="AH829" s="167"/>
      <c r="AI829" s="167"/>
      <c r="AJ829" s="167"/>
      <c r="AK829" s="167"/>
      <c r="AL829" s="167"/>
      <c r="AM829" s="167"/>
      <c r="AN829" s="167"/>
      <c r="AO829" s="167"/>
      <c r="AP829" s="167"/>
      <c r="AQ829" s="167"/>
      <c r="AR829" s="167"/>
      <c r="AS829" s="167"/>
      <c r="AT829" s="167"/>
      <c r="AU829" s="167"/>
      <c r="AV829" s="167"/>
      <c r="AW829" s="167"/>
      <c r="AX829" s="167"/>
      <c r="AY829" s="167"/>
      <c r="AZ829" s="167"/>
    </row>
    <row r="830" spans="1:250" s="265" customFormat="1" ht="18" customHeight="1">
      <c r="A830" s="195">
        <v>7</v>
      </c>
      <c r="B830" s="195"/>
      <c r="C830" s="195"/>
      <c r="D830" s="195"/>
      <c r="E830" s="195"/>
      <c r="F830" s="195"/>
      <c r="G830" s="195"/>
      <c r="H830" s="195"/>
      <c r="I830" s="195"/>
      <c r="J830" s="195"/>
      <c r="R830" s="260"/>
      <c r="S830" s="260"/>
      <c r="T830" s="264"/>
      <c r="U830" s="264"/>
      <c r="V830" s="264"/>
      <c r="W830" s="264"/>
      <c r="X830" s="264"/>
      <c r="Y830" s="167"/>
      <c r="Z830" s="167"/>
      <c r="AA830" s="167"/>
      <c r="AB830" s="167"/>
      <c r="AC830" s="167"/>
      <c r="AD830" s="167"/>
      <c r="AE830" s="167"/>
      <c r="AF830" s="167"/>
      <c r="AG830" s="167"/>
      <c r="AH830" s="167"/>
      <c r="AI830" s="167"/>
      <c r="AJ830" s="167"/>
      <c r="AK830" s="167"/>
      <c r="AL830" s="167"/>
      <c r="AM830" s="167"/>
      <c r="AN830" s="167"/>
      <c r="AO830" s="167"/>
      <c r="AP830" s="167"/>
      <c r="AQ830" s="167"/>
      <c r="AR830" s="167"/>
      <c r="AS830" s="167"/>
      <c r="AT830" s="167"/>
      <c r="AU830" s="167"/>
      <c r="AV830" s="167"/>
      <c r="AW830" s="167"/>
      <c r="AX830" s="167"/>
      <c r="AY830" s="167"/>
      <c r="AZ830" s="167"/>
    </row>
    <row r="831" spans="1:250" s="265" customFormat="1" ht="18" customHeight="1">
      <c r="A831" s="195"/>
      <c r="B831" s="195"/>
      <c r="C831" s="195"/>
      <c r="D831" s="195"/>
      <c r="E831" s="195"/>
      <c r="F831" s="195"/>
      <c r="G831" s="195"/>
      <c r="H831" s="195"/>
      <c r="I831" s="195"/>
      <c r="J831" s="195"/>
      <c r="R831" s="260"/>
      <c r="S831" s="260"/>
      <c r="T831" s="264"/>
      <c r="U831" s="264"/>
      <c r="V831" s="264"/>
      <c r="W831" s="264"/>
      <c r="X831" s="264"/>
      <c r="Y831" s="167"/>
      <c r="Z831" s="167"/>
      <c r="AA831" s="167"/>
      <c r="AB831" s="167"/>
      <c r="AC831" s="167"/>
      <c r="AD831" s="167"/>
      <c r="AE831" s="167"/>
      <c r="AF831" s="167"/>
      <c r="AG831" s="167"/>
      <c r="AH831" s="167"/>
      <c r="AI831" s="167"/>
      <c r="AJ831" s="167"/>
      <c r="AK831" s="167"/>
      <c r="AL831" s="167"/>
      <c r="AM831" s="167"/>
      <c r="AN831" s="167"/>
      <c r="AO831" s="167"/>
      <c r="AP831" s="167"/>
      <c r="AQ831" s="167"/>
      <c r="AR831" s="167"/>
      <c r="AS831" s="167"/>
      <c r="AT831" s="167"/>
      <c r="AU831" s="167"/>
      <c r="AV831" s="167"/>
      <c r="AW831" s="167"/>
      <c r="AX831" s="167"/>
      <c r="AY831" s="167"/>
      <c r="AZ831" s="167"/>
    </row>
    <row r="832" spans="1:250" s="265" customFormat="1" ht="18" customHeight="1">
      <c r="A832" s="195"/>
      <c r="B832" s="195"/>
      <c r="C832" s="195"/>
      <c r="D832" s="195"/>
      <c r="E832" s="195"/>
      <c r="F832" s="195"/>
      <c r="G832" s="195"/>
      <c r="H832" s="195"/>
      <c r="I832" s="195"/>
      <c r="J832" s="195"/>
      <c r="R832" s="260"/>
      <c r="S832" s="260"/>
      <c r="T832" s="264"/>
      <c r="U832" s="264"/>
      <c r="V832" s="264"/>
      <c r="W832" s="264"/>
      <c r="X832" s="264"/>
      <c r="Y832" s="167"/>
      <c r="Z832" s="167"/>
      <c r="AA832" s="167"/>
      <c r="AB832" s="167"/>
      <c r="AC832" s="167"/>
      <c r="AD832" s="167"/>
      <c r="AE832" s="167"/>
      <c r="AF832" s="167"/>
      <c r="AG832" s="167"/>
      <c r="AH832" s="167"/>
      <c r="AI832" s="167"/>
      <c r="AJ832" s="167"/>
      <c r="AK832" s="167"/>
      <c r="AL832" s="167"/>
      <c r="AM832" s="167"/>
      <c r="AN832" s="167"/>
      <c r="AO832" s="167"/>
      <c r="AP832" s="167"/>
      <c r="AQ832" s="167"/>
      <c r="AR832" s="167"/>
      <c r="AS832" s="167"/>
      <c r="AT832" s="167"/>
      <c r="AU832" s="167"/>
      <c r="AV832" s="167"/>
      <c r="AW832" s="167"/>
      <c r="AX832" s="167"/>
      <c r="AY832" s="167"/>
      <c r="AZ832" s="167"/>
    </row>
    <row r="833" spans="1:55" s="265" customFormat="1" ht="18" customHeight="1">
      <c r="A833" s="195"/>
      <c r="B833" s="195"/>
      <c r="C833" s="195"/>
      <c r="D833" s="195"/>
      <c r="E833" s="195"/>
      <c r="F833" s="195"/>
      <c r="G833" s="195"/>
      <c r="H833" s="195"/>
      <c r="I833" s="195"/>
      <c r="J833" s="195"/>
      <c r="R833" s="260"/>
      <c r="S833" s="260"/>
      <c r="T833" s="264"/>
      <c r="U833" s="264"/>
      <c r="V833" s="264"/>
      <c r="W833" s="264"/>
      <c r="X833" s="264"/>
      <c r="Y833" s="167"/>
      <c r="Z833" s="167"/>
      <c r="AA833" s="167"/>
      <c r="AB833" s="167"/>
      <c r="AC833" s="167"/>
      <c r="AD833" s="167"/>
      <c r="AE833" s="167"/>
      <c r="AF833" s="167"/>
      <c r="AG833" s="167"/>
      <c r="AH833" s="167"/>
      <c r="AI833" s="167"/>
      <c r="AJ833" s="167"/>
      <c r="AK833" s="167"/>
      <c r="AL833" s="167"/>
      <c r="AM833" s="167"/>
      <c r="AN833" s="167"/>
      <c r="AO833" s="167"/>
      <c r="AP833" s="167"/>
      <c r="AQ833" s="167"/>
      <c r="AR833" s="167"/>
      <c r="AS833" s="167"/>
      <c r="AT833" s="167"/>
      <c r="AU833" s="167"/>
      <c r="AV833" s="167"/>
      <c r="AW833" s="167"/>
      <c r="AX833" s="167"/>
      <c r="AY833" s="167"/>
      <c r="AZ833" s="167"/>
    </row>
    <row r="834" spans="1:55" s="275" customFormat="1" ht="18" customHeight="1">
      <c r="A834" s="195"/>
      <c r="B834" s="195"/>
      <c r="C834" s="195"/>
      <c r="D834" s="195"/>
      <c r="E834" s="195"/>
      <c r="F834" s="195"/>
      <c r="G834" s="195"/>
      <c r="H834" s="195"/>
      <c r="I834" s="195"/>
      <c r="J834" s="195"/>
      <c r="K834" s="265"/>
      <c r="L834" s="265"/>
      <c r="M834" s="265"/>
      <c r="N834" s="265"/>
      <c r="O834" s="265"/>
      <c r="P834" s="265"/>
      <c r="Q834" s="265"/>
      <c r="R834" s="302"/>
      <c r="S834" s="302"/>
      <c r="T834" s="302"/>
      <c r="U834" s="302"/>
      <c r="V834" s="302"/>
      <c r="W834" s="302"/>
      <c r="X834" s="302"/>
      <c r="Y834" s="302"/>
      <c r="Z834" s="302"/>
      <c r="AA834" s="302"/>
      <c r="AB834" s="302"/>
      <c r="AC834" s="302"/>
      <c r="AD834" s="302"/>
      <c r="AE834" s="302"/>
      <c r="AF834" s="302"/>
      <c r="AG834" s="302"/>
      <c r="AH834" s="302"/>
      <c r="AI834" s="302"/>
      <c r="AJ834" s="274"/>
      <c r="AK834" s="274"/>
      <c r="AL834" s="274"/>
      <c r="AM834" s="274"/>
      <c r="AN834" s="274"/>
      <c r="AO834" s="274"/>
      <c r="AP834" s="274"/>
      <c r="AQ834" s="274"/>
      <c r="AR834" s="274"/>
      <c r="AS834" s="274"/>
      <c r="AT834" s="274"/>
      <c r="AU834" s="274"/>
      <c r="AV834" s="274"/>
      <c r="AW834" s="274"/>
      <c r="AX834" s="274"/>
      <c r="AY834" s="274"/>
      <c r="AZ834" s="274"/>
    </row>
    <row r="835" spans="1:55" s="281" customFormat="1" ht="18" customHeight="1">
      <c r="A835" s="312"/>
      <c r="B835" s="312"/>
      <c r="C835" s="312"/>
      <c r="D835" s="312"/>
      <c r="E835" s="312"/>
      <c r="F835" s="312"/>
      <c r="G835" s="312"/>
      <c r="H835" s="312"/>
      <c r="I835" s="312"/>
      <c r="J835" s="312"/>
      <c r="K835" s="275"/>
      <c r="L835" s="275"/>
      <c r="M835" s="275"/>
      <c r="N835" s="275"/>
      <c r="O835" s="275"/>
      <c r="P835" s="275"/>
      <c r="Q835" s="275"/>
      <c r="R835" s="279"/>
      <c r="S835" s="279"/>
      <c r="T835" s="279"/>
      <c r="U835" s="279"/>
      <c r="V835" s="279"/>
      <c r="W835" s="310"/>
      <c r="X835" s="310"/>
      <c r="Y835" s="280"/>
      <c r="Z835" s="280"/>
      <c r="AA835" s="280"/>
      <c r="AB835" s="280"/>
      <c r="AC835" s="280"/>
      <c r="AD835" s="280"/>
      <c r="AE835" s="280"/>
      <c r="AF835" s="280"/>
      <c r="AG835" s="280"/>
      <c r="AH835" s="280"/>
      <c r="AI835" s="280"/>
      <c r="AJ835" s="280"/>
      <c r="AK835" s="280"/>
      <c r="AL835" s="280"/>
      <c r="AM835" s="280"/>
      <c r="AN835" s="280"/>
      <c r="AO835" s="280"/>
      <c r="AP835" s="280"/>
      <c r="AQ835" s="280"/>
      <c r="AR835" s="280"/>
      <c r="AS835" s="280"/>
      <c r="AT835" s="280"/>
      <c r="AU835" s="280"/>
      <c r="AV835" s="280"/>
      <c r="AW835" s="280"/>
      <c r="AX835" s="280"/>
      <c r="AY835" s="280"/>
      <c r="AZ835" s="280"/>
    </row>
    <row r="836" spans="1:55" s="265" customFormat="1" ht="18" customHeight="1">
      <c r="A836" s="313"/>
      <c r="B836" s="313"/>
      <c r="C836" s="313"/>
      <c r="D836" s="313"/>
      <c r="E836" s="313"/>
      <c r="F836" s="305"/>
      <c r="G836" s="313"/>
      <c r="H836" s="313"/>
      <c r="I836" s="313"/>
      <c r="J836" s="313"/>
      <c r="K836" s="281"/>
      <c r="L836" s="281"/>
      <c r="M836" s="281"/>
      <c r="N836" s="281"/>
      <c r="O836" s="281"/>
      <c r="P836" s="281"/>
      <c r="Q836" s="281"/>
      <c r="R836" s="299"/>
      <c r="S836" s="299"/>
      <c r="T836" s="299"/>
      <c r="U836" s="299"/>
      <c r="V836" s="264"/>
      <c r="W836" s="264"/>
      <c r="X836" s="167"/>
      <c r="Y836" s="167"/>
      <c r="Z836" s="167"/>
      <c r="AA836" s="167"/>
      <c r="AB836" s="167"/>
      <c r="AC836" s="167"/>
      <c r="AD836" s="167"/>
      <c r="AE836" s="167"/>
      <c r="AF836" s="167"/>
      <c r="AG836" s="167"/>
      <c r="AH836" s="167"/>
      <c r="AI836" s="167"/>
      <c r="AJ836" s="167"/>
      <c r="AK836" s="167"/>
      <c r="AL836" s="167"/>
      <c r="AM836" s="167"/>
      <c r="AN836" s="167"/>
      <c r="AO836" s="167"/>
      <c r="AP836" s="167"/>
      <c r="AQ836" s="167"/>
      <c r="AR836" s="167"/>
      <c r="AS836" s="167"/>
      <c r="AT836" s="167"/>
      <c r="AU836" s="167"/>
      <c r="AV836" s="167"/>
      <c r="AW836" s="167"/>
      <c r="AX836" s="167"/>
      <c r="AY836" s="167"/>
    </row>
    <row r="837" spans="1:55" s="265" customFormat="1" ht="18" customHeight="1">
      <c r="A837" s="195"/>
      <c r="B837" s="195"/>
      <c r="C837" s="195"/>
      <c r="D837" s="195"/>
      <c r="E837" s="169"/>
      <c r="F837" s="195"/>
      <c r="G837" s="195"/>
      <c r="H837" s="195"/>
      <c r="I837" s="195"/>
      <c r="J837" s="195"/>
      <c r="R837" s="289"/>
      <c r="S837" s="289"/>
      <c r="T837" s="264"/>
      <c r="U837" s="264"/>
      <c r="V837" s="167"/>
      <c r="W837" s="167"/>
      <c r="X837" s="167"/>
      <c r="Y837" s="167"/>
      <c r="Z837" s="167"/>
      <c r="AA837" s="167"/>
      <c r="AB837" s="167"/>
      <c r="AC837" s="167"/>
      <c r="AD837" s="167"/>
      <c r="AE837" s="167"/>
      <c r="AF837" s="167"/>
      <c r="AG837" s="167"/>
      <c r="AH837" s="167"/>
      <c r="AI837" s="167"/>
      <c r="AJ837" s="167"/>
      <c r="AK837" s="167"/>
      <c r="AL837" s="167"/>
      <c r="AM837" s="167"/>
      <c r="AN837" s="167"/>
      <c r="AO837" s="167"/>
      <c r="AP837" s="167"/>
      <c r="AQ837" s="167"/>
      <c r="AR837" s="167"/>
      <c r="AS837" s="167"/>
      <c r="AT837" s="167"/>
      <c r="AU837" s="167"/>
      <c r="AV837" s="167"/>
      <c r="AW837" s="167"/>
    </row>
    <row r="838" spans="1:55" s="265" customFormat="1" ht="18" customHeight="1">
      <c r="A838" s="195"/>
      <c r="B838" s="195"/>
      <c r="C838" s="169"/>
      <c r="D838" s="195"/>
      <c r="E838" s="195"/>
      <c r="F838" s="195"/>
      <c r="G838" s="195"/>
      <c r="H838" s="195"/>
      <c r="I838" s="195"/>
      <c r="J838" s="195"/>
      <c r="R838" s="264"/>
      <c r="S838" s="264"/>
      <c r="T838" s="167"/>
      <c r="U838" s="167"/>
      <c r="V838" s="167"/>
      <c r="W838" s="167"/>
      <c r="X838" s="167"/>
      <c r="Y838" s="167"/>
      <c r="Z838" s="167"/>
      <c r="AA838" s="167"/>
      <c r="AB838" s="167"/>
      <c r="AC838" s="167"/>
      <c r="AD838" s="167"/>
      <c r="AE838" s="167"/>
      <c r="AF838" s="167"/>
      <c r="AG838" s="167"/>
      <c r="AH838" s="167"/>
      <c r="AI838" s="167"/>
      <c r="AJ838" s="167"/>
      <c r="AK838" s="167"/>
      <c r="AL838" s="167"/>
      <c r="AM838" s="167"/>
      <c r="AN838" s="167"/>
      <c r="AO838" s="167"/>
      <c r="AP838" s="167"/>
      <c r="AQ838" s="167"/>
      <c r="AR838" s="167"/>
      <c r="AS838" s="167"/>
      <c r="AT838" s="167"/>
      <c r="AU838" s="167"/>
    </row>
    <row r="839" spans="1:55" s="274" customFormat="1" ht="18" customHeight="1">
      <c r="A839" s="270">
        <f>A809+1</f>
        <v>28</v>
      </c>
      <c r="B839" s="271"/>
      <c r="C839" s="272" t="str">
        <f>IF($A$1 = 1, (IF("("&amp;C849&amp;")" ="()","","("&amp;C849&amp;")")), (IF("("&amp;C854&amp;")    ("&amp;C849&amp;")"="()    ()","","("&amp;C854&amp;")    ("&amp;C849&amp;")")))</f>
        <v/>
      </c>
      <c r="D839" s="272" t="str">
        <f t="shared" ref="D839:J839" si="81">IF($A$1 = 1, (IF("("&amp;D849&amp;")" ="()","","("&amp;D849&amp;")")), (IF("("&amp;D854&amp;")    ("&amp;D849&amp;")"="()    ()","","("&amp;D854&amp;")    ("&amp;D849&amp;")")))</f>
        <v/>
      </c>
      <c r="E839" s="272" t="str">
        <f t="shared" si="81"/>
        <v/>
      </c>
      <c r="F839" s="272" t="str">
        <f t="shared" si="81"/>
        <v/>
      </c>
      <c r="G839" s="272" t="str">
        <f t="shared" si="81"/>
        <v/>
      </c>
      <c r="H839" s="272" t="str">
        <f t="shared" si="81"/>
        <v/>
      </c>
      <c r="I839" s="272" t="str">
        <f t="shared" si="81"/>
        <v/>
      </c>
      <c r="J839" s="272" t="str">
        <f t="shared" si="81"/>
        <v/>
      </c>
      <c r="K839" s="273"/>
      <c r="L839" s="273"/>
      <c r="M839" s="273"/>
      <c r="N839" s="273"/>
      <c r="O839" s="273"/>
      <c r="P839" s="273"/>
      <c r="Q839" s="273"/>
      <c r="AI839" s="275"/>
      <c r="AJ839" s="275"/>
      <c r="AK839" s="275"/>
      <c r="AL839" s="275"/>
      <c r="AM839" s="275"/>
      <c r="AN839" s="275"/>
      <c r="AO839" s="275"/>
      <c r="AP839" s="275"/>
      <c r="AQ839" s="275"/>
      <c r="AR839" s="275"/>
      <c r="AS839" s="275"/>
      <c r="AT839" s="275"/>
      <c r="AU839" s="275"/>
      <c r="AV839" s="275"/>
      <c r="AW839" s="275"/>
      <c r="AX839" s="275"/>
      <c r="AY839" s="275"/>
      <c r="AZ839" s="275"/>
      <c r="BA839" s="275"/>
      <c r="BB839" s="275"/>
      <c r="BC839" s="275"/>
    </row>
    <row r="840" spans="1:55" s="280" customFormat="1" ht="59.1" customHeight="1">
      <c r="A840" s="276"/>
      <c r="B840" s="277"/>
      <c r="C840" s="278"/>
      <c r="D840" s="278"/>
      <c r="E840" s="278"/>
      <c r="F840" s="278"/>
      <c r="G840" s="278"/>
      <c r="H840" s="278"/>
      <c r="I840" s="278"/>
      <c r="J840" s="278"/>
      <c r="K840" s="279"/>
      <c r="L840" s="279"/>
      <c r="M840" s="279"/>
      <c r="N840" s="279"/>
      <c r="O840" s="279"/>
      <c r="P840" s="279"/>
      <c r="Q840" s="279"/>
      <c r="AI840" s="281"/>
      <c r="AJ840" s="281"/>
      <c r="AK840" s="281"/>
      <c r="AL840" s="281"/>
      <c r="AM840" s="281"/>
      <c r="AN840" s="281"/>
      <c r="AO840" s="281"/>
      <c r="AP840" s="281"/>
      <c r="AQ840" s="281"/>
      <c r="AS840" s="281"/>
      <c r="AT840" s="281"/>
      <c r="AU840" s="281"/>
      <c r="AV840" s="281"/>
      <c r="AW840" s="281"/>
      <c r="AX840" s="281"/>
      <c r="AY840" s="281"/>
      <c r="AZ840" s="281"/>
      <c r="BA840" s="281"/>
      <c r="BB840" s="281"/>
      <c r="BC840" s="281"/>
    </row>
    <row r="841" spans="1:55" s="167" customFormat="1" ht="21.95" customHeight="1">
      <c r="A841" s="266"/>
      <c r="B841" s="282" t="s">
        <v>3</v>
      </c>
      <c r="C841" s="283"/>
      <c r="D841" s="283"/>
      <c r="E841" s="283"/>
      <c r="F841" s="283"/>
      <c r="G841" s="283"/>
      <c r="H841" s="283"/>
      <c r="I841" s="283"/>
      <c r="J841" s="283"/>
      <c r="K841" s="284"/>
      <c r="L841" s="284"/>
      <c r="M841" s="284"/>
      <c r="N841" s="284"/>
      <c r="O841" s="284"/>
      <c r="P841" s="284"/>
      <c r="Q841" s="284"/>
      <c r="AI841" s="265"/>
      <c r="AJ841" s="265"/>
      <c r="AK841" s="265"/>
      <c r="AL841" s="265"/>
      <c r="AM841" s="265"/>
      <c r="AN841" s="265"/>
      <c r="AO841" s="265"/>
      <c r="AP841" s="265"/>
      <c r="AQ841" s="265"/>
      <c r="AS841" s="265"/>
      <c r="AT841" s="265"/>
      <c r="AU841" s="265"/>
      <c r="AV841" s="265"/>
      <c r="AW841" s="265"/>
      <c r="AX841" s="265"/>
      <c r="AY841" s="265"/>
      <c r="AZ841" s="265"/>
      <c r="BA841" s="265"/>
      <c r="BB841" s="265"/>
      <c r="BC841" s="265"/>
    </row>
    <row r="842" spans="1:55" s="167" customFormat="1" ht="21.95" customHeight="1">
      <c r="A842" s="266"/>
      <c r="B842" s="285" t="s">
        <v>18</v>
      </c>
      <c r="C842" s="283"/>
      <c r="D842" s="283"/>
      <c r="E842" s="283"/>
      <c r="F842" s="283"/>
      <c r="G842" s="283"/>
      <c r="H842" s="283"/>
      <c r="I842" s="283"/>
      <c r="J842" s="283"/>
      <c r="K842" s="286"/>
      <c r="L842" s="286"/>
      <c r="M842" s="286"/>
      <c r="N842" s="286"/>
      <c r="O842" s="286"/>
      <c r="P842" s="286"/>
      <c r="Q842" s="286"/>
      <c r="AI842" s="265"/>
      <c r="AJ842" s="265"/>
      <c r="AK842" s="265"/>
      <c r="AL842" s="265"/>
      <c r="AM842" s="265"/>
      <c r="AN842" s="265"/>
      <c r="AO842" s="265"/>
      <c r="AP842" s="265"/>
      <c r="AQ842" s="265"/>
      <c r="AS842" s="265"/>
      <c r="AT842" s="265"/>
      <c r="AU842" s="265"/>
      <c r="AV842" s="265"/>
      <c r="AW842" s="265"/>
      <c r="AX842" s="265"/>
      <c r="AY842" s="265"/>
      <c r="AZ842" s="265"/>
      <c r="BA842" s="265"/>
      <c r="BB842" s="265"/>
      <c r="BC842" s="265"/>
    </row>
    <row r="843" spans="1:55" s="167" customFormat="1" ht="21.95" customHeight="1">
      <c r="A843" s="169"/>
      <c r="B843" s="287" t="s">
        <v>32</v>
      </c>
      <c r="C843" s="283"/>
      <c r="D843" s="283"/>
      <c r="E843" s="283"/>
      <c r="F843" s="283"/>
      <c r="G843" s="283"/>
      <c r="H843" s="283"/>
      <c r="I843" s="283"/>
      <c r="J843" s="283"/>
      <c r="K843" s="286"/>
      <c r="L843" s="286"/>
      <c r="M843" s="286"/>
      <c r="N843" s="286"/>
      <c r="O843" s="286"/>
      <c r="P843" s="286"/>
      <c r="Q843" s="286"/>
      <c r="AI843" s="265"/>
      <c r="AJ843" s="265"/>
      <c r="AK843" s="265"/>
      <c r="AL843" s="265"/>
      <c r="AM843" s="265"/>
      <c r="AN843" s="265"/>
      <c r="AO843" s="265"/>
      <c r="AP843" s="265"/>
      <c r="AQ843" s="265"/>
      <c r="AS843" s="265"/>
      <c r="AT843" s="265"/>
      <c r="AU843" s="265"/>
      <c r="AV843" s="265"/>
      <c r="AW843" s="265"/>
      <c r="AX843" s="265"/>
      <c r="AY843" s="265"/>
      <c r="AZ843" s="265"/>
      <c r="BA843" s="265"/>
      <c r="BB843" s="265"/>
    </row>
    <row r="844" spans="1:55" s="167" customFormat="1" ht="21.95" customHeight="1">
      <c r="A844" s="169"/>
      <c r="B844" s="288" t="s">
        <v>45</v>
      </c>
      <c r="C844" s="283"/>
      <c r="D844" s="283"/>
      <c r="E844" s="283"/>
      <c r="F844" s="283"/>
      <c r="G844" s="283"/>
      <c r="H844" s="283"/>
      <c r="I844" s="283"/>
      <c r="J844" s="283"/>
      <c r="K844" s="286"/>
      <c r="L844" s="286"/>
      <c r="M844" s="286"/>
      <c r="N844" s="286"/>
      <c r="O844" s="286"/>
      <c r="P844" s="286"/>
      <c r="Q844" s="286"/>
      <c r="AI844" s="265"/>
      <c r="AJ844" s="265"/>
      <c r="AK844" s="265"/>
      <c r="AL844" s="265"/>
      <c r="AM844" s="265"/>
      <c r="AN844" s="265"/>
      <c r="AO844" s="265"/>
      <c r="AP844" s="265"/>
      <c r="AQ844" s="265"/>
      <c r="AS844" s="265"/>
      <c r="AT844" s="265"/>
      <c r="AU844" s="265"/>
      <c r="AV844" s="265"/>
      <c r="AW844" s="265"/>
      <c r="AX844" s="265"/>
      <c r="AY844" s="265"/>
      <c r="AZ844" s="265"/>
      <c r="BA844" s="265"/>
      <c r="BB844" s="265"/>
    </row>
    <row r="845" spans="1:55" s="167" customFormat="1" ht="21.95" customHeight="1">
      <c r="A845" s="169"/>
      <c r="B845" s="290" t="s">
        <v>54</v>
      </c>
      <c r="C845" s="283"/>
      <c r="D845" s="283"/>
      <c r="E845" s="283"/>
      <c r="F845" s="283"/>
      <c r="G845" s="283"/>
      <c r="H845" s="283"/>
      <c r="I845" s="283"/>
      <c r="J845" s="283"/>
      <c r="K845" s="286"/>
      <c r="L845" s="286"/>
      <c r="M845" s="286"/>
      <c r="N845" s="286"/>
      <c r="O845" s="286"/>
      <c r="P845" s="286"/>
      <c r="Q845" s="286"/>
      <c r="AI845" s="265"/>
      <c r="AJ845" s="265"/>
      <c r="AK845" s="265"/>
      <c r="AL845" s="265"/>
      <c r="AM845" s="265"/>
      <c r="AN845" s="265"/>
      <c r="AO845" s="265"/>
      <c r="AP845" s="265"/>
      <c r="AQ845" s="265"/>
      <c r="AS845" s="265"/>
      <c r="AT845" s="265"/>
      <c r="AU845" s="265"/>
      <c r="AV845" s="265"/>
      <c r="AW845" s="265"/>
      <c r="AX845" s="265"/>
      <c r="AY845" s="265"/>
      <c r="AZ845" s="265"/>
      <c r="BA845" s="265"/>
      <c r="BB845" s="265"/>
    </row>
    <row r="846" spans="1:55" s="167" customFormat="1">
      <c r="A846" s="169"/>
      <c r="B846" s="291" t="s">
        <v>66</v>
      </c>
      <c r="C846" s="286"/>
      <c r="D846" s="286"/>
      <c r="E846" s="286"/>
      <c r="F846" s="286"/>
      <c r="G846" s="286"/>
      <c r="H846" s="286"/>
      <c r="I846" s="286"/>
      <c r="J846" s="286"/>
      <c r="K846" s="286"/>
      <c r="L846" s="286"/>
      <c r="M846" s="286"/>
      <c r="N846" s="286"/>
      <c r="O846" s="286"/>
      <c r="P846" s="286"/>
      <c r="Q846" s="286"/>
      <c r="AI846" s="265"/>
      <c r="AJ846" s="265"/>
      <c r="AK846" s="265"/>
      <c r="AL846" s="265"/>
      <c r="AM846" s="265"/>
      <c r="AN846" s="265"/>
      <c r="AO846" s="265"/>
      <c r="AP846" s="265"/>
      <c r="AQ846" s="265"/>
      <c r="AS846" s="265"/>
      <c r="AT846" s="265"/>
      <c r="AU846" s="265"/>
      <c r="AV846" s="265"/>
      <c r="AW846" s="265"/>
      <c r="AX846" s="265"/>
      <c r="AY846" s="265"/>
      <c r="AZ846" s="265"/>
      <c r="BA846" s="265"/>
      <c r="BB846" s="265"/>
    </row>
    <row r="847" spans="1:55" s="167" customFormat="1">
      <c r="A847" s="169"/>
      <c r="B847" s="291" t="s">
        <v>158</v>
      </c>
      <c r="C847" s="292"/>
      <c r="D847" s="292"/>
      <c r="E847" s="292"/>
      <c r="F847" s="292"/>
      <c r="G847" s="292"/>
      <c r="H847" s="292"/>
      <c r="I847" s="292"/>
      <c r="J847" s="292"/>
      <c r="K847" s="292"/>
      <c r="L847" s="292"/>
      <c r="M847" s="292"/>
      <c r="N847" s="292"/>
      <c r="O847" s="292"/>
      <c r="P847" s="292"/>
      <c r="Q847" s="292"/>
      <c r="AI847" s="265"/>
      <c r="AJ847" s="265"/>
      <c r="AK847" s="265"/>
      <c r="AL847" s="265"/>
      <c r="AM847" s="265"/>
      <c r="AN847" s="265"/>
      <c r="AO847" s="265"/>
      <c r="AP847" s="265"/>
      <c r="AQ847" s="265"/>
      <c r="AS847" s="265"/>
      <c r="AT847" s="265"/>
      <c r="AU847" s="265"/>
      <c r="AV847" s="265"/>
      <c r="AW847" s="265"/>
      <c r="AX847" s="265"/>
      <c r="AY847" s="265"/>
      <c r="AZ847" s="265"/>
      <c r="BA847" s="265"/>
      <c r="BB847" s="265"/>
    </row>
    <row r="848" spans="1:55" s="167" customFormat="1">
      <c r="A848" s="169"/>
      <c r="B848" s="291" t="s">
        <v>189</v>
      </c>
      <c r="C848" s="292"/>
      <c r="D848" s="292"/>
      <c r="E848" s="292"/>
      <c r="F848" s="292"/>
      <c r="G848" s="292"/>
      <c r="H848" s="292"/>
      <c r="I848" s="292"/>
      <c r="J848" s="292"/>
      <c r="K848" s="292"/>
      <c r="L848" s="292"/>
      <c r="M848" s="292"/>
      <c r="N848" s="292"/>
      <c r="O848" s="292"/>
      <c r="P848" s="292"/>
      <c r="Q848" s="292"/>
      <c r="AI848" s="293"/>
      <c r="AJ848" s="293"/>
      <c r="AK848" s="293"/>
      <c r="AL848" s="293"/>
      <c r="AM848" s="293"/>
      <c r="AN848" s="265"/>
      <c r="AO848" s="265"/>
      <c r="AP848" s="265"/>
      <c r="AQ848" s="265"/>
      <c r="AS848" s="265"/>
      <c r="AT848" s="265"/>
      <c r="AU848" s="265"/>
      <c r="AV848" s="265"/>
      <c r="AW848" s="265"/>
      <c r="AX848" s="265"/>
      <c r="AY848" s="265"/>
      <c r="AZ848" s="265"/>
      <c r="BA848" s="265"/>
      <c r="BB848" s="265"/>
    </row>
    <row r="849" spans="1:250" s="167" customFormat="1" ht="15" thickBot="1">
      <c r="A849" s="169"/>
      <c r="B849" s="291" t="s">
        <v>345</v>
      </c>
      <c r="C849" s="292"/>
      <c r="D849" s="292"/>
      <c r="E849" s="292"/>
      <c r="F849" s="292"/>
      <c r="G849" s="292"/>
      <c r="H849" s="292"/>
      <c r="I849" s="292"/>
      <c r="J849" s="292"/>
      <c r="K849" s="292"/>
      <c r="L849" s="292"/>
      <c r="M849" s="292"/>
      <c r="N849" s="292"/>
      <c r="O849" s="292"/>
      <c r="P849" s="292"/>
      <c r="Q849" s="292"/>
      <c r="AI849" s="265"/>
      <c r="AJ849" s="265"/>
      <c r="AK849" s="265"/>
      <c r="AL849" s="265"/>
      <c r="AM849" s="265"/>
      <c r="AN849" s="265"/>
      <c r="AO849" s="265"/>
      <c r="AP849" s="265"/>
      <c r="AQ849" s="265"/>
      <c r="AS849" s="265"/>
      <c r="AT849" s="265"/>
      <c r="AU849" s="265"/>
      <c r="AV849" s="265"/>
      <c r="AW849" s="265"/>
      <c r="AX849" s="265"/>
      <c r="AY849" s="265"/>
      <c r="AZ849" s="265"/>
      <c r="BA849" s="265"/>
      <c r="BB849" s="265"/>
    </row>
    <row r="850" spans="1:250" s="167" customFormat="1">
      <c r="A850" s="266"/>
      <c r="B850" s="294" t="s">
        <v>166</v>
      </c>
      <c r="C850" s="295" t="str">
        <f>IF(OR(C853="**",C853=""),"",VALUE(C853))</f>
        <v/>
      </c>
      <c r="D850" s="295" t="str">
        <f t="shared" ref="D850:J850" si="82">IF(OR(D853="**",D853=""),"",VALUE(D853))</f>
        <v/>
      </c>
      <c r="E850" s="295" t="str">
        <f t="shared" si="82"/>
        <v/>
      </c>
      <c r="F850" s="295" t="str">
        <f t="shared" si="82"/>
        <v/>
      </c>
      <c r="G850" s="295" t="str">
        <f t="shared" si="82"/>
        <v/>
      </c>
      <c r="H850" s="295" t="str">
        <f t="shared" si="82"/>
        <v/>
      </c>
      <c r="I850" s="295" t="str">
        <f t="shared" si="82"/>
        <v/>
      </c>
      <c r="J850" s="295" t="str">
        <f t="shared" si="82"/>
        <v/>
      </c>
      <c r="K850" s="183"/>
      <c r="L850" s="183"/>
      <c r="M850" s="183"/>
      <c r="N850" s="183"/>
      <c r="O850" s="183"/>
      <c r="P850" s="183"/>
      <c r="Q850" s="183"/>
      <c r="AI850" s="265"/>
      <c r="AJ850" s="265"/>
      <c r="AK850" s="265"/>
      <c r="AL850" s="265"/>
      <c r="AM850" s="265"/>
      <c r="AN850" s="265"/>
      <c r="AO850" s="265"/>
      <c r="AP850" s="265"/>
      <c r="AQ850" s="265"/>
      <c r="AS850" s="265"/>
      <c r="AT850" s="265"/>
      <c r="AU850" s="265"/>
      <c r="AV850" s="265"/>
      <c r="AW850" s="265"/>
      <c r="AX850" s="265"/>
      <c r="AY850" s="265"/>
      <c r="AZ850" s="265"/>
      <c r="BA850" s="265"/>
      <c r="BB850" s="265"/>
    </row>
    <row r="851" spans="1:250" s="167" customFormat="1" ht="15" thickBot="1">
      <c r="A851" s="266"/>
      <c r="B851" s="296" t="s">
        <v>165</v>
      </c>
      <c r="C851" s="297" t="str">
        <f t="shared" ref="C851:J851" si="83">IF(OR(C847="**",C847=""),"",VALUE(C847))</f>
        <v/>
      </c>
      <c r="D851" s="297" t="str">
        <f t="shared" si="83"/>
        <v/>
      </c>
      <c r="E851" s="297" t="str">
        <f t="shared" si="83"/>
        <v/>
      </c>
      <c r="F851" s="297" t="str">
        <f t="shared" si="83"/>
        <v/>
      </c>
      <c r="G851" s="297" t="str">
        <f t="shared" si="83"/>
        <v/>
      </c>
      <c r="H851" s="297" t="str">
        <f t="shared" si="83"/>
        <v/>
      </c>
      <c r="I851" s="297" t="str">
        <f t="shared" si="83"/>
        <v/>
      </c>
      <c r="J851" s="297" t="str">
        <f t="shared" si="83"/>
        <v/>
      </c>
      <c r="K851" s="260"/>
      <c r="L851" s="260"/>
      <c r="M851" s="260"/>
      <c r="N851" s="260"/>
      <c r="O851" s="260"/>
      <c r="P851" s="260"/>
      <c r="Q851" s="260"/>
      <c r="AI851" s="260"/>
      <c r="AJ851" s="260"/>
      <c r="AK851" s="260"/>
      <c r="AL851" s="260"/>
      <c r="AM851" s="260"/>
      <c r="AN851" s="260"/>
      <c r="AO851" s="260"/>
      <c r="AP851" s="260"/>
      <c r="AQ851" s="265"/>
      <c r="AR851" s="265"/>
      <c r="AS851" s="265"/>
      <c r="AT851" s="265"/>
      <c r="AU851" s="265"/>
      <c r="AV851" s="265"/>
      <c r="AW851" s="265"/>
      <c r="AX851" s="265"/>
      <c r="AY851" s="265"/>
      <c r="AZ851" s="265"/>
      <c r="BA851" s="265"/>
      <c r="BB851" s="265"/>
    </row>
    <row r="852" spans="1:250" s="167" customFormat="1">
      <c r="A852" s="169"/>
      <c r="B852" s="298" t="s">
        <v>385</v>
      </c>
      <c r="C852" s="195"/>
      <c r="D852" s="195"/>
      <c r="E852" s="195"/>
      <c r="F852" s="195"/>
      <c r="G852" s="195"/>
      <c r="H852" s="195"/>
      <c r="I852" s="195"/>
      <c r="J852" s="195"/>
      <c r="K852" s="264"/>
      <c r="L852" s="264"/>
      <c r="M852" s="264"/>
      <c r="N852" s="264"/>
      <c r="O852" s="264"/>
      <c r="P852" s="264"/>
      <c r="Q852" s="264"/>
      <c r="AI852" s="265"/>
      <c r="AJ852" s="265"/>
      <c r="AK852" s="265"/>
      <c r="AL852" s="265"/>
      <c r="AM852" s="265"/>
      <c r="AN852" s="265"/>
      <c r="AO852" s="265"/>
      <c r="AP852" s="265"/>
      <c r="AQ852" s="265"/>
      <c r="AR852" s="265"/>
      <c r="AS852" s="265"/>
      <c r="AT852" s="265"/>
      <c r="AU852" s="265"/>
      <c r="AV852" s="265"/>
      <c r="AW852" s="265"/>
      <c r="AX852" s="265"/>
      <c r="AY852" s="265"/>
      <c r="AZ852" s="265"/>
      <c r="BA852" s="265"/>
      <c r="BB852" s="265"/>
    </row>
    <row r="853" spans="1:250" s="167" customFormat="1">
      <c r="A853" s="169"/>
      <c r="B853" s="291" t="s">
        <v>158</v>
      </c>
      <c r="C853" s="258"/>
      <c r="D853" s="258"/>
      <c r="E853" s="258"/>
      <c r="F853" s="258"/>
      <c r="G853" s="258"/>
      <c r="H853" s="258"/>
      <c r="I853" s="258"/>
      <c r="J853" s="258"/>
      <c r="K853" s="264"/>
      <c r="L853" s="264"/>
      <c r="M853" s="264"/>
      <c r="N853" s="264"/>
      <c r="O853" s="264"/>
      <c r="P853" s="264"/>
      <c r="Q853" s="264"/>
      <c r="AI853" s="265"/>
      <c r="AJ853" s="265"/>
      <c r="AK853" s="265"/>
      <c r="AL853" s="265"/>
      <c r="AM853" s="265"/>
      <c r="AN853" s="265"/>
      <c r="AO853" s="265"/>
      <c r="AP853" s="265"/>
      <c r="AQ853" s="265"/>
      <c r="AR853" s="265"/>
      <c r="AS853" s="265"/>
      <c r="AT853" s="265"/>
      <c r="AU853" s="265"/>
      <c r="AV853" s="265"/>
      <c r="AW853" s="265"/>
      <c r="AX853" s="265"/>
      <c r="AY853" s="265"/>
      <c r="AZ853" s="265"/>
      <c r="BA853" s="265"/>
      <c r="BB853" s="265"/>
    </row>
    <row r="854" spans="1:250" s="167" customFormat="1">
      <c r="A854" s="169"/>
      <c r="B854" s="298" t="s">
        <v>345</v>
      </c>
      <c r="C854" s="258"/>
      <c r="D854" s="258"/>
      <c r="E854" s="258"/>
      <c r="F854" s="258"/>
      <c r="G854" s="258"/>
      <c r="H854" s="258"/>
      <c r="I854" s="258"/>
      <c r="J854" s="258"/>
      <c r="W854" s="265"/>
      <c r="X854" s="265"/>
      <c r="Y854" s="265"/>
      <c r="Z854" s="265"/>
      <c r="AA854" s="265"/>
      <c r="AB854" s="265"/>
      <c r="AC854" s="265"/>
      <c r="AD854" s="265"/>
      <c r="AE854" s="265"/>
      <c r="AF854" s="265"/>
      <c r="AG854" s="265"/>
      <c r="AH854" s="265"/>
      <c r="AI854" s="265"/>
      <c r="AJ854" s="265"/>
      <c r="AK854" s="265"/>
      <c r="AL854" s="265"/>
      <c r="AM854" s="265"/>
      <c r="AN854" s="265"/>
      <c r="AO854" s="265"/>
      <c r="AP854" s="265"/>
      <c r="AQ854" s="265"/>
      <c r="IF854" s="303"/>
      <c r="IG854" s="260"/>
      <c r="IH854" s="260"/>
      <c r="II854" s="260"/>
      <c r="IJ854" s="260"/>
      <c r="IK854" s="260"/>
      <c r="IL854" s="264"/>
      <c r="IM854" s="264"/>
      <c r="IN854" s="264"/>
      <c r="IO854" s="264"/>
      <c r="IP854" s="264"/>
    </row>
    <row r="855" spans="1:250" s="167" customFormat="1">
      <c r="A855" s="169"/>
      <c r="B855" s="169"/>
      <c r="C855" s="169"/>
      <c r="D855" s="169"/>
      <c r="E855" s="169"/>
      <c r="F855" s="169"/>
      <c r="G855" s="169"/>
      <c r="H855" s="169"/>
      <c r="I855" s="169"/>
      <c r="J855" s="169"/>
      <c r="U855" s="265"/>
      <c r="V855" s="265"/>
      <c r="W855" s="265"/>
      <c r="X855" s="265"/>
      <c r="Y855" s="265"/>
      <c r="Z855" s="265"/>
      <c r="AA855" s="265"/>
      <c r="AB855" s="265"/>
      <c r="AC855" s="265"/>
      <c r="AD855" s="265"/>
      <c r="AE855" s="265"/>
      <c r="AF855" s="265"/>
      <c r="AG855" s="265"/>
      <c r="AH855" s="265"/>
      <c r="AI855" s="265"/>
      <c r="AJ855" s="265"/>
      <c r="AK855" s="265"/>
      <c r="AL855" s="265"/>
      <c r="AM855" s="265"/>
      <c r="AN855" s="265"/>
      <c r="AO855" s="265"/>
      <c r="AQ855" s="301"/>
      <c r="AR855" s="303"/>
      <c r="AS855" s="260"/>
      <c r="AT855" s="260"/>
      <c r="AU855" s="260"/>
      <c r="AV855" s="260"/>
      <c r="AW855" s="260"/>
      <c r="AX855" s="264"/>
      <c r="AY855" s="264"/>
      <c r="AZ855" s="264"/>
      <c r="BA855" s="264"/>
      <c r="BB855" s="264"/>
    </row>
    <row r="856" spans="1:250" s="167" customFormat="1">
      <c r="A856" s="169"/>
      <c r="B856" s="169"/>
      <c r="C856" s="169"/>
      <c r="D856" s="169"/>
      <c r="E856" s="169"/>
      <c r="F856" s="169"/>
      <c r="G856" s="169"/>
      <c r="H856" s="169"/>
      <c r="I856" s="169"/>
      <c r="J856" s="169"/>
      <c r="U856" s="265"/>
      <c r="V856" s="265"/>
      <c r="W856" s="265"/>
      <c r="X856" s="265"/>
      <c r="Y856" s="265"/>
      <c r="Z856" s="265"/>
      <c r="AA856" s="265"/>
      <c r="AB856" s="265"/>
      <c r="AC856" s="265"/>
      <c r="AD856" s="265"/>
      <c r="AE856" s="265"/>
      <c r="AF856" s="265"/>
      <c r="AG856" s="265"/>
      <c r="AH856" s="265"/>
      <c r="AI856" s="265"/>
      <c r="AJ856" s="265"/>
      <c r="AK856" s="265"/>
      <c r="AL856" s="265"/>
      <c r="AM856" s="265"/>
      <c r="AN856" s="265"/>
      <c r="AO856" s="265"/>
      <c r="AQ856" s="301"/>
      <c r="AR856" s="303"/>
      <c r="AS856" s="260"/>
      <c r="AT856" s="260"/>
      <c r="AU856" s="260"/>
      <c r="AV856" s="260"/>
      <c r="AW856" s="260"/>
      <c r="AX856" s="264"/>
      <c r="AY856" s="264"/>
      <c r="AZ856" s="264"/>
      <c r="BA856" s="264"/>
      <c r="BB856" s="264"/>
    </row>
    <row r="857" spans="1:250" s="167" customFormat="1">
      <c r="A857" s="169"/>
      <c r="B857" s="169"/>
      <c r="C857" s="169"/>
      <c r="D857" s="169"/>
      <c r="E857" s="169"/>
      <c r="F857" s="169"/>
      <c r="G857" s="169"/>
      <c r="H857" s="169"/>
      <c r="I857" s="169"/>
      <c r="J857" s="169"/>
      <c r="U857" s="265"/>
      <c r="V857" s="265"/>
      <c r="W857" s="265"/>
      <c r="X857" s="265"/>
      <c r="Y857" s="265"/>
      <c r="Z857" s="265"/>
      <c r="AA857" s="265"/>
      <c r="AB857" s="265"/>
      <c r="AC857" s="265"/>
      <c r="AD857" s="265"/>
      <c r="AE857" s="265"/>
      <c r="AF857" s="265"/>
      <c r="AG857" s="265"/>
      <c r="AH857" s="265"/>
      <c r="AI857" s="265"/>
      <c r="AJ857" s="265"/>
      <c r="AK857" s="265"/>
      <c r="AL857" s="265"/>
      <c r="AM857" s="265"/>
      <c r="AN857" s="265"/>
      <c r="AO857" s="265"/>
      <c r="AQ857" s="301"/>
      <c r="AR857" s="303"/>
      <c r="AS857" s="260"/>
      <c r="AT857" s="260"/>
      <c r="AU857" s="260"/>
      <c r="AV857" s="260"/>
      <c r="AW857" s="260"/>
      <c r="AX857" s="264"/>
      <c r="AY857" s="264"/>
      <c r="AZ857" s="264"/>
      <c r="BA857" s="264"/>
      <c r="BB857" s="264"/>
    </row>
    <row r="858" spans="1:250" s="167" customFormat="1" ht="18" customHeight="1">
      <c r="A858" s="169"/>
      <c r="B858" s="169"/>
      <c r="C858" s="169"/>
      <c r="D858" s="169"/>
      <c r="E858" s="169"/>
      <c r="F858" s="169"/>
      <c r="G858" s="169"/>
      <c r="H858" s="169"/>
      <c r="I858" s="169"/>
      <c r="J858" s="169"/>
      <c r="U858" s="265"/>
      <c r="V858" s="265"/>
      <c r="W858" s="265"/>
      <c r="X858" s="265"/>
      <c r="Y858" s="265"/>
      <c r="Z858" s="265"/>
      <c r="AA858" s="265"/>
      <c r="AB858" s="265"/>
      <c r="AC858" s="265"/>
      <c r="AD858" s="265"/>
      <c r="AE858" s="265"/>
      <c r="AF858" s="265"/>
      <c r="AG858" s="265"/>
      <c r="AH858" s="265"/>
      <c r="AI858" s="265"/>
      <c r="AJ858" s="265"/>
      <c r="AK858" s="265"/>
      <c r="AL858" s="265"/>
      <c r="AM858" s="265"/>
      <c r="AN858" s="265"/>
      <c r="AO858" s="265"/>
      <c r="AQ858" s="301"/>
      <c r="AR858" s="303"/>
      <c r="AS858" s="260"/>
      <c r="AT858" s="260"/>
      <c r="AU858" s="260"/>
      <c r="AV858" s="260"/>
      <c r="AW858" s="260"/>
      <c r="AX858" s="264"/>
      <c r="AY858" s="264"/>
      <c r="AZ858" s="264"/>
      <c r="BA858" s="264"/>
      <c r="BB858" s="264"/>
    </row>
    <row r="859" spans="1:250" s="167" customFormat="1" ht="18" customHeight="1">
      <c r="A859" s="169" t="s">
        <v>183</v>
      </c>
      <c r="B859" s="169"/>
      <c r="C859" s="169"/>
      <c r="D859" s="169"/>
      <c r="E859" s="169"/>
      <c r="F859" s="169"/>
      <c r="G859" s="169"/>
      <c r="H859" s="169"/>
      <c r="I859" s="169"/>
      <c r="J859" s="169"/>
      <c r="U859" s="265"/>
      <c r="V859" s="265"/>
      <c r="W859" s="265"/>
      <c r="X859" s="265"/>
      <c r="Y859" s="265"/>
      <c r="Z859" s="265"/>
      <c r="AA859" s="265"/>
      <c r="AB859" s="265"/>
      <c r="AC859" s="265"/>
      <c r="AD859" s="265"/>
      <c r="AE859" s="265"/>
      <c r="AF859" s="265"/>
      <c r="AG859" s="265"/>
      <c r="AH859" s="265"/>
      <c r="AI859" s="265"/>
      <c r="AJ859" s="265"/>
      <c r="AK859" s="265"/>
      <c r="AL859" s="265"/>
      <c r="AM859" s="265"/>
      <c r="AN859" s="265"/>
      <c r="AO859" s="265"/>
      <c r="AQ859" s="301"/>
      <c r="AR859" s="303"/>
      <c r="AS859" s="260"/>
      <c r="AT859" s="260"/>
      <c r="AU859" s="260"/>
      <c r="AV859" s="260"/>
      <c r="AW859" s="260"/>
      <c r="AX859" s="264"/>
      <c r="AY859" s="264"/>
      <c r="AZ859" s="264"/>
      <c r="BA859" s="264"/>
      <c r="BB859" s="264"/>
    </row>
    <row r="860" spans="1:250" s="167" customFormat="1" ht="18" customHeight="1">
      <c r="A860" s="169">
        <v>7</v>
      </c>
      <c r="B860" s="169"/>
      <c r="C860" s="169"/>
      <c r="D860" s="169"/>
      <c r="E860" s="169"/>
      <c r="F860" s="169"/>
      <c r="G860" s="169"/>
      <c r="H860" s="169"/>
      <c r="I860" s="169"/>
      <c r="J860" s="169"/>
      <c r="U860" s="265"/>
      <c r="V860" s="265"/>
      <c r="W860" s="265"/>
      <c r="X860" s="265"/>
      <c r="Y860" s="265"/>
      <c r="Z860" s="265"/>
      <c r="AA860" s="265"/>
      <c r="AB860" s="265"/>
      <c r="AC860" s="265"/>
      <c r="AD860" s="265"/>
      <c r="AE860" s="265"/>
      <c r="AF860" s="265"/>
      <c r="AG860" s="265"/>
      <c r="AH860" s="265"/>
      <c r="AI860" s="265"/>
      <c r="AJ860" s="265"/>
      <c r="AK860" s="265"/>
      <c r="AL860" s="265"/>
      <c r="AM860" s="265"/>
      <c r="AN860" s="265"/>
      <c r="AO860" s="265"/>
      <c r="AQ860" s="301"/>
      <c r="AR860" s="303"/>
      <c r="AS860" s="260"/>
      <c r="AT860" s="260"/>
      <c r="AU860" s="260"/>
      <c r="AV860" s="260"/>
      <c r="AW860" s="260"/>
      <c r="AX860" s="264"/>
      <c r="AY860" s="264"/>
      <c r="AZ860" s="264"/>
      <c r="BA860" s="264"/>
      <c r="BB860" s="264"/>
    </row>
    <row r="861" spans="1:250" s="167" customFormat="1" ht="18" customHeight="1">
      <c r="A861" s="169"/>
      <c r="B861" s="169"/>
      <c r="C861" s="169"/>
      <c r="D861" s="169"/>
      <c r="E861" s="169"/>
      <c r="F861" s="169"/>
      <c r="G861" s="169"/>
      <c r="H861" s="169"/>
      <c r="I861" s="169"/>
      <c r="J861" s="169"/>
      <c r="U861" s="265"/>
      <c r="V861" s="265"/>
      <c r="W861" s="265"/>
      <c r="X861" s="265"/>
      <c r="Y861" s="265"/>
      <c r="Z861" s="265"/>
      <c r="AA861" s="265"/>
      <c r="AB861" s="265"/>
      <c r="AC861" s="265"/>
      <c r="AD861" s="265"/>
      <c r="AE861" s="265"/>
      <c r="AF861" s="265"/>
      <c r="AG861" s="265"/>
      <c r="AH861" s="265"/>
      <c r="AI861" s="265"/>
      <c r="AJ861" s="265"/>
      <c r="AK861" s="265"/>
      <c r="AL861" s="265"/>
      <c r="AM861" s="265"/>
      <c r="AN861" s="265"/>
      <c r="AO861" s="265"/>
      <c r="AQ861" s="301"/>
      <c r="AR861" s="303"/>
      <c r="AS861" s="260"/>
      <c r="AT861" s="260"/>
      <c r="AU861" s="260"/>
      <c r="AV861" s="260"/>
      <c r="AW861" s="260"/>
      <c r="AX861" s="264"/>
      <c r="AY861" s="264"/>
      <c r="AZ861" s="264"/>
      <c r="BA861" s="264"/>
      <c r="BB861" s="264"/>
    </row>
    <row r="862" spans="1:250" s="167" customFormat="1" ht="18" customHeight="1">
      <c r="A862" s="169"/>
      <c r="B862" s="169"/>
      <c r="C862" s="169"/>
      <c r="D862" s="169"/>
      <c r="E862" s="169"/>
      <c r="F862" s="169"/>
      <c r="G862" s="169"/>
      <c r="H862" s="169"/>
      <c r="I862" s="169"/>
      <c r="J862" s="169"/>
      <c r="U862" s="265"/>
      <c r="V862" s="265"/>
      <c r="W862" s="265"/>
      <c r="X862" s="265"/>
      <c r="Y862" s="265"/>
      <c r="Z862" s="265"/>
      <c r="AA862" s="265"/>
      <c r="AB862" s="265"/>
      <c r="AC862" s="265"/>
      <c r="AD862" s="265"/>
      <c r="AE862" s="265"/>
      <c r="AF862" s="265"/>
      <c r="AG862" s="265"/>
      <c r="AH862" s="265"/>
      <c r="AI862" s="265"/>
      <c r="AJ862" s="265"/>
      <c r="AK862" s="265"/>
      <c r="AL862" s="265"/>
      <c r="AM862" s="265"/>
      <c r="AN862" s="265"/>
      <c r="AO862" s="265"/>
      <c r="AQ862" s="301"/>
      <c r="AR862" s="303"/>
      <c r="AS862" s="260"/>
      <c r="AT862" s="260"/>
      <c r="AU862" s="260"/>
      <c r="AV862" s="260"/>
      <c r="AW862" s="260"/>
      <c r="AX862" s="264"/>
      <c r="AY862" s="264"/>
      <c r="AZ862" s="264"/>
      <c r="BA862" s="264"/>
      <c r="BB862" s="264"/>
    </row>
    <row r="863" spans="1:250" s="302" customFormat="1" ht="18" customHeight="1">
      <c r="A863" s="169"/>
      <c r="B863" s="169"/>
      <c r="C863" s="169"/>
      <c r="D863" s="169"/>
      <c r="E863" s="169"/>
      <c r="F863" s="169"/>
      <c r="G863" s="169"/>
      <c r="H863" s="169"/>
      <c r="I863" s="169"/>
      <c r="J863" s="169"/>
      <c r="K863" s="167"/>
      <c r="L863" s="167"/>
      <c r="M863" s="167"/>
      <c r="N863" s="167"/>
      <c r="O863" s="167"/>
      <c r="P863" s="167"/>
      <c r="Q863" s="167"/>
      <c r="R863" s="167"/>
      <c r="S863" s="167"/>
      <c r="T863" s="167"/>
      <c r="U863" s="265"/>
      <c r="V863" s="265"/>
      <c r="W863" s="265"/>
      <c r="X863" s="265"/>
      <c r="Y863" s="265"/>
      <c r="Z863" s="265"/>
      <c r="AA863" s="265"/>
      <c r="AB863" s="265"/>
      <c r="AC863" s="265"/>
      <c r="AD863" s="265"/>
      <c r="AE863" s="265"/>
      <c r="AF863" s="265"/>
      <c r="AG863" s="265"/>
      <c r="AH863" s="265"/>
      <c r="AI863" s="265"/>
      <c r="AJ863" s="265"/>
      <c r="AK863" s="265"/>
      <c r="AL863" s="265"/>
      <c r="AM863" s="265"/>
      <c r="AN863" s="265"/>
      <c r="AO863" s="265"/>
      <c r="AP863" s="167"/>
      <c r="AQ863" s="307"/>
      <c r="AR863" s="303"/>
    </row>
    <row r="864" spans="1:250" s="280" customFormat="1" ht="18" customHeight="1">
      <c r="A864" s="302"/>
      <c r="B864" s="302"/>
      <c r="C864" s="302"/>
      <c r="D864" s="302"/>
      <c r="E864" s="302"/>
      <c r="F864" s="302"/>
      <c r="G864" s="302"/>
      <c r="H864" s="302"/>
      <c r="I864" s="302"/>
      <c r="J864" s="302"/>
      <c r="K864" s="302"/>
      <c r="L864" s="302"/>
      <c r="M864" s="302"/>
      <c r="N864" s="302"/>
      <c r="O864" s="302"/>
      <c r="P864" s="302"/>
      <c r="Q864" s="302"/>
      <c r="R864" s="274"/>
      <c r="S864" s="274"/>
      <c r="T864" s="274"/>
      <c r="U864" s="275"/>
      <c r="V864" s="275"/>
      <c r="W864" s="275"/>
      <c r="X864" s="275"/>
      <c r="Y864" s="275"/>
      <c r="Z864" s="275"/>
      <c r="AA864" s="275"/>
      <c r="AB864" s="275"/>
      <c r="AC864" s="275"/>
      <c r="AD864" s="275"/>
      <c r="AE864" s="275"/>
      <c r="AF864" s="275"/>
      <c r="AG864" s="275"/>
      <c r="AH864" s="275"/>
      <c r="AI864" s="275"/>
      <c r="AJ864" s="275"/>
      <c r="AK864" s="275"/>
      <c r="AL864" s="275"/>
      <c r="AM864" s="275"/>
      <c r="AN864" s="275"/>
      <c r="AO864" s="275"/>
      <c r="AP864" s="274"/>
      <c r="AQ864" s="308"/>
      <c r="AR864" s="309"/>
      <c r="AS864" s="279"/>
      <c r="AT864" s="279"/>
      <c r="AU864" s="279"/>
      <c r="AV864" s="279"/>
      <c r="AW864" s="279"/>
      <c r="AX864" s="279"/>
      <c r="AY864" s="279"/>
      <c r="AZ864" s="279"/>
      <c r="BA864" s="310"/>
      <c r="BB864" s="310"/>
    </row>
    <row r="865" spans="1:55" s="167" customFormat="1" ht="18" customHeight="1">
      <c r="A865" s="305"/>
      <c r="B865" s="305"/>
      <c r="C865" s="305"/>
      <c r="D865" s="305"/>
      <c r="E865" s="305"/>
      <c r="F865" s="305"/>
      <c r="G865" s="305"/>
      <c r="H865" s="305"/>
      <c r="I865" s="305"/>
      <c r="J865" s="305"/>
      <c r="K865" s="280"/>
      <c r="L865" s="280"/>
      <c r="M865" s="280"/>
      <c r="N865" s="280"/>
      <c r="O865" s="280"/>
      <c r="P865" s="280"/>
      <c r="Q865" s="280"/>
      <c r="R865" s="280"/>
      <c r="S865" s="280"/>
      <c r="T865" s="280"/>
      <c r="U865" s="281"/>
      <c r="V865" s="281"/>
      <c r="W865" s="281"/>
      <c r="X865" s="281"/>
      <c r="Y865" s="281"/>
      <c r="Z865" s="281"/>
      <c r="AA865" s="281"/>
      <c r="AB865" s="281"/>
      <c r="AC865" s="281"/>
      <c r="AD865" s="280"/>
      <c r="AE865" s="281"/>
      <c r="AF865" s="281"/>
      <c r="AG865" s="281"/>
      <c r="AH865" s="281"/>
      <c r="AI865" s="281"/>
      <c r="AJ865" s="281"/>
      <c r="AK865" s="281"/>
      <c r="AL865" s="281"/>
      <c r="AM865" s="281"/>
      <c r="AN865" s="281"/>
      <c r="AO865" s="281"/>
      <c r="AP865" s="280"/>
      <c r="AQ865" s="301"/>
      <c r="AR865" s="291"/>
      <c r="AS865" s="289"/>
      <c r="AT865" s="299"/>
      <c r="AU865" s="299"/>
      <c r="AV865" s="299"/>
      <c r="AW865" s="299"/>
      <c r="AX865" s="299"/>
      <c r="AY865" s="299"/>
      <c r="AZ865" s="299"/>
      <c r="BA865" s="264"/>
      <c r="BB865" s="264"/>
    </row>
    <row r="866" spans="1:55" s="167" customFormat="1" ht="18" customHeight="1">
      <c r="A866" s="169"/>
      <c r="B866" s="169"/>
      <c r="C866" s="169"/>
      <c r="D866" s="169"/>
      <c r="E866" s="169"/>
      <c r="F866" s="169"/>
      <c r="G866" s="169"/>
      <c r="H866" s="169"/>
      <c r="I866" s="169"/>
      <c r="J866" s="169"/>
      <c r="U866" s="265"/>
      <c r="V866" s="265"/>
      <c r="W866" s="265"/>
      <c r="X866" s="265"/>
      <c r="Y866" s="265"/>
      <c r="Z866" s="265"/>
      <c r="AA866" s="265"/>
      <c r="AB866" s="265"/>
      <c r="AC866" s="265"/>
      <c r="AE866" s="265"/>
      <c r="AF866" s="265"/>
      <c r="AG866" s="265"/>
      <c r="AH866" s="265"/>
      <c r="AI866" s="265"/>
      <c r="AJ866" s="265"/>
      <c r="AK866" s="265"/>
      <c r="AL866" s="265"/>
      <c r="AM866" s="265"/>
      <c r="AN866" s="265"/>
      <c r="AO866" s="265"/>
      <c r="AQ866" s="301"/>
      <c r="AR866" s="291"/>
      <c r="AS866" s="289"/>
      <c r="AT866" s="289"/>
      <c r="AU866" s="289"/>
      <c r="AV866" s="289"/>
      <c r="AW866" s="289"/>
      <c r="AX866" s="289"/>
      <c r="AY866" s="289"/>
      <c r="AZ866" s="289"/>
      <c r="BA866" s="264"/>
      <c r="BB866" s="264"/>
    </row>
    <row r="867" spans="1:55" s="167" customFormat="1" ht="18" customHeight="1">
      <c r="A867" s="169"/>
      <c r="B867" s="169"/>
      <c r="C867" s="169"/>
      <c r="D867" s="169"/>
      <c r="E867" s="169"/>
      <c r="F867" s="169"/>
      <c r="G867" s="169"/>
      <c r="H867" s="169"/>
      <c r="I867" s="169"/>
      <c r="J867" s="169"/>
      <c r="U867" s="265"/>
      <c r="V867" s="265"/>
      <c r="W867" s="265"/>
      <c r="X867" s="265"/>
      <c r="Y867" s="265"/>
      <c r="Z867" s="265"/>
      <c r="AA867" s="265"/>
      <c r="AB867" s="265"/>
      <c r="AC867" s="265"/>
      <c r="AE867" s="265"/>
      <c r="AF867" s="265"/>
      <c r="AG867" s="265"/>
      <c r="AH867" s="265"/>
      <c r="AI867" s="265"/>
      <c r="AJ867" s="265"/>
      <c r="AK867" s="265"/>
      <c r="AL867" s="265"/>
      <c r="AM867" s="265"/>
      <c r="AN867" s="265"/>
      <c r="AO867" s="265"/>
      <c r="AQ867" s="291"/>
      <c r="AR867" s="289"/>
      <c r="AS867" s="289"/>
      <c r="AT867" s="289"/>
      <c r="AU867" s="289"/>
      <c r="AV867" s="289"/>
      <c r="AW867" s="289"/>
      <c r="AX867" s="289"/>
      <c r="AY867" s="289"/>
      <c r="AZ867" s="264"/>
      <c r="BA867" s="264"/>
    </row>
    <row r="868" spans="1:55" s="167" customFormat="1" ht="18" customHeight="1">
      <c r="A868" s="169"/>
      <c r="B868" s="169"/>
      <c r="C868" s="169"/>
      <c r="D868" s="169"/>
      <c r="E868" s="169"/>
      <c r="F868" s="169"/>
      <c r="G868" s="169"/>
      <c r="H868" s="169"/>
      <c r="I868" s="169"/>
      <c r="J868" s="169"/>
      <c r="T868" s="265"/>
      <c r="U868" s="265"/>
      <c r="V868" s="265"/>
      <c r="W868" s="265"/>
      <c r="X868" s="265"/>
      <c r="Y868" s="265"/>
      <c r="Z868" s="265"/>
      <c r="AA868" s="265"/>
      <c r="AB868" s="265"/>
      <c r="AD868" s="265"/>
      <c r="AE868" s="265"/>
      <c r="AF868" s="265"/>
      <c r="AG868" s="265"/>
      <c r="AH868" s="265"/>
      <c r="AI868" s="265"/>
      <c r="AJ868" s="265"/>
      <c r="AK868" s="265"/>
      <c r="AL868" s="265"/>
      <c r="AM868" s="265"/>
      <c r="AO868" s="291"/>
      <c r="AP868" s="289"/>
      <c r="AQ868" s="289"/>
      <c r="AR868" s="289"/>
      <c r="AS868" s="289"/>
      <c r="AT868" s="289"/>
      <c r="AU868" s="289"/>
      <c r="AV868" s="289"/>
      <c r="AW868" s="289"/>
      <c r="AX868" s="264"/>
      <c r="AY868" s="264"/>
    </row>
    <row r="869" spans="1:55" s="274" customFormat="1" ht="18" customHeight="1">
      <c r="A869" s="270">
        <f>A839+1</f>
        <v>29</v>
      </c>
      <c r="B869" s="271"/>
      <c r="C869" s="272" t="str">
        <f>IF($A$1 = 1, (IF("("&amp;C879&amp;")" ="()","","("&amp;C879&amp;")")), (IF("("&amp;C884&amp;")    ("&amp;C879&amp;")"="()    ()","","("&amp;C884&amp;")    ("&amp;C879&amp;")")))</f>
        <v/>
      </c>
      <c r="D869" s="272" t="str">
        <f t="shared" ref="D869:J869" si="84">IF($A$1 = 1, (IF("("&amp;D879&amp;")" ="()","","("&amp;D879&amp;")")), (IF("("&amp;D884&amp;")    ("&amp;D879&amp;")"="()    ()","","("&amp;D884&amp;")    ("&amp;D879&amp;")")))</f>
        <v/>
      </c>
      <c r="E869" s="272" t="str">
        <f t="shared" si="84"/>
        <v/>
      </c>
      <c r="F869" s="272" t="str">
        <f t="shared" si="84"/>
        <v/>
      </c>
      <c r="G869" s="272" t="str">
        <f t="shared" si="84"/>
        <v/>
      </c>
      <c r="H869" s="272" t="str">
        <f t="shared" si="84"/>
        <v/>
      </c>
      <c r="I869" s="272" t="str">
        <f t="shared" si="84"/>
        <v/>
      </c>
      <c r="J869" s="272" t="str">
        <f t="shared" si="84"/>
        <v/>
      </c>
      <c r="K869" s="273"/>
      <c r="L869" s="273"/>
      <c r="M869" s="273"/>
      <c r="N869" s="273"/>
      <c r="O869" s="273"/>
      <c r="P869" s="273"/>
      <c r="Q869" s="273"/>
      <c r="AI869" s="275"/>
      <c r="AJ869" s="275"/>
      <c r="AK869" s="275"/>
      <c r="AL869" s="275"/>
      <c r="AM869" s="275"/>
      <c r="AN869" s="275"/>
      <c r="AO869" s="275"/>
      <c r="AP869" s="275"/>
      <c r="AQ869" s="275"/>
      <c r="AR869" s="275"/>
      <c r="AS869" s="275"/>
      <c r="AT869" s="275"/>
      <c r="AU869" s="275"/>
      <c r="AV869" s="275"/>
      <c r="AW869" s="275"/>
      <c r="AX869" s="275"/>
      <c r="AY869" s="275"/>
      <c r="AZ869" s="275"/>
      <c r="BA869" s="275"/>
      <c r="BB869" s="275"/>
      <c r="BC869" s="275"/>
    </row>
    <row r="870" spans="1:55" s="280" customFormat="1" ht="59.1" customHeight="1">
      <c r="A870" s="276"/>
      <c r="B870" s="277"/>
      <c r="C870" s="278"/>
      <c r="D870" s="278"/>
      <c r="E870" s="278"/>
      <c r="F870" s="278"/>
      <c r="G870" s="278"/>
      <c r="H870" s="278"/>
      <c r="I870" s="278"/>
      <c r="J870" s="278"/>
      <c r="K870" s="279"/>
      <c r="L870" s="279"/>
      <c r="M870" s="279"/>
      <c r="N870" s="279"/>
      <c r="O870" s="279"/>
      <c r="P870" s="279"/>
      <c r="Q870" s="279"/>
      <c r="AI870" s="281"/>
      <c r="AJ870" s="281"/>
      <c r="AK870" s="281"/>
      <c r="AL870" s="281"/>
      <c r="AM870" s="281"/>
      <c r="AN870" s="281"/>
      <c r="AO870" s="281"/>
      <c r="AP870" s="281"/>
      <c r="AQ870" s="281"/>
      <c r="AS870" s="281"/>
      <c r="AT870" s="281"/>
      <c r="AU870" s="281"/>
      <c r="AV870" s="281"/>
      <c r="AW870" s="281"/>
      <c r="AX870" s="281"/>
      <c r="AY870" s="281"/>
      <c r="AZ870" s="281"/>
      <c r="BA870" s="281"/>
      <c r="BB870" s="281"/>
      <c r="BC870" s="281"/>
    </row>
    <row r="871" spans="1:55" s="167" customFormat="1" ht="21.95" customHeight="1">
      <c r="A871" s="266"/>
      <c r="B871" s="282" t="s">
        <v>3</v>
      </c>
      <c r="C871" s="283"/>
      <c r="D871" s="283"/>
      <c r="E871" s="283"/>
      <c r="F871" s="283"/>
      <c r="G871" s="283"/>
      <c r="H871" s="283"/>
      <c r="I871" s="283"/>
      <c r="J871" s="283"/>
      <c r="K871" s="284"/>
      <c r="L871" s="284"/>
      <c r="M871" s="284"/>
      <c r="N871" s="284"/>
      <c r="O871" s="284"/>
      <c r="P871" s="284"/>
      <c r="Q871" s="284"/>
      <c r="AI871" s="265"/>
      <c r="AJ871" s="265"/>
      <c r="AK871" s="265"/>
      <c r="AL871" s="265"/>
      <c r="AM871" s="265"/>
      <c r="AN871" s="265"/>
      <c r="AO871" s="265"/>
      <c r="AP871" s="265"/>
      <c r="AQ871" s="265"/>
      <c r="AS871" s="265"/>
      <c r="AT871" s="265"/>
      <c r="AU871" s="265"/>
      <c r="AV871" s="265"/>
      <c r="AW871" s="265"/>
      <c r="AX871" s="265"/>
      <c r="AY871" s="265"/>
      <c r="AZ871" s="265"/>
      <c r="BA871" s="265"/>
      <c r="BB871" s="265"/>
      <c r="BC871" s="265"/>
    </row>
    <row r="872" spans="1:55" s="167" customFormat="1" ht="21.95" customHeight="1">
      <c r="A872" s="266"/>
      <c r="B872" s="285" t="s">
        <v>18</v>
      </c>
      <c r="C872" s="283"/>
      <c r="D872" s="283"/>
      <c r="E872" s="283"/>
      <c r="F872" s="283"/>
      <c r="G872" s="283"/>
      <c r="H872" s="283"/>
      <c r="I872" s="283"/>
      <c r="J872" s="283"/>
      <c r="K872" s="286"/>
      <c r="L872" s="286"/>
      <c r="M872" s="286"/>
      <c r="N872" s="286"/>
      <c r="O872" s="286"/>
      <c r="P872" s="286"/>
      <c r="Q872" s="286"/>
      <c r="AI872" s="265"/>
      <c r="AJ872" s="265"/>
      <c r="AK872" s="265"/>
      <c r="AL872" s="265"/>
      <c r="AM872" s="265"/>
      <c r="AN872" s="265"/>
      <c r="AO872" s="265"/>
      <c r="AP872" s="265"/>
      <c r="AQ872" s="265"/>
      <c r="AS872" s="265"/>
      <c r="AT872" s="265"/>
      <c r="AU872" s="265"/>
      <c r="AV872" s="265"/>
      <c r="AW872" s="265"/>
      <c r="AX872" s="265"/>
      <c r="AY872" s="265"/>
      <c r="AZ872" s="265"/>
      <c r="BA872" s="265"/>
      <c r="BB872" s="265"/>
      <c r="BC872" s="265"/>
    </row>
    <row r="873" spans="1:55" s="167" customFormat="1" ht="21.95" customHeight="1">
      <c r="A873" s="169"/>
      <c r="B873" s="287" t="s">
        <v>32</v>
      </c>
      <c r="C873" s="283"/>
      <c r="D873" s="283"/>
      <c r="E873" s="283"/>
      <c r="F873" s="283"/>
      <c r="G873" s="283"/>
      <c r="H873" s="283"/>
      <c r="I873" s="283"/>
      <c r="J873" s="283"/>
      <c r="K873" s="286"/>
      <c r="L873" s="286"/>
      <c r="M873" s="286"/>
      <c r="N873" s="286"/>
      <c r="O873" s="286"/>
      <c r="P873" s="286"/>
      <c r="Q873" s="286"/>
      <c r="AI873" s="265"/>
      <c r="AJ873" s="265"/>
      <c r="AK873" s="265"/>
      <c r="AL873" s="265"/>
      <c r="AM873" s="265"/>
      <c r="AN873" s="265"/>
      <c r="AO873" s="265"/>
      <c r="AP873" s="265"/>
      <c r="AQ873" s="265"/>
      <c r="AS873" s="265"/>
      <c r="AT873" s="265"/>
      <c r="AU873" s="265"/>
      <c r="AV873" s="265"/>
      <c r="AW873" s="265"/>
      <c r="AX873" s="265"/>
      <c r="AY873" s="265"/>
      <c r="AZ873" s="265"/>
      <c r="BA873" s="265"/>
      <c r="BB873" s="265"/>
    </row>
    <row r="874" spans="1:55" s="167" customFormat="1" ht="21.95" customHeight="1">
      <c r="A874" s="169"/>
      <c r="B874" s="288" t="s">
        <v>45</v>
      </c>
      <c r="C874" s="283"/>
      <c r="D874" s="283"/>
      <c r="E874" s="283"/>
      <c r="F874" s="283"/>
      <c r="G874" s="283"/>
      <c r="H874" s="283"/>
      <c r="I874" s="283"/>
      <c r="J874" s="283"/>
      <c r="K874" s="286"/>
      <c r="L874" s="286"/>
      <c r="M874" s="286"/>
      <c r="N874" s="286"/>
      <c r="O874" s="286"/>
      <c r="P874" s="286"/>
      <c r="Q874" s="286"/>
      <c r="AI874" s="265"/>
      <c r="AJ874" s="265"/>
      <c r="AK874" s="265"/>
      <c r="AL874" s="265"/>
      <c r="AM874" s="265"/>
      <c r="AN874" s="265"/>
      <c r="AO874" s="265"/>
      <c r="AP874" s="265"/>
      <c r="AQ874" s="265"/>
      <c r="AS874" s="265"/>
      <c r="AT874" s="265"/>
      <c r="AU874" s="265"/>
      <c r="AV874" s="265"/>
      <c r="AW874" s="265"/>
      <c r="AX874" s="265"/>
      <c r="AY874" s="265"/>
      <c r="AZ874" s="265"/>
      <c r="BA874" s="265"/>
      <c r="BB874" s="265"/>
    </row>
    <row r="875" spans="1:55" s="167" customFormat="1" ht="21.95" customHeight="1">
      <c r="A875" s="169"/>
      <c r="B875" s="290" t="s">
        <v>54</v>
      </c>
      <c r="C875" s="283"/>
      <c r="D875" s="283"/>
      <c r="E875" s="283"/>
      <c r="F875" s="283"/>
      <c r="G875" s="283"/>
      <c r="H875" s="283"/>
      <c r="I875" s="283"/>
      <c r="J875" s="283"/>
      <c r="K875" s="286"/>
      <c r="L875" s="286"/>
      <c r="M875" s="286"/>
      <c r="N875" s="286"/>
      <c r="O875" s="286"/>
      <c r="P875" s="286"/>
      <c r="Q875" s="286"/>
      <c r="AI875" s="265"/>
      <c r="AJ875" s="265"/>
      <c r="AK875" s="265"/>
      <c r="AL875" s="265"/>
      <c r="AM875" s="265"/>
      <c r="AN875" s="265"/>
      <c r="AO875" s="265"/>
      <c r="AP875" s="265"/>
      <c r="AQ875" s="265"/>
      <c r="AS875" s="265"/>
      <c r="AT875" s="265"/>
      <c r="AU875" s="265"/>
      <c r="AV875" s="265"/>
      <c r="AW875" s="265"/>
      <c r="AX875" s="265"/>
      <c r="AY875" s="265"/>
      <c r="AZ875" s="265"/>
      <c r="BA875" s="265"/>
      <c r="BB875" s="265"/>
    </row>
    <row r="876" spans="1:55" s="167" customFormat="1">
      <c r="A876" s="169"/>
      <c r="B876" s="291" t="s">
        <v>66</v>
      </c>
      <c r="C876" s="286"/>
      <c r="D876" s="286"/>
      <c r="E876" s="286"/>
      <c r="F876" s="286"/>
      <c r="G876" s="286"/>
      <c r="H876" s="286"/>
      <c r="I876" s="286"/>
      <c r="J876" s="286"/>
      <c r="K876" s="286"/>
      <c r="L876" s="286"/>
      <c r="M876" s="286"/>
      <c r="N876" s="286"/>
      <c r="O876" s="286"/>
      <c r="P876" s="286"/>
      <c r="Q876" s="286"/>
      <c r="AI876" s="265"/>
      <c r="AJ876" s="265"/>
      <c r="AK876" s="265"/>
      <c r="AL876" s="265"/>
      <c r="AM876" s="265"/>
      <c r="AN876" s="265"/>
      <c r="AO876" s="265"/>
      <c r="AP876" s="265"/>
      <c r="AQ876" s="265"/>
      <c r="AS876" s="265"/>
      <c r="AT876" s="265"/>
      <c r="AU876" s="265"/>
      <c r="AV876" s="265"/>
      <c r="AW876" s="265"/>
      <c r="AX876" s="265"/>
      <c r="AY876" s="265"/>
      <c r="AZ876" s="265"/>
      <c r="BA876" s="265"/>
      <c r="BB876" s="265"/>
    </row>
    <row r="877" spans="1:55" s="167" customFormat="1">
      <c r="A877" s="169"/>
      <c r="B877" s="291" t="s">
        <v>158</v>
      </c>
      <c r="C877" s="292"/>
      <c r="D877" s="292"/>
      <c r="E877" s="292"/>
      <c r="F877" s="292"/>
      <c r="G877" s="292"/>
      <c r="H877" s="292"/>
      <c r="I877" s="292"/>
      <c r="J877" s="292"/>
      <c r="K877" s="292"/>
      <c r="L877" s="292"/>
      <c r="M877" s="292"/>
      <c r="N877" s="292"/>
      <c r="O877" s="292"/>
      <c r="P877" s="292"/>
      <c r="Q877" s="292"/>
      <c r="AI877" s="265"/>
      <c r="AJ877" s="265"/>
      <c r="AK877" s="265"/>
      <c r="AL877" s="265"/>
      <c r="AM877" s="265"/>
      <c r="AN877" s="265"/>
      <c r="AO877" s="265"/>
      <c r="AP877" s="265"/>
      <c r="AQ877" s="265"/>
      <c r="AS877" s="265"/>
      <c r="AT877" s="265"/>
      <c r="AU877" s="265"/>
      <c r="AV877" s="265"/>
      <c r="AW877" s="265"/>
      <c r="AX877" s="265"/>
      <c r="AY877" s="265"/>
      <c r="AZ877" s="265"/>
      <c r="BA877" s="265"/>
      <c r="BB877" s="265"/>
    </row>
    <row r="878" spans="1:55" s="167" customFormat="1">
      <c r="A878" s="169"/>
      <c r="B878" s="291" t="s">
        <v>189</v>
      </c>
      <c r="C878" s="292"/>
      <c r="D878" s="292"/>
      <c r="E878" s="292"/>
      <c r="F878" s="292"/>
      <c r="G878" s="292"/>
      <c r="H878" s="292"/>
      <c r="I878" s="292"/>
      <c r="J878" s="292"/>
      <c r="K878" s="292"/>
      <c r="L878" s="292"/>
      <c r="M878" s="292"/>
      <c r="N878" s="292"/>
      <c r="O878" s="292"/>
      <c r="P878" s="292"/>
      <c r="Q878" s="292"/>
      <c r="AI878" s="293"/>
      <c r="AJ878" s="293"/>
      <c r="AK878" s="293"/>
      <c r="AL878" s="293"/>
      <c r="AM878" s="293"/>
      <c r="AN878" s="265"/>
      <c r="AO878" s="265"/>
      <c r="AP878" s="265"/>
      <c r="AQ878" s="265"/>
      <c r="AS878" s="265"/>
      <c r="AT878" s="265"/>
      <c r="AU878" s="265"/>
      <c r="AV878" s="265"/>
      <c r="AW878" s="265"/>
      <c r="AX878" s="265"/>
      <c r="AY878" s="265"/>
      <c r="AZ878" s="265"/>
      <c r="BA878" s="265"/>
      <c r="BB878" s="265"/>
    </row>
    <row r="879" spans="1:55" s="167" customFormat="1" ht="15" thickBot="1">
      <c r="A879" s="169"/>
      <c r="B879" s="291" t="s">
        <v>345</v>
      </c>
      <c r="C879" s="292"/>
      <c r="D879" s="292"/>
      <c r="E879" s="292"/>
      <c r="F879" s="292"/>
      <c r="G879" s="292"/>
      <c r="H879" s="292"/>
      <c r="I879" s="292"/>
      <c r="J879" s="292"/>
      <c r="K879" s="292"/>
      <c r="L879" s="292"/>
      <c r="M879" s="292"/>
      <c r="N879" s="292"/>
      <c r="O879" s="292"/>
      <c r="P879" s="292"/>
      <c r="Q879" s="292"/>
      <c r="AI879" s="265"/>
      <c r="AJ879" s="265"/>
      <c r="AK879" s="265"/>
      <c r="AL879" s="265"/>
      <c r="AM879" s="265"/>
      <c r="AN879" s="265"/>
      <c r="AO879" s="265"/>
      <c r="AP879" s="265"/>
      <c r="AQ879" s="265"/>
      <c r="AS879" s="265"/>
      <c r="AT879" s="265"/>
      <c r="AU879" s="265"/>
      <c r="AV879" s="265"/>
      <c r="AW879" s="265"/>
      <c r="AX879" s="265"/>
      <c r="AY879" s="265"/>
      <c r="AZ879" s="265"/>
      <c r="BA879" s="265"/>
      <c r="BB879" s="265"/>
    </row>
    <row r="880" spans="1:55" s="167" customFormat="1">
      <c r="A880" s="266"/>
      <c r="B880" s="294" t="s">
        <v>166</v>
      </c>
      <c r="C880" s="295" t="str">
        <f>IF(OR(C883="**",C883=""),"",VALUE(C883))</f>
        <v/>
      </c>
      <c r="D880" s="295" t="str">
        <f t="shared" ref="D880:J880" si="85">IF(OR(D883="**",D883=""),"",VALUE(D883))</f>
        <v/>
      </c>
      <c r="E880" s="295" t="str">
        <f t="shared" si="85"/>
        <v/>
      </c>
      <c r="F880" s="295" t="str">
        <f t="shared" si="85"/>
        <v/>
      </c>
      <c r="G880" s="295" t="str">
        <f t="shared" si="85"/>
        <v/>
      </c>
      <c r="H880" s="295" t="str">
        <f t="shared" si="85"/>
        <v/>
      </c>
      <c r="I880" s="295" t="str">
        <f t="shared" si="85"/>
        <v/>
      </c>
      <c r="J880" s="295" t="str">
        <f t="shared" si="85"/>
        <v/>
      </c>
      <c r="K880" s="183"/>
      <c r="L880" s="183"/>
      <c r="M880" s="183"/>
      <c r="N880" s="183"/>
      <c r="O880" s="183"/>
      <c r="P880" s="183"/>
      <c r="Q880" s="183"/>
      <c r="AI880" s="265"/>
      <c r="AJ880" s="265"/>
      <c r="AK880" s="265"/>
      <c r="AL880" s="265"/>
      <c r="AM880" s="265"/>
      <c r="AN880" s="265"/>
      <c r="AO880" s="265"/>
      <c r="AP880" s="265"/>
      <c r="AQ880" s="265"/>
      <c r="AS880" s="265"/>
      <c r="AT880" s="265"/>
      <c r="AU880" s="265"/>
      <c r="AV880" s="265"/>
      <c r="AW880" s="265"/>
      <c r="AX880" s="265"/>
      <c r="AY880" s="265"/>
      <c r="AZ880" s="265"/>
      <c r="BA880" s="265"/>
      <c r="BB880" s="265"/>
    </row>
    <row r="881" spans="1:250" s="167" customFormat="1" ht="15" thickBot="1">
      <c r="A881" s="266"/>
      <c r="B881" s="296" t="s">
        <v>165</v>
      </c>
      <c r="C881" s="297" t="str">
        <f t="shared" ref="C881:J881" si="86">IF(OR(C877="**",C877=""),"",VALUE(C877))</f>
        <v/>
      </c>
      <c r="D881" s="297" t="str">
        <f t="shared" si="86"/>
        <v/>
      </c>
      <c r="E881" s="297" t="str">
        <f t="shared" si="86"/>
        <v/>
      </c>
      <c r="F881" s="297" t="str">
        <f t="shared" si="86"/>
        <v/>
      </c>
      <c r="G881" s="297" t="str">
        <f t="shared" si="86"/>
        <v/>
      </c>
      <c r="H881" s="297" t="str">
        <f t="shared" si="86"/>
        <v/>
      </c>
      <c r="I881" s="297" t="str">
        <f t="shared" si="86"/>
        <v/>
      </c>
      <c r="J881" s="297" t="str">
        <f t="shared" si="86"/>
        <v/>
      </c>
      <c r="K881" s="260"/>
      <c r="L881" s="260"/>
      <c r="M881" s="260"/>
      <c r="N881" s="260"/>
      <c r="O881" s="260"/>
      <c r="P881" s="260"/>
      <c r="Q881" s="260"/>
      <c r="AI881" s="260"/>
      <c r="AJ881" s="260"/>
      <c r="AK881" s="260"/>
      <c r="AL881" s="260"/>
      <c r="AM881" s="260"/>
      <c r="AN881" s="260"/>
      <c r="AO881" s="260"/>
      <c r="AP881" s="260"/>
      <c r="AQ881" s="265"/>
      <c r="AR881" s="265"/>
      <c r="AS881" s="265"/>
      <c r="AT881" s="265"/>
      <c r="AU881" s="265"/>
      <c r="AV881" s="265"/>
      <c r="AW881" s="265"/>
      <c r="AX881" s="265"/>
      <c r="AY881" s="265"/>
      <c r="AZ881" s="265"/>
      <c r="BA881" s="265"/>
      <c r="BB881" s="265"/>
    </row>
    <row r="882" spans="1:250" s="167" customFormat="1">
      <c r="A882" s="169"/>
      <c r="B882" s="298" t="s">
        <v>385</v>
      </c>
      <c r="C882" s="195"/>
      <c r="D882" s="195"/>
      <c r="E882" s="195"/>
      <c r="F882" s="195"/>
      <c r="G882" s="195"/>
      <c r="H882" s="195"/>
      <c r="I882" s="195"/>
      <c r="J882" s="195"/>
      <c r="K882" s="264"/>
      <c r="L882" s="264"/>
      <c r="M882" s="264"/>
      <c r="N882" s="264"/>
      <c r="O882" s="264"/>
      <c r="P882" s="264"/>
      <c r="Q882" s="264"/>
      <c r="AI882" s="265"/>
      <c r="AJ882" s="265"/>
      <c r="AK882" s="265"/>
      <c r="AL882" s="265"/>
      <c r="AM882" s="265"/>
      <c r="AN882" s="265"/>
      <c r="AO882" s="265"/>
      <c r="AP882" s="265"/>
      <c r="AQ882" s="265"/>
      <c r="AR882" s="265"/>
      <c r="AS882" s="265"/>
      <c r="AT882" s="265"/>
      <c r="AU882" s="265"/>
      <c r="AV882" s="265"/>
      <c r="AW882" s="265"/>
      <c r="AX882" s="265"/>
      <c r="AY882" s="265"/>
      <c r="AZ882" s="265"/>
      <c r="BA882" s="265"/>
      <c r="BB882" s="265"/>
    </row>
    <row r="883" spans="1:250" s="167" customFormat="1">
      <c r="A883" s="169"/>
      <c r="B883" s="291" t="s">
        <v>158</v>
      </c>
      <c r="C883" s="258"/>
      <c r="D883" s="258"/>
      <c r="E883" s="258"/>
      <c r="F883" s="258"/>
      <c r="G883" s="258"/>
      <c r="H883" s="258"/>
      <c r="I883" s="258"/>
      <c r="J883" s="258"/>
      <c r="K883" s="264"/>
      <c r="L883" s="264"/>
      <c r="M883" s="264"/>
      <c r="N883" s="264"/>
      <c r="O883" s="264"/>
      <c r="P883" s="264"/>
      <c r="Q883" s="264"/>
      <c r="AI883" s="265"/>
      <c r="AJ883" s="265"/>
      <c r="AK883" s="265"/>
      <c r="AL883" s="265"/>
      <c r="AM883" s="265"/>
      <c r="AN883" s="265"/>
      <c r="AO883" s="265"/>
      <c r="AP883" s="265"/>
      <c r="AQ883" s="265"/>
      <c r="AR883" s="265"/>
      <c r="AS883" s="265"/>
      <c r="AT883" s="265"/>
      <c r="AU883" s="265"/>
      <c r="AV883" s="265"/>
      <c r="AW883" s="265"/>
      <c r="AX883" s="265"/>
      <c r="AY883" s="265"/>
      <c r="AZ883" s="265"/>
      <c r="BA883" s="265"/>
      <c r="BB883" s="265"/>
    </row>
    <row r="884" spans="1:250" s="167" customFormat="1">
      <c r="A884" s="169"/>
      <c r="B884" s="298" t="s">
        <v>345</v>
      </c>
      <c r="C884" s="258"/>
      <c r="D884" s="258"/>
      <c r="E884" s="258"/>
      <c r="F884" s="258"/>
      <c r="G884" s="258"/>
      <c r="H884" s="258"/>
      <c r="I884" s="258"/>
      <c r="J884" s="258"/>
      <c r="W884" s="265"/>
      <c r="X884" s="265"/>
      <c r="Y884" s="265"/>
      <c r="Z884" s="265"/>
      <c r="AA884" s="265"/>
      <c r="AB884" s="265"/>
      <c r="AC884" s="265"/>
      <c r="AD884" s="265"/>
      <c r="AE884" s="265"/>
      <c r="AF884" s="265"/>
      <c r="AG884" s="265"/>
      <c r="AH884" s="265"/>
      <c r="AI884" s="265"/>
      <c r="AJ884" s="265"/>
      <c r="AK884" s="265"/>
      <c r="AL884" s="265"/>
      <c r="AM884" s="265"/>
      <c r="AN884" s="265"/>
      <c r="AO884" s="265"/>
      <c r="AP884" s="265"/>
      <c r="AQ884" s="265"/>
      <c r="IF884" s="303"/>
      <c r="IG884" s="260"/>
      <c r="IH884" s="260"/>
      <c r="II884" s="260"/>
      <c r="IJ884" s="260"/>
      <c r="IK884" s="260"/>
      <c r="IL884" s="264"/>
      <c r="IM884" s="264"/>
      <c r="IN884" s="264"/>
      <c r="IO884" s="264"/>
      <c r="IP884" s="264"/>
    </row>
    <row r="885" spans="1:250" s="265" customFormat="1">
      <c r="A885" s="195"/>
      <c r="B885" s="195"/>
      <c r="C885" s="195"/>
      <c r="D885" s="195"/>
      <c r="E885" s="195"/>
      <c r="F885" s="195"/>
      <c r="G885" s="195"/>
      <c r="H885" s="195"/>
      <c r="I885" s="195"/>
      <c r="J885" s="195"/>
      <c r="R885" s="264"/>
      <c r="S885" s="264"/>
      <c r="T885" s="264"/>
      <c r="U885" s="264"/>
      <c r="V885" s="264"/>
      <c r="W885" s="167"/>
      <c r="X885" s="167"/>
      <c r="Y885" s="167"/>
      <c r="Z885" s="167"/>
      <c r="AA885" s="167"/>
      <c r="AB885" s="167"/>
      <c r="AC885" s="167"/>
      <c r="AD885" s="167"/>
      <c r="AE885" s="167"/>
      <c r="AF885" s="167"/>
      <c r="AG885" s="167"/>
      <c r="AH885" s="167"/>
      <c r="AI885" s="167"/>
      <c r="AJ885" s="167"/>
      <c r="AK885" s="167"/>
      <c r="AL885" s="167"/>
      <c r="AM885" s="167"/>
      <c r="AN885" s="167"/>
      <c r="AO885" s="167"/>
      <c r="AP885" s="167"/>
      <c r="AQ885" s="167"/>
      <c r="AR885" s="167"/>
      <c r="AS885" s="167"/>
      <c r="AT885" s="167"/>
      <c r="AU885" s="167"/>
      <c r="AV885" s="167"/>
      <c r="AW885" s="167"/>
      <c r="AX885" s="167"/>
    </row>
    <row r="886" spans="1:250" s="265" customFormat="1">
      <c r="A886" s="195"/>
      <c r="B886" s="195"/>
      <c r="C886" s="195"/>
      <c r="D886" s="195"/>
      <c r="E886" s="195"/>
      <c r="F886" s="195"/>
      <c r="G886" s="195"/>
      <c r="H886" s="195"/>
      <c r="I886" s="195"/>
      <c r="J886" s="195"/>
      <c r="R886" s="264"/>
      <c r="S886" s="264"/>
      <c r="T886" s="264"/>
      <c r="U886" s="264"/>
      <c r="V886" s="264"/>
      <c r="W886" s="167"/>
      <c r="X886" s="167"/>
      <c r="Y886" s="167"/>
      <c r="Z886" s="167"/>
      <c r="AA886" s="167"/>
      <c r="AB886" s="167"/>
      <c r="AC886" s="167"/>
      <c r="AD886" s="167"/>
      <c r="AE886" s="167"/>
      <c r="AF886" s="167"/>
      <c r="AG886" s="167"/>
      <c r="AH886" s="167"/>
      <c r="AI886" s="167"/>
      <c r="AJ886" s="167"/>
      <c r="AK886" s="167"/>
      <c r="AL886" s="167"/>
      <c r="AM886" s="167"/>
      <c r="AN886" s="167"/>
      <c r="AO886" s="167"/>
      <c r="AP886" s="167"/>
      <c r="AQ886" s="167"/>
      <c r="AR886" s="167"/>
      <c r="AS886" s="167"/>
      <c r="AT886" s="167"/>
      <c r="AU886" s="167"/>
      <c r="AV886" s="167"/>
      <c r="AW886" s="167"/>
      <c r="AX886" s="167"/>
    </row>
    <row r="887" spans="1:250" s="265" customFormat="1">
      <c r="A887" s="195"/>
      <c r="B887" s="195"/>
      <c r="C887" s="195"/>
      <c r="D887" s="195"/>
      <c r="E887" s="195"/>
      <c r="F887" s="195"/>
      <c r="G887" s="195"/>
      <c r="H887" s="195"/>
      <c r="I887" s="195"/>
      <c r="J887" s="195"/>
      <c r="R887" s="264"/>
      <c r="S887" s="264"/>
      <c r="T887" s="264"/>
      <c r="U887" s="264"/>
      <c r="V887" s="264"/>
      <c r="W887" s="167"/>
      <c r="X887" s="167"/>
      <c r="Y887" s="167"/>
      <c r="Z887" s="167"/>
      <c r="AA887" s="167"/>
      <c r="AB887" s="167"/>
      <c r="AC887" s="167"/>
      <c r="AD887" s="167"/>
      <c r="AE887" s="167"/>
      <c r="AF887" s="167"/>
      <c r="AG887" s="167"/>
      <c r="AH887" s="167"/>
      <c r="AI887" s="167"/>
      <c r="AJ887" s="167"/>
      <c r="AK887" s="167"/>
      <c r="AL887" s="167"/>
      <c r="AM887" s="167"/>
      <c r="AN887" s="167"/>
      <c r="AO887" s="167"/>
      <c r="AP887" s="167"/>
      <c r="AQ887" s="167"/>
      <c r="AR887" s="167"/>
      <c r="AS887" s="167"/>
      <c r="AT887" s="167"/>
      <c r="AU887" s="167"/>
      <c r="AV887" s="167"/>
      <c r="AW887" s="167"/>
      <c r="AX887" s="167"/>
    </row>
    <row r="888" spans="1:250" s="265" customFormat="1" ht="18" customHeight="1">
      <c r="A888" s="195"/>
      <c r="B888" s="195"/>
      <c r="C888" s="195"/>
      <c r="D888" s="195"/>
      <c r="E888" s="195"/>
      <c r="F888" s="195"/>
      <c r="G888" s="195"/>
      <c r="H888" s="195"/>
      <c r="I888" s="195"/>
      <c r="J888" s="195"/>
      <c r="R888" s="264"/>
      <c r="S888" s="264"/>
      <c r="T888" s="264"/>
      <c r="U888" s="264"/>
      <c r="V888" s="264"/>
      <c r="W888" s="167"/>
      <c r="X888" s="167"/>
      <c r="Y888" s="167"/>
      <c r="Z888" s="167"/>
      <c r="AA888" s="167"/>
      <c r="AB888" s="167"/>
      <c r="AC888" s="167"/>
      <c r="AD888" s="167"/>
      <c r="AE888" s="167"/>
      <c r="AF888" s="167"/>
      <c r="AG888" s="167"/>
      <c r="AH888" s="167"/>
      <c r="AI888" s="167"/>
      <c r="AJ888" s="167"/>
      <c r="AK888" s="167"/>
      <c r="AL888" s="167"/>
      <c r="AM888" s="167"/>
      <c r="AN888" s="167"/>
      <c r="AO888" s="167"/>
      <c r="AP888" s="167"/>
      <c r="AQ888" s="167"/>
      <c r="AR888" s="167"/>
      <c r="AS888" s="167"/>
      <c r="AT888" s="167"/>
      <c r="AU888" s="167"/>
      <c r="AV888" s="167"/>
      <c r="AW888" s="167"/>
      <c r="AX888" s="167"/>
    </row>
    <row r="889" spans="1:250" s="265" customFormat="1" ht="18" customHeight="1">
      <c r="A889" s="195" t="s">
        <v>183</v>
      </c>
      <c r="B889" s="195"/>
      <c r="C889" s="195"/>
      <c r="D889" s="195"/>
      <c r="E889" s="195"/>
      <c r="F889" s="195"/>
      <c r="G889" s="195"/>
      <c r="H889" s="195"/>
      <c r="I889" s="195"/>
      <c r="J889" s="195"/>
      <c r="R889" s="264"/>
      <c r="S889" s="264"/>
      <c r="T889" s="264"/>
      <c r="U889" s="264"/>
      <c r="V889" s="264"/>
      <c r="W889" s="167"/>
      <c r="X889" s="167"/>
      <c r="Y889" s="167"/>
      <c r="Z889" s="167"/>
      <c r="AA889" s="167"/>
      <c r="AB889" s="167"/>
      <c r="AC889" s="167"/>
      <c r="AD889" s="167"/>
      <c r="AE889" s="167"/>
      <c r="AF889" s="167"/>
      <c r="AG889" s="167"/>
      <c r="AH889" s="167"/>
      <c r="AI889" s="167"/>
      <c r="AJ889" s="167"/>
      <c r="AK889" s="167"/>
      <c r="AL889" s="167"/>
      <c r="AM889" s="167"/>
      <c r="AN889" s="167"/>
      <c r="AO889" s="167"/>
      <c r="AP889" s="167"/>
      <c r="AQ889" s="167"/>
      <c r="AR889" s="167"/>
      <c r="AS889" s="167"/>
      <c r="AT889" s="167"/>
      <c r="AU889" s="167"/>
      <c r="AV889" s="167"/>
      <c r="AW889" s="167"/>
      <c r="AX889" s="167"/>
    </row>
    <row r="890" spans="1:250" s="265" customFormat="1" ht="18" customHeight="1">
      <c r="A890" s="195">
        <v>-1</v>
      </c>
      <c r="B890" s="195"/>
      <c r="C890" s="195"/>
      <c r="D890" s="195"/>
      <c r="E890" s="195"/>
      <c r="F890" s="195"/>
      <c r="G890" s="195"/>
      <c r="H890" s="195"/>
      <c r="I890" s="195"/>
      <c r="J890" s="195"/>
      <c r="R890" s="264"/>
      <c r="S890" s="264"/>
      <c r="T890" s="264"/>
      <c r="U890" s="264"/>
      <c r="V890" s="264"/>
      <c r="W890" s="167"/>
      <c r="X890" s="167"/>
      <c r="Y890" s="167"/>
      <c r="Z890" s="167"/>
      <c r="AA890" s="167"/>
      <c r="AB890" s="167"/>
      <c r="AC890" s="167"/>
      <c r="AD890" s="167"/>
      <c r="AE890" s="167"/>
      <c r="AF890" s="167"/>
      <c r="AG890" s="167"/>
      <c r="AH890" s="167"/>
      <c r="AI890" s="167"/>
      <c r="AJ890" s="167"/>
      <c r="AK890" s="167"/>
      <c r="AL890" s="167"/>
      <c r="AM890" s="167"/>
      <c r="AN890" s="167"/>
      <c r="AO890" s="167"/>
      <c r="AP890" s="167"/>
      <c r="AQ890" s="167"/>
      <c r="AR890" s="167"/>
      <c r="AS890" s="167"/>
      <c r="AT890" s="167"/>
      <c r="AU890" s="167"/>
      <c r="AV890" s="167"/>
      <c r="AW890" s="167"/>
      <c r="AX890" s="167"/>
    </row>
    <row r="891" spans="1:250" s="265" customFormat="1" ht="18" customHeight="1">
      <c r="A891" s="195"/>
      <c r="B891" s="195"/>
      <c r="C891" s="195"/>
      <c r="D891" s="195"/>
      <c r="E891" s="195"/>
      <c r="F891" s="195"/>
      <c r="G891" s="195"/>
      <c r="H891" s="195"/>
      <c r="I891" s="195"/>
      <c r="J891" s="195"/>
      <c r="R891" s="264"/>
      <c r="S891" s="264"/>
      <c r="T891" s="264"/>
      <c r="U891" s="264"/>
      <c r="V891" s="264"/>
      <c r="W891" s="167"/>
      <c r="X891" s="167"/>
      <c r="Y891" s="167"/>
      <c r="Z891" s="167"/>
      <c r="AA891" s="167"/>
      <c r="AB891" s="167"/>
      <c r="AC891" s="167"/>
      <c r="AD891" s="167"/>
      <c r="AE891" s="167"/>
      <c r="AF891" s="167"/>
      <c r="AG891" s="167"/>
      <c r="AH891" s="167"/>
      <c r="AI891" s="167"/>
      <c r="AJ891" s="167"/>
      <c r="AK891" s="167"/>
      <c r="AL891" s="167"/>
      <c r="AM891" s="167"/>
      <c r="AN891" s="167"/>
      <c r="AO891" s="167"/>
      <c r="AP891" s="167"/>
      <c r="AQ891" s="167"/>
      <c r="AR891" s="167"/>
      <c r="AS891" s="167"/>
      <c r="AT891" s="167"/>
      <c r="AU891" s="167"/>
      <c r="AV891" s="167"/>
      <c r="AW891" s="167"/>
      <c r="AX891" s="167"/>
    </row>
    <row r="892" spans="1:250" s="265" customFormat="1" ht="18" customHeight="1">
      <c r="A892" s="195"/>
      <c r="B892" s="195"/>
      <c r="C892" s="195"/>
      <c r="D892" s="195"/>
      <c r="E892" s="195"/>
      <c r="F892" s="195"/>
      <c r="G892" s="195"/>
      <c r="H892" s="195"/>
      <c r="I892" s="195"/>
      <c r="J892" s="195"/>
      <c r="R892" s="264"/>
      <c r="S892" s="264"/>
      <c r="T892" s="264"/>
      <c r="U892" s="264"/>
      <c r="V892" s="264"/>
      <c r="W892" s="167"/>
      <c r="X892" s="167"/>
      <c r="Y892" s="167"/>
      <c r="Z892" s="167"/>
      <c r="AA892" s="167"/>
      <c r="AB892" s="167"/>
      <c r="AC892" s="167"/>
      <c r="AD892" s="167"/>
      <c r="AE892" s="167"/>
      <c r="AF892" s="167"/>
      <c r="AG892" s="167"/>
      <c r="AH892" s="167"/>
      <c r="AI892" s="167"/>
      <c r="AJ892" s="167"/>
      <c r="AK892" s="167"/>
      <c r="AL892" s="167"/>
      <c r="AM892" s="167"/>
      <c r="AN892" s="167"/>
      <c r="AO892" s="167"/>
      <c r="AP892" s="167"/>
      <c r="AQ892" s="167"/>
      <c r="AR892" s="167"/>
      <c r="AS892" s="167"/>
      <c r="AT892" s="167"/>
      <c r="AU892" s="167"/>
      <c r="AV892" s="167"/>
      <c r="AW892" s="167"/>
      <c r="AX892" s="167"/>
    </row>
    <row r="893" spans="1:250" s="275" customFormat="1" ht="18" customHeight="1">
      <c r="A893" s="195"/>
      <c r="B893" s="195"/>
      <c r="C893" s="195"/>
      <c r="D893" s="195"/>
      <c r="E893" s="195"/>
      <c r="F893" s="195"/>
      <c r="G893" s="195"/>
      <c r="H893" s="195"/>
      <c r="I893" s="195"/>
      <c r="J893" s="195"/>
      <c r="K893" s="265"/>
      <c r="L893" s="265"/>
      <c r="M893" s="265"/>
      <c r="N893" s="265"/>
      <c r="O893" s="265"/>
      <c r="P893" s="265"/>
      <c r="Q893" s="265"/>
      <c r="R893" s="302"/>
      <c r="S893" s="302"/>
      <c r="T893" s="302"/>
      <c r="U893" s="302"/>
      <c r="V893" s="302"/>
      <c r="W893" s="302"/>
      <c r="X893" s="302"/>
      <c r="Y893" s="302"/>
      <c r="Z893" s="302"/>
      <c r="AA893" s="302"/>
      <c r="AB893" s="302"/>
      <c r="AC893" s="302"/>
      <c r="AD893" s="302"/>
      <c r="AE893" s="302"/>
      <c r="AF893" s="302"/>
      <c r="AG893" s="302"/>
      <c r="AH893" s="274"/>
      <c r="AI893" s="274"/>
      <c r="AJ893" s="274"/>
      <c r="AK893" s="274"/>
      <c r="AL893" s="274"/>
      <c r="AM893" s="274"/>
      <c r="AN893" s="274"/>
      <c r="AO893" s="274"/>
      <c r="AP893" s="274"/>
      <c r="AQ893" s="274"/>
      <c r="AR893" s="274"/>
      <c r="AS893" s="274"/>
      <c r="AT893" s="274"/>
      <c r="AU893" s="274"/>
      <c r="AV893" s="274"/>
      <c r="AW893" s="274"/>
      <c r="AX893" s="274"/>
    </row>
    <row r="894" spans="1:250" s="281" customFormat="1" ht="18" customHeight="1">
      <c r="A894" s="312"/>
      <c r="B894" s="312"/>
      <c r="C894" s="312"/>
      <c r="D894" s="312"/>
      <c r="E894" s="312"/>
      <c r="F894" s="312"/>
      <c r="G894" s="312"/>
      <c r="H894" s="312"/>
      <c r="I894" s="312"/>
      <c r="J894" s="312"/>
      <c r="K894" s="275"/>
      <c r="L894" s="275"/>
      <c r="M894" s="275"/>
      <c r="N894" s="275"/>
      <c r="O894" s="275"/>
      <c r="P894" s="275"/>
      <c r="Q894" s="275"/>
      <c r="R894" s="279"/>
      <c r="S894" s="279"/>
      <c r="T894" s="279"/>
      <c r="U894" s="310"/>
      <c r="V894" s="310"/>
      <c r="W894" s="280"/>
      <c r="X894" s="280"/>
      <c r="Y894" s="280"/>
      <c r="Z894" s="280"/>
      <c r="AA894" s="280"/>
      <c r="AB894" s="280"/>
      <c r="AC894" s="280"/>
      <c r="AD894" s="280"/>
      <c r="AE894" s="280"/>
      <c r="AF894" s="280"/>
      <c r="AG894" s="280"/>
      <c r="AH894" s="280"/>
      <c r="AI894" s="280"/>
      <c r="AJ894" s="280"/>
      <c r="AK894" s="280"/>
      <c r="AL894" s="280"/>
      <c r="AM894" s="280"/>
      <c r="AN894" s="280"/>
      <c r="AO894" s="280"/>
      <c r="AP894" s="280"/>
      <c r="AQ894" s="280"/>
      <c r="AR894" s="280"/>
      <c r="AS894" s="280"/>
      <c r="AT894" s="280"/>
      <c r="AU894" s="280"/>
      <c r="AV894" s="280"/>
      <c r="AW894" s="280"/>
      <c r="AX894" s="280"/>
    </row>
    <row r="895" spans="1:250" s="265" customFormat="1" ht="18" customHeight="1">
      <c r="A895" s="313"/>
      <c r="B895" s="313"/>
      <c r="C895" s="313"/>
      <c r="D895" s="305"/>
      <c r="E895" s="313"/>
      <c r="F895" s="313"/>
      <c r="G895" s="313"/>
      <c r="H895" s="313"/>
      <c r="I895" s="313"/>
      <c r="J895" s="313"/>
      <c r="K895" s="281"/>
      <c r="L895" s="281"/>
      <c r="M895" s="281"/>
      <c r="N895" s="281"/>
      <c r="O895" s="281"/>
      <c r="P895" s="281"/>
      <c r="Q895" s="281"/>
      <c r="R895" s="299"/>
      <c r="S895" s="299"/>
      <c r="T895" s="299"/>
      <c r="U895" s="264"/>
      <c r="V895" s="264"/>
      <c r="W895" s="167"/>
      <c r="X895" s="167"/>
      <c r="Y895" s="167"/>
      <c r="Z895" s="167"/>
      <c r="AA895" s="167"/>
      <c r="AB895" s="167"/>
      <c r="AC895" s="167"/>
      <c r="AD895" s="167"/>
      <c r="AE895" s="167"/>
      <c r="AF895" s="167"/>
      <c r="AG895" s="167"/>
      <c r="AH895" s="167"/>
      <c r="AI895" s="167"/>
      <c r="AJ895" s="167"/>
      <c r="AK895" s="167"/>
      <c r="AL895" s="167"/>
      <c r="AM895" s="167"/>
      <c r="AN895" s="167"/>
      <c r="AO895" s="167"/>
      <c r="AP895" s="167"/>
      <c r="AQ895" s="167"/>
      <c r="AR895" s="167"/>
      <c r="AS895" s="167"/>
      <c r="AT895" s="167"/>
      <c r="AU895" s="167"/>
      <c r="AV895" s="167"/>
      <c r="AW895" s="167"/>
      <c r="AX895" s="167"/>
    </row>
    <row r="896" spans="1:250" s="265" customFormat="1" ht="18" customHeight="1">
      <c r="A896" s="195"/>
      <c r="B896" s="195"/>
      <c r="C896" s="195"/>
      <c r="D896" s="169"/>
      <c r="E896" s="195"/>
      <c r="F896" s="195"/>
      <c r="G896" s="195"/>
      <c r="H896" s="195"/>
      <c r="I896" s="195"/>
      <c r="J896" s="195"/>
      <c r="R896" s="289"/>
      <c r="S896" s="289"/>
      <c r="T896" s="289"/>
      <c r="U896" s="264"/>
      <c r="V896" s="264"/>
      <c r="W896" s="167"/>
      <c r="X896" s="167"/>
      <c r="Y896" s="167"/>
      <c r="Z896" s="167"/>
      <c r="AA896" s="167"/>
      <c r="AB896" s="167"/>
      <c r="AC896" s="167"/>
      <c r="AD896" s="167"/>
      <c r="AE896" s="167"/>
      <c r="AF896" s="167"/>
      <c r="AG896" s="167"/>
      <c r="AH896" s="167"/>
      <c r="AI896" s="167"/>
      <c r="AJ896" s="167"/>
      <c r="AK896" s="167"/>
      <c r="AL896" s="167"/>
      <c r="AM896" s="167"/>
      <c r="AN896" s="167"/>
      <c r="AO896" s="167"/>
      <c r="AP896" s="167"/>
      <c r="AQ896" s="167"/>
      <c r="AR896" s="167"/>
      <c r="AS896" s="167"/>
      <c r="AT896" s="167"/>
      <c r="AU896" s="167"/>
      <c r="AV896" s="167"/>
      <c r="AW896" s="167"/>
      <c r="AX896" s="167"/>
    </row>
    <row r="897" spans="1:157" s="265" customFormat="1" ht="18" customHeight="1">
      <c r="A897" s="195"/>
      <c r="B897" s="195"/>
      <c r="C897" s="195"/>
      <c r="D897" s="169"/>
      <c r="E897" s="195"/>
      <c r="F897" s="195"/>
      <c r="G897" s="195"/>
      <c r="H897" s="195"/>
      <c r="I897" s="195"/>
      <c r="J897" s="195"/>
      <c r="R897" s="289"/>
      <c r="S897" s="289"/>
      <c r="T897" s="289"/>
      <c r="U897" s="264"/>
      <c r="V897" s="264"/>
      <c r="W897" s="167"/>
      <c r="X897" s="167"/>
      <c r="Y897" s="167"/>
      <c r="Z897" s="167"/>
      <c r="AA897" s="167"/>
      <c r="AB897" s="167"/>
      <c r="AC897" s="167"/>
      <c r="AD897" s="167"/>
      <c r="AE897" s="167"/>
      <c r="AF897" s="167"/>
      <c r="AG897" s="167"/>
      <c r="AH897" s="167"/>
      <c r="AI897" s="167"/>
      <c r="AJ897" s="167"/>
      <c r="AK897" s="167"/>
      <c r="AL897" s="167"/>
      <c r="AM897" s="167"/>
      <c r="AN897" s="167"/>
      <c r="AO897" s="167"/>
      <c r="AP897" s="167"/>
      <c r="AQ897" s="167"/>
      <c r="AR897" s="167"/>
      <c r="AS897" s="167"/>
      <c r="AT897" s="167"/>
      <c r="AU897" s="167"/>
      <c r="AV897" s="167"/>
      <c r="AW897" s="167"/>
      <c r="AX897" s="167"/>
    </row>
    <row r="898" spans="1:157" s="265" customFormat="1" ht="18" customHeight="1">
      <c r="A898" s="195"/>
      <c r="B898" s="195"/>
      <c r="C898" s="195"/>
      <c r="D898" s="169"/>
      <c r="E898" s="195"/>
      <c r="F898" s="195"/>
      <c r="G898" s="195"/>
      <c r="H898" s="195"/>
      <c r="I898" s="195"/>
      <c r="J898" s="195"/>
      <c r="R898" s="289"/>
      <c r="S898" s="289"/>
      <c r="T898" s="289"/>
      <c r="U898" s="264"/>
      <c r="V898" s="264"/>
      <c r="W898" s="167"/>
      <c r="X898" s="167"/>
      <c r="Y898" s="167"/>
      <c r="Z898" s="167"/>
      <c r="AA898" s="167"/>
      <c r="AB898" s="167"/>
      <c r="AC898" s="167"/>
      <c r="AD898" s="167"/>
      <c r="AE898" s="167"/>
      <c r="AF898" s="167"/>
      <c r="AG898" s="167"/>
      <c r="AH898" s="167"/>
      <c r="AI898" s="167"/>
      <c r="AJ898" s="167"/>
      <c r="AK898" s="167"/>
      <c r="AL898" s="167"/>
      <c r="AM898" s="167"/>
      <c r="AN898" s="167"/>
      <c r="AO898" s="167"/>
      <c r="AP898" s="167"/>
      <c r="AQ898" s="167"/>
      <c r="AR898" s="167"/>
      <c r="AS898" s="167"/>
      <c r="AT898" s="167"/>
      <c r="AU898" s="167"/>
      <c r="AV898" s="167"/>
      <c r="AW898" s="167"/>
      <c r="AX898" s="167"/>
    </row>
    <row r="899" spans="1:157" s="274" customFormat="1" ht="18" customHeight="1">
      <c r="A899" s="270">
        <f>A869+1</f>
        <v>30</v>
      </c>
      <c r="B899" s="271"/>
      <c r="C899" s="272" t="str">
        <f>IF($A$1 = 1, (IF("("&amp;C909&amp;")" ="()","","("&amp;C909&amp;")")), (IF("("&amp;C914&amp;")    ("&amp;C909&amp;")"="()    ()","","("&amp;C914&amp;")    ("&amp;C909&amp;")")))</f>
        <v/>
      </c>
      <c r="D899" s="272" t="str">
        <f t="shared" ref="D899:J899" si="87">IF($A$1 = 1, (IF("("&amp;D909&amp;")" ="()","","("&amp;D909&amp;")")), (IF("("&amp;D914&amp;")    ("&amp;D909&amp;")"="()    ()","","("&amp;D914&amp;")    ("&amp;D909&amp;")")))</f>
        <v/>
      </c>
      <c r="E899" s="272" t="str">
        <f t="shared" si="87"/>
        <v/>
      </c>
      <c r="F899" s="272" t="str">
        <f t="shared" si="87"/>
        <v/>
      </c>
      <c r="G899" s="272" t="str">
        <f t="shared" si="87"/>
        <v/>
      </c>
      <c r="H899" s="272" t="str">
        <f t="shared" si="87"/>
        <v/>
      </c>
      <c r="I899" s="272" t="str">
        <f t="shared" si="87"/>
        <v/>
      </c>
      <c r="J899" s="272" t="str">
        <f t="shared" si="87"/>
        <v/>
      </c>
      <c r="K899" s="273"/>
      <c r="L899" s="273"/>
      <c r="M899" s="273"/>
      <c r="N899" s="273"/>
      <c r="O899" s="273"/>
      <c r="P899" s="273"/>
      <c r="Q899" s="273"/>
      <c r="AI899" s="275"/>
      <c r="AJ899" s="275"/>
      <c r="AK899" s="275"/>
      <c r="AL899" s="275"/>
      <c r="AM899" s="275"/>
      <c r="AN899" s="275"/>
      <c r="AO899" s="275"/>
      <c r="AP899" s="275"/>
      <c r="AQ899" s="275"/>
      <c r="AR899" s="275"/>
      <c r="AS899" s="275"/>
      <c r="AT899" s="275"/>
      <c r="AU899" s="275"/>
      <c r="AV899" s="275"/>
      <c r="AW899" s="275"/>
      <c r="AX899" s="275"/>
      <c r="AY899" s="275"/>
      <c r="AZ899" s="275"/>
      <c r="BA899" s="275"/>
      <c r="BB899" s="275"/>
      <c r="BC899" s="275"/>
    </row>
    <row r="900" spans="1:157" s="280" customFormat="1" ht="59.1" customHeight="1">
      <c r="A900" s="276"/>
      <c r="B900" s="277"/>
      <c r="C900" s="278"/>
      <c r="D900" s="278"/>
      <c r="E900" s="278"/>
      <c r="F900" s="278"/>
      <c r="G900" s="278"/>
      <c r="H900" s="278"/>
      <c r="I900" s="278"/>
      <c r="J900" s="278"/>
      <c r="W900" s="280" t="s">
        <v>210</v>
      </c>
      <c r="X900" s="280" t="s">
        <v>409</v>
      </c>
      <c r="Y900" s="280" t="s">
        <v>410</v>
      </c>
      <c r="AA900" s="280" t="s">
        <v>407</v>
      </c>
      <c r="AB900" s="280" t="s">
        <v>408</v>
      </c>
      <c r="AC900" s="280" t="s">
        <v>408</v>
      </c>
      <c r="AD900" s="280" t="s">
        <v>210</v>
      </c>
      <c r="AE900" s="280" t="s">
        <v>409</v>
      </c>
      <c r="AF900" s="280" t="s">
        <v>410</v>
      </c>
      <c r="AG900" s="280" t="s">
        <v>479</v>
      </c>
      <c r="AI900" s="280" t="s">
        <v>407</v>
      </c>
      <c r="AJ900" s="280" t="s">
        <v>408</v>
      </c>
      <c r="AK900" s="280" t="s">
        <v>210</v>
      </c>
      <c r="AL900" s="280" t="s">
        <v>408</v>
      </c>
      <c r="AM900" s="280" t="s">
        <v>210</v>
      </c>
      <c r="AN900" s="280" t="s">
        <v>409</v>
      </c>
      <c r="AO900" s="280" t="s">
        <v>410</v>
      </c>
      <c r="AQ900" s="280" t="s">
        <v>407</v>
      </c>
      <c r="AR900" s="280" t="s">
        <v>408</v>
      </c>
      <c r="AS900" s="280" t="s">
        <v>210</v>
      </c>
      <c r="AT900" s="280" t="s">
        <v>408</v>
      </c>
      <c r="AU900" s="280" t="s">
        <v>210</v>
      </c>
      <c r="AV900" s="280" t="s">
        <v>409</v>
      </c>
      <c r="AW900" s="280" t="s">
        <v>410</v>
      </c>
      <c r="AY900" s="280" t="s">
        <v>407</v>
      </c>
      <c r="AZ900" s="280" t="s">
        <v>408</v>
      </c>
      <c r="BA900" s="280" t="s">
        <v>408</v>
      </c>
      <c r="BB900" s="280" t="s">
        <v>210</v>
      </c>
      <c r="BC900" s="280" t="s">
        <v>409</v>
      </c>
      <c r="BD900" s="280" t="s">
        <v>410</v>
      </c>
      <c r="BE900" s="280" t="s">
        <v>479</v>
      </c>
    </row>
    <row r="901" spans="1:157" s="167" customFormat="1" ht="21.95" customHeight="1">
      <c r="A901" s="266"/>
      <c r="B901" s="282" t="s">
        <v>3</v>
      </c>
      <c r="C901" s="283"/>
      <c r="D901" s="283"/>
      <c r="E901" s="283"/>
      <c r="F901" s="283"/>
      <c r="G901" s="283"/>
      <c r="H901" s="283"/>
      <c r="I901" s="283"/>
      <c r="J901" s="283"/>
      <c r="W901" s="167">
        <v>73</v>
      </c>
      <c r="X901" s="167">
        <v>76</v>
      </c>
      <c r="Y901" s="167">
        <v>78</v>
      </c>
      <c r="Z901" s="167">
        <v>0</v>
      </c>
      <c r="AA901" s="167">
        <v>79</v>
      </c>
      <c r="AB901" s="167">
        <v>69</v>
      </c>
      <c r="AC901" s="167">
        <v>69</v>
      </c>
      <c r="AD901" s="167">
        <v>73</v>
      </c>
      <c r="AE901" s="167">
        <v>76</v>
      </c>
      <c r="AF901" s="167">
        <v>78</v>
      </c>
      <c r="AG901" s="167">
        <v>68</v>
      </c>
      <c r="AH901" s="167">
        <v>0</v>
      </c>
      <c r="AI901" s="167">
        <v>79</v>
      </c>
      <c r="AJ901" s="167">
        <v>69</v>
      </c>
      <c r="AK901" s="167">
        <v>73</v>
      </c>
      <c r="AL901" s="167">
        <v>69</v>
      </c>
      <c r="AM901" s="167">
        <v>73</v>
      </c>
      <c r="AN901" s="167">
        <v>76</v>
      </c>
      <c r="AO901" s="167">
        <v>78</v>
      </c>
      <c r="AP901" s="167">
        <v>0</v>
      </c>
      <c r="AQ901" s="167">
        <v>79</v>
      </c>
      <c r="AR901" s="167">
        <v>69</v>
      </c>
      <c r="AS901" s="167">
        <v>73</v>
      </c>
      <c r="AT901" s="167">
        <v>69</v>
      </c>
      <c r="AU901" s="167">
        <v>73</v>
      </c>
      <c r="AV901" s="167">
        <v>76</v>
      </c>
      <c r="AW901" s="167">
        <v>78</v>
      </c>
      <c r="AX901" s="167">
        <v>0</v>
      </c>
      <c r="AY901" s="167">
        <v>79</v>
      </c>
      <c r="AZ901" s="167">
        <v>69</v>
      </c>
      <c r="BA901" s="167">
        <v>69</v>
      </c>
      <c r="BB901" s="167">
        <v>73</v>
      </c>
      <c r="BC901" s="167">
        <v>76</v>
      </c>
      <c r="BD901" s="167">
        <v>78</v>
      </c>
      <c r="BE901" s="167">
        <v>68</v>
      </c>
    </row>
    <row r="902" spans="1:157" s="167" customFormat="1" ht="21.95" customHeight="1">
      <c r="A902" s="266"/>
      <c r="B902" s="285" t="s">
        <v>18</v>
      </c>
      <c r="C902" s="283"/>
      <c r="D902" s="283"/>
      <c r="E902" s="283"/>
      <c r="F902" s="283"/>
      <c r="G902" s="283"/>
      <c r="H902" s="283"/>
      <c r="I902" s="283"/>
      <c r="J902" s="283"/>
      <c r="W902" s="167">
        <v>66</v>
      </c>
      <c r="X902" s="167">
        <v>70</v>
      </c>
      <c r="Y902" s="167">
        <v>71</v>
      </c>
      <c r="Z902" s="167">
        <v>0</v>
      </c>
      <c r="AA902" s="167">
        <v>68</v>
      </c>
      <c r="AB902" s="167">
        <v>62</v>
      </c>
      <c r="AC902" s="167">
        <v>62</v>
      </c>
      <c r="AD902" s="167">
        <v>66</v>
      </c>
      <c r="AE902" s="167">
        <v>70</v>
      </c>
      <c r="AF902" s="167">
        <v>71</v>
      </c>
      <c r="AG902" s="167">
        <v>55</v>
      </c>
      <c r="AH902" s="167">
        <v>0</v>
      </c>
      <c r="AI902" s="167">
        <v>68</v>
      </c>
      <c r="AJ902" s="167">
        <v>62</v>
      </c>
      <c r="AK902" s="167">
        <v>66</v>
      </c>
      <c r="AL902" s="167">
        <v>62</v>
      </c>
      <c r="AM902" s="167">
        <v>66</v>
      </c>
      <c r="AN902" s="167">
        <v>70</v>
      </c>
      <c r="AO902" s="167">
        <v>71</v>
      </c>
      <c r="AP902" s="167">
        <v>0</v>
      </c>
      <c r="AQ902" s="167">
        <v>68</v>
      </c>
      <c r="AR902" s="167">
        <v>62</v>
      </c>
      <c r="AS902" s="167">
        <v>66</v>
      </c>
      <c r="AT902" s="167">
        <v>62</v>
      </c>
      <c r="AU902" s="167">
        <v>66</v>
      </c>
      <c r="AV902" s="167">
        <v>70</v>
      </c>
      <c r="AW902" s="167">
        <v>71</v>
      </c>
      <c r="AX902" s="167">
        <v>0</v>
      </c>
      <c r="AY902" s="167">
        <v>68</v>
      </c>
      <c r="AZ902" s="167">
        <v>62</v>
      </c>
      <c r="BA902" s="167">
        <v>62</v>
      </c>
      <c r="BB902" s="167">
        <v>66</v>
      </c>
      <c r="BC902" s="167">
        <v>70</v>
      </c>
      <c r="BD902" s="167">
        <v>71</v>
      </c>
      <c r="BE902" s="167">
        <v>55</v>
      </c>
    </row>
    <row r="903" spans="1:157" s="167" customFormat="1" ht="21.95" customHeight="1">
      <c r="A903" s="169"/>
      <c r="B903" s="287" t="s">
        <v>32</v>
      </c>
      <c r="C903" s="283"/>
      <c r="D903" s="283"/>
      <c r="E903" s="283"/>
      <c r="F903" s="283"/>
      <c r="G903" s="283"/>
      <c r="H903" s="283"/>
      <c r="I903" s="283"/>
      <c r="J903" s="283"/>
      <c r="W903" s="167">
        <v>67</v>
      </c>
      <c r="X903" s="167">
        <v>69</v>
      </c>
      <c r="Y903" s="167">
        <v>69</v>
      </c>
      <c r="Z903" s="167">
        <v>0</v>
      </c>
      <c r="AA903" s="167">
        <v>69</v>
      </c>
      <c r="AB903" s="167">
        <v>63</v>
      </c>
      <c r="AC903" s="167">
        <v>63</v>
      </c>
      <c r="AD903" s="167">
        <v>67</v>
      </c>
      <c r="AE903" s="167">
        <v>69</v>
      </c>
      <c r="AF903" s="167">
        <v>69</v>
      </c>
      <c r="AG903" s="167">
        <v>63</v>
      </c>
      <c r="AH903" s="167">
        <v>0</v>
      </c>
      <c r="AI903" s="167">
        <v>69</v>
      </c>
      <c r="AJ903" s="167">
        <v>63</v>
      </c>
      <c r="AK903" s="167">
        <v>67</v>
      </c>
      <c r="AL903" s="167">
        <v>63</v>
      </c>
      <c r="AM903" s="167">
        <v>67</v>
      </c>
      <c r="AN903" s="167">
        <v>69</v>
      </c>
      <c r="AO903" s="167">
        <v>69</v>
      </c>
      <c r="AP903" s="167">
        <v>0</v>
      </c>
      <c r="AQ903" s="167">
        <v>69</v>
      </c>
      <c r="AR903" s="167">
        <v>63</v>
      </c>
      <c r="AS903" s="167">
        <v>67</v>
      </c>
      <c r="AT903" s="167">
        <v>63</v>
      </c>
      <c r="AU903" s="167">
        <v>67</v>
      </c>
      <c r="AV903" s="167">
        <v>69</v>
      </c>
      <c r="AW903" s="167">
        <v>69</v>
      </c>
      <c r="AX903" s="167">
        <v>0</v>
      </c>
      <c r="AY903" s="167">
        <v>69</v>
      </c>
      <c r="AZ903" s="167">
        <v>63</v>
      </c>
      <c r="BA903" s="167">
        <v>63</v>
      </c>
      <c r="BB903" s="167">
        <v>67</v>
      </c>
      <c r="BC903" s="167">
        <v>69</v>
      </c>
      <c r="BD903" s="167">
        <v>69</v>
      </c>
      <c r="BE903" s="167">
        <v>63</v>
      </c>
    </row>
    <row r="904" spans="1:157" s="167" customFormat="1" ht="21.95" customHeight="1">
      <c r="A904" s="169"/>
      <c r="B904" s="288" t="s">
        <v>45</v>
      </c>
      <c r="C904" s="283"/>
      <c r="D904" s="283"/>
      <c r="E904" s="283"/>
      <c r="F904" s="283"/>
      <c r="G904" s="283"/>
      <c r="H904" s="283"/>
      <c r="I904" s="283"/>
      <c r="J904" s="283"/>
      <c r="W904" s="167">
        <v>71</v>
      </c>
      <c r="X904" s="167">
        <v>77</v>
      </c>
      <c r="Y904" s="167">
        <v>76</v>
      </c>
      <c r="Z904" s="167">
        <v>0</v>
      </c>
      <c r="AA904" s="167">
        <v>72</v>
      </c>
      <c r="AB904" s="167">
        <v>67</v>
      </c>
      <c r="AC904" s="167">
        <v>67</v>
      </c>
      <c r="AD904" s="167">
        <v>71</v>
      </c>
      <c r="AE904" s="167">
        <v>77</v>
      </c>
      <c r="AF904" s="167">
        <v>76</v>
      </c>
      <c r="AG904" s="167">
        <v>55</v>
      </c>
      <c r="AH904" s="167">
        <v>0</v>
      </c>
      <c r="AI904" s="167">
        <v>72</v>
      </c>
      <c r="AJ904" s="167">
        <v>67</v>
      </c>
      <c r="AK904" s="167">
        <v>71</v>
      </c>
      <c r="AL904" s="167">
        <v>67</v>
      </c>
      <c r="AM904" s="167">
        <v>71</v>
      </c>
      <c r="AN904" s="167">
        <v>77</v>
      </c>
      <c r="AO904" s="167">
        <v>76</v>
      </c>
      <c r="AP904" s="167">
        <v>0</v>
      </c>
      <c r="AQ904" s="167">
        <v>72</v>
      </c>
      <c r="AR904" s="167">
        <v>67</v>
      </c>
      <c r="AS904" s="167">
        <v>71</v>
      </c>
      <c r="AT904" s="167">
        <v>67</v>
      </c>
      <c r="AU904" s="167">
        <v>71</v>
      </c>
      <c r="AV904" s="167">
        <v>77</v>
      </c>
      <c r="AW904" s="167">
        <v>76</v>
      </c>
      <c r="AX904" s="167">
        <v>0</v>
      </c>
      <c r="AY904" s="167">
        <v>72</v>
      </c>
      <c r="AZ904" s="167">
        <v>67</v>
      </c>
      <c r="BA904" s="167">
        <v>67</v>
      </c>
      <c r="BB904" s="167">
        <v>71</v>
      </c>
      <c r="BC904" s="167">
        <v>77</v>
      </c>
      <c r="BD904" s="167">
        <v>76</v>
      </c>
      <c r="BE904" s="167">
        <v>55</v>
      </c>
    </row>
    <row r="905" spans="1:157" s="167" customFormat="1" ht="21.95" customHeight="1">
      <c r="A905" s="169"/>
      <c r="B905" s="290" t="s">
        <v>54</v>
      </c>
      <c r="C905" s="283"/>
      <c r="D905" s="283"/>
      <c r="E905" s="283"/>
      <c r="F905" s="283"/>
      <c r="G905" s="283"/>
      <c r="H905" s="283"/>
      <c r="I905" s="283"/>
      <c r="J905" s="283"/>
      <c r="W905" s="167">
        <v>71</v>
      </c>
      <c r="X905" s="167">
        <v>73</v>
      </c>
      <c r="Y905" s="167">
        <v>75</v>
      </c>
      <c r="Z905" s="167">
        <v>0</v>
      </c>
      <c r="AA905" s="167">
        <v>76</v>
      </c>
      <c r="AB905" s="167">
        <v>68</v>
      </c>
      <c r="AC905" s="167">
        <v>68</v>
      </c>
      <c r="AD905" s="167">
        <v>71</v>
      </c>
      <c r="AE905" s="167">
        <v>73</v>
      </c>
      <c r="AF905" s="167">
        <v>75</v>
      </c>
      <c r="AG905" s="167">
        <v>61</v>
      </c>
      <c r="AH905" s="167">
        <v>0</v>
      </c>
      <c r="AI905" s="167">
        <v>76</v>
      </c>
      <c r="AJ905" s="167">
        <v>68</v>
      </c>
      <c r="AK905" s="167">
        <v>71</v>
      </c>
      <c r="AL905" s="167">
        <v>68</v>
      </c>
      <c r="AM905" s="167">
        <v>71</v>
      </c>
      <c r="AN905" s="167">
        <v>73</v>
      </c>
      <c r="AO905" s="167">
        <v>75</v>
      </c>
      <c r="AP905" s="167">
        <v>0</v>
      </c>
      <c r="AQ905" s="167">
        <v>76</v>
      </c>
      <c r="AR905" s="167">
        <v>68</v>
      </c>
      <c r="AS905" s="167">
        <v>71</v>
      </c>
      <c r="AT905" s="167">
        <v>68</v>
      </c>
      <c r="AU905" s="167">
        <v>71</v>
      </c>
      <c r="AV905" s="167">
        <v>73</v>
      </c>
      <c r="AW905" s="167">
        <v>75</v>
      </c>
      <c r="AX905" s="167">
        <v>0</v>
      </c>
      <c r="AY905" s="167">
        <v>76</v>
      </c>
      <c r="AZ905" s="167">
        <v>68</v>
      </c>
      <c r="BA905" s="167">
        <v>68</v>
      </c>
      <c r="BB905" s="167">
        <v>71</v>
      </c>
      <c r="BC905" s="167">
        <v>73</v>
      </c>
      <c r="BD905" s="167">
        <v>75</v>
      </c>
      <c r="BE905" s="167">
        <v>61</v>
      </c>
    </row>
    <row r="906" spans="1:157" s="167" customFormat="1">
      <c r="A906" s="169"/>
      <c r="B906" s="291" t="s">
        <v>66</v>
      </c>
      <c r="C906" s="286"/>
      <c r="D906" s="286"/>
      <c r="E906" s="286"/>
      <c r="F906" s="286"/>
      <c r="G906" s="286"/>
      <c r="H906" s="286"/>
      <c r="I906" s="286"/>
      <c r="J906" s="286"/>
      <c r="W906" s="167">
        <v>72</v>
      </c>
      <c r="X906" s="167">
        <v>78</v>
      </c>
      <c r="Y906" s="167">
        <v>79</v>
      </c>
      <c r="Z906" s="167">
        <v>0</v>
      </c>
      <c r="AA906" s="167">
        <v>72</v>
      </c>
      <c r="AB906" s="167">
        <v>68</v>
      </c>
      <c r="AC906" s="167">
        <v>68</v>
      </c>
      <c r="AD906" s="167">
        <v>72</v>
      </c>
      <c r="AE906" s="167">
        <v>78</v>
      </c>
      <c r="AF906" s="167">
        <v>79</v>
      </c>
      <c r="AG906" s="167">
        <v>56</v>
      </c>
      <c r="AH906" s="167">
        <v>0</v>
      </c>
      <c r="AI906" s="167">
        <v>72</v>
      </c>
      <c r="AJ906" s="167">
        <v>68</v>
      </c>
      <c r="AK906" s="167">
        <v>72</v>
      </c>
      <c r="AL906" s="167">
        <v>68</v>
      </c>
      <c r="AM906" s="167">
        <v>72</v>
      </c>
      <c r="AN906" s="167">
        <v>78</v>
      </c>
      <c r="AO906" s="167">
        <v>79</v>
      </c>
      <c r="AP906" s="167">
        <v>0</v>
      </c>
      <c r="AQ906" s="167">
        <v>72</v>
      </c>
      <c r="AR906" s="167">
        <v>68</v>
      </c>
      <c r="AS906" s="167">
        <v>72</v>
      </c>
      <c r="AT906" s="167">
        <v>68</v>
      </c>
      <c r="AU906" s="167">
        <v>72</v>
      </c>
      <c r="AV906" s="167">
        <v>78</v>
      </c>
      <c r="AW906" s="167">
        <v>79</v>
      </c>
      <c r="AX906" s="167">
        <v>0</v>
      </c>
      <c r="AY906" s="167">
        <v>72</v>
      </c>
      <c r="AZ906" s="167">
        <v>68</v>
      </c>
      <c r="BA906" s="167">
        <v>68</v>
      </c>
      <c r="BB906" s="167">
        <v>72</v>
      </c>
      <c r="BC906" s="167">
        <v>78</v>
      </c>
      <c r="BD906" s="167">
        <v>79</v>
      </c>
      <c r="BE906" s="167">
        <v>56</v>
      </c>
    </row>
    <row r="907" spans="1:157" s="167" customFormat="1">
      <c r="A907" s="169"/>
      <c r="B907" s="291" t="s">
        <v>158</v>
      </c>
      <c r="C907" s="292"/>
      <c r="D907" s="292"/>
      <c r="E907" s="292"/>
      <c r="F907" s="292"/>
      <c r="G907" s="292"/>
      <c r="H907" s="292"/>
      <c r="I907" s="292"/>
      <c r="J907" s="292"/>
      <c r="W907" s="167">
        <v>70</v>
      </c>
      <c r="X907" s="167">
        <v>73</v>
      </c>
      <c r="Y907" s="167">
        <v>74</v>
      </c>
      <c r="Z907" s="167">
        <v>0</v>
      </c>
      <c r="AA907" s="167">
        <v>73</v>
      </c>
      <c r="AB907" s="167">
        <v>66</v>
      </c>
      <c r="AC907" s="167">
        <v>66</v>
      </c>
      <c r="AD907" s="167">
        <v>70</v>
      </c>
      <c r="AE907" s="167">
        <v>73</v>
      </c>
      <c r="AF907" s="167">
        <v>74</v>
      </c>
      <c r="AG907" s="167">
        <v>61</v>
      </c>
      <c r="AH907" s="167">
        <v>0</v>
      </c>
      <c r="AI907" s="167">
        <v>73</v>
      </c>
      <c r="AJ907" s="167">
        <v>66</v>
      </c>
      <c r="AK907" s="167">
        <v>70</v>
      </c>
      <c r="AL907" s="167">
        <v>66</v>
      </c>
      <c r="AM907" s="167">
        <v>70</v>
      </c>
      <c r="AN907" s="167">
        <v>73</v>
      </c>
      <c r="AO907" s="167">
        <v>74</v>
      </c>
      <c r="AP907" s="167">
        <v>0</v>
      </c>
      <c r="AQ907" s="167">
        <v>73</v>
      </c>
      <c r="AR907" s="167">
        <v>66</v>
      </c>
      <c r="AS907" s="167">
        <v>70</v>
      </c>
      <c r="AT907" s="167">
        <v>66</v>
      </c>
      <c r="AU907" s="167">
        <v>70</v>
      </c>
      <c r="AV907" s="167">
        <v>73</v>
      </c>
      <c r="AW907" s="167">
        <v>74</v>
      </c>
      <c r="AX907" s="167">
        <v>0</v>
      </c>
      <c r="AY907" s="167">
        <v>73</v>
      </c>
      <c r="AZ907" s="167">
        <v>66</v>
      </c>
      <c r="BA907" s="167">
        <v>66</v>
      </c>
      <c r="BB907" s="167">
        <v>70</v>
      </c>
      <c r="BC907" s="167">
        <v>73</v>
      </c>
      <c r="BD907" s="167">
        <v>74</v>
      </c>
      <c r="BE907" s="167">
        <v>61</v>
      </c>
    </row>
    <row r="908" spans="1:157" s="167" customFormat="1">
      <c r="A908" s="169"/>
      <c r="B908" s="291" t="s">
        <v>189</v>
      </c>
      <c r="C908" s="292"/>
      <c r="D908" s="292"/>
      <c r="E908" s="292"/>
      <c r="F908" s="292"/>
      <c r="G908" s="292"/>
      <c r="H908" s="292"/>
      <c r="I908" s="292"/>
      <c r="J908" s="292"/>
      <c r="W908" s="167">
        <v>68</v>
      </c>
      <c r="X908" s="167">
        <v>68</v>
      </c>
      <c r="Y908" s="167">
        <v>68</v>
      </c>
      <c r="Z908" s="167">
        <v>68</v>
      </c>
      <c r="AA908" s="167">
        <v>68</v>
      </c>
      <c r="AB908" s="167">
        <v>68</v>
      </c>
      <c r="AC908" s="167">
        <v>68</v>
      </c>
      <c r="AD908" s="167">
        <v>68</v>
      </c>
      <c r="AE908" s="167">
        <v>68</v>
      </c>
      <c r="AF908" s="167">
        <v>68</v>
      </c>
      <c r="AG908" s="167">
        <v>68</v>
      </c>
      <c r="AH908" s="167">
        <v>68</v>
      </c>
      <c r="AI908" s="167">
        <v>68</v>
      </c>
      <c r="AJ908" s="167">
        <v>68</v>
      </c>
      <c r="AK908" s="167">
        <v>68</v>
      </c>
      <c r="AL908" s="167">
        <v>68</v>
      </c>
      <c r="AM908" s="167">
        <v>68</v>
      </c>
      <c r="AN908" s="167">
        <v>68</v>
      </c>
      <c r="AO908" s="167">
        <v>68</v>
      </c>
      <c r="AP908" s="167">
        <v>68</v>
      </c>
      <c r="AQ908" s="167">
        <v>68</v>
      </c>
      <c r="AR908" s="167">
        <v>68</v>
      </c>
      <c r="AS908" s="167">
        <v>68</v>
      </c>
      <c r="AT908" s="167">
        <v>68</v>
      </c>
      <c r="AU908" s="167">
        <v>68</v>
      </c>
      <c r="AV908" s="167">
        <v>68</v>
      </c>
      <c r="AW908" s="167">
        <v>68</v>
      </c>
      <c r="AX908" s="167">
        <v>68</v>
      </c>
      <c r="AY908" s="167">
        <v>68</v>
      </c>
      <c r="AZ908" s="167">
        <v>68</v>
      </c>
      <c r="BA908" s="167">
        <v>68</v>
      </c>
      <c r="BB908" s="167">
        <v>68</v>
      </c>
      <c r="BC908" s="167">
        <v>68</v>
      </c>
      <c r="BD908" s="167">
        <v>68</v>
      </c>
      <c r="BE908" s="167">
        <v>68</v>
      </c>
      <c r="BF908" s="167">
        <v>68</v>
      </c>
      <c r="BG908" s="167">
        <v>68</v>
      </c>
      <c r="BH908" s="167">
        <v>68</v>
      </c>
      <c r="BI908" s="167">
        <v>68</v>
      </c>
      <c r="BJ908" s="167">
        <v>68</v>
      </c>
      <c r="BK908" s="167">
        <v>68</v>
      </c>
      <c r="BL908" s="167">
        <v>68</v>
      </c>
      <c r="BM908" s="167">
        <v>68</v>
      </c>
      <c r="BN908" s="167">
        <v>68</v>
      </c>
      <c r="BO908" s="167">
        <v>68</v>
      </c>
      <c r="BP908" s="167">
        <v>68</v>
      </c>
      <c r="BQ908" s="167">
        <v>68</v>
      </c>
      <c r="BR908" s="167">
        <v>68</v>
      </c>
      <c r="BS908" s="167">
        <v>68</v>
      </c>
      <c r="BT908" s="167">
        <v>68</v>
      </c>
      <c r="BU908" s="167">
        <v>68</v>
      </c>
      <c r="BV908" s="167">
        <v>68</v>
      </c>
      <c r="BW908" s="167">
        <v>68</v>
      </c>
      <c r="BX908" s="167">
        <v>68</v>
      </c>
      <c r="BY908" s="167">
        <v>68</v>
      </c>
      <c r="BZ908" s="167">
        <v>68</v>
      </c>
      <c r="CA908" s="167">
        <v>68</v>
      </c>
      <c r="CB908" s="167">
        <v>68</v>
      </c>
      <c r="CC908" s="167">
        <v>68</v>
      </c>
      <c r="CD908" s="167">
        <v>68</v>
      </c>
      <c r="CE908" s="167">
        <v>68</v>
      </c>
      <c r="CF908" s="167">
        <v>68</v>
      </c>
      <c r="CG908" s="167">
        <v>68</v>
      </c>
      <c r="CH908" s="167">
        <v>68</v>
      </c>
      <c r="CI908" s="167">
        <v>68</v>
      </c>
      <c r="CJ908" s="167">
        <v>68</v>
      </c>
      <c r="CK908" s="167">
        <v>68</v>
      </c>
      <c r="CL908" s="167">
        <v>68</v>
      </c>
      <c r="CM908" s="167">
        <v>68</v>
      </c>
      <c r="CN908" s="167">
        <v>68</v>
      </c>
      <c r="CO908" s="167">
        <v>68</v>
      </c>
      <c r="CP908" s="167">
        <v>68</v>
      </c>
      <c r="CQ908" s="167">
        <v>68</v>
      </c>
      <c r="CR908" s="167">
        <v>68</v>
      </c>
      <c r="CS908" s="167">
        <v>68</v>
      </c>
      <c r="CT908" s="167">
        <v>68</v>
      </c>
      <c r="CU908" s="167">
        <v>68</v>
      </c>
      <c r="CV908" s="167">
        <v>68</v>
      </c>
      <c r="CW908" s="167">
        <v>68</v>
      </c>
      <c r="CX908" s="167">
        <v>68</v>
      </c>
      <c r="CY908" s="167">
        <v>68</v>
      </c>
      <c r="CZ908" s="167">
        <v>68</v>
      </c>
      <c r="DA908" s="167">
        <v>68</v>
      </c>
      <c r="DB908" s="167">
        <v>68</v>
      </c>
      <c r="DC908" s="167">
        <v>68</v>
      </c>
      <c r="DD908" s="167">
        <v>68</v>
      </c>
      <c r="DE908" s="167">
        <v>68</v>
      </c>
      <c r="DF908" s="167">
        <v>68</v>
      </c>
      <c r="DG908" s="167">
        <v>68</v>
      </c>
      <c r="DH908" s="167">
        <v>68</v>
      </c>
      <c r="DI908" s="167">
        <v>68</v>
      </c>
      <c r="DJ908" s="167">
        <v>68</v>
      </c>
      <c r="DK908" s="167">
        <v>68</v>
      </c>
      <c r="DL908" s="167">
        <v>68</v>
      </c>
      <c r="DM908" s="167">
        <v>68</v>
      </c>
      <c r="DN908" s="167">
        <v>68</v>
      </c>
      <c r="DO908" s="167">
        <v>68</v>
      </c>
      <c r="DP908" s="167">
        <v>68</v>
      </c>
      <c r="DQ908" s="167">
        <v>68</v>
      </c>
      <c r="DR908" s="167">
        <v>68</v>
      </c>
      <c r="DS908" s="167">
        <v>68</v>
      </c>
      <c r="DT908" s="167">
        <v>68</v>
      </c>
      <c r="DU908" s="167">
        <v>68</v>
      </c>
      <c r="DV908" s="167">
        <v>68</v>
      </c>
      <c r="DW908" s="167">
        <v>68</v>
      </c>
      <c r="DX908" s="167">
        <v>68</v>
      </c>
      <c r="DY908" s="167">
        <v>68</v>
      </c>
      <c r="DZ908" s="167">
        <v>68</v>
      </c>
      <c r="EA908" s="167">
        <v>68</v>
      </c>
      <c r="EB908" s="167">
        <v>68</v>
      </c>
      <c r="EC908" s="167">
        <v>68</v>
      </c>
      <c r="ED908" s="167">
        <v>68</v>
      </c>
      <c r="EE908" s="167">
        <v>68</v>
      </c>
      <c r="EF908" s="167">
        <v>68</v>
      </c>
      <c r="EG908" s="167">
        <v>68</v>
      </c>
      <c r="EH908" s="167">
        <v>68</v>
      </c>
      <c r="EI908" s="167">
        <v>68</v>
      </c>
      <c r="EJ908" s="167">
        <v>68</v>
      </c>
      <c r="EK908" s="167">
        <v>68</v>
      </c>
      <c r="EL908" s="167">
        <v>68</v>
      </c>
      <c r="EM908" s="167">
        <v>68</v>
      </c>
      <c r="EN908" s="167">
        <v>68</v>
      </c>
      <c r="EO908" s="167">
        <v>68</v>
      </c>
      <c r="EP908" s="167">
        <v>68</v>
      </c>
      <c r="EQ908" s="167">
        <v>68</v>
      </c>
      <c r="ER908" s="167">
        <v>68</v>
      </c>
      <c r="ES908" s="167">
        <v>68</v>
      </c>
      <c r="ET908" s="167">
        <v>68</v>
      </c>
      <c r="EU908" s="167">
        <v>68</v>
      </c>
      <c r="EV908" s="167">
        <v>68</v>
      </c>
      <c r="EW908" s="167">
        <v>68</v>
      </c>
      <c r="EX908" s="167">
        <v>68</v>
      </c>
      <c r="EY908" s="167">
        <v>68</v>
      </c>
      <c r="EZ908" s="167">
        <v>68</v>
      </c>
      <c r="FA908" s="167">
        <v>68</v>
      </c>
    </row>
    <row r="909" spans="1:157" s="167" customFormat="1" ht="15" thickBot="1">
      <c r="A909" s="169"/>
      <c r="B909" s="291" t="s">
        <v>345</v>
      </c>
      <c r="C909" s="292"/>
      <c r="D909" s="292"/>
      <c r="E909" s="292"/>
      <c r="F909" s="292"/>
      <c r="G909" s="292"/>
      <c r="H909" s="292"/>
      <c r="I909" s="292"/>
      <c r="J909" s="292"/>
      <c r="W909" s="167">
        <v>1238</v>
      </c>
      <c r="X909" s="167">
        <v>363</v>
      </c>
      <c r="Y909" s="167">
        <v>126</v>
      </c>
      <c r="Z909" s="167">
        <v>0</v>
      </c>
      <c r="AA909" s="167">
        <v>109</v>
      </c>
      <c r="AB909" s="167">
        <v>1385</v>
      </c>
      <c r="AC909" s="167">
        <v>1385</v>
      </c>
      <c r="AD909" s="167">
        <v>1238</v>
      </c>
      <c r="AE909" s="167">
        <v>363</v>
      </c>
      <c r="AF909" s="167">
        <v>126</v>
      </c>
      <c r="AG909" s="167">
        <v>39</v>
      </c>
      <c r="AH909" s="167">
        <v>0</v>
      </c>
      <c r="AI909" s="167">
        <v>109</v>
      </c>
      <c r="AJ909" s="167">
        <v>1385</v>
      </c>
      <c r="AK909" s="167">
        <v>1238</v>
      </c>
      <c r="AL909" s="167">
        <v>1385</v>
      </c>
      <c r="AM909" s="167">
        <v>1238</v>
      </c>
      <c r="AN909" s="167">
        <v>363</v>
      </c>
      <c r="AO909" s="167">
        <v>126</v>
      </c>
      <c r="AP909" s="167">
        <v>0</v>
      </c>
      <c r="AQ909" s="167">
        <v>109</v>
      </c>
      <c r="AR909" s="167">
        <v>1385</v>
      </c>
      <c r="AS909" s="167">
        <v>1238</v>
      </c>
      <c r="AT909" s="167">
        <v>1385</v>
      </c>
      <c r="AU909" s="167">
        <v>1238</v>
      </c>
      <c r="AV909" s="167">
        <v>363</v>
      </c>
      <c r="AW909" s="167">
        <v>126</v>
      </c>
      <c r="AX909" s="167">
        <v>0</v>
      </c>
      <c r="AY909" s="167">
        <v>109</v>
      </c>
      <c r="AZ909" s="167">
        <v>1385</v>
      </c>
      <c r="BA909" s="167">
        <v>1385</v>
      </c>
      <c r="BB909" s="167">
        <v>1238</v>
      </c>
      <c r="BC909" s="167">
        <v>363</v>
      </c>
      <c r="BD909" s="167">
        <v>126</v>
      </c>
      <c r="BE909" s="167">
        <v>39</v>
      </c>
    </row>
    <row r="910" spans="1:157" s="167" customFormat="1">
      <c r="A910" s="266"/>
      <c r="B910" s="294" t="s">
        <v>166</v>
      </c>
      <c r="C910" s="295" t="str">
        <f>IF(OR(C913="**",C913=""),"",VALUE(C913))</f>
        <v/>
      </c>
      <c r="D910" s="295" t="str">
        <f t="shared" ref="D910:J910" si="88">IF(OR(D913="**",D913=""),"",VALUE(D913))</f>
        <v/>
      </c>
      <c r="E910" s="295" t="str">
        <f t="shared" si="88"/>
        <v/>
      </c>
      <c r="F910" s="295" t="str">
        <f t="shared" si="88"/>
        <v/>
      </c>
      <c r="G910" s="295" t="str">
        <f t="shared" si="88"/>
        <v/>
      </c>
      <c r="H910" s="295" t="str">
        <f t="shared" si="88"/>
        <v/>
      </c>
      <c r="I910" s="295" t="str">
        <f t="shared" si="88"/>
        <v/>
      </c>
      <c r="J910" s="295" t="str">
        <f t="shared" si="88"/>
        <v/>
      </c>
    </row>
    <row r="911" spans="1:157" s="167" customFormat="1" ht="15" thickBot="1">
      <c r="A911" s="266"/>
      <c r="B911" s="296" t="s">
        <v>165</v>
      </c>
      <c r="C911" s="297" t="str">
        <f t="shared" ref="C911:J911" si="89">IF(OR(C907="**",C907=""),"",VALUE(C907))</f>
        <v/>
      </c>
      <c r="D911" s="297" t="str">
        <f t="shared" si="89"/>
        <v/>
      </c>
      <c r="E911" s="297" t="str">
        <f t="shared" si="89"/>
        <v/>
      </c>
      <c r="F911" s="297" t="str">
        <f t="shared" si="89"/>
        <v/>
      </c>
      <c r="G911" s="297" t="str">
        <f t="shared" si="89"/>
        <v/>
      </c>
      <c r="H911" s="297" t="str">
        <f t="shared" si="89"/>
        <v/>
      </c>
      <c r="I911" s="297" t="str">
        <f t="shared" si="89"/>
        <v/>
      </c>
      <c r="J911" s="297" t="str">
        <f t="shared" si="89"/>
        <v/>
      </c>
    </row>
    <row r="912" spans="1:157" s="167" customFormat="1">
      <c r="A912" s="169"/>
      <c r="B912" s="298" t="s">
        <v>385</v>
      </c>
      <c r="C912" s="195"/>
      <c r="D912" s="195"/>
      <c r="E912" s="195"/>
      <c r="F912" s="195"/>
      <c r="G912" s="195"/>
      <c r="H912" s="195"/>
      <c r="I912" s="195"/>
      <c r="J912" s="195"/>
      <c r="W912" s="167" t="s">
        <v>210</v>
      </c>
      <c r="X912" s="167" t="s">
        <v>409</v>
      </c>
      <c r="Y912" s="167" t="s">
        <v>410</v>
      </c>
      <c r="AA912" s="167" t="s">
        <v>407</v>
      </c>
      <c r="AB912" s="167" t="s">
        <v>408</v>
      </c>
      <c r="AC912" s="167" t="s">
        <v>408</v>
      </c>
      <c r="AD912" s="167" t="s">
        <v>210</v>
      </c>
      <c r="AE912" s="167" t="s">
        <v>409</v>
      </c>
      <c r="AF912" s="167" t="s">
        <v>410</v>
      </c>
      <c r="AG912" s="167" t="s">
        <v>479</v>
      </c>
      <c r="AI912" s="167" t="s">
        <v>407</v>
      </c>
      <c r="AJ912" s="167" t="s">
        <v>408</v>
      </c>
      <c r="AK912" s="167" t="s">
        <v>210</v>
      </c>
      <c r="AL912" s="167" t="s">
        <v>408</v>
      </c>
      <c r="AM912" s="167" t="s">
        <v>210</v>
      </c>
      <c r="AN912" s="167" t="s">
        <v>409</v>
      </c>
      <c r="AO912" s="167" t="s">
        <v>410</v>
      </c>
      <c r="AQ912" s="167" t="s">
        <v>407</v>
      </c>
      <c r="AR912" s="167" t="s">
        <v>408</v>
      </c>
      <c r="AS912" s="167" t="s">
        <v>210</v>
      </c>
      <c r="AT912" s="167" t="s">
        <v>408</v>
      </c>
      <c r="AU912" s="167" t="s">
        <v>210</v>
      </c>
      <c r="AV912" s="167" t="s">
        <v>409</v>
      </c>
      <c r="AW912" s="167" t="s">
        <v>410</v>
      </c>
      <c r="AY912" s="167" t="s">
        <v>407</v>
      </c>
      <c r="AZ912" s="167" t="s">
        <v>408</v>
      </c>
      <c r="BA912" s="167" t="s">
        <v>408</v>
      </c>
      <c r="BB912" s="167" t="s">
        <v>210</v>
      </c>
      <c r="BC912" s="167" t="s">
        <v>409</v>
      </c>
      <c r="BD912" s="167" t="s">
        <v>410</v>
      </c>
      <c r="BE912" s="167" t="s">
        <v>479</v>
      </c>
    </row>
    <row r="913" spans="1:57" s="167" customFormat="1">
      <c r="A913" s="169"/>
      <c r="B913" s="291" t="s">
        <v>158</v>
      </c>
      <c r="C913" s="258"/>
      <c r="D913" s="258"/>
      <c r="E913" s="258"/>
      <c r="F913" s="258"/>
      <c r="G913" s="258"/>
      <c r="H913" s="258"/>
      <c r="I913" s="258"/>
      <c r="J913" s="258"/>
      <c r="W913" s="167">
        <v>70</v>
      </c>
      <c r="X913" s="167">
        <v>73</v>
      </c>
      <c r="Y913" s="167">
        <v>74</v>
      </c>
      <c r="Z913" s="167">
        <v>0</v>
      </c>
      <c r="AA913" s="167">
        <v>73</v>
      </c>
      <c r="AB913" s="167">
        <v>66</v>
      </c>
      <c r="AC913" s="167">
        <v>66</v>
      </c>
      <c r="AD913" s="167">
        <v>70</v>
      </c>
      <c r="AE913" s="167">
        <v>73</v>
      </c>
      <c r="AF913" s="167">
        <v>74</v>
      </c>
      <c r="AG913" s="167">
        <v>61</v>
      </c>
      <c r="AH913" s="167">
        <v>0</v>
      </c>
      <c r="AI913" s="167">
        <v>73</v>
      </c>
      <c r="AJ913" s="167">
        <v>66</v>
      </c>
      <c r="AK913" s="167">
        <v>70</v>
      </c>
      <c r="AL913" s="167">
        <v>66</v>
      </c>
      <c r="AM913" s="167">
        <v>70</v>
      </c>
      <c r="AN913" s="167">
        <v>73</v>
      </c>
      <c r="AO913" s="167">
        <v>74</v>
      </c>
      <c r="AP913" s="167">
        <v>0</v>
      </c>
      <c r="AQ913" s="167">
        <v>73</v>
      </c>
      <c r="AR913" s="167">
        <v>66</v>
      </c>
      <c r="AS913" s="167">
        <v>70</v>
      </c>
      <c r="AT913" s="167">
        <v>66</v>
      </c>
      <c r="AU913" s="167">
        <v>70</v>
      </c>
      <c r="AV913" s="167">
        <v>73</v>
      </c>
      <c r="AW913" s="167">
        <v>74</v>
      </c>
      <c r="AX913" s="167">
        <v>0</v>
      </c>
      <c r="AY913" s="167">
        <v>73</v>
      </c>
      <c r="AZ913" s="167">
        <v>66</v>
      </c>
      <c r="BA913" s="167">
        <v>66</v>
      </c>
      <c r="BB913" s="167">
        <v>70</v>
      </c>
      <c r="BC913" s="167">
        <v>73</v>
      </c>
      <c r="BD913" s="167">
        <v>74</v>
      </c>
      <c r="BE913" s="167">
        <v>61</v>
      </c>
    </row>
    <row r="914" spans="1:57" s="167" customFormat="1">
      <c r="A914" s="169"/>
      <c r="B914" s="298" t="s">
        <v>345</v>
      </c>
      <c r="C914" s="258"/>
      <c r="D914" s="258"/>
      <c r="E914" s="258"/>
      <c r="F914" s="258"/>
      <c r="G914" s="258"/>
      <c r="H914" s="258"/>
      <c r="I914" s="258"/>
      <c r="J914" s="258"/>
      <c r="V914" s="303"/>
      <c r="W914" s="260">
        <v>1238</v>
      </c>
      <c r="X914" s="260">
        <v>363</v>
      </c>
      <c r="Y914" s="260">
        <v>126</v>
      </c>
      <c r="Z914" s="260">
        <v>0</v>
      </c>
      <c r="AA914" s="260">
        <v>109</v>
      </c>
      <c r="AB914" s="264">
        <v>1385</v>
      </c>
      <c r="AC914" s="264">
        <v>1385</v>
      </c>
      <c r="AD914" s="264">
        <v>1238</v>
      </c>
      <c r="AE914" s="264">
        <v>363</v>
      </c>
      <c r="AF914" s="264">
        <v>126</v>
      </c>
      <c r="AG914" s="167">
        <v>39</v>
      </c>
      <c r="AH914" s="167">
        <v>0</v>
      </c>
      <c r="AI914" s="167">
        <v>109</v>
      </c>
      <c r="AJ914" s="167">
        <v>1385</v>
      </c>
      <c r="AK914" s="167">
        <v>1238</v>
      </c>
      <c r="AL914" s="167">
        <v>1385</v>
      </c>
      <c r="AM914" s="167">
        <v>1238</v>
      </c>
      <c r="AN914" s="167">
        <v>363</v>
      </c>
      <c r="AO914" s="167">
        <v>126</v>
      </c>
      <c r="AP914" s="167">
        <v>0</v>
      </c>
      <c r="AQ914" s="167">
        <v>109</v>
      </c>
      <c r="AR914" s="167">
        <v>1385</v>
      </c>
      <c r="AS914" s="167">
        <v>1238</v>
      </c>
      <c r="AT914" s="167">
        <v>1385</v>
      </c>
      <c r="AU914" s="167">
        <v>1238</v>
      </c>
      <c r="AV914" s="167">
        <v>363</v>
      </c>
      <c r="AW914" s="167">
        <v>126</v>
      </c>
      <c r="AX914" s="167">
        <v>0</v>
      </c>
      <c r="AY914" s="167">
        <v>109</v>
      </c>
      <c r="AZ914" s="167">
        <v>1385</v>
      </c>
      <c r="BA914" s="167">
        <v>1385</v>
      </c>
      <c r="BB914" s="167">
        <v>1238</v>
      </c>
      <c r="BC914" s="167">
        <v>363</v>
      </c>
      <c r="BD914" s="167">
        <v>126</v>
      </c>
      <c r="BE914" s="167">
        <v>39</v>
      </c>
    </row>
    <row r="915" spans="1:57" s="167" customFormat="1">
      <c r="A915" s="169"/>
      <c r="B915" s="271"/>
      <c r="C915" s="169"/>
      <c r="D915" s="169"/>
      <c r="E915" s="169"/>
      <c r="F915" s="169"/>
      <c r="G915" s="169"/>
      <c r="H915" s="169"/>
      <c r="I915" s="169"/>
      <c r="J915" s="169"/>
    </row>
    <row r="916" spans="1:57" s="167" customFormat="1">
      <c r="A916" s="169"/>
      <c r="B916" s="271"/>
      <c r="C916" s="169"/>
      <c r="D916" s="169"/>
      <c r="E916" s="169"/>
      <c r="F916" s="169"/>
      <c r="G916" s="169"/>
      <c r="H916" s="169"/>
      <c r="I916" s="169"/>
      <c r="J916" s="169"/>
    </row>
    <row r="917" spans="1:57" s="167" customFormat="1">
      <c r="A917" s="169"/>
      <c r="B917" s="271"/>
      <c r="C917" s="169"/>
      <c r="D917" s="169"/>
      <c r="E917" s="169"/>
      <c r="F917" s="169"/>
      <c r="G917" s="169"/>
      <c r="H917" s="169"/>
      <c r="I917" s="169"/>
      <c r="J917" s="169"/>
    </row>
    <row r="918" spans="1:57" s="167" customFormat="1">
      <c r="A918" s="169"/>
      <c r="B918" s="271"/>
      <c r="C918" s="169"/>
      <c r="D918" s="169"/>
      <c r="E918" s="169"/>
      <c r="F918" s="169"/>
      <c r="G918" s="169"/>
      <c r="H918" s="169"/>
      <c r="I918" s="169"/>
      <c r="J918" s="169"/>
    </row>
    <row r="919" spans="1:57" s="167" customFormat="1">
      <c r="A919" s="169"/>
      <c r="B919" s="271"/>
      <c r="C919" s="169"/>
      <c r="D919" s="169"/>
      <c r="E919" s="169"/>
      <c r="F919" s="169"/>
      <c r="G919" s="169"/>
      <c r="H919" s="169"/>
      <c r="I919" s="169"/>
      <c r="J919" s="169"/>
    </row>
    <row r="920" spans="1:57" s="167" customFormat="1">
      <c r="A920" s="169"/>
      <c r="B920" s="271"/>
      <c r="C920" s="169"/>
      <c r="D920" s="169"/>
      <c r="E920" s="169"/>
      <c r="F920" s="169"/>
      <c r="G920" s="169"/>
      <c r="H920" s="169"/>
      <c r="I920" s="169"/>
      <c r="J920" s="169"/>
    </row>
    <row r="921" spans="1:57" s="167" customFormat="1">
      <c r="A921" s="169"/>
      <c r="B921" s="271"/>
      <c r="C921" s="169"/>
      <c r="D921" s="169"/>
      <c r="E921" s="169"/>
      <c r="F921" s="169"/>
      <c r="G921" s="169"/>
      <c r="H921" s="169"/>
      <c r="I921" s="169"/>
      <c r="J921" s="169"/>
    </row>
    <row r="922" spans="1:57" s="167" customFormat="1">
      <c r="A922" s="169"/>
      <c r="B922" s="271"/>
      <c r="C922" s="169"/>
      <c r="D922" s="169"/>
      <c r="E922" s="169"/>
      <c r="F922" s="169"/>
      <c r="G922" s="169"/>
      <c r="H922" s="169"/>
      <c r="I922" s="169"/>
      <c r="J922" s="169"/>
    </row>
    <row r="923" spans="1:57" s="274" customFormat="1" ht="13.5">
      <c r="B923" s="303"/>
    </row>
    <row r="924" spans="1:57" s="280" customFormat="1" ht="13.5">
      <c r="B924" s="309"/>
    </row>
    <row r="925" spans="1:57" s="167" customFormat="1">
      <c r="B925" s="291"/>
    </row>
    <row r="926" spans="1:57" s="167" customFormat="1">
      <c r="B926" s="291"/>
    </row>
    <row r="927" spans="1:57" s="167" customFormat="1">
      <c r="B927" s="291"/>
    </row>
    <row r="928" spans="1:57" s="167" customFormat="1">
      <c r="B928" s="291"/>
    </row>
    <row r="929" spans="1:10" s="167" customFormat="1">
      <c r="B929" s="291"/>
    </row>
    <row r="930" spans="1:10" s="167" customFormat="1">
      <c r="B930" s="291"/>
    </row>
    <row r="931" spans="1:10" s="301" customFormat="1">
      <c r="B931" s="291"/>
    </row>
    <row r="932" spans="1:10" s="291" customFormat="1" ht="13.5">
      <c r="B932" s="300"/>
    </row>
    <row r="933" spans="1:10" s="183" customFormat="1" ht="12.75"/>
    <row r="934" spans="1:10" s="260" customFormat="1">
      <c r="B934" s="183"/>
    </row>
    <row r="935" spans="1:10" s="265" customFormat="1">
      <c r="B935" s="260"/>
    </row>
    <row r="936" spans="1:10" s="260" customFormat="1">
      <c r="B936" s="265"/>
    </row>
    <row r="937" spans="1:10" s="260" customFormat="1">
      <c r="B937" s="264"/>
    </row>
    <row r="938" spans="1:10" s="264" customFormat="1"/>
    <row r="939" spans="1:10" s="264" customFormat="1"/>
    <row r="940" spans="1:10" s="264" customFormat="1">
      <c r="A940" s="261"/>
      <c r="B940" s="261"/>
      <c r="C940" s="261"/>
      <c r="D940" s="261"/>
      <c r="E940" s="261"/>
      <c r="F940" s="261"/>
      <c r="G940" s="261"/>
      <c r="H940" s="261"/>
      <c r="I940" s="261"/>
      <c r="J940" s="261"/>
    </row>
    <row r="941" spans="1:10" s="264" customFormat="1">
      <c r="A941" s="261"/>
      <c r="B941" s="261"/>
      <c r="C941" s="261"/>
      <c r="D941" s="261"/>
      <c r="E941" s="261"/>
      <c r="F941" s="261"/>
      <c r="G941" s="261"/>
      <c r="H941" s="261"/>
      <c r="I941" s="261"/>
      <c r="J941" s="261"/>
    </row>
    <row r="942" spans="1:10" s="264" customFormat="1">
      <c r="A942" s="261"/>
      <c r="B942" s="169"/>
      <c r="C942" s="261"/>
      <c r="D942" s="261"/>
      <c r="E942" s="261"/>
      <c r="F942" s="261"/>
      <c r="G942" s="261"/>
      <c r="H942" s="261"/>
      <c r="I942" s="261"/>
      <c r="J942" s="261"/>
    </row>
    <row r="943" spans="1:10" s="167" customFormat="1">
      <c r="A943" s="169"/>
      <c r="B943" s="169"/>
      <c r="C943" s="169"/>
      <c r="D943" s="169"/>
      <c r="E943" s="169"/>
      <c r="F943" s="169"/>
      <c r="G943" s="169"/>
      <c r="H943" s="169"/>
      <c r="I943" s="169"/>
      <c r="J943" s="169"/>
    </row>
    <row r="944" spans="1:10" s="167" customFormat="1">
      <c r="A944" s="169"/>
      <c r="B944" s="169"/>
      <c r="C944" s="169"/>
      <c r="D944" s="169"/>
      <c r="E944" s="169"/>
      <c r="F944" s="169"/>
      <c r="G944" s="169"/>
      <c r="H944" s="169"/>
      <c r="I944" s="169"/>
      <c r="J944" s="169"/>
    </row>
    <row r="945" spans="1:10" s="167" customFormat="1">
      <c r="A945" s="169"/>
      <c r="B945" s="169"/>
      <c r="C945" s="169"/>
      <c r="D945" s="169"/>
      <c r="E945" s="169"/>
      <c r="F945" s="169"/>
      <c r="G945" s="169"/>
      <c r="H945" s="169"/>
      <c r="I945" s="169"/>
      <c r="J945" s="169"/>
    </row>
    <row r="946" spans="1:10" s="167" customFormat="1">
      <c r="A946" s="169"/>
      <c r="B946" s="169"/>
      <c r="C946" s="169"/>
      <c r="D946" s="169"/>
      <c r="E946" s="169"/>
      <c r="F946" s="169"/>
      <c r="G946" s="169"/>
      <c r="H946" s="169"/>
      <c r="I946" s="169"/>
      <c r="J946" s="169"/>
    </row>
    <row r="947" spans="1:10" s="167" customFormat="1">
      <c r="A947" s="169"/>
      <c r="B947" s="169"/>
      <c r="C947" s="169"/>
      <c r="D947" s="169"/>
      <c r="E947" s="169"/>
      <c r="F947" s="169"/>
      <c r="G947" s="169"/>
      <c r="H947" s="169"/>
      <c r="I947" s="169"/>
      <c r="J947" s="169"/>
    </row>
    <row r="948" spans="1:10" s="167" customFormat="1">
      <c r="A948" s="169"/>
      <c r="B948" s="169"/>
      <c r="C948" s="169"/>
      <c r="D948" s="169"/>
      <c r="E948" s="169"/>
      <c r="F948" s="169"/>
      <c r="G948" s="169"/>
      <c r="H948" s="169"/>
      <c r="I948" s="169"/>
      <c r="J948" s="169"/>
    </row>
    <row r="949" spans="1:10" s="167" customFormat="1">
      <c r="A949" s="169"/>
      <c r="B949" s="169"/>
      <c r="C949" s="169"/>
      <c r="D949" s="169"/>
      <c r="E949" s="169"/>
      <c r="F949" s="169"/>
      <c r="G949" s="169"/>
      <c r="H949" s="169"/>
      <c r="I949" s="169"/>
      <c r="J949" s="169"/>
    </row>
    <row r="950" spans="1:10" s="167" customFormat="1">
      <c r="A950" s="169"/>
      <c r="B950" s="169"/>
      <c r="C950" s="169"/>
      <c r="D950" s="169"/>
      <c r="E950" s="169"/>
      <c r="F950" s="169"/>
      <c r="G950" s="169"/>
      <c r="H950" s="169"/>
      <c r="I950" s="169"/>
      <c r="J950" s="169"/>
    </row>
    <row r="951" spans="1:10" s="167" customFormat="1">
      <c r="A951" s="169"/>
      <c r="B951" s="169"/>
      <c r="C951" s="169"/>
      <c r="D951" s="169"/>
      <c r="E951" s="169"/>
      <c r="F951" s="169"/>
      <c r="G951" s="169"/>
      <c r="H951" s="169"/>
      <c r="I951" s="169"/>
      <c r="J951" s="169"/>
    </row>
    <row r="952" spans="1:10" s="302" customFormat="1">
      <c r="B952" s="169"/>
    </row>
    <row r="953" spans="1:10" s="280" customFormat="1" ht="13.5">
      <c r="A953" s="305"/>
      <c r="B953" s="302"/>
      <c r="C953" s="305"/>
      <c r="D953" s="305"/>
      <c r="E953" s="305"/>
      <c r="F953" s="305"/>
      <c r="G953" s="305"/>
      <c r="H953" s="305"/>
      <c r="I953" s="305"/>
      <c r="J953" s="305"/>
    </row>
    <row r="954" spans="1:10" s="167" customFormat="1">
      <c r="A954" s="169"/>
      <c r="B954" s="305"/>
      <c r="C954" s="169"/>
      <c r="D954" s="169"/>
      <c r="E954" s="169"/>
      <c r="F954" s="169"/>
      <c r="G954" s="169"/>
      <c r="H954" s="169"/>
      <c r="I954" s="169"/>
      <c r="J954" s="169"/>
    </row>
    <row r="955" spans="1:10" s="167" customFormat="1">
      <c r="A955" s="169"/>
      <c r="B955" s="169"/>
      <c r="C955" s="169"/>
      <c r="D955" s="169"/>
      <c r="E955" s="169"/>
      <c r="F955" s="169"/>
      <c r="G955" s="169"/>
      <c r="H955" s="169"/>
      <c r="I955" s="169"/>
      <c r="J955" s="169"/>
    </row>
    <row r="956" spans="1:10" s="167" customFormat="1">
      <c r="A956" s="169"/>
      <c r="B956" s="169"/>
      <c r="C956" s="169"/>
      <c r="D956" s="169"/>
      <c r="E956" s="169"/>
      <c r="F956" s="169"/>
      <c r="G956" s="169"/>
      <c r="H956" s="169"/>
      <c r="I956" s="169"/>
      <c r="J956" s="169"/>
    </row>
    <row r="957" spans="1:10" s="167" customFormat="1">
      <c r="A957" s="169"/>
      <c r="B957" s="169"/>
      <c r="C957" s="169"/>
      <c r="D957" s="169"/>
      <c r="E957" s="169"/>
      <c r="F957" s="169"/>
      <c r="G957" s="169"/>
      <c r="H957" s="169"/>
      <c r="I957" s="169"/>
      <c r="J957" s="169"/>
    </row>
    <row r="958" spans="1:10" s="167" customFormat="1">
      <c r="A958" s="169"/>
      <c r="B958" s="169"/>
      <c r="C958" s="169"/>
      <c r="D958" s="169"/>
      <c r="E958" s="169"/>
      <c r="F958" s="169"/>
      <c r="G958" s="169"/>
      <c r="H958" s="169"/>
      <c r="I958" s="169"/>
      <c r="J958" s="169"/>
    </row>
    <row r="959" spans="1:10" s="167" customFormat="1">
      <c r="A959" s="169"/>
      <c r="B959" s="169"/>
      <c r="C959" s="169"/>
      <c r="D959" s="169"/>
      <c r="E959" s="169"/>
      <c r="F959" s="169"/>
      <c r="G959" s="169"/>
      <c r="H959" s="169"/>
      <c r="I959" s="169"/>
      <c r="J959" s="169"/>
    </row>
    <row r="960" spans="1:10" s="167" customFormat="1">
      <c r="A960" s="169"/>
      <c r="B960" s="169"/>
      <c r="C960" s="169"/>
      <c r="D960" s="169"/>
      <c r="E960" s="169"/>
      <c r="F960" s="169"/>
      <c r="G960" s="169"/>
      <c r="H960" s="169"/>
      <c r="I960" s="169"/>
      <c r="J960" s="169"/>
    </row>
    <row r="961" spans="1:10" s="167" customFormat="1">
      <c r="A961" s="169"/>
      <c r="B961" s="169"/>
      <c r="C961" s="169"/>
      <c r="D961" s="169"/>
      <c r="E961" s="169"/>
      <c r="F961" s="169"/>
      <c r="G961" s="169"/>
      <c r="H961" s="169"/>
      <c r="I961" s="169"/>
      <c r="J961" s="169"/>
    </row>
    <row r="962" spans="1:10" s="167" customFormat="1">
      <c r="A962" s="169"/>
      <c r="B962" s="169"/>
      <c r="C962" s="169"/>
      <c r="D962" s="169"/>
      <c r="E962" s="169"/>
      <c r="F962" s="169"/>
      <c r="G962" s="169"/>
      <c r="H962" s="169"/>
      <c r="I962" s="169"/>
      <c r="J962" s="169"/>
    </row>
    <row r="963" spans="1:10" s="167" customFormat="1">
      <c r="A963" s="169"/>
      <c r="B963" s="169"/>
      <c r="C963" s="169"/>
      <c r="D963" s="169"/>
      <c r="E963" s="169"/>
      <c r="F963" s="169"/>
      <c r="G963" s="169"/>
      <c r="H963" s="169"/>
      <c r="I963" s="169"/>
      <c r="J963" s="169"/>
    </row>
    <row r="964" spans="1:10" s="167" customFormat="1">
      <c r="A964" s="169"/>
      <c r="B964" s="169"/>
      <c r="C964" s="169"/>
      <c r="D964" s="169"/>
      <c r="E964" s="169"/>
      <c r="F964" s="169"/>
      <c r="G964" s="169"/>
      <c r="H964" s="169"/>
      <c r="I964" s="169"/>
      <c r="J964" s="169"/>
    </row>
    <row r="965" spans="1:10" s="167" customFormat="1">
      <c r="A965" s="169"/>
      <c r="B965" s="169"/>
      <c r="C965" s="169"/>
      <c r="D965" s="169"/>
      <c r="E965" s="169"/>
      <c r="F965" s="169"/>
      <c r="G965" s="169"/>
      <c r="H965" s="169"/>
      <c r="I965" s="169"/>
      <c r="J965" s="169"/>
    </row>
    <row r="966" spans="1:10" s="167" customFormat="1">
      <c r="A966" s="169"/>
      <c r="B966" s="169"/>
      <c r="C966" s="169"/>
      <c r="D966" s="169"/>
      <c r="E966" s="169"/>
      <c r="F966" s="169"/>
      <c r="G966" s="169"/>
      <c r="H966" s="169"/>
      <c r="I966" s="169"/>
      <c r="J966" s="169"/>
    </row>
    <row r="967" spans="1:10" s="167" customFormat="1">
      <c r="A967" s="169"/>
      <c r="B967" s="169"/>
      <c r="C967" s="169"/>
      <c r="D967" s="169"/>
      <c r="E967" s="169"/>
      <c r="F967" s="169"/>
      <c r="G967" s="169"/>
      <c r="H967" s="169"/>
      <c r="I967" s="169"/>
      <c r="J967" s="169"/>
    </row>
    <row r="968" spans="1:10" s="167" customFormat="1">
      <c r="A968" s="169"/>
      <c r="B968" s="169"/>
      <c r="C968" s="169"/>
      <c r="D968" s="169"/>
      <c r="E968" s="169"/>
      <c r="F968" s="169"/>
      <c r="G968" s="169"/>
      <c r="H968" s="169"/>
      <c r="I968" s="169"/>
      <c r="J968" s="169"/>
    </row>
    <row r="969" spans="1:10" s="167" customFormat="1">
      <c r="A969" s="169"/>
      <c r="B969" s="169"/>
      <c r="C969" s="169"/>
      <c r="D969" s="169"/>
      <c r="E969" s="169"/>
      <c r="F969" s="169"/>
      <c r="G969" s="169"/>
      <c r="H969" s="169"/>
      <c r="I969" s="169"/>
      <c r="J969" s="169"/>
    </row>
    <row r="970" spans="1:10" s="167" customFormat="1">
      <c r="A970" s="169"/>
      <c r="B970" s="169"/>
      <c r="C970" s="169"/>
      <c r="D970" s="169"/>
      <c r="E970" s="169"/>
      <c r="F970" s="169"/>
      <c r="G970" s="169"/>
      <c r="H970" s="169"/>
      <c r="I970" s="169"/>
      <c r="J970" s="169"/>
    </row>
    <row r="971" spans="1:10" s="167" customFormat="1">
      <c r="A971" s="169"/>
      <c r="B971" s="169"/>
      <c r="C971" s="169"/>
      <c r="D971" s="169"/>
      <c r="E971" s="169"/>
      <c r="F971" s="169"/>
      <c r="G971" s="169"/>
      <c r="H971" s="169"/>
      <c r="I971" s="169"/>
      <c r="J971" s="169"/>
    </row>
    <row r="972" spans="1:10" s="167" customFormat="1">
      <c r="A972" s="169"/>
      <c r="B972" s="169"/>
      <c r="C972" s="169"/>
      <c r="D972" s="169"/>
      <c r="E972" s="169"/>
      <c r="F972" s="169"/>
      <c r="G972" s="169"/>
      <c r="H972" s="169"/>
      <c r="I972" s="169"/>
      <c r="J972" s="169"/>
    </row>
    <row r="973" spans="1:10" s="167" customFormat="1">
      <c r="A973" s="169"/>
      <c r="B973" s="169"/>
      <c r="C973" s="169"/>
      <c r="D973" s="169"/>
      <c r="E973" s="169"/>
      <c r="F973" s="169"/>
      <c r="G973" s="169"/>
      <c r="H973" s="169"/>
      <c r="I973" s="169"/>
      <c r="J973" s="169"/>
    </row>
    <row r="974" spans="1:10" s="167" customFormat="1">
      <c r="A974" s="169"/>
      <c r="B974" s="169"/>
      <c r="C974" s="169"/>
      <c r="D974" s="169"/>
      <c r="E974" s="169"/>
      <c r="F974" s="169"/>
      <c r="G974" s="169"/>
      <c r="H974" s="169"/>
      <c r="I974" s="169"/>
      <c r="J974" s="169"/>
    </row>
    <row r="975" spans="1:10" s="167" customFormat="1">
      <c r="A975" s="169"/>
      <c r="B975" s="169"/>
      <c r="C975" s="169"/>
      <c r="D975" s="169"/>
      <c r="E975" s="169"/>
      <c r="F975" s="169"/>
      <c r="G975" s="169"/>
      <c r="H975" s="169"/>
      <c r="I975" s="169"/>
      <c r="J975" s="169"/>
    </row>
    <row r="976" spans="1:10" s="167" customFormat="1">
      <c r="A976" s="169"/>
      <c r="B976" s="169"/>
      <c r="C976" s="169"/>
      <c r="D976" s="169"/>
      <c r="E976" s="169"/>
      <c r="F976" s="169"/>
      <c r="G976" s="169"/>
      <c r="H976" s="169"/>
      <c r="I976" s="169"/>
      <c r="J976" s="169"/>
    </row>
    <row r="977" spans="1:10" s="167" customFormat="1">
      <c r="A977" s="169"/>
      <c r="B977" s="169"/>
      <c r="C977" s="169"/>
      <c r="D977" s="169"/>
      <c r="E977" s="169"/>
      <c r="F977" s="169"/>
      <c r="G977" s="169"/>
      <c r="H977" s="169"/>
      <c r="I977" s="169"/>
      <c r="J977" s="169"/>
    </row>
    <row r="978" spans="1:10" s="167" customFormat="1">
      <c r="A978" s="169"/>
      <c r="B978" s="169"/>
      <c r="C978" s="169"/>
      <c r="D978" s="169"/>
      <c r="E978" s="169"/>
      <c r="F978" s="169"/>
      <c r="G978" s="169"/>
      <c r="H978" s="169"/>
      <c r="I978" s="169"/>
      <c r="J978" s="169"/>
    </row>
    <row r="979" spans="1:10" s="167" customFormat="1">
      <c r="A979" s="169"/>
      <c r="B979" s="169"/>
      <c r="C979" s="169"/>
      <c r="D979" s="169"/>
      <c r="E979" s="169"/>
      <c r="F979" s="169"/>
      <c r="G979" s="169"/>
      <c r="H979" s="169"/>
      <c r="I979" s="169"/>
      <c r="J979" s="169"/>
    </row>
    <row r="980" spans="1:10" s="167" customFormat="1">
      <c r="A980" s="169"/>
      <c r="B980" s="169"/>
      <c r="C980" s="169"/>
      <c r="D980" s="169"/>
      <c r="E980" s="169"/>
      <c r="F980" s="169"/>
      <c r="G980" s="169"/>
      <c r="H980" s="169"/>
      <c r="I980" s="169"/>
      <c r="J980" s="169"/>
    </row>
    <row r="981" spans="1:10" s="167" customFormat="1">
      <c r="A981" s="169"/>
      <c r="B981" s="169"/>
      <c r="C981" s="169"/>
      <c r="D981" s="169"/>
      <c r="E981" s="169"/>
      <c r="F981" s="169"/>
      <c r="G981" s="169"/>
      <c r="H981" s="169"/>
      <c r="I981" s="169"/>
      <c r="J981" s="169"/>
    </row>
    <row r="982" spans="1:10" s="274" customFormat="1">
      <c r="A982" s="304"/>
      <c r="B982" s="169"/>
      <c r="C982" s="304"/>
      <c r="D982" s="304"/>
      <c r="E982" s="304"/>
      <c r="F982" s="304"/>
      <c r="G982" s="304"/>
      <c r="H982" s="304"/>
      <c r="I982" s="304"/>
      <c r="J982" s="304"/>
    </row>
    <row r="983" spans="1:10" s="280" customFormat="1" ht="13.5">
      <c r="A983" s="305"/>
      <c r="B983" s="304"/>
      <c r="C983" s="305"/>
      <c r="D983" s="305"/>
      <c r="E983" s="305"/>
      <c r="F983" s="305"/>
      <c r="G983" s="305"/>
      <c r="H983" s="305"/>
      <c r="I983" s="305"/>
      <c r="J983" s="305"/>
    </row>
    <row r="984" spans="1:10" s="167" customFormat="1">
      <c r="A984" s="169"/>
      <c r="B984" s="305"/>
      <c r="C984" s="169"/>
      <c r="D984" s="169"/>
      <c r="E984" s="169"/>
      <c r="F984" s="169"/>
      <c r="G984" s="169"/>
      <c r="H984" s="169"/>
      <c r="I984" s="169"/>
      <c r="J984" s="169"/>
    </row>
    <row r="985" spans="1:10" s="167" customFormat="1">
      <c r="A985" s="169"/>
      <c r="B985" s="169"/>
      <c r="C985" s="169"/>
      <c r="D985" s="169"/>
      <c r="E985" s="169"/>
      <c r="F985" s="169"/>
      <c r="G985" s="169"/>
      <c r="H985" s="169"/>
      <c r="I985" s="169"/>
      <c r="J985" s="169"/>
    </row>
    <row r="986" spans="1:10" s="167" customFormat="1">
      <c r="A986" s="169"/>
      <c r="B986" s="169"/>
      <c r="C986" s="169"/>
      <c r="D986" s="169"/>
      <c r="E986" s="169"/>
      <c r="F986" s="169"/>
      <c r="G986" s="169"/>
      <c r="H986" s="169"/>
      <c r="I986" s="169"/>
      <c r="J986" s="169"/>
    </row>
    <row r="987" spans="1:10" s="167" customFormat="1">
      <c r="A987" s="169"/>
      <c r="B987" s="169"/>
      <c r="C987" s="169"/>
      <c r="D987" s="169"/>
      <c r="E987" s="169"/>
      <c r="F987" s="169"/>
      <c r="G987" s="169"/>
      <c r="H987" s="169"/>
      <c r="I987" s="169"/>
      <c r="J987" s="169"/>
    </row>
    <row r="988" spans="1:10" s="167" customFormat="1">
      <c r="A988" s="169"/>
      <c r="B988" s="169"/>
      <c r="C988" s="169"/>
      <c r="D988" s="169"/>
      <c r="E988" s="169"/>
      <c r="F988" s="169"/>
      <c r="G988" s="169"/>
      <c r="H988" s="169"/>
      <c r="I988" s="169"/>
      <c r="J988" s="169"/>
    </row>
    <row r="989" spans="1:10" s="167" customFormat="1">
      <c r="A989" s="169"/>
      <c r="B989" s="169"/>
      <c r="C989" s="169"/>
      <c r="D989" s="169"/>
      <c r="E989" s="169"/>
      <c r="F989" s="169"/>
      <c r="G989" s="169"/>
      <c r="H989" s="169"/>
      <c r="I989" s="169"/>
      <c r="J989" s="169"/>
    </row>
    <row r="990" spans="1:10" s="167" customFormat="1">
      <c r="A990" s="169"/>
      <c r="B990" s="169"/>
      <c r="C990" s="169"/>
      <c r="D990" s="169"/>
      <c r="E990" s="169"/>
      <c r="F990" s="169"/>
      <c r="G990" s="169"/>
      <c r="H990" s="169"/>
      <c r="I990" s="169"/>
      <c r="J990" s="169"/>
    </row>
    <row r="991" spans="1:10" s="167" customFormat="1">
      <c r="A991" s="169"/>
      <c r="B991" s="169"/>
      <c r="C991" s="169"/>
      <c r="D991" s="169"/>
      <c r="E991" s="169"/>
      <c r="F991" s="169"/>
      <c r="G991" s="169"/>
      <c r="H991" s="169"/>
      <c r="I991" s="169"/>
      <c r="J991" s="169"/>
    </row>
    <row r="992" spans="1:10" s="167" customFormat="1">
      <c r="A992" s="169"/>
      <c r="B992" s="169"/>
      <c r="C992" s="169"/>
      <c r="D992" s="169"/>
      <c r="E992" s="169"/>
      <c r="F992" s="169"/>
      <c r="G992" s="169"/>
      <c r="H992" s="169"/>
      <c r="I992" s="169"/>
      <c r="J992" s="169"/>
    </row>
    <row r="993" spans="1:10" s="167" customFormat="1">
      <c r="A993" s="169"/>
      <c r="B993" s="169"/>
      <c r="C993" s="169"/>
      <c r="D993" s="169"/>
      <c r="E993" s="169"/>
      <c r="F993" s="169"/>
      <c r="G993" s="169"/>
      <c r="H993" s="169"/>
      <c r="I993" s="169"/>
      <c r="J993" s="169"/>
    </row>
    <row r="994" spans="1:10" s="167" customFormat="1">
      <c r="A994" s="169"/>
      <c r="B994" s="169"/>
      <c r="C994" s="169"/>
      <c r="D994" s="169"/>
      <c r="E994" s="169"/>
      <c r="F994" s="169"/>
      <c r="G994" s="169"/>
      <c r="H994" s="169"/>
      <c r="I994" s="169"/>
      <c r="J994" s="169"/>
    </row>
    <row r="995" spans="1:10" s="167" customFormat="1">
      <c r="A995" s="169"/>
      <c r="B995" s="169"/>
      <c r="C995" s="169"/>
      <c r="D995" s="169"/>
      <c r="E995" s="169"/>
      <c r="F995" s="169"/>
      <c r="G995" s="169"/>
      <c r="H995" s="169"/>
      <c r="I995" s="169"/>
      <c r="J995" s="169"/>
    </row>
    <row r="996" spans="1:10" s="167" customFormat="1">
      <c r="A996" s="169"/>
      <c r="B996" s="169"/>
      <c r="C996" s="169"/>
      <c r="D996" s="169"/>
      <c r="E996" s="169"/>
      <c r="F996" s="169"/>
      <c r="G996" s="169"/>
      <c r="H996" s="169"/>
      <c r="I996" s="169"/>
      <c r="J996" s="169"/>
    </row>
    <row r="997" spans="1:10" s="167" customFormat="1">
      <c r="A997" s="169"/>
      <c r="B997" s="169"/>
      <c r="C997" s="169"/>
      <c r="D997" s="169"/>
      <c r="E997" s="169"/>
      <c r="F997" s="169"/>
      <c r="G997" s="169"/>
      <c r="H997" s="169"/>
      <c r="I997" s="169"/>
      <c r="J997" s="169"/>
    </row>
    <row r="998" spans="1:10" s="167" customFormat="1">
      <c r="A998" s="169"/>
      <c r="B998" s="169"/>
      <c r="C998" s="169"/>
      <c r="D998" s="169"/>
      <c r="E998" s="169"/>
      <c r="F998" s="169"/>
      <c r="G998" s="169"/>
      <c r="H998" s="169"/>
      <c r="I998" s="169"/>
      <c r="J998" s="169"/>
    </row>
    <row r="999" spans="1:10" s="167" customFormat="1">
      <c r="A999" s="169"/>
      <c r="B999" s="169"/>
      <c r="C999" s="169"/>
      <c r="D999" s="169"/>
      <c r="E999" s="169"/>
      <c r="F999" s="169"/>
      <c r="G999" s="169"/>
      <c r="H999" s="169"/>
      <c r="I999" s="169"/>
      <c r="J999" s="169"/>
    </row>
    <row r="1000" spans="1:10" s="167" customFormat="1">
      <c r="A1000" s="169"/>
      <c r="B1000" s="169"/>
      <c r="C1000" s="169"/>
      <c r="D1000" s="169"/>
      <c r="E1000" s="169"/>
      <c r="F1000" s="169"/>
      <c r="G1000" s="169"/>
      <c r="H1000" s="169"/>
      <c r="I1000" s="169"/>
      <c r="J1000" s="169"/>
    </row>
    <row r="1001" spans="1:10" s="167" customFormat="1">
      <c r="A1001" s="169"/>
      <c r="B1001" s="169"/>
      <c r="C1001" s="169"/>
      <c r="D1001" s="169"/>
      <c r="E1001" s="169"/>
      <c r="F1001" s="169"/>
      <c r="G1001" s="169"/>
      <c r="H1001" s="169"/>
      <c r="I1001" s="169"/>
      <c r="J1001" s="169"/>
    </row>
    <row r="1002" spans="1:10" s="167" customFormat="1">
      <c r="A1002" s="169"/>
      <c r="B1002" s="195"/>
      <c r="C1002" s="169"/>
      <c r="D1002" s="169"/>
      <c r="E1002" s="169"/>
      <c r="F1002" s="169"/>
      <c r="G1002" s="169"/>
      <c r="H1002" s="169"/>
      <c r="I1002" s="169"/>
      <c r="J1002" s="169"/>
    </row>
    <row r="1003" spans="1:10" s="265" customFormat="1">
      <c r="A1003" s="195"/>
      <c r="B1003" s="195"/>
      <c r="C1003" s="195"/>
      <c r="D1003" s="195"/>
      <c r="E1003" s="195"/>
      <c r="F1003" s="195"/>
      <c r="G1003" s="195"/>
      <c r="H1003" s="195"/>
      <c r="I1003" s="195"/>
      <c r="J1003" s="195"/>
    </row>
    <row r="1004" spans="1:10" s="265" customFormat="1">
      <c r="A1004" s="195"/>
      <c r="B1004" s="195"/>
      <c r="C1004" s="195"/>
      <c r="D1004" s="195"/>
      <c r="E1004" s="195"/>
      <c r="F1004" s="195"/>
      <c r="G1004" s="195"/>
      <c r="H1004" s="195"/>
      <c r="I1004" s="195"/>
      <c r="J1004" s="195"/>
    </row>
    <row r="1005" spans="1:10" s="265" customFormat="1">
      <c r="A1005" s="195"/>
      <c r="B1005" s="195"/>
      <c r="C1005" s="195"/>
      <c r="D1005" s="195"/>
      <c r="E1005" s="195"/>
      <c r="F1005" s="195"/>
      <c r="G1005" s="195"/>
      <c r="H1005" s="195"/>
      <c r="I1005" s="195"/>
      <c r="J1005" s="195"/>
    </row>
    <row r="1006" spans="1:10" s="265" customFormat="1">
      <c r="A1006" s="195"/>
      <c r="B1006" s="195"/>
      <c r="C1006" s="195"/>
      <c r="D1006" s="195"/>
      <c r="E1006" s="195"/>
      <c r="F1006" s="195"/>
      <c r="G1006" s="195"/>
      <c r="H1006" s="195"/>
      <c r="I1006" s="195"/>
      <c r="J1006" s="195"/>
    </row>
    <row r="1007" spans="1:10" s="265" customFormat="1">
      <c r="A1007" s="195"/>
      <c r="B1007" s="195"/>
      <c r="C1007" s="195"/>
      <c r="D1007" s="195"/>
      <c r="E1007" s="195"/>
      <c r="F1007" s="195"/>
      <c r="G1007" s="195"/>
      <c r="H1007" s="195"/>
      <c r="I1007" s="195"/>
      <c r="J1007" s="195"/>
    </row>
    <row r="1008" spans="1:10" s="265" customFormat="1">
      <c r="A1008" s="195"/>
      <c r="B1008" s="195"/>
      <c r="C1008" s="195"/>
      <c r="D1008" s="195"/>
      <c r="E1008" s="195"/>
      <c r="F1008" s="195"/>
      <c r="G1008" s="195"/>
      <c r="H1008" s="195"/>
      <c r="I1008" s="195"/>
      <c r="J1008" s="195"/>
    </row>
    <row r="1009" spans="1:10" s="265" customFormat="1">
      <c r="A1009" s="195"/>
      <c r="B1009" s="195"/>
      <c r="C1009" s="195"/>
      <c r="D1009" s="195"/>
      <c r="E1009" s="195"/>
      <c r="F1009" s="195"/>
      <c r="G1009" s="195"/>
      <c r="H1009" s="195"/>
      <c r="I1009" s="195"/>
      <c r="J1009" s="195"/>
    </row>
    <row r="1010" spans="1:10" s="265" customFormat="1">
      <c r="A1010" s="195"/>
      <c r="B1010" s="195"/>
      <c r="C1010" s="195"/>
      <c r="D1010" s="195"/>
      <c r="E1010" s="195"/>
      <c r="F1010" s="195"/>
      <c r="G1010" s="195"/>
      <c r="H1010" s="195"/>
      <c r="I1010" s="195"/>
      <c r="J1010" s="195"/>
    </row>
    <row r="1011" spans="1:10" s="265" customFormat="1">
      <c r="A1011" s="195"/>
      <c r="B1011" s="195"/>
      <c r="C1011" s="195"/>
      <c r="D1011" s="195"/>
      <c r="E1011" s="195"/>
      <c r="F1011" s="195"/>
      <c r="G1011" s="195"/>
      <c r="H1011" s="195"/>
      <c r="I1011" s="195"/>
      <c r="J1011" s="195"/>
    </row>
    <row r="1012" spans="1:10" s="275" customFormat="1">
      <c r="A1012" s="312"/>
      <c r="B1012" s="195"/>
      <c r="C1012" s="312"/>
      <c r="D1012" s="312"/>
      <c r="E1012" s="312"/>
      <c r="F1012" s="312"/>
      <c r="G1012" s="312"/>
      <c r="H1012" s="312"/>
      <c r="I1012" s="312"/>
      <c r="J1012" s="312"/>
    </row>
    <row r="1013" spans="1:10" s="281" customFormat="1" ht="13.5">
      <c r="A1013" s="313"/>
      <c r="B1013" s="312"/>
      <c r="C1013" s="313"/>
      <c r="D1013" s="313"/>
      <c r="E1013" s="313"/>
      <c r="F1013" s="313"/>
      <c r="G1013" s="313"/>
      <c r="H1013" s="313"/>
      <c r="I1013" s="313"/>
      <c r="J1013" s="313"/>
    </row>
    <row r="1014" spans="1:10" s="265" customFormat="1">
      <c r="A1014" s="195"/>
      <c r="B1014" s="305"/>
      <c r="C1014" s="195"/>
      <c r="D1014" s="195"/>
      <c r="E1014" s="195"/>
      <c r="F1014" s="195"/>
      <c r="G1014" s="195"/>
      <c r="H1014" s="195"/>
      <c r="I1014" s="195"/>
      <c r="J1014" s="195"/>
    </row>
    <row r="1015" spans="1:10" s="265" customFormat="1">
      <c r="A1015" s="195"/>
      <c r="B1015" s="169"/>
      <c r="C1015" s="195"/>
      <c r="D1015" s="195"/>
      <c r="E1015" s="195"/>
      <c r="F1015" s="195"/>
      <c r="G1015" s="195"/>
      <c r="H1015" s="195"/>
      <c r="I1015" s="195"/>
      <c r="J1015" s="195"/>
    </row>
    <row r="1016" spans="1:10" s="265" customFormat="1">
      <c r="A1016" s="195"/>
      <c r="B1016" s="169"/>
      <c r="C1016" s="195"/>
      <c r="D1016" s="195"/>
      <c r="E1016" s="195"/>
      <c r="F1016" s="195"/>
      <c r="G1016" s="195"/>
      <c r="H1016" s="195"/>
      <c r="I1016" s="195"/>
      <c r="J1016" s="195"/>
    </row>
    <row r="1017" spans="1:10" s="265" customFormat="1">
      <c r="A1017" s="195"/>
      <c r="B1017" s="169"/>
      <c r="C1017" s="195"/>
      <c r="D1017" s="195"/>
      <c r="E1017" s="195"/>
      <c r="F1017" s="195"/>
      <c r="G1017" s="195"/>
      <c r="H1017" s="195"/>
      <c r="I1017" s="195"/>
      <c r="J1017" s="195"/>
    </row>
    <row r="1018" spans="1:10" s="265" customFormat="1">
      <c r="A1018" s="195"/>
      <c r="B1018" s="169"/>
      <c r="C1018" s="195"/>
      <c r="D1018" s="195"/>
      <c r="E1018" s="195"/>
      <c r="F1018" s="195"/>
      <c r="G1018" s="195"/>
      <c r="H1018" s="195"/>
      <c r="I1018" s="195"/>
      <c r="J1018" s="195"/>
    </row>
    <row r="1019" spans="1:10" s="265" customFormat="1">
      <c r="A1019" s="195"/>
      <c r="B1019" s="169"/>
      <c r="C1019" s="195"/>
      <c r="D1019" s="195"/>
      <c r="E1019" s="195"/>
      <c r="F1019" s="195"/>
      <c r="G1019" s="195"/>
      <c r="H1019" s="195"/>
      <c r="I1019" s="195"/>
      <c r="J1019" s="195"/>
    </row>
    <row r="1020" spans="1:10" s="265" customFormat="1">
      <c r="A1020" s="195"/>
      <c r="B1020" s="169"/>
      <c r="C1020" s="195"/>
      <c r="D1020" s="195"/>
      <c r="E1020" s="195"/>
      <c r="F1020" s="195"/>
      <c r="G1020" s="195"/>
      <c r="H1020" s="195"/>
      <c r="I1020" s="195"/>
      <c r="J1020" s="195"/>
    </row>
    <row r="1021" spans="1:10" s="265" customFormat="1">
      <c r="A1021" s="195"/>
      <c r="B1021" s="169"/>
      <c r="C1021" s="195"/>
      <c r="D1021" s="195"/>
      <c r="E1021" s="195"/>
      <c r="F1021" s="195"/>
      <c r="G1021" s="195"/>
      <c r="H1021" s="195"/>
      <c r="I1021" s="195"/>
      <c r="J1021" s="195"/>
    </row>
    <row r="1022" spans="1:10" s="265" customFormat="1">
      <c r="A1022" s="195"/>
      <c r="B1022" s="169"/>
      <c r="C1022" s="195"/>
      <c r="D1022" s="195"/>
      <c r="E1022" s="195"/>
      <c r="F1022" s="195"/>
      <c r="G1022" s="195"/>
      <c r="H1022" s="195"/>
      <c r="I1022" s="195"/>
      <c r="J1022" s="195"/>
    </row>
    <row r="1023" spans="1:10" s="265" customFormat="1">
      <c r="A1023" s="195"/>
      <c r="B1023" s="169"/>
      <c r="C1023" s="195"/>
      <c r="D1023" s="195"/>
      <c r="E1023" s="195"/>
      <c r="F1023" s="195"/>
      <c r="G1023" s="195"/>
      <c r="H1023" s="195"/>
      <c r="I1023" s="195"/>
      <c r="J1023" s="195"/>
    </row>
    <row r="1024" spans="1:10" s="260" customFormat="1">
      <c r="A1024" s="258"/>
      <c r="B1024" s="169"/>
      <c r="C1024" s="258"/>
      <c r="D1024" s="258"/>
      <c r="E1024" s="258"/>
      <c r="F1024" s="258"/>
      <c r="G1024" s="258"/>
      <c r="H1024" s="258"/>
      <c r="I1024" s="258"/>
      <c r="J1024" s="258"/>
    </row>
    <row r="1025" spans="1:10" s="265" customFormat="1">
      <c r="A1025" s="195"/>
      <c r="B1025" s="195"/>
      <c r="C1025" s="195"/>
      <c r="D1025" s="195"/>
      <c r="E1025" s="195"/>
      <c r="F1025" s="195"/>
      <c r="G1025" s="195"/>
      <c r="H1025" s="195"/>
      <c r="I1025" s="195"/>
      <c r="J1025" s="195"/>
    </row>
    <row r="1026" spans="1:10" s="167" customFormat="1">
      <c r="A1026" s="169"/>
      <c r="B1026" s="195"/>
      <c r="C1026" s="169"/>
      <c r="D1026" s="169"/>
      <c r="E1026" s="169"/>
      <c r="F1026" s="169"/>
      <c r="G1026" s="169"/>
      <c r="H1026" s="169"/>
      <c r="I1026" s="169"/>
      <c r="J1026" s="169"/>
    </row>
    <row r="1027" spans="1:10" s="167" customFormat="1">
      <c r="A1027" s="169"/>
      <c r="B1027" s="169"/>
      <c r="C1027" s="169"/>
      <c r="D1027" s="169"/>
      <c r="E1027" s="169"/>
      <c r="F1027" s="169"/>
      <c r="G1027" s="169"/>
      <c r="H1027" s="169"/>
      <c r="I1027" s="169"/>
      <c r="J1027" s="169"/>
    </row>
    <row r="1028" spans="1:10" s="167" customFormat="1">
      <c r="A1028" s="169"/>
      <c r="B1028" s="169"/>
      <c r="C1028" s="169"/>
      <c r="D1028" s="169"/>
      <c r="E1028" s="169"/>
      <c r="F1028" s="169"/>
      <c r="G1028" s="169"/>
      <c r="H1028" s="169"/>
      <c r="I1028" s="169"/>
      <c r="J1028" s="169"/>
    </row>
    <row r="1029" spans="1:10" s="167" customFormat="1">
      <c r="A1029" s="169"/>
      <c r="B1029" s="169"/>
      <c r="C1029" s="169"/>
      <c r="D1029" s="169"/>
      <c r="E1029" s="169"/>
      <c r="F1029" s="169"/>
      <c r="G1029" s="169"/>
      <c r="H1029" s="169"/>
      <c r="I1029" s="169"/>
      <c r="J1029" s="169"/>
    </row>
  </sheetData>
  <conditionalFormatting sqref="K61:Q65">
    <cfRule type="expression" dxfId="299" priority="240">
      <formula>K$60=""</formula>
    </cfRule>
  </conditionalFormatting>
  <conditionalFormatting sqref="C61:J65">
    <cfRule type="expression" dxfId="298" priority="233">
      <formula>C60=""</formula>
    </cfRule>
    <cfRule type="expression" dxfId="297" priority="234">
      <formula>C61="**"</formula>
    </cfRule>
    <cfRule type="expression" dxfId="296" priority="235">
      <formula>C61=""</formula>
    </cfRule>
    <cfRule type="expression" dxfId="295" priority="236">
      <formula>C61&lt;44.5</formula>
    </cfRule>
    <cfRule type="expression" dxfId="294" priority="237">
      <formula>C61&lt;60.5</formula>
    </cfRule>
    <cfRule type="expression" dxfId="293" priority="238">
      <formula>C61&lt;85.5</formula>
    </cfRule>
    <cfRule type="expression" dxfId="292" priority="239">
      <formula>C61&gt;85.5</formula>
    </cfRule>
  </conditionalFormatting>
  <conditionalFormatting sqref="K31:Q35">
    <cfRule type="expression" dxfId="291" priority="232">
      <formula>K$60=""</formula>
    </cfRule>
  </conditionalFormatting>
  <conditionalFormatting sqref="C31:J35">
    <cfRule type="expression" dxfId="290" priority="225">
      <formula>C30=""</formula>
    </cfRule>
    <cfRule type="expression" dxfId="289" priority="226">
      <formula>C31="**"</formula>
    </cfRule>
    <cfRule type="expression" dxfId="288" priority="227">
      <formula>C31=""</formula>
    </cfRule>
    <cfRule type="expression" dxfId="287" priority="228">
      <formula>C31&lt;44.5</formula>
    </cfRule>
    <cfRule type="expression" dxfId="286" priority="229">
      <formula>C31&lt;60.5</formula>
    </cfRule>
    <cfRule type="expression" dxfId="285" priority="230">
      <formula>C31&lt;85.5</formula>
    </cfRule>
    <cfRule type="expression" dxfId="284" priority="231">
      <formula>C31&gt;85.5</formula>
    </cfRule>
  </conditionalFormatting>
  <conditionalFormatting sqref="K91:Q95">
    <cfRule type="expression" dxfId="283" priority="224">
      <formula>K$60=""</formula>
    </cfRule>
  </conditionalFormatting>
  <conditionalFormatting sqref="C91:J95">
    <cfRule type="expression" dxfId="282" priority="217">
      <formula>C90=""</formula>
    </cfRule>
    <cfRule type="expression" dxfId="281" priority="218">
      <formula>C91="**"</formula>
    </cfRule>
    <cfRule type="expression" dxfId="280" priority="219">
      <formula>C91=""</formula>
    </cfRule>
    <cfRule type="expression" dxfId="279" priority="220">
      <formula>C91&lt;44.5</formula>
    </cfRule>
    <cfRule type="expression" dxfId="278" priority="221">
      <formula>C91&lt;60.5</formula>
    </cfRule>
    <cfRule type="expression" dxfId="277" priority="222">
      <formula>C91&lt;85.5</formula>
    </cfRule>
    <cfRule type="expression" dxfId="276" priority="223">
      <formula>C91&gt;85.5</formula>
    </cfRule>
  </conditionalFormatting>
  <conditionalFormatting sqref="K121:Q125">
    <cfRule type="expression" dxfId="275" priority="216">
      <formula>K$60=""</formula>
    </cfRule>
  </conditionalFormatting>
  <conditionalFormatting sqref="C121:J125">
    <cfRule type="expression" dxfId="274" priority="209">
      <formula>C120=""</formula>
    </cfRule>
    <cfRule type="expression" dxfId="273" priority="210">
      <formula>C121="**"</formula>
    </cfRule>
    <cfRule type="expression" dxfId="272" priority="211">
      <formula>C121=""</formula>
    </cfRule>
    <cfRule type="expression" dxfId="271" priority="212">
      <formula>C121&lt;44.5</formula>
    </cfRule>
    <cfRule type="expression" dxfId="270" priority="213">
      <formula>C121&lt;60.5</formula>
    </cfRule>
    <cfRule type="expression" dxfId="269" priority="214">
      <formula>C121&lt;85.5</formula>
    </cfRule>
    <cfRule type="expression" dxfId="268" priority="215">
      <formula>C121&gt;85.5</formula>
    </cfRule>
  </conditionalFormatting>
  <conditionalFormatting sqref="K151:Q155">
    <cfRule type="expression" dxfId="267" priority="208">
      <formula>K$60=""</formula>
    </cfRule>
  </conditionalFormatting>
  <conditionalFormatting sqref="C151:J155">
    <cfRule type="expression" dxfId="266" priority="201">
      <formula>C150=""</formula>
    </cfRule>
    <cfRule type="expression" dxfId="265" priority="202">
      <formula>C151="**"</formula>
    </cfRule>
    <cfRule type="expression" dxfId="264" priority="203">
      <formula>C151=""</formula>
    </cfRule>
    <cfRule type="expression" dxfId="263" priority="204">
      <formula>C151&lt;44.5</formula>
    </cfRule>
    <cfRule type="expression" dxfId="262" priority="205">
      <formula>C151&lt;60.5</formula>
    </cfRule>
    <cfRule type="expression" dxfId="261" priority="206">
      <formula>C151&lt;85.5</formula>
    </cfRule>
    <cfRule type="expression" dxfId="260" priority="207">
      <formula>C151&gt;85.5</formula>
    </cfRule>
  </conditionalFormatting>
  <conditionalFormatting sqref="K181:Q185">
    <cfRule type="expression" dxfId="259" priority="200">
      <formula>K$60=""</formula>
    </cfRule>
  </conditionalFormatting>
  <conditionalFormatting sqref="C181:J185">
    <cfRule type="expression" dxfId="258" priority="193">
      <formula>C180=""</formula>
    </cfRule>
    <cfRule type="expression" dxfId="257" priority="194">
      <formula>C181="**"</formula>
    </cfRule>
    <cfRule type="expression" dxfId="256" priority="195">
      <formula>C181=""</formula>
    </cfRule>
    <cfRule type="expression" dxfId="255" priority="196">
      <formula>C181&lt;44.5</formula>
    </cfRule>
    <cfRule type="expression" dxfId="254" priority="197">
      <formula>C181&lt;60.5</formula>
    </cfRule>
    <cfRule type="expression" dxfId="253" priority="198">
      <formula>C181&lt;85.5</formula>
    </cfRule>
    <cfRule type="expression" dxfId="252" priority="199">
      <formula>C181&gt;85.5</formula>
    </cfRule>
  </conditionalFormatting>
  <conditionalFormatting sqref="K211:Q215">
    <cfRule type="expression" dxfId="251" priority="192">
      <formula>K$60=""</formula>
    </cfRule>
  </conditionalFormatting>
  <conditionalFormatting sqref="C211:J215">
    <cfRule type="expression" dxfId="250" priority="185">
      <formula>C210=""</formula>
    </cfRule>
    <cfRule type="expression" dxfId="249" priority="186">
      <formula>C211="**"</formula>
    </cfRule>
    <cfRule type="expression" dxfId="248" priority="187">
      <formula>C211=""</formula>
    </cfRule>
    <cfRule type="expression" dxfId="247" priority="188">
      <formula>C211&lt;44.5</formula>
    </cfRule>
    <cfRule type="expression" dxfId="246" priority="189">
      <formula>C211&lt;60.5</formula>
    </cfRule>
    <cfRule type="expression" dxfId="245" priority="190">
      <formula>C211&lt;85.5</formula>
    </cfRule>
    <cfRule type="expression" dxfId="244" priority="191">
      <formula>C211&gt;85.5</formula>
    </cfRule>
  </conditionalFormatting>
  <conditionalFormatting sqref="K241:Q245">
    <cfRule type="expression" dxfId="243" priority="184">
      <formula>K$60=""</formula>
    </cfRule>
  </conditionalFormatting>
  <conditionalFormatting sqref="C241:J245">
    <cfRule type="expression" dxfId="242" priority="177">
      <formula>C240=""</formula>
    </cfRule>
    <cfRule type="expression" dxfId="241" priority="178">
      <formula>C241="**"</formula>
    </cfRule>
    <cfRule type="expression" dxfId="240" priority="179">
      <formula>C241=""</formula>
    </cfRule>
    <cfRule type="expression" dxfId="239" priority="180">
      <formula>C241&lt;44.5</formula>
    </cfRule>
    <cfRule type="expression" dxfId="238" priority="181">
      <formula>C241&lt;60.5</formula>
    </cfRule>
    <cfRule type="expression" dxfId="237" priority="182">
      <formula>C241&lt;85.5</formula>
    </cfRule>
    <cfRule type="expression" dxfId="236" priority="183">
      <formula>C241&gt;85.5</formula>
    </cfRule>
  </conditionalFormatting>
  <conditionalFormatting sqref="K271:Q275">
    <cfRule type="expression" dxfId="235" priority="176">
      <formula>K$60=""</formula>
    </cfRule>
  </conditionalFormatting>
  <conditionalFormatting sqref="C271:J275">
    <cfRule type="expression" dxfId="234" priority="169">
      <formula>C270=""</formula>
    </cfRule>
    <cfRule type="expression" dxfId="233" priority="170">
      <formula>C271="**"</formula>
    </cfRule>
    <cfRule type="expression" dxfId="232" priority="171">
      <formula>C271=""</formula>
    </cfRule>
    <cfRule type="expression" dxfId="231" priority="172">
      <formula>C271&lt;44.5</formula>
    </cfRule>
    <cfRule type="expression" dxfId="230" priority="173">
      <formula>C271&lt;60.5</formula>
    </cfRule>
    <cfRule type="expression" dxfId="229" priority="174">
      <formula>C271&lt;85.5</formula>
    </cfRule>
    <cfRule type="expression" dxfId="228" priority="175">
      <formula>C271&gt;85.5</formula>
    </cfRule>
  </conditionalFormatting>
  <conditionalFormatting sqref="K301:Q305">
    <cfRule type="expression" dxfId="227" priority="168">
      <formula>K$60=""</formula>
    </cfRule>
  </conditionalFormatting>
  <conditionalFormatting sqref="C301:J305">
    <cfRule type="expression" dxfId="226" priority="161">
      <formula>C300=""</formula>
    </cfRule>
    <cfRule type="expression" dxfId="225" priority="162">
      <formula>C301="**"</formula>
    </cfRule>
    <cfRule type="expression" dxfId="224" priority="163">
      <formula>C301=""</formula>
    </cfRule>
    <cfRule type="expression" dxfId="223" priority="164">
      <formula>C301&lt;44.5</formula>
    </cfRule>
    <cfRule type="expression" dxfId="222" priority="165">
      <formula>C301&lt;60.5</formula>
    </cfRule>
    <cfRule type="expression" dxfId="221" priority="166">
      <formula>C301&lt;85.5</formula>
    </cfRule>
    <cfRule type="expression" dxfId="220" priority="167">
      <formula>C301&gt;85.5</formula>
    </cfRule>
  </conditionalFormatting>
  <conditionalFormatting sqref="K331:Q335">
    <cfRule type="expression" dxfId="219" priority="160">
      <formula>K$60=""</formula>
    </cfRule>
  </conditionalFormatting>
  <conditionalFormatting sqref="C331:J335">
    <cfRule type="expression" dxfId="218" priority="153">
      <formula>C330=""</formula>
    </cfRule>
    <cfRule type="expression" dxfId="217" priority="154">
      <formula>C331="**"</formula>
    </cfRule>
    <cfRule type="expression" dxfId="216" priority="155">
      <formula>C331=""</formula>
    </cfRule>
    <cfRule type="expression" dxfId="215" priority="156">
      <formula>C331&lt;44.5</formula>
    </cfRule>
    <cfRule type="expression" dxfId="214" priority="157">
      <formula>C331&lt;60.5</formula>
    </cfRule>
    <cfRule type="expression" dxfId="213" priority="158">
      <formula>C331&lt;85.5</formula>
    </cfRule>
    <cfRule type="expression" dxfId="212" priority="159">
      <formula>C331&gt;85.5</formula>
    </cfRule>
  </conditionalFormatting>
  <conditionalFormatting sqref="K361:Q365">
    <cfRule type="expression" dxfId="211" priority="152">
      <formula>K$60=""</formula>
    </cfRule>
  </conditionalFormatting>
  <conditionalFormatting sqref="C361:J365">
    <cfRule type="expression" dxfId="210" priority="145">
      <formula>C360=""</formula>
    </cfRule>
    <cfRule type="expression" dxfId="209" priority="146">
      <formula>C361="**"</formula>
    </cfRule>
    <cfRule type="expression" dxfId="208" priority="147">
      <formula>C361=""</formula>
    </cfRule>
    <cfRule type="expression" dxfId="207" priority="148">
      <formula>C361&lt;44.5</formula>
    </cfRule>
    <cfRule type="expression" dxfId="206" priority="149">
      <formula>C361&lt;60.5</formula>
    </cfRule>
    <cfRule type="expression" dxfId="205" priority="150">
      <formula>C361&lt;85.5</formula>
    </cfRule>
    <cfRule type="expression" dxfId="204" priority="151">
      <formula>C361&gt;85.5</formula>
    </cfRule>
  </conditionalFormatting>
  <conditionalFormatting sqref="K391:Q395">
    <cfRule type="expression" dxfId="203" priority="144">
      <formula>K$60=""</formula>
    </cfRule>
  </conditionalFormatting>
  <conditionalFormatting sqref="C391:J395">
    <cfRule type="expression" dxfId="202" priority="137">
      <formula>C390=""</formula>
    </cfRule>
    <cfRule type="expression" dxfId="201" priority="138">
      <formula>C391="**"</formula>
    </cfRule>
    <cfRule type="expression" dxfId="200" priority="139">
      <formula>C391=""</formula>
    </cfRule>
    <cfRule type="expression" dxfId="199" priority="140">
      <formula>C391&lt;44.5</formula>
    </cfRule>
    <cfRule type="expression" dxfId="198" priority="141">
      <formula>C391&lt;60.5</formula>
    </cfRule>
    <cfRule type="expression" dxfId="197" priority="142">
      <formula>C391&lt;85.5</formula>
    </cfRule>
    <cfRule type="expression" dxfId="196" priority="143">
      <formula>C391&gt;85.5</formula>
    </cfRule>
  </conditionalFormatting>
  <conditionalFormatting sqref="K421:Q425">
    <cfRule type="expression" dxfId="195" priority="136">
      <formula>K$60=""</formula>
    </cfRule>
  </conditionalFormatting>
  <conditionalFormatting sqref="C421:J425">
    <cfRule type="expression" dxfId="194" priority="129">
      <formula>C420=""</formula>
    </cfRule>
    <cfRule type="expression" dxfId="193" priority="130">
      <formula>C421="**"</formula>
    </cfRule>
    <cfRule type="expression" dxfId="192" priority="131">
      <formula>C421=""</formula>
    </cfRule>
    <cfRule type="expression" dxfId="191" priority="132">
      <formula>C421&lt;44.5</formula>
    </cfRule>
    <cfRule type="expression" dxfId="190" priority="133">
      <formula>C421&lt;60.5</formula>
    </cfRule>
    <cfRule type="expression" dxfId="189" priority="134">
      <formula>C421&lt;85.5</formula>
    </cfRule>
    <cfRule type="expression" dxfId="188" priority="135">
      <formula>C421&gt;85.5</formula>
    </cfRule>
  </conditionalFormatting>
  <conditionalFormatting sqref="K451:Q455">
    <cfRule type="expression" dxfId="187" priority="128">
      <formula>K$60=""</formula>
    </cfRule>
  </conditionalFormatting>
  <conditionalFormatting sqref="C451:J455">
    <cfRule type="expression" dxfId="186" priority="121">
      <formula>C450=""</formula>
    </cfRule>
    <cfRule type="expression" dxfId="185" priority="122">
      <formula>C451="**"</formula>
    </cfRule>
    <cfRule type="expression" dxfId="184" priority="123">
      <formula>C451=""</formula>
    </cfRule>
    <cfRule type="expression" dxfId="183" priority="124">
      <formula>C451&lt;44.5</formula>
    </cfRule>
    <cfRule type="expression" dxfId="182" priority="125">
      <formula>C451&lt;60.5</formula>
    </cfRule>
    <cfRule type="expression" dxfId="181" priority="126">
      <formula>C451&lt;85.5</formula>
    </cfRule>
    <cfRule type="expression" dxfId="180" priority="127">
      <formula>C451&gt;85.5</formula>
    </cfRule>
  </conditionalFormatting>
  <conditionalFormatting sqref="K481:Q485">
    <cfRule type="expression" dxfId="179" priority="120">
      <formula>K$60=""</formula>
    </cfRule>
  </conditionalFormatting>
  <conditionalFormatting sqref="C481:J485">
    <cfRule type="expression" dxfId="178" priority="113">
      <formula>C480=""</formula>
    </cfRule>
    <cfRule type="expression" dxfId="177" priority="114">
      <formula>C481="**"</formula>
    </cfRule>
    <cfRule type="expression" dxfId="176" priority="115">
      <formula>C481=""</formula>
    </cfRule>
    <cfRule type="expression" dxfId="175" priority="116">
      <formula>C481&lt;44.5</formula>
    </cfRule>
    <cfRule type="expression" dxfId="174" priority="117">
      <formula>C481&lt;60.5</formula>
    </cfRule>
    <cfRule type="expression" dxfId="173" priority="118">
      <formula>C481&lt;85.5</formula>
    </cfRule>
    <cfRule type="expression" dxfId="172" priority="119">
      <formula>C481&gt;85.5</formula>
    </cfRule>
  </conditionalFormatting>
  <conditionalFormatting sqref="K511:Q515">
    <cfRule type="expression" dxfId="171" priority="112">
      <formula>K$60=""</formula>
    </cfRule>
  </conditionalFormatting>
  <conditionalFormatting sqref="C511:J515">
    <cfRule type="expression" dxfId="170" priority="105">
      <formula>C510=""</formula>
    </cfRule>
    <cfRule type="expression" dxfId="169" priority="106">
      <formula>C511="**"</formula>
    </cfRule>
    <cfRule type="expression" dxfId="168" priority="107">
      <formula>C511=""</formula>
    </cfRule>
    <cfRule type="expression" dxfId="167" priority="108">
      <formula>C511&lt;44.5</formula>
    </cfRule>
    <cfRule type="expression" dxfId="166" priority="109">
      <formula>C511&lt;60.5</formula>
    </cfRule>
    <cfRule type="expression" dxfId="165" priority="110">
      <formula>C511&lt;85.5</formula>
    </cfRule>
    <cfRule type="expression" dxfId="164" priority="111">
      <formula>C511&gt;85.5</formula>
    </cfRule>
  </conditionalFormatting>
  <conditionalFormatting sqref="K541:Q545">
    <cfRule type="expression" dxfId="163" priority="104">
      <formula>K$60=""</formula>
    </cfRule>
  </conditionalFormatting>
  <conditionalFormatting sqref="C541:J545">
    <cfRule type="expression" dxfId="162" priority="97">
      <formula>C540=""</formula>
    </cfRule>
    <cfRule type="expression" dxfId="161" priority="98">
      <formula>C541="**"</formula>
    </cfRule>
    <cfRule type="expression" dxfId="160" priority="99">
      <formula>C541=""</formula>
    </cfRule>
    <cfRule type="expression" dxfId="159" priority="100">
      <formula>C541&lt;44.5</formula>
    </cfRule>
    <cfRule type="expression" dxfId="158" priority="101">
      <formula>C541&lt;60.5</formula>
    </cfRule>
    <cfRule type="expression" dxfId="157" priority="102">
      <formula>C541&lt;85.5</formula>
    </cfRule>
    <cfRule type="expression" dxfId="156" priority="103">
      <formula>C541&gt;85.5</formula>
    </cfRule>
  </conditionalFormatting>
  <conditionalFormatting sqref="K571:Q575">
    <cfRule type="expression" dxfId="155" priority="96">
      <formula>K$60=""</formula>
    </cfRule>
  </conditionalFormatting>
  <conditionalFormatting sqref="C571:J575">
    <cfRule type="expression" dxfId="154" priority="89">
      <formula>C570=""</formula>
    </cfRule>
    <cfRule type="expression" dxfId="153" priority="90">
      <formula>C571="**"</formula>
    </cfRule>
    <cfRule type="expression" dxfId="152" priority="91">
      <formula>C571=""</formula>
    </cfRule>
    <cfRule type="expression" dxfId="151" priority="92">
      <formula>C571&lt;44.5</formula>
    </cfRule>
    <cfRule type="expression" dxfId="150" priority="93">
      <formula>C571&lt;60.5</formula>
    </cfRule>
    <cfRule type="expression" dxfId="149" priority="94">
      <formula>C571&lt;85.5</formula>
    </cfRule>
    <cfRule type="expression" dxfId="148" priority="95">
      <formula>C571&gt;85.5</formula>
    </cfRule>
  </conditionalFormatting>
  <conditionalFormatting sqref="K601:Q605">
    <cfRule type="expression" dxfId="147" priority="88">
      <formula>K$60=""</formula>
    </cfRule>
  </conditionalFormatting>
  <conditionalFormatting sqref="C601:J605">
    <cfRule type="expression" dxfId="146" priority="81">
      <formula>C600=""</formula>
    </cfRule>
    <cfRule type="expression" dxfId="145" priority="82">
      <formula>C601="**"</formula>
    </cfRule>
    <cfRule type="expression" dxfId="144" priority="83">
      <formula>C601=""</formula>
    </cfRule>
    <cfRule type="expression" dxfId="143" priority="84">
      <formula>C601&lt;44.5</formula>
    </cfRule>
    <cfRule type="expression" dxfId="142" priority="85">
      <formula>C601&lt;60.5</formula>
    </cfRule>
    <cfRule type="expression" dxfId="141" priority="86">
      <formula>C601&lt;85.5</formula>
    </cfRule>
    <cfRule type="expression" dxfId="140" priority="87">
      <formula>C601&gt;85.5</formula>
    </cfRule>
  </conditionalFormatting>
  <conditionalFormatting sqref="K631:Q635">
    <cfRule type="expression" dxfId="139" priority="80">
      <formula>K$60=""</formula>
    </cfRule>
  </conditionalFormatting>
  <conditionalFormatting sqref="C631:J635">
    <cfRule type="expression" dxfId="138" priority="73">
      <formula>C630=""</formula>
    </cfRule>
    <cfRule type="expression" dxfId="137" priority="74">
      <formula>C631="**"</formula>
    </cfRule>
    <cfRule type="expression" dxfId="136" priority="75">
      <formula>C631=""</formula>
    </cfRule>
    <cfRule type="expression" dxfId="135" priority="76">
      <formula>C631&lt;44.5</formula>
    </cfRule>
    <cfRule type="expression" dxfId="134" priority="77">
      <formula>C631&lt;60.5</formula>
    </cfRule>
    <cfRule type="expression" dxfId="133" priority="78">
      <formula>C631&lt;85.5</formula>
    </cfRule>
    <cfRule type="expression" dxfId="132" priority="79">
      <formula>C631&gt;85.5</formula>
    </cfRule>
  </conditionalFormatting>
  <conditionalFormatting sqref="K661:Q665">
    <cfRule type="expression" dxfId="131" priority="72">
      <formula>K$60=""</formula>
    </cfRule>
  </conditionalFormatting>
  <conditionalFormatting sqref="C661:J665">
    <cfRule type="expression" dxfId="130" priority="65">
      <formula>C660=""</formula>
    </cfRule>
    <cfRule type="expression" dxfId="129" priority="66">
      <formula>C661="**"</formula>
    </cfRule>
    <cfRule type="expression" dxfId="128" priority="67">
      <formula>C661=""</formula>
    </cfRule>
    <cfRule type="expression" dxfId="127" priority="68">
      <formula>C661&lt;44.5</formula>
    </cfRule>
    <cfRule type="expression" dxfId="126" priority="69">
      <formula>C661&lt;60.5</formula>
    </cfRule>
    <cfRule type="expression" dxfId="125" priority="70">
      <formula>C661&lt;85.5</formula>
    </cfRule>
    <cfRule type="expression" dxfId="124" priority="71">
      <formula>C661&gt;85.5</formula>
    </cfRule>
  </conditionalFormatting>
  <conditionalFormatting sqref="K691:Q695">
    <cfRule type="expression" dxfId="123" priority="64">
      <formula>K$60=""</formula>
    </cfRule>
  </conditionalFormatting>
  <conditionalFormatting sqref="C691:J695">
    <cfRule type="expression" dxfId="122" priority="57">
      <formula>C690=""</formula>
    </cfRule>
    <cfRule type="expression" dxfId="121" priority="58">
      <formula>C691="**"</formula>
    </cfRule>
    <cfRule type="expression" dxfId="120" priority="59">
      <formula>C691=""</formula>
    </cfRule>
    <cfRule type="expression" dxfId="119" priority="60">
      <formula>C691&lt;44.5</formula>
    </cfRule>
    <cfRule type="expression" dxfId="118" priority="61">
      <formula>C691&lt;60.5</formula>
    </cfRule>
    <cfRule type="expression" dxfId="117" priority="62">
      <formula>C691&lt;85.5</formula>
    </cfRule>
    <cfRule type="expression" dxfId="116" priority="63">
      <formula>C691&gt;85.5</formula>
    </cfRule>
  </conditionalFormatting>
  <conditionalFormatting sqref="K721:Q725">
    <cfRule type="expression" dxfId="115" priority="56">
      <formula>K$60=""</formula>
    </cfRule>
  </conditionalFormatting>
  <conditionalFormatting sqref="C721:J725">
    <cfRule type="expression" dxfId="114" priority="49">
      <formula>C720=""</formula>
    </cfRule>
    <cfRule type="expression" dxfId="113" priority="50">
      <formula>C721="**"</formula>
    </cfRule>
    <cfRule type="expression" dxfId="112" priority="51">
      <formula>C721=""</formula>
    </cfRule>
    <cfRule type="expression" dxfId="111" priority="52">
      <formula>C721&lt;44.5</formula>
    </cfRule>
    <cfRule type="expression" dxfId="110" priority="53">
      <formula>C721&lt;60.5</formula>
    </cfRule>
    <cfRule type="expression" dxfId="109" priority="54">
      <formula>C721&lt;85.5</formula>
    </cfRule>
    <cfRule type="expression" dxfId="108" priority="55">
      <formula>C721&gt;85.5</formula>
    </cfRule>
  </conditionalFormatting>
  <conditionalFormatting sqref="K751:Q755">
    <cfRule type="expression" dxfId="107" priority="48">
      <formula>K$60=""</formula>
    </cfRule>
  </conditionalFormatting>
  <conditionalFormatting sqref="C751:J755">
    <cfRule type="expression" dxfId="106" priority="41">
      <formula>C750=""</formula>
    </cfRule>
    <cfRule type="expression" dxfId="105" priority="42">
      <formula>C751="**"</formula>
    </cfRule>
    <cfRule type="expression" dxfId="104" priority="43">
      <formula>C751=""</formula>
    </cfRule>
    <cfRule type="expression" dxfId="103" priority="44">
      <formula>C751&lt;44.5</formula>
    </cfRule>
    <cfRule type="expression" dxfId="102" priority="45">
      <formula>C751&lt;60.5</formula>
    </cfRule>
    <cfRule type="expression" dxfId="101" priority="46">
      <formula>C751&lt;85.5</formula>
    </cfRule>
    <cfRule type="expression" dxfId="100" priority="47">
      <formula>C751&gt;85.5</formula>
    </cfRule>
  </conditionalFormatting>
  <conditionalFormatting sqref="K781:Q785">
    <cfRule type="expression" dxfId="99" priority="40">
      <formula>K$60=""</formula>
    </cfRule>
  </conditionalFormatting>
  <conditionalFormatting sqref="C781:J785">
    <cfRule type="expression" dxfId="98" priority="33">
      <formula>C780=""</formula>
    </cfRule>
    <cfRule type="expression" dxfId="97" priority="34">
      <formula>C781="**"</formula>
    </cfRule>
    <cfRule type="expression" dxfId="96" priority="35">
      <formula>C781=""</formula>
    </cfRule>
    <cfRule type="expression" dxfId="95" priority="36">
      <formula>C781&lt;44.5</formula>
    </cfRule>
    <cfRule type="expression" dxfId="94" priority="37">
      <formula>C781&lt;60.5</formula>
    </cfRule>
    <cfRule type="expression" dxfId="93" priority="38">
      <formula>C781&lt;85.5</formula>
    </cfRule>
    <cfRule type="expression" dxfId="92" priority="39">
      <formula>C781&gt;85.5</formula>
    </cfRule>
  </conditionalFormatting>
  <conditionalFormatting sqref="K811:Q815">
    <cfRule type="expression" dxfId="91" priority="32">
      <formula>K$60=""</formula>
    </cfRule>
  </conditionalFormatting>
  <conditionalFormatting sqref="C811:J815">
    <cfRule type="expression" dxfId="90" priority="25">
      <formula>C810=""</formula>
    </cfRule>
    <cfRule type="expression" dxfId="89" priority="26">
      <formula>C811="**"</formula>
    </cfRule>
    <cfRule type="expression" dxfId="88" priority="27">
      <formula>C811=""</formula>
    </cfRule>
    <cfRule type="expression" dxfId="87" priority="28">
      <formula>C811&lt;44.5</formula>
    </cfRule>
    <cfRule type="expression" dxfId="86" priority="29">
      <formula>C811&lt;60.5</formula>
    </cfRule>
    <cfRule type="expression" dxfId="85" priority="30">
      <formula>C811&lt;85.5</formula>
    </cfRule>
    <cfRule type="expression" dxfId="84" priority="31">
      <formula>C811&gt;85.5</formula>
    </cfRule>
  </conditionalFormatting>
  <conditionalFormatting sqref="K841:Q845">
    <cfRule type="expression" dxfId="83" priority="24">
      <formula>K$60=""</formula>
    </cfRule>
  </conditionalFormatting>
  <conditionalFormatting sqref="C841:J845">
    <cfRule type="expression" dxfId="82" priority="17">
      <formula>C840=""</formula>
    </cfRule>
    <cfRule type="expression" dxfId="81" priority="18">
      <formula>C841="**"</formula>
    </cfRule>
    <cfRule type="expression" dxfId="80" priority="19">
      <formula>C841=""</formula>
    </cfRule>
    <cfRule type="expression" dxfId="79" priority="20">
      <formula>C841&lt;44.5</formula>
    </cfRule>
    <cfRule type="expression" dxfId="78" priority="21">
      <formula>C841&lt;60.5</formula>
    </cfRule>
    <cfRule type="expression" dxfId="77" priority="22">
      <formula>C841&lt;85.5</formula>
    </cfRule>
    <cfRule type="expression" dxfId="76" priority="23">
      <formula>C841&gt;85.5</formula>
    </cfRule>
  </conditionalFormatting>
  <conditionalFormatting sqref="K871:Q875">
    <cfRule type="expression" dxfId="75" priority="16">
      <formula>K$60=""</formula>
    </cfRule>
  </conditionalFormatting>
  <conditionalFormatting sqref="C871:J875">
    <cfRule type="expression" dxfId="74" priority="9">
      <formula>C870=""</formula>
    </cfRule>
    <cfRule type="expression" dxfId="73" priority="10">
      <formula>C871="**"</formula>
    </cfRule>
    <cfRule type="expression" dxfId="72" priority="11">
      <formula>C871=""</formula>
    </cfRule>
    <cfRule type="expression" dxfId="71" priority="12">
      <formula>C871&lt;44.5</formula>
    </cfRule>
    <cfRule type="expression" dxfId="70" priority="13">
      <formula>C871&lt;60.5</formula>
    </cfRule>
    <cfRule type="expression" dxfId="69" priority="14">
      <formula>C871&lt;85.5</formula>
    </cfRule>
    <cfRule type="expression" dxfId="68" priority="15">
      <formula>C871&gt;85.5</formula>
    </cfRule>
  </conditionalFormatting>
  <conditionalFormatting sqref="C901:J905">
    <cfRule type="expression" dxfId="67" priority="1">
      <formula>C900=""</formula>
    </cfRule>
    <cfRule type="expression" dxfId="66" priority="2">
      <formula>C901="**"</formula>
    </cfRule>
    <cfRule type="expression" dxfId="65" priority="3">
      <formula>C901=""</formula>
    </cfRule>
    <cfRule type="expression" dxfId="64" priority="4">
      <formula>C901&lt;44.5</formula>
    </cfRule>
    <cfRule type="expression" dxfId="63" priority="5">
      <formula>C901&lt;60.5</formula>
    </cfRule>
    <cfRule type="expression" dxfId="62" priority="6">
      <formula>C901&lt;85.5</formula>
    </cfRule>
    <cfRule type="expression" dxfId="61" priority="7">
      <formula>C901&gt;85.5</formula>
    </cfRule>
  </conditionalFormatting>
  <pageMargins left="0.75" right="0.75" top="1" bottom="1" header="0.5" footer="0.5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D91"/>
  <sheetViews>
    <sheetView showGridLines="0" topLeftCell="A17" zoomScale="70" zoomScaleNormal="70" workbookViewId="0">
      <selection activeCell="S67" sqref="S67:W81"/>
    </sheetView>
  </sheetViews>
  <sheetFormatPr baseColWidth="10" defaultColWidth="11.42578125" defaultRowHeight="14.25"/>
  <cols>
    <col min="1" max="1" width="11.42578125" style="5"/>
    <col min="2" max="2" width="6" style="5" customWidth="1"/>
    <col min="3" max="3" width="11.140625" style="5" customWidth="1"/>
    <col min="4" max="4" width="6.7109375" style="5" customWidth="1"/>
    <col min="5" max="10" width="11.140625" style="5" customWidth="1"/>
    <col min="11" max="11" width="5.140625" style="5" customWidth="1"/>
    <col min="12" max="15" width="11.140625" style="5" customWidth="1"/>
    <col min="16" max="16" width="3" style="5" customWidth="1"/>
    <col min="17" max="17" width="11.42578125" style="266"/>
    <col min="18" max="18" width="34" style="169" customWidth="1"/>
    <col min="19" max="23" width="26.7109375" style="258" customWidth="1"/>
    <col min="24" max="16384" width="11.42578125" style="5"/>
  </cols>
  <sheetData>
    <row r="1" spans="1:16">
      <c r="A1" s="5">
        <v>10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</row>
    <row r="2" spans="1:16">
      <c r="A2" s="5" t="s">
        <v>212</v>
      </c>
      <c r="B2" s="5" t="str">
        <f>HLOOKUP($A2&amp;B$1,Tabla!$B:$AS,30*$A$1,0)</f>
        <v>Más de dos</v>
      </c>
      <c r="C2" s="5" t="str">
        <f>HLOOKUP($A2&amp;C$1,Tabla!$B:$AS,30*$A$1,0)</f>
        <v>Dos</v>
      </c>
      <c r="D2" s="5" t="str">
        <f>HLOOKUP($A2&amp;D$1,Tabla!$B:$AS,30*$A$1,0)</f>
        <v>Una</v>
      </c>
      <c r="E2" s="5" t="str">
        <f>HLOOKUP($A2&amp;E$1,Tabla!$B:$AS,30*$A$1,0)</f>
        <v>Ninguna</v>
      </c>
      <c r="F2" s="5">
        <f>HLOOKUP($A2&amp;F$1,Tabla!$B:$AS,30*$A$1,0)</f>
        <v>0</v>
      </c>
      <c r="G2" s="5">
        <f>HLOOKUP($A2&amp;G$1,Tabla!$B:$AS,30*$A$1,0)</f>
        <v>0</v>
      </c>
      <c r="H2" s="5">
        <f>HLOOKUP($A2&amp;H$1,Tabla!$B:$AS,30*$A$1,0)</f>
        <v>0</v>
      </c>
      <c r="I2" s="5">
        <f>HLOOKUP($A2&amp;I$1,Tabla!$B:$AS,30*$A$1,0)</f>
        <v>0</v>
      </c>
    </row>
    <row r="3" spans="1:16">
      <c r="A3" s="5" t="s">
        <v>212</v>
      </c>
      <c r="B3" s="5">
        <f>HLOOKUP($A3&amp;B$1,Tabla!$B:$AS,30*$A$1+9,0)</f>
        <v>405</v>
      </c>
      <c r="C3" s="5">
        <f>HLOOKUP($A3&amp;C$1,Tabla!$B:$AS,30*$A$1+9,0)</f>
        <v>73</v>
      </c>
      <c r="D3" s="5">
        <f>HLOOKUP($A3&amp;D$1,Tabla!$B:$AS,30*$A$1+9,0)</f>
        <v>50</v>
      </c>
      <c r="E3" s="5">
        <f>HLOOKUP($A3&amp;E$1,Tabla!$B:$AS,30*$A$1+9,0)</f>
        <v>13</v>
      </c>
      <c r="F3" s="5">
        <f>HLOOKUP($A3&amp;F$1,Tabla!$B:$AS,30*$A$1+9,0)</f>
        <v>0</v>
      </c>
      <c r="G3" s="5">
        <f>HLOOKUP($A3&amp;G$1,Tabla!$B:$AS,30*$A$1+9,0)</f>
        <v>0</v>
      </c>
      <c r="H3" s="5">
        <f>HLOOKUP($A3&amp;H$1,Tabla!$B:$AS,30*$A$1+9,0)</f>
        <v>0</v>
      </c>
      <c r="I3" s="5">
        <f>HLOOKUP($A3&amp;I$1,Tabla!$B:$AS,30*$A$1+9,0)</f>
        <v>0</v>
      </c>
    </row>
    <row r="4" spans="1:16" ht="18" customHeight="1">
      <c r="A4" s="5" t="s">
        <v>212</v>
      </c>
      <c r="B4" s="5" t="str">
        <f>HLOOKUP($A4&amp;B$1,Tabla!$B:$AS,30*$A$1,0)</f>
        <v>Más de dos</v>
      </c>
      <c r="C4" s="5" t="str">
        <f>HLOOKUP($A4&amp;C$1,Tabla!$B:$AS,30*$A$1,0)</f>
        <v>Dos</v>
      </c>
      <c r="D4" s="5" t="str">
        <f>HLOOKUP($A4&amp;D$1,Tabla!$B:$AS,30*$A$1,0)</f>
        <v>Una</v>
      </c>
      <c r="E4" s="5" t="str">
        <f>HLOOKUP($A4&amp;E$1,Tabla!$B:$AS,30*$A$1,0)</f>
        <v>Ninguna</v>
      </c>
      <c r="F4" s="5">
        <f>HLOOKUP($A4&amp;F$1,Tabla!$B:$AS,30*$A$1,0)</f>
        <v>0</v>
      </c>
      <c r="G4" s="5">
        <f>HLOOKUP($A4&amp;G$1,Tabla!$B:$AS,30*$A$1+12,0)</f>
        <v>0</v>
      </c>
      <c r="H4" s="5">
        <f>HLOOKUP($A4&amp;H$1,Tabla!$B:$AS,30*$A$1+12,0)</f>
        <v>0</v>
      </c>
      <c r="I4" s="5">
        <f>HLOOKUP($A4&amp;I$1,Tabla!$B:$AS,30*$A$1+12,0)</f>
        <v>0</v>
      </c>
    </row>
    <row r="5" spans="1:16">
      <c r="A5" s="5" t="s">
        <v>212</v>
      </c>
      <c r="B5" s="5">
        <f>HLOOKUP($A5&amp;B$1,Tabla!$B:$AS,30*$A$1+14,0)</f>
        <v>306</v>
      </c>
      <c r="C5" s="5">
        <f>HLOOKUP($A5&amp;C$1,Tabla!$B:$AS,30*$A$1+14,0)</f>
        <v>82</v>
      </c>
      <c r="D5" s="5">
        <f>HLOOKUP($A5&amp;D$1,Tabla!$B:$AS,30*$A$1+14,0)</f>
        <v>42</v>
      </c>
      <c r="E5" s="5">
        <f>HLOOKUP($A5&amp;E$1,Tabla!$B:$AS,30*$A$1+14,0)</f>
        <v>10</v>
      </c>
      <c r="F5" s="5">
        <f>HLOOKUP($A5&amp;F$1,Tabla!$B:$AS,30*$A$1+14,0)</f>
        <v>0</v>
      </c>
      <c r="G5" s="5">
        <f>HLOOKUP($A5&amp;G$1,Tabla!$B:$AS,30*$A$1+14,0)</f>
        <v>0</v>
      </c>
      <c r="H5" s="5">
        <f>HLOOKUP($A5&amp;H$1,Tabla!$B:$AS,30*$A$1+14,0)</f>
        <v>0</v>
      </c>
      <c r="I5" s="5">
        <f>HLOOKUP($A5&amp;I$1,Tabla!$B:$AS,30*$A$1+14,0)</f>
        <v>0</v>
      </c>
    </row>
    <row r="6" spans="1:16">
      <c r="A6" s="5">
        <f>DetalleDimension!$F$3</f>
        <v>2016</v>
      </c>
      <c r="B6" s="181">
        <f>B5/SUM($B$5:$I$5)*100</f>
        <v>69.545454545454547</v>
      </c>
      <c r="C6" s="181">
        <f t="shared" ref="C6:I6" si="0">C5/SUM($B$5:$I$5)*100</f>
        <v>18.636363636363637</v>
      </c>
      <c r="D6" s="181">
        <f t="shared" si="0"/>
        <v>9.5454545454545467</v>
      </c>
      <c r="E6" s="181">
        <f t="shared" si="0"/>
        <v>2.2727272727272729</v>
      </c>
      <c r="F6" s="181">
        <f t="shared" si="0"/>
        <v>0</v>
      </c>
      <c r="G6" s="181">
        <f t="shared" si="0"/>
        <v>0</v>
      </c>
      <c r="H6" s="181">
        <f t="shared" si="0"/>
        <v>0</v>
      </c>
      <c r="I6" s="181">
        <f t="shared" si="0"/>
        <v>0</v>
      </c>
      <c r="K6" s="181">
        <f>+A6</f>
        <v>2016</v>
      </c>
      <c r="L6" s="341">
        <f>+B6/100</f>
        <v>0.69545454545454544</v>
      </c>
      <c r="M6" s="341">
        <f t="shared" ref="M6:P7" si="1">+C6/100</f>
        <v>0.18636363636363637</v>
      </c>
      <c r="N6" s="341">
        <f t="shared" si="1"/>
        <v>9.5454545454545472E-2</v>
      </c>
      <c r="O6" s="341">
        <f t="shared" si="1"/>
        <v>2.2727272727272728E-2</v>
      </c>
      <c r="P6" s="341">
        <f t="shared" si="1"/>
        <v>0</v>
      </c>
    </row>
    <row r="7" spans="1:16">
      <c r="A7" s="5">
        <f>DetalleDimension!$E$3</f>
        <v>2017</v>
      </c>
      <c r="B7" s="181">
        <f>B3/SUM($B$3:$I$3)*100</f>
        <v>74.861367837338264</v>
      </c>
      <c r="C7" s="181">
        <f t="shared" ref="C7:I7" si="2">C3/SUM($B$3:$I$3)*100</f>
        <v>13.493530499075785</v>
      </c>
      <c r="D7" s="181">
        <f t="shared" si="2"/>
        <v>9.2421441774491679</v>
      </c>
      <c r="E7" s="181">
        <f t="shared" si="2"/>
        <v>2.4029574861367835</v>
      </c>
      <c r="F7" s="181">
        <f t="shared" si="2"/>
        <v>0</v>
      </c>
      <c r="G7" s="181">
        <f t="shared" si="2"/>
        <v>0</v>
      </c>
      <c r="H7" s="181">
        <f t="shared" si="2"/>
        <v>0</v>
      </c>
      <c r="I7" s="181">
        <f t="shared" si="2"/>
        <v>0</v>
      </c>
      <c r="K7" s="181">
        <f>+A7</f>
        <v>2017</v>
      </c>
      <c r="L7" s="341">
        <f>+B7/100</f>
        <v>0.74861367837338266</v>
      </c>
      <c r="M7" s="341">
        <f t="shared" si="1"/>
        <v>0.13493530499075784</v>
      </c>
      <c r="N7" s="341">
        <f t="shared" si="1"/>
        <v>9.2421441774491686E-2</v>
      </c>
      <c r="O7" s="341">
        <f t="shared" si="1"/>
        <v>2.4029574861367836E-2</v>
      </c>
      <c r="P7" s="341">
        <f t="shared" si="1"/>
        <v>0</v>
      </c>
    </row>
    <row r="46" spans="2:7" ht="15" thickBot="1"/>
    <row r="47" spans="2:7" ht="20.25" thickTop="1" thickBot="1">
      <c r="B47" s="541">
        <f>$A$7</f>
        <v>2017</v>
      </c>
      <c r="C47" s="542"/>
      <c r="D47" s="378"/>
      <c r="E47" s="412" t="s">
        <v>855</v>
      </c>
      <c r="G47" s="389" t="str">
        <f>"Total respondentes: "&amp;SUM($B$3:$F$3)</f>
        <v>Total respondentes: 541</v>
      </c>
    </row>
    <row r="48" spans="2:7" ht="20.25" thickTop="1" thickBot="1">
      <c r="B48" s="541" t="str">
        <f>IF(Tabla!A2=1,$A$6,""&amp;$A$6)</f>
        <v>2016</v>
      </c>
      <c r="C48" s="542"/>
      <c r="D48" s="379"/>
      <c r="E48" s="412" t="s">
        <v>856</v>
      </c>
      <c r="G48" s="389" t="str">
        <f>"Total respondentes: "&amp;SUM($B$5:$F$5)</f>
        <v>Total respondentes: 440</v>
      </c>
    </row>
    <row r="49" spans="1:56" ht="15" thickTop="1"/>
    <row r="50" spans="1:56">
      <c r="A50" s="167"/>
      <c r="B50" s="167"/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</row>
    <row r="51" spans="1:56" s="169" customFormat="1">
      <c r="A51" s="167"/>
      <c r="B51" s="167"/>
      <c r="C51" s="260"/>
      <c r="D51" s="260"/>
      <c r="E51" s="260"/>
      <c r="F51" s="260"/>
      <c r="G51" s="260"/>
      <c r="H51" s="259"/>
      <c r="I51" s="259"/>
      <c r="J51" s="259"/>
      <c r="K51" s="259"/>
      <c r="L51" s="259"/>
      <c r="M51" s="259"/>
      <c r="N51" s="260"/>
      <c r="O51" s="260"/>
      <c r="P51" s="260"/>
      <c r="Q51" s="260">
        <v>0</v>
      </c>
      <c r="R51" s="260">
        <f>DetalleDimension!$M$2</f>
        <v>2016</v>
      </c>
      <c r="S51" s="169" t="s">
        <v>213</v>
      </c>
      <c r="T51" s="169" t="s">
        <v>214</v>
      </c>
      <c r="U51" s="169" t="s">
        <v>215</v>
      </c>
      <c r="V51" s="169" t="s">
        <v>216</v>
      </c>
      <c r="W51" s="169" t="s">
        <v>217</v>
      </c>
      <c r="AJ51" s="195"/>
      <c r="AK51" s="195"/>
      <c r="AL51" s="195"/>
      <c r="AM51" s="195"/>
      <c r="AN51" s="195"/>
      <c r="AO51" s="195"/>
      <c r="AP51" s="195"/>
      <c r="AQ51" s="195"/>
    </row>
    <row r="52" spans="1:56" s="167" customFormat="1">
      <c r="C52" s="260"/>
      <c r="D52" s="260"/>
      <c r="E52" s="260"/>
      <c r="F52" s="260"/>
      <c r="G52" s="260"/>
      <c r="H52" s="262"/>
      <c r="I52" s="262"/>
      <c r="J52" s="262"/>
      <c r="K52" s="262"/>
      <c r="L52" s="262"/>
      <c r="M52" s="262"/>
      <c r="N52" s="263"/>
      <c r="O52" s="264"/>
      <c r="P52" s="264"/>
      <c r="Q52" s="264"/>
      <c r="R52" s="264">
        <f>DetalleDimension!$N$2</f>
        <v>2017</v>
      </c>
      <c r="AJ52" s="265"/>
      <c r="AK52" s="265"/>
      <c r="AL52" s="265"/>
      <c r="AM52" s="265"/>
      <c r="AN52" s="265"/>
      <c r="AO52" s="265"/>
      <c r="AP52" s="265"/>
      <c r="AQ52" s="265"/>
    </row>
    <row r="53" spans="1:56" s="167" customFormat="1">
      <c r="A53" s="301"/>
      <c r="C53" s="260"/>
      <c r="D53" s="260"/>
      <c r="E53" s="260"/>
      <c r="F53" s="260"/>
      <c r="G53" s="260"/>
      <c r="H53" s="361"/>
      <c r="I53" s="267"/>
      <c r="J53" s="267"/>
      <c r="K53" s="267"/>
      <c r="L53" s="267"/>
      <c r="M53" s="262"/>
      <c r="N53" s="263"/>
      <c r="O53" s="264"/>
      <c r="P53" s="264"/>
      <c r="Q53" s="264"/>
      <c r="R53" s="264"/>
      <c r="AJ53" s="265"/>
      <c r="AK53" s="265"/>
      <c r="AL53" s="265"/>
      <c r="AM53" s="265"/>
      <c r="AN53" s="265"/>
      <c r="AO53" s="265"/>
      <c r="AP53" s="265"/>
      <c r="AQ53" s="265"/>
      <c r="AR53" s="265"/>
      <c r="AS53" s="265"/>
      <c r="AT53" s="265"/>
      <c r="AU53" s="265"/>
      <c r="AV53" s="265"/>
      <c r="AW53" s="265"/>
      <c r="AX53" s="265"/>
      <c r="AY53" s="265"/>
      <c r="AZ53" s="265"/>
      <c r="BA53" s="265"/>
      <c r="BB53" s="265"/>
      <c r="BC53" s="265"/>
      <c r="BD53" s="265"/>
    </row>
    <row r="54" spans="1:56" s="167" customFormat="1">
      <c r="A54" s="301"/>
      <c r="C54" s="260"/>
      <c r="D54" s="260"/>
      <c r="E54" s="260"/>
      <c r="F54" s="362"/>
      <c r="G54" s="363"/>
      <c r="H54" s="361"/>
      <c r="I54" s="267"/>
      <c r="J54" s="267"/>
      <c r="K54" s="267"/>
      <c r="L54" s="267"/>
      <c r="M54" s="262"/>
      <c r="N54" s="263"/>
      <c r="O54" s="264"/>
      <c r="P54" s="264"/>
      <c r="Q54" s="264"/>
      <c r="R54" s="264"/>
      <c r="AJ54" s="265"/>
      <c r="AK54" s="265"/>
      <c r="AL54" s="265"/>
      <c r="AM54" s="265"/>
      <c r="AN54" s="265"/>
      <c r="AO54" s="265"/>
      <c r="AP54" s="265"/>
      <c r="AQ54" s="265"/>
      <c r="AR54" s="265"/>
      <c r="AS54" s="265"/>
      <c r="AT54" s="265"/>
      <c r="AU54" s="265"/>
      <c r="AV54" s="265"/>
      <c r="AW54" s="265"/>
      <c r="AX54" s="265"/>
      <c r="AY54" s="265"/>
      <c r="AZ54" s="265"/>
      <c r="BA54" s="265"/>
      <c r="BB54" s="265"/>
      <c r="BC54" s="265"/>
      <c r="BD54" s="265"/>
    </row>
    <row r="55" spans="1:56" s="167" customFormat="1">
      <c r="C55" s="260"/>
      <c r="D55" s="260"/>
      <c r="E55" s="260"/>
      <c r="F55" s="362"/>
      <c r="G55" s="364"/>
      <c r="H55" s="361"/>
      <c r="I55" s="267"/>
      <c r="J55" s="267"/>
      <c r="K55" s="267"/>
      <c r="L55" s="267"/>
      <c r="M55" s="262"/>
      <c r="N55" s="263"/>
      <c r="O55" s="264"/>
      <c r="P55" s="264"/>
      <c r="Q55" s="264"/>
      <c r="R55" s="264"/>
      <c r="AJ55" s="265"/>
      <c r="AK55" s="265"/>
      <c r="AL55" s="265"/>
      <c r="AM55" s="265"/>
      <c r="AN55" s="265"/>
      <c r="AO55" s="265"/>
      <c r="AP55" s="265"/>
      <c r="AQ55" s="265"/>
      <c r="AR55" s="265"/>
      <c r="AS55" s="265"/>
      <c r="AT55" s="265"/>
      <c r="AU55" s="265"/>
      <c r="AV55" s="265"/>
      <c r="AW55" s="265"/>
      <c r="AX55" s="265"/>
      <c r="AY55" s="265"/>
      <c r="AZ55" s="265"/>
      <c r="BA55" s="265"/>
      <c r="BB55" s="265"/>
      <c r="BC55" s="265"/>
      <c r="BD55" s="265"/>
    </row>
    <row r="56" spans="1:56" s="167" customFormat="1">
      <c r="A56" s="301"/>
      <c r="C56" s="260"/>
      <c r="D56" s="260"/>
      <c r="E56" s="260"/>
      <c r="F56" s="362"/>
      <c r="G56" s="260"/>
      <c r="H56" s="361"/>
      <c r="I56" s="267"/>
      <c r="J56" s="267"/>
      <c r="K56" s="267"/>
      <c r="L56" s="267"/>
      <c r="M56" s="262"/>
      <c r="N56" s="263"/>
      <c r="O56" s="264"/>
      <c r="P56" s="264"/>
      <c r="Q56" s="264"/>
      <c r="R56" s="264"/>
      <c r="AJ56" s="265"/>
      <c r="AK56" s="265"/>
      <c r="AL56" s="265"/>
      <c r="AM56" s="265"/>
      <c r="AN56" s="265"/>
      <c r="AO56" s="265"/>
      <c r="AP56" s="265"/>
      <c r="AQ56" s="265"/>
      <c r="AR56" s="265"/>
      <c r="AS56" s="265"/>
      <c r="AT56" s="265"/>
      <c r="AU56" s="265"/>
      <c r="AV56" s="265"/>
      <c r="AW56" s="265"/>
      <c r="AX56" s="265"/>
      <c r="AY56" s="265"/>
      <c r="AZ56" s="265"/>
      <c r="BA56" s="265"/>
      <c r="BB56" s="265"/>
      <c r="BC56" s="265"/>
      <c r="BD56" s="265"/>
    </row>
    <row r="57" spans="1:56" s="167" customFormat="1">
      <c r="A57" s="301"/>
      <c r="C57" s="260"/>
      <c r="D57" s="260"/>
      <c r="E57" s="260"/>
      <c r="F57" s="362"/>
      <c r="G57" s="260"/>
      <c r="H57" s="262"/>
      <c r="I57" s="262"/>
      <c r="J57" s="262"/>
      <c r="K57" s="262"/>
      <c r="L57" s="262"/>
      <c r="M57" s="262"/>
      <c r="N57" s="263"/>
      <c r="O57" s="264"/>
      <c r="P57" s="264"/>
      <c r="Q57" s="264"/>
      <c r="R57" s="264"/>
      <c r="AJ57" s="265"/>
      <c r="AK57" s="265"/>
      <c r="AL57" s="265"/>
      <c r="AM57" s="265"/>
      <c r="AN57" s="265"/>
      <c r="AO57" s="265"/>
      <c r="AP57" s="265"/>
      <c r="AQ57" s="265"/>
      <c r="AR57" s="265"/>
      <c r="AS57" s="265"/>
      <c r="AT57" s="265"/>
      <c r="AU57" s="265"/>
      <c r="AV57" s="265"/>
      <c r="AW57" s="265"/>
      <c r="AX57" s="265"/>
      <c r="AY57" s="265"/>
      <c r="AZ57" s="265"/>
      <c r="BA57" s="265"/>
      <c r="BB57" s="265"/>
      <c r="BC57" s="265"/>
      <c r="BD57" s="265"/>
    </row>
    <row r="58" spans="1:56" s="167" customFormat="1">
      <c r="A58" s="301"/>
      <c r="C58" s="260"/>
      <c r="D58" s="260"/>
      <c r="E58" s="260"/>
      <c r="F58" s="260"/>
      <c r="G58" s="260"/>
      <c r="H58" s="262"/>
      <c r="I58" s="262"/>
      <c r="J58" s="262"/>
      <c r="K58" s="262"/>
      <c r="L58" s="262"/>
      <c r="M58" s="262"/>
      <c r="N58" s="263"/>
      <c r="O58" s="264"/>
      <c r="P58" s="264"/>
      <c r="Q58" s="264"/>
      <c r="R58" s="264"/>
      <c r="AJ58" s="265"/>
      <c r="AK58" s="265"/>
      <c r="AL58" s="265"/>
      <c r="AM58" s="265"/>
      <c r="AN58" s="265"/>
      <c r="AO58" s="265"/>
      <c r="AP58" s="265"/>
      <c r="AQ58" s="265"/>
      <c r="AR58" s="265"/>
      <c r="AS58" s="265"/>
      <c r="AT58" s="265"/>
      <c r="AU58" s="265"/>
      <c r="AV58" s="265"/>
      <c r="AW58" s="265"/>
      <c r="AX58" s="265"/>
      <c r="AY58" s="265"/>
      <c r="AZ58" s="265"/>
      <c r="BA58" s="265"/>
      <c r="BB58" s="265"/>
      <c r="BC58" s="265"/>
      <c r="BD58" s="265"/>
    </row>
    <row r="59" spans="1:56" s="167" customFormat="1">
      <c r="A59" s="301"/>
      <c r="C59" s="260"/>
      <c r="D59" s="260"/>
      <c r="E59" s="260"/>
      <c r="F59" s="260"/>
      <c r="G59" s="260"/>
      <c r="H59" s="262"/>
      <c r="I59" s="262"/>
      <c r="J59" s="262"/>
      <c r="K59" s="262"/>
      <c r="L59" s="262"/>
      <c r="M59" s="262"/>
      <c r="N59" s="263"/>
      <c r="O59" s="264"/>
      <c r="P59" s="264"/>
      <c r="Q59" s="264"/>
      <c r="R59" s="264"/>
      <c r="AJ59" s="265"/>
      <c r="AK59" s="265"/>
      <c r="AL59" s="265"/>
      <c r="AM59" s="265"/>
      <c r="AN59" s="265"/>
      <c r="AO59" s="265"/>
      <c r="AP59" s="265"/>
      <c r="AQ59" s="265"/>
      <c r="AR59" s="265"/>
      <c r="AS59" s="265"/>
      <c r="AT59" s="265"/>
      <c r="AU59" s="265"/>
      <c r="AV59" s="265"/>
      <c r="AW59" s="265"/>
      <c r="AX59" s="265"/>
      <c r="AY59" s="265"/>
      <c r="AZ59" s="265"/>
      <c r="BA59" s="265"/>
      <c r="BB59" s="265"/>
      <c r="BC59" s="265"/>
      <c r="BD59" s="265"/>
    </row>
    <row r="60" spans="1:56" s="167" customFormat="1">
      <c r="A60" s="301"/>
      <c r="C60" s="260"/>
      <c r="D60" s="260"/>
      <c r="E60" s="260"/>
      <c r="F60" s="260"/>
      <c r="G60" s="260"/>
      <c r="H60" s="263"/>
      <c r="I60" s="263"/>
      <c r="J60" s="263"/>
      <c r="K60" s="263"/>
      <c r="L60" s="263"/>
      <c r="M60" s="263"/>
      <c r="N60" s="263"/>
      <c r="O60" s="264"/>
      <c r="P60" s="264"/>
      <c r="Q60" s="264"/>
      <c r="R60" s="264"/>
      <c r="AJ60" s="265"/>
      <c r="AK60" s="265"/>
      <c r="AL60" s="265"/>
      <c r="AM60" s="265"/>
      <c r="AN60" s="265"/>
      <c r="AO60" s="265"/>
      <c r="AP60" s="265"/>
      <c r="AQ60" s="265"/>
      <c r="AR60" s="265"/>
      <c r="AS60" s="265"/>
      <c r="AT60" s="265"/>
      <c r="AU60" s="265"/>
      <c r="AV60" s="265"/>
      <c r="AW60" s="265"/>
      <c r="AX60" s="265"/>
      <c r="AY60" s="265"/>
      <c r="AZ60" s="265"/>
      <c r="BA60" s="265"/>
      <c r="BB60" s="265"/>
      <c r="BC60" s="265"/>
      <c r="BD60" s="265"/>
    </row>
    <row r="61" spans="1:56" s="167" customFormat="1">
      <c r="A61" s="301"/>
      <c r="C61" s="260"/>
      <c r="D61" s="260"/>
      <c r="E61" s="260"/>
      <c r="F61" s="260"/>
      <c r="G61" s="260"/>
      <c r="H61" s="263"/>
      <c r="I61" s="263"/>
      <c r="J61" s="263"/>
      <c r="K61" s="263"/>
      <c r="L61" s="263"/>
      <c r="M61" s="263"/>
      <c r="N61" s="263"/>
      <c r="O61" s="264"/>
      <c r="P61" s="264"/>
      <c r="Q61" s="264"/>
      <c r="R61" s="264"/>
      <c r="AJ61" s="265"/>
      <c r="AK61" s="265"/>
      <c r="AL61" s="265"/>
      <c r="AM61" s="265"/>
      <c r="AN61" s="265"/>
      <c r="AO61" s="265"/>
      <c r="AP61" s="265"/>
      <c r="AQ61" s="265"/>
      <c r="AR61" s="265"/>
      <c r="AS61" s="265"/>
      <c r="AT61" s="265"/>
      <c r="AU61" s="265"/>
      <c r="AV61" s="265"/>
      <c r="AW61" s="265"/>
      <c r="AX61" s="265"/>
      <c r="AY61" s="265"/>
      <c r="AZ61" s="265"/>
      <c r="BA61" s="265"/>
      <c r="BB61" s="265"/>
      <c r="BC61" s="265"/>
      <c r="BD61" s="265"/>
    </row>
    <row r="62" spans="1:56" s="167" customFormat="1">
      <c r="A62" s="301"/>
      <c r="C62" s="260"/>
      <c r="D62" s="260"/>
      <c r="E62" s="260"/>
      <c r="F62" s="260"/>
      <c r="G62" s="260"/>
      <c r="H62" s="263"/>
      <c r="I62" s="263"/>
      <c r="J62" s="263"/>
      <c r="K62" s="263"/>
      <c r="L62" s="263"/>
      <c r="M62" s="263"/>
      <c r="N62" s="263"/>
      <c r="O62" s="264"/>
      <c r="P62" s="264"/>
      <c r="Q62" s="264"/>
      <c r="R62" s="264"/>
      <c r="AJ62" s="265"/>
      <c r="AK62" s="265"/>
      <c r="AL62" s="265"/>
      <c r="AM62" s="265"/>
      <c r="AN62" s="265"/>
      <c r="AO62" s="265"/>
      <c r="AP62" s="265"/>
      <c r="AQ62" s="265"/>
      <c r="AR62" s="265"/>
      <c r="AS62" s="265"/>
      <c r="AT62" s="265"/>
      <c r="AU62" s="265"/>
      <c r="AV62" s="265"/>
      <c r="AW62" s="265"/>
      <c r="AX62" s="265"/>
      <c r="AY62" s="265"/>
      <c r="AZ62" s="265"/>
      <c r="BA62" s="265"/>
      <c r="BB62" s="265"/>
      <c r="BC62" s="265"/>
      <c r="BD62" s="265"/>
    </row>
    <row r="63" spans="1:56" s="167" customFormat="1">
      <c r="A63" s="301"/>
      <c r="C63" s="260"/>
      <c r="D63" s="260"/>
      <c r="E63" s="260"/>
      <c r="F63" s="260"/>
      <c r="G63" s="260"/>
      <c r="H63" s="264"/>
      <c r="I63" s="264"/>
      <c r="J63" s="264"/>
      <c r="K63" s="264"/>
      <c r="L63" s="264"/>
      <c r="M63" s="264"/>
      <c r="N63" s="264"/>
      <c r="O63" s="264"/>
      <c r="P63" s="264"/>
      <c r="Q63" s="264"/>
      <c r="R63" s="264"/>
      <c r="AJ63" s="265"/>
      <c r="AK63" s="265"/>
      <c r="AL63" s="265"/>
      <c r="AM63" s="265"/>
      <c r="AN63" s="265"/>
      <c r="AO63" s="265"/>
      <c r="AP63" s="265"/>
      <c r="AQ63" s="265"/>
      <c r="AR63" s="265"/>
      <c r="AS63" s="265"/>
      <c r="AT63" s="265"/>
      <c r="AU63" s="265"/>
      <c r="AV63" s="265"/>
      <c r="AW63" s="265"/>
      <c r="AX63" s="265"/>
      <c r="AY63" s="265"/>
      <c r="AZ63" s="265"/>
      <c r="BA63" s="265"/>
      <c r="BB63" s="265"/>
      <c r="BC63" s="265"/>
      <c r="BD63" s="265"/>
    </row>
    <row r="64" spans="1:56" s="167" customFormat="1">
      <c r="A64" s="301"/>
      <c r="C64" s="260"/>
      <c r="D64" s="260"/>
      <c r="E64" s="260"/>
      <c r="F64" s="260"/>
      <c r="G64" s="260"/>
      <c r="H64" s="264"/>
      <c r="I64" s="264"/>
      <c r="J64" s="264"/>
      <c r="K64" s="264"/>
      <c r="L64" s="264"/>
      <c r="M64" s="264"/>
      <c r="N64" s="264"/>
      <c r="O64" s="264"/>
      <c r="P64" s="264"/>
      <c r="Q64" s="264"/>
      <c r="R64" s="264"/>
      <c r="AJ64" s="265"/>
      <c r="AK64" s="265"/>
      <c r="AL64" s="265"/>
      <c r="AM64" s="265"/>
      <c r="AN64" s="265"/>
      <c r="AO64" s="265"/>
      <c r="AP64" s="265"/>
      <c r="AQ64" s="265"/>
      <c r="AR64" s="265"/>
      <c r="AS64" s="265"/>
      <c r="AT64" s="265"/>
      <c r="AU64" s="265"/>
      <c r="AV64" s="265"/>
      <c r="AW64" s="265"/>
      <c r="AX64" s="265"/>
      <c r="AY64" s="265"/>
      <c r="AZ64" s="265"/>
      <c r="BA64" s="265"/>
      <c r="BB64" s="265"/>
      <c r="BC64" s="265"/>
      <c r="BD64" s="265"/>
    </row>
    <row r="65" spans="1:56" s="167" customFormat="1">
      <c r="A65" s="301"/>
      <c r="C65" s="260"/>
      <c r="D65" s="260"/>
      <c r="E65" s="260"/>
      <c r="F65" s="260"/>
      <c r="G65" s="260"/>
      <c r="H65" s="264"/>
      <c r="I65" s="264"/>
      <c r="J65" s="264"/>
      <c r="K65" s="264"/>
      <c r="L65" s="264"/>
      <c r="M65" s="264"/>
      <c r="N65" s="264"/>
      <c r="O65" s="264"/>
      <c r="P65" s="264"/>
      <c r="Q65" s="264"/>
      <c r="R65" s="264"/>
      <c r="AJ65" s="265"/>
      <c r="AK65" s="265"/>
      <c r="AL65" s="265"/>
      <c r="AM65" s="265"/>
      <c r="AN65" s="265"/>
      <c r="AO65" s="265"/>
      <c r="AP65" s="265"/>
      <c r="AQ65" s="265"/>
      <c r="AR65" s="265"/>
      <c r="AS65" s="265"/>
      <c r="AT65" s="265"/>
      <c r="AU65" s="265"/>
      <c r="AV65" s="265"/>
      <c r="AW65" s="265"/>
      <c r="AX65" s="265"/>
      <c r="AY65" s="265"/>
      <c r="AZ65" s="265"/>
      <c r="BA65" s="265"/>
      <c r="BB65" s="265"/>
      <c r="BC65" s="265"/>
      <c r="BD65" s="265"/>
    </row>
    <row r="66" spans="1:56" s="167" customFormat="1">
      <c r="A66" s="301"/>
      <c r="C66" s="260"/>
      <c r="D66" s="260"/>
      <c r="E66" s="260"/>
      <c r="F66" s="260"/>
      <c r="G66" s="260"/>
      <c r="H66" s="264"/>
      <c r="I66" s="264"/>
      <c r="J66" s="264"/>
      <c r="K66" s="264"/>
      <c r="L66" s="264"/>
      <c r="M66" s="264"/>
      <c r="N66" s="264"/>
      <c r="O66" s="264"/>
      <c r="P66" s="264"/>
      <c r="Q66" s="264"/>
      <c r="R66" s="264"/>
      <c r="AJ66" s="265"/>
      <c r="AK66" s="265"/>
      <c r="AL66" s="265"/>
      <c r="AM66" s="265"/>
      <c r="AN66" s="265"/>
      <c r="AO66" s="265"/>
      <c r="AP66" s="265"/>
      <c r="AQ66" s="265"/>
      <c r="AR66" s="265"/>
      <c r="AS66" s="265"/>
      <c r="AT66" s="265"/>
      <c r="AU66" s="265"/>
      <c r="AV66" s="265"/>
      <c r="AW66" s="265"/>
      <c r="AX66" s="265"/>
      <c r="AY66" s="265"/>
      <c r="AZ66" s="265"/>
      <c r="BA66" s="265"/>
      <c r="BB66" s="265"/>
      <c r="BC66" s="265"/>
      <c r="BD66" s="265"/>
    </row>
    <row r="67" spans="1:56" s="167" customFormat="1">
      <c r="A67" s="301"/>
      <c r="C67" s="260"/>
      <c r="D67" s="260"/>
      <c r="E67" s="260"/>
      <c r="F67" s="260"/>
      <c r="G67" s="260"/>
      <c r="H67" s="264"/>
      <c r="I67" s="264"/>
      <c r="J67" s="264"/>
      <c r="K67" s="264"/>
      <c r="L67" s="264"/>
      <c r="M67" s="264"/>
      <c r="N67" s="264"/>
      <c r="O67" s="264"/>
      <c r="P67" s="264"/>
      <c r="Q67" s="264"/>
      <c r="R67" s="264"/>
      <c r="AJ67" s="265"/>
      <c r="AK67" s="265"/>
      <c r="AL67" s="265"/>
      <c r="AM67" s="265"/>
      <c r="AN67" s="265"/>
      <c r="AO67" s="265"/>
      <c r="AP67" s="265"/>
      <c r="AQ67" s="265"/>
      <c r="AR67" s="265"/>
      <c r="AS67" s="265"/>
      <c r="AT67" s="265"/>
      <c r="AU67" s="265"/>
      <c r="AV67" s="265"/>
      <c r="AW67" s="265"/>
      <c r="AX67" s="265"/>
      <c r="AY67" s="265"/>
      <c r="AZ67" s="265"/>
      <c r="BA67" s="265"/>
      <c r="BB67" s="265"/>
      <c r="BC67" s="265"/>
      <c r="BD67" s="265"/>
    </row>
    <row r="68" spans="1:56" s="167" customFormat="1" ht="18" customHeight="1">
      <c r="A68" s="301"/>
      <c r="C68" s="260"/>
      <c r="D68" s="260"/>
      <c r="E68" s="260"/>
      <c r="F68" s="260"/>
      <c r="G68" s="260"/>
      <c r="H68" s="264"/>
      <c r="I68" s="264"/>
      <c r="J68" s="264"/>
      <c r="K68" s="264"/>
      <c r="L68" s="264"/>
      <c r="M68" s="264"/>
      <c r="N68" s="264"/>
      <c r="O68" s="264"/>
      <c r="P68" s="264"/>
      <c r="Q68" s="264"/>
      <c r="R68" s="264"/>
      <c r="AJ68" s="265"/>
      <c r="AK68" s="265"/>
      <c r="AL68" s="265"/>
      <c r="AM68" s="265"/>
      <c r="AN68" s="265"/>
      <c r="AO68" s="265"/>
      <c r="AP68" s="265"/>
      <c r="AQ68" s="265"/>
      <c r="AR68" s="265"/>
      <c r="AS68" s="265"/>
      <c r="AT68" s="265"/>
      <c r="AU68" s="265"/>
      <c r="AV68" s="265"/>
      <c r="AW68" s="265"/>
      <c r="AX68" s="265"/>
      <c r="AY68" s="265"/>
      <c r="AZ68" s="265"/>
      <c r="BA68" s="265"/>
      <c r="BB68" s="265"/>
      <c r="BC68" s="265"/>
      <c r="BD68" s="265"/>
    </row>
    <row r="69" spans="1:56" s="167" customFormat="1" ht="18" customHeight="1">
      <c r="A69" s="301"/>
      <c r="C69" s="260"/>
      <c r="D69" s="260"/>
      <c r="E69" s="260"/>
      <c r="F69" s="260"/>
      <c r="G69" s="260"/>
      <c r="H69" s="264"/>
      <c r="I69" s="264"/>
      <c r="J69" s="264"/>
      <c r="K69" s="264"/>
      <c r="L69" s="264"/>
      <c r="M69" s="264"/>
      <c r="N69" s="264"/>
      <c r="O69" s="264"/>
      <c r="P69" s="264"/>
      <c r="Q69" s="266" t="s">
        <v>183</v>
      </c>
      <c r="S69" s="258"/>
      <c r="T69" s="258"/>
      <c r="U69" s="258"/>
      <c r="V69" s="258"/>
      <c r="W69" s="258"/>
      <c r="AJ69" s="265"/>
      <c r="AK69" s="265"/>
      <c r="AL69" s="265"/>
      <c r="AM69" s="265"/>
      <c r="AN69" s="265"/>
      <c r="AO69" s="265"/>
      <c r="AP69" s="265"/>
      <c r="AQ69" s="265"/>
      <c r="AR69" s="265"/>
      <c r="AS69" s="265"/>
      <c r="AT69" s="265"/>
      <c r="AU69" s="265"/>
      <c r="AV69" s="265"/>
      <c r="AW69" s="265"/>
      <c r="AX69" s="265"/>
      <c r="AY69" s="265"/>
      <c r="AZ69" s="265"/>
      <c r="BA69" s="265"/>
      <c r="BB69" s="265"/>
      <c r="BC69" s="265"/>
      <c r="BD69" s="265"/>
    </row>
    <row r="70" spans="1:56" s="167" customFormat="1" ht="18" customHeight="1">
      <c r="A70" s="301"/>
      <c r="C70" s="260"/>
      <c r="D70" s="260"/>
      <c r="E70" s="260"/>
      <c r="F70" s="260"/>
      <c r="G70" s="260"/>
      <c r="H70" s="264"/>
      <c r="I70" s="264"/>
      <c r="J70" s="264"/>
      <c r="K70" s="264"/>
      <c r="L70" s="264"/>
      <c r="M70" s="264"/>
      <c r="N70" s="264"/>
      <c r="O70" s="264"/>
      <c r="P70" s="264"/>
      <c r="Q70" s="266">
        <v>5</v>
      </c>
      <c r="S70" s="258"/>
      <c r="T70" s="258"/>
      <c r="U70" s="258"/>
      <c r="V70" s="258"/>
      <c r="W70" s="258"/>
      <c r="AJ70" s="265"/>
      <c r="AK70" s="265"/>
      <c r="AL70" s="265"/>
      <c r="AM70" s="265"/>
      <c r="AN70" s="265"/>
      <c r="AO70" s="265"/>
      <c r="AP70" s="265"/>
      <c r="AQ70" s="265"/>
      <c r="AR70" s="265"/>
      <c r="AS70" s="265"/>
      <c r="AT70" s="265"/>
      <c r="AU70" s="265"/>
      <c r="AV70" s="265"/>
      <c r="AW70" s="265"/>
      <c r="AX70" s="265"/>
      <c r="AY70" s="265"/>
      <c r="AZ70" s="265"/>
      <c r="BA70" s="265"/>
      <c r="BB70" s="265"/>
      <c r="BC70" s="265"/>
      <c r="BD70" s="265"/>
    </row>
    <row r="71" spans="1:56" s="167" customFormat="1" ht="18" customHeight="1">
      <c r="A71" s="301"/>
      <c r="C71" s="260"/>
      <c r="D71" s="260"/>
      <c r="E71" s="260"/>
      <c r="F71" s="260"/>
      <c r="G71" s="260"/>
      <c r="H71" s="264"/>
      <c r="I71" s="264"/>
      <c r="J71" s="264"/>
      <c r="K71" s="264"/>
      <c r="L71" s="264"/>
      <c r="M71" s="264"/>
      <c r="N71" s="264"/>
      <c r="O71" s="264"/>
      <c r="P71" s="264"/>
      <c r="Q71" s="266"/>
      <c r="S71" s="258"/>
      <c r="T71" s="258"/>
      <c r="U71" s="258"/>
      <c r="V71" s="258"/>
      <c r="W71" s="258"/>
      <c r="AJ71" s="265"/>
      <c r="AK71" s="265"/>
      <c r="AL71" s="265"/>
      <c r="AM71" s="265"/>
      <c r="AN71" s="265"/>
      <c r="AO71" s="265"/>
      <c r="AP71" s="265"/>
      <c r="AQ71" s="265"/>
      <c r="AR71" s="265"/>
      <c r="AS71" s="265"/>
      <c r="AT71" s="265"/>
      <c r="AU71" s="265"/>
      <c r="AV71" s="265"/>
      <c r="AW71" s="265"/>
      <c r="AX71" s="265"/>
      <c r="AY71" s="265"/>
      <c r="AZ71" s="265"/>
      <c r="BA71" s="265"/>
      <c r="BB71" s="265"/>
      <c r="BC71" s="265"/>
      <c r="BD71" s="265"/>
    </row>
    <row r="72" spans="1:56" s="167" customFormat="1" ht="18" customHeight="1">
      <c r="A72" s="301"/>
      <c r="C72" s="260"/>
      <c r="D72" s="260"/>
      <c r="E72" s="260"/>
      <c r="F72" s="260"/>
      <c r="G72" s="260"/>
      <c r="H72" s="264"/>
      <c r="I72" s="264"/>
      <c r="J72" s="264"/>
      <c r="K72" s="264"/>
      <c r="L72" s="264"/>
      <c r="M72" s="264"/>
      <c r="N72" s="264"/>
      <c r="O72" s="264"/>
      <c r="P72" s="264"/>
      <c r="Q72" s="266"/>
      <c r="S72" s="258"/>
      <c r="T72" s="258"/>
      <c r="U72" s="258"/>
      <c r="V72" s="258"/>
      <c r="W72" s="258"/>
      <c r="AJ72" s="265"/>
      <c r="AK72" s="265"/>
      <c r="AL72" s="265"/>
      <c r="AM72" s="265"/>
      <c r="AN72" s="265"/>
      <c r="AO72" s="265"/>
      <c r="AP72" s="265"/>
      <c r="AQ72" s="265"/>
      <c r="AR72" s="265"/>
      <c r="AS72" s="265"/>
      <c r="AT72" s="265"/>
      <c r="AU72" s="265"/>
      <c r="AV72" s="265"/>
      <c r="AW72" s="265"/>
      <c r="AX72" s="265"/>
      <c r="AY72" s="265"/>
      <c r="AZ72" s="265"/>
      <c r="BA72" s="265"/>
      <c r="BB72" s="265"/>
      <c r="BC72" s="265"/>
      <c r="BD72" s="265"/>
    </row>
    <row r="73" spans="1:56" s="167" customFormat="1" ht="18" customHeight="1">
      <c r="A73" s="301"/>
      <c r="C73" s="260"/>
      <c r="D73" s="260"/>
      <c r="E73" s="260"/>
      <c r="F73" s="260"/>
      <c r="G73" s="260"/>
      <c r="H73" s="264"/>
      <c r="I73" s="264"/>
      <c r="J73" s="264"/>
      <c r="K73" s="264"/>
      <c r="L73" s="264"/>
      <c r="M73" s="264"/>
      <c r="N73" s="264"/>
      <c r="O73" s="264"/>
      <c r="P73" s="264"/>
      <c r="Q73" s="266"/>
      <c r="S73" s="258"/>
      <c r="T73" s="258"/>
      <c r="U73" s="258"/>
      <c r="V73" s="258"/>
      <c r="W73" s="258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  <c r="AT73" s="265"/>
      <c r="AU73" s="265"/>
      <c r="AV73" s="265"/>
      <c r="AW73" s="265"/>
      <c r="AX73" s="265"/>
      <c r="AY73" s="265"/>
      <c r="AZ73" s="265"/>
      <c r="BA73" s="265"/>
      <c r="BB73" s="265"/>
      <c r="BC73" s="265"/>
      <c r="BD73" s="265"/>
    </row>
    <row r="74" spans="1:56" s="167" customFormat="1" ht="18" customHeight="1">
      <c r="A74" s="301"/>
      <c r="C74" s="260"/>
      <c r="D74" s="260"/>
      <c r="E74" s="260"/>
      <c r="F74" s="260"/>
      <c r="G74" s="260"/>
      <c r="H74" s="264"/>
      <c r="I74" s="264"/>
      <c r="J74" s="264"/>
      <c r="K74" s="264"/>
      <c r="L74" s="264"/>
      <c r="M74" s="264"/>
      <c r="N74" s="264"/>
      <c r="O74" s="264"/>
      <c r="P74" s="264"/>
      <c r="Q74" s="266"/>
      <c r="S74" s="258"/>
      <c r="T74" s="258"/>
      <c r="U74" s="258"/>
      <c r="V74" s="258"/>
      <c r="W74" s="258"/>
      <c r="AJ74" s="265"/>
      <c r="AK74" s="265"/>
      <c r="AL74" s="265"/>
      <c r="AM74" s="265"/>
      <c r="AN74" s="265"/>
      <c r="AO74" s="265"/>
      <c r="AP74" s="265"/>
      <c r="AQ74" s="265"/>
      <c r="AR74" s="265"/>
      <c r="AS74" s="265"/>
      <c r="AT74" s="265"/>
      <c r="AU74" s="265"/>
      <c r="AV74" s="265"/>
      <c r="AW74" s="265"/>
      <c r="AX74" s="265"/>
      <c r="AY74" s="265"/>
      <c r="AZ74" s="265"/>
      <c r="BA74" s="265"/>
      <c r="BB74" s="265"/>
      <c r="BC74" s="265"/>
      <c r="BD74" s="265"/>
    </row>
    <row r="75" spans="1:56" s="167" customFormat="1" ht="18" customHeight="1">
      <c r="A75" s="301"/>
      <c r="C75" s="260"/>
      <c r="D75" s="260"/>
      <c r="E75" s="260"/>
      <c r="F75" s="260"/>
      <c r="G75" s="260"/>
      <c r="H75" s="264"/>
      <c r="I75" s="264"/>
      <c r="J75" s="264"/>
      <c r="K75" s="264"/>
      <c r="L75" s="264"/>
      <c r="M75" s="264"/>
      <c r="N75" s="264"/>
      <c r="O75" s="264"/>
      <c r="P75" s="264"/>
      <c r="Q75" s="266"/>
      <c r="S75" s="258"/>
      <c r="T75" s="258"/>
      <c r="U75" s="258"/>
      <c r="V75" s="258"/>
      <c r="W75" s="258"/>
      <c r="AJ75" s="265"/>
      <c r="AK75" s="265"/>
      <c r="AL75" s="265"/>
      <c r="AM75" s="265"/>
      <c r="AN75" s="265"/>
      <c r="AO75" s="265"/>
      <c r="AP75" s="265"/>
      <c r="AQ75" s="265"/>
      <c r="AR75" s="265"/>
      <c r="AS75" s="265"/>
      <c r="AT75" s="265"/>
      <c r="AU75" s="265"/>
      <c r="AV75" s="265"/>
      <c r="AW75" s="265"/>
      <c r="AX75" s="265"/>
      <c r="AY75" s="265"/>
      <c r="AZ75" s="265"/>
      <c r="BA75" s="265"/>
      <c r="BB75" s="265"/>
      <c r="BC75" s="265"/>
      <c r="BD75" s="265"/>
    </row>
    <row r="76" spans="1:56" s="167" customFormat="1" ht="18" customHeight="1">
      <c r="A76" s="301"/>
      <c r="C76" s="260"/>
      <c r="D76" s="260"/>
      <c r="E76" s="260"/>
      <c r="F76" s="260"/>
      <c r="G76" s="260"/>
      <c r="H76" s="264"/>
      <c r="I76" s="264"/>
      <c r="J76" s="264"/>
      <c r="K76" s="264"/>
      <c r="L76" s="264"/>
      <c r="M76" s="264"/>
      <c r="N76" s="264"/>
      <c r="O76" s="264"/>
      <c r="P76" s="264"/>
      <c r="Q76" s="266"/>
      <c r="S76" s="258"/>
      <c r="T76" s="258"/>
      <c r="U76" s="258"/>
      <c r="V76" s="258"/>
      <c r="W76" s="258"/>
      <c r="AJ76" s="265"/>
      <c r="AK76" s="265"/>
      <c r="AL76" s="265"/>
      <c r="AM76" s="265"/>
      <c r="AN76" s="265"/>
      <c r="AO76" s="265"/>
      <c r="AP76" s="265"/>
      <c r="AQ76" s="265"/>
      <c r="AR76" s="265"/>
      <c r="AS76" s="265"/>
      <c r="AT76" s="265"/>
      <c r="AU76" s="265"/>
      <c r="AV76" s="265"/>
      <c r="AW76" s="265"/>
      <c r="AX76" s="265"/>
      <c r="AY76" s="265"/>
      <c r="AZ76" s="265"/>
      <c r="BA76" s="265"/>
      <c r="BB76" s="265"/>
      <c r="BC76" s="265"/>
      <c r="BD76" s="265"/>
    </row>
    <row r="77" spans="1:56" s="167" customFormat="1" ht="18" customHeight="1">
      <c r="A77" s="301"/>
      <c r="C77" s="260"/>
      <c r="D77" s="260"/>
      <c r="E77" s="260"/>
      <c r="F77" s="260"/>
      <c r="G77" s="260"/>
      <c r="H77" s="264"/>
      <c r="I77" s="264"/>
      <c r="J77" s="264"/>
      <c r="K77" s="264"/>
      <c r="L77" s="264"/>
      <c r="M77" s="264"/>
      <c r="N77" s="264"/>
      <c r="O77" s="264"/>
      <c r="P77" s="264"/>
      <c r="Q77" s="266"/>
      <c r="S77" s="258"/>
      <c r="T77" s="258"/>
      <c r="U77" s="258"/>
      <c r="V77" s="258"/>
      <c r="W77" s="258"/>
      <c r="AJ77" s="265"/>
      <c r="AK77" s="265"/>
      <c r="AL77" s="265"/>
      <c r="AM77" s="265"/>
      <c r="AN77" s="265"/>
      <c r="AO77" s="265"/>
      <c r="AP77" s="265"/>
      <c r="AQ77" s="265"/>
      <c r="AR77" s="265"/>
      <c r="AS77" s="265"/>
      <c r="AT77" s="265"/>
      <c r="AU77" s="265"/>
      <c r="AV77" s="265"/>
      <c r="AW77" s="265"/>
      <c r="AX77" s="265"/>
      <c r="AY77" s="265"/>
      <c r="AZ77" s="265"/>
      <c r="BA77" s="265"/>
      <c r="BB77" s="265"/>
      <c r="BC77" s="265"/>
      <c r="BD77" s="265"/>
    </row>
    <row r="78" spans="1:56" s="167" customFormat="1" ht="18" customHeight="1">
      <c r="A78" s="301"/>
      <c r="C78" s="260"/>
      <c r="D78" s="260"/>
      <c r="E78" s="260"/>
      <c r="F78" s="260"/>
      <c r="G78" s="260"/>
      <c r="H78" s="264"/>
      <c r="I78" s="264"/>
      <c r="J78" s="264"/>
      <c r="K78" s="264"/>
      <c r="L78" s="264"/>
      <c r="M78" s="264"/>
      <c r="N78" s="264"/>
      <c r="O78" s="264"/>
      <c r="P78" s="264"/>
      <c r="Q78" s="266"/>
      <c r="S78" s="260"/>
      <c r="T78" s="260"/>
      <c r="U78" s="260"/>
      <c r="V78" s="260"/>
      <c r="W78" s="260"/>
      <c r="AJ78" s="265"/>
      <c r="AK78" s="265"/>
      <c r="AL78" s="265"/>
      <c r="AM78" s="265"/>
      <c r="AN78" s="265"/>
      <c r="AO78" s="265"/>
      <c r="AP78" s="265"/>
      <c r="AQ78" s="265"/>
      <c r="AR78" s="265"/>
      <c r="AS78" s="265"/>
      <c r="AT78" s="265"/>
      <c r="AU78" s="265"/>
      <c r="AV78" s="265"/>
      <c r="AW78" s="265"/>
      <c r="AX78" s="265"/>
      <c r="AY78" s="265"/>
      <c r="AZ78" s="265"/>
      <c r="BA78" s="265"/>
      <c r="BB78" s="265"/>
      <c r="BC78" s="265"/>
      <c r="BD78" s="265"/>
    </row>
    <row r="79" spans="1:56" s="274" customFormat="1" ht="18" customHeight="1">
      <c r="A79" s="307"/>
      <c r="B79" s="303"/>
      <c r="C79" s="365"/>
      <c r="D79" s="365"/>
      <c r="E79" s="365"/>
      <c r="F79" s="365"/>
      <c r="G79" s="365"/>
      <c r="H79" s="273"/>
      <c r="I79" s="273"/>
      <c r="J79" s="273"/>
      <c r="K79" s="273"/>
      <c r="L79" s="273"/>
      <c r="M79" s="273"/>
      <c r="N79" s="273"/>
      <c r="O79" s="273"/>
      <c r="P79" s="273"/>
      <c r="Q79" s="270">
        <v>1</v>
      </c>
      <c r="R79" s="271"/>
      <c r="S79" s="272" t="str">
        <f>IF(Tabla!$A$1 = 1, "("&amp;S85&amp;")",IF(Tabla!$A$1 = 1, (IF("("&amp;S85&amp;")" ="()","","("&amp;S85&amp;")")), (IF("("&amp;S90&amp;")     ("&amp;S85&amp;")"="()     ()","","("&amp;S90&amp;")     ("&amp;S85&amp;")"))))</f>
        <v>(306)     (405)</v>
      </c>
      <c r="T79" s="272" t="str">
        <f>IF(Tabla!$A$1 = 1, "("&amp;T85&amp;")",IF(Tabla!$A$1 = 1, (IF("("&amp;T85&amp;")" ="()","","("&amp;T85&amp;")")), (IF("("&amp;T90&amp;")     ("&amp;T85&amp;")"="()     ()","","("&amp;T90&amp;")     ("&amp;T85&amp;")"))))</f>
        <v>(82)     (73)</v>
      </c>
      <c r="U79" s="272" t="str">
        <f>IF(Tabla!$A$1 = 1, "("&amp;U85&amp;")",IF(Tabla!$A$1 = 1, (IF("("&amp;U85&amp;")" ="()","","("&amp;U85&amp;")")), (IF("("&amp;U90&amp;")     ("&amp;U85&amp;")"="()     ()","","("&amp;U90&amp;")     ("&amp;U85&amp;")"))))</f>
        <v>(42)     (50)</v>
      </c>
      <c r="V79" s="272" t="str">
        <f>IF(Tabla!$A$1 = 1, "("&amp;V85&amp;")",IF(Tabla!$A$1 = 1, (IF("("&amp;V85&amp;")" ="()","","("&amp;V85&amp;")")), (IF("("&amp;V90&amp;")     ("&amp;V85&amp;")"="()     ()","","("&amp;V90&amp;")     ("&amp;V85&amp;")"))))</f>
        <v>(10)     (13)</v>
      </c>
      <c r="W79" s="272" t="str">
        <f>IF(Tabla!$A$1 = 1, "("&amp;W85&amp;")",IF(Tabla!$A$1 = 1, (IF("("&amp;W85&amp;")" ="()","","("&amp;W85&amp;")")), (IF("("&amp;W90&amp;")     ("&amp;W85&amp;")"="()     ()","","("&amp;W90&amp;")     ("&amp;W85&amp;")"))))</f>
        <v>(0)     (0)</v>
      </c>
      <c r="AJ79" s="275"/>
      <c r="AK79" s="275"/>
      <c r="AL79" s="275"/>
      <c r="AM79" s="275"/>
      <c r="AN79" s="275"/>
      <c r="AO79" s="275"/>
      <c r="AP79" s="275"/>
      <c r="AQ79" s="275"/>
      <c r="AR79" s="275"/>
      <c r="AS79" s="275"/>
      <c r="AT79" s="275"/>
      <c r="AU79" s="275"/>
      <c r="AV79" s="275"/>
      <c r="AW79" s="275"/>
      <c r="AX79" s="275"/>
      <c r="AY79" s="275"/>
      <c r="AZ79" s="275"/>
      <c r="BA79" s="275"/>
      <c r="BB79" s="275"/>
      <c r="BC79" s="275"/>
      <c r="BD79" s="275"/>
    </row>
    <row r="80" spans="1:56" s="280" customFormat="1" ht="93.75" customHeight="1">
      <c r="A80" s="308"/>
      <c r="B80" s="309"/>
      <c r="C80" s="366"/>
      <c r="D80" s="366"/>
      <c r="E80" s="366"/>
      <c r="F80" s="366"/>
      <c r="G80" s="366"/>
      <c r="H80" s="279"/>
      <c r="I80" s="279"/>
      <c r="J80" s="279"/>
      <c r="K80" s="279"/>
      <c r="L80" s="279"/>
      <c r="M80" s="279"/>
      <c r="N80" s="279"/>
      <c r="O80" s="279"/>
      <c r="P80" s="279"/>
      <c r="Q80" s="276"/>
      <c r="R80" s="277"/>
      <c r="S80" s="278" t="s">
        <v>190</v>
      </c>
      <c r="T80" s="278" t="s">
        <v>187</v>
      </c>
      <c r="U80" s="278" t="s">
        <v>188</v>
      </c>
      <c r="V80" s="278" t="s">
        <v>0</v>
      </c>
      <c r="W80" s="278" t="s">
        <v>1</v>
      </c>
      <c r="AJ80" s="281"/>
      <c r="AK80" s="281"/>
      <c r="AL80" s="281"/>
      <c r="AM80" s="281"/>
      <c r="AN80" s="281"/>
      <c r="AO80" s="281"/>
      <c r="AP80" s="281"/>
      <c r="AQ80" s="281"/>
      <c r="AR80" s="281"/>
      <c r="AT80" s="281"/>
      <c r="AU80" s="281"/>
      <c r="AV80" s="281"/>
      <c r="AW80" s="281"/>
      <c r="AX80" s="281"/>
      <c r="AY80" s="281"/>
      <c r="AZ80" s="281"/>
      <c r="BA80" s="281"/>
      <c r="BB80" s="281"/>
      <c r="BC80" s="281"/>
      <c r="BD80" s="281"/>
    </row>
    <row r="81" spans="1:56" s="280" customFormat="1" ht="93.75" customHeight="1">
      <c r="A81" s="308"/>
      <c r="B81" s="309"/>
      <c r="C81" s="367"/>
      <c r="D81" s="367"/>
      <c r="E81" s="367"/>
      <c r="F81" s="367"/>
      <c r="G81" s="367"/>
      <c r="H81" s="279"/>
      <c r="I81" s="279"/>
      <c r="J81" s="279"/>
      <c r="K81" s="279"/>
      <c r="L81" s="279"/>
      <c r="M81" s="279"/>
      <c r="N81" s="279"/>
      <c r="O81" s="279"/>
      <c r="P81" s="279"/>
      <c r="Q81" s="276"/>
      <c r="R81" s="277"/>
      <c r="S81" s="360">
        <f>S85/SUM($S$85:$W$85)</f>
        <v>0.74861367837338266</v>
      </c>
      <c r="T81" s="360">
        <f t="shared" ref="T81:W81" si="3">T85/SUM($S$85:$W$85)</f>
        <v>0.13493530499075784</v>
      </c>
      <c r="U81" s="360">
        <f t="shared" si="3"/>
        <v>9.2421441774491686E-2</v>
      </c>
      <c r="V81" s="360">
        <f t="shared" si="3"/>
        <v>2.4029574861367836E-2</v>
      </c>
      <c r="W81" s="360">
        <f t="shared" si="3"/>
        <v>0</v>
      </c>
      <c r="AJ81" s="281"/>
      <c r="AK81" s="281"/>
      <c r="AL81" s="281"/>
      <c r="AM81" s="281"/>
      <c r="AN81" s="281"/>
      <c r="AO81" s="281"/>
      <c r="AP81" s="281"/>
      <c r="AQ81" s="281"/>
      <c r="AR81" s="281"/>
      <c r="AT81" s="281"/>
      <c r="AU81" s="281"/>
      <c r="AV81" s="281"/>
      <c r="AW81" s="281"/>
      <c r="AX81" s="281"/>
      <c r="AY81" s="281"/>
      <c r="AZ81" s="281"/>
      <c r="BA81" s="281"/>
      <c r="BB81" s="281"/>
      <c r="BC81" s="281"/>
      <c r="BD81" s="281"/>
    </row>
    <row r="82" spans="1:56" s="167" customFormat="1">
      <c r="B82" s="291"/>
      <c r="C82" s="286"/>
      <c r="D82" s="286"/>
      <c r="E82" s="286"/>
      <c r="F82" s="286"/>
      <c r="G82" s="286"/>
      <c r="H82" s="286"/>
      <c r="I82" s="286"/>
      <c r="J82" s="286"/>
      <c r="K82" s="286"/>
      <c r="L82" s="286"/>
      <c r="M82" s="286"/>
      <c r="N82" s="286"/>
      <c r="O82" s="286"/>
      <c r="P82" s="286"/>
      <c r="Q82" s="261">
        <v>6</v>
      </c>
      <c r="R82" s="291" t="s">
        <v>66</v>
      </c>
      <c r="S82" s="286">
        <f>HLOOKUP($A2&amp;B$1,Tabla!$B:$AS,30*$A$1+$Q82,0)</f>
        <v>91</v>
      </c>
      <c r="T82" s="286">
        <f>HLOOKUP($A2&amp;C$1,Tabla!$B:$AS,30*$A$1+$Q82,0)</f>
        <v>89</v>
      </c>
      <c r="U82" s="286">
        <f>HLOOKUP($A2&amp;D$1,Tabla!$B:$AS,30*$A$1+$Q82,0)</f>
        <v>80</v>
      </c>
      <c r="V82" s="286">
        <f>HLOOKUP($A2&amp;E$1,Tabla!$B:$AS,30*$A$1+$Q82,0)</f>
        <v>69</v>
      </c>
      <c r="W82" s="286">
        <f>HLOOKUP($A2&amp;F$1,Tabla!$B:$AS,30*$A$1+$Q82,0)</f>
        <v>0</v>
      </c>
      <c r="AJ82" s="265"/>
      <c r="AK82" s="265"/>
      <c r="AL82" s="265"/>
      <c r="AM82" s="265"/>
      <c r="AN82" s="265"/>
      <c r="AO82" s="265"/>
      <c r="AP82" s="265"/>
      <c r="AQ82" s="265"/>
      <c r="AR82" s="265"/>
      <c r="AT82" s="265"/>
      <c r="AU82" s="265"/>
      <c r="AV82" s="265"/>
      <c r="AW82" s="265"/>
      <c r="AX82" s="265"/>
      <c r="AY82" s="265"/>
      <c r="AZ82" s="265"/>
      <c r="BA82" s="265"/>
      <c r="BB82" s="265"/>
      <c r="BC82" s="265"/>
    </row>
    <row r="83" spans="1:56" s="167" customFormat="1">
      <c r="B83" s="291"/>
      <c r="C83" s="292"/>
      <c r="D83" s="292"/>
      <c r="E83" s="292"/>
      <c r="F83" s="292"/>
      <c r="G83" s="292"/>
      <c r="H83" s="292"/>
      <c r="I83" s="292"/>
      <c r="J83" s="292"/>
      <c r="K83" s="292"/>
      <c r="L83" s="292"/>
      <c r="M83" s="292"/>
      <c r="N83" s="292"/>
      <c r="O83" s="292"/>
      <c r="P83" s="292"/>
      <c r="Q83" s="261">
        <v>7</v>
      </c>
      <c r="R83" s="291" t="s">
        <v>158</v>
      </c>
      <c r="S83" s="286">
        <f>HLOOKUP($A3&amp;B$1,Tabla!$B:$AS,30*$A$1+$Q83,0)</f>
        <v>86</v>
      </c>
      <c r="T83" s="286">
        <f>HLOOKUP($A3&amp;C$1,Tabla!$B:$AS,30*$A$1+$Q83,0)</f>
        <v>77</v>
      </c>
      <c r="U83" s="286">
        <f>HLOOKUP($A3&amp;D$1,Tabla!$B:$AS,30*$A$1+$Q83,0)</f>
        <v>73</v>
      </c>
      <c r="V83" s="286">
        <f>HLOOKUP($A3&amp;E$1,Tabla!$B:$AS,30*$A$1+$Q83,0)</f>
        <v>54</v>
      </c>
      <c r="W83" s="286">
        <f>HLOOKUP($A3&amp;F$1,Tabla!$B:$AS,30*$A$1+$Q83,0)</f>
        <v>0</v>
      </c>
      <c r="AJ83" s="265"/>
      <c r="AK83" s="265"/>
      <c r="AL83" s="265"/>
      <c r="AM83" s="265"/>
      <c r="AN83" s="265"/>
      <c r="AO83" s="265"/>
      <c r="AP83" s="265"/>
      <c r="AQ83" s="265"/>
      <c r="AR83" s="265"/>
      <c r="AT83" s="265"/>
      <c r="AU83" s="265"/>
      <c r="AV83" s="265"/>
      <c r="AW83" s="265"/>
      <c r="AX83" s="265"/>
      <c r="AY83" s="265"/>
      <c r="AZ83" s="265"/>
      <c r="BA83" s="265"/>
      <c r="BB83" s="265"/>
      <c r="BC83" s="265"/>
    </row>
    <row r="84" spans="1:56" s="167" customFormat="1">
      <c r="B84" s="291"/>
      <c r="C84" s="292"/>
      <c r="D84" s="292"/>
      <c r="E84" s="292"/>
      <c r="F84" s="292"/>
      <c r="G84" s="292"/>
      <c r="H84" s="292"/>
      <c r="I84" s="292"/>
      <c r="J84" s="292"/>
      <c r="K84" s="292"/>
      <c r="L84" s="292"/>
      <c r="M84" s="292"/>
      <c r="N84" s="292"/>
      <c r="O84" s="292"/>
      <c r="P84" s="292"/>
      <c r="Q84" s="261">
        <v>8</v>
      </c>
      <c r="R84" s="291" t="s">
        <v>189</v>
      </c>
      <c r="S84" s="286">
        <f>HLOOKUP($A4&amp;B$1,Tabla!$B:$AS,30*$A$1+$Q84,0)</f>
        <v>83</v>
      </c>
      <c r="T84" s="286">
        <f>HLOOKUP($A4&amp;C$1,Tabla!$B:$AS,30*$A$1+$Q84,0)</f>
        <v>83</v>
      </c>
      <c r="U84" s="286">
        <f>HLOOKUP($A4&amp;D$1,Tabla!$B:$AS,30*$A$1+$Q84,0)</f>
        <v>83</v>
      </c>
      <c r="V84" s="286">
        <f>HLOOKUP($A4&amp;E$1,Tabla!$B:$AS,30*$A$1+$Q84,0)</f>
        <v>83</v>
      </c>
      <c r="W84" s="286">
        <f>HLOOKUP($A4&amp;F$1,Tabla!$B:$AS,30*$A$1+$Q84,0)</f>
        <v>0</v>
      </c>
      <c r="AJ84" s="293"/>
      <c r="AK84" s="293"/>
      <c r="AL84" s="293"/>
      <c r="AM84" s="293"/>
      <c r="AN84" s="293"/>
      <c r="AO84" s="265"/>
      <c r="AP84" s="265"/>
      <c r="AQ84" s="265"/>
      <c r="AR84" s="265"/>
      <c r="AT84" s="265"/>
      <c r="AU84" s="265"/>
      <c r="AV84" s="265"/>
      <c r="AW84" s="265"/>
      <c r="AX84" s="265"/>
      <c r="AY84" s="265"/>
      <c r="AZ84" s="265"/>
      <c r="BA84" s="265"/>
      <c r="BB84" s="265"/>
      <c r="BC84" s="265"/>
    </row>
    <row r="85" spans="1:56" s="167" customFormat="1" ht="15" thickBot="1">
      <c r="B85" s="291"/>
      <c r="C85" s="292"/>
      <c r="D85" s="292"/>
      <c r="E85" s="292"/>
      <c r="F85" s="292"/>
      <c r="G85" s="292"/>
      <c r="H85" s="292"/>
      <c r="I85" s="292"/>
      <c r="J85" s="292"/>
      <c r="K85" s="292"/>
      <c r="L85" s="292"/>
      <c r="M85" s="292"/>
      <c r="N85" s="292"/>
      <c r="O85" s="292"/>
      <c r="P85" s="292"/>
      <c r="Q85" s="261">
        <v>9</v>
      </c>
      <c r="R85" s="291" t="s">
        <v>345</v>
      </c>
      <c r="S85" s="286">
        <f>HLOOKUP($A5&amp;B$1,Tabla!$B:$AS,30*$A$1+$Q85,0)</f>
        <v>405</v>
      </c>
      <c r="T85" s="286">
        <f>HLOOKUP($A5&amp;C$1,Tabla!$B:$AS,30*$A$1+$Q85,0)</f>
        <v>73</v>
      </c>
      <c r="U85" s="286">
        <f>HLOOKUP($A5&amp;D$1,Tabla!$B:$AS,30*$A$1+$Q85,0)</f>
        <v>50</v>
      </c>
      <c r="V85" s="286">
        <f>HLOOKUP($A5&amp;E$1,Tabla!$B:$AS,30*$A$1+$Q85,0)</f>
        <v>13</v>
      </c>
      <c r="W85" s="286">
        <f>HLOOKUP($A5&amp;F$1,Tabla!$B:$AS,30*$A$1+$Q85,0)</f>
        <v>0</v>
      </c>
      <c r="AJ85" s="265"/>
      <c r="AK85" s="265"/>
      <c r="AL85" s="265"/>
      <c r="AM85" s="265"/>
      <c r="AN85" s="265"/>
      <c r="AO85" s="265"/>
      <c r="AP85" s="265"/>
      <c r="AQ85" s="265"/>
      <c r="AR85" s="265"/>
      <c r="AT85" s="265"/>
      <c r="AU85" s="265"/>
      <c r="AV85" s="265"/>
      <c r="AW85" s="265"/>
      <c r="AX85" s="265"/>
      <c r="AY85" s="265"/>
      <c r="AZ85" s="265"/>
      <c r="BA85" s="265"/>
      <c r="BB85" s="265"/>
      <c r="BC85" s="265"/>
    </row>
    <row r="86" spans="1:56" s="167" customFormat="1">
      <c r="A86" s="301"/>
      <c r="B86" s="368"/>
      <c r="C86" s="369"/>
      <c r="D86" s="369"/>
      <c r="E86" s="369"/>
      <c r="F86" s="369"/>
      <c r="G86" s="369"/>
      <c r="H86" s="183"/>
      <c r="I86" s="183"/>
      <c r="J86" s="183"/>
      <c r="K86" s="183"/>
      <c r="L86" s="183"/>
      <c r="M86" s="183"/>
      <c r="N86" s="183"/>
      <c r="O86" s="183"/>
      <c r="P86" s="183"/>
      <c r="Q86" s="261">
        <v>10</v>
      </c>
      <c r="R86" s="294" t="s">
        <v>166</v>
      </c>
      <c r="S86" s="295">
        <f>HLOOKUP("a"&amp;B$1,Tabla!$B:$AS,30*$A$1+$Q86,0)</f>
        <v>82</v>
      </c>
      <c r="T86" s="295">
        <f>HLOOKUP("a"&amp;C$1,Tabla!$B:$AS,30*$A$1+$Q86,0)</f>
        <v>74</v>
      </c>
      <c r="U86" s="295">
        <f>HLOOKUP("a"&amp;D$1,Tabla!$B:$AS,30*$A$1+$Q86,0)</f>
        <v>62</v>
      </c>
      <c r="V86" s="295">
        <f>HLOOKUP("a"&amp;E$1,Tabla!$B:$AS,30*$A$1+$Q86,0)</f>
        <v>58</v>
      </c>
      <c r="W86" s="295" t="str">
        <f>HLOOKUP("a"&amp;F$1,Tabla!$B:$AS,30*$A$1+$Q86,0)</f>
        <v/>
      </c>
      <c r="AJ86" s="265"/>
      <c r="AK86" s="265"/>
      <c r="AL86" s="265"/>
      <c r="AM86" s="265"/>
      <c r="AN86" s="265"/>
      <c r="AO86" s="265"/>
      <c r="AP86" s="265"/>
      <c r="AQ86" s="265"/>
      <c r="AR86" s="265"/>
      <c r="AT86" s="265"/>
      <c r="AU86" s="265"/>
      <c r="AV86" s="265"/>
      <c r="AW86" s="265"/>
      <c r="AX86" s="265"/>
      <c r="AY86" s="265"/>
      <c r="AZ86" s="265"/>
      <c r="BA86" s="265"/>
      <c r="BB86" s="265"/>
      <c r="BC86" s="265"/>
    </row>
    <row r="87" spans="1:56" s="167" customFormat="1" ht="15" thickBot="1">
      <c r="A87" s="301"/>
      <c r="B87" s="370"/>
      <c r="C87" s="369"/>
      <c r="D87" s="369"/>
      <c r="E87" s="369"/>
      <c r="F87" s="369"/>
      <c r="G87" s="369"/>
      <c r="H87" s="260"/>
      <c r="I87" s="260"/>
      <c r="J87" s="260"/>
      <c r="K87" s="260"/>
      <c r="L87" s="260"/>
      <c r="M87" s="260"/>
      <c r="N87" s="260"/>
      <c r="O87" s="260"/>
      <c r="P87" s="260"/>
      <c r="Q87" s="261">
        <v>11</v>
      </c>
      <c r="R87" s="296" t="s">
        <v>165</v>
      </c>
      <c r="S87" s="297">
        <f>HLOOKUP("a"&amp;B$1,Tabla!$B:$AS,30*$A$1+$Q87,0)</f>
        <v>86</v>
      </c>
      <c r="T87" s="297">
        <f>HLOOKUP("a"&amp;C$1,Tabla!$B:$AS,30*$A$1+$Q87,0)</f>
        <v>77</v>
      </c>
      <c r="U87" s="297">
        <f>HLOOKUP("a"&amp;D$1,Tabla!$B:$AS,30*$A$1+$Q87,0)</f>
        <v>73</v>
      </c>
      <c r="V87" s="297">
        <f>HLOOKUP("a"&amp;E$1,Tabla!$B:$AS,30*$A$1+$Q87,0)</f>
        <v>54</v>
      </c>
      <c r="W87" s="297" t="str">
        <f>HLOOKUP("a"&amp;F$1,Tabla!$B:$AS,30*$A$1+$Q87,0)</f>
        <v/>
      </c>
      <c r="AJ87" s="260"/>
      <c r="AK87" s="260"/>
      <c r="AL87" s="260"/>
      <c r="AM87" s="260"/>
      <c r="AN87" s="260"/>
      <c r="AO87" s="260"/>
      <c r="AP87" s="260"/>
      <c r="AQ87" s="260"/>
      <c r="AR87" s="265"/>
      <c r="AS87" s="265"/>
      <c r="AT87" s="265"/>
      <c r="AU87" s="265"/>
      <c r="AV87" s="265"/>
      <c r="AW87" s="265"/>
      <c r="AX87" s="265"/>
      <c r="AY87" s="265"/>
      <c r="AZ87" s="265"/>
      <c r="BA87" s="265"/>
      <c r="BB87" s="265"/>
      <c r="BC87" s="265"/>
    </row>
    <row r="88" spans="1:56" s="167" customFormat="1">
      <c r="B88" s="371"/>
      <c r="C88" s="265"/>
      <c r="D88" s="265"/>
      <c r="E88" s="265"/>
      <c r="F88" s="265"/>
      <c r="G88" s="265"/>
      <c r="H88" s="264"/>
      <c r="I88" s="264"/>
      <c r="J88" s="264"/>
      <c r="K88" s="264"/>
      <c r="L88" s="264"/>
      <c r="M88" s="264"/>
      <c r="N88" s="264"/>
      <c r="O88" s="264"/>
      <c r="P88" s="264"/>
      <c r="Q88" s="261">
        <v>12</v>
      </c>
      <c r="R88" s="298" t="s">
        <v>385</v>
      </c>
      <c r="S88" s="261" t="str">
        <f>HLOOKUP("a"&amp;B$1,Tabla!$B:$AS,30*$A$1+$Q88,0)</f>
        <v>Más de dos</v>
      </c>
      <c r="T88" s="261" t="str">
        <f>HLOOKUP("a"&amp;C$1,Tabla!$B:$AS,30*$A$1+$Q88,0)</f>
        <v>Dos</v>
      </c>
      <c r="U88" s="261" t="str">
        <f>HLOOKUP("a"&amp;D$1,Tabla!$B:$AS,30*$A$1+$Q88,0)</f>
        <v>Una</v>
      </c>
      <c r="V88" s="261" t="str">
        <f>HLOOKUP("a"&amp;E$1,Tabla!$B:$AS,30*$A$1+$Q88,0)</f>
        <v>Ninguna</v>
      </c>
      <c r="W88" s="261">
        <f>HLOOKUP("a"&amp;F$1,Tabla!$B:$AS,30*$A$1+$Q88,0)</f>
        <v>0</v>
      </c>
      <c r="AJ88" s="265"/>
      <c r="AK88" s="265"/>
      <c r="AL88" s="265"/>
      <c r="AM88" s="265"/>
      <c r="AN88" s="265"/>
      <c r="AO88" s="265"/>
      <c r="AP88" s="265"/>
      <c r="AQ88" s="265"/>
      <c r="AR88" s="265"/>
      <c r="AS88" s="265"/>
      <c r="AT88" s="265"/>
      <c r="AU88" s="265"/>
      <c r="AV88" s="265"/>
      <c r="AW88" s="265"/>
      <c r="AX88" s="265"/>
      <c r="AY88" s="265"/>
      <c r="AZ88" s="265"/>
      <c r="BA88" s="265"/>
      <c r="BB88" s="265"/>
      <c r="BC88" s="265"/>
    </row>
    <row r="89" spans="1:56" s="167" customFormat="1">
      <c r="B89" s="291"/>
      <c r="C89" s="260"/>
      <c r="D89" s="260"/>
      <c r="E89" s="260"/>
      <c r="F89" s="260"/>
      <c r="G89" s="260"/>
      <c r="H89" s="264"/>
      <c r="I89" s="264"/>
      <c r="J89" s="264"/>
      <c r="K89" s="264"/>
      <c r="L89" s="264"/>
      <c r="M89" s="264"/>
      <c r="N89" s="264"/>
      <c r="O89" s="264"/>
      <c r="P89" s="264"/>
      <c r="Q89" s="261">
        <v>13</v>
      </c>
      <c r="R89" s="291" t="s">
        <v>158</v>
      </c>
      <c r="S89" s="258">
        <f>HLOOKUP("a"&amp;B$1,Tabla!$B:$AS,30*$A$1+$Q89,0)</f>
        <v>82</v>
      </c>
      <c r="T89" s="258">
        <f>HLOOKUP("a"&amp;C$1,Tabla!$B:$AS,30*$A$1+$Q89,0)</f>
        <v>74</v>
      </c>
      <c r="U89" s="258">
        <f>HLOOKUP("a"&amp;D$1,Tabla!$B:$AS,30*$A$1+$Q89,0)</f>
        <v>62</v>
      </c>
      <c r="V89" s="258">
        <f>HLOOKUP("a"&amp;E$1,Tabla!$B:$AS,30*$A$1+$Q89,0)</f>
        <v>58</v>
      </c>
      <c r="W89" s="258">
        <f>HLOOKUP("a"&amp;F$1,Tabla!$B:$AS,30*$A$1+$Q89,0)</f>
        <v>0</v>
      </c>
      <c r="AJ89" s="265"/>
      <c r="AK89" s="265"/>
      <c r="AL89" s="265"/>
      <c r="AM89" s="265"/>
      <c r="AN89" s="265"/>
      <c r="AO89" s="265"/>
      <c r="AP89" s="265"/>
      <c r="AQ89" s="265"/>
      <c r="AR89" s="265"/>
      <c r="AS89" s="265"/>
      <c r="AT89" s="265"/>
      <c r="AU89" s="265"/>
      <c r="AV89" s="265"/>
      <c r="AW89" s="265"/>
      <c r="AX89" s="265"/>
      <c r="AY89" s="265"/>
      <c r="AZ89" s="265"/>
      <c r="BA89" s="265"/>
      <c r="BB89" s="265"/>
      <c r="BC89" s="265"/>
    </row>
    <row r="90" spans="1:56" s="167" customFormat="1">
      <c r="B90" s="371"/>
      <c r="C90" s="260"/>
      <c r="D90" s="260"/>
      <c r="E90" s="260"/>
      <c r="F90" s="260"/>
      <c r="G90" s="260"/>
      <c r="H90" s="264"/>
      <c r="I90" s="264"/>
      <c r="J90" s="264"/>
      <c r="K90" s="264"/>
      <c r="L90" s="264"/>
      <c r="M90" s="264"/>
      <c r="N90" s="264"/>
      <c r="O90" s="264"/>
      <c r="P90" s="264"/>
      <c r="Q90" s="261">
        <v>14</v>
      </c>
      <c r="R90" s="298" t="s">
        <v>345</v>
      </c>
      <c r="S90" s="258">
        <f>HLOOKUP("a"&amp;B$1,Tabla!$B:$AS,30*$A$1+$Q90,0)</f>
        <v>306</v>
      </c>
      <c r="T90" s="258">
        <f>HLOOKUP("a"&amp;C$1,Tabla!$B:$AS,30*$A$1+$Q90,0)</f>
        <v>82</v>
      </c>
      <c r="U90" s="258">
        <f>HLOOKUP("a"&amp;D$1,Tabla!$B:$AS,30*$A$1+$Q90,0)</f>
        <v>42</v>
      </c>
      <c r="V90" s="258">
        <f>HLOOKUP("a"&amp;E$1,Tabla!$B:$AS,30*$A$1+$Q90,0)</f>
        <v>10</v>
      </c>
      <c r="W90" s="258">
        <f>HLOOKUP("a"&amp;F$1,Tabla!$B:$AS,30*$A$1+$Q90,0)</f>
        <v>0</v>
      </c>
      <c r="AJ90" s="265"/>
      <c r="AK90" s="265"/>
      <c r="AL90" s="265"/>
      <c r="AM90" s="265"/>
      <c r="AN90" s="265"/>
      <c r="AO90" s="265"/>
      <c r="AP90" s="265"/>
      <c r="AQ90" s="265"/>
      <c r="AR90" s="265"/>
      <c r="AS90" s="265"/>
      <c r="AT90" s="265"/>
      <c r="AU90" s="265"/>
      <c r="AV90" s="265"/>
      <c r="AW90" s="265"/>
      <c r="AX90" s="265"/>
      <c r="AY90" s="265"/>
      <c r="AZ90" s="265"/>
      <c r="BA90" s="265"/>
      <c r="BB90" s="265"/>
      <c r="BC90" s="265"/>
    </row>
    <row r="91" spans="1:56">
      <c r="A91" s="167"/>
      <c r="B91" s="167"/>
      <c r="C91" s="167"/>
      <c r="D91" s="167"/>
      <c r="E91" s="167"/>
      <c r="F91" s="167"/>
      <c r="G91" s="167"/>
      <c r="H91" s="167"/>
      <c r="I91" s="167"/>
      <c r="J91" s="167"/>
      <c r="K91" s="167"/>
      <c r="L91" s="167"/>
      <c r="M91" s="167"/>
      <c r="N91" s="167"/>
    </row>
  </sheetData>
  <mergeCells count="2">
    <mergeCell ref="B47:C47"/>
    <mergeCell ref="B48:C48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FDF24E1-245D-4A35-9E14-A5283419B7DC}">
            <xm:f>Tabla!$A$1=1</xm:f>
            <x14:dxf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D48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FF00"/>
  </sheetPr>
  <dimension ref="A1:M699"/>
  <sheetViews>
    <sheetView showGridLines="0" zoomScale="80" zoomScaleNormal="80" workbookViewId="0">
      <selection activeCell="B166" sqref="B166:D186"/>
    </sheetView>
  </sheetViews>
  <sheetFormatPr baseColWidth="10" defaultColWidth="11.42578125" defaultRowHeight="15"/>
  <cols>
    <col min="1" max="1" width="11.42578125" style="5"/>
    <col min="2" max="3" width="45.7109375" style="340" customWidth="1"/>
    <col min="4" max="4" width="45.7109375" style="5" customWidth="1"/>
    <col min="5" max="5" width="29.85546875" style="5" customWidth="1"/>
    <col min="6" max="6" width="14.42578125" style="340" customWidth="1"/>
    <col min="7" max="7" width="11.42578125" style="27"/>
    <col min="10" max="11" width="35.42578125" style="2" customWidth="1"/>
  </cols>
  <sheetData>
    <row r="1" spans="1:11" ht="15.75" thickBot="1">
      <c r="A1" s="318"/>
      <c r="B1" s="319" t="s">
        <v>165</v>
      </c>
      <c r="C1" s="320" t="s">
        <v>166</v>
      </c>
      <c r="D1" s="321" t="s">
        <v>167</v>
      </c>
      <c r="E1" s="321" t="s">
        <v>182</v>
      </c>
      <c r="F1" s="321"/>
      <c r="G1" s="321"/>
    </row>
    <row r="2" spans="1:11" s="1" customFormat="1" ht="19.5" customHeight="1">
      <c r="A2" s="322" t="s">
        <v>168</v>
      </c>
      <c r="B2" s="323" t="s">
        <v>292</v>
      </c>
      <c r="C2" s="324"/>
      <c r="D2" s="325" t="str">
        <f>"Total Respondentes: "&amp; SUM('TI COPIA'!$L3:$P3)</f>
        <v>Total Respondentes: 544</v>
      </c>
      <c r="E2" s="325"/>
      <c r="F2" s="325" t="s">
        <v>162</v>
      </c>
      <c r="G2" s="325" t="str">
        <f>B2</f>
        <v>Edad</v>
      </c>
      <c r="J2" s="3"/>
      <c r="K2" s="3"/>
    </row>
    <row r="3" spans="1:11" s="1" customFormat="1" ht="19.5" customHeight="1">
      <c r="A3" s="326" t="s">
        <v>169</v>
      </c>
      <c r="B3" s="327" t="s">
        <v>293</v>
      </c>
      <c r="C3" s="328"/>
      <c r="D3" s="329" t="str">
        <f>"Total Respondentes: "&amp; SUM('TI COPIA'!$R3:$S3)</f>
        <v>Total Respondentes: 542</v>
      </c>
      <c r="E3" s="329"/>
      <c r="F3" s="329" t="s">
        <v>160</v>
      </c>
      <c r="G3" s="329" t="str">
        <f t="shared" ref="G3:G31" si="0">B3</f>
        <v>Género</v>
      </c>
      <c r="J3" s="3"/>
      <c r="K3" s="3"/>
    </row>
    <row r="4" spans="1:11" s="1" customFormat="1" ht="19.5" customHeight="1">
      <c r="A4" s="326" t="s">
        <v>170</v>
      </c>
      <c r="B4" s="327" t="s">
        <v>806</v>
      </c>
      <c r="C4" s="328"/>
      <c r="D4" s="329" t="str">
        <f>"Total Respondentes: "&amp; SUM('TI COPIA'!$U3:$Y3)</f>
        <v>Total Respondentes: 543</v>
      </c>
      <c r="E4" s="329"/>
      <c r="F4" s="329" t="s">
        <v>161</v>
      </c>
      <c r="G4" s="329" t="str">
        <f t="shared" si="0"/>
        <v>Nivel de Estudios</v>
      </c>
      <c r="J4" s="3"/>
      <c r="K4" s="3"/>
    </row>
    <row r="5" spans="1:11" s="1" customFormat="1" ht="19.5" customHeight="1">
      <c r="A5" s="326" t="s">
        <v>171</v>
      </c>
      <c r="B5" s="327" t="s">
        <v>274</v>
      </c>
      <c r="C5" s="328"/>
      <c r="D5" s="329" t="str">
        <f>"Total Respondentes: "&amp; SUM('TI COPIA'!$AA3:$AE3)</f>
        <v>Total Respondentes: 563</v>
      </c>
      <c r="E5" s="329"/>
      <c r="F5" s="329" t="s">
        <v>159</v>
      </c>
      <c r="G5" s="329" t="str">
        <f t="shared" si="0"/>
        <v>Cargo</v>
      </c>
      <c r="J5" s="3"/>
      <c r="K5" s="3"/>
    </row>
    <row r="6" spans="1:11" s="1" customFormat="1" ht="19.5" customHeight="1">
      <c r="A6" s="326" t="s">
        <v>172</v>
      </c>
      <c r="B6" s="327" t="s">
        <v>813</v>
      </c>
      <c r="C6" s="328"/>
      <c r="D6" s="329" t="str">
        <f>"Total Respondentes: "&amp; SUM('TI COPIA'!$AG3:$AL3)</f>
        <v>Total Respondentes: 541</v>
      </c>
      <c r="E6" s="329"/>
      <c r="F6" s="329" t="s">
        <v>163</v>
      </c>
      <c r="G6" s="329" t="str">
        <f t="shared" si="0"/>
        <v>Antigüedad</v>
      </c>
      <c r="J6" s="3"/>
      <c r="K6" s="3"/>
    </row>
    <row r="7" spans="1:11" s="1" customFormat="1" ht="19.5" customHeight="1">
      <c r="A7" s="326" t="s">
        <v>173</v>
      </c>
      <c r="B7" s="327" t="s">
        <v>834</v>
      </c>
      <c r="C7" s="328"/>
      <c r="D7" s="329" t="str">
        <f>"Total Respondentes: "&amp; SUM('TI COPIA'!$AN3:$AO3)</f>
        <v>Total Respondentes: 541</v>
      </c>
      <c r="E7" s="329"/>
      <c r="F7" s="329" t="s">
        <v>290</v>
      </c>
      <c r="G7" s="329" t="str">
        <f t="shared" si="0"/>
        <v>Jornada Laboral</v>
      </c>
      <c r="J7" s="3"/>
      <c r="K7" s="3"/>
    </row>
    <row r="8" spans="1:11" s="1" customFormat="1" ht="19.5" customHeight="1">
      <c r="A8" s="326" t="s">
        <v>174</v>
      </c>
      <c r="B8" s="327" t="s">
        <v>843</v>
      </c>
      <c r="C8" s="328"/>
      <c r="D8" s="329" t="str">
        <f>"Total Respondentes: "&amp; SUM('TI COPIA'!$AQ3:$AZ3)</f>
        <v>Total Respondentes: 563</v>
      </c>
      <c r="E8" s="329"/>
      <c r="F8" s="329" t="s">
        <v>351</v>
      </c>
      <c r="G8" s="329" t="str">
        <f t="shared" si="0"/>
        <v>Área</v>
      </c>
      <c r="J8" s="3"/>
      <c r="K8" s="3"/>
    </row>
    <row r="9" spans="1:11" s="1" customFormat="1" ht="19.5" customHeight="1">
      <c r="A9" s="326" t="s">
        <v>175</v>
      </c>
      <c r="B9" s="327" t="s">
        <v>844</v>
      </c>
      <c r="C9" s="328"/>
      <c r="D9" s="329" t="str">
        <f>"Total Respondentes: "&amp; SUM('TI COPIA'!$BB3:$BF3)</f>
        <v>Total Respondentes: 268</v>
      </c>
      <c r="E9" s="329"/>
      <c r="F9" s="329" t="s">
        <v>352</v>
      </c>
      <c r="G9" s="329" t="str">
        <f t="shared" si="0"/>
        <v>Área1</v>
      </c>
      <c r="J9" s="3"/>
      <c r="K9" s="3"/>
    </row>
    <row r="10" spans="1:11" s="1" customFormat="1" ht="19.5" customHeight="1">
      <c r="A10" s="326" t="s">
        <v>176</v>
      </c>
      <c r="B10" s="327" t="s">
        <v>845</v>
      </c>
      <c r="C10" s="328"/>
      <c r="D10" s="329" t="str">
        <f>"Total Respondentes: "&amp; SUM('TI COPIA'!$BH3:$BL3)</f>
        <v>Total Respondentes: 295</v>
      </c>
      <c r="E10" s="329"/>
      <c r="F10" s="329" t="s">
        <v>353</v>
      </c>
      <c r="G10" s="329" t="str">
        <f t="shared" si="0"/>
        <v>Área2</v>
      </c>
      <c r="J10" s="3"/>
      <c r="K10" s="3"/>
    </row>
    <row r="11" spans="1:11" s="1" customFormat="1" ht="19.5" customHeight="1">
      <c r="A11" s="326" t="s">
        <v>177</v>
      </c>
      <c r="B11" s="327" t="s">
        <v>820</v>
      </c>
      <c r="C11" s="330"/>
      <c r="D11" s="329" t="str">
        <f>"Total Respondentes: "&amp; SUM('TI COPIA'!$BN3:$BQ3)</f>
        <v>Total Respondentes: 541</v>
      </c>
      <c r="E11" s="329"/>
      <c r="F11" s="329" t="s">
        <v>354</v>
      </c>
      <c r="G11" s="329" t="str">
        <f t="shared" si="0"/>
        <v>Indique la cantidad de reuniones que ha tenido con su jefe para conversar sobre su desempeño durante los últimos 12 meses</v>
      </c>
      <c r="J11" s="3"/>
      <c r="K11" s="3"/>
    </row>
    <row r="12" spans="1:11" s="1" customFormat="1" ht="19.5" customHeight="1">
      <c r="A12" s="326" t="s">
        <v>178</v>
      </c>
      <c r="B12" s="327" t="s">
        <v>821</v>
      </c>
      <c r="C12" s="328"/>
      <c r="D12" s="329" t="str">
        <f>"Total Respondentes: "&amp; SUM('TI COPIA'!$BS3:$BW3)</f>
        <v>Total Respondentes: 528</v>
      </c>
      <c r="E12" s="329"/>
      <c r="F12" s="329" t="s">
        <v>355</v>
      </c>
      <c r="G12" s="329" t="str">
        <f t="shared" si="0"/>
        <v>El principal motivo por el que permanezco en esta empresa es</v>
      </c>
      <c r="J12" s="3"/>
      <c r="K12" s="3"/>
    </row>
    <row r="13" spans="1:11" s="1" customFormat="1" ht="19.5" customHeight="1">
      <c r="A13" s="326" t="s">
        <v>179</v>
      </c>
      <c r="B13" s="327" t="s">
        <v>293</v>
      </c>
      <c r="C13" s="328"/>
      <c r="D13" s="329" t="str">
        <f>"Total Respondentes: "&amp; SUM('TI COPIA'!Z1:Z1)</f>
        <v>Total Respondentes: 0</v>
      </c>
      <c r="E13" s="329"/>
      <c r="F13" s="329" t="s">
        <v>356</v>
      </c>
      <c r="G13" s="329" t="str">
        <f t="shared" si="0"/>
        <v>Género</v>
      </c>
      <c r="J13" s="3"/>
      <c r="K13" s="3"/>
    </row>
    <row r="14" spans="1:11" s="1" customFormat="1" ht="19.5" customHeight="1">
      <c r="A14" s="326" t="s">
        <v>180</v>
      </c>
      <c r="B14" s="327" t="s">
        <v>292</v>
      </c>
      <c r="C14" s="328"/>
      <c r="D14" s="329" t="str">
        <f>"Total Respondentes: "&amp; SUM('TI COPIA'!Z1:Z1)</f>
        <v>Total Respondentes: 0</v>
      </c>
      <c r="E14" s="329"/>
      <c r="F14" s="329" t="s">
        <v>357</v>
      </c>
      <c r="G14" s="329" t="str">
        <f t="shared" si="0"/>
        <v>Edad</v>
      </c>
      <c r="J14" s="3"/>
      <c r="K14" s="3"/>
    </row>
    <row r="15" spans="1:11" s="1" customFormat="1" ht="19.5" customHeight="1">
      <c r="A15" s="326" t="s">
        <v>181</v>
      </c>
      <c r="B15" s="327" t="s">
        <v>293</v>
      </c>
      <c r="C15" s="328"/>
      <c r="D15" s="329" t="str">
        <f>"Total Respondentes: "&amp; SUM('TI COPIA'!Z1:Z1)</f>
        <v>Total Respondentes: 0</v>
      </c>
      <c r="E15" s="329"/>
      <c r="F15" s="329" t="s">
        <v>358</v>
      </c>
      <c r="G15" s="329" t="str">
        <f t="shared" si="0"/>
        <v>Género</v>
      </c>
      <c r="J15" s="3"/>
      <c r="K15" s="3"/>
    </row>
    <row r="16" spans="1:11" s="1" customFormat="1" ht="19.5" customHeight="1">
      <c r="A16" s="326" t="s">
        <v>221</v>
      </c>
      <c r="B16" s="327" t="s">
        <v>292</v>
      </c>
      <c r="C16" s="328"/>
      <c r="D16" s="329" t="str">
        <f>"Total Respondentes: "&amp; SUM('TI COPIA'!Z1:Z1)</f>
        <v>Total Respondentes: 0</v>
      </c>
      <c r="E16" s="329"/>
      <c r="F16" s="329" t="s">
        <v>359</v>
      </c>
      <c r="G16" s="329" t="str">
        <f t="shared" si="0"/>
        <v>Edad</v>
      </c>
      <c r="J16" s="3"/>
      <c r="K16" s="3"/>
    </row>
    <row r="17" spans="1:11" s="1" customFormat="1" ht="19.5" customHeight="1">
      <c r="A17" s="326" t="s">
        <v>222</v>
      </c>
      <c r="B17" s="327" t="s">
        <v>293</v>
      </c>
      <c r="C17" s="328"/>
      <c r="D17" s="329" t="str">
        <f>"Total Respondentes: "&amp; SUM('TI COPIA'!Z1:Z1)</f>
        <v>Total Respondentes: 0</v>
      </c>
      <c r="E17" s="329"/>
      <c r="F17" s="329" t="s">
        <v>360</v>
      </c>
      <c r="G17" s="329" t="str">
        <f t="shared" si="0"/>
        <v>Género</v>
      </c>
      <c r="J17" s="3"/>
      <c r="K17" s="3"/>
    </row>
    <row r="18" spans="1:11" s="1" customFormat="1" ht="19.5" customHeight="1">
      <c r="A18" s="326" t="s">
        <v>223</v>
      </c>
      <c r="B18" s="327" t="s">
        <v>292</v>
      </c>
      <c r="C18" s="328"/>
      <c r="D18" s="329" t="str">
        <f>"Total Respondentes: "&amp; SUM('TI COPIA'!Z1:Z1)</f>
        <v>Total Respondentes: 0</v>
      </c>
      <c r="E18" s="329"/>
      <c r="F18" s="329" t="s">
        <v>361</v>
      </c>
      <c r="G18" s="329" t="str">
        <f t="shared" si="0"/>
        <v>Edad</v>
      </c>
      <c r="J18" s="3"/>
      <c r="K18" s="3"/>
    </row>
    <row r="19" spans="1:11" s="1" customFormat="1" ht="19.5" customHeight="1">
      <c r="A19" s="326" t="s">
        <v>224</v>
      </c>
      <c r="B19" s="327" t="s">
        <v>293</v>
      </c>
      <c r="C19" s="328"/>
      <c r="D19" s="329" t="str">
        <f>"Total Respondentes: "&amp; SUM('TI COPIA'!Z1:Z1)</f>
        <v>Total Respondentes: 0</v>
      </c>
      <c r="E19" s="329"/>
      <c r="F19" s="329" t="s">
        <v>362</v>
      </c>
      <c r="G19" s="329" t="str">
        <f t="shared" si="0"/>
        <v>Género</v>
      </c>
      <c r="J19" s="3"/>
      <c r="K19" s="3"/>
    </row>
    <row r="20" spans="1:11" s="1" customFormat="1" ht="19.5" customHeight="1">
      <c r="A20" s="326" t="s">
        <v>225</v>
      </c>
      <c r="B20" s="327" t="s">
        <v>292</v>
      </c>
      <c r="C20" s="328"/>
      <c r="D20" s="329" t="str">
        <f>"Total Respondentes: "&amp; SUM('TI COPIA'!Z1:Z1)</f>
        <v>Total Respondentes: 0</v>
      </c>
      <c r="E20" s="329"/>
      <c r="F20" s="329" t="s">
        <v>363</v>
      </c>
      <c r="G20" s="329" t="str">
        <f t="shared" si="0"/>
        <v>Edad</v>
      </c>
      <c r="J20" s="3"/>
      <c r="K20" s="3"/>
    </row>
    <row r="21" spans="1:11" s="1" customFormat="1" ht="19.5" customHeight="1">
      <c r="A21" s="326" t="s">
        <v>226</v>
      </c>
      <c r="B21" s="327" t="s">
        <v>293</v>
      </c>
      <c r="C21" s="328"/>
      <c r="D21" s="329" t="str">
        <f>"Total Respondentes: "&amp; SUM('TI COPIA'!Z1:Z1)</f>
        <v>Total Respondentes: 0</v>
      </c>
      <c r="E21" s="329"/>
      <c r="F21" s="329" t="s">
        <v>364</v>
      </c>
      <c r="G21" s="329" t="str">
        <f t="shared" si="0"/>
        <v>Género</v>
      </c>
      <c r="J21" s="3"/>
      <c r="K21" s="3"/>
    </row>
    <row r="22" spans="1:11" s="1" customFormat="1" ht="19.5" customHeight="1">
      <c r="A22" s="326" t="s">
        <v>278</v>
      </c>
      <c r="B22" s="327" t="s">
        <v>292</v>
      </c>
      <c r="C22" s="328"/>
      <c r="D22" s="329" t="str">
        <f>"Total Respondentes: "&amp; SUM('TI COPIA'!Z1:Z1)</f>
        <v>Total Respondentes: 0</v>
      </c>
      <c r="E22" s="329"/>
      <c r="F22" s="329" t="s">
        <v>365</v>
      </c>
      <c r="G22" s="329" t="str">
        <f t="shared" si="0"/>
        <v>Edad</v>
      </c>
      <c r="J22" s="3"/>
      <c r="K22" s="3"/>
    </row>
    <row r="23" spans="1:11" s="1" customFormat="1" ht="19.5" customHeight="1">
      <c r="A23" s="326" t="s">
        <v>279</v>
      </c>
      <c r="B23" s="327" t="s">
        <v>293</v>
      </c>
      <c r="C23" s="328"/>
      <c r="D23" s="329" t="str">
        <f>"Total Respondentes: "&amp; SUM('TI COPIA'!Z1:Z1)</f>
        <v>Total Respondentes: 0</v>
      </c>
      <c r="E23" s="329"/>
      <c r="F23" s="329" t="s">
        <v>366</v>
      </c>
      <c r="G23" s="329" t="str">
        <f t="shared" si="0"/>
        <v>Género</v>
      </c>
      <c r="J23" s="3"/>
      <c r="K23" s="3"/>
    </row>
    <row r="24" spans="1:11" s="1" customFormat="1" ht="19.5" customHeight="1">
      <c r="A24" s="326" t="s">
        <v>280</v>
      </c>
      <c r="B24" s="327" t="s">
        <v>292</v>
      </c>
      <c r="C24" s="328"/>
      <c r="D24" s="329" t="str">
        <f>"Total Respondentes: "&amp; SUM('TI COPIA'!Z1:Z1)</f>
        <v>Total Respondentes: 0</v>
      </c>
      <c r="E24" s="329"/>
      <c r="F24" s="329" t="s">
        <v>367</v>
      </c>
      <c r="G24" s="329" t="str">
        <f t="shared" si="0"/>
        <v>Edad</v>
      </c>
      <c r="J24" s="3"/>
      <c r="K24" s="3"/>
    </row>
    <row r="25" spans="1:11" s="1" customFormat="1" ht="19.5" customHeight="1">
      <c r="A25" s="326" t="s">
        <v>281</v>
      </c>
      <c r="B25" s="327" t="s">
        <v>292</v>
      </c>
      <c r="C25" s="328"/>
      <c r="D25" s="329" t="str">
        <f>"Total Respondentes: "&amp; SUM('TI COPIA'!Z1:Z1)</f>
        <v>Total Respondentes: 0</v>
      </c>
      <c r="E25" s="329"/>
      <c r="F25" s="329" t="s">
        <v>368</v>
      </c>
      <c r="G25" s="329" t="str">
        <f t="shared" si="0"/>
        <v>Edad</v>
      </c>
      <c r="J25" s="3"/>
      <c r="K25" s="3"/>
    </row>
    <row r="26" spans="1:11" s="1" customFormat="1" ht="19.5" customHeight="1">
      <c r="A26" s="326" t="s">
        <v>282</v>
      </c>
      <c r="B26" s="327" t="s">
        <v>293</v>
      </c>
      <c r="C26" s="328"/>
      <c r="D26" s="329" t="str">
        <f>"Total Respondentes: "&amp; SUM('TI COPIA'!Z1:Z1)</f>
        <v>Total Respondentes: 0</v>
      </c>
      <c r="E26" s="329"/>
      <c r="F26" s="329" t="s">
        <v>369</v>
      </c>
      <c r="G26" s="329" t="str">
        <f t="shared" si="0"/>
        <v>Género</v>
      </c>
      <c r="J26" s="3"/>
      <c r="K26" s="3"/>
    </row>
    <row r="27" spans="1:11" s="1" customFormat="1" ht="19.5" customHeight="1">
      <c r="A27" s="326" t="s">
        <v>283</v>
      </c>
      <c r="B27" s="327" t="s">
        <v>292</v>
      </c>
      <c r="C27" s="328"/>
      <c r="D27" s="329" t="str">
        <f>"Total Respondentes: "&amp; SUM('TI COPIA'!Z1:Z1)</f>
        <v>Total Respondentes: 0</v>
      </c>
      <c r="E27" s="329"/>
      <c r="F27" s="329" t="s">
        <v>370</v>
      </c>
      <c r="G27" s="329" t="str">
        <f t="shared" si="0"/>
        <v>Edad</v>
      </c>
      <c r="J27" s="3"/>
      <c r="K27" s="3"/>
    </row>
    <row r="28" spans="1:11" s="1" customFormat="1" ht="19.5" customHeight="1">
      <c r="A28" s="326" t="s">
        <v>284</v>
      </c>
      <c r="B28" s="327" t="s">
        <v>293</v>
      </c>
      <c r="C28" s="328"/>
      <c r="D28" s="329" t="str">
        <f>"Total Respondentes: "&amp; SUM('TI COPIA'!Z1:Z1)</f>
        <v>Total Respondentes: 0</v>
      </c>
      <c r="E28" s="329"/>
      <c r="F28" s="329" t="s">
        <v>371</v>
      </c>
      <c r="G28" s="329" t="str">
        <f t="shared" si="0"/>
        <v>Género</v>
      </c>
      <c r="J28" s="3"/>
      <c r="K28" s="3"/>
    </row>
    <row r="29" spans="1:11" s="1" customFormat="1" ht="19.5" customHeight="1">
      <c r="A29" s="326" t="s">
        <v>285</v>
      </c>
      <c r="B29" s="327" t="s">
        <v>292</v>
      </c>
      <c r="C29" s="328"/>
      <c r="D29" s="329" t="str">
        <f>"Total Respondentes: "&amp; SUM('TI COPIA'!Z1:Z1)</f>
        <v>Total Respondentes: 0</v>
      </c>
      <c r="E29" s="329"/>
      <c r="F29" s="329" t="s">
        <v>372</v>
      </c>
      <c r="G29" s="329" t="str">
        <f t="shared" si="0"/>
        <v>Edad</v>
      </c>
      <c r="J29" s="3"/>
      <c r="K29" s="3"/>
    </row>
    <row r="30" spans="1:11" s="1" customFormat="1" ht="19.5" customHeight="1">
      <c r="A30" s="326" t="s">
        <v>286</v>
      </c>
      <c r="B30" s="327" t="s">
        <v>293</v>
      </c>
      <c r="C30" s="328"/>
      <c r="D30" s="329" t="str">
        <f>"Total Respondentes: "&amp; SUM('TI COPIA'!Z1:Z1)</f>
        <v>Total Respondentes: 0</v>
      </c>
      <c r="E30" s="329"/>
      <c r="F30" s="329" t="s">
        <v>373</v>
      </c>
      <c r="G30" s="329" t="str">
        <f t="shared" si="0"/>
        <v>Género</v>
      </c>
      <c r="J30" s="3"/>
      <c r="K30" s="3"/>
    </row>
    <row r="31" spans="1:11" s="1" customFormat="1" ht="19.5" customHeight="1">
      <c r="A31" s="326" t="s">
        <v>287</v>
      </c>
      <c r="B31" s="327" t="s">
        <v>292</v>
      </c>
      <c r="C31" s="328"/>
      <c r="D31" s="329" t="str">
        <f>"Total Respondentes: "&amp; SUM('TI COPIA'!Z1:Z1)</f>
        <v>Total Respondentes: 0</v>
      </c>
      <c r="E31" s="329"/>
      <c r="F31" s="329" t="s">
        <v>374</v>
      </c>
      <c r="G31" s="329" t="str">
        <f t="shared" si="0"/>
        <v>Edad</v>
      </c>
      <c r="J31" s="3"/>
      <c r="K31" s="3"/>
    </row>
    <row r="32" spans="1:11" s="1" customFormat="1" ht="17.100000000000001" customHeight="1">
      <c r="A32" s="331"/>
      <c r="B32" s="332"/>
      <c r="C32" s="333"/>
      <c r="D32" s="334"/>
      <c r="E32" s="334"/>
      <c r="F32" s="335"/>
      <c r="G32" s="27"/>
      <c r="J32" s="3"/>
      <c r="K32" s="3"/>
    </row>
    <row r="33" spans="1:11" s="1" customFormat="1" ht="17.100000000000001" customHeight="1">
      <c r="A33" s="336"/>
      <c r="B33" s="337"/>
      <c r="C33" s="338"/>
      <c r="D33" s="339"/>
      <c r="E33" s="339"/>
      <c r="F33" s="335"/>
      <c r="G33" s="27"/>
      <c r="J33" s="3"/>
      <c r="K33" s="3"/>
    </row>
    <row r="34" spans="1:11" s="1" customFormat="1" ht="24.95" customHeight="1">
      <c r="A34" s="336"/>
      <c r="B34" s="359"/>
      <c r="C34" s="359"/>
      <c r="D34" s="166"/>
      <c r="E34" s="339"/>
      <c r="F34" s="335"/>
      <c r="G34" s="27"/>
      <c r="J34" s="3"/>
      <c r="K34" s="3"/>
    </row>
    <row r="35" spans="1:11" s="1" customFormat="1" ht="24.95" customHeight="1">
      <c r="A35" s="336"/>
      <c r="B35" s="359"/>
      <c r="C35" s="359"/>
      <c r="D35" s="166"/>
      <c r="E35" s="339"/>
      <c r="F35" s="335"/>
      <c r="G35" s="27"/>
      <c r="J35" s="3"/>
      <c r="K35" s="3"/>
    </row>
    <row r="36" spans="1:11" ht="24.95" customHeight="1">
      <c r="B36" s="359"/>
      <c r="C36" s="359"/>
      <c r="D36" s="166"/>
    </row>
    <row r="37" spans="1:11" ht="24.95" customHeight="1">
      <c r="B37" s="359"/>
      <c r="C37" s="359"/>
      <c r="D37" s="166"/>
    </row>
    <row r="38" spans="1:11" ht="24.95" customHeight="1">
      <c r="A38" s="169"/>
      <c r="B38" s="359"/>
      <c r="C38" s="359"/>
      <c r="D38" s="166"/>
    </row>
    <row r="39" spans="1:11" ht="24.95" customHeight="1">
      <c r="A39" s="169"/>
      <c r="B39" s="359"/>
      <c r="C39" s="359"/>
      <c r="D39" s="166"/>
    </row>
    <row r="40" spans="1:11" ht="24.95" customHeight="1">
      <c r="A40" s="169"/>
      <c r="B40" s="359"/>
      <c r="C40" s="359"/>
      <c r="D40" s="166"/>
    </row>
    <row r="41" spans="1:11" ht="24.95" customHeight="1">
      <c r="A41" s="169"/>
      <c r="B41" s="359"/>
      <c r="C41" s="359"/>
      <c r="D41" s="166"/>
    </row>
    <row r="42" spans="1:11" ht="24.95" customHeight="1">
      <c r="A42" s="169"/>
      <c r="B42" s="359"/>
      <c r="C42" s="359"/>
      <c r="D42" s="166"/>
    </row>
    <row r="43" spans="1:11" ht="24.95" customHeight="1">
      <c r="A43" s="169"/>
      <c r="B43" s="359"/>
      <c r="C43" s="359"/>
      <c r="D43" s="166"/>
    </row>
    <row r="44" spans="1:11" ht="24.95" customHeight="1">
      <c r="A44" s="169"/>
      <c r="B44" s="359"/>
      <c r="C44" s="359"/>
      <c r="D44" s="166"/>
    </row>
    <row r="45" spans="1:11" ht="24.95" customHeight="1">
      <c r="A45" s="169"/>
      <c r="B45" s="359"/>
      <c r="C45" s="359"/>
      <c r="D45" s="166"/>
    </row>
    <row r="46" spans="1:11" ht="24.95" customHeight="1">
      <c r="A46" s="169"/>
      <c r="B46" s="359"/>
      <c r="C46" s="359"/>
      <c r="D46" s="166"/>
    </row>
    <row r="47" spans="1:11" ht="24.95" customHeight="1">
      <c r="A47" s="169"/>
      <c r="B47" s="359"/>
      <c r="C47" s="359"/>
      <c r="D47" s="166"/>
    </row>
    <row r="48" spans="1:11" ht="24.95" customHeight="1">
      <c r="A48" s="169"/>
      <c r="B48" s="359"/>
      <c r="C48" s="359"/>
      <c r="D48" s="166"/>
    </row>
    <row r="49" spans="1:13" ht="24.95" customHeight="1">
      <c r="A49" s="169"/>
      <c r="B49" s="359"/>
      <c r="C49" s="359"/>
      <c r="D49" s="166"/>
    </row>
    <row r="50" spans="1:13" ht="24.95" customHeight="1">
      <c r="A50" s="169"/>
      <c r="B50" s="359"/>
      <c r="C50" s="359"/>
      <c r="D50" s="166"/>
    </row>
    <row r="51" spans="1:13" ht="24.95" customHeight="1">
      <c r="A51" s="169"/>
      <c r="B51" s="359"/>
      <c r="C51" s="359"/>
      <c r="D51" s="166"/>
      <c r="L51" t="s">
        <v>209</v>
      </c>
    </row>
    <row r="52" spans="1:13" ht="24.95" customHeight="1">
      <c r="A52" s="169"/>
      <c r="B52" s="359"/>
      <c r="C52" s="359"/>
      <c r="D52" s="166"/>
      <c r="L52" t="s">
        <v>209</v>
      </c>
    </row>
    <row r="53" spans="1:13" ht="24.95" customHeight="1">
      <c r="A53" s="169"/>
      <c r="B53" s="359"/>
      <c r="C53" s="359"/>
      <c r="D53" s="166"/>
    </row>
    <row r="54" spans="1:13" ht="24.95" customHeight="1">
      <c r="A54" s="169"/>
      <c r="B54" s="359"/>
      <c r="C54" s="359"/>
      <c r="D54" s="166"/>
    </row>
    <row r="55" spans="1:13" ht="24.95" customHeight="1">
      <c r="A55" s="169"/>
      <c r="M55" s="2"/>
    </row>
    <row r="56" spans="1:13" ht="24.95" customHeight="1">
      <c r="A56" s="169"/>
      <c r="B56" s="359"/>
      <c r="C56" s="359"/>
      <c r="D56" s="166"/>
      <c r="M56" s="2"/>
    </row>
    <row r="57" spans="1:13" ht="24.95" customHeight="1">
      <c r="A57" s="169"/>
      <c r="B57" s="359"/>
      <c r="C57" s="359"/>
      <c r="D57" s="166"/>
      <c r="M57" s="2"/>
    </row>
    <row r="58" spans="1:13" ht="24.95" customHeight="1">
      <c r="A58" s="169"/>
      <c r="B58" s="359"/>
      <c r="C58" s="359"/>
      <c r="D58" s="166"/>
      <c r="M58" s="2"/>
    </row>
    <row r="59" spans="1:13" ht="24.95" customHeight="1">
      <c r="A59" s="169"/>
      <c r="B59" s="359"/>
      <c r="C59" s="359"/>
      <c r="D59" s="166"/>
      <c r="M59" s="2"/>
    </row>
    <row r="60" spans="1:13" ht="24.95" customHeight="1">
      <c r="A60" s="169"/>
      <c r="B60" s="359"/>
      <c r="C60" s="359"/>
      <c r="D60" s="166"/>
      <c r="M60" s="2"/>
    </row>
    <row r="61" spans="1:13" ht="24.95" customHeight="1">
      <c r="A61" s="169"/>
      <c r="B61" s="359"/>
      <c r="C61" s="359"/>
      <c r="D61" s="166"/>
      <c r="M61" s="2"/>
    </row>
    <row r="62" spans="1:13" ht="24.95" customHeight="1">
      <c r="A62" s="169"/>
      <c r="B62" s="359"/>
      <c r="C62" s="359"/>
      <c r="D62" s="166"/>
      <c r="M62" s="2"/>
    </row>
    <row r="63" spans="1:13" ht="24.95" customHeight="1">
      <c r="A63" s="169"/>
      <c r="B63" s="359"/>
      <c r="C63" s="359"/>
      <c r="D63" s="166"/>
      <c r="M63" s="2"/>
    </row>
    <row r="64" spans="1:13" ht="24.95" customHeight="1">
      <c r="A64" s="169"/>
      <c r="B64" s="359"/>
      <c r="C64" s="359"/>
      <c r="D64" s="166"/>
      <c r="M64" s="2"/>
    </row>
    <row r="65" spans="1:13" ht="24.95" customHeight="1">
      <c r="A65" s="169"/>
      <c r="B65" s="359"/>
      <c r="C65" s="359"/>
      <c r="D65" s="166"/>
      <c r="M65" s="2"/>
    </row>
    <row r="66" spans="1:13" ht="24.95" customHeight="1">
      <c r="A66" s="169"/>
      <c r="B66" s="359"/>
      <c r="C66" s="359"/>
      <c r="D66" s="166"/>
      <c r="M66" s="2"/>
    </row>
    <row r="67" spans="1:13" ht="24.95" customHeight="1">
      <c r="A67" s="169"/>
      <c r="B67" s="359"/>
      <c r="C67" s="359"/>
      <c r="D67" s="166"/>
      <c r="M67" s="2"/>
    </row>
    <row r="68" spans="1:13" ht="24.95" customHeight="1">
      <c r="A68" s="169"/>
      <c r="B68" s="359"/>
      <c r="C68" s="359"/>
      <c r="D68" s="166"/>
      <c r="M68" s="2"/>
    </row>
    <row r="69" spans="1:13" ht="24.95" customHeight="1">
      <c r="A69" s="169"/>
      <c r="B69" s="359"/>
      <c r="C69" s="359"/>
      <c r="D69" s="166"/>
      <c r="M69" s="2"/>
    </row>
    <row r="70" spans="1:13" ht="24.95" customHeight="1">
      <c r="A70" s="169"/>
      <c r="B70" s="359"/>
      <c r="C70" s="359"/>
      <c r="D70" s="166"/>
    </row>
    <row r="71" spans="1:13" ht="24.95" customHeight="1">
      <c r="A71" s="169"/>
      <c r="B71" s="359"/>
      <c r="C71" s="359"/>
      <c r="D71" s="166"/>
    </row>
    <row r="72" spans="1:13" ht="24.95" customHeight="1">
      <c r="A72" s="169"/>
      <c r="B72" s="359"/>
      <c r="C72" s="359"/>
      <c r="D72" s="166"/>
    </row>
    <row r="73" spans="1:13" ht="24.95" customHeight="1">
      <c r="A73" s="169"/>
      <c r="B73" s="359"/>
      <c r="C73" s="359"/>
      <c r="D73" s="166"/>
    </row>
    <row r="74" spans="1:13" ht="24.95" customHeight="1">
      <c r="A74" s="169"/>
      <c r="B74" s="359"/>
      <c r="C74" s="359"/>
      <c r="D74" s="166"/>
    </row>
    <row r="75" spans="1:13" ht="24.95" customHeight="1">
      <c r="A75" s="169"/>
      <c r="B75" s="359"/>
      <c r="C75" s="359"/>
      <c r="D75" s="166"/>
      <c r="L75" t="s">
        <v>209</v>
      </c>
    </row>
    <row r="76" spans="1:13" ht="24.95" customHeight="1">
      <c r="A76" s="169"/>
      <c r="B76" s="359"/>
      <c r="C76" s="359"/>
      <c r="D76" s="166"/>
      <c r="L76" t="s">
        <v>209</v>
      </c>
    </row>
    <row r="77" spans="1:13" ht="24.95" customHeight="1">
      <c r="A77" s="169"/>
      <c r="L77" t="s">
        <v>209</v>
      </c>
    </row>
    <row r="78" spans="1:13" ht="24.95" customHeight="1">
      <c r="A78" s="169"/>
      <c r="B78" s="359"/>
      <c r="C78" s="359"/>
      <c r="D78" s="166"/>
      <c r="L78" t="s">
        <v>209</v>
      </c>
    </row>
    <row r="79" spans="1:13" ht="24.95" customHeight="1">
      <c r="A79" s="169"/>
      <c r="B79" s="359"/>
      <c r="C79" s="359"/>
      <c r="D79" s="166"/>
      <c r="L79" t="s">
        <v>209</v>
      </c>
    </row>
    <row r="80" spans="1:13" ht="24.95" customHeight="1">
      <c r="A80" s="169"/>
      <c r="B80" s="359"/>
      <c r="C80" s="359"/>
      <c r="D80" s="166"/>
      <c r="L80" t="s">
        <v>209</v>
      </c>
    </row>
    <row r="81" spans="1:12" ht="24.95" customHeight="1">
      <c r="A81" s="169"/>
      <c r="B81" s="359"/>
      <c r="C81" s="359"/>
      <c r="D81" s="166"/>
      <c r="L81" t="s">
        <v>209</v>
      </c>
    </row>
    <row r="82" spans="1:12" ht="24.95" customHeight="1">
      <c r="A82" s="169"/>
      <c r="B82" s="359"/>
      <c r="C82" s="359"/>
      <c r="D82" s="166"/>
      <c r="L82" t="s">
        <v>209</v>
      </c>
    </row>
    <row r="83" spans="1:12" ht="24.95" customHeight="1">
      <c r="A83" s="169"/>
      <c r="B83" s="359"/>
      <c r="C83" s="359"/>
      <c r="D83" s="166"/>
      <c r="L83" t="s">
        <v>209</v>
      </c>
    </row>
    <row r="84" spans="1:12" ht="24.95" customHeight="1">
      <c r="A84" s="169"/>
      <c r="B84" s="359"/>
      <c r="C84" s="359"/>
      <c r="D84" s="166"/>
      <c r="L84" t="s">
        <v>209</v>
      </c>
    </row>
    <row r="85" spans="1:12" ht="24.95" customHeight="1">
      <c r="A85" s="169"/>
      <c r="B85" s="359"/>
      <c r="C85" s="359"/>
      <c r="D85" s="166"/>
      <c r="L85" t="s">
        <v>209</v>
      </c>
    </row>
    <row r="86" spans="1:12" ht="24.95" customHeight="1">
      <c r="A86" s="169"/>
      <c r="B86" s="359"/>
      <c r="C86" s="359"/>
      <c r="D86" s="166"/>
      <c r="L86" t="s">
        <v>209</v>
      </c>
    </row>
    <row r="87" spans="1:12" ht="24.95" customHeight="1">
      <c r="A87" s="169"/>
      <c r="B87" s="359"/>
      <c r="C87" s="359"/>
      <c r="D87" s="166"/>
      <c r="L87" t="s">
        <v>209</v>
      </c>
    </row>
    <row r="88" spans="1:12" ht="24.95" customHeight="1">
      <c r="A88" s="169"/>
      <c r="B88" s="359"/>
      <c r="C88" s="359"/>
      <c r="D88" s="166"/>
    </row>
    <row r="89" spans="1:12" ht="24.95" customHeight="1">
      <c r="A89" s="169"/>
      <c r="B89" s="359"/>
      <c r="C89" s="359"/>
      <c r="D89" s="166"/>
    </row>
    <row r="90" spans="1:12" ht="24.95" customHeight="1">
      <c r="A90" s="169"/>
      <c r="B90" s="359"/>
      <c r="C90" s="359"/>
      <c r="D90" s="166"/>
    </row>
    <row r="91" spans="1:12" ht="24.95" customHeight="1">
      <c r="A91" s="169"/>
      <c r="B91" s="359"/>
      <c r="C91" s="359"/>
      <c r="D91" s="166"/>
    </row>
    <row r="92" spans="1:12" ht="24.95" customHeight="1">
      <c r="A92" s="169"/>
      <c r="B92" s="359"/>
      <c r="C92" s="359"/>
      <c r="D92" s="166"/>
    </row>
    <row r="93" spans="1:12" ht="24.95" customHeight="1">
      <c r="A93" s="169"/>
      <c r="B93" s="359"/>
      <c r="C93" s="359"/>
      <c r="D93" s="166"/>
    </row>
    <row r="94" spans="1:12" ht="24.95" customHeight="1">
      <c r="A94" s="169"/>
      <c r="B94" s="359"/>
      <c r="C94" s="359"/>
      <c r="D94" s="166"/>
    </row>
    <row r="95" spans="1:12" ht="24.95" customHeight="1">
      <c r="A95" s="169"/>
      <c r="B95" s="359"/>
      <c r="C95" s="359"/>
      <c r="D95" s="166"/>
    </row>
    <row r="96" spans="1:12" ht="24.95" customHeight="1">
      <c r="A96" s="169"/>
      <c r="B96" s="359"/>
      <c r="C96" s="359"/>
      <c r="D96" s="166"/>
    </row>
    <row r="97" spans="1:4" ht="24.95" customHeight="1">
      <c r="A97" s="169"/>
      <c r="B97" s="359"/>
      <c r="C97" s="359"/>
      <c r="D97" s="166"/>
    </row>
    <row r="98" spans="1:4" ht="24.95" customHeight="1">
      <c r="A98" s="169"/>
      <c r="B98" s="359"/>
      <c r="C98" s="359"/>
      <c r="D98" s="166"/>
    </row>
    <row r="99" spans="1:4" ht="24.95" customHeight="1">
      <c r="A99" s="169"/>
    </row>
    <row r="100" spans="1:4" ht="24.95" customHeight="1">
      <c r="A100" s="169"/>
      <c r="B100" s="359"/>
      <c r="C100" s="359"/>
      <c r="D100" s="166"/>
    </row>
    <row r="101" spans="1:4" ht="24.95" customHeight="1">
      <c r="A101" s="169"/>
      <c r="B101" s="359"/>
      <c r="C101" s="359"/>
      <c r="D101" s="166"/>
    </row>
    <row r="102" spans="1:4" ht="24.95" customHeight="1">
      <c r="A102" s="169"/>
      <c r="B102" s="359"/>
      <c r="C102" s="359"/>
      <c r="D102" s="166"/>
    </row>
    <row r="103" spans="1:4" ht="24.95" customHeight="1">
      <c r="A103" s="169"/>
      <c r="B103" s="359"/>
      <c r="C103" s="359"/>
      <c r="D103" s="166"/>
    </row>
    <row r="104" spans="1:4" ht="24.95" customHeight="1">
      <c r="A104" s="169"/>
      <c r="B104" s="359"/>
      <c r="C104" s="359"/>
      <c r="D104" s="166"/>
    </row>
    <row r="105" spans="1:4" ht="24.95" customHeight="1">
      <c r="A105" s="169"/>
      <c r="B105" s="359"/>
      <c r="C105" s="359"/>
      <c r="D105" s="166"/>
    </row>
    <row r="106" spans="1:4" ht="24.95" customHeight="1">
      <c r="A106" s="169"/>
      <c r="B106" s="359"/>
      <c r="C106" s="359"/>
      <c r="D106" s="166"/>
    </row>
    <row r="107" spans="1:4" ht="24.95" customHeight="1">
      <c r="A107" s="169"/>
      <c r="B107" s="359"/>
      <c r="C107" s="359"/>
      <c r="D107" s="166"/>
    </row>
    <row r="108" spans="1:4" ht="24.95" customHeight="1">
      <c r="A108" s="169"/>
      <c r="B108" s="359"/>
      <c r="C108" s="359"/>
      <c r="D108" s="166"/>
    </row>
    <row r="109" spans="1:4" ht="24.95" customHeight="1">
      <c r="A109" s="169"/>
      <c r="B109" s="359"/>
      <c r="C109" s="359"/>
      <c r="D109" s="166"/>
    </row>
    <row r="110" spans="1:4" ht="24.95" customHeight="1">
      <c r="A110" s="169"/>
      <c r="B110" s="359"/>
      <c r="C110" s="359"/>
      <c r="D110" s="166"/>
    </row>
    <row r="111" spans="1:4" ht="24.95" customHeight="1">
      <c r="A111" s="169"/>
      <c r="B111" s="359"/>
      <c r="C111" s="359"/>
      <c r="D111" s="166"/>
    </row>
    <row r="112" spans="1:4" ht="24.95" customHeight="1">
      <c r="A112" s="169"/>
      <c r="B112" s="359"/>
      <c r="C112" s="359"/>
      <c r="D112" s="166"/>
    </row>
    <row r="113" spans="1:4" ht="24.95" customHeight="1">
      <c r="A113" s="169"/>
      <c r="B113" s="359"/>
      <c r="C113" s="359"/>
      <c r="D113" s="166"/>
    </row>
    <row r="114" spans="1:4" ht="24.95" customHeight="1">
      <c r="A114" s="169"/>
      <c r="B114" s="359"/>
      <c r="C114" s="359"/>
      <c r="D114" s="166"/>
    </row>
    <row r="115" spans="1:4" ht="24.95" customHeight="1">
      <c r="A115" s="169"/>
      <c r="B115" s="359"/>
      <c r="C115" s="359"/>
      <c r="D115" s="166"/>
    </row>
    <row r="116" spans="1:4" ht="24.95" customHeight="1">
      <c r="A116" s="169"/>
      <c r="B116" s="359"/>
      <c r="C116" s="359"/>
      <c r="D116" s="166"/>
    </row>
    <row r="117" spans="1:4" ht="24.95" customHeight="1">
      <c r="A117" s="169"/>
      <c r="B117" s="359"/>
      <c r="C117" s="359"/>
      <c r="D117" s="166"/>
    </row>
    <row r="118" spans="1:4" ht="24.95" customHeight="1">
      <c r="A118" s="169"/>
      <c r="B118" s="359"/>
      <c r="C118" s="359"/>
      <c r="D118" s="166"/>
    </row>
    <row r="119" spans="1:4" ht="24.95" customHeight="1">
      <c r="A119" s="169"/>
      <c r="B119" s="359"/>
      <c r="C119" s="359"/>
      <c r="D119" s="166"/>
    </row>
    <row r="120" spans="1:4" ht="24.95" customHeight="1">
      <c r="A120" s="169"/>
      <c r="B120" s="359"/>
      <c r="C120" s="359"/>
      <c r="D120" s="166"/>
    </row>
    <row r="121" spans="1:4" ht="24.95" customHeight="1">
      <c r="A121" s="169"/>
    </row>
    <row r="122" spans="1:4" ht="24.95" customHeight="1">
      <c r="A122" s="169"/>
      <c r="B122" s="359"/>
      <c r="C122" s="359"/>
      <c r="D122" s="166"/>
    </row>
    <row r="123" spans="1:4" ht="24.95" customHeight="1">
      <c r="A123" s="169"/>
      <c r="B123" s="359"/>
      <c r="C123" s="359"/>
      <c r="D123" s="166"/>
    </row>
    <row r="124" spans="1:4" ht="24.95" customHeight="1">
      <c r="A124" s="169"/>
      <c r="B124" s="359"/>
      <c r="C124" s="359"/>
      <c r="D124" s="166"/>
    </row>
    <row r="125" spans="1:4" ht="24.95" customHeight="1">
      <c r="A125" s="169"/>
      <c r="B125" s="359"/>
      <c r="C125" s="359"/>
      <c r="D125" s="166"/>
    </row>
    <row r="126" spans="1:4" ht="24.95" customHeight="1">
      <c r="A126" s="169"/>
      <c r="B126" s="359"/>
      <c r="C126" s="359"/>
      <c r="D126" s="166"/>
    </row>
    <row r="127" spans="1:4" ht="24.95" customHeight="1">
      <c r="A127" s="169"/>
      <c r="B127" s="359"/>
      <c r="C127" s="359"/>
      <c r="D127" s="166"/>
    </row>
    <row r="128" spans="1:4" ht="24.95" customHeight="1">
      <c r="A128" s="169"/>
      <c r="B128" s="359"/>
      <c r="C128" s="359"/>
      <c r="D128" s="166"/>
    </row>
    <row r="129" spans="1:4" ht="24.95" customHeight="1">
      <c r="A129" s="169"/>
      <c r="B129" s="359"/>
      <c r="C129" s="359"/>
      <c r="D129" s="166"/>
    </row>
    <row r="130" spans="1:4" ht="24.95" customHeight="1">
      <c r="A130" s="169"/>
      <c r="B130" s="359"/>
      <c r="C130" s="359"/>
      <c r="D130" s="166"/>
    </row>
    <row r="131" spans="1:4" ht="24.95" customHeight="1">
      <c r="A131" s="169"/>
      <c r="B131" s="359"/>
      <c r="C131" s="359"/>
      <c r="D131" s="166"/>
    </row>
    <row r="132" spans="1:4" ht="24.95" customHeight="1">
      <c r="A132" s="169"/>
      <c r="B132" s="359"/>
      <c r="C132" s="359"/>
      <c r="D132" s="166"/>
    </row>
    <row r="133" spans="1:4" ht="24.95" customHeight="1">
      <c r="A133" s="169"/>
      <c r="B133" s="359"/>
      <c r="C133" s="359"/>
      <c r="D133" s="166"/>
    </row>
    <row r="134" spans="1:4" ht="24.95" customHeight="1">
      <c r="A134" s="169"/>
      <c r="B134" s="359"/>
      <c r="C134" s="359"/>
      <c r="D134" s="166"/>
    </row>
    <row r="135" spans="1:4" ht="24.95" customHeight="1">
      <c r="A135" s="169"/>
      <c r="B135" s="359"/>
      <c r="C135" s="359"/>
      <c r="D135" s="166"/>
    </row>
    <row r="136" spans="1:4" ht="24.95" customHeight="1">
      <c r="A136" s="169"/>
      <c r="B136" s="359"/>
      <c r="C136" s="359"/>
      <c r="D136" s="166"/>
    </row>
    <row r="137" spans="1:4" ht="24.95" customHeight="1">
      <c r="A137" s="169"/>
      <c r="B137" s="359"/>
      <c r="C137" s="359"/>
      <c r="D137" s="166"/>
    </row>
    <row r="138" spans="1:4" ht="24.95" customHeight="1">
      <c r="A138" s="169"/>
      <c r="B138" s="359"/>
      <c r="C138" s="359"/>
      <c r="D138" s="166"/>
    </row>
    <row r="139" spans="1:4" ht="24.95" customHeight="1">
      <c r="A139" s="169"/>
      <c r="B139" s="359"/>
      <c r="C139" s="359"/>
      <c r="D139" s="166"/>
    </row>
    <row r="140" spans="1:4" ht="24.95" customHeight="1">
      <c r="A140" s="169"/>
      <c r="B140" s="359"/>
      <c r="C140" s="359"/>
      <c r="D140" s="166"/>
    </row>
    <row r="141" spans="1:4" ht="24.95" customHeight="1">
      <c r="A141" s="169"/>
      <c r="B141" s="359"/>
      <c r="C141" s="359"/>
      <c r="D141" s="166"/>
    </row>
    <row r="142" spans="1:4" ht="24.95" customHeight="1">
      <c r="A142" s="169"/>
      <c r="B142" s="359"/>
      <c r="C142" s="359"/>
      <c r="D142" s="166"/>
    </row>
    <row r="143" spans="1:4" ht="24.95" customHeight="1">
      <c r="A143" s="169"/>
    </row>
    <row r="144" spans="1:4" ht="24.95" customHeight="1">
      <c r="A144" s="169"/>
      <c r="B144" s="359"/>
      <c r="C144" s="359"/>
      <c r="D144" s="166"/>
    </row>
    <row r="145" spans="1:4" ht="24.95" customHeight="1">
      <c r="A145" s="169"/>
      <c r="B145" s="359"/>
      <c r="C145" s="359"/>
      <c r="D145" s="166"/>
    </row>
    <row r="146" spans="1:4" ht="24.95" customHeight="1">
      <c r="A146" s="169"/>
      <c r="B146" s="359"/>
      <c r="C146" s="359"/>
      <c r="D146" s="166"/>
    </row>
    <row r="147" spans="1:4" ht="24.95" customHeight="1">
      <c r="A147" s="169"/>
      <c r="B147" s="359"/>
      <c r="C147" s="359"/>
      <c r="D147" s="166"/>
    </row>
    <row r="148" spans="1:4" ht="24.95" customHeight="1">
      <c r="A148" s="169"/>
      <c r="B148" s="359"/>
      <c r="C148" s="359"/>
      <c r="D148" s="166"/>
    </row>
    <row r="149" spans="1:4" ht="24.95" customHeight="1">
      <c r="A149" s="169"/>
      <c r="B149" s="359"/>
      <c r="C149" s="359"/>
      <c r="D149" s="166"/>
    </row>
    <row r="150" spans="1:4" ht="24.95" customHeight="1">
      <c r="A150" s="169"/>
      <c r="B150" s="359"/>
      <c r="C150" s="359"/>
      <c r="D150" s="166"/>
    </row>
    <row r="151" spans="1:4" ht="24.95" customHeight="1">
      <c r="A151" s="169"/>
      <c r="B151" s="359"/>
      <c r="C151" s="359"/>
      <c r="D151" s="166"/>
    </row>
    <row r="152" spans="1:4" ht="24.95" customHeight="1">
      <c r="A152" s="169"/>
      <c r="B152" s="359"/>
      <c r="C152" s="359"/>
      <c r="D152" s="166"/>
    </row>
    <row r="153" spans="1:4" ht="24.95" customHeight="1">
      <c r="A153" s="169"/>
      <c r="B153" s="359"/>
      <c r="C153" s="359"/>
      <c r="D153" s="166"/>
    </row>
    <row r="154" spans="1:4" ht="24.95" customHeight="1">
      <c r="A154" s="169"/>
      <c r="B154" s="359"/>
      <c r="C154" s="359"/>
      <c r="D154" s="166"/>
    </row>
    <row r="155" spans="1:4" ht="24.95" customHeight="1">
      <c r="A155" s="169"/>
      <c r="B155" s="359"/>
      <c r="C155" s="359"/>
      <c r="D155" s="166"/>
    </row>
    <row r="156" spans="1:4" ht="24.95" customHeight="1">
      <c r="A156" s="169"/>
      <c r="B156" s="359"/>
      <c r="C156" s="359"/>
      <c r="D156" s="166"/>
    </row>
    <row r="157" spans="1:4" ht="24.95" customHeight="1">
      <c r="A157" s="169"/>
      <c r="B157" s="359"/>
      <c r="C157" s="359"/>
      <c r="D157" s="166"/>
    </row>
    <row r="158" spans="1:4" ht="24.95" customHeight="1">
      <c r="A158" s="169"/>
      <c r="B158" s="359"/>
      <c r="C158" s="359"/>
      <c r="D158" s="166"/>
    </row>
    <row r="159" spans="1:4" ht="24.95" customHeight="1">
      <c r="A159" s="169"/>
      <c r="B159" s="359"/>
      <c r="C159" s="359"/>
      <c r="D159" s="166"/>
    </row>
    <row r="160" spans="1:4" ht="24.95" customHeight="1">
      <c r="A160" s="169"/>
      <c r="B160" s="359"/>
      <c r="C160" s="359"/>
      <c r="D160" s="166"/>
    </row>
    <row r="161" spans="1:4" ht="24.95" customHeight="1">
      <c r="A161" s="169"/>
      <c r="B161" s="359"/>
      <c r="C161" s="359"/>
      <c r="D161" s="166"/>
    </row>
    <row r="162" spans="1:4" ht="24.95" customHeight="1">
      <c r="A162" s="169"/>
      <c r="B162" s="359"/>
      <c r="C162" s="359"/>
      <c r="D162" s="166"/>
    </row>
    <row r="163" spans="1:4" ht="24.95" customHeight="1">
      <c r="A163" s="169"/>
      <c r="B163" s="359"/>
      <c r="C163" s="359"/>
      <c r="D163" s="166"/>
    </row>
    <row r="164" spans="1:4" ht="24.95" customHeight="1">
      <c r="A164" s="169"/>
      <c r="B164" s="359"/>
      <c r="C164" s="359"/>
      <c r="D164" s="166"/>
    </row>
    <row r="165" spans="1:4" ht="24.95" customHeight="1">
      <c r="A165" s="169"/>
    </row>
    <row r="166" spans="1:4" ht="24.95" customHeight="1">
      <c r="A166" s="169"/>
      <c r="B166" s="359"/>
      <c r="C166" s="359"/>
      <c r="D166" s="166"/>
    </row>
    <row r="167" spans="1:4" ht="24.95" customHeight="1">
      <c r="A167" s="169"/>
      <c r="B167" s="359"/>
      <c r="C167" s="359"/>
      <c r="D167" s="166"/>
    </row>
    <row r="168" spans="1:4" ht="24.95" customHeight="1">
      <c r="A168" s="169"/>
      <c r="B168" s="359"/>
      <c r="C168" s="359"/>
      <c r="D168" s="166"/>
    </row>
    <row r="169" spans="1:4" ht="24.95" customHeight="1">
      <c r="A169" s="169"/>
      <c r="B169" s="359"/>
      <c r="C169" s="359"/>
      <c r="D169" s="166"/>
    </row>
    <row r="170" spans="1:4" ht="24.95" customHeight="1">
      <c r="A170" s="169"/>
      <c r="B170" s="359"/>
      <c r="C170" s="359"/>
      <c r="D170" s="166"/>
    </row>
    <row r="171" spans="1:4" ht="24.95" customHeight="1">
      <c r="A171" s="169"/>
      <c r="B171" s="359"/>
      <c r="C171" s="359"/>
      <c r="D171" s="166"/>
    </row>
    <row r="172" spans="1:4" ht="24.95" customHeight="1">
      <c r="A172" s="169"/>
      <c r="B172" s="359"/>
      <c r="C172" s="359"/>
      <c r="D172" s="166"/>
    </row>
    <row r="173" spans="1:4" ht="24.95" customHeight="1">
      <c r="A173" s="169"/>
      <c r="B173" s="359"/>
      <c r="C173" s="359"/>
      <c r="D173" s="166"/>
    </row>
    <row r="174" spans="1:4" ht="24.95" customHeight="1">
      <c r="A174" s="169"/>
      <c r="B174" s="359"/>
      <c r="C174" s="359"/>
      <c r="D174" s="166"/>
    </row>
    <row r="175" spans="1:4" ht="24.95" customHeight="1">
      <c r="A175" s="169"/>
      <c r="B175" s="359"/>
      <c r="C175" s="359"/>
      <c r="D175" s="166"/>
    </row>
    <row r="176" spans="1:4" ht="24.95" customHeight="1">
      <c r="A176" s="169"/>
      <c r="B176" s="359"/>
      <c r="C176" s="359"/>
      <c r="D176" s="166"/>
    </row>
    <row r="177" spans="1:4" ht="24.95" customHeight="1">
      <c r="A177" s="169"/>
      <c r="B177" s="359"/>
      <c r="C177" s="359"/>
      <c r="D177" s="166"/>
    </row>
    <row r="178" spans="1:4" ht="24.95" customHeight="1">
      <c r="A178" s="169"/>
      <c r="B178" s="359"/>
      <c r="C178" s="359"/>
      <c r="D178" s="166"/>
    </row>
    <row r="179" spans="1:4" ht="24.95" customHeight="1">
      <c r="A179" s="169"/>
      <c r="B179" s="359"/>
      <c r="C179" s="359"/>
      <c r="D179" s="166"/>
    </row>
    <row r="180" spans="1:4" ht="24.95" customHeight="1">
      <c r="A180" s="169"/>
      <c r="B180" s="359"/>
      <c r="C180" s="359"/>
      <c r="D180" s="166"/>
    </row>
    <row r="181" spans="1:4" ht="24.95" customHeight="1">
      <c r="A181" s="169"/>
      <c r="B181" s="359"/>
      <c r="C181" s="359"/>
      <c r="D181" s="166"/>
    </row>
    <row r="182" spans="1:4" ht="24.95" customHeight="1">
      <c r="A182" s="169"/>
      <c r="B182" s="359"/>
      <c r="C182" s="359"/>
      <c r="D182" s="166"/>
    </row>
    <row r="183" spans="1:4" ht="24.95" customHeight="1">
      <c r="A183" s="169"/>
      <c r="B183" s="359"/>
      <c r="C183" s="359"/>
      <c r="D183" s="166"/>
    </row>
    <row r="184" spans="1:4" ht="24.95" customHeight="1">
      <c r="A184" s="169"/>
      <c r="B184" s="359"/>
      <c r="C184" s="359"/>
      <c r="D184" s="166"/>
    </row>
    <row r="185" spans="1:4" ht="24.95" customHeight="1">
      <c r="A185" s="169"/>
      <c r="B185" s="359"/>
      <c r="C185" s="359"/>
      <c r="D185" s="166"/>
    </row>
    <row r="186" spans="1:4" ht="24.95" customHeight="1">
      <c r="A186" s="169"/>
      <c r="B186" s="359"/>
      <c r="C186" s="359"/>
      <c r="D186" s="166"/>
    </row>
    <row r="187" spans="1:4" ht="24.95" customHeight="1">
      <c r="A187" s="169"/>
    </row>
    <row r="188" spans="1:4" ht="24.95" customHeight="1">
      <c r="A188" s="169"/>
      <c r="B188" s="359"/>
      <c r="C188" s="359"/>
      <c r="D188" s="166"/>
    </row>
    <row r="189" spans="1:4" ht="24.95" customHeight="1">
      <c r="A189" s="169"/>
      <c r="B189" s="359"/>
      <c r="C189" s="359"/>
      <c r="D189" s="166"/>
    </row>
    <row r="190" spans="1:4" ht="24.95" customHeight="1">
      <c r="A190" s="169"/>
      <c r="B190" s="359"/>
      <c r="C190" s="359"/>
      <c r="D190" s="166"/>
    </row>
    <row r="191" spans="1:4" ht="24.95" customHeight="1">
      <c r="A191" s="169"/>
      <c r="B191" s="359"/>
      <c r="C191" s="359"/>
      <c r="D191" s="166"/>
    </row>
    <row r="192" spans="1:4" ht="24.95" customHeight="1">
      <c r="A192" s="169"/>
      <c r="B192" s="359"/>
      <c r="C192" s="359"/>
      <c r="D192" s="166"/>
    </row>
    <row r="193" spans="1:4" ht="24.95" customHeight="1">
      <c r="A193" s="169"/>
      <c r="B193" s="359"/>
      <c r="C193" s="359"/>
      <c r="D193" s="166"/>
    </row>
    <row r="194" spans="1:4" ht="24.95" customHeight="1">
      <c r="A194" s="169"/>
      <c r="B194" s="359"/>
      <c r="C194" s="359"/>
      <c r="D194" s="166"/>
    </row>
    <row r="195" spans="1:4" ht="24.95" customHeight="1">
      <c r="A195" s="169"/>
      <c r="B195" s="359"/>
      <c r="C195" s="359"/>
      <c r="D195" s="166"/>
    </row>
    <row r="196" spans="1:4" ht="24.95" customHeight="1">
      <c r="A196" s="169"/>
      <c r="B196" s="359"/>
      <c r="C196" s="359"/>
      <c r="D196" s="166"/>
    </row>
    <row r="197" spans="1:4" ht="24.95" customHeight="1">
      <c r="A197" s="169"/>
      <c r="B197" s="359"/>
      <c r="C197" s="359"/>
      <c r="D197" s="166"/>
    </row>
    <row r="198" spans="1:4" ht="24.95" customHeight="1">
      <c r="A198" s="169"/>
      <c r="B198" s="359"/>
      <c r="C198" s="359"/>
      <c r="D198" s="166"/>
    </row>
    <row r="199" spans="1:4" ht="24.95" customHeight="1">
      <c r="A199" s="169"/>
      <c r="B199" s="359"/>
      <c r="C199" s="359"/>
      <c r="D199" s="166"/>
    </row>
    <row r="200" spans="1:4" ht="24.95" customHeight="1">
      <c r="A200" s="169"/>
      <c r="B200" s="359"/>
      <c r="C200" s="359"/>
      <c r="D200" s="166"/>
    </row>
    <row r="201" spans="1:4" ht="24.95" customHeight="1">
      <c r="A201" s="169"/>
      <c r="B201" s="359"/>
      <c r="C201" s="359"/>
      <c r="D201" s="166"/>
    </row>
    <row r="202" spans="1:4" ht="24.95" customHeight="1">
      <c r="A202" s="169"/>
      <c r="B202" s="359"/>
      <c r="C202" s="359"/>
      <c r="D202" s="166"/>
    </row>
    <row r="203" spans="1:4" ht="24.95" customHeight="1">
      <c r="A203" s="169"/>
      <c r="B203" s="359"/>
      <c r="C203" s="359"/>
      <c r="D203" s="166"/>
    </row>
    <row r="204" spans="1:4" ht="24.95" customHeight="1">
      <c r="A204" s="169"/>
      <c r="B204" s="359"/>
      <c r="C204" s="359"/>
      <c r="D204" s="166"/>
    </row>
    <row r="205" spans="1:4" ht="24.95" customHeight="1">
      <c r="A205" s="169"/>
      <c r="B205" s="359"/>
      <c r="C205" s="359"/>
      <c r="D205" s="166"/>
    </row>
    <row r="206" spans="1:4" ht="24.95" customHeight="1">
      <c r="A206" s="169"/>
      <c r="B206" s="359"/>
      <c r="C206" s="359"/>
      <c r="D206" s="166"/>
    </row>
    <row r="207" spans="1:4" ht="24.95" customHeight="1">
      <c r="A207" s="169"/>
      <c r="B207" s="359"/>
      <c r="C207" s="359"/>
      <c r="D207" s="166"/>
    </row>
    <row r="208" spans="1:4" ht="24.95" customHeight="1">
      <c r="A208" s="169"/>
      <c r="B208" s="359"/>
      <c r="C208" s="359"/>
      <c r="D208" s="166"/>
    </row>
    <row r="209" spans="1:4" ht="24.95" customHeight="1">
      <c r="A209" s="169"/>
    </row>
    <row r="210" spans="1:4" ht="24.95" customHeight="1">
      <c r="A210" s="169"/>
      <c r="B210" s="359"/>
      <c r="C210" s="359"/>
      <c r="D210" s="166"/>
    </row>
    <row r="211" spans="1:4" ht="24.95" customHeight="1">
      <c r="A211" s="169"/>
      <c r="B211" s="359"/>
      <c r="C211" s="359"/>
      <c r="D211" s="166"/>
    </row>
    <row r="212" spans="1:4" ht="24.95" customHeight="1">
      <c r="A212" s="169"/>
      <c r="B212" s="359"/>
      <c r="C212" s="359"/>
      <c r="D212" s="166"/>
    </row>
    <row r="213" spans="1:4" ht="24.95" customHeight="1">
      <c r="A213" s="169"/>
      <c r="B213" s="359"/>
      <c r="C213" s="359"/>
      <c r="D213" s="166"/>
    </row>
    <row r="214" spans="1:4" ht="24.95" customHeight="1">
      <c r="A214" s="169"/>
      <c r="B214" s="359"/>
      <c r="C214" s="359"/>
      <c r="D214" s="166"/>
    </row>
    <row r="215" spans="1:4" ht="24.95" customHeight="1">
      <c r="A215" s="169"/>
      <c r="B215" s="359"/>
      <c r="C215" s="359"/>
      <c r="D215" s="166"/>
    </row>
    <row r="216" spans="1:4" ht="24.95" customHeight="1">
      <c r="A216" s="169"/>
      <c r="B216" s="359"/>
      <c r="C216" s="359"/>
      <c r="D216" s="166"/>
    </row>
    <row r="217" spans="1:4" ht="24.95" customHeight="1">
      <c r="A217" s="169"/>
      <c r="B217" s="359"/>
      <c r="C217" s="359"/>
      <c r="D217" s="166"/>
    </row>
    <row r="218" spans="1:4" ht="24.95" customHeight="1">
      <c r="A218" s="169"/>
      <c r="B218" s="359"/>
      <c r="C218" s="359"/>
      <c r="D218" s="166"/>
    </row>
    <row r="219" spans="1:4" ht="24.95" customHeight="1">
      <c r="A219" s="169"/>
      <c r="B219" s="359"/>
      <c r="C219" s="359"/>
      <c r="D219" s="166"/>
    </row>
    <row r="220" spans="1:4" ht="24.95" customHeight="1">
      <c r="A220" s="169"/>
      <c r="B220" s="359"/>
      <c r="C220" s="359"/>
      <c r="D220" s="166"/>
    </row>
    <row r="221" spans="1:4" ht="24.95" customHeight="1">
      <c r="A221" s="169"/>
      <c r="B221" s="359"/>
      <c r="C221" s="359"/>
      <c r="D221" s="166"/>
    </row>
    <row r="222" spans="1:4" ht="24.95" customHeight="1">
      <c r="A222" s="169"/>
      <c r="B222" s="359"/>
      <c r="C222" s="359"/>
      <c r="D222" s="166"/>
    </row>
    <row r="223" spans="1:4" ht="24.95" customHeight="1">
      <c r="A223" s="169"/>
      <c r="B223" s="359"/>
      <c r="C223" s="359"/>
      <c r="D223" s="166"/>
    </row>
    <row r="224" spans="1:4" ht="24.95" customHeight="1">
      <c r="A224" s="169"/>
      <c r="B224" s="359"/>
      <c r="C224" s="359"/>
      <c r="D224" s="166"/>
    </row>
    <row r="225" spans="1:4" ht="24.95" customHeight="1">
      <c r="A225" s="169"/>
      <c r="B225" s="359"/>
      <c r="C225" s="359"/>
      <c r="D225" s="166"/>
    </row>
    <row r="226" spans="1:4" ht="24.95" customHeight="1">
      <c r="A226" s="169"/>
      <c r="B226" s="359"/>
      <c r="C226" s="359"/>
      <c r="D226" s="166"/>
    </row>
    <row r="227" spans="1:4" ht="24.95" customHeight="1">
      <c r="A227" s="169"/>
      <c r="B227" s="359"/>
      <c r="C227" s="359"/>
      <c r="D227" s="166"/>
    </row>
    <row r="228" spans="1:4" ht="24.95" customHeight="1">
      <c r="A228" s="169"/>
      <c r="B228" s="359"/>
      <c r="C228" s="359"/>
      <c r="D228" s="166"/>
    </row>
    <row r="229" spans="1:4" ht="24.95" customHeight="1">
      <c r="A229" s="169"/>
      <c r="B229" s="359"/>
      <c r="C229" s="359"/>
      <c r="D229" s="166"/>
    </row>
    <row r="230" spans="1:4" ht="24.95" customHeight="1">
      <c r="A230" s="169"/>
      <c r="B230" s="359"/>
      <c r="C230" s="359"/>
      <c r="D230" s="166"/>
    </row>
    <row r="231" spans="1:4" ht="24.95" customHeight="1">
      <c r="A231" s="169"/>
    </row>
    <row r="232" spans="1:4" ht="24.95" customHeight="1">
      <c r="A232" s="169"/>
      <c r="B232" s="359"/>
      <c r="C232" s="359"/>
      <c r="D232" s="166"/>
    </row>
    <row r="233" spans="1:4" ht="24.95" customHeight="1">
      <c r="A233" s="169"/>
      <c r="B233" s="359"/>
      <c r="C233" s="359"/>
      <c r="D233" s="166"/>
    </row>
    <row r="234" spans="1:4" ht="24.95" customHeight="1">
      <c r="A234" s="169"/>
      <c r="B234" s="359"/>
      <c r="C234" s="359"/>
      <c r="D234" s="166"/>
    </row>
    <row r="235" spans="1:4" ht="24.95" customHeight="1">
      <c r="A235" s="169"/>
      <c r="B235" s="359"/>
      <c r="C235" s="359"/>
      <c r="D235" s="166"/>
    </row>
    <row r="236" spans="1:4" ht="24.95" customHeight="1">
      <c r="A236" s="169"/>
      <c r="B236" s="359"/>
      <c r="C236" s="359"/>
      <c r="D236" s="166"/>
    </row>
    <row r="237" spans="1:4" ht="24.95" customHeight="1">
      <c r="A237" s="169"/>
      <c r="B237" s="359"/>
      <c r="C237" s="359"/>
      <c r="D237" s="166"/>
    </row>
    <row r="238" spans="1:4" ht="24.95" customHeight="1">
      <c r="A238" s="169"/>
      <c r="B238" s="359"/>
      <c r="C238" s="359"/>
      <c r="D238" s="166"/>
    </row>
    <row r="239" spans="1:4" ht="24.95" customHeight="1">
      <c r="A239" s="169"/>
      <c r="B239" s="359"/>
      <c r="C239" s="359"/>
      <c r="D239" s="166"/>
    </row>
    <row r="240" spans="1:4" ht="24.95" customHeight="1">
      <c r="A240" s="169"/>
      <c r="B240" s="359"/>
      <c r="C240" s="359"/>
      <c r="D240" s="166"/>
    </row>
    <row r="241" spans="1:4" ht="24.95" customHeight="1">
      <c r="A241" s="169"/>
      <c r="B241" s="359"/>
      <c r="C241" s="359"/>
      <c r="D241" s="166"/>
    </row>
    <row r="242" spans="1:4" ht="24.95" customHeight="1">
      <c r="A242" s="169"/>
      <c r="B242" s="359"/>
      <c r="C242" s="359"/>
      <c r="D242" s="166"/>
    </row>
    <row r="243" spans="1:4" ht="24.95" customHeight="1">
      <c r="A243" s="169"/>
      <c r="B243" s="359"/>
      <c r="C243" s="359"/>
      <c r="D243" s="166"/>
    </row>
    <row r="244" spans="1:4" ht="24.95" customHeight="1">
      <c r="A244" s="169"/>
      <c r="B244" s="359"/>
      <c r="C244" s="359"/>
      <c r="D244" s="166"/>
    </row>
    <row r="245" spans="1:4" ht="24.95" customHeight="1">
      <c r="A245" s="169"/>
      <c r="B245" s="359"/>
      <c r="C245" s="359"/>
      <c r="D245" s="166"/>
    </row>
    <row r="246" spans="1:4" ht="24.95" customHeight="1">
      <c r="A246" s="169"/>
      <c r="B246" s="359"/>
      <c r="C246" s="359"/>
      <c r="D246" s="166"/>
    </row>
    <row r="247" spans="1:4" ht="24.95" customHeight="1">
      <c r="A247" s="169"/>
      <c r="B247" s="359"/>
      <c r="C247" s="359"/>
      <c r="D247" s="166"/>
    </row>
    <row r="248" spans="1:4" ht="24.95" customHeight="1">
      <c r="A248" s="169"/>
      <c r="B248" s="359"/>
      <c r="C248" s="359"/>
      <c r="D248" s="166"/>
    </row>
    <row r="249" spans="1:4" ht="24.95" customHeight="1">
      <c r="A249" s="169"/>
      <c r="B249" s="359"/>
      <c r="C249" s="359"/>
      <c r="D249" s="166"/>
    </row>
    <row r="250" spans="1:4" ht="24.95" customHeight="1">
      <c r="A250" s="169"/>
      <c r="B250" s="359"/>
      <c r="C250" s="359"/>
      <c r="D250" s="166"/>
    </row>
    <row r="251" spans="1:4" ht="24.95" customHeight="1">
      <c r="A251" s="169"/>
      <c r="B251" s="359"/>
      <c r="C251" s="359"/>
      <c r="D251" s="166"/>
    </row>
    <row r="252" spans="1:4" ht="24.95" customHeight="1">
      <c r="A252" s="169"/>
      <c r="B252" s="359"/>
      <c r="C252" s="359"/>
      <c r="D252" s="166"/>
    </row>
    <row r="253" spans="1:4" ht="24.95" customHeight="1">
      <c r="A253" s="169"/>
    </row>
    <row r="254" spans="1:4" ht="24.95" customHeight="1">
      <c r="A254" s="169"/>
      <c r="B254" s="359"/>
      <c r="C254" s="359"/>
      <c r="D254" s="166"/>
    </row>
    <row r="255" spans="1:4" ht="24.95" customHeight="1">
      <c r="A255" s="169"/>
      <c r="B255" s="359"/>
      <c r="C255" s="359"/>
      <c r="D255" s="166"/>
    </row>
    <row r="256" spans="1:4" ht="24.95" customHeight="1">
      <c r="A256" s="169"/>
      <c r="B256" s="359"/>
      <c r="C256" s="359"/>
      <c r="D256" s="166"/>
    </row>
    <row r="257" spans="1:4" ht="24.95" customHeight="1">
      <c r="A257" s="169"/>
      <c r="B257" s="359"/>
      <c r="C257" s="359"/>
      <c r="D257" s="166"/>
    </row>
    <row r="258" spans="1:4" ht="24.95" customHeight="1">
      <c r="A258" s="169"/>
      <c r="B258" s="359"/>
      <c r="C258" s="359"/>
      <c r="D258" s="166"/>
    </row>
    <row r="259" spans="1:4" ht="24.95" customHeight="1">
      <c r="A259" s="169"/>
      <c r="B259" s="359"/>
      <c r="C259" s="359"/>
      <c r="D259" s="166"/>
    </row>
    <row r="260" spans="1:4" ht="24.95" customHeight="1">
      <c r="A260" s="169"/>
      <c r="B260" s="359"/>
      <c r="C260" s="359"/>
      <c r="D260" s="166"/>
    </row>
    <row r="261" spans="1:4" ht="24.95" customHeight="1">
      <c r="A261" s="169"/>
      <c r="B261" s="359"/>
      <c r="C261" s="359"/>
      <c r="D261" s="166"/>
    </row>
    <row r="262" spans="1:4" ht="24.95" customHeight="1">
      <c r="A262" s="169"/>
      <c r="B262" s="359"/>
      <c r="C262" s="359"/>
      <c r="D262" s="166"/>
    </row>
    <row r="263" spans="1:4" ht="24.95" customHeight="1">
      <c r="A263" s="169"/>
      <c r="B263" s="359"/>
      <c r="C263" s="359"/>
      <c r="D263" s="166"/>
    </row>
    <row r="264" spans="1:4" ht="24.95" customHeight="1">
      <c r="A264" s="169"/>
      <c r="B264" s="359"/>
      <c r="C264" s="359"/>
      <c r="D264" s="166"/>
    </row>
    <row r="265" spans="1:4" ht="24.95" customHeight="1">
      <c r="A265" s="169"/>
      <c r="B265" s="359"/>
      <c r="C265" s="359"/>
      <c r="D265" s="166"/>
    </row>
    <row r="266" spans="1:4" ht="24.95" customHeight="1">
      <c r="A266" s="169"/>
      <c r="B266" s="359"/>
      <c r="C266" s="359"/>
      <c r="D266" s="166"/>
    </row>
    <row r="267" spans="1:4" ht="24.95" customHeight="1">
      <c r="A267" s="169"/>
      <c r="B267" s="359"/>
      <c r="C267" s="359"/>
      <c r="D267" s="166"/>
    </row>
    <row r="268" spans="1:4" ht="24.95" customHeight="1">
      <c r="A268" s="169"/>
      <c r="B268" s="359"/>
      <c r="C268" s="359"/>
      <c r="D268" s="166"/>
    </row>
    <row r="269" spans="1:4" ht="24.95" customHeight="1">
      <c r="A269" s="169"/>
      <c r="B269" s="359"/>
      <c r="C269" s="359"/>
      <c r="D269" s="166"/>
    </row>
    <row r="270" spans="1:4" ht="24.95" customHeight="1">
      <c r="A270" s="169"/>
      <c r="B270" s="359"/>
      <c r="C270" s="359"/>
      <c r="D270" s="166"/>
    </row>
    <row r="271" spans="1:4" ht="24.95" customHeight="1">
      <c r="A271" s="169"/>
      <c r="B271" s="359"/>
      <c r="C271" s="359"/>
      <c r="D271" s="166"/>
    </row>
    <row r="272" spans="1:4" ht="24.95" customHeight="1">
      <c r="A272" s="169"/>
      <c r="B272" s="359"/>
      <c r="C272" s="359"/>
      <c r="D272" s="166"/>
    </row>
    <row r="273" spans="1:4" ht="24.95" customHeight="1">
      <c r="A273" s="169"/>
      <c r="B273" s="359"/>
      <c r="C273" s="359"/>
      <c r="D273" s="166"/>
    </row>
    <row r="274" spans="1:4" ht="24.95" customHeight="1">
      <c r="A274" s="169"/>
      <c r="B274" s="359"/>
      <c r="C274" s="359"/>
      <c r="D274" s="166"/>
    </row>
    <row r="275" spans="1:4" ht="24.95" customHeight="1">
      <c r="A275" s="169"/>
    </row>
    <row r="276" spans="1:4" ht="24.95" customHeight="1">
      <c r="A276" s="169"/>
      <c r="B276" s="359"/>
      <c r="C276" s="359"/>
      <c r="D276" s="166"/>
    </row>
    <row r="277" spans="1:4" ht="24.95" customHeight="1">
      <c r="A277" s="169"/>
      <c r="B277" s="359"/>
      <c r="C277" s="359"/>
      <c r="D277" s="166"/>
    </row>
    <row r="278" spans="1:4" ht="24.95" customHeight="1">
      <c r="A278" s="169"/>
      <c r="B278" s="359"/>
      <c r="C278" s="359"/>
      <c r="D278" s="166"/>
    </row>
    <row r="279" spans="1:4" ht="24.95" customHeight="1">
      <c r="A279" s="169"/>
      <c r="B279" s="359"/>
      <c r="C279" s="359"/>
      <c r="D279" s="166"/>
    </row>
    <row r="280" spans="1:4" ht="24.95" customHeight="1">
      <c r="A280" s="169"/>
      <c r="B280" s="359"/>
      <c r="C280" s="359"/>
      <c r="D280" s="166"/>
    </row>
    <row r="281" spans="1:4" ht="24.95" customHeight="1">
      <c r="A281" s="169"/>
      <c r="B281" s="359"/>
      <c r="C281" s="359"/>
      <c r="D281" s="166"/>
    </row>
    <row r="282" spans="1:4" ht="24.95" customHeight="1">
      <c r="A282" s="169"/>
      <c r="B282" s="359"/>
      <c r="C282" s="359"/>
      <c r="D282" s="166"/>
    </row>
    <row r="283" spans="1:4" ht="24.95" customHeight="1">
      <c r="A283" s="169"/>
      <c r="B283" s="359"/>
      <c r="C283" s="359"/>
      <c r="D283" s="166"/>
    </row>
    <row r="284" spans="1:4" ht="24.95" customHeight="1">
      <c r="A284" s="169"/>
      <c r="B284" s="359"/>
      <c r="C284" s="359"/>
      <c r="D284" s="166"/>
    </row>
    <row r="285" spans="1:4" ht="24.95" customHeight="1">
      <c r="A285" s="169"/>
      <c r="B285" s="359"/>
      <c r="C285" s="359"/>
      <c r="D285" s="166"/>
    </row>
    <row r="286" spans="1:4" ht="24.95" customHeight="1">
      <c r="A286" s="169"/>
      <c r="B286" s="359"/>
      <c r="C286" s="359"/>
      <c r="D286" s="166"/>
    </row>
    <row r="287" spans="1:4" ht="24.95" customHeight="1">
      <c r="A287" s="169"/>
      <c r="B287" s="359"/>
      <c r="C287" s="359"/>
      <c r="D287" s="166"/>
    </row>
    <row r="288" spans="1:4" ht="24.95" customHeight="1">
      <c r="A288" s="169"/>
      <c r="B288" s="359"/>
      <c r="C288" s="359"/>
      <c r="D288" s="166"/>
    </row>
    <row r="289" spans="1:4" ht="24.95" customHeight="1">
      <c r="A289" s="169"/>
      <c r="B289" s="359"/>
      <c r="C289" s="359"/>
      <c r="D289" s="166"/>
    </row>
    <row r="290" spans="1:4" ht="24.95" customHeight="1">
      <c r="A290" s="169"/>
      <c r="B290" s="359"/>
      <c r="C290" s="359"/>
      <c r="D290" s="166"/>
    </row>
    <row r="291" spans="1:4" ht="24.95" customHeight="1">
      <c r="A291" s="169"/>
      <c r="B291" s="359"/>
      <c r="C291" s="359"/>
      <c r="D291" s="166"/>
    </row>
    <row r="292" spans="1:4" ht="24.95" customHeight="1">
      <c r="A292" s="169"/>
      <c r="B292" s="359"/>
      <c r="C292" s="359"/>
      <c r="D292" s="166"/>
    </row>
    <row r="293" spans="1:4" ht="24.95" customHeight="1">
      <c r="A293" s="169"/>
      <c r="B293" s="359"/>
      <c r="C293" s="359"/>
      <c r="D293" s="166"/>
    </row>
    <row r="294" spans="1:4" ht="24.95" customHeight="1">
      <c r="A294" s="169"/>
      <c r="B294" s="359"/>
      <c r="C294" s="359"/>
      <c r="D294" s="166"/>
    </row>
    <row r="295" spans="1:4" ht="24.95" customHeight="1">
      <c r="A295" s="169"/>
      <c r="B295" s="359"/>
      <c r="C295" s="359"/>
      <c r="D295" s="166"/>
    </row>
    <row r="296" spans="1:4" ht="24.95" customHeight="1">
      <c r="A296" s="169"/>
      <c r="B296" s="359"/>
      <c r="C296" s="359"/>
      <c r="D296" s="166"/>
    </row>
    <row r="297" spans="1:4" ht="24.95" customHeight="1">
      <c r="A297" s="169"/>
    </row>
    <row r="298" spans="1:4" ht="24.95" customHeight="1">
      <c r="A298" s="169"/>
      <c r="B298" s="359"/>
      <c r="C298" s="359"/>
      <c r="D298" s="166"/>
    </row>
    <row r="299" spans="1:4" ht="24.95" customHeight="1">
      <c r="A299" s="169"/>
      <c r="B299" s="359"/>
      <c r="C299" s="359"/>
      <c r="D299" s="166"/>
    </row>
    <row r="300" spans="1:4" ht="24.95" customHeight="1">
      <c r="A300" s="169"/>
      <c r="B300" s="359"/>
      <c r="C300" s="359"/>
      <c r="D300" s="166"/>
    </row>
    <row r="301" spans="1:4" ht="24.95" customHeight="1">
      <c r="A301" s="169"/>
      <c r="B301" s="359"/>
      <c r="C301" s="359"/>
      <c r="D301" s="166"/>
    </row>
    <row r="302" spans="1:4" ht="24.95" customHeight="1">
      <c r="A302" s="169"/>
      <c r="B302" s="359"/>
      <c r="C302" s="359"/>
      <c r="D302" s="166"/>
    </row>
    <row r="303" spans="1:4" ht="24.95" customHeight="1">
      <c r="A303" s="169"/>
      <c r="B303" s="359"/>
      <c r="C303" s="359"/>
      <c r="D303" s="166"/>
    </row>
    <row r="304" spans="1:4" ht="24.95" customHeight="1">
      <c r="A304" s="169"/>
      <c r="B304" s="359"/>
      <c r="C304" s="359"/>
      <c r="D304" s="166"/>
    </row>
    <row r="305" spans="1:4" ht="24.95" customHeight="1">
      <c r="A305" s="169"/>
      <c r="B305" s="359"/>
      <c r="C305" s="359"/>
      <c r="D305" s="166"/>
    </row>
    <row r="306" spans="1:4" ht="24.95" customHeight="1">
      <c r="A306" s="169"/>
      <c r="B306" s="359"/>
      <c r="C306" s="359"/>
      <c r="D306" s="166"/>
    </row>
    <row r="307" spans="1:4" ht="24.95" customHeight="1">
      <c r="A307" s="169"/>
      <c r="B307" s="359"/>
      <c r="C307" s="359"/>
      <c r="D307" s="166"/>
    </row>
    <row r="308" spans="1:4" ht="24.95" customHeight="1">
      <c r="A308" s="169"/>
      <c r="B308" s="359"/>
      <c r="C308" s="359"/>
      <c r="D308" s="166"/>
    </row>
    <row r="309" spans="1:4" ht="24.95" customHeight="1">
      <c r="A309" s="169"/>
      <c r="B309" s="359"/>
      <c r="C309" s="359"/>
      <c r="D309" s="166"/>
    </row>
    <row r="310" spans="1:4" ht="24.95" customHeight="1">
      <c r="A310" s="169"/>
      <c r="B310" s="359"/>
      <c r="C310" s="359"/>
      <c r="D310" s="166"/>
    </row>
    <row r="311" spans="1:4" ht="24.95" customHeight="1">
      <c r="A311" s="169"/>
      <c r="B311" s="359"/>
      <c r="C311" s="359"/>
      <c r="D311" s="166"/>
    </row>
    <row r="312" spans="1:4" ht="24.95" customHeight="1">
      <c r="A312" s="169"/>
      <c r="B312" s="359"/>
      <c r="C312" s="359"/>
      <c r="D312" s="166"/>
    </row>
    <row r="313" spans="1:4" ht="24.95" customHeight="1">
      <c r="A313" s="169"/>
      <c r="B313" s="359"/>
      <c r="C313" s="359"/>
      <c r="D313" s="166"/>
    </row>
    <row r="314" spans="1:4" ht="24.95" customHeight="1">
      <c r="A314" s="169"/>
      <c r="B314" s="359"/>
      <c r="C314" s="359"/>
      <c r="D314" s="166"/>
    </row>
    <row r="315" spans="1:4" ht="24.95" customHeight="1">
      <c r="A315" s="169"/>
      <c r="B315" s="359"/>
      <c r="C315" s="359"/>
      <c r="D315" s="166"/>
    </row>
    <row r="316" spans="1:4" ht="24.95" customHeight="1">
      <c r="A316" s="169"/>
      <c r="B316" s="359"/>
      <c r="C316" s="359"/>
      <c r="D316" s="166"/>
    </row>
    <row r="317" spans="1:4" ht="24.95" customHeight="1">
      <c r="A317" s="169"/>
      <c r="B317" s="359"/>
      <c r="C317" s="359"/>
      <c r="D317" s="166"/>
    </row>
    <row r="318" spans="1:4" ht="24.95" customHeight="1">
      <c r="A318" s="169"/>
      <c r="B318" s="359"/>
      <c r="C318" s="359"/>
      <c r="D318" s="166"/>
    </row>
    <row r="319" spans="1:4" ht="24.95" customHeight="1">
      <c r="A319" s="169"/>
    </row>
    <row r="320" spans="1:4" ht="24.95" customHeight="1">
      <c r="A320" s="169"/>
      <c r="B320" s="359"/>
      <c r="C320" s="359"/>
      <c r="D320" s="166"/>
    </row>
    <row r="321" spans="1:4" ht="24.95" customHeight="1">
      <c r="A321" s="169"/>
      <c r="B321" s="359"/>
      <c r="C321" s="359"/>
      <c r="D321" s="166"/>
    </row>
    <row r="322" spans="1:4" ht="24.95" customHeight="1">
      <c r="A322" s="169"/>
      <c r="B322" s="359"/>
      <c r="C322" s="359"/>
      <c r="D322" s="166"/>
    </row>
    <row r="323" spans="1:4" ht="24.95" customHeight="1">
      <c r="A323" s="169"/>
      <c r="B323" s="359"/>
      <c r="C323" s="359"/>
      <c r="D323" s="166"/>
    </row>
    <row r="324" spans="1:4" ht="24.95" customHeight="1">
      <c r="A324" s="169"/>
      <c r="B324" s="359"/>
      <c r="C324" s="359"/>
      <c r="D324" s="166"/>
    </row>
    <row r="325" spans="1:4" ht="24.95" customHeight="1">
      <c r="A325" s="169"/>
      <c r="B325" s="359"/>
      <c r="C325" s="359"/>
      <c r="D325" s="166"/>
    </row>
    <row r="326" spans="1:4" ht="24.95" customHeight="1">
      <c r="A326" s="169"/>
      <c r="B326" s="359"/>
      <c r="C326" s="359"/>
      <c r="D326" s="166"/>
    </row>
    <row r="327" spans="1:4" ht="24.95" customHeight="1">
      <c r="A327" s="169"/>
      <c r="B327" s="359"/>
      <c r="C327" s="359"/>
      <c r="D327" s="166"/>
    </row>
    <row r="328" spans="1:4" ht="24.95" customHeight="1">
      <c r="A328" s="169"/>
      <c r="B328" s="359"/>
      <c r="C328" s="359"/>
      <c r="D328" s="166"/>
    </row>
    <row r="329" spans="1:4" ht="24.95" customHeight="1">
      <c r="A329" s="169"/>
      <c r="B329" s="359"/>
      <c r="C329" s="359"/>
      <c r="D329" s="166"/>
    </row>
    <row r="330" spans="1:4" ht="24.95" customHeight="1">
      <c r="A330" s="169"/>
      <c r="B330" s="359"/>
      <c r="C330" s="359"/>
      <c r="D330" s="166"/>
    </row>
    <row r="331" spans="1:4" ht="24.95" customHeight="1">
      <c r="A331" s="169"/>
      <c r="B331" s="359"/>
      <c r="C331" s="359"/>
      <c r="D331" s="166"/>
    </row>
    <row r="332" spans="1:4" ht="24.95" customHeight="1">
      <c r="A332" s="169"/>
      <c r="B332" s="359"/>
      <c r="C332" s="359"/>
      <c r="D332" s="166"/>
    </row>
    <row r="333" spans="1:4" ht="24.95" customHeight="1">
      <c r="A333" s="169"/>
      <c r="B333" s="359"/>
      <c r="C333" s="359"/>
      <c r="D333" s="166"/>
    </row>
    <row r="334" spans="1:4" ht="24.95" customHeight="1">
      <c r="A334" s="169"/>
      <c r="B334" s="359"/>
      <c r="C334" s="359"/>
      <c r="D334" s="166"/>
    </row>
    <row r="335" spans="1:4" ht="24.95" customHeight="1">
      <c r="A335" s="169"/>
      <c r="B335" s="359"/>
      <c r="C335" s="359"/>
      <c r="D335" s="166"/>
    </row>
    <row r="336" spans="1:4" ht="24.95" customHeight="1">
      <c r="A336" s="169"/>
      <c r="B336" s="359"/>
      <c r="C336" s="359"/>
      <c r="D336" s="166"/>
    </row>
    <row r="337" spans="1:4" ht="24.95" customHeight="1">
      <c r="A337" s="169"/>
      <c r="B337" s="359"/>
      <c r="C337" s="359"/>
      <c r="D337" s="166"/>
    </row>
    <row r="338" spans="1:4" ht="24.95" customHeight="1">
      <c r="A338" s="169"/>
      <c r="B338" s="359"/>
      <c r="C338" s="359"/>
      <c r="D338" s="166"/>
    </row>
    <row r="339" spans="1:4" ht="24.95" customHeight="1">
      <c r="A339" s="169"/>
      <c r="B339" s="359"/>
      <c r="C339" s="359"/>
      <c r="D339" s="166"/>
    </row>
    <row r="340" spans="1:4" ht="24.95" customHeight="1">
      <c r="A340" s="169"/>
      <c r="B340" s="359"/>
      <c r="C340" s="359"/>
      <c r="D340" s="166"/>
    </row>
    <row r="341" spans="1:4" ht="24.95" customHeight="1">
      <c r="A341" s="169"/>
    </row>
    <row r="342" spans="1:4" ht="24.95" customHeight="1">
      <c r="A342" s="169"/>
      <c r="B342" s="359"/>
      <c r="C342" s="359"/>
      <c r="D342" s="166"/>
    </row>
    <row r="343" spans="1:4" ht="24.95" customHeight="1">
      <c r="A343" s="169"/>
      <c r="B343" s="359"/>
      <c r="C343" s="359"/>
      <c r="D343" s="166"/>
    </row>
    <row r="344" spans="1:4" ht="24.95" customHeight="1">
      <c r="A344" s="169"/>
      <c r="B344" s="359"/>
      <c r="C344" s="359"/>
      <c r="D344" s="166"/>
    </row>
    <row r="345" spans="1:4" ht="24.95" customHeight="1">
      <c r="A345" s="169"/>
      <c r="B345" s="359"/>
      <c r="C345" s="359"/>
      <c r="D345" s="166"/>
    </row>
    <row r="346" spans="1:4" ht="24.95" customHeight="1">
      <c r="A346" s="169"/>
      <c r="B346" s="359"/>
      <c r="C346" s="359"/>
      <c r="D346" s="166"/>
    </row>
    <row r="347" spans="1:4" ht="24.95" customHeight="1">
      <c r="A347" s="169"/>
      <c r="B347" s="359"/>
      <c r="C347" s="359"/>
      <c r="D347" s="166"/>
    </row>
    <row r="348" spans="1:4" ht="24.95" customHeight="1">
      <c r="A348" s="169"/>
      <c r="B348" s="359"/>
      <c r="C348" s="359"/>
      <c r="D348" s="166"/>
    </row>
    <row r="349" spans="1:4" ht="24.95" customHeight="1">
      <c r="A349" s="169"/>
      <c r="B349" s="359"/>
      <c r="C349" s="359"/>
      <c r="D349" s="166"/>
    </row>
    <row r="350" spans="1:4" ht="24.95" customHeight="1">
      <c r="A350" s="169"/>
      <c r="B350" s="359"/>
      <c r="C350" s="359"/>
      <c r="D350" s="166"/>
    </row>
    <row r="351" spans="1:4" ht="24.95" customHeight="1">
      <c r="A351" s="169"/>
      <c r="B351" s="359"/>
      <c r="C351" s="359"/>
      <c r="D351" s="166"/>
    </row>
    <row r="352" spans="1:4" ht="24.95" customHeight="1">
      <c r="A352" s="169"/>
      <c r="B352" s="359"/>
      <c r="C352" s="359"/>
      <c r="D352" s="166"/>
    </row>
    <row r="353" spans="1:4" ht="24.95" customHeight="1">
      <c r="A353" s="169"/>
      <c r="B353" s="359"/>
      <c r="C353" s="359"/>
      <c r="D353" s="166"/>
    </row>
    <row r="354" spans="1:4" ht="24.95" customHeight="1">
      <c r="A354" s="169"/>
      <c r="B354" s="359"/>
      <c r="C354" s="359"/>
      <c r="D354" s="166"/>
    </row>
    <row r="355" spans="1:4" ht="24.95" customHeight="1">
      <c r="A355" s="169"/>
      <c r="B355" s="359"/>
      <c r="C355" s="359"/>
      <c r="D355" s="166"/>
    </row>
    <row r="356" spans="1:4" ht="24.95" customHeight="1">
      <c r="A356" s="169"/>
      <c r="B356" s="359"/>
      <c r="C356" s="359"/>
      <c r="D356" s="166"/>
    </row>
    <row r="357" spans="1:4" ht="24.95" customHeight="1">
      <c r="A357" s="169"/>
      <c r="B357" s="359"/>
      <c r="C357" s="359"/>
      <c r="D357" s="166"/>
    </row>
    <row r="358" spans="1:4" ht="24.95" customHeight="1">
      <c r="A358" s="169"/>
      <c r="B358" s="359"/>
      <c r="C358" s="359"/>
      <c r="D358" s="166"/>
    </row>
    <row r="359" spans="1:4" ht="24.95" customHeight="1">
      <c r="A359" s="169"/>
      <c r="B359" s="359"/>
      <c r="C359" s="359"/>
      <c r="D359" s="166"/>
    </row>
    <row r="360" spans="1:4" ht="24.95" customHeight="1">
      <c r="A360" s="169"/>
      <c r="B360" s="359"/>
      <c r="C360" s="359"/>
      <c r="D360" s="166"/>
    </row>
    <row r="361" spans="1:4" ht="24.95" customHeight="1">
      <c r="A361" s="169"/>
      <c r="B361" s="359"/>
      <c r="C361" s="359"/>
      <c r="D361" s="166"/>
    </row>
    <row r="362" spans="1:4" ht="24.95" customHeight="1">
      <c r="A362" s="169"/>
      <c r="B362" s="359"/>
      <c r="C362" s="359"/>
      <c r="D362" s="166"/>
    </row>
    <row r="363" spans="1:4" ht="24.95" customHeight="1">
      <c r="A363" s="169"/>
    </row>
    <row r="364" spans="1:4" ht="24.95" customHeight="1">
      <c r="A364" s="169"/>
      <c r="B364" s="359"/>
      <c r="C364" s="359"/>
      <c r="D364" s="166"/>
    </row>
    <row r="365" spans="1:4" ht="24.95" customHeight="1">
      <c r="A365" s="169"/>
      <c r="B365" s="359"/>
      <c r="C365" s="359"/>
      <c r="D365" s="166"/>
    </row>
    <row r="366" spans="1:4" ht="24.95" customHeight="1">
      <c r="A366" s="169"/>
      <c r="B366" s="359"/>
      <c r="C366" s="359"/>
      <c r="D366" s="166"/>
    </row>
    <row r="367" spans="1:4" ht="24.95" customHeight="1">
      <c r="A367" s="169"/>
      <c r="B367" s="359"/>
      <c r="C367" s="359"/>
      <c r="D367" s="166"/>
    </row>
    <row r="368" spans="1:4" ht="24.95" customHeight="1">
      <c r="A368" s="169"/>
      <c r="B368" s="359"/>
      <c r="C368" s="359"/>
      <c r="D368" s="166"/>
    </row>
    <row r="369" spans="1:4" ht="24.95" customHeight="1">
      <c r="A369" s="169"/>
      <c r="B369" s="359"/>
      <c r="C369" s="359"/>
      <c r="D369" s="166"/>
    </row>
    <row r="370" spans="1:4" ht="24.95" customHeight="1">
      <c r="A370" s="169"/>
      <c r="B370" s="359"/>
      <c r="C370" s="359"/>
      <c r="D370" s="166"/>
    </row>
    <row r="371" spans="1:4" ht="24.95" customHeight="1">
      <c r="A371" s="169"/>
      <c r="B371" s="359"/>
      <c r="C371" s="359"/>
      <c r="D371" s="166"/>
    </row>
    <row r="372" spans="1:4" ht="24.95" customHeight="1">
      <c r="A372" s="169"/>
      <c r="B372" s="359"/>
      <c r="C372" s="359"/>
      <c r="D372" s="166"/>
    </row>
    <row r="373" spans="1:4" ht="24.95" customHeight="1">
      <c r="A373" s="169"/>
      <c r="B373" s="359"/>
      <c r="C373" s="359"/>
      <c r="D373" s="166"/>
    </row>
    <row r="374" spans="1:4" ht="24.95" customHeight="1">
      <c r="A374" s="169"/>
      <c r="B374" s="359"/>
      <c r="C374" s="359"/>
      <c r="D374" s="166"/>
    </row>
    <row r="375" spans="1:4" ht="24.95" customHeight="1">
      <c r="A375" s="169"/>
      <c r="B375" s="359"/>
      <c r="C375" s="359"/>
      <c r="D375" s="166"/>
    </row>
    <row r="376" spans="1:4" ht="24.95" customHeight="1">
      <c r="A376" s="169"/>
      <c r="B376" s="359"/>
      <c r="C376" s="359"/>
      <c r="D376" s="166"/>
    </row>
    <row r="377" spans="1:4" ht="24.95" customHeight="1">
      <c r="A377" s="169"/>
      <c r="B377" s="359"/>
      <c r="C377" s="359"/>
      <c r="D377" s="166"/>
    </row>
    <row r="378" spans="1:4" ht="24.95" customHeight="1">
      <c r="A378" s="169"/>
      <c r="B378" s="359"/>
      <c r="C378" s="359"/>
      <c r="D378" s="166"/>
    </row>
    <row r="379" spans="1:4" ht="24.95" customHeight="1">
      <c r="A379" s="169"/>
      <c r="B379" s="359"/>
      <c r="C379" s="359"/>
      <c r="D379" s="166"/>
    </row>
    <row r="380" spans="1:4" ht="24.95" customHeight="1">
      <c r="A380" s="169"/>
      <c r="B380" s="359"/>
      <c r="C380" s="359"/>
      <c r="D380" s="166"/>
    </row>
    <row r="381" spans="1:4" ht="24.95" customHeight="1">
      <c r="A381" s="169"/>
      <c r="B381" s="359"/>
      <c r="C381" s="359"/>
      <c r="D381" s="166"/>
    </row>
    <row r="382" spans="1:4" ht="24.95" customHeight="1">
      <c r="A382" s="169"/>
      <c r="B382" s="359"/>
      <c r="C382" s="359"/>
      <c r="D382" s="166"/>
    </row>
    <row r="383" spans="1:4" ht="24.95" customHeight="1">
      <c r="A383" s="169"/>
      <c r="B383" s="359"/>
      <c r="C383" s="359"/>
      <c r="D383" s="166"/>
    </row>
    <row r="384" spans="1:4" ht="24.95" customHeight="1">
      <c r="A384" s="169"/>
      <c r="B384" s="359"/>
      <c r="C384" s="359"/>
      <c r="D384" s="166"/>
    </row>
    <row r="385" spans="1:4" ht="24.95" customHeight="1">
      <c r="A385" s="169"/>
    </row>
    <row r="386" spans="1:4" ht="24.95" customHeight="1">
      <c r="A386" s="169"/>
      <c r="B386" s="359"/>
      <c r="C386" s="359"/>
      <c r="D386" s="166"/>
    </row>
    <row r="387" spans="1:4" ht="24.95" customHeight="1">
      <c r="A387" s="169"/>
      <c r="B387" s="359"/>
      <c r="C387" s="359"/>
      <c r="D387" s="166"/>
    </row>
    <row r="388" spans="1:4" ht="24.95" customHeight="1">
      <c r="A388" s="169"/>
      <c r="B388" s="359"/>
      <c r="C388" s="359"/>
      <c r="D388" s="166"/>
    </row>
    <row r="389" spans="1:4" ht="24.95" customHeight="1">
      <c r="A389" s="169"/>
      <c r="B389" s="359"/>
      <c r="C389" s="359"/>
      <c r="D389" s="166"/>
    </row>
    <row r="390" spans="1:4" ht="24.95" customHeight="1">
      <c r="A390" s="169"/>
      <c r="B390" s="359"/>
      <c r="C390" s="359"/>
      <c r="D390" s="166"/>
    </row>
    <row r="391" spans="1:4" ht="24.95" customHeight="1">
      <c r="A391" s="169"/>
      <c r="B391" s="359"/>
      <c r="C391" s="359"/>
      <c r="D391" s="166"/>
    </row>
    <row r="392" spans="1:4" ht="24.95" customHeight="1">
      <c r="A392" s="169"/>
      <c r="B392" s="359"/>
      <c r="C392" s="359"/>
      <c r="D392" s="166"/>
    </row>
    <row r="393" spans="1:4" ht="24.95" customHeight="1">
      <c r="A393" s="169"/>
      <c r="B393" s="359"/>
      <c r="C393" s="359"/>
      <c r="D393" s="166"/>
    </row>
    <row r="394" spans="1:4" ht="24.95" customHeight="1">
      <c r="A394" s="169"/>
      <c r="B394" s="359"/>
      <c r="C394" s="359"/>
      <c r="D394" s="166"/>
    </row>
    <row r="395" spans="1:4" ht="24.95" customHeight="1">
      <c r="A395" s="169"/>
      <c r="B395" s="359"/>
      <c r="C395" s="359"/>
      <c r="D395" s="166"/>
    </row>
    <row r="396" spans="1:4" ht="24.95" customHeight="1">
      <c r="A396" s="169"/>
      <c r="B396" s="359"/>
      <c r="C396" s="359"/>
      <c r="D396" s="166"/>
    </row>
    <row r="397" spans="1:4" ht="24.95" customHeight="1">
      <c r="A397" s="169"/>
      <c r="B397" s="359"/>
      <c r="C397" s="359"/>
      <c r="D397" s="166"/>
    </row>
    <row r="398" spans="1:4" ht="24.95" customHeight="1">
      <c r="A398" s="169"/>
      <c r="B398" s="359"/>
      <c r="C398" s="359"/>
      <c r="D398" s="166"/>
    </row>
    <row r="399" spans="1:4" ht="24.95" customHeight="1">
      <c r="A399" s="169"/>
      <c r="B399" s="359"/>
      <c r="C399" s="359"/>
      <c r="D399" s="166"/>
    </row>
    <row r="400" spans="1:4" ht="24.95" customHeight="1">
      <c r="A400" s="169"/>
      <c r="B400" s="359"/>
      <c r="C400" s="359"/>
      <c r="D400" s="166"/>
    </row>
    <row r="401" spans="1:4" ht="24.95" customHeight="1">
      <c r="A401" s="169"/>
      <c r="B401" s="359"/>
      <c r="C401" s="359"/>
      <c r="D401" s="166"/>
    </row>
    <row r="402" spans="1:4" ht="24.95" customHeight="1">
      <c r="A402" s="169"/>
      <c r="B402" s="359"/>
      <c r="C402" s="359"/>
      <c r="D402" s="166"/>
    </row>
    <row r="403" spans="1:4" ht="24.95" customHeight="1">
      <c r="A403" s="169"/>
      <c r="B403" s="359"/>
      <c r="C403" s="359"/>
      <c r="D403" s="166"/>
    </row>
    <row r="404" spans="1:4" ht="24.95" customHeight="1">
      <c r="A404" s="169"/>
      <c r="B404" s="359"/>
      <c r="C404" s="359"/>
      <c r="D404" s="166"/>
    </row>
    <row r="405" spans="1:4" ht="24.95" customHeight="1">
      <c r="A405" s="169"/>
      <c r="B405" s="359"/>
      <c r="C405" s="359"/>
      <c r="D405" s="166"/>
    </row>
    <row r="406" spans="1:4" ht="24.95" customHeight="1">
      <c r="A406" s="169"/>
      <c r="B406" s="359"/>
      <c r="C406" s="359"/>
      <c r="D406" s="166"/>
    </row>
    <row r="407" spans="1:4" ht="24.95" customHeight="1">
      <c r="A407" s="169"/>
    </row>
    <row r="408" spans="1:4" ht="24.95" customHeight="1">
      <c r="A408" s="169"/>
      <c r="B408" s="359"/>
      <c r="C408" s="359"/>
      <c r="D408" s="166"/>
    </row>
    <row r="409" spans="1:4" ht="24.95" customHeight="1">
      <c r="A409" s="169"/>
      <c r="B409" s="359"/>
      <c r="C409" s="359"/>
      <c r="D409" s="166"/>
    </row>
    <row r="410" spans="1:4" ht="24.95" customHeight="1">
      <c r="A410" s="169"/>
      <c r="B410" s="359"/>
      <c r="C410" s="359"/>
      <c r="D410" s="166"/>
    </row>
    <row r="411" spans="1:4" ht="24.95" customHeight="1">
      <c r="A411" s="169"/>
      <c r="B411" s="359"/>
      <c r="C411" s="359"/>
      <c r="D411" s="166"/>
    </row>
    <row r="412" spans="1:4" ht="24.95" customHeight="1">
      <c r="A412" s="169"/>
      <c r="B412" s="359"/>
      <c r="C412" s="359"/>
      <c r="D412" s="166"/>
    </row>
    <row r="413" spans="1:4" ht="24.95" customHeight="1">
      <c r="A413" s="169"/>
      <c r="B413" s="359"/>
      <c r="C413" s="359"/>
      <c r="D413" s="166"/>
    </row>
    <row r="414" spans="1:4" ht="24.95" customHeight="1">
      <c r="A414" s="169"/>
      <c r="B414" s="359"/>
      <c r="C414" s="359"/>
      <c r="D414" s="166"/>
    </row>
    <row r="415" spans="1:4" ht="24.95" customHeight="1">
      <c r="A415" s="169"/>
      <c r="B415" s="359"/>
      <c r="C415" s="359"/>
      <c r="D415" s="166"/>
    </row>
    <row r="416" spans="1:4" ht="24.95" customHeight="1">
      <c r="A416" s="169"/>
      <c r="B416" s="359"/>
      <c r="C416" s="359"/>
      <c r="D416" s="166"/>
    </row>
    <row r="417" spans="1:4" ht="24.95" customHeight="1">
      <c r="A417" s="169"/>
      <c r="B417" s="359"/>
      <c r="C417" s="359"/>
      <c r="D417" s="166"/>
    </row>
    <row r="418" spans="1:4" ht="24.95" customHeight="1">
      <c r="A418" s="169"/>
      <c r="B418" s="359"/>
      <c r="C418" s="359"/>
      <c r="D418" s="166"/>
    </row>
    <row r="419" spans="1:4" ht="24.95" customHeight="1">
      <c r="A419" s="169"/>
      <c r="B419" s="359"/>
      <c r="C419" s="359"/>
      <c r="D419" s="166"/>
    </row>
    <row r="420" spans="1:4" ht="24.95" customHeight="1">
      <c r="A420" s="169"/>
      <c r="B420" s="359"/>
      <c r="C420" s="359"/>
      <c r="D420" s="166"/>
    </row>
    <row r="421" spans="1:4" ht="24.95" customHeight="1">
      <c r="A421" s="169"/>
      <c r="B421" s="359"/>
      <c r="C421" s="359"/>
      <c r="D421" s="166"/>
    </row>
    <row r="422" spans="1:4" ht="24.95" customHeight="1">
      <c r="A422" s="169"/>
      <c r="B422" s="359"/>
      <c r="C422" s="359"/>
      <c r="D422" s="166"/>
    </row>
    <row r="423" spans="1:4" ht="24.95" customHeight="1">
      <c r="A423" s="169"/>
      <c r="B423" s="359"/>
      <c r="C423" s="359"/>
      <c r="D423" s="166"/>
    </row>
    <row r="424" spans="1:4" ht="24.95" customHeight="1">
      <c r="A424" s="169"/>
      <c r="B424" s="359"/>
      <c r="C424" s="359"/>
      <c r="D424" s="166"/>
    </row>
    <row r="425" spans="1:4" ht="24.95" customHeight="1">
      <c r="A425" s="169"/>
      <c r="B425" s="359"/>
      <c r="C425" s="359"/>
      <c r="D425" s="166"/>
    </row>
    <row r="426" spans="1:4" ht="24.95" customHeight="1">
      <c r="A426" s="169"/>
      <c r="B426" s="359"/>
      <c r="C426" s="359"/>
      <c r="D426" s="166"/>
    </row>
    <row r="427" spans="1:4" ht="24.95" customHeight="1">
      <c r="A427" s="169"/>
      <c r="B427" s="359"/>
      <c r="C427" s="359"/>
      <c r="D427" s="166"/>
    </row>
    <row r="428" spans="1:4" ht="24.95" customHeight="1">
      <c r="A428" s="169"/>
      <c r="B428" s="359"/>
      <c r="C428" s="359"/>
      <c r="D428" s="166"/>
    </row>
    <row r="429" spans="1:4" ht="24.95" customHeight="1">
      <c r="A429" s="169"/>
    </row>
    <row r="430" spans="1:4" ht="24.95" customHeight="1">
      <c r="A430" s="169"/>
      <c r="B430" s="359"/>
      <c r="C430" s="359"/>
      <c r="D430" s="166"/>
    </row>
    <row r="431" spans="1:4" ht="24.95" customHeight="1">
      <c r="A431" s="169"/>
      <c r="B431" s="359"/>
      <c r="C431" s="359"/>
      <c r="D431" s="166"/>
    </row>
    <row r="432" spans="1:4" ht="24.95" customHeight="1">
      <c r="A432" s="169"/>
      <c r="B432" s="359"/>
      <c r="C432" s="359"/>
      <c r="D432" s="166"/>
    </row>
    <row r="433" spans="1:4" ht="24.95" customHeight="1">
      <c r="A433" s="169"/>
      <c r="B433" s="359"/>
      <c r="C433" s="359"/>
      <c r="D433" s="166"/>
    </row>
    <row r="434" spans="1:4" ht="24.95" customHeight="1">
      <c r="A434" s="169"/>
      <c r="B434" s="359"/>
      <c r="C434" s="359"/>
      <c r="D434" s="166"/>
    </row>
    <row r="435" spans="1:4" ht="24.95" customHeight="1">
      <c r="A435" s="169"/>
      <c r="B435" s="359"/>
      <c r="C435" s="359"/>
      <c r="D435" s="166"/>
    </row>
    <row r="436" spans="1:4" ht="24.95" customHeight="1">
      <c r="A436" s="169"/>
      <c r="B436" s="359"/>
      <c r="C436" s="359"/>
      <c r="D436" s="166"/>
    </row>
    <row r="437" spans="1:4" ht="24.95" customHeight="1">
      <c r="A437" s="169"/>
      <c r="B437" s="359"/>
      <c r="C437" s="359"/>
      <c r="D437" s="166"/>
    </row>
    <row r="438" spans="1:4" ht="24.95" customHeight="1">
      <c r="A438" s="169"/>
      <c r="B438" s="359"/>
      <c r="C438" s="359"/>
      <c r="D438" s="166"/>
    </row>
    <row r="439" spans="1:4" ht="24.95" customHeight="1">
      <c r="A439" s="169"/>
      <c r="B439" s="359"/>
      <c r="C439" s="359"/>
      <c r="D439" s="166"/>
    </row>
    <row r="440" spans="1:4" ht="24.95" customHeight="1">
      <c r="A440" s="169"/>
      <c r="B440" s="359"/>
      <c r="C440" s="359"/>
      <c r="D440" s="166"/>
    </row>
    <row r="441" spans="1:4" ht="24.95" customHeight="1">
      <c r="A441" s="169"/>
      <c r="B441" s="359"/>
      <c r="C441" s="359"/>
      <c r="D441" s="166"/>
    </row>
    <row r="442" spans="1:4" ht="24.95" customHeight="1">
      <c r="A442" s="169"/>
      <c r="B442" s="359"/>
      <c r="C442" s="359"/>
      <c r="D442" s="166"/>
    </row>
    <row r="443" spans="1:4" ht="24.95" customHeight="1">
      <c r="A443" s="169"/>
      <c r="B443" s="359"/>
      <c r="C443" s="359"/>
      <c r="D443" s="166"/>
    </row>
    <row r="444" spans="1:4" ht="24.95" customHeight="1">
      <c r="A444" s="169"/>
      <c r="B444" s="359"/>
      <c r="C444" s="359"/>
      <c r="D444" s="166"/>
    </row>
    <row r="445" spans="1:4" ht="24.95" customHeight="1">
      <c r="A445" s="169"/>
      <c r="B445" s="359"/>
      <c r="C445" s="359"/>
      <c r="D445" s="166"/>
    </row>
    <row r="446" spans="1:4" ht="24.95" customHeight="1">
      <c r="A446" s="169"/>
      <c r="B446" s="359"/>
      <c r="C446" s="359"/>
      <c r="D446" s="166"/>
    </row>
    <row r="447" spans="1:4" ht="24.95" customHeight="1">
      <c r="A447" s="169"/>
      <c r="B447" s="359"/>
      <c r="C447" s="359"/>
      <c r="D447" s="166"/>
    </row>
    <row r="448" spans="1:4" ht="24.95" customHeight="1">
      <c r="A448" s="169"/>
      <c r="B448" s="359"/>
      <c r="C448" s="359"/>
      <c r="D448" s="166"/>
    </row>
    <row r="449" spans="1:4" ht="24.95" customHeight="1">
      <c r="A449" s="169"/>
      <c r="B449" s="359"/>
      <c r="C449" s="359"/>
      <c r="D449" s="166"/>
    </row>
    <row r="450" spans="1:4" ht="24.95" customHeight="1">
      <c r="A450" s="169"/>
      <c r="B450" s="359"/>
      <c r="C450" s="359"/>
      <c r="D450" s="166"/>
    </row>
    <row r="451" spans="1:4" ht="24.95" customHeight="1">
      <c r="A451" s="169"/>
    </row>
    <row r="452" spans="1:4" ht="24.95" customHeight="1">
      <c r="A452" s="169"/>
      <c r="B452" s="359"/>
      <c r="C452" s="359"/>
      <c r="D452" s="166"/>
    </row>
    <row r="453" spans="1:4" ht="24.95" customHeight="1">
      <c r="A453" s="169"/>
      <c r="B453" s="359"/>
      <c r="C453" s="359"/>
      <c r="D453" s="166"/>
    </row>
    <row r="454" spans="1:4" ht="24.95" customHeight="1">
      <c r="A454" s="169"/>
      <c r="B454" s="359"/>
      <c r="C454" s="359"/>
      <c r="D454" s="166"/>
    </row>
    <row r="455" spans="1:4" ht="24.95" customHeight="1">
      <c r="A455" s="169"/>
      <c r="B455" s="359"/>
      <c r="C455" s="359"/>
      <c r="D455" s="166"/>
    </row>
    <row r="456" spans="1:4" ht="24.95" customHeight="1">
      <c r="A456" s="169"/>
      <c r="B456" s="359"/>
      <c r="C456" s="359"/>
      <c r="D456" s="166"/>
    </row>
    <row r="457" spans="1:4" ht="24.95" customHeight="1">
      <c r="A457" s="169"/>
      <c r="B457" s="359"/>
      <c r="C457" s="359"/>
      <c r="D457" s="166"/>
    </row>
    <row r="458" spans="1:4" ht="24.95" customHeight="1">
      <c r="A458" s="169"/>
      <c r="B458" s="359"/>
      <c r="C458" s="359"/>
      <c r="D458" s="166"/>
    </row>
    <row r="459" spans="1:4" ht="24.95" customHeight="1">
      <c r="A459" s="169"/>
      <c r="B459" s="359"/>
      <c r="C459" s="359"/>
      <c r="D459" s="166"/>
    </row>
    <row r="460" spans="1:4" ht="24.95" customHeight="1">
      <c r="A460" s="169"/>
      <c r="B460" s="359"/>
      <c r="C460" s="359"/>
      <c r="D460" s="166"/>
    </row>
    <row r="461" spans="1:4" ht="24.95" customHeight="1">
      <c r="A461" s="169"/>
      <c r="B461" s="359"/>
      <c r="C461" s="359"/>
      <c r="D461" s="166"/>
    </row>
    <row r="462" spans="1:4" ht="24.95" customHeight="1">
      <c r="A462" s="169"/>
      <c r="B462" s="359"/>
      <c r="C462" s="359"/>
      <c r="D462" s="166"/>
    </row>
    <row r="463" spans="1:4" ht="24.95" customHeight="1">
      <c r="A463" s="169"/>
      <c r="B463" s="359"/>
      <c r="C463" s="359"/>
      <c r="D463" s="166"/>
    </row>
    <row r="464" spans="1:4" ht="24.95" customHeight="1">
      <c r="A464" s="169"/>
      <c r="B464" s="359"/>
      <c r="C464" s="359"/>
      <c r="D464" s="166"/>
    </row>
    <row r="465" spans="1:4" ht="24.95" customHeight="1">
      <c r="A465" s="169"/>
      <c r="B465" s="359"/>
      <c r="C465" s="359"/>
      <c r="D465" s="166"/>
    </row>
    <row r="466" spans="1:4" ht="24.95" customHeight="1">
      <c r="A466" s="169"/>
      <c r="B466" s="359"/>
      <c r="C466" s="359"/>
      <c r="D466" s="166"/>
    </row>
    <row r="467" spans="1:4" ht="24.95" customHeight="1">
      <c r="A467" s="169"/>
      <c r="B467" s="359"/>
      <c r="C467" s="359"/>
      <c r="D467" s="166"/>
    </row>
    <row r="468" spans="1:4" ht="24.95" customHeight="1">
      <c r="A468" s="169"/>
      <c r="B468" s="359"/>
      <c r="C468" s="359"/>
      <c r="D468" s="166"/>
    </row>
    <row r="469" spans="1:4" ht="24.95" customHeight="1">
      <c r="A469" s="169"/>
      <c r="B469" s="359"/>
      <c r="C469" s="359"/>
      <c r="D469" s="166"/>
    </row>
    <row r="470" spans="1:4" ht="24.95" customHeight="1">
      <c r="A470" s="169"/>
      <c r="B470" s="359"/>
      <c r="C470" s="359"/>
      <c r="D470" s="166"/>
    </row>
    <row r="471" spans="1:4" ht="24.95" customHeight="1">
      <c r="A471" s="169"/>
      <c r="B471" s="359"/>
      <c r="C471" s="359"/>
      <c r="D471" s="166"/>
    </row>
    <row r="472" spans="1:4" ht="24.95" customHeight="1">
      <c r="A472" s="169"/>
      <c r="B472" s="359"/>
      <c r="C472" s="359"/>
      <c r="D472" s="166"/>
    </row>
    <row r="473" spans="1:4" ht="24.95" customHeight="1">
      <c r="A473" s="169"/>
    </row>
    <row r="474" spans="1:4" ht="24.95" customHeight="1">
      <c r="A474" s="169"/>
      <c r="B474" s="359"/>
      <c r="C474" s="359"/>
      <c r="D474" s="166"/>
    </row>
    <row r="475" spans="1:4" ht="24.95" customHeight="1">
      <c r="A475" s="169"/>
      <c r="B475" s="359"/>
      <c r="C475" s="359"/>
      <c r="D475" s="166"/>
    </row>
    <row r="476" spans="1:4" ht="24.95" customHeight="1">
      <c r="A476" s="169"/>
      <c r="B476" s="359"/>
      <c r="C476" s="359"/>
      <c r="D476" s="166"/>
    </row>
    <row r="477" spans="1:4" ht="24.95" customHeight="1">
      <c r="A477" s="169"/>
      <c r="B477" s="359"/>
      <c r="C477" s="359"/>
      <c r="D477" s="166"/>
    </row>
    <row r="478" spans="1:4" ht="24.95" customHeight="1">
      <c r="A478" s="169"/>
      <c r="B478" s="359"/>
      <c r="C478" s="359"/>
      <c r="D478" s="166"/>
    </row>
    <row r="479" spans="1:4" ht="24.95" customHeight="1">
      <c r="A479" s="169"/>
      <c r="B479" s="359"/>
      <c r="C479" s="359"/>
      <c r="D479" s="166"/>
    </row>
    <row r="480" spans="1:4" ht="24.95" customHeight="1">
      <c r="A480" s="169"/>
      <c r="B480" s="359"/>
      <c r="C480" s="359"/>
      <c r="D480" s="166"/>
    </row>
    <row r="481" spans="1:4" ht="24.95" customHeight="1">
      <c r="A481" s="169"/>
      <c r="B481" s="359"/>
      <c r="C481" s="359"/>
      <c r="D481" s="166"/>
    </row>
    <row r="482" spans="1:4" ht="24.95" customHeight="1">
      <c r="A482" s="169"/>
      <c r="B482" s="359"/>
      <c r="C482" s="359"/>
      <c r="D482" s="166"/>
    </row>
    <row r="483" spans="1:4" ht="24.95" customHeight="1">
      <c r="A483" s="169"/>
      <c r="B483" s="359"/>
      <c r="C483" s="359"/>
      <c r="D483" s="166"/>
    </row>
    <row r="484" spans="1:4" ht="24.95" customHeight="1">
      <c r="A484" s="169"/>
      <c r="B484" s="359"/>
      <c r="C484" s="359"/>
      <c r="D484" s="166"/>
    </row>
    <row r="485" spans="1:4" ht="24.95" customHeight="1">
      <c r="A485" s="169"/>
      <c r="B485" s="359"/>
      <c r="C485" s="359"/>
      <c r="D485" s="166"/>
    </row>
    <row r="486" spans="1:4" ht="24.95" customHeight="1">
      <c r="A486" s="169"/>
      <c r="B486" s="359"/>
      <c r="C486" s="359"/>
      <c r="D486" s="166"/>
    </row>
    <row r="487" spans="1:4" ht="24.95" customHeight="1">
      <c r="A487" s="169"/>
      <c r="B487" s="359"/>
      <c r="C487" s="359"/>
      <c r="D487" s="166"/>
    </row>
    <row r="488" spans="1:4" ht="24.95" customHeight="1">
      <c r="A488" s="169"/>
      <c r="B488" s="359"/>
      <c r="C488" s="359"/>
      <c r="D488" s="166"/>
    </row>
    <row r="489" spans="1:4" ht="24.95" customHeight="1">
      <c r="A489" s="169"/>
      <c r="B489" s="359"/>
      <c r="C489" s="359"/>
      <c r="D489" s="166"/>
    </row>
    <row r="490" spans="1:4" ht="24.95" customHeight="1">
      <c r="A490" s="169"/>
      <c r="B490" s="359"/>
      <c r="C490" s="359"/>
      <c r="D490" s="166"/>
    </row>
    <row r="491" spans="1:4" ht="24.95" customHeight="1">
      <c r="A491" s="169"/>
      <c r="B491" s="359"/>
      <c r="C491" s="359"/>
      <c r="D491" s="166"/>
    </row>
    <row r="492" spans="1:4" ht="24.95" customHeight="1">
      <c r="A492" s="169"/>
      <c r="B492" s="359"/>
      <c r="C492" s="359"/>
      <c r="D492" s="166"/>
    </row>
    <row r="493" spans="1:4" ht="24.95" customHeight="1">
      <c r="A493" s="169"/>
      <c r="B493" s="359"/>
      <c r="C493" s="359"/>
      <c r="D493" s="166"/>
    </row>
    <row r="494" spans="1:4" ht="24.95" customHeight="1">
      <c r="A494" s="169"/>
      <c r="B494" s="359"/>
      <c r="C494" s="359"/>
      <c r="D494" s="166"/>
    </row>
    <row r="495" spans="1:4" ht="24.95" customHeight="1">
      <c r="A495" s="169"/>
    </row>
    <row r="496" spans="1:4" ht="24.95" customHeight="1">
      <c r="A496" s="169"/>
      <c r="B496" s="359"/>
      <c r="C496" s="359"/>
      <c r="D496" s="166"/>
    </row>
    <row r="497" spans="1:4" ht="24.95" customHeight="1">
      <c r="A497" s="169"/>
      <c r="B497" s="359"/>
      <c r="C497" s="359"/>
      <c r="D497" s="166"/>
    </row>
    <row r="498" spans="1:4" ht="24.95" customHeight="1">
      <c r="A498" s="169"/>
      <c r="B498" s="359"/>
      <c r="C498" s="359"/>
      <c r="D498" s="166"/>
    </row>
    <row r="499" spans="1:4" ht="24.95" customHeight="1">
      <c r="A499" s="169"/>
      <c r="B499" s="359"/>
      <c r="C499" s="359"/>
      <c r="D499" s="166"/>
    </row>
    <row r="500" spans="1:4" ht="24.95" customHeight="1">
      <c r="A500" s="169"/>
      <c r="B500" s="359"/>
      <c r="C500" s="359"/>
      <c r="D500" s="166"/>
    </row>
    <row r="501" spans="1:4" ht="24.95" customHeight="1">
      <c r="A501" s="169"/>
      <c r="B501" s="359"/>
      <c r="C501" s="359"/>
      <c r="D501" s="166"/>
    </row>
    <row r="502" spans="1:4" ht="24.95" customHeight="1">
      <c r="A502" s="169"/>
      <c r="B502" s="359"/>
      <c r="C502" s="359"/>
      <c r="D502" s="166"/>
    </row>
    <row r="503" spans="1:4" ht="24.95" customHeight="1">
      <c r="A503" s="169"/>
      <c r="B503" s="359"/>
      <c r="C503" s="359"/>
      <c r="D503" s="166"/>
    </row>
    <row r="504" spans="1:4" ht="24.95" customHeight="1">
      <c r="A504" s="169"/>
      <c r="B504" s="359"/>
      <c r="C504" s="359"/>
      <c r="D504" s="166"/>
    </row>
    <row r="505" spans="1:4" ht="24.95" customHeight="1">
      <c r="A505" s="169"/>
      <c r="B505" s="359"/>
      <c r="C505" s="359"/>
      <c r="D505" s="166"/>
    </row>
    <row r="506" spans="1:4" ht="24.95" customHeight="1">
      <c r="A506" s="169"/>
      <c r="B506" s="359"/>
      <c r="C506" s="359"/>
      <c r="D506" s="166"/>
    </row>
    <row r="507" spans="1:4" ht="24.95" customHeight="1">
      <c r="A507" s="169"/>
      <c r="B507" s="359"/>
      <c r="C507" s="359"/>
      <c r="D507" s="166"/>
    </row>
    <row r="508" spans="1:4" ht="24.95" customHeight="1">
      <c r="A508" s="169"/>
      <c r="B508" s="359"/>
      <c r="C508" s="359"/>
      <c r="D508" s="166"/>
    </row>
    <row r="509" spans="1:4" ht="24.95" customHeight="1">
      <c r="A509" s="169"/>
      <c r="B509" s="359"/>
      <c r="C509" s="359"/>
      <c r="D509" s="166"/>
    </row>
    <row r="510" spans="1:4" ht="24.95" customHeight="1">
      <c r="A510" s="169"/>
      <c r="B510" s="359"/>
      <c r="C510" s="359"/>
      <c r="D510" s="166"/>
    </row>
    <row r="511" spans="1:4" ht="24.95" customHeight="1">
      <c r="A511" s="169"/>
      <c r="B511" s="359"/>
      <c r="C511" s="359"/>
      <c r="D511" s="166"/>
    </row>
    <row r="512" spans="1:4" ht="24.95" customHeight="1">
      <c r="A512" s="169"/>
      <c r="B512" s="359"/>
      <c r="C512" s="359"/>
      <c r="D512" s="166"/>
    </row>
    <row r="513" spans="1:4" ht="24.95" customHeight="1">
      <c r="A513" s="169"/>
      <c r="B513" s="359"/>
      <c r="C513" s="359"/>
      <c r="D513" s="166"/>
    </row>
    <row r="514" spans="1:4" ht="24.95" customHeight="1">
      <c r="A514" s="169"/>
      <c r="B514" s="359"/>
      <c r="C514" s="359"/>
      <c r="D514" s="166"/>
    </row>
    <row r="515" spans="1:4" ht="24.95" customHeight="1">
      <c r="A515" s="169"/>
      <c r="B515" s="359"/>
      <c r="C515" s="359"/>
      <c r="D515" s="166"/>
    </row>
    <row r="516" spans="1:4" ht="24.95" customHeight="1">
      <c r="A516" s="169"/>
      <c r="B516" s="359"/>
      <c r="C516" s="359"/>
      <c r="D516" s="166"/>
    </row>
    <row r="517" spans="1:4" ht="24.95" customHeight="1">
      <c r="A517" s="169"/>
    </row>
    <row r="518" spans="1:4" ht="24.95" customHeight="1">
      <c r="A518" s="169"/>
      <c r="B518" s="359"/>
      <c r="C518" s="359"/>
      <c r="D518" s="166"/>
    </row>
    <row r="519" spans="1:4" ht="24.95" customHeight="1">
      <c r="A519" s="169"/>
      <c r="B519" s="359"/>
      <c r="C519" s="359"/>
      <c r="D519" s="166"/>
    </row>
    <row r="520" spans="1:4" ht="24.95" customHeight="1">
      <c r="A520" s="169"/>
      <c r="B520" s="359"/>
      <c r="C520" s="359"/>
      <c r="D520" s="166"/>
    </row>
    <row r="521" spans="1:4" ht="24.95" customHeight="1">
      <c r="A521" s="169"/>
      <c r="B521" s="359"/>
      <c r="C521" s="359"/>
      <c r="D521" s="166"/>
    </row>
    <row r="522" spans="1:4" ht="24.95" customHeight="1">
      <c r="A522" s="169"/>
      <c r="B522" s="359"/>
      <c r="C522" s="359"/>
      <c r="D522" s="166"/>
    </row>
    <row r="523" spans="1:4" ht="24.95" customHeight="1">
      <c r="A523" s="169"/>
      <c r="B523" s="359"/>
      <c r="C523" s="359"/>
      <c r="D523" s="166"/>
    </row>
    <row r="524" spans="1:4" ht="24.95" customHeight="1">
      <c r="A524" s="169"/>
      <c r="B524" s="359"/>
      <c r="C524" s="359"/>
      <c r="D524" s="166"/>
    </row>
    <row r="525" spans="1:4" ht="24.95" customHeight="1">
      <c r="A525" s="169"/>
      <c r="B525" s="359"/>
      <c r="C525" s="359"/>
      <c r="D525" s="166"/>
    </row>
    <row r="526" spans="1:4" ht="24.95" customHeight="1">
      <c r="A526" s="169"/>
      <c r="B526" s="359"/>
      <c r="C526" s="359"/>
      <c r="D526" s="166"/>
    </row>
    <row r="527" spans="1:4" ht="24.95" customHeight="1">
      <c r="A527" s="169"/>
      <c r="B527" s="359"/>
      <c r="C527" s="359"/>
      <c r="D527" s="166"/>
    </row>
    <row r="528" spans="1:4" ht="24.95" customHeight="1">
      <c r="A528" s="169"/>
      <c r="B528" s="359"/>
      <c r="C528" s="359"/>
      <c r="D528" s="166"/>
    </row>
    <row r="529" spans="1:4" ht="24.95" customHeight="1">
      <c r="A529" s="169"/>
      <c r="B529" s="359"/>
      <c r="C529" s="359"/>
      <c r="D529" s="166"/>
    </row>
    <row r="530" spans="1:4" ht="24.95" customHeight="1">
      <c r="A530" s="169"/>
      <c r="B530" s="359"/>
      <c r="C530" s="359"/>
      <c r="D530" s="166"/>
    </row>
    <row r="531" spans="1:4" ht="24.95" customHeight="1">
      <c r="A531" s="169"/>
      <c r="B531" s="359"/>
      <c r="C531" s="359"/>
      <c r="D531" s="166"/>
    </row>
    <row r="532" spans="1:4" ht="24.95" customHeight="1">
      <c r="A532" s="169"/>
      <c r="B532" s="359"/>
      <c r="C532" s="359"/>
      <c r="D532" s="166"/>
    </row>
    <row r="533" spans="1:4" ht="24.95" customHeight="1">
      <c r="A533" s="169"/>
      <c r="B533" s="359"/>
      <c r="C533" s="359"/>
      <c r="D533" s="166"/>
    </row>
    <row r="534" spans="1:4" ht="24.95" customHeight="1">
      <c r="A534" s="169"/>
      <c r="B534" s="359"/>
      <c r="C534" s="359"/>
      <c r="D534" s="166"/>
    </row>
    <row r="535" spans="1:4" ht="24.95" customHeight="1">
      <c r="A535" s="169"/>
      <c r="B535" s="359"/>
      <c r="C535" s="359"/>
      <c r="D535" s="166"/>
    </row>
    <row r="536" spans="1:4" ht="24.95" customHeight="1">
      <c r="A536" s="169"/>
      <c r="B536" s="359"/>
      <c r="C536" s="359"/>
      <c r="D536" s="166"/>
    </row>
    <row r="537" spans="1:4" ht="24.95" customHeight="1">
      <c r="A537" s="169"/>
      <c r="B537" s="359"/>
      <c r="C537" s="359"/>
      <c r="D537" s="166"/>
    </row>
    <row r="538" spans="1:4" ht="24.95" customHeight="1">
      <c r="A538" s="169"/>
      <c r="B538" s="359"/>
      <c r="C538" s="359"/>
      <c r="D538" s="166"/>
    </row>
    <row r="539" spans="1:4" ht="24.95" customHeight="1">
      <c r="A539" s="169"/>
    </row>
    <row r="540" spans="1:4" ht="24.95" customHeight="1">
      <c r="A540" s="169"/>
      <c r="B540" s="359"/>
      <c r="C540" s="359"/>
      <c r="D540" s="166"/>
    </row>
    <row r="541" spans="1:4" ht="24.95" customHeight="1">
      <c r="A541" s="169"/>
      <c r="B541" s="359"/>
      <c r="C541" s="359"/>
      <c r="D541" s="166"/>
    </row>
    <row r="542" spans="1:4" ht="24.95" customHeight="1">
      <c r="A542" s="169"/>
      <c r="B542" s="359"/>
      <c r="C542" s="359"/>
      <c r="D542" s="166"/>
    </row>
    <row r="543" spans="1:4" ht="24.95" customHeight="1">
      <c r="A543" s="169"/>
      <c r="B543" s="359"/>
      <c r="C543" s="359"/>
      <c r="D543" s="166"/>
    </row>
    <row r="544" spans="1:4" ht="24.95" customHeight="1">
      <c r="A544" s="169"/>
      <c r="B544" s="359"/>
      <c r="C544" s="359"/>
      <c r="D544" s="166"/>
    </row>
    <row r="545" spans="1:4" ht="24.95" customHeight="1">
      <c r="A545" s="169"/>
      <c r="B545" s="359"/>
      <c r="C545" s="359"/>
      <c r="D545" s="166"/>
    </row>
    <row r="546" spans="1:4" ht="24.95" customHeight="1">
      <c r="A546" s="169"/>
      <c r="B546" s="359"/>
      <c r="C546" s="359"/>
      <c r="D546" s="166"/>
    </row>
    <row r="547" spans="1:4" ht="24.95" customHeight="1">
      <c r="A547" s="169"/>
      <c r="B547" s="359"/>
      <c r="C547" s="359"/>
      <c r="D547" s="166"/>
    </row>
    <row r="548" spans="1:4" ht="24.95" customHeight="1">
      <c r="A548" s="169"/>
      <c r="B548" s="359"/>
      <c r="C548" s="359"/>
      <c r="D548" s="166"/>
    </row>
    <row r="549" spans="1:4" ht="24.95" customHeight="1">
      <c r="A549" s="169"/>
      <c r="B549" s="359"/>
      <c r="C549" s="359"/>
      <c r="D549" s="166"/>
    </row>
    <row r="550" spans="1:4" ht="24.95" customHeight="1">
      <c r="A550" s="169"/>
      <c r="B550" s="359"/>
      <c r="C550" s="359"/>
      <c r="D550" s="166"/>
    </row>
    <row r="551" spans="1:4" ht="24.95" customHeight="1">
      <c r="A551" s="169"/>
      <c r="B551" s="359"/>
      <c r="C551" s="359"/>
      <c r="D551" s="166"/>
    </row>
    <row r="552" spans="1:4" ht="24.95" customHeight="1">
      <c r="A552" s="169"/>
      <c r="B552" s="359"/>
      <c r="C552" s="359"/>
      <c r="D552" s="166"/>
    </row>
    <row r="553" spans="1:4" ht="24.95" customHeight="1">
      <c r="A553" s="169"/>
      <c r="B553" s="359"/>
      <c r="C553" s="359"/>
      <c r="D553" s="166"/>
    </row>
    <row r="554" spans="1:4" ht="24.95" customHeight="1">
      <c r="A554" s="169"/>
      <c r="B554" s="359"/>
      <c r="C554" s="359"/>
      <c r="D554" s="166"/>
    </row>
    <row r="555" spans="1:4" ht="24.95" customHeight="1">
      <c r="A555" s="169"/>
      <c r="B555" s="359"/>
      <c r="C555" s="359"/>
      <c r="D555" s="166"/>
    </row>
    <row r="556" spans="1:4" ht="24.95" customHeight="1">
      <c r="A556" s="169"/>
      <c r="B556" s="359"/>
      <c r="C556" s="359"/>
      <c r="D556" s="166"/>
    </row>
    <row r="557" spans="1:4" ht="24.95" customHeight="1">
      <c r="A557" s="169"/>
      <c r="B557" s="359"/>
      <c r="C557" s="359"/>
      <c r="D557" s="166"/>
    </row>
    <row r="558" spans="1:4" ht="24.95" customHeight="1">
      <c r="A558" s="169"/>
      <c r="B558" s="359"/>
      <c r="C558" s="359"/>
      <c r="D558" s="166"/>
    </row>
    <row r="559" spans="1:4" ht="24.95" customHeight="1">
      <c r="A559" s="169"/>
      <c r="B559" s="359"/>
      <c r="C559" s="359"/>
      <c r="D559" s="166"/>
    </row>
    <row r="560" spans="1:4" ht="24.95" customHeight="1">
      <c r="A560" s="169"/>
      <c r="B560" s="359"/>
      <c r="C560" s="359"/>
      <c r="D560" s="166"/>
    </row>
    <row r="561" spans="1:4" ht="24.95" customHeight="1">
      <c r="A561" s="169"/>
    </row>
    <row r="562" spans="1:4" ht="24.95" customHeight="1">
      <c r="A562" s="169"/>
      <c r="B562" s="359"/>
      <c r="C562" s="359"/>
      <c r="D562" s="166"/>
    </row>
    <row r="563" spans="1:4" ht="24.95" customHeight="1">
      <c r="A563" s="169"/>
      <c r="B563" s="359"/>
      <c r="C563" s="359"/>
      <c r="D563" s="166"/>
    </row>
    <row r="564" spans="1:4" ht="24.95" customHeight="1">
      <c r="A564" s="169"/>
      <c r="B564" s="359"/>
      <c r="C564" s="359"/>
      <c r="D564" s="166"/>
    </row>
    <row r="565" spans="1:4" ht="24.95" customHeight="1">
      <c r="A565" s="169"/>
      <c r="B565" s="359"/>
      <c r="C565" s="359"/>
      <c r="D565" s="166"/>
    </row>
    <row r="566" spans="1:4" ht="24.95" customHeight="1">
      <c r="A566" s="169"/>
      <c r="B566" s="359"/>
      <c r="C566" s="359"/>
      <c r="D566" s="166"/>
    </row>
    <row r="567" spans="1:4" ht="24.95" customHeight="1">
      <c r="A567" s="169"/>
      <c r="B567" s="359"/>
      <c r="C567" s="359"/>
      <c r="D567" s="166"/>
    </row>
    <row r="568" spans="1:4" ht="24.95" customHeight="1">
      <c r="A568" s="169"/>
      <c r="B568" s="359"/>
      <c r="C568" s="359"/>
      <c r="D568" s="166"/>
    </row>
    <row r="569" spans="1:4" ht="24.95" customHeight="1">
      <c r="A569" s="169"/>
      <c r="B569" s="359"/>
      <c r="C569" s="359"/>
      <c r="D569" s="166"/>
    </row>
    <row r="570" spans="1:4" ht="24.95" customHeight="1">
      <c r="A570" s="169"/>
      <c r="B570" s="359"/>
      <c r="C570" s="359"/>
      <c r="D570" s="166"/>
    </row>
    <row r="571" spans="1:4" ht="24.95" customHeight="1">
      <c r="A571" s="169"/>
      <c r="B571" s="359"/>
      <c r="C571" s="359"/>
      <c r="D571" s="166"/>
    </row>
    <row r="572" spans="1:4" ht="24.95" customHeight="1">
      <c r="A572" s="169"/>
      <c r="B572" s="359"/>
      <c r="C572" s="359"/>
      <c r="D572" s="166"/>
    </row>
    <row r="573" spans="1:4" ht="24.95" customHeight="1">
      <c r="A573" s="169"/>
      <c r="B573" s="359"/>
      <c r="C573" s="359"/>
      <c r="D573" s="166"/>
    </row>
    <row r="574" spans="1:4" ht="24.95" customHeight="1">
      <c r="A574" s="169"/>
      <c r="B574" s="359"/>
      <c r="C574" s="359"/>
      <c r="D574" s="166"/>
    </row>
    <row r="575" spans="1:4" ht="24.95" customHeight="1">
      <c r="A575" s="169"/>
      <c r="B575" s="359"/>
      <c r="C575" s="359"/>
      <c r="D575" s="166"/>
    </row>
    <row r="576" spans="1:4" ht="24.95" customHeight="1">
      <c r="A576" s="169"/>
      <c r="B576" s="359"/>
      <c r="C576" s="359"/>
      <c r="D576" s="166"/>
    </row>
    <row r="577" spans="1:4" ht="24.95" customHeight="1">
      <c r="A577" s="169"/>
      <c r="B577" s="359"/>
      <c r="C577" s="359"/>
      <c r="D577" s="166"/>
    </row>
    <row r="578" spans="1:4" ht="24.95" customHeight="1">
      <c r="A578" s="169"/>
      <c r="B578" s="359"/>
      <c r="C578" s="359"/>
      <c r="D578" s="166"/>
    </row>
    <row r="579" spans="1:4" ht="24.95" customHeight="1">
      <c r="A579" s="169"/>
      <c r="B579" s="359"/>
      <c r="C579" s="359"/>
      <c r="D579" s="166"/>
    </row>
    <row r="580" spans="1:4" ht="24.95" customHeight="1">
      <c r="A580" s="169"/>
      <c r="B580" s="359"/>
      <c r="C580" s="359"/>
      <c r="D580" s="166"/>
    </row>
    <row r="581" spans="1:4" ht="24.95" customHeight="1">
      <c r="A581" s="169"/>
      <c r="B581" s="359"/>
      <c r="C581" s="359"/>
      <c r="D581" s="166"/>
    </row>
    <row r="582" spans="1:4" ht="24.95" customHeight="1">
      <c r="A582" s="169"/>
      <c r="B582" s="359"/>
      <c r="C582" s="359"/>
      <c r="D582" s="166"/>
    </row>
    <row r="583" spans="1:4" ht="24.95" customHeight="1">
      <c r="A583" s="169"/>
    </row>
    <row r="584" spans="1:4" ht="24.95" customHeight="1">
      <c r="A584" s="169"/>
      <c r="B584" s="359"/>
      <c r="C584" s="359"/>
      <c r="D584" s="166"/>
    </row>
    <row r="585" spans="1:4" ht="24.95" customHeight="1">
      <c r="A585" s="169"/>
      <c r="B585" s="359"/>
      <c r="C585" s="359"/>
      <c r="D585" s="166"/>
    </row>
    <row r="586" spans="1:4" ht="24.95" customHeight="1">
      <c r="A586" s="169"/>
      <c r="B586" s="359"/>
      <c r="C586" s="359"/>
      <c r="D586" s="166"/>
    </row>
    <row r="587" spans="1:4" ht="24.95" customHeight="1">
      <c r="A587" s="169"/>
      <c r="B587" s="359"/>
      <c r="C587" s="359"/>
      <c r="D587" s="166"/>
    </row>
    <row r="588" spans="1:4" ht="24.95" customHeight="1">
      <c r="A588" s="169"/>
      <c r="B588" s="359"/>
      <c r="C588" s="359"/>
      <c r="D588" s="166"/>
    </row>
    <row r="589" spans="1:4" ht="24.95" customHeight="1">
      <c r="A589" s="169"/>
      <c r="B589" s="359"/>
      <c r="C589" s="359"/>
      <c r="D589" s="166"/>
    </row>
    <row r="590" spans="1:4" ht="24.95" customHeight="1">
      <c r="A590" s="169"/>
      <c r="B590" s="359"/>
      <c r="C590" s="359"/>
      <c r="D590" s="166"/>
    </row>
    <row r="591" spans="1:4" ht="24.95" customHeight="1">
      <c r="A591" s="169"/>
      <c r="B591" s="359"/>
      <c r="C591" s="359"/>
      <c r="D591" s="166"/>
    </row>
    <row r="592" spans="1:4" ht="24.95" customHeight="1">
      <c r="A592" s="169"/>
      <c r="B592" s="359"/>
      <c r="C592" s="359"/>
      <c r="D592" s="166"/>
    </row>
    <row r="593" spans="1:4" ht="24.95" customHeight="1">
      <c r="A593" s="169"/>
      <c r="B593" s="359"/>
      <c r="C593" s="359"/>
      <c r="D593" s="166"/>
    </row>
    <row r="594" spans="1:4" ht="24.95" customHeight="1">
      <c r="A594" s="169"/>
      <c r="B594" s="359"/>
      <c r="C594" s="359"/>
      <c r="D594" s="166"/>
    </row>
    <row r="595" spans="1:4" ht="24.95" customHeight="1">
      <c r="A595" s="169"/>
      <c r="B595" s="359"/>
      <c r="C595" s="359"/>
      <c r="D595" s="166"/>
    </row>
    <row r="596" spans="1:4" ht="24.95" customHeight="1">
      <c r="A596" s="169"/>
      <c r="B596" s="359"/>
      <c r="C596" s="359"/>
      <c r="D596" s="166"/>
    </row>
    <row r="597" spans="1:4" ht="24.95" customHeight="1">
      <c r="A597" s="169"/>
      <c r="B597" s="359"/>
      <c r="C597" s="359"/>
      <c r="D597" s="166"/>
    </row>
    <row r="598" spans="1:4" ht="24.95" customHeight="1">
      <c r="A598" s="169"/>
      <c r="B598" s="359"/>
      <c r="C598" s="359"/>
      <c r="D598" s="166"/>
    </row>
    <row r="599" spans="1:4" ht="24.95" customHeight="1">
      <c r="A599" s="169"/>
      <c r="B599" s="359"/>
      <c r="C599" s="359"/>
      <c r="D599" s="166"/>
    </row>
    <row r="600" spans="1:4" ht="24.95" customHeight="1">
      <c r="A600" s="169"/>
      <c r="B600" s="359"/>
      <c r="C600" s="359"/>
      <c r="D600" s="166"/>
    </row>
    <row r="601" spans="1:4" ht="24.95" customHeight="1">
      <c r="A601" s="169"/>
      <c r="B601" s="359"/>
      <c r="C601" s="359"/>
      <c r="D601" s="166"/>
    </row>
    <row r="602" spans="1:4" ht="24.95" customHeight="1">
      <c r="A602" s="169"/>
      <c r="B602" s="359"/>
      <c r="C602" s="359"/>
      <c r="D602" s="166"/>
    </row>
    <row r="603" spans="1:4" ht="24.95" customHeight="1">
      <c r="A603" s="169"/>
      <c r="B603" s="359"/>
      <c r="C603" s="359"/>
      <c r="D603" s="166"/>
    </row>
    <row r="604" spans="1:4" ht="24.95" customHeight="1">
      <c r="A604" s="169"/>
      <c r="B604" s="359"/>
      <c r="C604" s="359"/>
      <c r="D604" s="166"/>
    </row>
    <row r="605" spans="1:4" ht="24.95" customHeight="1">
      <c r="A605" s="169"/>
    </row>
    <row r="606" spans="1:4" ht="24.95" customHeight="1">
      <c r="A606" s="169"/>
      <c r="B606" s="359"/>
      <c r="C606" s="359"/>
      <c r="D606" s="166"/>
    </row>
    <row r="607" spans="1:4" ht="24.95" customHeight="1">
      <c r="A607" s="169"/>
      <c r="B607" s="359"/>
      <c r="C607" s="359"/>
      <c r="D607" s="166"/>
    </row>
    <row r="608" spans="1:4" ht="24.95" customHeight="1">
      <c r="A608" s="169"/>
      <c r="B608" s="359"/>
      <c r="C608" s="359"/>
      <c r="D608" s="166"/>
    </row>
    <row r="609" spans="1:4" ht="24.95" customHeight="1">
      <c r="A609" s="169"/>
      <c r="B609" s="359"/>
      <c r="C609" s="359"/>
      <c r="D609" s="166"/>
    </row>
    <row r="610" spans="1:4" ht="24.95" customHeight="1">
      <c r="A610" s="169"/>
      <c r="B610" s="359"/>
      <c r="C610" s="359"/>
      <c r="D610" s="166"/>
    </row>
    <row r="611" spans="1:4" ht="24.95" customHeight="1">
      <c r="A611" s="169"/>
      <c r="B611" s="359"/>
      <c r="C611" s="359"/>
      <c r="D611" s="166"/>
    </row>
    <row r="612" spans="1:4" ht="24.95" customHeight="1">
      <c r="A612" s="169"/>
      <c r="B612" s="359"/>
      <c r="C612" s="359"/>
      <c r="D612" s="166"/>
    </row>
    <row r="613" spans="1:4" ht="24.95" customHeight="1">
      <c r="A613" s="169"/>
      <c r="B613" s="359"/>
      <c r="C613" s="359"/>
      <c r="D613" s="166"/>
    </row>
    <row r="614" spans="1:4" ht="24.95" customHeight="1">
      <c r="A614" s="169"/>
      <c r="B614" s="359"/>
      <c r="C614" s="359"/>
      <c r="D614" s="166"/>
    </row>
    <row r="615" spans="1:4" ht="24.95" customHeight="1">
      <c r="A615" s="169"/>
      <c r="B615" s="359"/>
      <c r="C615" s="359"/>
      <c r="D615" s="166"/>
    </row>
    <row r="616" spans="1:4" ht="24.95" customHeight="1">
      <c r="A616" s="169"/>
      <c r="B616" s="359"/>
      <c r="C616" s="359"/>
      <c r="D616" s="166"/>
    </row>
    <row r="617" spans="1:4" ht="24.95" customHeight="1">
      <c r="A617" s="169"/>
      <c r="B617" s="359"/>
      <c r="C617" s="359"/>
      <c r="D617" s="166"/>
    </row>
    <row r="618" spans="1:4" ht="24.95" customHeight="1">
      <c r="A618" s="169"/>
      <c r="B618" s="359"/>
      <c r="C618" s="359"/>
      <c r="D618" s="166"/>
    </row>
    <row r="619" spans="1:4" ht="24.95" customHeight="1">
      <c r="A619" s="169"/>
      <c r="B619" s="359"/>
      <c r="C619" s="359"/>
      <c r="D619" s="166"/>
    </row>
    <row r="620" spans="1:4" ht="24.95" customHeight="1">
      <c r="A620" s="169"/>
      <c r="B620" s="359"/>
      <c r="C620" s="359"/>
      <c r="D620" s="166"/>
    </row>
    <row r="621" spans="1:4" ht="24.95" customHeight="1">
      <c r="A621" s="169"/>
      <c r="B621" s="359"/>
      <c r="C621" s="359"/>
      <c r="D621" s="166"/>
    </row>
    <row r="622" spans="1:4" ht="24.95" customHeight="1">
      <c r="A622" s="169"/>
      <c r="B622" s="359"/>
      <c r="C622" s="359"/>
      <c r="D622" s="166"/>
    </row>
    <row r="623" spans="1:4" ht="24.95" customHeight="1">
      <c r="A623" s="169"/>
      <c r="B623" s="359"/>
      <c r="C623" s="359"/>
      <c r="D623" s="166"/>
    </row>
    <row r="624" spans="1:4" ht="24.95" customHeight="1">
      <c r="A624" s="169"/>
      <c r="B624" s="359"/>
      <c r="C624" s="359"/>
      <c r="D624" s="166"/>
    </row>
    <row r="625" spans="1:4" ht="24.95" customHeight="1">
      <c r="A625" s="169"/>
      <c r="B625" s="359"/>
      <c r="C625" s="359"/>
      <c r="D625" s="166"/>
    </row>
    <row r="626" spans="1:4" ht="24.95" customHeight="1">
      <c r="A626" s="169"/>
      <c r="B626" s="359"/>
      <c r="C626" s="359"/>
      <c r="D626" s="166"/>
    </row>
    <row r="627" spans="1:4" ht="24.95" customHeight="1">
      <c r="A627" s="169"/>
    </row>
    <row r="628" spans="1:4" ht="24.95" customHeight="1">
      <c r="A628" s="169"/>
      <c r="B628" s="359"/>
      <c r="C628" s="359"/>
      <c r="D628" s="166"/>
    </row>
    <row r="629" spans="1:4" ht="24.95" customHeight="1">
      <c r="A629" s="169"/>
      <c r="B629" s="359"/>
      <c r="C629" s="359"/>
      <c r="D629" s="166"/>
    </row>
    <row r="630" spans="1:4" ht="24.95" customHeight="1">
      <c r="A630" s="169"/>
      <c r="B630" s="359"/>
      <c r="C630" s="359"/>
      <c r="D630" s="166"/>
    </row>
    <row r="631" spans="1:4" ht="24.95" customHeight="1">
      <c r="A631" s="169"/>
      <c r="B631" s="359"/>
      <c r="C631" s="359"/>
      <c r="D631" s="166"/>
    </row>
    <row r="632" spans="1:4" ht="24.95" customHeight="1">
      <c r="A632" s="169"/>
      <c r="B632" s="359"/>
      <c r="C632" s="359"/>
      <c r="D632" s="166"/>
    </row>
    <row r="633" spans="1:4" ht="24.95" customHeight="1">
      <c r="A633" s="169"/>
      <c r="B633" s="359"/>
      <c r="C633" s="359"/>
      <c r="D633" s="166"/>
    </row>
    <row r="634" spans="1:4" ht="24.95" customHeight="1">
      <c r="A634" s="169"/>
      <c r="B634" s="359"/>
      <c r="C634" s="359"/>
      <c r="D634" s="166"/>
    </row>
    <row r="635" spans="1:4" ht="24.95" customHeight="1">
      <c r="A635" s="169"/>
      <c r="B635" s="359"/>
      <c r="C635" s="359"/>
      <c r="D635" s="166"/>
    </row>
    <row r="636" spans="1:4" ht="24.95" customHeight="1">
      <c r="A636" s="169"/>
      <c r="B636" s="359"/>
      <c r="C636" s="359"/>
      <c r="D636" s="166"/>
    </row>
    <row r="637" spans="1:4" ht="24.95" customHeight="1">
      <c r="A637" s="169"/>
      <c r="B637" s="359"/>
      <c r="C637" s="359"/>
      <c r="D637" s="166"/>
    </row>
    <row r="638" spans="1:4" ht="24.95" customHeight="1">
      <c r="A638" s="169"/>
      <c r="B638" s="359"/>
      <c r="C638" s="359"/>
      <c r="D638" s="166"/>
    </row>
    <row r="639" spans="1:4" ht="24.95" customHeight="1">
      <c r="A639" s="169"/>
      <c r="B639" s="359"/>
      <c r="C639" s="359"/>
      <c r="D639" s="166"/>
    </row>
    <row r="640" spans="1:4" ht="24.95" customHeight="1">
      <c r="A640" s="169"/>
      <c r="B640" s="359"/>
      <c r="C640" s="359"/>
      <c r="D640" s="166"/>
    </row>
    <row r="641" spans="1:4" ht="24.95" customHeight="1">
      <c r="A641" s="169"/>
      <c r="B641" s="359"/>
      <c r="C641" s="359"/>
      <c r="D641" s="166"/>
    </row>
    <row r="642" spans="1:4" ht="24.95" customHeight="1">
      <c r="A642" s="169"/>
      <c r="B642" s="359"/>
      <c r="C642" s="359"/>
      <c r="D642" s="166"/>
    </row>
    <row r="643" spans="1:4" ht="24.95" customHeight="1">
      <c r="A643" s="169"/>
      <c r="B643" s="359"/>
      <c r="C643" s="359"/>
      <c r="D643" s="166"/>
    </row>
    <row r="644" spans="1:4" ht="24.95" customHeight="1">
      <c r="A644" s="169"/>
      <c r="B644" s="359"/>
      <c r="C644" s="359"/>
      <c r="D644" s="166"/>
    </row>
    <row r="645" spans="1:4" ht="24.95" customHeight="1">
      <c r="A645" s="169"/>
      <c r="B645" s="359"/>
      <c r="C645" s="359"/>
      <c r="D645" s="166"/>
    </row>
    <row r="646" spans="1:4" ht="24.95" customHeight="1">
      <c r="A646" s="169"/>
      <c r="B646" s="359"/>
      <c r="C646" s="359"/>
      <c r="D646" s="166"/>
    </row>
    <row r="647" spans="1:4" ht="24.95" customHeight="1">
      <c r="A647" s="169"/>
      <c r="B647" s="359"/>
      <c r="C647" s="359"/>
      <c r="D647" s="166"/>
    </row>
    <row r="648" spans="1:4" ht="24.95" customHeight="1">
      <c r="A648" s="169"/>
      <c r="B648" s="359"/>
      <c r="C648" s="359"/>
      <c r="D648" s="166"/>
    </row>
    <row r="649" spans="1:4" ht="24.95" customHeight="1">
      <c r="A649" s="169"/>
    </row>
    <row r="650" spans="1:4" ht="24.95" customHeight="1">
      <c r="A650" s="169"/>
      <c r="B650" s="359"/>
      <c r="C650" s="359"/>
      <c r="D650" s="166"/>
    </row>
    <row r="651" spans="1:4" ht="24.95" customHeight="1">
      <c r="A651" s="169"/>
      <c r="B651" s="359"/>
      <c r="C651" s="359"/>
      <c r="D651" s="166"/>
    </row>
    <row r="652" spans="1:4" ht="24.95" customHeight="1">
      <c r="A652" s="169"/>
      <c r="B652" s="359"/>
      <c r="C652" s="359"/>
      <c r="D652" s="166"/>
    </row>
    <row r="653" spans="1:4" ht="24.95" customHeight="1">
      <c r="A653" s="169"/>
      <c r="B653" s="359"/>
      <c r="C653" s="359"/>
      <c r="D653" s="166"/>
    </row>
    <row r="654" spans="1:4" ht="24.95" customHeight="1">
      <c r="A654" s="169"/>
      <c r="B654" s="359"/>
      <c r="C654" s="359"/>
      <c r="D654" s="166"/>
    </row>
    <row r="655" spans="1:4" ht="24.95" customHeight="1">
      <c r="A655" s="169"/>
      <c r="B655" s="359"/>
      <c r="C655" s="359"/>
      <c r="D655" s="166"/>
    </row>
    <row r="656" spans="1:4" ht="24.95" customHeight="1">
      <c r="A656" s="169"/>
      <c r="B656" s="359"/>
      <c r="C656" s="359"/>
      <c r="D656" s="166"/>
    </row>
    <row r="657" spans="1:4" ht="24.95" customHeight="1">
      <c r="A657" s="169"/>
      <c r="B657" s="359"/>
      <c r="C657" s="359"/>
      <c r="D657" s="166"/>
    </row>
    <row r="658" spans="1:4" ht="24.95" customHeight="1">
      <c r="A658" s="169"/>
      <c r="B658" s="359"/>
      <c r="C658" s="359"/>
      <c r="D658" s="166"/>
    </row>
    <row r="659" spans="1:4" ht="24.95" customHeight="1">
      <c r="A659" s="169"/>
      <c r="B659" s="359"/>
      <c r="C659" s="359"/>
      <c r="D659" s="166"/>
    </row>
    <row r="660" spans="1:4" ht="24.95" customHeight="1">
      <c r="A660" s="169"/>
      <c r="B660" s="359"/>
      <c r="C660" s="359"/>
      <c r="D660" s="166"/>
    </row>
    <row r="661" spans="1:4" ht="24.95" customHeight="1">
      <c r="A661" s="169"/>
      <c r="B661" s="359"/>
      <c r="C661" s="359"/>
      <c r="D661" s="166"/>
    </row>
    <row r="662" spans="1:4" ht="24.95" customHeight="1">
      <c r="A662" s="169"/>
      <c r="B662" s="359"/>
      <c r="C662" s="359"/>
      <c r="D662" s="166"/>
    </row>
    <row r="663" spans="1:4" ht="24.95" customHeight="1">
      <c r="A663" s="169"/>
      <c r="B663" s="359"/>
      <c r="C663" s="359"/>
      <c r="D663" s="166"/>
    </row>
    <row r="664" spans="1:4" ht="24.95" customHeight="1">
      <c r="A664" s="169"/>
      <c r="B664" s="359"/>
      <c r="C664" s="359"/>
      <c r="D664" s="166"/>
    </row>
    <row r="665" spans="1:4" ht="24.95" customHeight="1">
      <c r="A665" s="169"/>
      <c r="B665" s="359"/>
      <c r="C665" s="359"/>
      <c r="D665" s="166"/>
    </row>
    <row r="666" spans="1:4" ht="24.95" customHeight="1">
      <c r="A666" s="169"/>
      <c r="B666" s="359"/>
      <c r="C666" s="359"/>
      <c r="D666" s="166"/>
    </row>
    <row r="667" spans="1:4" ht="24.95" customHeight="1">
      <c r="A667" s="169"/>
      <c r="B667" s="359"/>
      <c r="C667" s="359"/>
      <c r="D667" s="166"/>
    </row>
    <row r="668" spans="1:4" ht="24.95" customHeight="1">
      <c r="A668" s="169"/>
      <c r="B668" s="359"/>
      <c r="C668" s="359"/>
      <c r="D668" s="166"/>
    </row>
    <row r="669" spans="1:4" ht="24.95" customHeight="1">
      <c r="A669" s="169"/>
      <c r="B669" s="359"/>
      <c r="C669" s="359"/>
      <c r="D669" s="166"/>
    </row>
    <row r="670" spans="1:4" ht="24.95" customHeight="1">
      <c r="A670" s="169"/>
      <c r="B670" s="359"/>
      <c r="C670" s="359"/>
      <c r="D670" s="166"/>
    </row>
    <row r="671" spans="1:4" ht="24.95" customHeight="1">
      <c r="A671" s="169"/>
    </row>
    <row r="672" spans="1:4" ht="24.95" customHeight="1">
      <c r="A672" s="169"/>
    </row>
    <row r="673" spans="1:1" ht="24.95" customHeight="1">
      <c r="A673" s="169"/>
    </row>
    <row r="674" spans="1:1" ht="24.95" customHeight="1">
      <c r="A674" s="169"/>
    </row>
    <row r="675" spans="1:1" ht="24.95" customHeight="1">
      <c r="A675" s="169"/>
    </row>
    <row r="676" spans="1:1" ht="24.95" customHeight="1">
      <c r="A676" s="169"/>
    </row>
    <row r="677" spans="1:1" ht="24.95" customHeight="1">
      <c r="A677" s="169"/>
    </row>
    <row r="678" spans="1:1" ht="24.95" customHeight="1">
      <c r="A678" s="169"/>
    </row>
    <row r="679" spans="1:1" ht="24.95" customHeight="1">
      <c r="A679" s="169"/>
    </row>
    <row r="680" spans="1:1" ht="24.95" customHeight="1">
      <c r="A680" s="169"/>
    </row>
    <row r="681" spans="1:1" ht="24.95" customHeight="1">
      <c r="A681" s="169"/>
    </row>
    <row r="682" spans="1:1" ht="24.95" customHeight="1">
      <c r="A682" s="169"/>
    </row>
    <row r="683" spans="1:1" ht="24.95" customHeight="1">
      <c r="A683" s="169"/>
    </row>
    <row r="684" spans="1:1" ht="24.95" customHeight="1">
      <c r="A684" s="169"/>
    </row>
    <row r="685" spans="1:1" ht="24.95" customHeight="1">
      <c r="A685" s="169"/>
    </row>
    <row r="686" spans="1:1" ht="24.95" customHeight="1">
      <c r="A686" s="169"/>
    </row>
    <row r="687" spans="1:1" ht="24.95" customHeight="1">
      <c r="A687" s="169"/>
    </row>
    <row r="688" spans="1:1" ht="24.95" customHeight="1">
      <c r="A688" s="169"/>
    </row>
    <row r="689" spans="1:1" ht="24.95" customHeight="1">
      <c r="A689" s="169"/>
    </row>
    <row r="690" spans="1:1" ht="24.95" customHeight="1">
      <c r="A690" s="169"/>
    </row>
    <row r="691" spans="1:1" ht="24.95" customHeight="1">
      <c r="A691" s="169"/>
    </row>
    <row r="692" spans="1:1" ht="24.95" customHeight="1">
      <c r="A692" s="169"/>
    </row>
    <row r="693" spans="1:1" ht="24.95" customHeight="1">
      <c r="A693" s="169"/>
    </row>
    <row r="694" spans="1:1" ht="24.95" customHeight="1"/>
    <row r="695" spans="1:1" ht="24.95" customHeight="1"/>
    <row r="696" spans="1:1" ht="24.95" customHeight="1"/>
    <row r="697" spans="1:1" ht="24.95" customHeight="1"/>
    <row r="698" spans="1:1" ht="24.95" customHeight="1"/>
    <row r="699" spans="1:1" ht="24.9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31</xdr:row>
                    <xdr:rowOff>161925</xdr:rowOff>
                  </from>
                  <to>
                    <xdr:col>5</xdr:col>
                    <xdr:colOff>390525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M71"/>
  <sheetViews>
    <sheetView zoomScaleNormal="100" workbookViewId="0">
      <pane xSplit="1" ySplit="1" topLeftCell="B2" activePane="bottomRight" state="frozen"/>
      <selection activeCell="A7" sqref="A7"/>
      <selection pane="topRight" activeCell="A7" sqref="A7"/>
      <selection pane="bottomLeft" activeCell="A7" sqref="A7"/>
      <selection pane="bottomRight" activeCell="A58" sqref="A58"/>
    </sheetView>
  </sheetViews>
  <sheetFormatPr baseColWidth="10" defaultColWidth="11.42578125" defaultRowHeight="15" customHeight="1"/>
  <cols>
    <col min="1" max="1" width="12.7109375" style="27" customWidth="1"/>
    <col min="2" max="2" width="72" style="5" customWidth="1"/>
    <col min="3" max="3" width="17.42578125" style="5" customWidth="1"/>
    <col min="4" max="5" width="11.42578125" style="27"/>
    <col min="6" max="10" width="11.42578125" style="5"/>
    <col min="11" max="11" width="11.42578125" style="27"/>
    <col min="12" max="16384" width="11.42578125" style="5"/>
  </cols>
  <sheetData>
    <row r="1" spans="1:11" thickBot="1">
      <c r="A1" s="343"/>
      <c r="B1" s="344" t="s">
        <v>128</v>
      </c>
      <c r="C1" s="344" t="s">
        <v>129</v>
      </c>
      <c r="D1" s="344" t="s">
        <v>130</v>
      </c>
      <c r="E1" s="344" t="s">
        <v>131</v>
      </c>
      <c r="F1" s="344" t="s">
        <v>133</v>
      </c>
      <c r="G1" s="345" t="s">
        <v>132</v>
      </c>
      <c r="H1" s="5" t="s">
        <v>397</v>
      </c>
      <c r="I1" s="5">
        <v>16</v>
      </c>
      <c r="K1" s="345" t="s">
        <v>799</v>
      </c>
    </row>
    <row r="2" spans="1:11" ht="14.25">
      <c r="A2" s="27">
        <v>16</v>
      </c>
      <c r="B2" s="5" t="s">
        <v>108</v>
      </c>
      <c r="C2" s="5" t="s">
        <v>157</v>
      </c>
      <c r="D2" s="27">
        <v>100</v>
      </c>
      <c r="E2" s="27">
        <v>-300</v>
      </c>
      <c r="H2" s="346" t="s">
        <v>877</v>
      </c>
      <c r="K2" s="27">
        <v>0.85</v>
      </c>
    </row>
    <row r="3" spans="1:11" ht="14.25">
      <c r="A3" s="261">
        <v>17</v>
      </c>
      <c r="B3" s="5" t="s">
        <v>376</v>
      </c>
      <c r="C3" s="342" t="s">
        <v>168</v>
      </c>
      <c r="E3" s="27">
        <v>-10</v>
      </c>
      <c r="F3" s="5" t="s">
        <v>423</v>
      </c>
      <c r="G3" s="5" t="str">
        <f>VLOOKUP(C3,Demo!$A$2:$D$31,2,0)</f>
        <v>Edad</v>
      </c>
      <c r="H3" s="5" t="s">
        <v>878</v>
      </c>
      <c r="K3" s="27">
        <v>0.93500000000000005</v>
      </c>
    </row>
    <row r="4" spans="1:11" ht="14.25">
      <c r="A4" s="261">
        <v>18</v>
      </c>
      <c r="B4" s="5" t="s">
        <v>377</v>
      </c>
      <c r="C4" s="342" t="s">
        <v>169</v>
      </c>
      <c r="E4" s="27">
        <v>-10</v>
      </c>
      <c r="F4" s="5" t="s">
        <v>423</v>
      </c>
      <c r="G4" s="5" t="str">
        <f>VLOOKUP(C4,Demo!$A$2:$D$31,2,0)</f>
        <v>Género</v>
      </c>
      <c r="K4" s="27">
        <v>0.93500000000000005</v>
      </c>
    </row>
    <row r="5" spans="1:11" ht="14.25">
      <c r="A5" s="27">
        <v>19</v>
      </c>
      <c r="B5" s="5" t="s">
        <v>378</v>
      </c>
      <c r="C5" s="342" t="s">
        <v>170</v>
      </c>
      <c r="E5" s="27">
        <v>-10</v>
      </c>
      <c r="F5" s="5" t="s">
        <v>423</v>
      </c>
      <c r="G5" s="5" t="str">
        <f>VLOOKUP(C5,Demo!$A$2:$D$31,2,0)</f>
        <v>Nivel de Estudios</v>
      </c>
      <c r="K5" s="27">
        <v>0.93500000000000005</v>
      </c>
    </row>
    <row r="6" spans="1:11" ht="14.25">
      <c r="A6" s="261">
        <v>20</v>
      </c>
      <c r="B6" s="5" t="s">
        <v>375</v>
      </c>
      <c r="C6" s="342" t="s">
        <v>171</v>
      </c>
      <c r="E6" s="27">
        <v>-10</v>
      </c>
      <c r="F6" s="5" t="s">
        <v>423</v>
      </c>
      <c r="G6" s="5" t="str">
        <f>VLOOKUP(C6,Demo!$A$2:$D$31,2,0)</f>
        <v>Cargo</v>
      </c>
      <c r="K6" s="27">
        <v>0.93500000000000005</v>
      </c>
    </row>
    <row r="7" spans="1:11" ht="14.25">
      <c r="A7" s="261">
        <v>21</v>
      </c>
      <c r="B7" s="5" t="s">
        <v>379</v>
      </c>
      <c r="C7" s="342" t="s">
        <v>172</v>
      </c>
      <c r="E7" s="27">
        <v>-10</v>
      </c>
      <c r="F7" s="5" t="s">
        <v>423</v>
      </c>
      <c r="G7" s="5" t="str">
        <f>VLOOKUP(C7,Demo!$A$2:$D$31,2,0)</f>
        <v>Antigüedad</v>
      </c>
      <c r="K7" s="27">
        <v>0.93500000000000005</v>
      </c>
    </row>
    <row r="8" spans="1:11" ht="14.25">
      <c r="A8" s="27">
        <v>22</v>
      </c>
      <c r="B8" s="5" t="s">
        <v>382</v>
      </c>
      <c r="C8" s="342" t="s">
        <v>173</v>
      </c>
      <c r="E8" s="27">
        <v>-10</v>
      </c>
      <c r="F8" s="5" t="s">
        <v>423</v>
      </c>
      <c r="G8" s="5" t="str">
        <f>VLOOKUP(C8,Demo!$A$2:$D$31,2,0)</f>
        <v>Jornada Laboral</v>
      </c>
      <c r="K8" s="27">
        <v>0.93500000000000005</v>
      </c>
    </row>
    <row r="9" spans="1:11" ht="14.25">
      <c r="A9" s="261">
        <v>23</v>
      </c>
      <c r="B9" s="5" t="s">
        <v>823</v>
      </c>
      <c r="C9" s="342" t="s">
        <v>174</v>
      </c>
      <c r="E9" s="27">
        <v>-10</v>
      </c>
      <c r="F9" s="5" t="s">
        <v>423</v>
      </c>
      <c r="G9" s="5" t="str">
        <f>VLOOKUP(C9,Demo!$A$2:$D$31,2,0)</f>
        <v>Área</v>
      </c>
      <c r="K9" s="27">
        <v>0.93500000000000005</v>
      </c>
    </row>
    <row r="10" spans="1:11" ht="14.25">
      <c r="A10" s="261">
        <v>24</v>
      </c>
      <c r="B10" s="5" t="s">
        <v>824</v>
      </c>
      <c r="C10" s="342" t="s">
        <v>175</v>
      </c>
      <c r="E10" s="27">
        <v>-10</v>
      </c>
      <c r="F10" s="5" t="s">
        <v>423</v>
      </c>
      <c r="G10" s="5" t="str">
        <f>VLOOKUP(C10,Demo!$A$2:$D$31,2,0)</f>
        <v>Área1</v>
      </c>
      <c r="K10" s="27">
        <v>0.93500000000000005</v>
      </c>
    </row>
    <row r="11" spans="1:11" ht="14.25">
      <c r="A11" s="27">
        <v>25</v>
      </c>
      <c r="B11" s="5" t="s">
        <v>825</v>
      </c>
      <c r="C11" s="342" t="s">
        <v>176</v>
      </c>
      <c r="E11" s="27">
        <v>-10</v>
      </c>
      <c r="F11" s="5" t="s">
        <v>423</v>
      </c>
      <c r="G11" s="5" t="str">
        <f>VLOOKUP(C11,Demo!$A$2:$D$31,2,0)</f>
        <v>Área2</v>
      </c>
      <c r="K11" s="27">
        <v>0.93500000000000005</v>
      </c>
    </row>
    <row r="12" spans="1:11" ht="14.25">
      <c r="A12" s="261">
        <v>26</v>
      </c>
      <c r="B12" s="5" t="s">
        <v>381</v>
      </c>
      <c r="C12" s="342" t="s">
        <v>177</v>
      </c>
      <c r="E12" s="27">
        <v>-10</v>
      </c>
      <c r="F12" s="5" t="s">
        <v>423</v>
      </c>
      <c r="G12" s="5" t="str">
        <f>VLOOKUP(C12,Demo!$A$2:$D$31,2,0)</f>
        <v>Indique la cantidad de reuniones que ha tenido con su jefe para conversar sobre su desempeño durante los últimos 12 meses</v>
      </c>
      <c r="K12" s="27">
        <v>0.93500000000000005</v>
      </c>
    </row>
    <row r="13" spans="1:11" ht="14.25">
      <c r="A13" s="261">
        <v>27</v>
      </c>
      <c r="B13" s="5" t="s">
        <v>381</v>
      </c>
      <c r="C13" s="342" t="s">
        <v>178</v>
      </c>
      <c r="E13" s="27">
        <v>-10</v>
      </c>
      <c r="F13" s="5" t="s">
        <v>423</v>
      </c>
      <c r="G13" s="5" t="str">
        <f>VLOOKUP(C13,Demo!$A$2:$D$31,2,0)</f>
        <v>El principal motivo por el que permanezco en esta empresa es</v>
      </c>
      <c r="K13" s="27">
        <v>0.93500000000000005</v>
      </c>
    </row>
    <row r="14" spans="1:11" ht="14.25">
      <c r="A14" s="27">
        <v>28</v>
      </c>
      <c r="B14" s="5" t="s">
        <v>381</v>
      </c>
      <c r="C14" s="342" t="s">
        <v>179</v>
      </c>
      <c r="E14" s="27">
        <v>-10</v>
      </c>
      <c r="F14" s="5" t="s">
        <v>423</v>
      </c>
      <c r="G14" s="5" t="str">
        <f>VLOOKUP(C14,Demo!$A$2:$D$31,2,0)</f>
        <v>Género</v>
      </c>
      <c r="K14" s="27">
        <v>0.93500000000000005</v>
      </c>
    </row>
    <row r="15" spans="1:11" ht="14.25">
      <c r="A15" s="261">
        <v>29</v>
      </c>
      <c r="B15" s="347" t="s">
        <v>109</v>
      </c>
      <c r="C15" s="347"/>
      <c r="D15" s="348"/>
      <c r="E15" s="348"/>
      <c r="F15" s="347"/>
      <c r="G15" s="347"/>
    </row>
    <row r="16" spans="1:11" ht="14.25">
      <c r="A16" s="261">
        <v>30</v>
      </c>
      <c r="B16" s="5" t="s">
        <v>110</v>
      </c>
      <c r="C16" s="5" t="s">
        <v>204</v>
      </c>
      <c r="D16" s="27">
        <v>35</v>
      </c>
      <c r="E16" s="27">
        <v>-33</v>
      </c>
      <c r="K16" s="27">
        <v>0.94</v>
      </c>
    </row>
    <row r="17" spans="1:11" ht="14.25">
      <c r="A17" s="27">
        <v>31</v>
      </c>
      <c r="B17" s="5" t="s">
        <v>197</v>
      </c>
      <c r="C17" s="5" t="s">
        <v>205</v>
      </c>
      <c r="D17" s="27">
        <v>75</v>
      </c>
      <c r="E17" s="27">
        <v>17</v>
      </c>
      <c r="K17" s="27">
        <v>0.94</v>
      </c>
    </row>
    <row r="18" spans="1:11" ht="14.25">
      <c r="A18" s="261">
        <v>32</v>
      </c>
      <c r="B18" s="5" t="s">
        <v>196</v>
      </c>
      <c r="C18" s="5" t="s">
        <v>200</v>
      </c>
      <c r="D18" s="27">
        <v>40</v>
      </c>
      <c r="E18" s="27">
        <v>0</v>
      </c>
      <c r="K18" s="27">
        <v>0.94</v>
      </c>
    </row>
    <row r="19" spans="1:11" ht="14.25">
      <c r="A19" s="261">
        <v>33</v>
      </c>
      <c r="B19" s="5" t="s">
        <v>195</v>
      </c>
      <c r="C19" s="5" t="s">
        <v>201</v>
      </c>
      <c r="D19" s="27">
        <v>20</v>
      </c>
      <c r="E19" s="27">
        <v>8</v>
      </c>
      <c r="K19" s="27">
        <v>0.94</v>
      </c>
    </row>
    <row r="20" spans="1:11" ht="14.25">
      <c r="A20" s="27">
        <v>34</v>
      </c>
      <c r="B20" s="347" t="s">
        <v>191</v>
      </c>
      <c r="C20" s="347"/>
      <c r="D20" s="348"/>
      <c r="E20" s="348"/>
      <c r="F20" s="347"/>
      <c r="G20" s="347"/>
    </row>
    <row r="21" spans="1:11" ht="14.25">
      <c r="A21" s="261">
        <v>35</v>
      </c>
      <c r="B21" s="347" t="s">
        <v>192</v>
      </c>
      <c r="C21" s="347"/>
      <c r="D21" s="348"/>
      <c r="E21" s="348"/>
      <c r="F21" s="347"/>
      <c r="G21" s="347" t="s">
        <v>107</v>
      </c>
    </row>
    <row r="22" spans="1:11" ht="14.25">
      <c r="A22" s="261">
        <v>36</v>
      </c>
      <c r="B22" s="347" t="s">
        <v>193</v>
      </c>
      <c r="C22" s="347"/>
      <c r="D22" s="348"/>
      <c r="E22" s="348"/>
      <c r="F22" s="347"/>
      <c r="G22" s="347"/>
    </row>
    <row r="23" spans="1:11" ht="14.25">
      <c r="A23" s="27">
        <v>37</v>
      </c>
      <c r="B23" s="5" t="s">
        <v>111</v>
      </c>
      <c r="C23" s="5" t="s">
        <v>126</v>
      </c>
      <c r="D23" s="27">
        <v>90</v>
      </c>
      <c r="E23" s="27">
        <v>10</v>
      </c>
      <c r="F23" s="5" t="s">
        <v>311</v>
      </c>
      <c r="G23" s="5" t="str">
        <f>IF(Tabla!$A$1=0,"Comparación con año anterior y Benchmark","Comparación con Benchmarks")</f>
        <v>Comparación con año anterior y Benchmark</v>
      </c>
      <c r="K23" s="27">
        <v>0.98499999999999999</v>
      </c>
    </row>
    <row r="24" spans="1:11" ht="14.25">
      <c r="A24" s="261">
        <v>38</v>
      </c>
      <c r="B24" s="5" t="s">
        <v>386</v>
      </c>
      <c r="C24" s="5" t="s">
        <v>119</v>
      </c>
      <c r="D24" s="27">
        <v>28</v>
      </c>
      <c r="E24" s="27">
        <v>0</v>
      </c>
      <c r="F24" s="5" t="s">
        <v>311</v>
      </c>
      <c r="G24" s="5" t="str">
        <f>IF(Tabla!$A$1=0,"Comparación con año anterior y Benchmark","Comparación con Benchmarks")</f>
        <v>Comparación con año anterior y Benchmark</v>
      </c>
      <c r="K24" s="27">
        <v>1</v>
      </c>
    </row>
    <row r="25" spans="1:11" ht="15" customHeight="1">
      <c r="A25" s="261">
        <v>39</v>
      </c>
      <c r="B25" s="5" t="s">
        <v>112</v>
      </c>
      <c r="C25" s="5" t="s">
        <v>127</v>
      </c>
      <c r="D25" s="27">
        <v>90</v>
      </c>
      <c r="E25" s="27">
        <v>10</v>
      </c>
      <c r="F25" s="5" t="s">
        <v>311</v>
      </c>
      <c r="G25" s="5" t="str">
        <f>IF(Tabla!$A$1=0,"Comparación con año anterior y Benchmark","Comparación con Benchmarks")</f>
        <v>Comparación con año anterior y Benchmark</v>
      </c>
      <c r="K25" s="27">
        <v>0.98499999999999999</v>
      </c>
    </row>
    <row r="26" spans="1:11" ht="15" customHeight="1">
      <c r="A26" s="27">
        <v>40</v>
      </c>
      <c r="B26" s="5" t="s">
        <v>386</v>
      </c>
      <c r="C26" s="5" t="s">
        <v>120</v>
      </c>
      <c r="D26" s="27">
        <v>30</v>
      </c>
      <c r="E26" s="27">
        <v>0</v>
      </c>
      <c r="F26" s="5" t="s">
        <v>311</v>
      </c>
      <c r="G26" s="5" t="str">
        <f>IF(Tabla!$A$1=0,"Comparación con año anterior y Benchmark","Comparación con Benchmarks")</f>
        <v>Comparación con año anterior y Benchmark</v>
      </c>
      <c r="K26" s="27">
        <v>1</v>
      </c>
    </row>
    <row r="27" spans="1:11" ht="15" customHeight="1">
      <c r="A27" s="261">
        <v>41</v>
      </c>
      <c r="B27" s="5" t="s">
        <v>113</v>
      </c>
      <c r="C27" s="5" t="s">
        <v>125</v>
      </c>
      <c r="D27" s="27">
        <v>90</v>
      </c>
      <c r="E27" s="27">
        <v>10</v>
      </c>
      <c r="F27" s="5" t="s">
        <v>311</v>
      </c>
      <c r="G27" s="5" t="str">
        <f>IF(Tabla!$A$1=0,"Comparación con año anterior y Benchmark","Comparación con Benchmarks")</f>
        <v>Comparación con año anterior y Benchmark</v>
      </c>
      <c r="K27" s="27">
        <v>0.98499999999999999</v>
      </c>
    </row>
    <row r="28" spans="1:11" ht="15" customHeight="1">
      <c r="A28" s="261">
        <v>42</v>
      </c>
      <c r="B28" s="5" t="s">
        <v>386</v>
      </c>
      <c r="C28" s="5" t="s">
        <v>121</v>
      </c>
      <c r="D28" s="27">
        <v>15</v>
      </c>
      <c r="E28" s="27">
        <v>0</v>
      </c>
      <c r="F28" s="5" t="s">
        <v>740</v>
      </c>
      <c r="G28" s="5" t="str">
        <f>IF(Tabla!$A$1=0,"Comparación con año anterior y Benchmark","Comparación con Benchmarks")</f>
        <v>Comparación con año anterior y Benchmark</v>
      </c>
      <c r="K28" s="27">
        <v>1</v>
      </c>
    </row>
    <row r="29" spans="1:11" ht="15" customHeight="1">
      <c r="A29" s="27">
        <v>43</v>
      </c>
      <c r="B29" s="5" t="s">
        <v>114</v>
      </c>
      <c r="C29" s="5" t="s">
        <v>202</v>
      </c>
      <c r="D29" s="27">
        <v>90</v>
      </c>
      <c r="E29" s="27">
        <v>10</v>
      </c>
      <c r="F29" s="5" t="s">
        <v>311</v>
      </c>
      <c r="G29" s="5" t="str">
        <f>IF(Tabla!$A$1=0,"Comparación con año anterior y Benchmark","Comparación con Benchmarks")</f>
        <v>Comparación con año anterior y Benchmark</v>
      </c>
      <c r="K29" s="27">
        <v>0.98499999999999999</v>
      </c>
    </row>
    <row r="30" spans="1:11" ht="15" customHeight="1">
      <c r="A30" s="261">
        <v>44</v>
      </c>
      <c r="B30" s="5" t="s">
        <v>386</v>
      </c>
      <c r="C30" s="5" t="s">
        <v>122</v>
      </c>
      <c r="D30" s="27">
        <v>-20</v>
      </c>
      <c r="E30" s="27">
        <v>0</v>
      </c>
      <c r="F30" s="5" t="s">
        <v>311</v>
      </c>
      <c r="G30" s="5" t="str">
        <f>IF(Tabla!$A$1=0,"Comparación con año anterior y Benchmark","Comparación con Benchmarks")</f>
        <v>Comparación con año anterior y Benchmark</v>
      </c>
      <c r="K30" s="27">
        <v>1</v>
      </c>
    </row>
    <row r="31" spans="1:11" ht="15" customHeight="1">
      <c r="A31" s="261">
        <v>45</v>
      </c>
      <c r="B31" s="5" t="s">
        <v>115</v>
      </c>
      <c r="C31" s="5" t="s">
        <v>203</v>
      </c>
      <c r="D31" s="27">
        <v>90</v>
      </c>
      <c r="E31" s="27">
        <v>10</v>
      </c>
      <c r="F31" s="5" t="s">
        <v>311</v>
      </c>
      <c r="G31" s="5" t="str">
        <f>IF(Tabla!$A$1=0,"Comparación con año anterior y Benchmark","Comparación con Benchmarks")</f>
        <v>Comparación con año anterior y Benchmark</v>
      </c>
      <c r="K31" s="27">
        <v>0.98499999999999999</v>
      </c>
    </row>
    <row r="32" spans="1:11" ht="15" customHeight="1">
      <c r="A32" s="27">
        <v>46</v>
      </c>
      <c r="B32" s="5" t="s">
        <v>386</v>
      </c>
      <c r="C32" s="5" t="s">
        <v>123</v>
      </c>
      <c r="D32" s="27">
        <v>0</v>
      </c>
      <c r="E32" s="27">
        <v>0</v>
      </c>
      <c r="F32" s="5" t="s">
        <v>311</v>
      </c>
      <c r="G32" s="5" t="str">
        <f>IF(Tabla!$A$1=0,"Comparación con año anterior y Benchmark","Comparación con Benchmarks")</f>
        <v>Comparación con año anterior y Benchmark</v>
      </c>
      <c r="K32" s="27">
        <v>1</v>
      </c>
    </row>
    <row r="33" spans="1:13" ht="15" customHeight="1">
      <c r="A33" s="261">
        <v>47</v>
      </c>
      <c r="B33" s="5" t="s">
        <v>116</v>
      </c>
      <c r="C33" s="5" t="s">
        <v>124</v>
      </c>
      <c r="D33" s="27">
        <v>35</v>
      </c>
      <c r="E33" s="27">
        <v>-27</v>
      </c>
      <c r="K33" s="27">
        <v>0.97</v>
      </c>
      <c r="M33" s="27">
        <v>-26</v>
      </c>
    </row>
    <row r="34" spans="1:13" ht="15" customHeight="1">
      <c r="A34" s="261">
        <v>48</v>
      </c>
      <c r="B34" s="5" t="s">
        <v>116</v>
      </c>
      <c r="C34" s="5" t="s">
        <v>206</v>
      </c>
      <c r="D34" s="27">
        <v>32</v>
      </c>
      <c r="E34" s="27">
        <v>-55</v>
      </c>
      <c r="F34" s="5" t="s">
        <v>321</v>
      </c>
      <c r="G34" s="349">
        <f>ROUND(DetalleDimension!$N$31,0)</f>
        <v>83</v>
      </c>
      <c r="K34" s="27">
        <v>0.94</v>
      </c>
      <c r="M34" s="27">
        <v>-30</v>
      </c>
    </row>
    <row r="35" spans="1:13" ht="15" customHeight="1">
      <c r="A35" s="27">
        <v>49</v>
      </c>
      <c r="B35" s="347" t="s">
        <v>194</v>
      </c>
      <c r="C35" s="347"/>
      <c r="D35" s="348"/>
      <c r="E35" s="348"/>
      <c r="F35" s="347"/>
      <c r="G35" s="347"/>
    </row>
    <row r="36" spans="1:13" ht="15" customHeight="1">
      <c r="A36" s="261">
        <v>50</v>
      </c>
      <c r="B36" s="5" t="s">
        <v>117</v>
      </c>
      <c r="C36" s="5" t="s">
        <v>207</v>
      </c>
      <c r="D36" s="27">
        <v>51</v>
      </c>
      <c r="E36" s="27">
        <v>-70</v>
      </c>
      <c r="F36" s="5" t="s">
        <v>743</v>
      </c>
      <c r="G36" s="349">
        <f>ROUND(DetalleDimension!$N$31,0)</f>
        <v>83</v>
      </c>
      <c r="K36" s="27">
        <v>0.89700000000000002</v>
      </c>
    </row>
    <row r="37" spans="1:13" ht="15" customHeight="1">
      <c r="A37" s="261">
        <v>51</v>
      </c>
      <c r="B37" s="5" t="s">
        <v>118</v>
      </c>
      <c r="C37" s="5" t="s">
        <v>208</v>
      </c>
      <c r="D37" s="27">
        <v>54</v>
      </c>
      <c r="E37" s="27">
        <v>-70</v>
      </c>
      <c r="F37" s="5" t="s">
        <v>720</v>
      </c>
      <c r="G37" s="349">
        <f>ROUND(DetalleDimension!$N$31,0)</f>
        <v>83</v>
      </c>
      <c r="K37" s="27">
        <v>0.89700000000000002</v>
      </c>
    </row>
    <row r="38" spans="1:13" ht="15" customHeight="1">
      <c r="A38" s="27">
        <v>52</v>
      </c>
      <c r="B38" s="347" t="s">
        <v>199</v>
      </c>
      <c r="C38" s="347"/>
      <c r="D38" s="348"/>
      <c r="E38" s="348"/>
      <c r="F38" s="347"/>
      <c r="G38" s="347"/>
    </row>
    <row r="39" spans="1:13" ht="15" customHeight="1">
      <c r="A39" s="261">
        <v>53</v>
      </c>
      <c r="B39" s="5" t="s">
        <v>376</v>
      </c>
      <c r="C39" s="350" t="str">
        <f>VLOOKUP(C3,Demo!$A$2:$F$31,6,0)</f>
        <v>Demo1</v>
      </c>
      <c r="D39" s="27">
        <v>49</v>
      </c>
      <c r="E39" s="27">
        <v>-20</v>
      </c>
      <c r="F39" s="5" t="s">
        <v>423</v>
      </c>
      <c r="G39" s="5" t="str">
        <f>"Resultados por "&amp;VLOOKUP(C39,Demo!$F$2:$G$31,2,0)</f>
        <v>Resultados por Edad</v>
      </c>
      <c r="I39" s="5" t="str">
        <f>IF(Tabla!$A$1=0,"CHIST0","CHIST1")</f>
        <v>CHIST0</v>
      </c>
      <c r="K39" s="27">
        <v>0.94199999999999995</v>
      </c>
    </row>
    <row r="40" spans="1:13" ht="15" customHeight="1">
      <c r="A40" s="261">
        <v>54</v>
      </c>
      <c r="B40" s="5" t="s">
        <v>377</v>
      </c>
      <c r="C40" s="350" t="str">
        <f>VLOOKUP(C4,Demo!$A$2:$F$31,6,0)</f>
        <v>Demo2</v>
      </c>
      <c r="D40" s="27">
        <v>49</v>
      </c>
      <c r="E40" s="27">
        <v>-20</v>
      </c>
      <c r="F40" s="5" t="s">
        <v>423</v>
      </c>
      <c r="G40" s="5" t="str">
        <f>"Resultados por "&amp;VLOOKUP(C40,Demo!$F$2:$G$31,2,0)</f>
        <v>Resultados por Género</v>
      </c>
      <c r="I40" s="5" t="str">
        <f>IF(Tabla!$A$1=0,"CHIST0","CHIST1")</f>
        <v>CHIST0</v>
      </c>
      <c r="K40" s="27">
        <v>0.94199999999999995</v>
      </c>
    </row>
    <row r="41" spans="1:13" ht="15" customHeight="1">
      <c r="A41" s="27">
        <v>55</v>
      </c>
      <c r="B41" s="5" t="s">
        <v>378</v>
      </c>
      <c r="C41" s="350" t="str">
        <f>VLOOKUP(C5,Demo!$A$2:$F$31,6,0)</f>
        <v>Demo3</v>
      </c>
      <c r="D41" s="27">
        <v>49</v>
      </c>
      <c r="E41" s="27">
        <v>-20</v>
      </c>
      <c r="F41" s="5" t="s">
        <v>423</v>
      </c>
      <c r="G41" s="5" t="str">
        <f>"Resultados por "&amp;VLOOKUP(C41,Demo!$F$2:$G$31,2,0)</f>
        <v>Resultados por Nivel de Estudios</v>
      </c>
      <c r="I41" s="5" t="str">
        <f>IF(Tabla!$A$1=0,"CHIST0","CHIST1")</f>
        <v>CHIST0</v>
      </c>
      <c r="K41" s="27">
        <v>0.94199999999999995</v>
      </c>
    </row>
    <row r="42" spans="1:13" ht="15" customHeight="1">
      <c r="A42" s="261">
        <v>56</v>
      </c>
      <c r="B42" s="5" t="s">
        <v>375</v>
      </c>
      <c r="C42" s="350" t="str">
        <f>VLOOKUP(C6,Demo!$A$2:$F$31,6,0)</f>
        <v>Demo4</v>
      </c>
      <c r="D42" s="27">
        <v>49</v>
      </c>
      <c r="E42" s="27">
        <v>-20</v>
      </c>
      <c r="F42" s="5" t="s">
        <v>423</v>
      </c>
      <c r="G42" s="5" t="str">
        <f>"Resultados por "&amp;VLOOKUP(C42,Demo!$F$2:$G$31,2,0)</f>
        <v>Resultados por Cargo</v>
      </c>
      <c r="I42" s="5" t="str">
        <f>IF(Tabla!$A$1=0,"CHIST0","CHIST1")</f>
        <v>CHIST0</v>
      </c>
      <c r="K42" s="27">
        <v>0.94199999999999995</v>
      </c>
    </row>
    <row r="43" spans="1:13" ht="15" customHeight="1">
      <c r="A43" s="261">
        <v>57</v>
      </c>
      <c r="B43" s="5" t="s">
        <v>379</v>
      </c>
      <c r="C43" s="350" t="str">
        <f>VLOOKUP(C7,Demo!$A$2:$F$31,6,0)</f>
        <v>Demo5</v>
      </c>
      <c r="D43" s="27">
        <v>49</v>
      </c>
      <c r="E43" s="27">
        <v>-20</v>
      </c>
      <c r="F43" s="5" t="s">
        <v>423</v>
      </c>
      <c r="G43" s="5" t="str">
        <f>"Resultados por "&amp;VLOOKUP(C43,Demo!$F$2:$G$31,2,0)</f>
        <v>Resultados por Antigüedad</v>
      </c>
      <c r="I43" s="5" t="str">
        <f>IF(Tabla!$A$1=0,"CHIST0","CHIST1")</f>
        <v>CHIST0</v>
      </c>
      <c r="K43" s="27">
        <v>0.94199999999999995</v>
      </c>
    </row>
    <row r="44" spans="1:13" ht="15" customHeight="1">
      <c r="A44" s="27">
        <v>58</v>
      </c>
      <c r="B44" s="5" t="s">
        <v>382</v>
      </c>
      <c r="C44" s="350" t="str">
        <f>VLOOKUP(C8,Demo!$A$2:$F$31,6,0)</f>
        <v>Demo6</v>
      </c>
      <c r="D44" s="27">
        <v>49</v>
      </c>
      <c r="E44" s="27">
        <v>-20</v>
      </c>
      <c r="F44" s="5" t="s">
        <v>423</v>
      </c>
      <c r="G44" s="5" t="str">
        <f>"Resultados por "&amp;VLOOKUP(C44,Demo!$F$2:$G$31,2,0)</f>
        <v>Resultados por Jornada Laboral</v>
      </c>
      <c r="I44" s="5" t="str">
        <f>IF(Tabla!$A$1=0,"CHIST0","CHIST1")</f>
        <v>CHIST0</v>
      </c>
      <c r="K44" s="27">
        <v>0.94199999999999995</v>
      </c>
    </row>
    <row r="45" spans="1:13" ht="15" customHeight="1">
      <c r="A45" s="261">
        <v>59</v>
      </c>
      <c r="B45" s="5" t="s">
        <v>823</v>
      </c>
      <c r="C45" s="350" t="str">
        <f>VLOOKUP(C9,Demo!$A$2:$F$31,6,0)</f>
        <v>Demo7</v>
      </c>
      <c r="D45" s="27">
        <v>49</v>
      </c>
      <c r="E45" s="27">
        <v>-20</v>
      </c>
      <c r="F45" s="5" t="s">
        <v>423</v>
      </c>
      <c r="G45" s="5" t="str">
        <f>"Resultados por "&amp;VLOOKUP(C45,Demo!$F$2:$G$31,2,0)</f>
        <v>Resultados por Área</v>
      </c>
      <c r="I45" s="5" t="str">
        <f>IF(Tabla!$A$1=0,"CHIST0","CHIST1")</f>
        <v>CHIST0</v>
      </c>
      <c r="K45" s="27">
        <v>0.94199999999999995</v>
      </c>
    </row>
    <row r="46" spans="1:13" ht="15" customHeight="1">
      <c r="A46" s="261">
        <v>60</v>
      </c>
      <c r="B46" s="5" t="s">
        <v>824</v>
      </c>
      <c r="C46" s="350" t="str">
        <f>VLOOKUP(C10,Demo!$A$2:$F$31,6,0)</f>
        <v>Demo8</v>
      </c>
      <c r="D46" s="27">
        <v>49</v>
      </c>
      <c r="E46" s="27">
        <v>-20</v>
      </c>
      <c r="F46" s="5" t="s">
        <v>423</v>
      </c>
      <c r="G46" s="5" t="str">
        <f>"Resultados por "&amp;VLOOKUP(C46,Demo!$F$2:$G$31,2,0)</f>
        <v>Resultados por Área1</v>
      </c>
      <c r="I46" s="5" t="str">
        <f>IF(Tabla!$A$1=0,"CHIST0","CHIST1")</f>
        <v>CHIST0</v>
      </c>
      <c r="K46" s="27">
        <v>0.94199999999999995</v>
      </c>
    </row>
    <row r="47" spans="1:13" ht="15" customHeight="1">
      <c r="A47" s="27">
        <v>61</v>
      </c>
      <c r="B47" s="5" t="s">
        <v>825</v>
      </c>
      <c r="C47" s="350" t="str">
        <f>VLOOKUP(C11,Demo!$A$2:$F$31,6,0)</f>
        <v>Demo9</v>
      </c>
      <c r="D47" s="27">
        <v>49</v>
      </c>
      <c r="E47" s="27">
        <v>-20</v>
      </c>
      <c r="F47" s="5" t="s">
        <v>423</v>
      </c>
      <c r="G47" s="5" t="str">
        <f>"Resultados por "&amp;VLOOKUP(C47,Demo!$F$2:$G$31,2,0)</f>
        <v>Resultados por Área2</v>
      </c>
      <c r="I47" s="5" t="str">
        <f>IF(Tabla!$A$1=0,"CHIST0","CHIST1")</f>
        <v>CHIST0</v>
      </c>
      <c r="K47" s="27">
        <v>0.94199999999999995</v>
      </c>
    </row>
    <row r="48" spans="1:13" ht="15" customHeight="1">
      <c r="A48" s="261">
        <v>62</v>
      </c>
      <c r="B48" s="5" t="s">
        <v>381</v>
      </c>
      <c r="C48" s="350" t="str">
        <f>VLOOKUP(C12,Demo!$A$2:$F$31,6,0)</f>
        <v>Demo10</v>
      </c>
      <c r="D48" s="27">
        <v>49</v>
      </c>
      <c r="E48" s="27">
        <v>-20</v>
      </c>
      <c r="F48" s="5" t="s">
        <v>423</v>
      </c>
      <c r="G48" s="5" t="str">
        <f>"Resultados por "&amp;VLOOKUP(C48,Demo!$F$2:$G$31,2,0)</f>
        <v>Resultados por Indique la cantidad de reuniones que ha tenido con su jefe para conversar sobre su desempeño durante los últimos 12 meses</v>
      </c>
      <c r="I48" s="5" t="str">
        <f>IF(Tabla!$A$1=0,"CHIST0","CHIST1")</f>
        <v>CHIST0</v>
      </c>
      <c r="K48" s="27">
        <v>0.94199999999999995</v>
      </c>
    </row>
    <row r="49" spans="1:11" ht="15" customHeight="1">
      <c r="A49" s="261">
        <v>63</v>
      </c>
      <c r="B49" s="5" t="s">
        <v>381</v>
      </c>
      <c r="C49" s="350" t="str">
        <f>VLOOKUP(C13,Demo!$A$2:$F$31,6,0)</f>
        <v>Demo11</v>
      </c>
      <c r="D49" s="27">
        <v>49</v>
      </c>
      <c r="E49" s="27">
        <v>-20</v>
      </c>
      <c r="F49" s="5" t="s">
        <v>423</v>
      </c>
      <c r="G49" s="5" t="str">
        <f>"Resultados por "&amp;VLOOKUP(C49,Demo!$F$2:$G$31,2,0)</f>
        <v>Resultados por El principal motivo por el que permanezco en esta empresa es</v>
      </c>
      <c r="I49" s="5" t="str">
        <f>IF(Tabla!$A$1=0,"CHIST0","CHIST1")</f>
        <v>CHIST0</v>
      </c>
      <c r="K49" s="27">
        <v>0.94199999999999995</v>
      </c>
    </row>
    <row r="50" spans="1:11" ht="15" customHeight="1">
      <c r="A50" s="27">
        <v>64</v>
      </c>
      <c r="B50" s="5" t="s">
        <v>381</v>
      </c>
      <c r="C50" s="350" t="str">
        <f>VLOOKUP(C14,Demo!$A$2:$F$31,6,0)</f>
        <v>Demo12</v>
      </c>
      <c r="D50" s="27">
        <v>49</v>
      </c>
      <c r="E50" s="27">
        <v>-20</v>
      </c>
      <c r="F50" s="5" t="s">
        <v>423</v>
      </c>
      <c r="G50" s="5" t="str">
        <f>"Resultados por "&amp;VLOOKUP(C50,Demo!$F$2:$G$31,2,0)</f>
        <v>Resultados por Género</v>
      </c>
      <c r="I50" s="5" t="str">
        <f>IF(Tabla!$A$1=0,"CHIST0","CHIST1")</f>
        <v>CHIST0</v>
      </c>
      <c r="K50" s="27">
        <v>0.94199999999999995</v>
      </c>
    </row>
    <row r="51" spans="1:11" ht="15" customHeight="1">
      <c r="A51" s="261">
        <v>65</v>
      </c>
      <c r="B51" s="5" t="s">
        <v>383</v>
      </c>
      <c r="C51" s="351" t="s">
        <v>177</v>
      </c>
      <c r="E51" s="27">
        <v>-20</v>
      </c>
      <c r="G51" s="5" t="str">
        <f>VLOOKUP(C51,Demo!$A$2:$D$31,2,0)</f>
        <v>Indique la cantidad de reuniones que ha tenido con su jefe para conversar sobre su desempeño durante los últimos 12 meses</v>
      </c>
      <c r="K51" s="27">
        <v>0.93500000000000005</v>
      </c>
    </row>
    <row r="52" spans="1:11" ht="15" customHeight="1">
      <c r="A52" s="261">
        <v>66</v>
      </c>
      <c r="B52" s="5" t="s">
        <v>384</v>
      </c>
      <c r="C52" s="350" t="str">
        <f>VLOOKUP(C51,Demo!$A$2:$G$31,6,0)</f>
        <v>Demo10</v>
      </c>
      <c r="D52" s="27">
        <v>49</v>
      </c>
      <c r="E52" s="27">
        <v>-20</v>
      </c>
      <c r="G52" s="5" t="str">
        <f>VLOOKUP(C52,Demo!$F$2:$G$31,2,0)</f>
        <v>Indique la cantidad de reuniones que ha tenido con su jefe para conversar sobre su desempeño durante los últimos 12 meses</v>
      </c>
      <c r="I52" s="5" t="str">
        <f>IF(Tabla!$A$1=0,"CHIST0","CHIST1")</f>
        <v>CHIST0</v>
      </c>
      <c r="K52" s="27">
        <v>0.94199999999999995</v>
      </c>
    </row>
    <row r="53" spans="1:11" ht="15" customHeight="1">
      <c r="A53" s="27">
        <v>67</v>
      </c>
      <c r="B53" s="5" t="s">
        <v>198</v>
      </c>
      <c r="C53" s="350" t="s">
        <v>262</v>
      </c>
      <c r="D53" s="27">
        <v>35</v>
      </c>
      <c r="E53" s="27">
        <v>5</v>
      </c>
      <c r="K53" s="27">
        <v>0.9</v>
      </c>
    </row>
    <row r="54" spans="1:11" ht="15" customHeight="1">
      <c r="A54" s="261">
        <v>68</v>
      </c>
      <c r="B54" s="5" t="s">
        <v>453</v>
      </c>
      <c r="C54" s="350" t="s">
        <v>477</v>
      </c>
      <c r="D54" s="27">
        <v>50</v>
      </c>
      <c r="E54" s="27">
        <v>80</v>
      </c>
      <c r="I54" s="5" t="str">
        <f>IF(Tabla!$A$1=0,"CHIST0","CHIST1")</f>
        <v>CHIST0</v>
      </c>
      <c r="K54" s="27">
        <v>0.83699999999999997</v>
      </c>
    </row>
    <row r="55" spans="1:11" ht="15" customHeight="1">
      <c r="A55" s="261">
        <v>69</v>
      </c>
      <c r="B55" s="5" t="s">
        <v>874</v>
      </c>
      <c r="C55" s="351" t="s">
        <v>174</v>
      </c>
      <c r="E55" s="27">
        <v>-20</v>
      </c>
      <c r="G55" s="5" t="str">
        <f>VLOOKUP(C55,Demo!$A$2:$D$31,2,0)</f>
        <v>Área</v>
      </c>
      <c r="K55" s="27">
        <v>0.93500000000000005</v>
      </c>
    </row>
    <row r="56" spans="1:11" ht="15" customHeight="1">
      <c r="A56" s="27">
        <v>70</v>
      </c>
      <c r="B56" s="5" t="s">
        <v>875</v>
      </c>
      <c r="C56" s="350" t="str">
        <f>VLOOKUP(C55,Demo!$A$2:$G$31,6,0)</f>
        <v>Demo7</v>
      </c>
      <c r="D56" s="27">
        <v>49</v>
      </c>
      <c r="E56" s="27">
        <v>-20</v>
      </c>
      <c r="G56" s="5" t="str">
        <f>VLOOKUP(C56,Demo!$F$2:$G$31,2,0)</f>
        <v>Área</v>
      </c>
      <c r="I56" s="5" t="str">
        <f>IF(Tabla!$A$1=0,"CHIST0","CHIST1")</f>
        <v>CHIST0</v>
      </c>
      <c r="K56" s="27">
        <v>0.94199999999999995</v>
      </c>
    </row>
    <row r="57" spans="1:11" ht="15" customHeight="1">
      <c r="A57" s="27">
        <v>71</v>
      </c>
      <c r="B57" s="5" t="s">
        <v>876</v>
      </c>
      <c r="C57" s="350"/>
      <c r="E57" s="27">
        <v>-20</v>
      </c>
      <c r="K57" s="27">
        <v>0.93500000000000005</v>
      </c>
    </row>
    <row r="58" spans="1:11" ht="15" customHeight="1">
      <c r="C58" s="350"/>
    </row>
    <row r="60" spans="1:11" ht="15" customHeight="1">
      <c r="B60" s="5" t="s">
        <v>375</v>
      </c>
    </row>
    <row r="61" spans="1:11" ht="15" customHeight="1">
      <c r="B61" s="5" t="s">
        <v>376</v>
      </c>
    </row>
    <row r="62" spans="1:11" ht="15" customHeight="1">
      <c r="B62" s="5" t="s">
        <v>377</v>
      </c>
      <c r="I62" s="27"/>
      <c r="J62" s="27"/>
    </row>
    <row r="63" spans="1:11" ht="15" customHeight="1">
      <c r="B63" s="5" t="s">
        <v>378</v>
      </c>
      <c r="I63" s="27"/>
      <c r="J63" s="27"/>
    </row>
    <row r="64" spans="1:11" ht="15" customHeight="1">
      <c r="B64" s="5" t="s">
        <v>379</v>
      </c>
    </row>
    <row r="65" spans="2:2" ht="15" customHeight="1">
      <c r="B65" s="5" t="s">
        <v>380</v>
      </c>
    </row>
    <row r="66" spans="2:2" ht="15" customHeight="1">
      <c r="B66" s="5" t="s">
        <v>381</v>
      </c>
    </row>
    <row r="67" spans="2:2" ht="15" customHeight="1">
      <c r="B67" s="5" t="s">
        <v>382</v>
      </c>
    </row>
    <row r="68" spans="2:2" ht="15" customHeight="1">
      <c r="B68" s="5" t="s">
        <v>379</v>
      </c>
    </row>
    <row r="69" spans="2:2" ht="15" customHeight="1">
      <c r="B69" s="5" t="s">
        <v>380</v>
      </c>
    </row>
    <row r="70" spans="2:2" ht="15" customHeight="1">
      <c r="B70" s="5" t="s">
        <v>381</v>
      </c>
    </row>
    <row r="71" spans="2:2" ht="15" customHeight="1">
      <c r="B71" s="5" t="s">
        <v>382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A99"/>
  <sheetViews>
    <sheetView topLeftCell="F55" workbookViewId="0">
      <selection activeCell="U63" sqref="U63"/>
    </sheetView>
  </sheetViews>
  <sheetFormatPr baseColWidth="10" defaultColWidth="11.42578125" defaultRowHeight="14.25"/>
  <cols>
    <col min="1" max="16384" width="11.42578125" style="5"/>
  </cols>
  <sheetData>
    <row r="1" spans="1:27">
      <c r="A1" s="5">
        <v>1</v>
      </c>
      <c r="B1" s="5" t="s">
        <v>423</v>
      </c>
      <c r="C1" s="5" t="s">
        <v>311</v>
      </c>
      <c r="D1" s="5" t="s">
        <v>295</v>
      </c>
      <c r="E1" s="5" t="s">
        <v>669</v>
      </c>
    </row>
    <row r="2" spans="1:27">
      <c r="A2" s="5">
        <v>2</v>
      </c>
      <c r="B2" s="5" t="s">
        <v>411</v>
      </c>
      <c r="C2" s="5" t="s">
        <v>387</v>
      </c>
      <c r="D2" s="5" t="s">
        <v>387</v>
      </c>
      <c r="E2" s="5" t="s">
        <v>670</v>
      </c>
      <c r="F2" s="5" t="s">
        <v>295</v>
      </c>
      <c r="G2" s="5" t="s">
        <v>671</v>
      </c>
      <c r="H2" s="5" t="s">
        <v>387</v>
      </c>
      <c r="I2" s="5" t="s">
        <v>672</v>
      </c>
    </row>
    <row r="3" spans="1:27">
      <c r="A3" s="5">
        <v>3</v>
      </c>
      <c r="B3" s="5" t="s">
        <v>313</v>
      </c>
      <c r="C3" s="5" t="s">
        <v>314</v>
      </c>
      <c r="D3" s="5" t="s">
        <v>673</v>
      </c>
      <c r="E3" s="5" t="s">
        <v>674</v>
      </c>
      <c r="F3" s="5" t="s">
        <v>675</v>
      </c>
      <c r="G3" s="5" t="s">
        <v>676</v>
      </c>
      <c r="H3" s="5" t="s">
        <v>677</v>
      </c>
      <c r="I3" s="5" t="s">
        <v>678</v>
      </c>
      <c r="J3" s="5" t="s">
        <v>679</v>
      </c>
      <c r="K3" s="5" t="s">
        <v>680</v>
      </c>
      <c r="L3" s="5" t="s">
        <v>677</v>
      </c>
      <c r="M3" s="5" t="s">
        <v>681</v>
      </c>
      <c r="N3" s="5" t="s">
        <v>682</v>
      </c>
      <c r="O3" s="5" t="s">
        <v>680</v>
      </c>
      <c r="P3" s="5" t="s">
        <v>677</v>
      </c>
      <c r="Q3" s="5" t="s">
        <v>683</v>
      </c>
      <c r="R3" s="5" t="s">
        <v>684</v>
      </c>
      <c r="S3" s="5" t="s">
        <v>685</v>
      </c>
      <c r="T3" s="5" t="s">
        <v>678</v>
      </c>
      <c r="U3" s="5" t="s">
        <v>686</v>
      </c>
      <c r="V3" s="5" t="s">
        <v>680</v>
      </c>
      <c r="W3" s="5" t="s">
        <v>677</v>
      </c>
      <c r="X3" s="5" t="s">
        <v>687</v>
      </c>
      <c r="Y3" s="5" t="s">
        <v>680</v>
      </c>
      <c r="Z3" s="5" t="s">
        <v>677</v>
      </c>
      <c r="AA3" s="5" t="s">
        <v>688</v>
      </c>
    </row>
    <row r="4" spans="1:27">
      <c r="A4" s="5">
        <v>4</v>
      </c>
      <c r="B4" s="5" t="s">
        <v>689</v>
      </c>
      <c r="C4" s="5" t="s">
        <v>411</v>
      </c>
      <c r="D4" s="5" t="s">
        <v>387</v>
      </c>
      <c r="E4" s="5" t="s">
        <v>387</v>
      </c>
      <c r="F4" s="5" t="s">
        <v>315</v>
      </c>
      <c r="G4" s="5" t="s">
        <v>295</v>
      </c>
      <c r="H4" s="5" t="s">
        <v>671</v>
      </c>
      <c r="I4" s="5" t="s">
        <v>387</v>
      </c>
      <c r="J4" s="5" t="s">
        <v>690</v>
      </c>
    </row>
    <row r="5" spans="1:27">
      <c r="A5" s="5">
        <v>5</v>
      </c>
      <c r="B5" s="5" t="s">
        <v>691</v>
      </c>
      <c r="C5" s="5" t="s">
        <v>692</v>
      </c>
      <c r="D5" s="5" t="s">
        <v>693</v>
      </c>
      <c r="E5" s="5" t="s">
        <v>297</v>
      </c>
      <c r="F5" s="5" t="s">
        <v>694</v>
      </c>
      <c r="G5" s="5" t="s">
        <v>695</v>
      </c>
      <c r="H5" s="5" t="s">
        <v>696</v>
      </c>
      <c r="I5" s="5" t="s">
        <v>415</v>
      </c>
      <c r="J5" s="5" t="s">
        <v>697</v>
      </c>
      <c r="K5" s="5" t="s">
        <v>698</v>
      </c>
    </row>
    <row r="6" spans="1:27">
      <c r="A6" s="5">
        <v>6</v>
      </c>
      <c r="B6" s="5" t="s">
        <v>294</v>
      </c>
      <c r="C6" s="5" t="s">
        <v>391</v>
      </c>
      <c r="D6" s="5" t="s">
        <v>423</v>
      </c>
      <c r="E6" s="5" t="s">
        <v>415</v>
      </c>
      <c r="F6" s="5" t="s">
        <v>672</v>
      </c>
      <c r="G6" s="5" t="s">
        <v>699</v>
      </c>
      <c r="H6" s="5" t="s">
        <v>426</v>
      </c>
      <c r="I6" s="5" t="s">
        <v>391</v>
      </c>
      <c r="J6" s="5" t="s">
        <v>416</v>
      </c>
      <c r="K6" s="5" t="s">
        <v>391</v>
      </c>
      <c r="L6" s="5" t="s">
        <v>417</v>
      </c>
      <c r="M6" s="5" t="s">
        <v>391</v>
      </c>
      <c r="N6" s="5" t="s">
        <v>391</v>
      </c>
      <c r="O6" s="5" t="s">
        <v>418</v>
      </c>
      <c r="P6" s="5" t="s">
        <v>391</v>
      </c>
      <c r="Q6" s="5" t="s">
        <v>419</v>
      </c>
      <c r="R6" s="5" t="s">
        <v>391</v>
      </c>
      <c r="S6" s="5" t="s">
        <v>391</v>
      </c>
      <c r="T6" s="5" t="s">
        <v>420</v>
      </c>
      <c r="U6" s="5" t="s">
        <v>391</v>
      </c>
      <c r="V6" s="5" t="s">
        <v>391</v>
      </c>
      <c r="W6" s="5" t="s">
        <v>697</v>
      </c>
    </row>
    <row r="7" spans="1:27">
      <c r="A7" s="5">
        <v>7</v>
      </c>
      <c r="B7" s="5" t="s">
        <v>423</v>
      </c>
      <c r="C7" s="5" t="s">
        <v>672</v>
      </c>
      <c r="D7" s="5" t="s">
        <v>700</v>
      </c>
      <c r="E7" s="5" t="s">
        <v>426</v>
      </c>
      <c r="F7" s="5" t="s">
        <v>701</v>
      </c>
      <c r="G7" s="5" t="s">
        <v>298</v>
      </c>
    </row>
    <row r="8" spans="1:27">
      <c r="A8" s="5">
        <v>8</v>
      </c>
      <c r="B8" s="5" t="s">
        <v>423</v>
      </c>
      <c r="C8" s="5" t="s">
        <v>311</v>
      </c>
      <c r="D8" s="5" t="s">
        <v>396</v>
      </c>
      <c r="E8" s="5" t="s">
        <v>702</v>
      </c>
      <c r="F8" s="5" t="s">
        <v>693</v>
      </c>
      <c r="G8" s="5" t="s">
        <v>298</v>
      </c>
    </row>
    <row r="9" spans="1:27">
      <c r="A9" s="5">
        <v>9</v>
      </c>
      <c r="B9" s="5" t="s">
        <v>423</v>
      </c>
      <c r="C9" s="5" t="s">
        <v>426</v>
      </c>
      <c r="D9" s="5" t="s">
        <v>396</v>
      </c>
      <c r="E9" s="5" t="s">
        <v>672</v>
      </c>
      <c r="F9" s="5" t="s">
        <v>703</v>
      </c>
      <c r="G9" s="5" t="s">
        <v>704</v>
      </c>
    </row>
    <row r="10" spans="1:27">
      <c r="A10" s="5">
        <v>10</v>
      </c>
      <c r="B10" s="5" t="s">
        <v>423</v>
      </c>
      <c r="C10" s="5" t="s">
        <v>311</v>
      </c>
      <c r="D10" s="5" t="s">
        <v>396</v>
      </c>
      <c r="E10" s="5" t="s">
        <v>692</v>
      </c>
      <c r="F10" s="5" t="s">
        <v>700</v>
      </c>
      <c r="G10" s="5" t="s">
        <v>298</v>
      </c>
    </row>
    <row r="11" spans="1:27">
      <c r="A11" s="5">
        <v>11</v>
      </c>
      <c r="B11" s="5" t="s">
        <v>423</v>
      </c>
      <c r="C11" s="5" t="s">
        <v>311</v>
      </c>
      <c r="D11" s="5" t="s">
        <v>396</v>
      </c>
      <c r="E11" s="5" t="s">
        <v>669</v>
      </c>
      <c r="F11" s="5" t="s">
        <v>703</v>
      </c>
      <c r="G11" s="5" t="s">
        <v>298</v>
      </c>
    </row>
    <row r="12" spans="1:27">
      <c r="A12" s="5">
        <v>12</v>
      </c>
      <c r="B12" s="5" t="s">
        <v>423</v>
      </c>
      <c r="C12" s="5" t="s">
        <v>311</v>
      </c>
      <c r="D12" s="5" t="s">
        <v>705</v>
      </c>
      <c r="E12" s="5" t="s">
        <v>706</v>
      </c>
      <c r="F12" s="5" t="s">
        <v>669</v>
      </c>
      <c r="G12" s="5" t="s">
        <v>703</v>
      </c>
    </row>
    <row r="13" spans="1:27">
      <c r="A13" s="5">
        <v>13</v>
      </c>
      <c r="B13" s="5" t="s">
        <v>423</v>
      </c>
      <c r="C13" s="5" t="s">
        <v>311</v>
      </c>
      <c r="D13" s="5" t="s">
        <v>707</v>
      </c>
      <c r="E13" s="5" t="s">
        <v>705</v>
      </c>
      <c r="F13" s="5" t="s">
        <v>669</v>
      </c>
      <c r="G13" s="5" t="s">
        <v>703</v>
      </c>
    </row>
    <row r="14" spans="1:27">
      <c r="A14" s="5">
        <v>14</v>
      </c>
      <c r="B14" s="5" t="s">
        <v>423</v>
      </c>
      <c r="C14" s="5" t="s">
        <v>311</v>
      </c>
      <c r="D14" s="5" t="s">
        <v>707</v>
      </c>
      <c r="E14" s="5" t="s">
        <v>708</v>
      </c>
      <c r="F14" s="5" t="s">
        <v>669</v>
      </c>
      <c r="G14" s="5" t="s">
        <v>703</v>
      </c>
    </row>
    <row r="15" spans="1:27">
      <c r="A15" s="5">
        <v>15</v>
      </c>
      <c r="B15" s="5" t="s">
        <v>423</v>
      </c>
      <c r="C15" s="5" t="s">
        <v>311</v>
      </c>
      <c r="D15" s="5" t="s">
        <v>707</v>
      </c>
      <c r="E15" s="5" t="s">
        <v>669</v>
      </c>
      <c r="F15" s="5" t="s">
        <v>703</v>
      </c>
    </row>
    <row r="16" spans="1:27">
      <c r="A16" s="5">
        <v>16</v>
      </c>
      <c r="B16" s="5" t="s">
        <v>689</v>
      </c>
      <c r="C16" s="5" t="s">
        <v>411</v>
      </c>
      <c r="D16" s="5" t="s">
        <v>387</v>
      </c>
      <c r="E16" s="5" t="s">
        <v>387</v>
      </c>
      <c r="F16" s="5" t="s">
        <v>315</v>
      </c>
      <c r="G16" s="5" t="s">
        <v>295</v>
      </c>
      <c r="H16" s="5" t="s">
        <v>671</v>
      </c>
      <c r="I16" s="5" t="s">
        <v>387</v>
      </c>
      <c r="J16" s="5" t="s">
        <v>690</v>
      </c>
    </row>
    <row r="17" spans="1:23">
      <c r="A17" s="5">
        <v>17</v>
      </c>
      <c r="B17" s="5" t="s">
        <v>423</v>
      </c>
      <c r="C17" s="5" t="s">
        <v>311</v>
      </c>
      <c r="D17" s="5" t="s">
        <v>709</v>
      </c>
      <c r="E17" s="5" t="s">
        <v>710</v>
      </c>
      <c r="F17" s="5" t="s">
        <v>711</v>
      </c>
      <c r="G17" s="5" t="s">
        <v>321</v>
      </c>
      <c r="H17" s="5" t="s">
        <v>392</v>
      </c>
      <c r="I17" s="5" t="s">
        <v>395</v>
      </c>
      <c r="J17" s="5" t="s">
        <v>712</v>
      </c>
      <c r="K17" s="5" t="s">
        <v>692</v>
      </c>
      <c r="L17" s="5" t="s">
        <v>713</v>
      </c>
    </row>
    <row r="18" spans="1:23">
      <c r="A18" s="5">
        <v>18</v>
      </c>
      <c r="B18" s="5" t="s">
        <v>423</v>
      </c>
      <c r="C18" s="5" t="s">
        <v>714</v>
      </c>
      <c r="D18" s="5" t="s">
        <v>715</v>
      </c>
      <c r="E18" s="5" t="s">
        <v>716</v>
      </c>
      <c r="F18" s="5" t="s">
        <v>421</v>
      </c>
      <c r="G18" s="5" t="s">
        <v>717</v>
      </c>
      <c r="H18" s="5" t="s">
        <v>316</v>
      </c>
      <c r="I18" s="5" t="s">
        <v>718</v>
      </c>
      <c r="J18" s="5" t="s">
        <v>309</v>
      </c>
      <c r="K18" s="5" t="s">
        <v>310</v>
      </c>
      <c r="L18" s="5" t="s">
        <v>719</v>
      </c>
      <c r="M18" s="5" t="s">
        <v>319</v>
      </c>
      <c r="N18" s="5" t="s">
        <v>320</v>
      </c>
      <c r="O18" s="5" t="s">
        <v>697</v>
      </c>
      <c r="P18" s="5" t="s">
        <v>698</v>
      </c>
      <c r="Q18" s="5" t="s">
        <v>720</v>
      </c>
      <c r="R18" s="5" t="s">
        <v>721</v>
      </c>
      <c r="S18" s="5" t="s">
        <v>306</v>
      </c>
      <c r="T18" s="5" t="s">
        <v>303</v>
      </c>
      <c r="U18" s="5" t="s">
        <v>393</v>
      </c>
      <c r="V18" s="5" t="s">
        <v>672</v>
      </c>
      <c r="W18" s="5" t="s">
        <v>700</v>
      </c>
    </row>
    <row r="19" spans="1:23">
      <c r="A19" s="5">
        <v>19</v>
      </c>
      <c r="B19" s="5" t="s">
        <v>423</v>
      </c>
      <c r="C19" s="5" t="s">
        <v>722</v>
      </c>
      <c r="D19" s="5" t="s">
        <v>723</v>
      </c>
      <c r="E19" s="5" t="s">
        <v>325</v>
      </c>
      <c r="F19" s="5" t="s">
        <v>325</v>
      </c>
      <c r="G19" s="5" t="s">
        <v>723</v>
      </c>
      <c r="H19" s="5" t="s">
        <v>307</v>
      </c>
      <c r="I19" s="5" t="s">
        <v>308</v>
      </c>
      <c r="J19" s="5" t="s">
        <v>692</v>
      </c>
      <c r="K19" s="5" t="s">
        <v>685</v>
      </c>
      <c r="L19" s="5" t="s">
        <v>296</v>
      </c>
      <c r="M19" s="5" t="s">
        <v>427</v>
      </c>
    </row>
    <row r="20" spans="1:23">
      <c r="A20" s="5">
        <v>20</v>
      </c>
      <c r="B20" s="5" t="s">
        <v>423</v>
      </c>
      <c r="C20" s="5" t="s">
        <v>311</v>
      </c>
      <c r="D20" s="5" t="s">
        <v>669</v>
      </c>
      <c r="E20" s="5" t="s">
        <v>703</v>
      </c>
    </row>
    <row r="21" spans="1:23">
      <c r="A21" s="5">
        <v>21</v>
      </c>
      <c r="B21" s="5" t="s">
        <v>423</v>
      </c>
      <c r="C21" s="5" t="s">
        <v>672</v>
      </c>
      <c r="D21" s="5" t="s">
        <v>324</v>
      </c>
      <c r="E21" s="5" t="s">
        <v>724</v>
      </c>
    </row>
    <row r="22" spans="1:23">
      <c r="A22" s="5">
        <v>22</v>
      </c>
      <c r="B22" s="5" t="s">
        <v>423</v>
      </c>
      <c r="C22" s="5" t="s">
        <v>672</v>
      </c>
      <c r="D22" s="5" t="s">
        <v>324</v>
      </c>
      <c r="E22" s="5" t="s">
        <v>724</v>
      </c>
    </row>
    <row r="23" spans="1:23">
      <c r="A23" s="5">
        <v>23</v>
      </c>
      <c r="B23" s="5" t="s">
        <v>423</v>
      </c>
      <c r="C23" s="5" t="s">
        <v>672</v>
      </c>
      <c r="D23" s="5" t="s">
        <v>324</v>
      </c>
      <c r="E23" s="5" t="s">
        <v>724</v>
      </c>
    </row>
    <row r="24" spans="1:23">
      <c r="A24" s="5">
        <v>24</v>
      </c>
      <c r="B24" s="5" t="s">
        <v>423</v>
      </c>
      <c r="C24" s="5" t="s">
        <v>672</v>
      </c>
      <c r="D24" s="5" t="s">
        <v>324</v>
      </c>
      <c r="E24" s="5" t="s">
        <v>724</v>
      </c>
    </row>
    <row r="25" spans="1:23">
      <c r="A25" s="5">
        <v>25</v>
      </c>
      <c r="B25" s="5" t="s">
        <v>423</v>
      </c>
      <c r="C25" s="5" t="s">
        <v>672</v>
      </c>
      <c r="D25" s="5" t="s">
        <v>324</v>
      </c>
      <c r="E25" s="5" t="s">
        <v>724</v>
      </c>
    </row>
    <row r="26" spans="1:23">
      <c r="A26" s="5">
        <v>26</v>
      </c>
      <c r="B26" s="5" t="s">
        <v>423</v>
      </c>
      <c r="C26" s="5" t="s">
        <v>672</v>
      </c>
      <c r="D26" s="5" t="s">
        <v>324</v>
      </c>
      <c r="E26" s="5" t="s">
        <v>724</v>
      </c>
    </row>
    <row r="27" spans="1:23">
      <c r="A27" s="5">
        <v>27</v>
      </c>
      <c r="B27" s="5" t="s">
        <v>423</v>
      </c>
      <c r="C27" s="5" t="s">
        <v>672</v>
      </c>
      <c r="D27" s="5" t="s">
        <v>324</v>
      </c>
      <c r="E27" s="5" t="s">
        <v>724</v>
      </c>
    </row>
    <row r="28" spans="1:23">
      <c r="A28" s="5">
        <v>28</v>
      </c>
      <c r="B28" s="5" t="s">
        <v>423</v>
      </c>
      <c r="C28" s="5" t="s">
        <v>672</v>
      </c>
      <c r="D28" s="5" t="s">
        <v>324</v>
      </c>
      <c r="E28" s="5" t="s">
        <v>724</v>
      </c>
    </row>
    <row r="29" spans="1:23">
      <c r="A29" s="5">
        <v>29</v>
      </c>
      <c r="B29" s="5" t="s">
        <v>423</v>
      </c>
      <c r="C29" s="5" t="s">
        <v>672</v>
      </c>
      <c r="D29" s="5" t="s">
        <v>324</v>
      </c>
      <c r="E29" s="5" t="s">
        <v>724</v>
      </c>
    </row>
    <row r="30" spans="1:23">
      <c r="A30" s="5">
        <v>30</v>
      </c>
      <c r="B30" s="5" t="s">
        <v>423</v>
      </c>
      <c r="C30" s="5" t="s">
        <v>672</v>
      </c>
      <c r="D30" s="5" t="s">
        <v>324</v>
      </c>
      <c r="E30" s="5" t="s">
        <v>724</v>
      </c>
    </row>
    <row r="31" spans="1:23">
      <c r="A31" s="5">
        <v>31</v>
      </c>
      <c r="B31" s="5" t="s">
        <v>423</v>
      </c>
      <c r="C31" s="5" t="s">
        <v>672</v>
      </c>
      <c r="D31" s="5" t="s">
        <v>324</v>
      </c>
      <c r="E31" s="5" t="s">
        <v>724</v>
      </c>
    </row>
    <row r="32" spans="1:23">
      <c r="A32" s="5">
        <v>32</v>
      </c>
      <c r="B32" s="5" t="s">
        <v>411</v>
      </c>
      <c r="C32" s="5" t="s">
        <v>725</v>
      </c>
      <c r="D32" s="5" t="s">
        <v>305</v>
      </c>
      <c r="E32" s="5" t="s">
        <v>672</v>
      </c>
    </row>
    <row r="33" spans="1:20">
      <c r="A33" s="5">
        <v>33</v>
      </c>
      <c r="B33" s="5" t="s">
        <v>388</v>
      </c>
      <c r="C33" s="5" t="s">
        <v>722</v>
      </c>
      <c r="D33" s="5" t="s">
        <v>726</v>
      </c>
      <c r="E33" s="5" t="s">
        <v>727</v>
      </c>
      <c r="F33" s="5" t="s">
        <v>728</v>
      </c>
      <c r="G33" s="5" t="s">
        <v>301</v>
      </c>
      <c r="H33" s="5" t="s">
        <v>394</v>
      </c>
      <c r="I33" s="5" t="s">
        <v>321</v>
      </c>
      <c r="J33" s="5" t="s">
        <v>392</v>
      </c>
      <c r="K33" s="5" t="s">
        <v>677</v>
      </c>
      <c r="L33" s="5" t="s">
        <v>316</v>
      </c>
      <c r="M33" s="5" t="s">
        <v>394</v>
      </c>
      <c r="N33" s="5" t="s">
        <v>394</v>
      </c>
    </row>
    <row r="34" spans="1:20">
      <c r="A34" s="5">
        <v>34</v>
      </c>
      <c r="B34" s="5" t="s">
        <v>301</v>
      </c>
      <c r="C34" s="5" t="s">
        <v>728</v>
      </c>
      <c r="D34" s="5" t="s">
        <v>394</v>
      </c>
      <c r="E34" s="5" t="s">
        <v>321</v>
      </c>
      <c r="F34" s="5" t="s">
        <v>392</v>
      </c>
      <c r="G34" s="5" t="s">
        <v>677</v>
      </c>
      <c r="H34" s="5" t="s">
        <v>316</v>
      </c>
      <c r="I34" s="5" t="s">
        <v>423</v>
      </c>
      <c r="J34" s="5" t="s">
        <v>311</v>
      </c>
      <c r="K34" s="5" t="s">
        <v>394</v>
      </c>
      <c r="L34" s="5" t="s">
        <v>394</v>
      </c>
      <c r="M34" s="5" t="s">
        <v>669</v>
      </c>
      <c r="N34" s="5" t="s">
        <v>703</v>
      </c>
    </row>
    <row r="35" spans="1:20">
      <c r="A35" s="5">
        <v>35</v>
      </c>
      <c r="B35" s="5" t="s">
        <v>312</v>
      </c>
      <c r="C35" s="5" t="s">
        <v>312</v>
      </c>
      <c r="D35" s="5" t="s">
        <v>312</v>
      </c>
      <c r="E35" s="5" t="s">
        <v>312</v>
      </c>
      <c r="F35" s="5" t="s">
        <v>312</v>
      </c>
      <c r="G35" s="5" t="s">
        <v>301</v>
      </c>
      <c r="H35" s="5" t="s">
        <v>301</v>
      </c>
      <c r="I35" s="5" t="s">
        <v>301</v>
      </c>
      <c r="J35" s="5" t="s">
        <v>301</v>
      </c>
      <c r="K35" s="5" t="s">
        <v>301</v>
      </c>
      <c r="L35" s="5" t="s">
        <v>674</v>
      </c>
      <c r="M35" s="5" t="s">
        <v>729</v>
      </c>
      <c r="N35" s="5" t="s">
        <v>730</v>
      </c>
      <c r="O35" s="5" t="s">
        <v>731</v>
      </c>
      <c r="P35" s="5" t="s">
        <v>732</v>
      </c>
      <c r="Q35" s="5" t="s">
        <v>423</v>
      </c>
      <c r="R35" s="5" t="s">
        <v>724</v>
      </c>
      <c r="S35" s="5" t="s">
        <v>672</v>
      </c>
      <c r="T35" s="5" t="s">
        <v>324</v>
      </c>
    </row>
    <row r="36" spans="1:20">
      <c r="A36" s="5">
        <v>36</v>
      </c>
      <c r="B36" s="5" t="s">
        <v>423</v>
      </c>
      <c r="C36" s="5" t="s">
        <v>311</v>
      </c>
      <c r="D36" s="5" t="s">
        <v>733</v>
      </c>
      <c r="E36" s="5" t="s">
        <v>702</v>
      </c>
      <c r="F36" s="5" t="s">
        <v>734</v>
      </c>
    </row>
    <row r="37" spans="1:20">
      <c r="A37" s="5">
        <v>37</v>
      </c>
      <c r="B37" s="5" t="s">
        <v>311</v>
      </c>
      <c r="C37" s="5" t="s">
        <v>692</v>
      </c>
      <c r="D37" s="5" t="s">
        <v>700</v>
      </c>
      <c r="E37" s="5" t="s">
        <v>735</v>
      </c>
      <c r="F37" s="5" t="s">
        <v>736</v>
      </c>
      <c r="G37" s="5" t="s">
        <v>423</v>
      </c>
      <c r="H37" s="5" t="s">
        <v>323</v>
      </c>
      <c r="I37" s="5" t="s">
        <v>307</v>
      </c>
    </row>
    <row r="38" spans="1:20">
      <c r="A38" s="5">
        <v>38</v>
      </c>
      <c r="B38" s="5" t="s">
        <v>311</v>
      </c>
      <c r="C38" s="5" t="s">
        <v>692</v>
      </c>
      <c r="D38" s="5" t="s">
        <v>700</v>
      </c>
      <c r="E38" s="5" t="s">
        <v>735</v>
      </c>
      <c r="F38" s="5" t="s">
        <v>736</v>
      </c>
      <c r="G38" s="5" t="s">
        <v>423</v>
      </c>
      <c r="H38" s="5" t="s">
        <v>307</v>
      </c>
      <c r="I38" s="5" t="s">
        <v>392</v>
      </c>
    </row>
    <row r="39" spans="1:20">
      <c r="A39" s="5">
        <v>39</v>
      </c>
      <c r="B39" s="5" t="s">
        <v>411</v>
      </c>
      <c r="C39" s="5" t="s">
        <v>725</v>
      </c>
      <c r="D39" s="5" t="s">
        <v>305</v>
      </c>
      <c r="E39" s="5" t="s">
        <v>726</v>
      </c>
    </row>
    <row r="40" spans="1:20">
      <c r="A40" s="5">
        <v>40</v>
      </c>
      <c r="B40" s="5" t="s">
        <v>310</v>
      </c>
      <c r="C40" s="5" t="s">
        <v>423</v>
      </c>
      <c r="D40" s="5" t="s">
        <v>311</v>
      </c>
      <c r="E40" s="5" t="s">
        <v>422</v>
      </c>
      <c r="F40" s="5" t="s">
        <v>669</v>
      </c>
      <c r="G40" s="5" t="s">
        <v>703</v>
      </c>
      <c r="H40" s="5" t="s">
        <v>389</v>
      </c>
    </row>
    <row r="41" spans="1:20">
      <c r="A41" s="5">
        <v>41</v>
      </c>
      <c r="B41" s="5" t="s">
        <v>423</v>
      </c>
      <c r="C41" s="5" t="s">
        <v>311</v>
      </c>
      <c r="D41" s="5" t="s">
        <v>317</v>
      </c>
      <c r="E41" s="5" t="s">
        <v>669</v>
      </c>
      <c r="F41" s="5" t="s">
        <v>703</v>
      </c>
      <c r="G41" s="5" t="s">
        <v>318</v>
      </c>
    </row>
    <row r="42" spans="1:20">
      <c r="A42" s="5">
        <v>42</v>
      </c>
      <c r="B42" s="5" t="s">
        <v>316</v>
      </c>
      <c r="C42" s="5" t="s">
        <v>311</v>
      </c>
      <c r="D42" s="5" t="s">
        <v>422</v>
      </c>
      <c r="E42" s="5" t="s">
        <v>669</v>
      </c>
      <c r="F42" s="5" t="s">
        <v>703</v>
      </c>
      <c r="G42" s="5" t="s">
        <v>423</v>
      </c>
      <c r="H42" s="5" t="s">
        <v>737</v>
      </c>
    </row>
    <row r="43" spans="1:20">
      <c r="A43" s="5">
        <v>43</v>
      </c>
      <c r="B43" s="5" t="s">
        <v>423</v>
      </c>
      <c r="C43" s="5" t="s">
        <v>311</v>
      </c>
      <c r="D43" s="5" t="s">
        <v>669</v>
      </c>
      <c r="E43" s="5" t="s">
        <v>703</v>
      </c>
      <c r="F43" s="5" t="s">
        <v>317</v>
      </c>
      <c r="G43" s="5" t="s">
        <v>318</v>
      </c>
    </row>
    <row r="44" spans="1:20">
      <c r="A44" s="5">
        <v>44</v>
      </c>
      <c r="B44" s="5" t="s">
        <v>738</v>
      </c>
      <c r="C44" s="5" t="s">
        <v>311</v>
      </c>
      <c r="D44" s="5" t="s">
        <v>422</v>
      </c>
      <c r="E44" s="5" t="s">
        <v>669</v>
      </c>
      <c r="F44" s="5" t="s">
        <v>703</v>
      </c>
      <c r="G44" s="5" t="s">
        <v>423</v>
      </c>
      <c r="H44" s="5" t="s">
        <v>739</v>
      </c>
    </row>
    <row r="45" spans="1:20">
      <c r="A45" s="5">
        <v>45</v>
      </c>
      <c r="B45" s="5" t="s">
        <v>423</v>
      </c>
      <c r="C45" s="5" t="s">
        <v>740</v>
      </c>
      <c r="D45" s="5" t="s">
        <v>672</v>
      </c>
      <c r="E45" s="5" t="s">
        <v>324</v>
      </c>
      <c r="F45" s="5" t="s">
        <v>317</v>
      </c>
      <c r="G45" s="5" t="s">
        <v>318</v>
      </c>
    </row>
    <row r="46" spans="1:20">
      <c r="A46" s="5">
        <v>46</v>
      </c>
      <c r="B46" s="5" t="s">
        <v>316</v>
      </c>
      <c r="C46" s="5" t="s">
        <v>311</v>
      </c>
      <c r="D46" s="5" t="s">
        <v>422</v>
      </c>
      <c r="E46" s="5" t="s">
        <v>669</v>
      </c>
      <c r="F46" s="5" t="s">
        <v>703</v>
      </c>
      <c r="G46" s="5" t="s">
        <v>741</v>
      </c>
      <c r="H46" s="5" t="s">
        <v>423</v>
      </c>
    </row>
    <row r="47" spans="1:20">
      <c r="A47" s="5">
        <v>47</v>
      </c>
      <c r="B47" s="5" t="s">
        <v>423</v>
      </c>
      <c r="C47" s="5" t="s">
        <v>311</v>
      </c>
      <c r="D47" s="5" t="s">
        <v>692</v>
      </c>
      <c r="E47" s="5" t="s">
        <v>700</v>
      </c>
      <c r="F47" s="5" t="s">
        <v>317</v>
      </c>
      <c r="G47" s="5" t="s">
        <v>318</v>
      </c>
    </row>
    <row r="48" spans="1:20">
      <c r="A48" s="5">
        <v>48</v>
      </c>
      <c r="B48" s="5" t="s">
        <v>677</v>
      </c>
      <c r="C48" s="5" t="s">
        <v>311</v>
      </c>
      <c r="D48" s="5" t="s">
        <v>422</v>
      </c>
      <c r="E48" s="5" t="s">
        <v>669</v>
      </c>
      <c r="F48" s="5" t="s">
        <v>703</v>
      </c>
      <c r="G48" s="5" t="s">
        <v>423</v>
      </c>
      <c r="H48" s="5" t="s">
        <v>427</v>
      </c>
    </row>
    <row r="49" spans="1:18">
      <c r="A49" s="5">
        <v>49</v>
      </c>
      <c r="B49" s="5" t="s">
        <v>423</v>
      </c>
      <c r="C49" s="5" t="s">
        <v>311</v>
      </c>
      <c r="D49" s="5" t="s">
        <v>669</v>
      </c>
      <c r="E49" s="5" t="s">
        <v>703</v>
      </c>
      <c r="F49" s="5" t="s">
        <v>317</v>
      </c>
      <c r="G49" s="5" t="s">
        <v>318</v>
      </c>
    </row>
    <row r="50" spans="1:18">
      <c r="A50" s="5">
        <v>50</v>
      </c>
      <c r="B50" s="5" t="s">
        <v>423</v>
      </c>
      <c r="C50" s="5" t="s">
        <v>669</v>
      </c>
      <c r="D50" s="5" t="s">
        <v>703</v>
      </c>
    </row>
    <row r="51" spans="1:18">
      <c r="A51" s="5">
        <v>51</v>
      </c>
      <c r="B51" s="5" t="s">
        <v>423</v>
      </c>
      <c r="C51" s="5" t="s">
        <v>311</v>
      </c>
      <c r="D51" s="5" t="s">
        <v>669</v>
      </c>
      <c r="E51" s="5" t="s">
        <v>703</v>
      </c>
      <c r="F51" s="5" t="s">
        <v>390</v>
      </c>
      <c r="G51" s="5" t="s">
        <v>321</v>
      </c>
    </row>
    <row r="52" spans="1:18">
      <c r="A52" s="5">
        <v>52</v>
      </c>
      <c r="B52" s="5" t="s">
        <v>411</v>
      </c>
      <c r="C52" s="5" t="s">
        <v>725</v>
      </c>
      <c r="D52" s="5" t="s">
        <v>305</v>
      </c>
      <c r="E52" s="5" t="s">
        <v>672</v>
      </c>
    </row>
    <row r="53" spans="1:18">
      <c r="A53" s="5">
        <v>53</v>
      </c>
      <c r="B53" s="5" t="s">
        <v>742</v>
      </c>
      <c r="C53" s="5" t="s">
        <v>423</v>
      </c>
      <c r="D53" s="5" t="s">
        <v>669</v>
      </c>
      <c r="E53" s="5" t="s">
        <v>703</v>
      </c>
      <c r="F53" s="5" t="s">
        <v>390</v>
      </c>
      <c r="G53" s="5" t="s">
        <v>743</v>
      </c>
    </row>
    <row r="54" spans="1:18">
      <c r="A54" s="5">
        <v>54</v>
      </c>
      <c r="B54" s="5" t="s">
        <v>744</v>
      </c>
      <c r="C54" s="5" t="s">
        <v>423</v>
      </c>
      <c r="D54" s="5" t="s">
        <v>300</v>
      </c>
      <c r="E54" s="5" t="s">
        <v>745</v>
      </c>
      <c r="F54" s="5" t="s">
        <v>746</v>
      </c>
      <c r="G54" s="5" t="s">
        <v>390</v>
      </c>
      <c r="H54" s="5" t="s">
        <v>720</v>
      </c>
    </row>
    <row r="55" spans="1:18">
      <c r="A55" s="5">
        <v>55</v>
      </c>
      <c r="B55" s="5" t="s">
        <v>411</v>
      </c>
      <c r="C55" s="5" t="s">
        <v>725</v>
      </c>
      <c r="D55" s="5" t="s">
        <v>305</v>
      </c>
      <c r="E55" s="5" t="s">
        <v>672</v>
      </c>
    </row>
    <row r="56" spans="1:18">
      <c r="A56" s="5">
        <v>56</v>
      </c>
      <c r="B56" s="5" t="s">
        <v>294</v>
      </c>
      <c r="C56" s="5" t="s">
        <v>294</v>
      </c>
      <c r="D56" s="5" t="s">
        <v>322</v>
      </c>
      <c r="E56" s="5" t="s">
        <v>322</v>
      </c>
      <c r="F56" s="5" t="s">
        <v>423</v>
      </c>
      <c r="G56" s="5" t="s">
        <v>311</v>
      </c>
      <c r="H56" s="5" t="s">
        <v>747</v>
      </c>
      <c r="I56" s="5" t="s">
        <v>748</v>
      </c>
      <c r="J56" s="5" t="s">
        <v>749</v>
      </c>
      <c r="K56" s="5" t="s">
        <v>750</v>
      </c>
      <c r="L56" s="5" t="s">
        <v>751</v>
      </c>
      <c r="M56" s="5" t="s">
        <v>752</v>
      </c>
      <c r="N56" s="5" t="s">
        <v>753</v>
      </c>
      <c r="O56" s="5" t="s">
        <v>754</v>
      </c>
      <c r="P56" s="5" t="s">
        <v>754</v>
      </c>
      <c r="Q56" s="5" t="s">
        <v>754</v>
      </c>
      <c r="R56" s="5" t="s">
        <v>754</v>
      </c>
    </row>
    <row r="57" spans="1:18">
      <c r="A57" s="5">
        <v>57</v>
      </c>
      <c r="B57" s="5" t="s">
        <v>294</v>
      </c>
      <c r="C57" s="5" t="s">
        <v>294</v>
      </c>
      <c r="D57" s="5" t="s">
        <v>322</v>
      </c>
      <c r="E57" s="5" t="s">
        <v>322</v>
      </c>
      <c r="F57" s="5" t="s">
        <v>423</v>
      </c>
      <c r="G57" s="5" t="s">
        <v>311</v>
      </c>
      <c r="H57" s="5" t="s">
        <v>747</v>
      </c>
      <c r="I57" s="5" t="s">
        <v>748</v>
      </c>
      <c r="J57" s="5" t="s">
        <v>749</v>
      </c>
      <c r="K57" s="5" t="s">
        <v>750</v>
      </c>
      <c r="L57" s="5" t="s">
        <v>751</v>
      </c>
      <c r="M57" s="5" t="s">
        <v>752</v>
      </c>
      <c r="N57" s="5" t="s">
        <v>753</v>
      </c>
      <c r="O57" s="5" t="s">
        <v>754</v>
      </c>
      <c r="P57" s="5" t="s">
        <v>754</v>
      </c>
      <c r="Q57" s="5" t="s">
        <v>754</v>
      </c>
      <c r="R57" s="5" t="s">
        <v>754</v>
      </c>
    </row>
    <row r="58" spans="1:18">
      <c r="A58" s="5">
        <v>58</v>
      </c>
      <c r="B58" s="5" t="s">
        <v>294</v>
      </c>
      <c r="C58" s="5" t="s">
        <v>294</v>
      </c>
      <c r="D58" s="5" t="s">
        <v>322</v>
      </c>
      <c r="E58" s="5" t="s">
        <v>322</v>
      </c>
      <c r="F58" s="5" t="s">
        <v>423</v>
      </c>
      <c r="G58" s="5" t="s">
        <v>311</v>
      </c>
      <c r="H58" s="5" t="s">
        <v>747</v>
      </c>
      <c r="I58" s="5" t="s">
        <v>748</v>
      </c>
      <c r="J58" s="5" t="s">
        <v>749</v>
      </c>
      <c r="K58" s="5" t="s">
        <v>750</v>
      </c>
      <c r="L58" s="5" t="s">
        <v>751</v>
      </c>
      <c r="M58" s="5" t="s">
        <v>752</v>
      </c>
      <c r="N58" s="5" t="s">
        <v>753</v>
      </c>
      <c r="O58" s="5" t="s">
        <v>754</v>
      </c>
      <c r="P58" s="5" t="s">
        <v>754</v>
      </c>
      <c r="Q58" s="5" t="s">
        <v>754</v>
      </c>
      <c r="R58" s="5" t="s">
        <v>754</v>
      </c>
    </row>
    <row r="59" spans="1:18">
      <c r="A59" s="5">
        <v>59</v>
      </c>
      <c r="B59" s="5" t="s">
        <v>294</v>
      </c>
      <c r="C59" s="5" t="s">
        <v>294</v>
      </c>
      <c r="D59" s="5" t="s">
        <v>322</v>
      </c>
      <c r="E59" s="5" t="s">
        <v>322</v>
      </c>
      <c r="F59" s="5" t="s">
        <v>423</v>
      </c>
      <c r="G59" s="5" t="s">
        <v>311</v>
      </c>
      <c r="H59" s="5" t="s">
        <v>747</v>
      </c>
      <c r="I59" s="5" t="s">
        <v>748</v>
      </c>
      <c r="J59" s="5" t="s">
        <v>749</v>
      </c>
      <c r="K59" s="5" t="s">
        <v>750</v>
      </c>
      <c r="L59" s="5" t="s">
        <v>751</v>
      </c>
      <c r="M59" s="5" t="s">
        <v>752</v>
      </c>
      <c r="N59" s="5" t="s">
        <v>753</v>
      </c>
      <c r="O59" s="5" t="s">
        <v>754</v>
      </c>
      <c r="P59" s="5" t="s">
        <v>754</v>
      </c>
      <c r="Q59" s="5" t="s">
        <v>754</v>
      </c>
      <c r="R59" s="5" t="s">
        <v>754</v>
      </c>
    </row>
    <row r="60" spans="1:18">
      <c r="A60" s="5">
        <v>60</v>
      </c>
      <c r="B60" s="5" t="s">
        <v>294</v>
      </c>
      <c r="C60" s="5" t="s">
        <v>294</v>
      </c>
      <c r="D60" s="5" t="s">
        <v>322</v>
      </c>
      <c r="E60" s="5" t="s">
        <v>322</v>
      </c>
      <c r="F60" s="5" t="s">
        <v>423</v>
      </c>
      <c r="G60" s="5" t="s">
        <v>311</v>
      </c>
      <c r="H60" s="5" t="s">
        <v>747</v>
      </c>
      <c r="I60" s="5" t="s">
        <v>748</v>
      </c>
      <c r="J60" s="5" t="s">
        <v>749</v>
      </c>
      <c r="K60" s="5" t="s">
        <v>750</v>
      </c>
      <c r="L60" s="5" t="s">
        <v>751</v>
      </c>
      <c r="M60" s="5" t="s">
        <v>752</v>
      </c>
      <c r="N60" s="5" t="s">
        <v>753</v>
      </c>
      <c r="O60" s="5" t="s">
        <v>754</v>
      </c>
      <c r="P60" s="5" t="s">
        <v>754</v>
      </c>
      <c r="Q60" s="5" t="s">
        <v>754</v>
      </c>
      <c r="R60" s="5" t="s">
        <v>754</v>
      </c>
    </row>
    <row r="61" spans="1:18">
      <c r="A61" s="5">
        <v>61</v>
      </c>
      <c r="B61" s="5" t="s">
        <v>294</v>
      </c>
      <c r="C61" s="5" t="s">
        <v>294</v>
      </c>
      <c r="D61" s="5" t="s">
        <v>322</v>
      </c>
      <c r="E61" s="5" t="s">
        <v>322</v>
      </c>
      <c r="F61" s="5" t="s">
        <v>423</v>
      </c>
      <c r="G61" s="5" t="s">
        <v>311</v>
      </c>
      <c r="H61" s="5" t="s">
        <v>747</v>
      </c>
      <c r="I61" s="5" t="s">
        <v>748</v>
      </c>
      <c r="J61" s="5" t="s">
        <v>749</v>
      </c>
      <c r="K61" s="5" t="s">
        <v>750</v>
      </c>
      <c r="L61" s="5" t="s">
        <v>751</v>
      </c>
      <c r="M61" s="5" t="s">
        <v>752</v>
      </c>
      <c r="N61" s="5" t="s">
        <v>753</v>
      </c>
      <c r="O61" s="5" t="s">
        <v>754</v>
      </c>
      <c r="P61" s="5" t="s">
        <v>754</v>
      </c>
      <c r="Q61" s="5" t="s">
        <v>754</v>
      </c>
      <c r="R61" s="5" t="s">
        <v>754</v>
      </c>
    </row>
    <row r="62" spans="1:18">
      <c r="A62" s="5">
        <v>62</v>
      </c>
      <c r="B62" s="5" t="s">
        <v>294</v>
      </c>
      <c r="C62" s="5" t="s">
        <v>294</v>
      </c>
      <c r="D62" s="5" t="s">
        <v>322</v>
      </c>
      <c r="E62" s="5" t="s">
        <v>322</v>
      </c>
      <c r="F62" s="5" t="s">
        <v>423</v>
      </c>
      <c r="G62" s="5" t="s">
        <v>311</v>
      </c>
      <c r="H62" s="5" t="s">
        <v>747</v>
      </c>
      <c r="I62" s="5" t="s">
        <v>748</v>
      </c>
      <c r="J62" s="5" t="s">
        <v>749</v>
      </c>
      <c r="K62" s="5" t="s">
        <v>750</v>
      </c>
      <c r="L62" s="5" t="s">
        <v>751</v>
      </c>
      <c r="M62" s="5" t="s">
        <v>752</v>
      </c>
      <c r="N62" s="5" t="s">
        <v>753</v>
      </c>
      <c r="O62" s="5" t="s">
        <v>754</v>
      </c>
      <c r="P62" s="5" t="s">
        <v>754</v>
      </c>
      <c r="Q62" s="5" t="s">
        <v>754</v>
      </c>
      <c r="R62" s="5" t="s">
        <v>754</v>
      </c>
    </row>
    <row r="63" spans="1:18">
      <c r="A63" s="5">
        <v>63</v>
      </c>
      <c r="B63" s="5" t="s">
        <v>294</v>
      </c>
      <c r="C63" s="5" t="s">
        <v>294</v>
      </c>
      <c r="D63" s="5" t="s">
        <v>322</v>
      </c>
      <c r="E63" s="5" t="s">
        <v>322</v>
      </c>
      <c r="F63" s="5" t="s">
        <v>423</v>
      </c>
      <c r="G63" s="5" t="s">
        <v>311</v>
      </c>
      <c r="H63" s="5" t="s">
        <v>747</v>
      </c>
      <c r="I63" s="5" t="s">
        <v>748</v>
      </c>
      <c r="J63" s="5" t="s">
        <v>749</v>
      </c>
      <c r="K63" s="5" t="s">
        <v>750</v>
      </c>
      <c r="L63" s="5" t="s">
        <v>751</v>
      </c>
      <c r="M63" s="5" t="s">
        <v>752</v>
      </c>
      <c r="N63" s="5" t="s">
        <v>753</v>
      </c>
      <c r="O63" s="5" t="s">
        <v>754</v>
      </c>
      <c r="P63" s="5" t="s">
        <v>754</v>
      </c>
      <c r="Q63" s="5" t="s">
        <v>754</v>
      </c>
      <c r="R63" s="5" t="s">
        <v>754</v>
      </c>
    </row>
    <row r="64" spans="1:18">
      <c r="A64" s="5">
        <v>64</v>
      </c>
      <c r="B64" s="5" t="s">
        <v>294</v>
      </c>
      <c r="C64" s="5" t="s">
        <v>294</v>
      </c>
      <c r="D64" s="5" t="s">
        <v>322</v>
      </c>
      <c r="E64" s="5" t="s">
        <v>322</v>
      </c>
      <c r="F64" s="5" t="s">
        <v>423</v>
      </c>
      <c r="G64" s="5" t="s">
        <v>311</v>
      </c>
      <c r="H64" s="5" t="s">
        <v>747</v>
      </c>
      <c r="I64" s="5" t="s">
        <v>748</v>
      </c>
      <c r="J64" s="5" t="s">
        <v>749</v>
      </c>
      <c r="K64" s="5" t="s">
        <v>750</v>
      </c>
      <c r="L64" s="5" t="s">
        <v>751</v>
      </c>
      <c r="M64" s="5" t="s">
        <v>752</v>
      </c>
      <c r="N64" s="5" t="s">
        <v>753</v>
      </c>
      <c r="O64" s="5" t="s">
        <v>754</v>
      </c>
      <c r="P64" s="5" t="s">
        <v>754</v>
      </c>
      <c r="Q64" s="5" t="s">
        <v>754</v>
      </c>
      <c r="R64" s="5" t="s">
        <v>754</v>
      </c>
    </row>
    <row r="65" spans="1:18">
      <c r="A65" s="5">
        <v>65</v>
      </c>
      <c r="B65" s="5" t="s">
        <v>294</v>
      </c>
      <c r="C65" s="5" t="s">
        <v>294</v>
      </c>
      <c r="D65" s="5" t="s">
        <v>322</v>
      </c>
      <c r="E65" s="5" t="s">
        <v>322</v>
      </c>
      <c r="F65" s="5" t="s">
        <v>423</v>
      </c>
      <c r="G65" s="5" t="s">
        <v>311</v>
      </c>
      <c r="H65" s="5" t="s">
        <v>747</v>
      </c>
      <c r="I65" s="5" t="s">
        <v>748</v>
      </c>
      <c r="J65" s="5" t="s">
        <v>749</v>
      </c>
      <c r="K65" s="5" t="s">
        <v>750</v>
      </c>
      <c r="L65" s="5" t="s">
        <v>751</v>
      </c>
      <c r="M65" s="5" t="s">
        <v>752</v>
      </c>
      <c r="N65" s="5" t="s">
        <v>753</v>
      </c>
      <c r="O65" s="5" t="s">
        <v>754</v>
      </c>
      <c r="P65" s="5" t="s">
        <v>754</v>
      </c>
      <c r="Q65" s="5" t="s">
        <v>754</v>
      </c>
      <c r="R65" s="5" t="s">
        <v>754</v>
      </c>
    </row>
    <row r="66" spans="1:18">
      <c r="A66" s="5">
        <v>66</v>
      </c>
      <c r="B66" s="5" t="s">
        <v>294</v>
      </c>
      <c r="C66" s="5" t="s">
        <v>294</v>
      </c>
      <c r="D66" s="5" t="s">
        <v>322</v>
      </c>
      <c r="E66" s="5" t="s">
        <v>322</v>
      </c>
      <c r="F66" s="5" t="s">
        <v>423</v>
      </c>
      <c r="G66" s="5" t="s">
        <v>311</v>
      </c>
      <c r="H66" s="5" t="s">
        <v>747</v>
      </c>
      <c r="I66" s="5" t="s">
        <v>748</v>
      </c>
      <c r="J66" s="5" t="s">
        <v>749</v>
      </c>
      <c r="K66" s="5" t="s">
        <v>750</v>
      </c>
      <c r="L66" s="5" t="s">
        <v>751</v>
      </c>
      <c r="M66" s="5" t="s">
        <v>752</v>
      </c>
      <c r="N66" s="5" t="s">
        <v>753</v>
      </c>
      <c r="O66" s="5" t="s">
        <v>754</v>
      </c>
      <c r="P66" s="5" t="s">
        <v>754</v>
      </c>
      <c r="Q66" s="5" t="s">
        <v>754</v>
      </c>
      <c r="R66" s="5" t="s">
        <v>754</v>
      </c>
    </row>
    <row r="67" spans="1:18">
      <c r="A67" s="5">
        <v>67</v>
      </c>
      <c r="B67" s="5" t="s">
        <v>294</v>
      </c>
      <c r="C67" s="5" t="s">
        <v>294</v>
      </c>
      <c r="D67" s="5" t="s">
        <v>322</v>
      </c>
      <c r="E67" s="5" t="s">
        <v>322</v>
      </c>
      <c r="F67" s="5" t="s">
        <v>423</v>
      </c>
      <c r="G67" s="5" t="s">
        <v>311</v>
      </c>
      <c r="H67" s="5" t="s">
        <v>747</v>
      </c>
      <c r="I67" s="5" t="s">
        <v>748</v>
      </c>
      <c r="J67" s="5" t="s">
        <v>749</v>
      </c>
      <c r="K67" s="5" t="s">
        <v>750</v>
      </c>
      <c r="L67" s="5" t="s">
        <v>751</v>
      </c>
      <c r="M67" s="5" t="s">
        <v>752</v>
      </c>
      <c r="N67" s="5" t="s">
        <v>753</v>
      </c>
      <c r="O67" s="5" t="s">
        <v>754</v>
      </c>
      <c r="P67" s="5" t="s">
        <v>754</v>
      </c>
      <c r="Q67" s="5" t="s">
        <v>754</v>
      </c>
      <c r="R67" s="5" t="s">
        <v>754</v>
      </c>
    </row>
    <row r="68" spans="1:18">
      <c r="A68" s="5">
        <v>68</v>
      </c>
      <c r="B68" s="5" t="s">
        <v>423</v>
      </c>
      <c r="C68" s="5" t="s">
        <v>672</v>
      </c>
      <c r="D68" s="5" t="s">
        <v>324</v>
      </c>
      <c r="E68" s="5" t="s">
        <v>724</v>
      </c>
    </row>
    <row r="69" spans="1:18">
      <c r="A69" s="5">
        <v>69</v>
      </c>
      <c r="B69" s="5" t="s">
        <v>294</v>
      </c>
      <c r="C69" s="5" t="s">
        <v>294</v>
      </c>
      <c r="D69" s="5" t="s">
        <v>322</v>
      </c>
      <c r="E69" s="5" t="s">
        <v>322</v>
      </c>
      <c r="F69" s="5" t="s">
        <v>423</v>
      </c>
      <c r="G69" s="5" t="s">
        <v>311</v>
      </c>
      <c r="H69" s="5" t="s">
        <v>747</v>
      </c>
      <c r="I69" s="5" t="s">
        <v>748</v>
      </c>
      <c r="J69" s="5" t="s">
        <v>749</v>
      </c>
      <c r="K69" s="5" t="s">
        <v>750</v>
      </c>
      <c r="L69" s="5" t="s">
        <v>751</v>
      </c>
      <c r="M69" s="5" t="s">
        <v>752</v>
      </c>
      <c r="N69" s="5" t="s">
        <v>753</v>
      </c>
      <c r="O69" s="5" t="s">
        <v>754</v>
      </c>
      <c r="P69" s="5" t="s">
        <v>754</v>
      </c>
      <c r="Q69" s="5" t="s">
        <v>754</v>
      </c>
      <c r="R69" s="5" t="s">
        <v>754</v>
      </c>
    </row>
    <row r="70" spans="1:18">
      <c r="A70" s="5">
        <v>70</v>
      </c>
      <c r="B70" s="5" t="s">
        <v>423</v>
      </c>
      <c r="C70" s="5" t="s">
        <v>672</v>
      </c>
      <c r="D70" s="5" t="s">
        <v>324</v>
      </c>
      <c r="E70" s="5" t="s">
        <v>724</v>
      </c>
    </row>
    <row r="71" spans="1:18">
      <c r="A71" s="5">
        <v>71</v>
      </c>
      <c r="B71" s="5" t="s">
        <v>294</v>
      </c>
      <c r="C71" s="5" t="s">
        <v>294</v>
      </c>
      <c r="D71" s="5" t="s">
        <v>322</v>
      </c>
      <c r="E71" s="5" t="s">
        <v>322</v>
      </c>
      <c r="F71" s="5" t="s">
        <v>423</v>
      </c>
      <c r="G71" s="5" t="s">
        <v>311</v>
      </c>
      <c r="H71" s="5" t="s">
        <v>747</v>
      </c>
      <c r="I71" s="5" t="s">
        <v>748</v>
      </c>
      <c r="J71" s="5" t="s">
        <v>749</v>
      </c>
      <c r="K71" s="5" t="s">
        <v>750</v>
      </c>
      <c r="L71" s="5" t="s">
        <v>751</v>
      </c>
      <c r="M71" s="5" t="s">
        <v>752</v>
      </c>
      <c r="N71" s="5" t="s">
        <v>753</v>
      </c>
      <c r="O71" s="5" t="s">
        <v>754</v>
      </c>
      <c r="P71" s="5" t="s">
        <v>754</v>
      </c>
      <c r="Q71" s="5" t="s">
        <v>754</v>
      </c>
      <c r="R71" s="5" t="s">
        <v>754</v>
      </c>
    </row>
    <row r="72" spans="1:18">
      <c r="A72" s="5">
        <v>72</v>
      </c>
      <c r="B72" s="5" t="s">
        <v>423</v>
      </c>
      <c r="C72" s="5" t="s">
        <v>672</v>
      </c>
      <c r="D72" s="5" t="s">
        <v>324</v>
      </c>
      <c r="E72" s="5" t="s">
        <v>724</v>
      </c>
    </row>
    <row r="73" spans="1:18">
      <c r="A73" s="5">
        <v>73</v>
      </c>
      <c r="B73" s="5" t="s">
        <v>294</v>
      </c>
      <c r="C73" s="5" t="s">
        <v>294</v>
      </c>
      <c r="D73" s="5" t="s">
        <v>322</v>
      </c>
      <c r="E73" s="5" t="s">
        <v>423</v>
      </c>
      <c r="F73" s="5" t="s">
        <v>311</v>
      </c>
      <c r="G73" s="5" t="s">
        <v>747</v>
      </c>
      <c r="H73" s="5" t="s">
        <v>748</v>
      </c>
      <c r="I73" s="5" t="s">
        <v>749</v>
      </c>
      <c r="J73" s="5" t="s">
        <v>750</v>
      </c>
      <c r="K73" s="5" t="s">
        <v>751</v>
      </c>
      <c r="L73" s="5" t="s">
        <v>752</v>
      </c>
      <c r="M73" s="5" t="s">
        <v>753</v>
      </c>
      <c r="N73" s="5" t="s">
        <v>754</v>
      </c>
      <c r="O73" s="5" t="s">
        <v>754</v>
      </c>
      <c r="P73" s="5" t="s">
        <v>754</v>
      </c>
      <c r="Q73" s="5" t="s">
        <v>754</v>
      </c>
      <c r="R73" s="5" t="s">
        <v>728</v>
      </c>
    </row>
    <row r="74" spans="1:18">
      <c r="A74" s="5">
        <v>74</v>
      </c>
      <c r="B74" s="5" t="s">
        <v>427</v>
      </c>
      <c r="C74" s="5" t="s">
        <v>411</v>
      </c>
      <c r="D74" s="5" t="s">
        <v>387</v>
      </c>
      <c r="E74" s="5" t="s">
        <v>387</v>
      </c>
      <c r="F74" s="5" t="s">
        <v>755</v>
      </c>
      <c r="G74" s="5" t="s">
        <v>295</v>
      </c>
      <c r="H74" s="5" t="s">
        <v>671</v>
      </c>
      <c r="I74" s="5" t="s">
        <v>387</v>
      </c>
      <c r="J74" s="5" t="s">
        <v>672</v>
      </c>
    </row>
    <row r="75" spans="1:18">
      <c r="A75" s="5">
        <v>75</v>
      </c>
      <c r="B75" s="5" t="s">
        <v>756</v>
      </c>
      <c r="C75" s="5" t="s">
        <v>757</v>
      </c>
      <c r="D75" s="5" t="s">
        <v>423</v>
      </c>
      <c r="E75" s="5" t="s">
        <v>311</v>
      </c>
      <c r="F75" s="5" t="s">
        <v>758</v>
      </c>
      <c r="G75" s="5" t="s">
        <v>759</v>
      </c>
      <c r="H75" s="5" t="s">
        <v>760</v>
      </c>
      <c r="I75" s="5" t="s">
        <v>761</v>
      </c>
    </row>
    <row r="76" spans="1:18">
      <c r="A76" s="5">
        <v>76</v>
      </c>
      <c r="B76" s="5" t="s">
        <v>689</v>
      </c>
      <c r="C76" s="5" t="s">
        <v>411</v>
      </c>
      <c r="D76" s="5" t="s">
        <v>387</v>
      </c>
      <c r="E76" s="5" t="s">
        <v>387</v>
      </c>
      <c r="F76" s="5" t="s">
        <v>755</v>
      </c>
      <c r="G76" s="5" t="s">
        <v>295</v>
      </c>
      <c r="H76" s="5" t="s">
        <v>671</v>
      </c>
      <c r="I76" s="5" t="s">
        <v>387</v>
      </c>
      <c r="J76" s="5" t="s">
        <v>672</v>
      </c>
    </row>
    <row r="77" spans="1:18">
      <c r="A77" s="5">
        <v>77</v>
      </c>
      <c r="B77" s="5" t="s">
        <v>388</v>
      </c>
      <c r="C77" s="5" t="s">
        <v>762</v>
      </c>
      <c r="D77" s="5" t="s">
        <v>722</v>
      </c>
      <c r="E77" s="5" t="s">
        <v>692</v>
      </c>
      <c r="F77" s="5" t="s">
        <v>700</v>
      </c>
      <c r="G77" s="5" t="s">
        <v>763</v>
      </c>
      <c r="H77" s="5" t="s">
        <v>764</v>
      </c>
      <c r="I77" s="5" t="s">
        <v>765</v>
      </c>
      <c r="J77" s="5" t="s">
        <v>766</v>
      </c>
      <c r="K77" s="5" t="s">
        <v>767</v>
      </c>
      <c r="L77" s="5" t="s">
        <v>768</v>
      </c>
      <c r="M77" s="5" t="s">
        <v>302</v>
      </c>
      <c r="N77" s="5" t="s">
        <v>427</v>
      </c>
    </row>
    <row r="78" spans="1:18">
      <c r="A78" s="5">
        <v>78</v>
      </c>
      <c r="B78" s="5" t="s">
        <v>769</v>
      </c>
      <c r="C78" s="5" t="s">
        <v>304</v>
      </c>
      <c r="D78" s="5" t="s">
        <v>304</v>
      </c>
      <c r="E78" s="5" t="s">
        <v>304</v>
      </c>
      <c r="F78" s="5" t="s">
        <v>304</v>
      </c>
      <c r="G78" s="5" t="s">
        <v>304</v>
      </c>
      <c r="H78" s="5" t="s">
        <v>414</v>
      </c>
      <c r="I78" s="5" t="s">
        <v>770</v>
      </c>
      <c r="J78" s="5" t="s">
        <v>771</v>
      </c>
      <c r="K78" s="5" t="s">
        <v>772</v>
      </c>
      <c r="L78" s="5" t="s">
        <v>773</v>
      </c>
      <c r="M78" s="5" t="s">
        <v>774</v>
      </c>
      <c r="N78" s="5" t="s">
        <v>389</v>
      </c>
      <c r="O78" s="5" t="s">
        <v>389</v>
      </c>
      <c r="P78" s="5" t="s">
        <v>389</v>
      </c>
      <c r="Q78" s="5" t="s">
        <v>389</v>
      </c>
      <c r="R78" s="5" t="s">
        <v>389</v>
      </c>
    </row>
    <row r="79" spans="1:18">
      <c r="A79" s="5">
        <v>79</v>
      </c>
      <c r="B79" s="5" t="s">
        <v>769</v>
      </c>
      <c r="C79" s="5" t="s">
        <v>304</v>
      </c>
      <c r="D79" s="5" t="s">
        <v>304</v>
      </c>
      <c r="E79" s="5" t="s">
        <v>304</v>
      </c>
      <c r="F79" s="5" t="s">
        <v>304</v>
      </c>
      <c r="G79" s="5" t="s">
        <v>304</v>
      </c>
      <c r="H79" s="5" t="s">
        <v>414</v>
      </c>
      <c r="I79" s="5" t="s">
        <v>389</v>
      </c>
      <c r="J79" s="5" t="s">
        <v>389</v>
      </c>
      <c r="K79" s="5" t="s">
        <v>389</v>
      </c>
      <c r="L79" s="5" t="s">
        <v>389</v>
      </c>
      <c r="M79" s="5" t="s">
        <v>389</v>
      </c>
      <c r="N79" s="5" t="s">
        <v>775</v>
      </c>
      <c r="O79" s="5" t="s">
        <v>776</v>
      </c>
      <c r="P79" s="5" t="s">
        <v>777</v>
      </c>
      <c r="Q79" s="5" t="s">
        <v>778</v>
      </c>
      <c r="R79" s="5" t="s">
        <v>779</v>
      </c>
    </row>
    <row r="80" spans="1:18">
      <c r="A80" s="5">
        <v>80</v>
      </c>
      <c r="B80" s="5" t="s">
        <v>297</v>
      </c>
      <c r="C80" s="5" t="s">
        <v>780</v>
      </c>
      <c r="D80" s="5" t="s">
        <v>781</v>
      </c>
      <c r="E80" s="5" t="s">
        <v>322</v>
      </c>
      <c r="F80" s="5" t="s">
        <v>782</v>
      </c>
      <c r="G80" s="5" t="s">
        <v>783</v>
      </c>
      <c r="H80" s="5" t="s">
        <v>784</v>
      </c>
    </row>
    <row r="81" spans="1:19">
      <c r="A81" s="5">
        <v>81</v>
      </c>
      <c r="B81" s="5" t="s">
        <v>297</v>
      </c>
      <c r="C81" s="5" t="s">
        <v>761</v>
      </c>
      <c r="D81" s="5" t="s">
        <v>785</v>
      </c>
      <c r="E81" s="5" t="s">
        <v>677</v>
      </c>
      <c r="F81" s="5" t="s">
        <v>395</v>
      </c>
      <c r="G81" s="5" t="s">
        <v>786</v>
      </c>
      <c r="H81" s="5" t="s">
        <v>734</v>
      </c>
    </row>
    <row r="82" spans="1:19">
      <c r="A82" s="5">
        <v>82</v>
      </c>
      <c r="B82" s="5" t="s">
        <v>411</v>
      </c>
      <c r="C82" s="5" t="s">
        <v>305</v>
      </c>
      <c r="D82" s="5" t="s">
        <v>787</v>
      </c>
    </row>
    <row r="83" spans="1:19">
      <c r="A83" s="5">
        <v>83</v>
      </c>
      <c r="B83" s="5" t="s">
        <v>427</v>
      </c>
      <c r="C83" s="5" t="s">
        <v>297</v>
      </c>
      <c r="D83" s="5" t="s">
        <v>788</v>
      </c>
      <c r="E83" s="5" t="s">
        <v>413</v>
      </c>
      <c r="F83" s="5" t="s">
        <v>311</v>
      </c>
      <c r="G83" s="5" t="s">
        <v>298</v>
      </c>
      <c r="H83" s="5" t="s">
        <v>789</v>
      </c>
      <c r="I83" s="5" t="s">
        <v>743</v>
      </c>
      <c r="J83" s="5" t="s">
        <v>790</v>
      </c>
      <c r="K83" s="5" t="s">
        <v>698</v>
      </c>
      <c r="L83" s="5" t="s">
        <v>791</v>
      </c>
      <c r="M83" s="5" t="s">
        <v>306</v>
      </c>
      <c r="N83" s="5" t="s">
        <v>792</v>
      </c>
      <c r="O83" s="5" t="s">
        <v>393</v>
      </c>
      <c r="P83" s="5" t="s">
        <v>793</v>
      </c>
      <c r="Q83" s="5" t="s">
        <v>794</v>
      </c>
      <c r="R83" s="5" t="s">
        <v>795</v>
      </c>
      <c r="S83" s="5" t="s">
        <v>319</v>
      </c>
    </row>
    <row r="84" spans="1:19">
      <c r="A84" s="5">
        <v>84</v>
      </c>
      <c r="B84" s="5" t="s">
        <v>299</v>
      </c>
      <c r="C84" s="5" t="s">
        <v>423</v>
      </c>
      <c r="D84" s="5" t="s">
        <v>701</v>
      </c>
      <c r="E84" s="5" t="s">
        <v>413</v>
      </c>
      <c r="F84" s="5" t="s">
        <v>311</v>
      </c>
    </row>
    <row r="85" spans="1:19">
      <c r="A85" s="5">
        <v>85</v>
      </c>
      <c r="B85" s="5" t="s">
        <v>796</v>
      </c>
      <c r="C85" s="5" t="s">
        <v>738</v>
      </c>
      <c r="D85" s="5" t="s">
        <v>412</v>
      </c>
      <c r="E85" s="5" t="s">
        <v>424</v>
      </c>
      <c r="F85" s="5" t="s">
        <v>425</v>
      </c>
      <c r="G85" s="5" t="s">
        <v>726</v>
      </c>
    </row>
    <row r="86" spans="1:19">
      <c r="A86" s="5">
        <v>86</v>
      </c>
    </row>
    <row r="87" spans="1:19">
      <c r="A87" s="5">
        <v>87</v>
      </c>
    </row>
    <row r="88" spans="1:19">
      <c r="A88" s="5">
        <v>88</v>
      </c>
    </row>
    <row r="89" spans="1:19">
      <c r="A89" s="5">
        <v>89</v>
      </c>
    </row>
    <row r="90" spans="1:19">
      <c r="A90" s="5">
        <v>90</v>
      </c>
    </row>
    <row r="91" spans="1:19">
      <c r="A91" s="5">
        <v>91</v>
      </c>
    </row>
    <row r="92" spans="1:19">
      <c r="A92" s="5">
        <v>92</v>
      </c>
    </row>
    <row r="93" spans="1:19">
      <c r="A93" s="5">
        <v>93</v>
      </c>
    </row>
    <row r="94" spans="1:19">
      <c r="A94" s="5">
        <v>94</v>
      </c>
    </row>
    <row r="95" spans="1:19">
      <c r="A95" s="5">
        <v>95</v>
      </c>
    </row>
    <row r="96" spans="1:19">
      <c r="A96" s="5">
        <v>96</v>
      </c>
    </row>
    <row r="97" spans="1:1">
      <c r="A97" s="5">
        <v>97</v>
      </c>
    </row>
    <row r="98" spans="1:1">
      <c r="A98" s="5">
        <v>98</v>
      </c>
    </row>
    <row r="99" spans="1:1">
      <c r="A99" s="5">
        <v>99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A99"/>
  <sheetViews>
    <sheetView topLeftCell="A64" workbookViewId="0">
      <selection activeCell="I63" sqref="I63"/>
    </sheetView>
  </sheetViews>
  <sheetFormatPr baseColWidth="10" defaultColWidth="11.42578125" defaultRowHeight="14.25"/>
  <cols>
    <col min="1" max="16384" width="11.42578125" style="5"/>
  </cols>
  <sheetData>
    <row r="1" spans="1:27">
      <c r="A1" s="5">
        <v>1</v>
      </c>
      <c r="B1" s="5" t="s">
        <v>488</v>
      </c>
      <c r="C1" s="5" t="s">
        <v>107</v>
      </c>
      <c r="E1" s="5" t="s">
        <v>489</v>
      </c>
    </row>
    <row r="2" spans="1:27">
      <c r="A2" s="5">
        <v>2</v>
      </c>
      <c r="B2" s="5" t="s">
        <v>429</v>
      </c>
      <c r="C2" s="5" t="s">
        <v>107</v>
      </c>
      <c r="D2" s="5" t="s">
        <v>107</v>
      </c>
      <c r="H2" s="5" t="s">
        <v>490</v>
      </c>
      <c r="I2" s="5" t="s">
        <v>489</v>
      </c>
    </row>
    <row r="3" spans="1:27">
      <c r="A3" s="5">
        <v>3</v>
      </c>
      <c r="F3" s="5" t="s">
        <v>432</v>
      </c>
      <c r="G3" s="5" t="s">
        <v>491</v>
      </c>
      <c r="H3" s="5" t="s">
        <v>433</v>
      </c>
      <c r="I3" s="5" t="s">
        <v>492</v>
      </c>
      <c r="J3" s="5" t="s">
        <v>107</v>
      </c>
      <c r="K3" s="5" t="s">
        <v>107</v>
      </c>
      <c r="L3" s="5" t="s">
        <v>434</v>
      </c>
      <c r="M3" s="5" t="s">
        <v>107</v>
      </c>
      <c r="N3" s="5" t="s">
        <v>107</v>
      </c>
      <c r="O3" s="5" t="s">
        <v>107</v>
      </c>
      <c r="P3" s="5" t="s">
        <v>435</v>
      </c>
      <c r="Q3" s="5" t="s">
        <v>107</v>
      </c>
      <c r="R3" s="5" t="s">
        <v>489</v>
      </c>
      <c r="S3" s="5" t="s">
        <v>493</v>
      </c>
      <c r="T3" s="5" t="s">
        <v>494</v>
      </c>
      <c r="U3" s="5" t="s">
        <v>107</v>
      </c>
      <c r="V3" s="5" t="s">
        <v>107</v>
      </c>
      <c r="W3" s="5" t="s">
        <v>436</v>
      </c>
      <c r="Y3" s="5" t="s">
        <v>107</v>
      </c>
      <c r="Z3" s="5" t="s">
        <v>495</v>
      </c>
      <c r="AA3" s="5" t="s">
        <v>107</v>
      </c>
    </row>
    <row r="4" spans="1:27">
      <c r="A4" s="5">
        <v>4</v>
      </c>
      <c r="C4" s="5" t="s">
        <v>429</v>
      </c>
      <c r="D4" s="5" t="s">
        <v>107</v>
      </c>
      <c r="E4" s="5" t="s">
        <v>107</v>
      </c>
      <c r="I4" s="5" t="s">
        <v>490</v>
      </c>
      <c r="J4" s="5" t="s">
        <v>489</v>
      </c>
    </row>
    <row r="5" spans="1:27">
      <c r="A5" s="5">
        <v>5</v>
      </c>
      <c r="B5" s="5" t="s">
        <v>496</v>
      </c>
      <c r="C5" s="5" t="s">
        <v>489</v>
      </c>
      <c r="D5" s="5" t="s">
        <v>497</v>
      </c>
      <c r="E5" s="5" t="s">
        <v>437</v>
      </c>
      <c r="F5" s="5" t="s">
        <v>431</v>
      </c>
      <c r="G5" s="5" t="s">
        <v>498</v>
      </c>
      <c r="H5" s="5" t="s">
        <v>499</v>
      </c>
      <c r="I5" s="5" t="s">
        <v>500</v>
      </c>
      <c r="J5" s="5" t="s">
        <v>107</v>
      </c>
      <c r="K5" s="5" t="s">
        <v>107</v>
      </c>
    </row>
    <row r="6" spans="1:27">
      <c r="A6" s="5">
        <v>6</v>
      </c>
      <c r="B6" s="5" t="s">
        <v>107</v>
      </c>
      <c r="C6" s="5" t="s">
        <v>501</v>
      </c>
      <c r="D6" s="5" t="s">
        <v>502</v>
      </c>
      <c r="E6" s="5" t="s">
        <v>503</v>
      </c>
      <c r="F6" s="5" t="s">
        <v>489</v>
      </c>
      <c r="G6" s="5" t="s">
        <v>504</v>
      </c>
      <c r="H6" s="5" t="s">
        <v>505</v>
      </c>
      <c r="I6" s="5" t="s">
        <v>401</v>
      </c>
      <c r="J6" s="5" t="s">
        <v>506</v>
      </c>
      <c r="K6" s="5" t="s">
        <v>507</v>
      </c>
      <c r="L6" s="5" t="s">
        <v>438</v>
      </c>
      <c r="M6" s="5" t="s">
        <v>508</v>
      </c>
      <c r="N6" s="5" t="s">
        <v>509</v>
      </c>
      <c r="O6" s="5" t="s">
        <v>439</v>
      </c>
      <c r="P6" s="5" t="s">
        <v>401</v>
      </c>
      <c r="Q6" s="5" t="s">
        <v>440</v>
      </c>
      <c r="R6" s="5" t="s">
        <v>510</v>
      </c>
      <c r="S6" s="5" t="s">
        <v>511</v>
      </c>
      <c r="T6" s="5" t="s">
        <v>402</v>
      </c>
      <c r="U6" s="5" t="s">
        <v>400</v>
      </c>
      <c r="V6" s="5" t="s">
        <v>512</v>
      </c>
      <c r="W6" s="5" t="s">
        <v>513</v>
      </c>
    </row>
    <row r="7" spans="1:27">
      <c r="A7" s="5">
        <v>7</v>
      </c>
      <c r="B7" s="5" t="s">
        <v>514</v>
      </c>
      <c r="C7" s="5" t="s">
        <v>489</v>
      </c>
      <c r="D7" s="5" t="s">
        <v>515</v>
      </c>
      <c r="E7" s="5" t="s">
        <v>516</v>
      </c>
      <c r="G7" s="5" t="s">
        <v>513</v>
      </c>
    </row>
    <row r="8" spans="1:27">
      <c r="A8" s="5">
        <v>8</v>
      </c>
      <c r="B8" s="5" t="s">
        <v>517</v>
      </c>
      <c r="C8" s="5" t="s">
        <v>518</v>
      </c>
      <c r="E8" s="5" t="s">
        <v>489</v>
      </c>
      <c r="F8" s="5" t="s">
        <v>519</v>
      </c>
      <c r="G8" s="5" t="s">
        <v>513</v>
      </c>
    </row>
    <row r="9" spans="1:27">
      <c r="A9" s="5">
        <v>9</v>
      </c>
      <c r="B9" s="5" t="s">
        <v>441</v>
      </c>
      <c r="C9" s="5" t="s">
        <v>505</v>
      </c>
      <c r="E9" s="5" t="s">
        <v>489</v>
      </c>
      <c r="F9" s="5" t="s">
        <v>520</v>
      </c>
      <c r="G9" s="5" t="s">
        <v>513</v>
      </c>
    </row>
    <row r="10" spans="1:27">
      <c r="A10" s="5">
        <v>10</v>
      </c>
      <c r="B10" s="5" t="s">
        <v>442</v>
      </c>
      <c r="C10" s="5" t="s">
        <v>505</v>
      </c>
      <c r="E10" s="5" t="s">
        <v>489</v>
      </c>
      <c r="F10" s="5" t="s">
        <v>521</v>
      </c>
      <c r="G10" s="5" t="s">
        <v>513</v>
      </c>
    </row>
    <row r="11" spans="1:27">
      <c r="A11" s="5">
        <v>11</v>
      </c>
      <c r="B11" s="5" t="s">
        <v>443</v>
      </c>
      <c r="C11" s="5" t="s">
        <v>505</v>
      </c>
      <c r="E11" s="5" t="s">
        <v>489</v>
      </c>
      <c r="F11" s="5" t="s">
        <v>522</v>
      </c>
      <c r="G11" s="5" t="s">
        <v>513</v>
      </c>
    </row>
    <row r="12" spans="1:27">
      <c r="A12" s="5">
        <v>12</v>
      </c>
      <c r="B12" s="5" t="s">
        <v>444</v>
      </c>
      <c r="C12" s="5" t="s">
        <v>445</v>
      </c>
      <c r="F12" s="5" t="s">
        <v>489</v>
      </c>
      <c r="G12" s="5" t="s">
        <v>523</v>
      </c>
    </row>
    <row r="13" spans="1:27">
      <c r="A13" s="5">
        <v>13</v>
      </c>
      <c r="B13" s="5" t="s">
        <v>444</v>
      </c>
      <c r="C13" s="5" t="s">
        <v>445</v>
      </c>
      <c r="F13" s="5" t="s">
        <v>489</v>
      </c>
      <c r="G13" s="5" t="s">
        <v>524</v>
      </c>
    </row>
    <row r="14" spans="1:27">
      <c r="A14" s="5">
        <v>14</v>
      </c>
      <c r="B14" s="5" t="s">
        <v>444</v>
      </c>
      <c r="C14" s="5" t="s">
        <v>525</v>
      </c>
      <c r="F14" s="5" t="s">
        <v>489</v>
      </c>
      <c r="G14" s="5" t="s">
        <v>526</v>
      </c>
    </row>
    <row r="15" spans="1:27">
      <c r="A15" s="5">
        <v>15</v>
      </c>
      <c r="B15" s="5" t="s">
        <v>444</v>
      </c>
      <c r="C15" s="5" t="s">
        <v>445</v>
      </c>
      <c r="E15" s="5" t="s">
        <v>489</v>
      </c>
      <c r="F15" s="5" t="s">
        <v>527</v>
      </c>
    </row>
    <row r="16" spans="1:27">
      <c r="A16" s="5">
        <v>16</v>
      </c>
      <c r="C16" s="5" t="s">
        <v>429</v>
      </c>
      <c r="D16" s="5" t="s">
        <v>107</v>
      </c>
      <c r="E16" s="5" t="s">
        <v>107</v>
      </c>
      <c r="I16" s="5" t="s">
        <v>490</v>
      </c>
      <c r="J16" s="5" t="s">
        <v>489</v>
      </c>
    </row>
    <row r="17" spans="1:23">
      <c r="A17" s="5">
        <v>17</v>
      </c>
      <c r="B17" s="5" t="s">
        <v>447</v>
      </c>
      <c r="C17" s="5" t="s">
        <v>528</v>
      </c>
      <c r="D17" s="5" t="s">
        <v>446</v>
      </c>
      <c r="E17" s="5" t="s">
        <v>529</v>
      </c>
      <c r="F17" s="5" t="s">
        <v>530</v>
      </c>
      <c r="G17" s="5" t="s">
        <v>531</v>
      </c>
      <c r="H17" s="5" t="s">
        <v>532</v>
      </c>
      <c r="K17" s="5" t="s">
        <v>489</v>
      </c>
      <c r="L17" s="5" t="s">
        <v>533</v>
      </c>
    </row>
    <row r="18" spans="1:23">
      <c r="A18" s="5">
        <v>18</v>
      </c>
      <c r="B18" s="5" t="s">
        <v>404</v>
      </c>
      <c r="C18" s="5" t="s">
        <v>143</v>
      </c>
      <c r="D18" s="5" t="s">
        <v>534</v>
      </c>
      <c r="E18" s="5" t="s">
        <v>403</v>
      </c>
      <c r="F18" s="5" t="s">
        <v>405</v>
      </c>
      <c r="G18" s="5" t="s">
        <v>107</v>
      </c>
      <c r="H18" s="5" t="s">
        <v>107</v>
      </c>
      <c r="I18" s="5" t="s">
        <v>107</v>
      </c>
      <c r="J18" s="5" t="s">
        <v>107</v>
      </c>
      <c r="K18" s="5" t="s">
        <v>107</v>
      </c>
      <c r="L18" s="5" t="s">
        <v>535</v>
      </c>
      <c r="M18" s="5" t="s">
        <v>536</v>
      </c>
      <c r="N18" s="5" t="s">
        <v>537</v>
      </c>
      <c r="O18" s="5" t="s">
        <v>538</v>
      </c>
      <c r="P18" s="5" t="s">
        <v>539</v>
      </c>
      <c r="Q18" s="5" t="s">
        <v>540</v>
      </c>
      <c r="R18" s="5" t="s">
        <v>541</v>
      </c>
      <c r="S18" s="5" t="s">
        <v>542</v>
      </c>
      <c r="T18" s="5" t="s">
        <v>543</v>
      </c>
      <c r="U18" s="5" t="s">
        <v>544</v>
      </c>
      <c r="V18" s="5" t="s">
        <v>489</v>
      </c>
      <c r="W18" s="5" t="s">
        <v>545</v>
      </c>
    </row>
    <row r="19" spans="1:23">
      <c r="A19" s="5">
        <v>19</v>
      </c>
      <c r="B19" s="5" t="s">
        <v>108</v>
      </c>
      <c r="C19" s="5" t="s">
        <v>528</v>
      </c>
      <c r="D19" s="5" t="s">
        <v>326</v>
      </c>
      <c r="E19" s="5" t="s">
        <v>546</v>
      </c>
      <c r="F19" s="5" t="s">
        <v>547</v>
      </c>
      <c r="G19" s="5" t="s">
        <v>327</v>
      </c>
      <c r="J19" s="5" t="s">
        <v>489</v>
      </c>
      <c r="K19" s="5" t="s">
        <v>548</v>
      </c>
      <c r="L19" s="5" t="s">
        <v>107</v>
      </c>
    </row>
    <row r="20" spans="1:23">
      <c r="A20" s="5">
        <v>20</v>
      </c>
      <c r="B20" s="5" t="s">
        <v>549</v>
      </c>
      <c r="C20" s="5" t="s">
        <v>550</v>
      </c>
      <c r="D20" s="5" t="s">
        <v>489</v>
      </c>
      <c r="E20" s="5" t="s">
        <v>551</v>
      </c>
    </row>
    <row r="21" spans="1:23">
      <c r="A21" s="5">
        <v>21</v>
      </c>
      <c r="B21" s="5" t="s">
        <v>549</v>
      </c>
      <c r="C21" s="5" t="s">
        <v>489</v>
      </c>
      <c r="D21" s="5" t="s">
        <v>552</v>
      </c>
      <c r="E21" s="5" t="s">
        <v>328</v>
      </c>
    </row>
    <row r="22" spans="1:23">
      <c r="A22" s="5">
        <v>22</v>
      </c>
      <c r="B22" s="5" t="s">
        <v>549</v>
      </c>
      <c r="C22" s="5" t="s">
        <v>489</v>
      </c>
      <c r="D22" s="5" t="s">
        <v>553</v>
      </c>
      <c r="E22" s="5" t="s">
        <v>328</v>
      </c>
    </row>
    <row r="23" spans="1:23">
      <c r="A23" s="5">
        <v>23</v>
      </c>
      <c r="B23" s="5" t="s">
        <v>549</v>
      </c>
      <c r="C23" s="5" t="s">
        <v>489</v>
      </c>
      <c r="D23" s="5" t="s">
        <v>554</v>
      </c>
      <c r="E23" s="5" t="s">
        <v>328</v>
      </c>
    </row>
    <row r="24" spans="1:23">
      <c r="A24" s="5">
        <v>24</v>
      </c>
      <c r="B24" s="5" t="s">
        <v>549</v>
      </c>
      <c r="C24" s="5" t="s">
        <v>489</v>
      </c>
      <c r="D24" s="5" t="s">
        <v>555</v>
      </c>
      <c r="E24" s="5" t="s">
        <v>328</v>
      </c>
    </row>
    <row r="25" spans="1:23">
      <c r="A25" s="5">
        <v>25</v>
      </c>
      <c r="B25" s="5" t="s">
        <v>549</v>
      </c>
      <c r="C25" s="5" t="s">
        <v>489</v>
      </c>
      <c r="D25" s="5" t="s">
        <v>556</v>
      </c>
      <c r="E25" s="5" t="s">
        <v>328</v>
      </c>
    </row>
    <row r="26" spans="1:23">
      <c r="A26" s="5">
        <v>26</v>
      </c>
      <c r="B26" s="5" t="s">
        <v>549</v>
      </c>
      <c r="C26" s="5" t="s">
        <v>489</v>
      </c>
      <c r="D26" s="5" t="s">
        <v>557</v>
      </c>
      <c r="E26" s="5" t="s">
        <v>328</v>
      </c>
    </row>
    <row r="27" spans="1:23">
      <c r="A27" s="5">
        <v>27</v>
      </c>
      <c r="B27" s="5" t="s">
        <v>549</v>
      </c>
      <c r="C27" s="5" t="s">
        <v>489</v>
      </c>
      <c r="D27" s="5" t="s">
        <v>558</v>
      </c>
      <c r="E27" s="5" t="s">
        <v>328</v>
      </c>
    </row>
    <row r="28" spans="1:23">
      <c r="A28" s="5">
        <v>28</v>
      </c>
      <c r="B28" s="5" t="s">
        <v>549</v>
      </c>
      <c r="C28" s="5" t="s">
        <v>489</v>
      </c>
      <c r="D28" s="5" t="s">
        <v>559</v>
      </c>
      <c r="E28" s="5" t="s">
        <v>328</v>
      </c>
    </row>
    <row r="29" spans="1:23">
      <c r="A29" s="5">
        <v>29</v>
      </c>
      <c r="B29" s="5" t="s">
        <v>549</v>
      </c>
      <c r="C29" s="5" t="s">
        <v>489</v>
      </c>
      <c r="D29" s="5" t="s">
        <v>560</v>
      </c>
      <c r="E29" s="5" t="s">
        <v>328</v>
      </c>
    </row>
    <row r="30" spans="1:23">
      <c r="A30" s="5">
        <v>30</v>
      </c>
      <c r="B30" s="5" t="s">
        <v>549</v>
      </c>
      <c r="C30" s="5" t="s">
        <v>489</v>
      </c>
      <c r="D30" s="5" t="s">
        <v>561</v>
      </c>
      <c r="E30" s="5" t="s">
        <v>328</v>
      </c>
    </row>
    <row r="31" spans="1:23">
      <c r="A31" s="5">
        <v>31</v>
      </c>
      <c r="B31" s="5" t="s">
        <v>549</v>
      </c>
      <c r="C31" s="5" t="s">
        <v>489</v>
      </c>
      <c r="D31" s="5" t="s">
        <v>562</v>
      </c>
      <c r="E31" s="5" t="s">
        <v>328</v>
      </c>
    </row>
    <row r="32" spans="1:23">
      <c r="A32" s="5">
        <v>32</v>
      </c>
      <c r="B32" s="5" t="s">
        <v>428</v>
      </c>
      <c r="C32" s="5" t="s">
        <v>109</v>
      </c>
      <c r="E32" s="5" t="s">
        <v>489</v>
      </c>
    </row>
    <row r="33" spans="1:20">
      <c r="A33" s="5">
        <v>33</v>
      </c>
      <c r="B33" s="5" t="s">
        <v>448</v>
      </c>
      <c r="C33" s="5" t="s">
        <v>563</v>
      </c>
      <c r="D33" s="5" t="s">
        <v>489</v>
      </c>
      <c r="E33" s="5" t="s">
        <v>564</v>
      </c>
      <c r="F33" s="5" t="s">
        <v>186</v>
      </c>
      <c r="G33" s="5" t="s">
        <v>565</v>
      </c>
      <c r="I33" s="5" t="s">
        <v>185</v>
      </c>
      <c r="J33" s="5" t="s">
        <v>164</v>
      </c>
      <c r="K33" s="5" t="s">
        <v>329</v>
      </c>
      <c r="L33" s="5" t="s">
        <v>330</v>
      </c>
    </row>
    <row r="34" spans="1:20">
      <c r="A34" s="5">
        <v>34</v>
      </c>
      <c r="B34" s="5" t="s">
        <v>565</v>
      </c>
      <c r="C34" s="5" t="s">
        <v>186</v>
      </c>
      <c r="E34" s="5" t="s">
        <v>185</v>
      </c>
      <c r="F34" s="5" t="s">
        <v>164</v>
      </c>
      <c r="G34" s="5" t="s">
        <v>329</v>
      </c>
      <c r="H34" s="5" t="s">
        <v>330</v>
      </c>
      <c r="I34" s="5" t="s">
        <v>566</v>
      </c>
      <c r="J34" s="5" t="s">
        <v>567</v>
      </c>
      <c r="M34" s="5" t="s">
        <v>489</v>
      </c>
      <c r="N34" s="5" t="s">
        <v>568</v>
      </c>
    </row>
    <row r="35" spans="1:20">
      <c r="A35" s="5">
        <v>35</v>
      </c>
      <c r="B35" s="5" t="s">
        <v>334</v>
      </c>
      <c r="C35" s="5" t="s">
        <v>333</v>
      </c>
      <c r="D35" s="5" t="s">
        <v>332</v>
      </c>
      <c r="E35" s="5" t="s">
        <v>331</v>
      </c>
      <c r="F35" s="5" t="s">
        <v>449</v>
      </c>
      <c r="G35" s="5" t="s">
        <v>126</v>
      </c>
      <c r="H35" s="5" t="s">
        <v>127</v>
      </c>
      <c r="I35" s="5" t="s">
        <v>125</v>
      </c>
      <c r="J35" s="5" t="s">
        <v>202</v>
      </c>
      <c r="K35" s="5" t="s">
        <v>335</v>
      </c>
      <c r="Q35" s="5" t="s">
        <v>196</v>
      </c>
      <c r="R35" s="5" t="s">
        <v>244</v>
      </c>
      <c r="S35" s="5" t="s">
        <v>489</v>
      </c>
      <c r="T35" s="5" t="s">
        <v>569</v>
      </c>
    </row>
    <row r="36" spans="1:20">
      <c r="A36" s="5">
        <v>36</v>
      </c>
      <c r="B36" s="5" t="s">
        <v>570</v>
      </c>
      <c r="C36" s="5" t="s">
        <v>571</v>
      </c>
      <c r="E36" s="5" t="s">
        <v>489</v>
      </c>
      <c r="F36" s="5" t="s">
        <v>572</v>
      </c>
    </row>
    <row r="37" spans="1:20">
      <c r="A37" s="5">
        <v>37</v>
      </c>
      <c r="B37" s="5" t="s">
        <v>573</v>
      </c>
      <c r="C37" s="5" t="s">
        <v>489</v>
      </c>
      <c r="D37" s="5" t="s">
        <v>574</v>
      </c>
      <c r="F37" s="5" t="s">
        <v>107</v>
      </c>
      <c r="G37" s="5" t="s">
        <v>575</v>
      </c>
      <c r="H37" s="5" t="s">
        <v>576</v>
      </c>
    </row>
    <row r="38" spans="1:20">
      <c r="A38" s="5">
        <v>38</v>
      </c>
      <c r="B38" s="5" t="s">
        <v>573</v>
      </c>
      <c r="C38" s="5" t="s">
        <v>489</v>
      </c>
      <c r="D38" s="5" t="s">
        <v>577</v>
      </c>
      <c r="F38" s="5" t="s">
        <v>107</v>
      </c>
      <c r="G38" s="5" t="s">
        <v>578</v>
      </c>
      <c r="I38" s="5" t="s">
        <v>336</v>
      </c>
    </row>
    <row r="39" spans="1:20">
      <c r="A39" s="5">
        <v>39</v>
      </c>
      <c r="B39" s="5" t="s">
        <v>428</v>
      </c>
      <c r="C39" s="5" t="s">
        <v>109</v>
      </c>
      <c r="E39" s="5" t="s">
        <v>489</v>
      </c>
    </row>
    <row r="40" spans="1:20">
      <c r="A40" s="5">
        <v>40</v>
      </c>
      <c r="B40" s="5" t="s">
        <v>107</v>
      </c>
      <c r="C40" s="5" t="s">
        <v>579</v>
      </c>
      <c r="D40" s="5" t="s">
        <v>386</v>
      </c>
      <c r="E40" s="5" t="s">
        <v>337</v>
      </c>
      <c r="F40" s="5" t="s">
        <v>489</v>
      </c>
      <c r="G40" s="5" t="s">
        <v>580</v>
      </c>
    </row>
    <row r="41" spans="1:20">
      <c r="A41" s="5">
        <v>41</v>
      </c>
      <c r="B41" s="5" t="s">
        <v>581</v>
      </c>
      <c r="C41" s="5" t="s">
        <v>386</v>
      </c>
      <c r="D41" s="5" t="s">
        <v>338</v>
      </c>
      <c r="E41" s="5" t="s">
        <v>489</v>
      </c>
      <c r="F41" s="5" t="s">
        <v>582</v>
      </c>
      <c r="G41" s="5" t="s">
        <v>339</v>
      </c>
    </row>
    <row r="42" spans="1:20">
      <c r="A42" s="5">
        <v>42</v>
      </c>
      <c r="B42" s="5" t="s">
        <v>107</v>
      </c>
      <c r="C42" s="5" t="s">
        <v>386</v>
      </c>
      <c r="D42" s="5" t="s">
        <v>337</v>
      </c>
      <c r="E42" s="5" t="s">
        <v>489</v>
      </c>
      <c r="F42" s="5" t="s">
        <v>583</v>
      </c>
      <c r="G42" s="5" t="s">
        <v>340</v>
      </c>
    </row>
    <row r="43" spans="1:20">
      <c r="A43" s="5">
        <v>43</v>
      </c>
      <c r="B43" s="5" t="s">
        <v>584</v>
      </c>
      <c r="C43" s="5" t="s">
        <v>585</v>
      </c>
      <c r="D43" s="5" t="s">
        <v>489</v>
      </c>
      <c r="E43" s="5" t="s">
        <v>586</v>
      </c>
      <c r="F43" s="5" t="s">
        <v>338</v>
      </c>
      <c r="G43" s="5" t="s">
        <v>339</v>
      </c>
    </row>
    <row r="44" spans="1:20">
      <c r="A44" s="5">
        <v>44</v>
      </c>
      <c r="B44" s="5" t="s">
        <v>107</v>
      </c>
      <c r="C44" s="5" t="s">
        <v>386</v>
      </c>
      <c r="D44" s="5" t="s">
        <v>337</v>
      </c>
      <c r="E44" s="5" t="s">
        <v>489</v>
      </c>
      <c r="F44" s="5" t="s">
        <v>587</v>
      </c>
      <c r="G44" s="5" t="s">
        <v>341</v>
      </c>
    </row>
    <row r="45" spans="1:20">
      <c r="A45" s="5">
        <v>45</v>
      </c>
      <c r="B45" s="5" t="s">
        <v>588</v>
      </c>
      <c r="C45" s="5" t="s">
        <v>585</v>
      </c>
      <c r="D45" s="5" t="s">
        <v>489</v>
      </c>
      <c r="E45" s="5" t="s">
        <v>589</v>
      </c>
      <c r="F45" s="5" t="s">
        <v>338</v>
      </c>
      <c r="G45" s="5" t="s">
        <v>339</v>
      </c>
    </row>
    <row r="46" spans="1:20">
      <c r="A46" s="5">
        <v>46</v>
      </c>
      <c r="B46" s="5" t="s">
        <v>107</v>
      </c>
      <c r="C46" s="5" t="s">
        <v>386</v>
      </c>
      <c r="D46" s="5" t="s">
        <v>337</v>
      </c>
      <c r="E46" s="5" t="s">
        <v>489</v>
      </c>
      <c r="F46" s="5" t="s">
        <v>590</v>
      </c>
      <c r="G46" s="5" t="s">
        <v>107</v>
      </c>
      <c r="H46" s="5" t="s">
        <v>591</v>
      </c>
    </row>
    <row r="47" spans="1:20">
      <c r="A47" s="5">
        <v>47</v>
      </c>
      <c r="B47" s="5" t="s">
        <v>592</v>
      </c>
      <c r="C47" s="5" t="s">
        <v>386</v>
      </c>
      <c r="D47" s="5" t="s">
        <v>489</v>
      </c>
      <c r="E47" s="5" t="s">
        <v>593</v>
      </c>
      <c r="F47" s="5" t="s">
        <v>338</v>
      </c>
      <c r="G47" s="5" t="s">
        <v>339</v>
      </c>
    </row>
    <row r="48" spans="1:20">
      <c r="A48" s="5">
        <v>48</v>
      </c>
      <c r="B48" s="5" t="s">
        <v>107</v>
      </c>
      <c r="C48" s="5" t="s">
        <v>386</v>
      </c>
      <c r="D48" s="5" t="s">
        <v>337</v>
      </c>
      <c r="E48" s="5" t="s">
        <v>489</v>
      </c>
      <c r="F48" s="5" t="s">
        <v>594</v>
      </c>
      <c r="G48" s="5" t="s">
        <v>595</v>
      </c>
    </row>
    <row r="49" spans="1:18">
      <c r="A49" s="5">
        <v>49</v>
      </c>
      <c r="B49" s="5" t="s">
        <v>596</v>
      </c>
      <c r="C49" s="5" t="s">
        <v>585</v>
      </c>
      <c r="D49" s="5" t="s">
        <v>489</v>
      </c>
      <c r="E49" s="5" t="s">
        <v>597</v>
      </c>
      <c r="F49" s="5" t="s">
        <v>338</v>
      </c>
      <c r="G49" s="5" t="s">
        <v>339</v>
      </c>
    </row>
    <row r="50" spans="1:18">
      <c r="A50" s="5">
        <v>50</v>
      </c>
      <c r="B50" s="5" t="s">
        <v>116</v>
      </c>
      <c r="C50" s="5" t="s">
        <v>489</v>
      </c>
      <c r="D50" s="5" t="s">
        <v>598</v>
      </c>
    </row>
    <row r="51" spans="1:18">
      <c r="A51" s="5">
        <v>51</v>
      </c>
      <c r="B51" s="5" t="s">
        <v>116</v>
      </c>
      <c r="C51" s="5" t="s">
        <v>386</v>
      </c>
      <c r="D51" s="5" t="s">
        <v>489</v>
      </c>
      <c r="E51" s="5" t="s">
        <v>599</v>
      </c>
      <c r="F51" s="5" t="s">
        <v>601</v>
      </c>
      <c r="G51" s="5" t="s">
        <v>797</v>
      </c>
    </row>
    <row r="52" spans="1:18">
      <c r="A52" s="5">
        <v>52</v>
      </c>
      <c r="B52" s="5" t="s">
        <v>428</v>
      </c>
      <c r="C52" s="5" t="s">
        <v>194</v>
      </c>
      <c r="E52" s="5" t="s">
        <v>489</v>
      </c>
    </row>
    <row r="53" spans="1:18">
      <c r="A53" s="5">
        <v>53</v>
      </c>
      <c r="C53" s="5" t="s">
        <v>117</v>
      </c>
      <c r="D53" s="5" t="s">
        <v>489</v>
      </c>
      <c r="E53" s="5" t="s">
        <v>600</v>
      </c>
      <c r="F53" s="5" t="s">
        <v>601</v>
      </c>
      <c r="G53" s="5" t="s">
        <v>602</v>
      </c>
    </row>
    <row r="54" spans="1:18">
      <c r="A54" s="5">
        <v>54</v>
      </c>
      <c r="C54" s="5" t="s">
        <v>343</v>
      </c>
      <c r="D54" s="5" t="s">
        <v>342</v>
      </c>
      <c r="E54" s="5" t="s">
        <v>489</v>
      </c>
      <c r="F54" s="5" t="s">
        <v>603</v>
      </c>
      <c r="G54" s="5" t="s">
        <v>601</v>
      </c>
      <c r="H54" s="5" t="s">
        <v>602</v>
      </c>
    </row>
    <row r="55" spans="1:18">
      <c r="A55" s="5">
        <v>55</v>
      </c>
      <c r="B55" s="5" t="s">
        <v>428</v>
      </c>
      <c r="C55" s="5" t="s">
        <v>450</v>
      </c>
      <c r="E55" s="5" t="s">
        <v>489</v>
      </c>
    </row>
    <row r="56" spans="1:18">
      <c r="A56" s="5">
        <v>56</v>
      </c>
      <c r="B56" s="5" t="s">
        <v>107</v>
      </c>
      <c r="C56" s="5" t="s">
        <v>107</v>
      </c>
      <c r="D56" s="5" t="s">
        <v>344</v>
      </c>
      <c r="E56" s="5" t="s">
        <v>244</v>
      </c>
      <c r="F56" s="5" t="s">
        <v>604</v>
      </c>
      <c r="G56" s="5" t="s">
        <v>406</v>
      </c>
      <c r="H56" s="5" t="s">
        <v>489</v>
      </c>
      <c r="I56" s="5" t="s">
        <v>605</v>
      </c>
      <c r="J56" s="5" t="s">
        <v>107</v>
      </c>
      <c r="K56" s="5" t="s">
        <v>107</v>
      </c>
      <c r="N56" s="5" t="s">
        <v>107</v>
      </c>
      <c r="O56" s="5" t="s">
        <v>606</v>
      </c>
      <c r="P56" s="5" t="s">
        <v>607</v>
      </c>
      <c r="Q56" s="5" t="s">
        <v>471</v>
      </c>
      <c r="R56" s="5" t="s">
        <v>608</v>
      </c>
    </row>
    <row r="57" spans="1:18">
      <c r="A57" s="5">
        <v>57</v>
      </c>
      <c r="B57" s="5" t="s">
        <v>107</v>
      </c>
      <c r="C57" s="5" t="s">
        <v>107</v>
      </c>
      <c r="D57" s="5" t="s">
        <v>344</v>
      </c>
      <c r="E57" s="5" t="s">
        <v>244</v>
      </c>
      <c r="F57" s="5" t="s">
        <v>604</v>
      </c>
      <c r="G57" s="5" t="s">
        <v>406</v>
      </c>
      <c r="H57" s="5" t="s">
        <v>489</v>
      </c>
      <c r="I57" s="5" t="s">
        <v>609</v>
      </c>
      <c r="J57" s="5" t="s">
        <v>107</v>
      </c>
      <c r="K57" s="5" t="s">
        <v>107</v>
      </c>
      <c r="N57" s="5" t="s">
        <v>107</v>
      </c>
      <c r="O57" s="5" t="s">
        <v>606</v>
      </c>
      <c r="P57" s="5" t="s">
        <v>607</v>
      </c>
      <c r="Q57" s="5" t="s">
        <v>471</v>
      </c>
      <c r="R57" s="5" t="s">
        <v>608</v>
      </c>
    </row>
    <row r="58" spans="1:18">
      <c r="A58" s="5">
        <v>58</v>
      </c>
      <c r="B58" s="5" t="s">
        <v>107</v>
      </c>
      <c r="C58" s="5" t="s">
        <v>107</v>
      </c>
      <c r="D58" s="5" t="s">
        <v>344</v>
      </c>
      <c r="E58" s="5" t="s">
        <v>244</v>
      </c>
      <c r="F58" s="5" t="s">
        <v>604</v>
      </c>
      <c r="G58" s="5" t="s">
        <v>406</v>
      </c>
      <c r="H58" s="5" t="s">
        <v>489</v>
      </c>
      <c r="I58" s="5" t="s">
        <v>610</v>
      </c>
      <c r="J58" s="5" t="s">
        <v>107</v>
      </c>
      <c r="K58" s="5" t="s">
        <v>107</v>
      </c>
      <c r="N58" s="5" t="s">
        <v>107</v>
      </c>
      <c r="O58" s="5" t="s">
        <v>606</v>
      </c>
      <c r="P58" s="5" t="s">
        <v>607</v>
      </c>
      <c r="Q58" s="5" t="s">
        <v>471</v>
      </c>
      <c r="R58" s="5" t="s">
        <v>608</v>
      </c>
    </row>
    <row r="59" spans="1:18">
      <c r="A59" s="5">
        <v>59</v>
      </c>
      <c r="B59" s="5" t="s">
        <v>107</v>
      </c>
      <c r="C59" s="5" t="s">
        <v>107</v>
      </c>
      <c r="D59" s="5" t="s">
        <v>344</v>
      </c>
      <c r="E59" s="5" t="s">
        <v>244</v>
      </c>
      <c r="F59" s="5" t="s">
        <v>604</v>
      </c>
      <c r="G59" s="5" t="s">
        <v>406</v>
      </c>
      <c r="H59" s="5" t="s">
        <v>489</v>
      </c>
      <c r="I59" s="5" t="s">
        <v>611</v>
      </c>
      <c r="J59" s="5" t="s">
        <v>107</v>
      </c>
      <c r="K59" s="5" t="s">
        <v>107</v>
      </c>
      <c r="N59" s="5" t="s">
        <v>107</v>
      </c>
      <c r="O59" s="5" t="s">
        <v>606</v>
      </c>
      <c r="P59" s="5" t="s">
        <v>607</v>
      </c>
      <c r="Q59" s="5" t="s">
        <v>471</v>
      </c>
      <c r="R59" s="5" t="s">
        <v>608</v>
      </c>
    </row>
    <row r="60" spans="1:18">
      <c r="A60" s="5">
        <v>60</v>
      </c>
      <c r="B60" s="5" t="s">
        <v>107</v>
      </c>
      <c r="C60" s="5" t="s">
        <v>107</v>
      </c>
      <c r="D60" s="5" t="s">
        <v>344</v>
      </c>
      <c r="E60" s="5" t="s">
        <v>244</v>
      </c>
      <c r="F60" s="5" t="s">
        <v>604</v>
      </c>
      <c r="G60" s="5" t="s">
        <v>406</v>
      </c>
      <c r="H60" s="5" t="s">
        <v>489</v>
      </c>
      <c r="I60" s="5" t="s">
        <v>612</v>
      </c>
      <c r="J60" s="5" t="s">
        <v>107</v>
      </c>
      <c r="K60" s="5" t="s">
        <v>107</v>
      </c>
      <c r="N60" s="5" t="s">
        <v>107</v>
      </c>
      <c r="O60" s="5" t="s">
        <v>606</v>
      </c>
      <c r="P60" s="5" t="s">
        <v>607</v>
      </c>
      <c r="Q60" s="5" t="s">
        <v>471</v>
      </c>
      <c r="R60" s="5" t="s">
        <v>608</v>
      </c>
    </row>
    <row r="61" spans="1:18">
      <c r="A61" s="5">
        <v>61</v>
      </c>
      <c r="B61" s="5" t="s">
        <v>107</v>
      </c>
      <c r="C61" s="5" t="s">
        <v>107</v>
      </c>
      <c r="D61" s="5" t="s">
        <v>344</v>
      </c>
      <c r="E61" s="5" t="s">
        <v>244</v>
      </c>
      <c r="F61" s="5" t="s">
        <v>604</v>
      </c>
      <c r="G61" s="5" t="s">
        <v>406</v>
      </c>
      <c r="H61" s="5" t="s">
        <v>489</v>
      </c>
      <c r="I61" s="5" t="s">
        <v>613</v>
      </c>
      <c r="J61" s="5" t="s">
        <v>107</v>
      </c>
      <c r="K61" s="5" t="s">
        <v>107</v>
      </c>
      <c r="N61" s="5" t="s">
        <v>107</v>
      </c>
      <c r="O61" s="5" t="s">
        <v>606</v>
      </c>
      <c r="P61" s="5" t="s">
        <v>607</v>
      </c>
      <c r="Q61" s="5" t="s">
        <v>471</v>
      </c>
      <c r="R61" s="5" t="s">
        <v>608</v>
      </c>
    </row>
    <row r="62" spans="1:18">
      <c r="A62" s="5">
        <v>62</v>
      </c>
      <c r="B62" s="5" t="s">
        <v>107</v>
      </c>
      <c r="C62" s="5" t="s">
        <v>107</v>
      </c>
      <c r="D62" s="5" t="s">
        <v>344</v>
      </c>
      <c r="E62" s="5" t="s">
        <v>244</v>
      </c>
      <c r="F62" s="5" t="s">
        <v>604</v>
      </c>
      <c r="G62" s="5" t="s">
        <v>406</v>
      </c>
      <c r="H62" s="5" t="s">
        <v>489</v>
      </c>
      <c r="I62" s="5" t="s">
        <v>614</v>
      </c>
      <c r="J62" s="5" t="s">
        <v>107</v>
      </c>
      <c r="K62" s="5" t="s">
        <v>107</v>
      </c>
      <c r="N62" s="5" t="s">
        <v>107</v>
      </c>
      <c r="O62" s="5" t="s">
        <v>606</v>
      </c>
      <c r="P62" s="5" t="s">
        <v>607</v>
      </c>
      <c r="Q62" s="5" t="s">
        <v>471</v>
      </c>
      <c r="R62" s="5" t="s">
        <v>608</v>
      </c>
    </row>
    <row r="63" spans="1:18">
      <c r="A63" s="5">
        <v>63</v>
      </c>
      <c r="B63" s="5" t="s">
        <v>107</v>
      </c>
      <c r="C63" s="5" t="s">
        <v>107</v>
      </c>
      <c r="D63" s="5" t="s">
        <v>344</v>
      </c>
      <c r="E63" s="5" t="s">
        <v>244</v>
      </c>
      <c r="F63" s="5" t="s">
        <v>604</v>
      </c>
      <c r="G63" s="5" t="s">
        <v>406</v>
      </c>
      <c r="H63" s="5" t="s">
        <v>489</v>
      </c>
      <c r="I63" s="5" t="s">
        <v>615</v>
      </c>
      <c r="J63" s="5" t="s">
        <v>107</v>
      </c>
      <c r="K63" s="5" t="s">
        <v>107</v>
      </c>
      <c r="N63" s="5" t="s">
        <v>107</v>
      </c>
      <c r="O63" s="5" t="s">
        <v>606</v>
      </c>
      <c r="P63" s="5" t="s">
        <v>607</v>
      </c>
      <c r="Q63" s="5" t="s">
        <v>471</v>
      </c>
      <c r="R63" s="5" t="s">
        <v>608</v>
      </c>
    </row>
    <row r="64" spans="1:18">
      <c r="A64" s="5">
        <v>64</v>
      </c>
      <c r="B64" s="5" t="s">
        <v>107</v>
      </c>
      <c r="C64" s="5" t="s">
        <v>107</v>
      </c>
      <c r="D64" s="5" t="s">
        <v>344</v>
      </c>
      <c r="E64" s="5" t="s">
        <v>244</v>
      </c>
      <c r="F64" s="5" t="s">
        <v>604</v>
      </c>
      <c r="G64" s="5" t="s">
        <v>406</v>
      </c>
      <c r="H64" s="5" t="s">
        <v>489</v>
      </c>
      <c r="I64" s="5" t="s">
        <v>616</v>
      </c>
      <c r="J64" s="5" t="s">
        <v>107</v>
      </c>
      <c r="K64" s="5" t="s">
        <v>107</v>
      </c>
      <c r="N64" s="5" t="s">
        <v>107</v>
      </c>
      <c r="O64" s="5" t="s">
        <v>606</v>
      </c>
      <c r="P64" s="5" t="s">
        <v>607</v>
      </c>
      <c r="Q64" s="5" t="s">
        <v>471</v>
      </c>
      <c r="R64" s="5" t="s">
        <v>608</v>
      </c>
    </row>
    <row r="65" spans="1:18">
      <c r="A65" s="5">
        <v>65</v>
      </c>
      <c r="B65" s="5" t="s">
        <v>107</v>
      </c>
      <c r="C65" s="5" t="s">
        <v>107</v>
      </c>
      <c r="D65" s="5" t="s">
        <v>344</v>
      </c>
      <c r="E65" s="5" t="s">
        <v>244</v>
      </c>
      <c r="F65" s="5" t="s">
        <v>604</v>
      </c>
      <c r="G65" s="5" t="s">
        <v>406</v>
      </c>
      <c r="H65" s="5" t="s">
        <v>489</v>
      </c>
      <c r="I65" s="5" t="s">
        <v>617</v>
      </c>
      <c r="J65" s="5" t="s">
        <v>107</v>
      </c>
      <c r="K65" s="5" t="s">
        <v>107</v>
      </c>
      <c r="N65" s="5" t="s">
        <v>107</v>
      </c>
      <c r="O65" s="5" t="s">
        <v>606</v>
      </c>
      <c r="P65" s="5" t="s">
        <v>607</v>
      </c>
      <c r="Q65" s="5" t="s">
        <v>471</v>
      </c>
      <c r="R65" s="5" t="s">
        <v>608</v>
      </c>
    </row>
    <row r="66" spans="1:18">
      <c r="A66" s="5">
        <v>66</v>
      </c>
      <c r="B66" s="5" t="s">
        <v>107</v>
      </c>
      <c r="C66" s="5" t="s">
        <v>107</v>
      </c>
      <c r="D66" s="5" t="s">
        <v>344</v>
      </c>
      <c r="E66" s="5" t="s">
        <v>244</v>
      </c>
      <c r="F66" s="5" t="s">
        <v>604</v>
      </c>
      <c r="G66" s="5" t="s">
        <v>406</v>
      </c>
      <c r="H66" s="5" t="s">
        <v>489</v>
      </c>
      <c r="I66" s="5" t="s">
        <v>618</v>
      </c>
      <c r="J66" s="5" t="s">
        <v>107</v>
      </c>
      <c r="K66" s="5" t="s">
        <v>107</v>
      </c>
      <c r="N66" s="5" t="s">
        <v>107</v>
      </c>
      <c r="O66" s="5" t="s">
        <v>606</v>
      </c>
      <c r="P66" s="5" t="s">
        <v>607</v>
      </c>
      <c r="Q66" s="5" t="s">
        <v>471</v>
      </c>
      <c r="R66" s="5" t="s">
        <v>608</v>
      </c>
    </row>
    <row r="67" spans="1:18">
      <c r="A67" s="5">
        <v>67</v>
      </c>
      <c r="B67" s="5" t="s">
        <v>107</v>
      </c>
      <c r="C67" s="5" t="s">
        <v>107</v>
      </c>
      <c r="D67" s="5" t="s">
        <v>344</v>
      </c>
      <c r="E67" s="5" t="s">
        <v>244</v>
      </c>
      <c r="F67" s="5" t="s">
        <v>604</v>
      </c>
      <c r="G67" s="5" t="s">
        <v>406</v>
      </c>
      <c r="H67" s="5" t="s">
        <v>489</v>
      </c>
      <c r="I67" s="5" t="s">
        <v>619</v>
      </c>
      <c r="J67" s="5" t="s">
        <v>107</v>
      </c>
      <c r="K67" s="5" t="s">
        <v>107</v>
      </c>
      <c r="N67" s="5" t="s">
        <v>107</v>
      </c>
      <c r="O67" s="5" t="s">
        <v>606</v>
      </c>
      <c r="P67" s="5" t="s">
        <v>607</v>
      </c>
      <c r="Q67" s="5" t="s">
        <v>471</v>
      </c>
      <c r="R67" s="5" t="s">
        <v>608</v>
      </c>
    </row>
    <row r="68" spans="1:18">
      <c r="A68" s="5">
        <v>68</v>
      </c>
      <c r="B68" s="5" t="s">
        <v>451</v>
      </c>
      <c r="C68" s="5" t="s">
        <v>489</v>
      </c>
      <c r="D68" s="5" t="s">
        <v>620</v>
      </c>
      <c r="E68" s="5" t="s">
        <v>328</v>
      </c>
    </row>
    <row r="69" spans="1:18">
      <c r="A69" s="5">
        <v>69</v>
      </c>
      <c r="B69" s="5" t="s">
        <v>107</v>
      </c>
      <c r="C69" s="5" t="s">
        <v>107</v>
      </c>
      <c r="D69" s="5" t="s">
        <v>344</v>
      </c>
      <c r="E69" s="5" t="s">
        <v>244</v>
      </c>
      <c r="F69" s="5" t="s">
        <v>451</v>
      </c>
      <c r="G69" s="5" t="s">
        <v>406</v>
      </c>
      <c r="H69" s="5" t="s">
        <v>489</v>
      </c>
      <c r="I69" s="5" t="s">
        <v>621</v>
      </c>
      <c r="J69" s="5" t="s">
        <v>107</v>
      </c>
      <c r="K69" s="5" t="s">
        <v>107</v>
      </c>
      <c r="N69" s="5" t="s">
        <v>107</v>
      </c>
      <c r="O69" s="5" t="s">
        <v>606</v>
      </c>
      <c r="P69" s="5" t="s">
        <v>607</v>
      </c>
      <c r="Q69" s="5" t="s">
        <v>471</v>
      </c>
      <c r="R69" s="5" t="s">
        <v>608</v>
      </c>
    </row>
    <row r="70" spans="1:18">
      <c r="A70" s="5">
        <v>70</v>
      </c>
      <c r="B70" s="5" t="s">
        <v>622</v>
      </c>
      <c r="C70" s="5" t="s">
        <v>489</v>
      </c>
      <c r="D70" s="5" t="s">
        <v>623</v>
      </c>
      <c r="E70" s="5" t="s">
        <v>328</v>
      </c>
    </row>
    <row r="71" spans="1:18">
      <c r="A71" s="5">
        <v>71</v>
      </c>
      <c r="B71" s="5" t="s">
        <v>107</v>
      </c>
      <c r="C71" s="5" t="s">
        <v>107</v>
      </c>
      <c r="D71" s="5" t="s">
        <v>344</v>
      </c>
      <c r="E71" s="5" t="s">
        <v>244</v>
      </c>
      <c r="F71" s="5" t="s">
        <v>622</v>
      </c>
      <c r="G71" s="5" t="s">
        <v>406</v>
      </c>
      <c r="H71" s="5" t="s">
        <v>489</v>
      </c>
      <c r="I71" s="5" t="s">
        <v>624</v>
      </c>
      <c r="J71" s="5" t="s">
        <v>107</v>
      </c>
      <c r="K71" s="5" t="s">
        <v>107</v>
      </c>
      <c r="N71" s="5" t="s">
        <v>107</v>
      </c>
      <c r="O71" s="5" t="s">
        <v>606</v>
      </c>
      <c r="P71" s="5" t="s">
        <v>607</v>
      </c>
      <c r="Q71" s="5" t="s">
        <v>471</v>
      </c>
      <c r="R71" s="5" t="s">
        <v>608</v>
      </c>
    </row>
    <row r="72" spans="1:18">
      <c r="A72" s="5">
        <v>72</v>
      </c>
      <c r="B72" s="5" t="s">
        <v>452</v>
      </c>
      <c r="C72" s="5" t="s">
        <v>489</v>
      </c>
      <c r="D72" s="5" t="s">
        <v>625</v>
      </c>
      <c r="E72" s="5" t="s">
        <v>328</v>
      </c>
    </row>
    <row r="73" spans="1:18">
      <c r="A73" s="5">
        <v>73</v>
      </c>
      <c r="B73" s="5" t="s">
        <v>107</v>
      </c>
      <c r="C73" s="5" t="s">
        <v>107</v>
      </c>
      <c r="D73" s="5" t="s">
        <v>344</v>
      </c>
      <c r="E73" s="5" t="s">
        <v>453</v>
      </c>
      <c r="F73" s="5" t="s">
        <v>406</v>
      </c>
      <c r="G73" s="5" t="s">
        <v>489</v>
      </c>
      <c r="H73" s="5" t="s">
        <v>626</v>
      </c>
      <c r="I73" s="5" t="s">
        <v>107</v>
      </c>
      <c r="J73" s="5" t="s">
        <v>107</v>
      </c>
      <c r="M73" s="5" t="s">
        <v>107</v>
      </c>
      <c r="N73" s="5" t="s">
        <v>606</v>
      </c>
      <c r="O73" s="5" t="s">
        <v>607</v>
      </c>
      <c r="P73" s="5" t="s">
        <v>471</v>
      </c>
      <c r="Q73" s="5" t="s">
        <v>608</v>
      </c>
      <c r="R73" s="5" t="s">
        <v>627</v>
      </c>
    </row>
    <row r="74" spans="1:18">
      <c r="A74" s="5">
        <v>74</v>
      </c>
      <c r="C74" s="5" t="s">
        <v>429</v>
      </c>
      <c r="D74" s="5" t="s">
        <v>107</v>
      </c>
      <c r="E74" s="5" t="s">
        <v>107</v>
      </c>
      <c r="I74" s="5" t="s">
        <v>490</v>
      </c>
      <c r="J74" s="5" t="s">
        <v>489</v>
      </c>
    </row>
    <row r="75" spans="1:18">
      <c r="A75" s="5">
        <v>75</v>
      </c>
      <c r="B75" s="5" t="s">
        <v>489</v>
      </c>
      <c r="C75" s="5" t="s">
        <v>628</v>
      </c>
      <c r="D75" s="5" t="s">
        <v>437</v>
      </c>
      <c r="E75" s="5" t="s">
        <v>629</v>
      </c>
      <c r="F75" s="5" t="s">
        <v>498</v>
      </c>
      <c r="G75" s="5" t="s">
        <v>499</v>
      </c>
      <c r="H75" s="5" t="s">
        <v>500</v>
      </c>
      <c r="I75" s="5" t="s">
        <v>496</v>
      </c>
    </row>
    <row r="76" spans="1:18">
      <c r="A76" s="5">
        <v>76</v>
      </c>
      <c r="C76" s="5" t="s">
        <v>429</v>
      </c>
      <c r="D76" s="5" t="s">
        <v>107</v>
      </c>
      <c r="E76" s="5" t="s">
        <v>107</v>
      </c>
      <c r="I76" s="5" t="s">
        <v>490</v>
      </c>
      <c r="J76" s="5" t="s">
        <v>489</v>
      </c>
    </row>
    <row r="77" spans="1:18">
      <c r="A77" s="5">
        <v>77</v>
      </c>
      <c r="B77" s="5" t="s">
        <v>430</v>
      </c>
      <c r="C77" s="5" t="s">
        <v>630</v>
      </c>
      <c r="D77" s="5" t="s">
        <v>631</v>
      </c>
      <c r="E77" s="5" t="s">
        <v>489</v>
      </c>
      <c r="F77" s="5" t="s">
        <v>632</v>
      </c>
      <c r="H77" s="5" t="s">
        <v>107</v>
      </c>
      <c r="I77" s="5" t="s">
        <v>633</v>
      </c>
      <c r="J77" s="5" t="s">
        <v>634</v>
      </c>
      <c r="K77" s="5" t="s">
        <v>107</v>
      </c>
      <c r="L77" s="5" t="s">
        <v>635</v>
      </c>
      <c r="M77" s="5" t="s">
        <v>636</v>
      </c>
    </row>
    <row r="78" spans="1:18">
      <c r="A78" s="5">
        <v>78</v>
      </c>
      <c r="B78" s="5" t="s">
        <v>107</v>
      </c>
      <c r="C78" s="5" t="s">
        <v>107</v>
      </c>
      <c r="D78" s="5" t="s">
        <v>107</v>
      </c>
      <c r="E78" s="5" t="s">
        <v>107</v>
      </c>
      <c r="F78" s="5" t="s">
        <v>107</v>
      </c>
      <c r="G78" s="5" t="s">
        <v>107</v>
      </c>
      <c r="H78" s="5" t="s">
        <v>637</v>
      </c>
      <c r="I78" s="5" t="s">
        <v>638</v>
      </c>
      <c r="J78" s="5" t="s">
        <v>639</v>
      </c>
      <c r="K78" s="5" t="s">
        <v>640</v>
      </c>
      <c r="L78" s="5" t="s">
        <v>641</v>
      </c>
      <c r="M78" s="5" t="s">
        <v>642</v>
      </c>
      <c r="N78" s="5" t="s">
        <v>643</v>
      </c>
      <c r="O78" s="5" t="s">
        <v>644</v>
      </c>
      <c r="P78" s="5" t="s">
        <v>645</v>
      </c>
      <c r="Q78" s="5" t="s">
        <v>646</v>
      </c>
      <c r="R78" s="5" t="s">
        <v>647</v>
      </c>
    </row>
    <row r="79" spans="1:18">
      <c r="A79" s="5">
        <v>79</v>
      </c>
      <c r="B79" s="5" t="s">
        <v>107</v>
      </c>
      <c r="C79" s="5" t="s">
        <v>107</v>
      </c>
      <c r="D79" s="5" t="s">
        <v>107</v>
      </c>
      <c r="E79" s="5" t="s">
        <v>107</v>
      </c>
      <c r="F79" s="5" t="s">
        <v>107</v>
      </c>
      <c r="G79" s="5" t="s">
        <v>107</v>
      </c>
      <c r="H79" s="5" t="s">
        <v>648</v>
      </c>
      <c r="I79" s="5" t="s">
        <v>643</v>
      </c>
      <c r="J79" s="5" t="s">
        <v>644</v>
      </c>
      <c r="K79" s="5" t="s">
        <v>645</v>
      </c>
      <c r="L79" s="5" t="s">
        <v>646</v>
      </c>
      <c r="M79" s="5" t="s">
        <v>647</v>
      </c>
      <c r="N79" s="5" t="s">
        <v>649</v>
      </c>
      <c r="O79" s="5" t="s">
        <v>650</v>
      </c>
      <c r="P79" s="5" t="s">
        <v>651</v>
      </c>
      <c r="Q79" s="5" t="s">
        <v>652</v>
      </c>
      <c r="R79" s="5" t="s">
        <v>653</v>
      </c>
    </row>
    <row r="80" spans="1:18">
      <c r="A80" s="5">
        <v>80</v>
      </c>
      <c r="B80" s="5" t="s">
        <v>454</v>
      </c>
      <c r="C80" s="5" t="s">
        <v>654</v>
      </c>
      <c r="D80" s="5" t="s">
        <v>107</v>
      </c>
      <c r="E80" s="5" t="s">
        <v>655</v>
      </c>
      <c r="G80" s="5" t="s">
        <v>489</v>
      </c>
      <c r="H80" s="5" t="s">
        <v>656</v>
      </c>
    </row>
    <row r="81" spans="1:19">
      <c r="A81" s="5">
        <v>81</v>
      </c>
      <c r="B81" s="5" t="s">
        <v>455</v>
      </c>
      <c r="C81" s="5" t="s">
        <v>657</v>
      </c>
      <c r="D81" s="5" t="s">
        <v>107</v>
      </c>
      <c r="E81" s="5" t="s">
        <v>658</v>
      </c>
      <c r="G81" s="5" t="s">
        <v>489</v>
      </c>
      <c r="H81" s="5" t="s">
        <v>659</v>
      </c>
    </row>
    <row r="82" spans="1:19">
      <c r="A82" s="5">
        <v>82</v>
      </c>
      <c r="B82" s="5" t="s">
        <v>660</v>
      </c>
      <c r="D82" s="5" t="s">
        <v>489</v>
      </c>
    </row>
    <row r="83" spans="1:19">
      <c r="A83" s="5">
        <v>83</v>
      </c>
      <c r="C83" s="5" t="s">
        <v>456</v>
      </c>
      <c r="F83" s="5" t="s">
        <v>661</v>
      </c>
      <c r="G83" s="5" t="s">
        <v>662</v>
      </c>
      <c r="I83" s="5" t="s">
        <v>244</v>
      </c>
      <c r="K83" s="5" t="s">
        <v>431</v>
      </c>
      <c r="M83" s="5" t="s">
        <v>663</v>
      </c>
      <c r="O83" s="5" t="s">
        <v>664</v>
      </c>
      <c r="P83" s="5" t="s">
        <v>107</v>
      </c>
      <c r="Q83" s="5" t="s">
        <v>107</v>
      </c>
      <c r="R83" s="5" t="s">
        <v>665</v>
      </c>
      <c r="S83" s="5" t="s">
        <v>666</v>
      </c>
    </row>
    <row r="84" spans="1:19">
      <c r="A84" s="5">
        <v>84</v>
      </c>
      <c r="C84" s="5" t="s">
        <v>457</v>
      </c>
      <c r="F84" s="5" t="s">
        <v>661</v>
      </c>
    </row>
    <row r="85" spans="1:19">
      <c r="A85" s="5">
        <v>85</v>
      </c>
      <c r="B85" s="5" t="s">
        <v>667</v>
      </c>
      <c r="C85" s="5" t="s">
        <v>668</v>
      </c>
      <c r="G85" s="5" t="s">
        <v>489</v>
      </c>
    </row>
    <row r="86" spans="1:19">
      <c r="A86" s="5">
        <v>86</v>
      </c>
    </row>
    <row r="87" spans="1:19">
      <c r="A87" s="5">
        <v>87</v>
      </c>
    </row>
    <row r="88" spans="1:19">
      <c r="A88" s="5">
        <v>88</v>
      </c>
    </row>
    <row r="89" spans="1:19">
      <c r="A89" s="5">
        <v>89</v>
      </c>
    </row>
    <row r="90" spans="1:19">
      <c r="A90" s="5">
        <v>90</v>
      </c>
    </row>
    <row r="91" spans="1:19">
      <c r="A91" s="5">
        <v>91</v>
      </c>
    </row>
    <row r="92" spans="1:19">
      <c r="A92" s="5">
        <v>92</v>
      </c>
    </row>
    <row r="93" spans="1:19">
      <c r="A93" s="5">
        <v>93</v>
      </c>
    </row>
    <row r="94" spans="1:19">
      <c r="A94" s="5">
        <v>94</v>
      </c>
    </row>
    <row r="95" spans="1:19">
      <c r="A95" s="5">
        <v>95</v>
      </c>
    </row>
    <row r="96" spans="1:19">
      <c r="A96" s="5">
        <v>96</v>
      </c>
    </row>
    <row r="97" spans="1:1">
      <c r="A97" s="5">
        <v>97</v>
      </c>
    </row>
    <row r="98" spans="1:1">
      <c r="A98" s="5">
        <v>98</v>
      </c>
    </row>
    <row r="99" spans="1:1">
      <c r="A99" s="5">
        <v>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"/>
  <sheetViews>
    <sheetView topLeftCell="A7" workbookViewId="0">
      <selection activeCell="G26" sqref="G26"/>
    </sheetView>
  </sheetViews>
  <sheetFormatPr baseColWidth="10" defaultColWidth="11.42578125" defaultRowHeight="12.75"/>
  <cols>
    <col min="1" max="16384" width="11.42578125" style="4"/>
  </cols>
  <sheetData/>
  <pageMargins left="0.75" right="0.75" top="1" bottom="1" header="0" footer="0"/>
  <pageSetup orientation="portrait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H55"/>
  <sheetViews>
    <sheetView topLeftCell="A4" workbookViewId="0"/>
  </sheetViews>
  <sheetFormatPr baseColWidth="10" defaultColWidth="11.42578125" defaultRowHeight="14.25"/>
  <cols>
    <col min="1" max="1" width="2.7109375" style="5" bestFit="1" customWidth="1"/>
    <col min="2" max="2" width="16.7109375" style="5" customWidth="1"/>
    <col min="3" max="3" width="20.7109375" style="5" customWidth="1"/>
    <col min="4" max="4" width="15" style="5" bestFit="1" customWidth="1"/>
    <col min="5" max="16384" width="11.42578125" style="5"/>
  </cols>
  <sheetData>
    <row r="2" spans="1:4">
      <c r="A2" s="5" t="s">
        <v>232</v>
      </c>
      <c r="B2" s="5" t="s">
        <v>233</v>
      </c>
    </row>
    <row r="3" spans="1:4" ht="15">
      <c r="B3" s="352" t="s">
        <v>288</v>
      </c>
    </row>
    <row r="4" spans="1:4" ht="15">
      <c r="B4" s="352"/>
    </row>
    <row r="5" spans="1:4">
      <c r="A5" s="5" t="s">
        <v>234</v>
      </c>
      <c r="B5" s="5" t="s">
        <v>235</v>
      </c>
    </row>
    <row r="7" spans="1:4">
      <c r="B7" s="5" t="s">
        <v>236</v>
      </c>
    </row>
    <row r="8" spans="1:4" ht="15">
      <c r="B8" s="353" t="s">
        <v>237</v>
      </c>
      <c r="C8" s="5" t="s">
        <v>228</v>
      </c>
      <c r="D8" s="352" t="s">
        <v>238</v>
      </c>
    </row>
    <row r="9" spans="1:4" ht="15">
      <c r="B9" s="169"/>
      <c r="C9" s="5" t="s">
        <v>230</v>
      </c>
      <c r="D9" s="352" t="s">
        <v>238</v>
      </c>
    </row>
    <row r="10" spans="1:4" ht="15">
      <c r="B10" s="169"/>
      <c r="C10" s="5" t="s">
        <v>231</v>
      </c>
      <c r="D10" s="352" t="s">
        <v>238</v>
      </c>
    </row>
    <row r="11" spans="1:4">
      <c r="B11" s="169"/>
    </row>
    <row r="12" spans="1:4" ht="15">
      <c r="B12" s="353" t="s">
        <v>239</v>
      </c>
      <c r="C12" s="5" t="s">
        <v>240</v>
      </c>
      <c r="D12" s="352" t="s">
        <v>241</v>
      </c>
    </row>
    <row r="13" spans="1:4" ht="15">
      <c r="B13" s="169"/>
      <c r="C13" s="5" t="s">
        <v>242</v>
      </c>
      <c r="D13" s="352" t="s">
        <v>241</v>
      </c>
    </row>
    <row r="14" spans="1:4" ht="15">
      <c r="B14" s="169"/>
      <c r="C14" s="5" t="s">
        <v>243</v>
      </c>
      <c r="D14" s="352" t="s">
        <v>241</v>
      </c>
    </row>
    <row r="15" spans="1:4">
      <c r="B15" s="169"/>
    </row>
    <row r="16" spans="1:4" ht="15">
      <c r="B16" s="353" t="s">
        <v>244</v>
      </c>
      <c r="C16" s="5" t="s">
        <v>245</v>
      </c>
    </row>
    <row r="17" spans="2:3">
      <c r="B17" s="169"/>
      <c r="C17" s="5" t="s">
        <v>246</v>
      </c>
    </row>
    <row r="18" spans="2:3">
      <c r="B18" s="169"/>
      <c r="C18" s="5" t="s">
        <v>247</v>
      </c>
    </row>
    <row r="19" spans="2:3">
      <c r="B19" s="169"/>
      <c r="C19" s="5" t="s">
        <v>248</v>
      </c>
    </row>
    <row r="20" spans="2:3">
      <c r="B20" s="169"/>
    </row>
    <row r="21" spans="2:3" ht="15">
      <c r="B21" s="353" t="s">
        <v>249</v>
      </c>
      <c r="C21" s="5" t="s">
        <v>250</v>
      </c>
    </row>
    <row r="22" spans="2:3" ht="15">
      <c r="B22" s="353" t="s">
        <v>138</v>
      </c>
      <c r="C22" s="5" t="s">
        <v>250</v>
      </c>
    </row>
    <row r="23" spans="2:3" ht="15">
      <c r="B23" s="353" t="s">
        <v>251</v>
      </c>
      <c r="C23" s="5" t="s">
        <v>250</v>
      </c>
    </row>
    <row r="24" spans="2:3">
      <c r="B24" s="169"/>
    </row>
    <row r="25" spans="2:3" ht="15">
      <c r="B25" s="353" t="s">
        <v>252</v>
      </c>
      <c r="C25" s="5" t="s">
        <v>253</v>
      </c>
    </row>
    <row r="26" spans="2:3">
      <c r="B26" s="169"/>
      <c r="C26" s="5" t="s">
        <v>254</v>
      </c>
    </row>
    <row r="27" spans="2:3">
      <c r="B27" s="169"/>
      <c r="C27" s="5" t="s">
        <v>255</v>
      </c>
    </row>
    <row r="28" spans="2:3">
      <c r="B28" s="169"/>
      <c r="C28" s="5" t="s">
        <v>256</v>
      </c>
    </row>
    <row r="29" spans="2:3">
      <c r="B29" s="169"/>
      <c r="C29" s="5" t="s">
        <v>257</v>
      </c>
    </row>
    <row r="30" spans="2:3">
      <c r="B30" s="169"/>
      <c r="C30" s="5" t="s">
        <v>258</v>
      </c>
    </row>
    <row r="31" spans="2:3">
      <c r="B31" s="169"/>
      <c r="C31" s="5" t="s">
        <v>259</v>
      </c>
    </row>
    <row r="32" spans="2:3">
      <c r="B32" s="169"/>
    </row>
    <row r="33" spans="2:8" ht="15">
      <c r="B33" s="353" t="s">
        <v>260</v>
      </c>
      <c r="C33" s="5" t="s">
        <v>261</v>
      </c>
    </row>
    <row r="34" spans="2:8">
      <c r="B34" s="169"/>
    </row>
    <row r="35" spans="2:8" ht="15">
      <c r="B35" s="353" t="s">
        <v>262</v>
      </c>
      <c r="C35" s="5" t="s">
        <v>475</v>
      </c>
    </row>
    <row r="36" spans="2:8">
      <c r="B36" s="169"/>
    </row>
    <row r="37" spans="2:8" ht="15">
      <c r="B37" s="353" t="s">
        <v>263</v>
      </c>
      <c r="C37" s="5" t="s">
        <v>264</v>
      </c>
    </row>
    <row r="38" spans="2:8" ht="15">
      <c r="B38" s="353" t="s">
        <v>265</v>
      </c>
      <c r="C38" s="5" t="s">
        <v>264</v>
      </c>
    </row>
    <row r="39" spans="2:8">
      <c r="B39" s="169"/>
    </row>
    <row r="40" spans="2:8" ht="15">
      <c r="B40" s="353" t="s">
        <v>266</v>
      </c>
      <c r="C40" s="5" t="s">
        <v>267</v>
      </c>
    </row>
    <row r="41" spans="2:8">
      <c r="B41" s="169"/>
    </row>
    <row r="42" spans="2:8" ht="15">
      <c r="B42" s="352" t="s">
        <v>268</v>
      </c>
      <c r="C42" s="5" t="s">
        <v>269</v>
      </c>
      <c r="D42" s="347"/>
      <c r="E42" s="5" t="s">
        <v>270</v>
      </c>
    </row>
    <row r="43" spans="2:8">
      <c r="C43" s="5" t="s">
        <v>271</v>
      </c>
      <c r="E43" s="342"/>
    </row>
    <row r="44" spans="2:8">
      <c r="C44" s="5" t="s">
        <v>272</v>
      </c>
    </row>
    <row r="45" spans="2:8">
      <c r="C45" s="5" t="s">
        <v>273</v>
      </c>
    </row>
    <row r="46" spans="2:8" ht="15" customHeight="1">
      <c r="B46" s="546">
        <v>44</v>
      </c>
      <c r="C46" s="549" t="s">
        <v>476</v>
      </c>
      <c r="D46" s="550" t="s">
        <v>171</v>
      </c>
      <c r="E46" s="553"/>
      <c r="F46" s="553">
        <v>5</v>
      </c>
      <c r="G46" s="553"/>
      <c r="H46" s="543" t="s">
        <v>274</v>
      </c>
    </row>
    <row r="47" spans="2:8" ht="14.25" customHeight="1">
      <c r="B47" s="547"/>
      <c r="C47" s="549"/>
      <c r="D47" s="551"/>
      <c r="E47" s="554"/>
      <c r="F47" s="554"/>
      <c r="G47" s="554"/>
      <c r="H47" s="544"/>
    </row>
    <row r="48" spans="2:8" ht="14.25" customHeight="1">
      <c r="B48" s="548"/>
      <c r="C48" s="549"/>
      <c r="D48" s="552"/>
      <c r="E48" s="555"/>
      <c r="F48" s="555"/>
      <c r="G48" s="555"/>
      <c r="H48" s="545"/>
    </row>
    <row r="51" spans="2:3" ht="15">
      <c r="C51" s="354" t="s">
        <v>275</v>
      </c>
    </row>
    <row r="54" spans="2:3">
      <c r="B54" s="5" t="s">
        <v>276</v>
      </c>
    </row>
    <row r="55" spans="2:3" ht="15">
      <c r="B55" s="352" t="s">
        <v>277</v>
      </c>
    </row>
  </sheetData>
  <mergeCells count="7">
    <mergeCell ref="H46:H48"/>
    <mergeCell ref="B46:B48"/>
    <mergeCell ref="C46:C48"/>
    <mergeCell ref="D46:D48"/>
    <mergeCell ref="E46:E48"/>
    <mergeCell ref="F46:F48"/>
    <mergeCell ref="G46:G48"/>
  </mergeCell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D6"/>
  <sheetViews>
    <sheetView workbookViewId="0">
      <selection activeCell="A12" sqref="A12"/>
    </sheetView>
  </sheetViews>
  <sheetFormatPr baseColWidth="10" defaultColWidth="11.42578125" defaultRowHeight="12.75"/>
  <cols>
    <col min="1" max="1" width="54.7109375" style="346" customWidth="1"/>
    <col min="2" max="2" width="8.85546875" style="346" bestFit="1" customWidth="1"/>
    <col min="3" max="3" width="11.42578125" style="355"/>
    <col min="4" max="4" width="62.85546875" style="346" bestFit="1" customWidth="1"/>
    <col min="5" max="256" width="11.42578125" style="346"/>
    <col min="257" max="257" width="51.28515625" style="346" bestFit="1" customWidth="1"/>
    <col min="258" max="512" width="11.42578125" style="346"/>
    <col min="513" max="513" width="51.28515625" style="346" bestFit="1" customWidth="1"/>
    <col min="514" max="768" width="11.42578125" style="346"/>
    <col min="769" max="769" width="51.28515625" style="346" bestFit="1" customWidth="1"/>
    <col min="770" max="1024" width="11.42578125" style="346"/>
    <col min="1025" max="1025" width="51.28515625" style="346" bestFit="1" customWidth="1"/>
    <col min="1026" max="1280" width="11.42578125" style="346"/>
    <col min="1281" max="1281" width="51.28515625" style="346" bestFit="1" customWidth="1"/>
    <col min="1282" max="1536" width="11.42578125" style="346"/>
    <col min="1537" max="1537" width="51.28515625" style="346" bestFit="1" customWidth="1"/>
    <col min="1538" max="1792" width="11.42578125" style="346"/>
    <col min="1793" max="1793" width="51.28515625" style="346" bestFit="1" customWidth="1"/>
    <col min="1794" max="2048" width="11.42578125" style="346"/>
    <col min="2049" max="2049" width="51.28515625" style="346" bestFit="1" customWidth="1"/>
    <col min="2050" max="2304" width="11.42578125" style="346"/>
    <col min="2305" max="2305" width="51.28515625" style="346" bestFit="1" customWidth="1"/>
    <col min="2306" max="2560" width="11.42578125" style="346"/>
    <col min="2561" max="2561" width="51.28515625" style="346" bestFit="1" customWidth="1"/>
    <col min="2562" max="2816" width="11.42578125" style="346"/>
    <col min="2817" max="2817" width="51.28515625" style="346" bestFit="1" customWidth="1"/>
    <col min="2818" max="3072" width="11.42578125" style="346"/>
    <col min="3073" max="3073" width="51.28515625" style="346" bestFit="1" customWidth="1"/>
    <col min="3074" max="3328" width="11.42578125" style="346"/>
    <col min="3329" max="3329" width="51.28515625" style="346" bestFit="1" customWidth="1"/>
    <col min="3330" max="3584" width="11.42578125" style="346"/>
    <col min="3585" max="3585" width="51.28515625" style="346" bestFit="1" customWidth="1"/>
    <col min="3586" max="3840" width="11.42578125" style="346"/>
    <col min="3841" max="3841" width="51.28515625" style="346" bestFit="1" customWidth="1"/>
    <col min="3842" max="4096" width="11.42578125" style="346"/>
    <col min="4097" max="4097" width="51.28515625" style="346" bestFit="1" customWidth="1"/>
    <col min="4098" max="4352" width="11.42578125" style="346"/>
    <col min="4353" max="4353" width="51.28515625" style="346" bestFit="1" customWidth="1"/>
    <col min="4354" max="4608" width="11.42578125" style="346"/>
    <col min="4609" max="4609" width="51.28515625" style="346" bestFit="1" customWidth="1"/>
    <col min="4610" max="4864" width="11.42578125" style="346"/>
    <col min="4865" max="4865" width="51.28515625" style="346" bestFit="1" customWidth="1"/>
    <col min="4866" max="5120" width="11.42578125" style="346"/>
    <col min="5121" max="5121" width="51.28515625" style="346" bestFit="1" customWidth="1"/>
    <col min="5122" max="5376" width="11.42578125" style="346"/>
    <col min="5377" max="5377" width="51.28515625" style="346" bestFit="1" customWidth="1"/>
    <col min="5378" max="5632" width="11.42578125" style="346"/>
    <col min="5633" max="5633" width="51.28515625" style="346" bestFit="1" customWidth="1"/>
    <col min="5634" max="5888" width="11.42578125" style="346"/>
    <col min="5889" max="5889" width="51.28515625" style="346" bestFit="1" customWidth="1"/>
    <col min="5890" max="6144" width="11.42578125" style="346"/>
    <col min="6145" max="6145" width="51.28515625" style="346" bestFit="1" customWidth="1"/>
    <col min="6146" max="6400" width="11.42578125" style="346"/>
    <col min="6401" max="6401" width="51.28515625" style="346" bestFit="1" customWidth="1"/>
    <col min="6402" max="6656" width="11.42578125" style="346"/>
    <col min="6657" max="6657" width="51.28515625" style="346" bestFit="1" customWidth="1"/>
    <col min="6658" max="6912" width="11.42578125" style="346"/>
    <col min="6913" max="6913" width="51.28515625" style="346" bestFit="1" customWidth="1"/>
    <col min="6914" max="7168" width="11.42578125" style="346"/>
    <col min="7169" max="7169" width="51.28515625" style="346" bestFit="1" customWidth="1"/>
    <col min="7170" max="7424" width="11.42578125" style="346"/>
    <col min="7425" max="7425" width="51.28515625" style="346" bestFit="1" customWidth="1"/>
    <col min="7426" max="7680" width="11.42578125" style="346"/>
    <col min="7681" max="7681" width="51.28515625" style="346" bestFit="1" customWidth="1"/>
    <col min="7682" max="7936" width="11.42578125" style="346"/>
    <col min="7937" max="7937" width="51.28515625" style="346" bestFit="1" customWidth="1"/>
    <col min="7938" max="8192" width="11.42578125" style="346"/>
    <col min="8193" max="8193" width="51.28515625" style="346" bestFit="1" customWidth="1"/>
    <col min="8194" max="8448" width="11.42578125" style="346"/>
    <col min="8449" max="8449" width="51.28515625" style="346" bestFit="1" customWidth="1"/>
    <col min="8450" max="8704" width="11.42578125" style="346"/>
    <col min="8705" max="8705" width="51.28515625" style="346" bestFit="1" customWidth="1"/>
    <col min="8706" max="8960" width="11.42578125" style="346"/>
    <col min="8961" max="8961" width="51.28515625" style="346" bestFit="1" customWidth="1"/>
    <col min="8962" max="9216" width="11.42578125" style="346"/>
    <col min="9217" max="9217" width="51.28515625" style="346" bestFit="1" customWidth="1"/>
    <col min="9218" max="9472" width="11.42578125" style="346"/>
    <col min="9473" max="9473" width="51.28515625" style="346" bestFit="1" customWidth="1"/>
    <col min="9474" max="9728" width="11.42578125" style="346"/>
    <col min="9729" max="9729" width="51.28515625" style="346" bestFit="1" customWidth="1"/>
    <col min="9730" max="9984" width="11.42578125" style="346"/>
    <col min="9985" max="9985" width="51.28515625" style="346" bestFit="1" customWidth="1"/>
    <col min="9986" max="10240" width="11.42578125" style="346"/>
    <col min="10241" max="10241" width="51.28515625" style="346" bestFit="1" customWidth="1"/>
    <col min="10242" max="10496" width="11.42578125" style="346"/>
    <col min="10497" max="10497" width="51.28515625" style="346" bestFit="1" customWidth="1"/>
    <col min="10498" max="10752" width="11.42578125" style="346"/>
    <col min="10753" max="10753" width="51.28515625" style="346" bestFit="1" customWidth="1"/>
    <col min="10754" max="11008" width="11.42578125" style="346"/>
    <col min="11009" max="11009" width="51.28515625" style="346" bestFit="1" customWidth="1"/>
    <col min="11010" max="11264" width="11.42578125" style="346"/>
    <col min="11265" max="11265" width="51.28515625" style="346" bestFit="1" customWidth="1"/>
    <col min="11266" max="11520" width="11.42578125" style="346"/>
    <col min="11521" max="11521" width="51.28515625" style="346" bestFit="1" customWidth="1"/>
    <col min="11522" max="11776" width="11.42578125" style="346"/>
    <col min="11777" max="11777" width="51.28515625" style="346" bestFit="1" customWidth="1"/>
    <col min="11778" max="12032" width="11.42578125" style="346"/>
    <col min="12033" max="12033" width="51.28515625" style="346" bestFit="1" customWidth="1"/>
    <col min="12034" max="12288" width="11.42578125" style="346"/>
    <col min="12289" max="12289" width="51.28515625" style="346" bestFit="1" customWidth="1"/>
    <col min="12290" max="12544" width="11.42578125" style="346"/>
    <col min="12545" max="12545" width="51.28515625" style="346" bestFit="1" customWidth="1"/>
    <col min="12546" max="12800" width="11.42578125" style="346"/>
    <col min="12801" max="12801" width="51.28515625" style="346" bestFit="1" customWidth="1"/>
    <col min="12802" max="13056" width="11.42578125" style="346"/>
    <col min="13057" max="13057" width="51.28515625" style="346" bestFit="1" customWidth="1"/>
    <col min="13058" max="13312" width="11.42578125" style="346"/>
    <col min="13313" max="13313" width="51.28515625" style="346" bestFit="1" customWidth="1"/>
    <col min="13314" max="13568" width="11.42578125" style="346"/>
    <col min="13569" max="13569" width="51.28515625" style="346" bestFit="1" customWidth="1"/>
    <col min="13570" max="13824" width="11.42578125" style="346"/>
    <col min="13825" max="13825" width="51.28515625" style="346" bestFit="1" customWidth="1"/>
    <col min="13826" max="14080" width="11.42578125" style="346"/>
    <col min="14081" max="14081" width="51.28515625" style="346" bestFit="1" customWidth="1"/>
    <col min="14082" max="14336" width="11.42578125" style="346"/>
    <col min="14337" max="14337" width="51.28515625" style="346" bestFit="1" customWidth="1"/>
    <col min="14338" max="14592" width="11.42578125" style="346"/>
    <col min="14593" max="14593" width="51.28515625" style="346" bestFit="1" customWidth="1"/>
    <col min="14594" max="14848" width="11.42578125" style="346"/>
    <col min="14849" max="14849" width="51.28515625" style="346" bestFit="1" customWidth="1"/>
    <col min="14850" max="15104" width="11.42578125" style="346"/>
    <col min="15105" max="15105" width="51.28515625" style="346" bestFit="1" customWidth="1"/>
    <col min="15106" max="15360" width="11.42578125" style="346"/>
    <col min="15361" max="15361" width="51.28515625" style="346" bestFit="1" customWidth="1"/>
    <col min="15362" max="15616" width="11.42578125" style="346"/>
    <col min="15617" max="15617" width="51.28515625" style="346" bestFit="1" customWidth="1"/>
    <col min="15618" max="15872" width="11.42578125" style="346"/>
    <col min="15873" max="15873" width="51.28515625" style="346" bestFit="1" customWidth="1"/>
    <col min="15874" max="16128" width="11.42578125" style="346"/>
    <col min="16129" max="16129" width="51.28515625" style="346" bestFit="1" customWidth="1"/>
    <col min="16130" max="16384" width="11.42578125" style="346"/>
  </cols>
  <sheetData>
    <row r="1" spans="1:4">
      <c r="A1" s="346" t="s">
        <v>877</v>
      </c>
      <c r="B1" s="346" t="s">
        <v>397</v>
      </c>
      <c r="C1" s="355">
        <v>16</v>
      </c>
      <c r="D1" s="346" t="s">
        <v>878</v>
      </c>
    </row>
    <row r="2" spans="1:4">
      <c r="A2" s="418" t="s">
        <v>879</v>
      </c>
      <c r="B2" s="418" t="s">
        <v>398</v>
      </c>
      <c r="C2" s="419">
        <v>13</v>
      </c>
      <c r="D2" s="418" t="s">
        <v>878</v>
      </c>
    </row>
    <row r="3" spans="1:4">
      <c r="A3" s="420" t="s">
        <v>880</v>
      </c>
      <c r="B3" s="420" t="s">
        <v>399</v>
      </c>
      <c r="C3" s="421">
        <v>12</v>
      </c>
      <c r="D3" s="420" t="s">
        <v>878</v>
      </c>
    </row>
    <row r="4" spans="1:4">
      <c r="A4" s="346" t="s">
        <v>468</v>
      </c>
      <c r="B4" s="346" t="s">
        <v>289</v>
      </c>
      <c r="C4" s="355">
        <v>28</v>
      </c>
      <c r="D4" s="346" t="s">
        <v>469</v>
      </c>
    </row>
    <row r="5" spans="1:4">
      <c r="A5" s="372" t="s">
        <v>798</v>
      </c>
      <c r="B5" s="372" t="s">
        <v>289</v>
      </c>
      <c r="C5" s="373">
        <v>18</v>
      </c>
      <c r="D5" s="372" t="s">
        <v>478</v>
      </c>
    </row>
    <row r="6" spans="1:4">
      <c r="A6" s="413" t="s">
        <v>881</v>
      </c>
      <c r="B6" s="413" t="s">
        <v>289</v>
      </c>
      <c r="C6" s="414">
        <v>18</v>
      </c>
      <c r="D6" s="413" t="s">
        <v>882</v>
      </c>
    </row>
  </sheetData>
  <pageMargins left="0.75" right="0.75" top="1" bottom="1" header="0" footer="0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/>
  <dimension ref="A3:H38"/>
  <sheetViews>
    <sheetView tabSelected="1" zoomScale="85" zoomScaleNormal="85" workbookViewId="0">
      <selection activeCell="D4" sqref="D4"/>
    </sheetView>
  </sheetViews>
  <sheetFormatPr baseColWidth="10" defaultColWidth="11.42578125" defaultRowHeight="14.25"/>
  <cols>
    <col min="1" max="2" width="11.42578125" style="5"/>
    <col min="3" max="3" width="3.7109375" style="5" customWidth="1"/>
    <col min="4" max="4" width="133.5703125" style="5" customWidth="1"/>
    <col min="5" max="6" width="9.7109375" style="5" customWidth="1"/>
    <col min="7" max="16384" width="11.42578125" style="5"/>
  </cols>
  <sheetData>
    <row r="3" spans="1:8" ht="32.1" customHeight="1" thickBot="1">
      <c r="C3" s="45" t="s">
        <v>68</v>
      </c>
      <c r="D3" s="45" t="s">
        <v>69</v>
      </c>
      <c r="E3" s="46"/>
      <c r="F3" s="46"/>
    </row>
    <row r="4" spans="1:8" ht="32.1" customHeight="1">
      <c r="C4" s="58"/>
      <c r="D4" s="59"/>
      <c r="E4" s="60"/>
      <c r="F4" s="60"/>
      <c r="G4" s="60">
        <f>+E4-F4</f>
        <v>0</v>
      </c>
      <c r="H4" s="53"/>
    </row>
    <row r="5" spans="1:8" ht="32.1" customHeight="1">
      <c r="C5" s="58"/>
      <c r="D5" s="59"/>
      <c r="E5" s="60"/>
      <c r="F5" s="60"/>
      <c r="G5" s="60">
        <f t="shared" ref="G5:G26" si="0">+E5-F5</f>
        <v>0</v>
      </c>
    </row>
    <row r="6" spans="1:8" ht="32.1" customHeight="1">
      <c r="C6" s="58"/>
      <c r="D6" s="59"/>
      <c r="E6" s="60"/>
      <c r="F6" s="60"/>
      <c r="G6" s="60">
        <f t="shared" si="0"/>
        <v>0</v>
      </c>
    </row>
    <row r="7" spans="1:8" ht="32.1" customHeight="1">
      <c r="C7" s="58"/>
      <c r="D7" s="59"/>
      <c r="E7" s="60"/>
      <c r="F7" s="60"/>
      <c r="G7" s="60">
        <f t="shared" si="0"/>
        <v>0</v>
      </c>
    </row>
    <row r="8" spans="1:8" ht="32.1" customHeight="1">
      <c r="C8" s="58"/>
      <c r="D8" s="59"/>
      <c r="E8" s="60"/>
      <c r="F8" s="60"/>
      <c r="G8" s="60">
        <f t="shared" si="0"/>
        <v>0</v>
      </c>
    </row>
    <row r="9" spans="1:8" ht="32.1" customHeight="1">
      <c r="C9" s="58"/>
      <c r="D9" s="59"/>
      <c r="E9" s="60"/>
      <c r="F9" s="60"/>
      <c r="G9" s="60">
        <f t="shared" si="0"/>
        <v>0</v>
      </c>
    </row>
    <row r="10" spans="1:8" ht="32.1" customHeight="1">
      <c r="C10" s="58"/>
      <c r="D10" s="59"/>
      <c r="E10" s="60"/>
      <c r="F10" s="60"/>
      <c r="G10" s="60">
        <f t="shared" si="0"/>
        <v>0</v>
      </c>
    </row>
    <row r="11" spans="1:8" ht="32.1" customHeight="1">
      <c r="C11" s="58"/>
      <c r="D11" s="59"/>
      <c r="E11" s="60"/>
      <c r="F11" s="60"/>
      <c r="G11" s="60">
        <f t="shared" si="0"/>
        <v>0</v>
      </c>
    </row>
    <row r="12" spans="1:8" ht="32.1" customHeight="1">
      <c r="C12" s="58"/>
      <c r="D12" s="59"/>
      <c r="E12" s="60"/>
      <c r="F12" s="60"/>
      <c r="G12" s="60">
        <f t="shared" si="0"/>
        <v>0</v>
      </c>
    </row>
    <row r="13" spans="1:8" ht="32.1" customHeight="1">
      <c r="C13" s="58"/>
      <c r="D13" s="59"/>
      <c r="E13" s="60"/>
      <c r="F13" s="60"/>
      <c r="G13" s="60">
        <f t="shared" si="0"/>
        <v>0</v>
      </c>
    </row>
    <row r="14" spans="1:8" ht="32.1" customHeight="1">
      <c r="C14" s="58"/>
      <c r="D14" s="59"/>
      <c r="E14" s="60"/>
      <c r="F14" s="60"/>
      <c r="G14" s="60">
        <f t="shared" si="0"/>
        <v>0</v>
      </c>
    </row>
    <row r="15" spans="1:8" ht="32.1" customHeight="1">
      <c r="C15" s="58"/>
      <c r="D15" s="59"/>
      <c r="E15" s="60"/>
      <c r="F15" s="60"/>
      <c r="G15" s="60">
        <f t="shared" si="0"/>
        <v>0</v>
      </c>
    </row>
    <row r="16" spans="1:8" ht="32.1" customHeight="1">
      <c r="C16" s="58"/>
      <c r="D16" s="59"/>
      <c r="E16" s="60"/>
      <c r="F16" s="60"/>
      <c r="G16" s="60">
        <f t="shared" si="0"/>
        <v>0</v>
      </c>
    </row>
    <row r="17" spans="3:7" ht="32.1" customHeight="1">
      <c r="C17" s="58"/>
      <c r="D17" s="59"/>
      <c r="E17" s="60"/>
      <c r="F17" s="60"/>
      <c r="G17" s="60">
        <f t="shared" si="0"/>
        <v>0</v>
      </c>
    </row>
    <row r="18" spans="3:7" ht="32.1" customHeight="1">
      <c r="C18" s="58"/>
      <c r="D18" s="59"/>
      <c r="E18" s="60"/>
      <c r="F18" s="60"/>
      <c r="G18" s="60">
        <f t="shared" si="0"/>
        <v>0</v>
      </c>
    </row>
    <row r="19" spans="3:7" ht="32.1" customHeight="1">
      <c r="C19" s="58"/>
      <c r="D19" s="59"/>
      <c r="E19" s="60"/>
      <c r="F19" s="60"/>
      <c r="G19" s="60">
        <f t="shared" si="0"/>
        <v>0</v>
      </c>
    </row>
    <row r="20" spans="3:7" ht="32.1" customHeight="1">
      <c r="C20" s="58"/>
      <c r="D20" s="59"/>
      <c r="E20" s="60"/>
      <c r="F20" s="60"/>
      <c r="G20" s="60">
        <f t="shared" si="0"/>
        <v>0</v>
      </c>
    </row>
    <row r="21" spans="3:7" ht="32.1" customHeight="1">
      <c r="C21" s="58"/>
      <c r="D21" s="59"/>
      <c r="E21" s="60"/>
      <c r="F21" s="60"/>
      <c r="G21" s="60">
        <f t="shared" si="0"/>
        <v>0</v>
      </c>
    </row>
    <row r="22" spans="3:7" ht="32.1" customHeight="1">
      <c r="C22" s="58"/>
      <c r="D22" s="59"/>
      <c r="E22" s="60"/>
      <c r="F22" s="60"/>
      <c r="G22" s="60">
        <f t="shared" si="0"/>
        <v>0</v>
      </c>
    </row>
    <row r="23" spans="3:7" ht="32.1" customHeight="1">
      <c r="C23" s="58"/>
      <c r="D23" s="59"/>
      <c r="E23" s="60"/>
      <c r="F23" s="60"/>
      <c r="G23" s="60">
        <f t="shared" si="0"/>
        <v>0</v>
      </c>
    </row>
    <row r="24" spans="3:7" ht="32.1" customHeight="1">
      <c r="C24" s="58"/>
      <c r="D24" s="59"/>
      <c r="E24" s="60"/>
      <c r="F24" s="60"/>
      <c r="G24" s="60">
        <f t="shared" si="0"/>
        <v>0</v>
      </c>
    </row>
    <row r="25" spans="3:7" ht="32.1" customHeight="1">
      <c r="C25" s="58"/>
      <c r="D25" s="59"/>
      <c r="E25" s="60"/>
      <c r="F25" s="60"/>
      <c r="G25" s="60">
        <f t="shared" si="0"/>
        <v>0</v>
      </c>
    </row>
    <row r="26" spans="3:7" ht="32.1" customHeight="1">
      <c r="C26" s="58"/>
      <c r="D26" s="59"/>
      <c r="E26" s="60"/>
      <c r="F26" s="60"/>
      <c r="G26" s="60">
        <f t="shared" si="0"/>
        <v>0</v>
      </c>
    </row>
    <row r="27" spans="3:7" ht="32.1" customHeight="1">
      <c r="C27" s="58"/>
      <c r="D27" s="59"/>
      <c r="E27" s="60"/>
      <c r="F27" s="60"/>
      <c r="G27" s="60">
        <f>+E27-F27</f>
        <v>0</v>
      </c>
    </row>
    <row r="28" spans="3:7" ht="32.1" customHeight="1">
      <c r="C28" s="58"/>
      <c r="D28" s="59"/>
      <c r="E28" s="60"/>
      <c r="F28" s="60"/>
      <c r="G28" s="60">
        <f t="shared" ref="G28:G38" si="1">+E28-F28</f>
        <v>0</v>
      </c>
    </row>
    <row r="29" spans="3:7" ht="32.1" customHeight="1">
      <c r="C29" s="58"/>
      <c r="D29" s="59"/>
      <c r="E29" s="60"/>
      <c r="F29" s="60"/>
      <c r="G29" s="60">
        <f t="shared" si="1"/>
        <v>0</v>
      </c>
    </row>
    <row r="30" spans="3:7" ht="32.1" customHeight="1">
      <c r="C30" s="58"/>
      <c r="D30" s="59"/>
      <c r="E30" s="60"/>
      <c r="F30" s="60"/>
      <c r="G30" s="60">
        <f t="shared" si="1"/>
        <v>0</v>
      </c>
    </row>
    <row r="31" spans="3:7" ht="32.1" customHeight="1">
      <c r="C31" s="58"/>
      <c r="D31" s="59"/>
      <c r="E31" s="60"/>
      <c r="F31" s="60"/>
      <c r="G31" s="60">
        <f t="shared" si="1"/>
        <v>0</v>
      </c>
    </row>
    <row r="32" spans="3:7" ht="32.1" customHeight="1">
      <c r="C32" s="58"/>
      <c r="D32" s="59"/>
      <c r="E32" s="60"/>
      <c r="F32" s="60"/>
      <c r="G32" s="60">
        <f t="shared" si="1"/>
        <v>0</v>
      </c>
    </row>
    <row r="33" spans="3:7" ht="32.1" customHeight="1">
      <c r="C33" s="58"/>
      <c r="D33" s="59"/>
      <c r="E33" s="60"/>
      <c r="F33" s="60"/>
      <c r="G33" s="60">
        <f t="shared" si="1"/>
        <v>0</v>
      </c>
    </row>
    <row r="34" spans="3:7" ht="32.1" customHeight="1">
      <c r="C34" s="58"/>
      <c r="D34" s="59"/>
      <c r="E34" s="60"/>
      <c r="F34" s="60"/>
      <c r="G34" s="60">
        <f t="shared" si="1"/>
        <v>0</v>
      </c>
    </row>
    <row r="35" spans="3:7" ht="32.1" customHeight="1">
      <c r="C35" s="58"/>
      <c r="D35" s="59"/>
      <c r="E35" s="60"/>
      <c r="F35" s="60"/>
      <c r="G35" s="60">
        <f t="shared" si="1"/>
        <v>0</v>
      </c>
    </row>
    <row r="36" spans="3:7" ht="32.1" customHeight="1">
      <c r="C36" s="58"/>
      <c r="D36" s="59"/>
      <c r="E36" s="60"/>
      <c r="F36" s="60"/>
      <c r="G36" s="60">
        <f t="shared" si="1"/>
        <v>0</v>
      </c>
    </row>
    <row r="37" spans="3:7" ht="32.1" customHeight="1">
      <c r="C37" s="58"/>
      <c r="D37" s="59"/>
      <c r="E37" s="60"/>
      <c r="F37" s="60"/>
      <c r="G37" s="60">
        <f t="shared" si="1"/>
        <v>0</v>
      </c>
    </row>
    <row r="38" spans="3:7" ht="32.1" customHeight="1">
      <c r="C38" s="58"/>
      <c r="D38" s="59"/>
      <c r="E38" s="60"/>
      <c r="F38" s="60"/>
      <c r="G38" s="60">
        <f t="shared" si="1"/>
        <v>0</v>
      </c>
    </row>
  </sheetData>
  <conditionalFormatting sqref="F4:F26">
    <cfRule type="expression" dxfId="59" priority="41">
      <formula>F4=""</formula>
    </cfRule>
    <cfRule type="expression" dxfId="58" priority="42">
      <formula>F4&lt;44.5</formula>
    </cfRule>
    <cfRule type="expression" dxfId="57" priority="43">
      <formula>F4&lt;60.5</formula>
    </cfRule>
    <cfRule type="expression" dxfId="56" priority="44">
      <formula>F4&lt;85.5</formula>
    </cfRule>
    <cfRule type="expression" dxfId="55" priority="45">
      <formula>F4&gt;85.5</formula>
    </cfRule>
  </conditionalFormatting>
  <conditionalFormatting sqref="E4:E26">
    <cfRule type="expression" dxfId="54" priority="36">
      <formula>E4=""</formula>
    </cfRule>
    <cfRule type="expression" dxfId="53" priority="37">
      <formula>E4&lt;44.5</formula>
    </cfRule>
    <cfRule type="expression" dxfId="52" priority="38">
      <formula>E4&lt;60.5</formula>
    </cfRule>
    <cfRule type="expression" dxfId="51" priority="39">
      <formula>E4&lt;85.5</formula>
    </cfRule>
    <cfRule type="expression" dxfId="50" priority="40">
      <formula>E4&gt;85.5</formula>
    </cfRule>
  </conditionalFormatting>
  <conditionalFormatting sqref="E4:G26">
    <cfRule type="expression" dxfId="49" priority="31">
      <formula>E4=""</formula>
    </cfRule>
    <cfRule type="expression" dxfId="48" priority="32">
      <formula>E4&lt;44.5</formula>
    </cfRule>
    <cfRule type="expression" dxfId="47" priority="33">
      <formula>E4&lt;60.5</formula>
    </cfRule>
    <cfRule type="expression" dxfId="46" priority="34">
      <formula>E4&lt;85.5</formula>
    </cfRule>
    <cfRule type="expression" dxfId="45" priority="35">
      <formula>E4&gt;85.5</formula>
    </cfRule>
  </conditionalFormatting>
  <conditionalFormatting sqref="F27:F38">
    <cfRule type="expression" dxfId="44" priority="11">
      <formula>F27=""</formula>
    </cfRule>
    <cfRule type="expression" dxfId="43" priority="12">
      <formula>F27&lt;44.5</formula>
    </cfRule>
    <cfRule type="expression" dxfId="42" priority="13">
      <formula>F27&lt;60.5</formula>
    </cfRule>
    <cfRule type="expression" dxfId="41" priority="14">
      <formula>F27&lt;85.5</formula>
    </cfRule>
    <cfRule type="expression" dxfId="40" priority="15">
      <formula>F27&gt;85.5</formula>
    </cfRule>
  </conditionalFormatting>
  <conditionalFormatting sqref="E27:E38">
    <cfRule type="expression" dxfId="39" priority="6">
      <formula>E27=""</formula>
    </cfRule>
    <cfRule type="expression" dxfId="38" priority="7">
      <formula>E27&lt;44.5</formula>
    </cfRule>
    <cfRule type="expression" dxfId="37" priority="8">
      <formula>E27&lt;60.5</formula>
    </cfRule>
    <cfRule type="expression" dxfId="36" priority="9">
      <formula>E27&lt;85.5</formula>
    </cfRule>
    <cfRule type="expression" dxfId="35" priority="10">
      <formula>E27&gt;85.5</formula>
    </cfRule>
  </conditionalFormatting>
  <conditionalFormatting sqref="E27:G38">
    <cfRule type="expression" dxfId="34" priority="1">
      <formula>E27=""</formula>
    </cfRule>
    <cfRule type="expression" dxfId="33" priority="2">
      <formula>E27&lt;44.5</formula>
    </cfRule>
    <cfRule type="expression" dxfId="32" priority="3">
      <formula>E27&lt;60.5</formula>
    </cfRule>
    <cfRule type="expression" dxfId="31" priority="4">
      <formula>E27&lt;85.5</formula>
    </cfRule>
    <cfRule type="expression" dxfId="30" priority="5">
      <formula>E27&gt;85.5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/>
  <dimension ref="A3:H57"/>
  <sheetViews>
    <sheetView zoomScale="85" zoomScaleNormal="85" workbookViewId="0">
      <selection activeCell="I11" sqref="I11"/>
    </sheetView>
  </sheetViews>
  <sheetFormatPr baseColWidth="10" defaultColWidth="11.42578125" defaultRowHeight="14.25"/>
  <cols>
    <col min="1" max="2" width="11.42578125" style="5"/>
    <col min="3" max="3" width="3.7109375" style="5" customWidth="1"/>
    <col min="4" max="4" width="133.5703125" style="5" customWidth="1"/>
    <col min="5" max="6" width="9.7109375" style="5" customWidth="1"/>
    <col min="7" max="16384" width="11.42578125" style="5"/>
  </cols>
  <sheetData>
    <row r="3" spans="1:8" ht="32.1" customHeight="1" thickBot="1">
      <c r="C3" s="45" t="s">
        <v>68</v>
      </c>
      <c r="D3" s="45" t="s">
        <v>69</v>
      </c>
      <c r="E3" s="46">
        <f>+[1]DetalleDimension!E3</f>
        <v>2017</v>
      </c>
      <c r="F3" s="46">
        <f>+[1]DetalleDimension!F3</f>
        <v>2017</v>
      </c>
    </row>
    <row r="4" spans="1:8" ht="32.1" customHeight="1">
      <c r="C4" s="58"/>
      <c r="D4" s="59"/>
      <c r="E4" s="60"/>
      <c r="F4" s="60"/>
      <c r="G4" s="60">
        <f>+E4-F4</f>
        <v>0</v>
      </c>
      <c r="H4" s="53"/>
    </row>
    <row r="5" spans="1:8" ht="32.1" customHeight="1">
      <c r="C5" s="58"/>
      <c r="D5" s="59"/>
      <c r="E5" s="60"/>
      <c r="F5" s="60"/>
      <c r="G5" s="60">
        <f t="shared" ref="G5:G57" si="0">+E5-F5</f>
        <v>0</v>
      </c>
    </row>
    <row r="6" spans="1:8" ht="32.1" customHeight="1">
      <c r="C6" s="58"/>
      <c r="D6" s="59"/>
      <c r="E6" s="60"/>
      <c r="F6" s="60"/>
      <c r="G6" s="60">
        <f t="shared" si="0"/>
        <v>0</v>
      </c>
    </row>
    <row r="7" spans="1:8" ht="32.1" customHeight="1">
      <c r="C7" s="58"/>
      <c r="D7" s="59"/>
      <c r="E7" s="60"/>
      <c r="F7" s="60"/>
      <c r="G7" s="60">
        <f t="shared" si="0"/>
        <v>0</v>
      </c>
    </row>
    <row r="8" spans="1:8" ht="32.1" customHeight="1">
      <c r="C8" s="58"/>
      <c r="D8" s="59"/>
      <c r="E8" s="60"/>
      <c r="F8" s="60"/>
      <c r="G8" s="60">
        <f t="shared" si="0"/>
        <v>0</v>
      </c>
    </row>
    <row r="9" spans="1:8" ht="32.1" customHeight="1">
      <c r="C9" s="58"/>
      <c r="D9" s="59"/>
      <c r="E9" s="60"/>
      <c r="F9" s="60"/>
      <c r="G9" s="60">
        <f t="shared" si="0"/>
        <v>0</v>
      </c>
    </row>
    <row r="10" spans="1:8" ht="32.1" customHeight="1">
      <c r="C10" s="58"/>
      <c r="D10" s="59"/>
      <c r="E10" s="60"/>
      <c r="F10" s="60"/>
      <c r="G10" s="60">
        <f t="shared" si="0"/>
        <v>0</v>
      </c>
    </row>
    <row r="11" spans="1:8" ht="32.1" customHeight="1">
      <c r="C11" s="58"/>
      <c r="D11" s="59"/>
      <c r="E11" s="60"/>
      <c r="F11" s="60"/>
      <c r="G11" s="60">
        <f t="shared" si="0"/>
        <v>0</v>
      </c>
    </row>
    <row r="12" spans="1:8" ht="32.1" customHeight="1">
      <c r="C12" s="58"/>
      <c r="D12" s="59"/>
      <c r="E12" s="60"/>
      <c r="F12" s="60"/>
      <c r="G12" s="60">
        <f t="shared" si="0"/>
        <v>0</v>
      </c>
    </row>
    <row r="13" spans="1:8" ht="32.1" customHeight="1">
      <c r="C13" s="58"/>
      <c r="D13" s="59"/>
      <c r="E13" s="60"/>
      <c r="F13" s="60"/>
      <c r="G13" s="60">
        <f t="shared" si="0"/>
        <v>0</v>
      </c>
    </row>
    <row r="14" spans="1:8" ht="32.1" customHeight="1">
      <c r="C14" s="58"/>
      <c r="D14" s="59"/>
      <c r="E14" s="60"/>
      <c r="F14" s="60"/>
      <c r="G14" s="60">
        <f t="shared" si="0"/>
        <v>0</v>
      </c>
    </row>
    <row r="15" spans="1:8" ht="32.1" customHeight="1">
      <c r="C15" s="58"/>
      <c r="D15" s="59"/>
      <c r="E15" s="60"/>
      <c r="F15" s="60"/>
      <c r="G15" s="60">
        <f t="shared" si="0"/>
        <v>0</v>
      </c>
    </row>
    <row r="16" spans="1:8" ht="32.1" customHeight="1">
      <c r="C16" s="58"/>
      <c r="D16" s="59"/>
      <c r="E16" s="60"/>
      <c r="F16" s="60"/>
      <c r="G16" s="60">
        <f t="shared" si="0"/>
        <v>0</v>
      </c>
    </row>
    <row r="17" spans="3:7" ht="32.1" customHeight="1">
      <c r="C17" s="58"/>
      <c r="D17" s="59"/>
      <c r="E17" s="60"/>
      <c r="F17" s="60"/>
      <c r="G17" s="60">
        <f t="shared" si="0"/>
        <v>0</v>
      </c>
    </row>
    <row r="18" spans="3:7" ht="32.1" customHeight="1">
      <c r="C18" s="58"/>
      <c r="D18" s="59"/>
      <c r="E18" s="60"/>
      <c r="F18" s="60"/>
      <c r="G18" s="60">
        <f t="shared" si="0"/>
        <v>0</v>
      </c>
    </row>
    <row r="19" spans="3:7" ht="32.1" customHeight="1">
      <c r="C19" s="58"/>
      <c r="D19" s="59"/>
      <c r="E19" s="60"/>
      <c r="F19" s="60"/>
      <c r="G19" s="60">
        <f t="shared" si="0"/>
        <v>0</v>
      </c>
    </row>
    <row r="20" spans="3:7" ht="32.1" customHeight="1">
      <c r="C20" s="58"/>
      <c r="D20" s="59"/>
      <c r="E20" s="60"/>
      <c r="F20" s="60"/>
      <c r="G20" s="60">
        <f t="shared" si="0"/>
        <v>0</v>
      </c>
    </row>
    <row r="21" spans="3:7" ht="32.1" customHeight="1">
      <c r="C21" s="58"/>
      <c r="D21" s="59"/>
      <c r="E21" s="60"/>
      <c r="F21" s="60"/>
      <c r="G21" s="60">
        <f t="shared" si="0"/>
        <v>0</v>
      </c>
    </row>
    <row r="22" spans="3:7" ht="32.1" customHeight="1">
      <c r="C22" s="58"/>
      <c r="D22" s="59"/>
      <c r="E22" s="60"/>
      <c r="F22" s="60"/>
      <c r="G22" s="60">
        <f t="shared" si="0"/>
        <v>0</v>
      </c>
    </row>
    <row r="23" spans="3:7" ht="32.1" customHeight="1">
      <c r="C23" s="58"/>
      <c r="D23" s="59"/>
      <c r="E23" s="60"/>
      <c r="F23" s="60"/>
      <c r="G23" s="60">
        <f t="shared" si="0"/>
        <v>0</v>
      </c>
    </row>
    <row r="24" spans="3:7" ht="32.1" customHeight="1">
      <c r="C24" s="58"/>
      <c r="D24" s="59"/>
      <c r="E24" s="60"/>
      <c r="F24" s="60"/>
      <c r="G24" s="60">
        <f t="shared" si="0"/>
        <v>0</v>
      </c>
    </row>
    <row r="25" spans="3:7" ht="32.1" customHeight="1">
      <c r="C25" s="58"/>
      <c r="D25" s="59"/>
      <c r="E25" s="60"/>
      <c r="F25" s="60"/>
      <c r="G25" s="60">
        <f t="shared" si="0"/>
        <v>0</v>
      </c>
    </row>
    <row r="26" spans="3:7" ht="32.1" customHeight="1">
      <c r="C26" s="58"/>
      <c r="D26" s="59"/>
      <c r="E26" s="60"/>
      <c r="F26" s="60"/>
      <c r="G26" s="60">
        <f t="shared" si="0"/>
        <v>0</v>
      </c>
    </row>
    <row r="27" spans="3:7" ht="32.1" customHeight="1">
      <c r="C27" s="58"/>
      <c r="D27" s="59"/>
      <c r="E27" s="60"/>
      <c r="F27" s="60"/>
      <c r="G27" s="60">
        <f t="shared" si="0"/>
        <v>0</v>
      </c>
    </row>
    <row r="28" spans="3:7" ht="32.1" customHeight="1">
      <c r="C28" s="58"/>
      <c r="D28" s="59"/>
      <c r="E28" s="60"/>
      <c r="F28" s="60"/>
      <c r="G28" s="60">
        <f t="shared" si="0"/>
        <v>0</v>
      </c>
    </row>
    <row r="29" spans="3:7" ht="32.1" customHeight="1">
      <c r="C29" s="58"/>
      <c r="D29" s="59"/>
      <c r="E29" s="60"/>
      <c r="F29" s="60"/>
      <c r="G29" s="60">
        <f t="shared" si="0"/>
        <v>0</v>
      </c>
    </row>
    <row r="30" spans="3:7" ht="32.1" customHeight="1">
      <c r="C30" s="58"/>
      <c r="D30" s="59"/>
      <c r="E30" s="60"/>
      <c r="F30" s="60"/>
      <c r="G30" s="60">
        <f t="shared" si="0"/>
        <v>0</v>
      </c>
    </row>
    <row r="31" spans="3:7" ht="32.1" customHeight="1">
      <c r="C31" s="58"/>
      <c r="D31" s="59"/>
      <c r="E31" s="60"/>
      <c r="F31" s="60"/>
      <c r="G31" s="60">
        <f t="shared" si="0"/>
        <v>0</v>
      </c>
    </row>
    <row r="32" spans="3:7" ht="32.1" customHeight="1">
      <c r="C32" s="58"/>
      <c r="D32" s="59"/>
      <c r="E32" s="60"/>
      <c r="F32" s="60"/>
      <c r="G32" s="60">
        <f t="shared" si="0"/>
        <v>0</v>
      </c>
    </row>
    <row r="33" spans="3:7" ht="32.1" customHeight="1">
      <c r="C33" s="58"/>
      <c r="D33" s="59"/>
      <c r="E33" s="60"/>
      <c r="F33" s="60"/>
      <c r="G33" s="60">
        <f t="shared" si="0"/>
        <v>0</v>
      </c>
    </row>
    <row r="34" spans="3:7" ht="32.1" customHeight="1">
      <c r="C34" s="58"/>
      <c r="D34" s="59"/>
      <c r="E34" s="60"/>
      <c r="F34" s="60"/>
      <c r="G34" s="60">
        <f t="shared" si="0"/>
        <v>0</v>
      </c>
    </row>
    <row r="35" spans="3:7" ht="32.1" customHeight="1">
      <c r="C35" s="58"/>
      <c r="D35" s="59"/>
      <c r="E35" s="60"/>
      <c r="F35" s="60"/>
      <c r="G35" s="60">
        <f t="shared" si="0"/>
        <v>0</v>
      </c>
    </row>
    <row r="36" spans="3:7" ht="32.1" customHeight="1">
      <c r="C36" s="58"/>
      <c r="D36" s="59"/>
      <c r="E36" s="60"/>
      <c r="F36" s="60"/>
      <c r="G36" s="60">
        <f t="shared" si="0"/>
        <v>0</v>
      </c>
    </row>
    <row r="37" spans="3:7" ht="32.1" customHeight="1">
      <c r="C37" s="58"/>
      <c r="D37" s="59"/>
      <c r="E37" s="60"/>
      <c r="F37" s="60"/>
      <c r="G37" s="60">
        <f t="shared" si="0"/>
        <v>0</v>
      </c>
    </row>
    <row r="38" spans="3:7" ht="32.1" customHeight="1">
      <c r="C38" s="58"/>
      <c r="D38" s="59"/>
      <c r="E38" s="60"/>
      <c r="F38" s="60"/>
      <c r="G38" s="60">
        <f t="shared" si="0"/>
        <v>0</v>
      </c>
    </row>
    <row r="39" spans="3:7" ht="32.1" customHeight="1">
      <c r="C39" s="58"/>
      <c r="D39" s="59"/>
      <c r="E39" s="60"/>
      <c r="F39" s="60"/>
      <c r="G39" s="60">
        <f t="shared" si="0"/>
        <v>0</v>
      </c>
    </row>
    <row r="40" spans="3:7" ht="32.1" customHeight="1">
      <c r="C40" s="58"/>
      <c r="D40" s="59"/>
      <c r="E40" s="60"/>
      <c r="F40" s="60"/>
      <c r="G40" s="60">
        <f t="shared" si="0"/>
        <v>0</v>
      </c>
    </row>
    <row r="41" spans="3:7" ht="32.1" customHeight="1">
      <c r="C41" s="58"/>
      <c r="D41" s="59"/>
      <c r="E41" s="60"/>
      <c r="F41" s="60"/>
      <c r="G41" s="60">
        <f t="shared" si="0"/>
        <v>0</v>
      </c>
    </row>
    <row r="42" spans="3:7" ht="32.1" customHeight="1">
      <c r="C42" s="58"/>
      <c r="D42" s="59"/>
      <c r="E42" s="60"/>
      <c r="F42" s="60"/>
      <c r="G42" s="60">
        <f t="shared" si="0"/>
        <v>0</v>
      </c>
    </row>
    <row r="43" spans="3:7" ht="32.1" customHeight="1">
      <c r="C43" s="58"/>
      <c r="D43" s="59"/>
      <c r="E43" s="60"/>
      <c r="F43" s="60"/>
      <c r="G43" s="60">
        <f t="shared" si="0"/>
        <v>0</v>
      </c>
    </row>
    <row r="44" spans="3:7" ht="32.1" customHeight="1">
      <c r="C44" s="58"/>
      <c r="D44" s="59"/>
      <c r="E44" s="60"/>
      <c r="F44" s="60"/>
      <c r="G44" s="60">
        <f t="shared" si="0"/>
        <v>0</v>
      </c>
    </row>
    <row r="45" spans="3:7" ht="32.1" customHeight="1">
      <c r="C45" s="58"/>
      <c r="D45" s="59"/>
      <c r="E45" s="60"/>
      <c r="F45" s="60"/>
      <c r="G45" s="60">
        <f t="shared" si="0"/>
        <v>0</v>
      </c>
    </row>
    <row r="46" spans="3:7" ht="32.1" customHeight="1">
      <c r="C46" s="58"/>
      <c r="D46" s="59"/>
      <c r="E46" s="60"/>
      <c r="F46" s="60"/>
      <c r="G46" s="60">
        <f t="shared" si="0"/>
        <v>0</v>
      </c>
    </row>
    <row r="47" spans="3:7" ht="32.1" customHeight="1">
      <c r="C47" s="58"/>
      <c r="D47" s="59"/>
      <c r="E47" s="60"/>
      <c r="F47" s="60"/>
      <c r="G47" s="60">
        <f t="shared" si="0"/>
        <v>0</v>
      </c>
    </row>
    <row r="48" spans="3:7" ht="32.1" customHeight="1">
      <c r="C48" s="58"/>
      <c r="D48" s="59"/>
      <c r="E48" s="60"/>
      <c r="F48" s="60"/>
      <c r="G48" s="60">
        <f t="shared" si="0"/>
        <v>0</v>
      </c>
    </row>
    <row r="49" spans="3:7" ht="32.1" customHeight="1">
      <c r="C49" s="58"/>
      <c r="D49" s="59"/>
      <c r="E49" s="60"/>
      <c r="F49" s="60"/>
      <c r="G49" s="60">
        <f t="shared" si="0"/>
        <v>0</v>
      </c>
    </row>
    <row r="50" spans="3:7" ht="32.1" customHeight="1">
      <c r="C50" s="58"/>
      <c r="D50" s="59"/>
      <c r="E50" s="60"/>
      <c r="F50" s="60"/>
      <c r="G50" s="60">
        <f t="shared" si="0"/>
        <v>0</v>
      </c>
    </row>
    <row r="51" spans="3:7" ht="32.1" customHeight="1">
      <c r="C51" s="58"/>
      <c r="D51" s="59"/>
      <c r="E51" s="60"/>
      <c r="F51" s="60"/>
      <c r="G51" s="60">
        <f t="shared" si="0"/>
        <v>0</v>
      </c>
    </row>
    <row r="52" spans="3:7" ht="32.1" customHeight="1">
      <c r="C52" s="58"/>
      <c r="D52" s="59"/>
      <c r="E52" s="60"/>
      <c r="F52" s="60"/>
      <c r="G52" s="60">
        <f t="shared" si="0"/>
        <v>0</v>
      </c>
    </row>
    <row r="53" spans="3:7" ht="32.1" customHeight="1">
      <c r="C53" s="58"/>
      <c r="D53" s="59"/>
      <c r="E53" s="60"/>
      <c r="F53" s="60"/>
      <c r="G53" s="60">
        <f t="shared" si="0"/>
        <v>0</v>
      </c>
    </row>
    <row r="54" spans="3:7" ht="32.1" customHeight="1">
      <c r="C54" s="58"/>
      <c r="D54" s="59"/>
      <c r="E54" s="60"/>
      <c r="F54" s="60"/>
      <c r="G54" s="60">
        <f t="shared" si="0"/>
        <v>0</v>
      </c>
    </row>
    <row r="55" spans="3:7" ht="32.1" customHeight="1">
      <c r="C55" s="58"/>
      <c r="D55" s="59"/>
      <c r="E55" s="60"/>
      <c r="F55" s="60"/>
      <c r="G55" s="60">
        <f t="shared" si="0"/>
        <v>0</v>
      </c>
    </row>
    <row r="56" spans="3:7" ht="32.1" customHeight="1">
      <c r="C56" s="58"/>
      <c r="D56" s="59"/>
      <c r="E56" s="60"/>
      <c r="F56" s="60"/>
      <c r="G56" s="60">
        <f t="shared" si="0"/>
        <v>0</v>
      </c>
    </row>
    <row r="57" spans="3:7" ht="32.1" customHeight="1">
      <c r="C57" s="58"/>
      <c r="D57" s="59"/>
      <c r="E57" s="60"/>
      <c r="F57" s="60"/>
      <c r="G57" s="60">
        <f t="shared" si="0"/>
        <v>0</v>
      </c>
    </row>
  </sheetData>
  <conditionalFormatting sqref="F4:F13">
    <cfRule type="expression" dxfId="29" priority="26">
      <formula>F4=""</formula>
    </cfRule>
    <cfRule type="expression" dxfId="28" priority="27">
      <formula>F4&lt;44.5</formula>
    </cfRule>
    <cfRule type="expression" dxfId="27" priority="28">
      <formula>F4&lt;60.5</formula>
    </cfRule>
    <cfRule type="expression" dxfId="26" priority="29">
      <formula>F4&lt;85.5</formula>
    </cfRule>
    <cfRule type="expression" dxfId="25" priority="30">
      <formula>F4&gt;85.5</formula>
    </cfRule>
  </conditionalFormatting>
  <conditionalFormatting sqref="E4:E13">
    <cfRule type="expression" dxfId="24" priority="21">
      <formula>E4=""</formula>
    </cfRule>
    <cfRule type="expression" dxfId="23" priority="22">
      <formula>E4&lt;44.5</formula>
    </cfRule>
    <cfRule type="expression" dxfId="22" priority="23">
      <formula>E4&lt;60.5</formula>
    </cfRule>
    <cfRule type="expression" dxfId="21" priority="24">
      <formula>E4&lt;85.5</formula>
    </cfRule>
    <cfRule type="expression" dxfId="20" priority="25">
      <formula>E4&gt;85.5</formula>
    </cfRule>
  </conditionalFormatting>
  <conditionalFormatting sqref="E4:G13">
    <cfRule type="expression" dxfId="19" priority="16">
      <formula>E4=""</formula>
    </cfRule>
    <cfRule type="expression" dxfId="18" priority="17">
      <formula>E4&lt;44.5</formula>
    </cfRule>
    <cfRule type="expression" dxfId="17" priority="18">
      <formula>E4&lt;60.5</formula>
    </cfRule>
    <cfRule type="expression" dxfId="16" priority="19">
      <formula>E4&lt;85.5</formula>
    </cfRule>
    <cfRule type="expression" dxfId="15" priority="20">
      <formula>E4&gt;85.5</formula>
    </cfRule>
  </conditionalFormatting>
  <conditionalFormatting sqref="F14:F57">
    <cfRule type="expression" dxfId="14" priority="11">
      <formula>F14=""</formula>
    </cfRule>
    <cfRule type="expression" dxfId="13" priority="12">
      <formula>F14&lt;44.5</formula>
    </cfRule>
    <cfRule type="expression" dxfId="12" priority="13">
      <formula>F14&lt;60.5</formula>
    </cfRule>
    <cfRule type="expression" dxfId="11" priority="14">
      <formula>F14&lt;85.5</formula>
    </cfRule>
    <cfRule type="expression" dxfId="10" priority="15">
      <formula>F14&gt;85.5</formula>
    </cfRule>
  </conditionalFormatting>
  <conditionalFormatting sqref="E14:E57">
    <cfRule type="expression" dxfId="9" priority="6">
      <formula>E14=""</formula>
    </cfRule>
    <cfRule type="expression" dxfId="8" priority="7">
      <formula>E14&lt;44.5</formula>
    </cfRule>
    <cfRule type="expression" dxfId="7" priority="8">
      <formula>E14&lt;60.5</formula>
    </cfRule>
    <cfRule type="expression" dxfId="6" priority="9">
      <formula>E14&lt;85.5</formula>
    </cfRule>
    <cfRule type="expression" dxfId="5" priority="10">
      <formula>E14&gt;85.5</formula>
    </cfRule>
  </conditionalFormatting>
  <conditionalFormatting sqref="E14:G57">
    <cfRule type="expression" dxfId="4" priority="1">
      <formula>E14=""</formula>
    </cfRule>
    <cfRule type="expression" dxfId="3" priority="2">
      <formula>E14&lt;44.5</formula>
    </cfRule>
    <cfRule type="expression" dxfId="2" priority="3">
      <formula>E14&lt;60.5</formula>
    </cfRule>
    <cfRule type="expression" dxfId="1" priority="4">
      <formula>E14&lt;85.5</formula>
    </cfRule>
    <cfRule type="expression" dxfId="0" priority="5">
      <formula>E14&gt;85.5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F1:K22"/>
  <sheetViews>
    <sheetView showGridLines="0" topLeftCell="A22" zoomScale="70" zoomScaleNormal="70" workbookViewId="0">
      <selection activeCell="W39" sqref="W39"/>
    </sheetView>
  </sheetViews>
  <sheetFormatPr baseColWidth="10" defaultColWidth="9.140625" defaultRowHeight="15"/>
  <cols>
    <col min="6" max="6" width="60.28515625" customWidth="1"/>
  </cols>
  <sheetData>
    <row r="1" spans="6:11">
      <c r="J1" s="556" t="s">
        <v>857</v>
      </c>
      <c r="K1" s="556"/>
    </row>
    <row r="2" spans="6:11">
      <c r="F2" s="415" t="s">
        <v>858</v>
      </c>
      <c r="G2" s="415" t="s">
        <v>859</v>
      </c>
      <c r="J2" s="556"/>
      <c r="K2" s="556"/>
    </row>
    <row r="3" spans="6:11">
      <c r="F3" s="399" t="s">
        <v>860</v>
      </c>
      <c r="G3" s="400">
        <v>96.55</v>
      </c>
    </row>
    <row r="4" spans="6:11">
      <c r="F4" s="399" t="s">
        <v>861</v>
      </c>
      <c r="G4" s="400">
        <v>72.41</v>
      </c>
    </row>
    <row r="5" spans="6:11">
      <c r="F5" s="399" t="s">
        <v>862</v>
      </c>
      <c r="G5" s="400">
        <v>48.28</v>
      </c>
    </row>
    <row r="6" spans="6:11">
      <c r="F6" s="399" t="s">
        <v>863</v>
      </c>
      <c r="G6" s="400">
        <v>17.239999999999998</v>
      </c>
    </row>
    <row r="7" spans="6:11">
      <c r="F7" s="399" t="s">
        <v>864</v>
      </c>
      <c r="G7" s="400">
        <v>13.79</v>
      </c>
    </row>
    <row r="8" spans="6:11">
      <c r="F8" s="399" t="s">
        <v>865</v>
      </c>
      <c r="G8" s="400">
        <v>10.34</v>
      </c>
    </row>
    <row r="9" spans="6:11">
      <c r="F9" s="399" t="s">
        <v>866</v>
      </c>
      <c r="G9" s="400">
        <v>10.34</v>
      </c>
    </row>
    <row r="10" spans="6:11">
      <c r="F10" s="399" t="s">
        <v>867</v>
      </c>
      <c r="G10" s="400">
        <v>6.9</v>
      </c>
    </row>
    <row r="11" spans="6:11">
      <c r="F11" s="399" t="s">
        <v>868</v>
      </c>
      <c r="G11" s="400">
        <v>6.9</v>
      </c>
    </row>
    <row r="12" spans="6:11">
      <c r="F12" s="399" t="s">
        <v>869</v>
      </c>
      <c r="G12" s="400">
        <v>6.9</v>
      </c>
    </row>
    <row r="13" spans="6:11">
      <c r="F13" s="399" t="s">
        <v>870</v>
      </c>
      <c r="G13" s="400">
        <v>6.9</v>
      </c>
    </row>
    <row r="14" spans="6:11">
      <c r="F14" s="399" t="s">
        <v>871</v>
      </c>
      <c r="G14" s="400">
        <v>3.45</v>
      </c>
    </row>
    <row r="15" spans="6:11">
      <c r="F15" s="399" t="s">
        <v>872</v>
      </c>
      <c r="G15" s="400">
        <v>0</v>
      </c>
    </row>
    <row r="16" spans="6:11">
      <c r="F16" s="399" t="s">
        <v>873</v>
      </c>
      <c r="G16" s="400">
        <v>0</v>
      </c>
    </row>
    <row r="17" spans="6:7">
      <c r="F17" s="416"/>
      <c r="G17" s="417"/>
    </row>
    <row r="18" spans="6:7">
      <c r="F18" s="416"/>
      <c r="G18" s="417"/>
    </row>
    <row r="19" spans="6:7">
      <c r="F19" s="416"/>
      <c r="G19" s="417"/>
    </row>
    <row r="20" spans="6:7">
      <c r="F20" s="416"/>
      <c r="G20" s="417"/>
    </row>
    <row r="21" spans="6:7">
      <c r="F21" s="416"/>
      <c r="G21" s="417"/>
    </row>
    <row r="22" spans="6:7">
      <c r="F22" s="416"/>
      <c r="G22" s="417"/>
    </row>
  </sheetData>
  <autoFilter ref="F2:G22">
    <sortState ref="F3:G22">
      <sortCondition descending="1" ref="G2:G22"/>
    </sortState>
  </autoFilter>
  <mergeCells count="1">
    <mergeCell ref="J1:K2"/>
  </mergeCells>
  <pageMargins left="0.7" right="0.7" top="0.75" bottom="0.75" header="0.3" footer="0.3"/>
  <pageSetup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88</vt:i4>
      </vt:variant>
    </vt:vector>
  </HeadingPairs>
  <TitlesOfParts>
    <vt:vector size="107" baseType="lpstr">
      <vt:lpstr>TI COPIA</vt:lpstr>
      <vt:lpstr>Ficha técnica</vt:lpstr>
      <vt:lpstr>DetalleDimension</vt:lpstr>
      <vt:lpstr>Dimensiones</vt:lpstr>
      <vt:lpstr>Confianza</vt:lpstr>
      <vt:lpstr>Sintesis</vt:lpstr>
      <vt:lpstr>Evolucion Sintesis</vt:lpstr>
      <vt:lpstr>Tabla</vt:lpstr>
      <vt:lpstr>Motivo</vt:lpstr>
      <vt:lpstr>Demo</vt:lpstr>
      <vt:lpstr>Indice</vt:lpstr>
      <vt:lpstr>Indice3</vt:lpstr>
      <vt:lpstr>Indice2</vt:lpstr>
      <vt:lpstr>Radar</vt:lpstr>
      <vt:lpstr>Instrucciones USO</vt:lpstr>
      <vt:lpstr>Hoja2</vt:lpstr>
      <vt:lpstr>MiJefe</vt:lpstr>
      <vt:lpstr>Adicionales Cliente</vt:lpstr>
      <vt:lpstr>Investigacion17</vt:lpstr>
      <vt:lpstr>Demo!Borrar1</vt:lpstr>
      <vt:lpstr>Camaraderia</vt:lpstr>
      <vt:lpstr>Camaraderia2</vt:lpstr>
      <vt:lpstr>CHIST0</vt:lpstr>
      <vt:lpstr>CHIST1</vt:lpstr>
      <vt:lpstr>conneg</vt:lpstr>
      <vt:lpstr>ConNEG1</vt:lpstr>
      <vt:lpstr>conpos</vt:lpstr>
      <vt:lpstr>ConPOS1</vt:lpstr>
      <vt:lpstr>Credibilidad</vt:lpstr>
      <vt:lpstr>Credibilidad2</vt:lpstr>
      <vt:lpstr>demo1</vt:lpstr>
      <vt:lpstr>demo10</vt:lpstr>
      <vt:lpstr>demo11</vt:lpstr>
      <vt:lpstr>demo12</vt:lpstr>
      <vt:lpstr>demo13</vt:lpstr>
      <vt:lpstr>demo14</vt:lpstr>
      <vt:lpstr>demo15</vt:lpstr>
      <vt:lpstr>demo16</vt:lpstr>
      <vt:lpstr>demo17</vt:lpstr>
      <vt:lpstr>demo18</vt:lpstr>
      <vt:lpstr>demo19</vt:lpstr>
      <vt:lpstr>demo2</vt:lpstr>
      <vt:lpstr>demo20</vt:lpstr>
      <vt:lpstr>demo21</vt:lpstr>
      <vt:lpstr>demo22</vt:lpstr>
      <vt:lpstr>demo23</vt:lpstr>
      <vt:lpstr>demo24</vt:lpstr>
      <vt:lpstr>demo25</vt:lpstr>
      <vt:lpstr>demo26</vt:lpstr>
      <vt:lpstr>demo27</vt:lpstr>
      <vt:lpstr>demo28</vt:lpstr>
      <vt:lpstr>demo29</vt:lpstr>
      <vt:lpstr>demo3</vt:lpstr>
      <vt:lpstr>demo30</vt:lpstr>
      <vt:lpstr>demo4</vt:lpstr>
      <vt:lpstr>demo5</vt:lpstr>
      <vt:lpstr>demo6</vt:lpstr>
      <vt:lpstr>demo7</vt:lpstr>
      <vt:lpstr>demo8</vt:lpstr>
      <vt:lpstr>demo9</vt:lpstr>
      <vt:lpstr>DemoG1</vt:lpstr>
      <vt:lpstr>DemoG10</vt:lpstr>
      <vt:lpstr>DemoG11</vt:lpstr>
      <vt:lpstr>DemoG12</vt:lpstr>
      <vt:lpstr>DemoG13</vt:lpstr>
      <vt:lpstr>DemoG14</vt:lpstr>
      <vt:lpstr>DemoG15</vt:lpstr>
      <vt:lpstr>DemoG16</vt:lpstr>
      <vt:lpstr>DemoG17</vt:lpstr>
      <vt:lpstr>DemoG18</vt:lpstr>
      <vt:lpstr>DemoG19</vt:lpstr>
      <vt:lpstr>DemoG2</vt:lpstr>
      <vt:lpstr>DemoG20</vt:lpstr>
      <vt:lpstr>DemoG21</vt:lpstr>
      <vt:lpstr>DemoG22</vt:lpstr>
      <vt:lpstr>DemoG23</vt:lpstr>
      <vt:lpstr>DemoG24</vt:lpstr>
      <vt:lpstr>DemoG25</vt:lpstr>
      <vt:lpstr>DemoG26</vt:lpstr>
      <vt:lpstr>DemoG27</vt:lpstr>
      <vt:lpstr>DemoG28</vt:lpstr>
      <vt:lpstr>DemoG29</vt:lpstr>
      <vt:lpstr>DemoG3</vt:lpstr>
      <vt:lpstr>DemoG30</vt:lpstr>
      <vt:lpstr>DemoG4</vt:lpstr>
      <vt:lpstr>DemoG5</vt:lpstr>
      <vt:lpstr>DemoG6</vt:lpstr>
      <vt:lpstr>DemoG7</vt:lpstr>
      <vt:lpstr>DemoG8</vt:lpstr>
      <vt:lpstr>DemoG9</vt:lpstr>
      <vt:lpstr>dimensiones_evol</vt:lpstr>
      <vt:lpstr>dimensiones_ult</vt:lpstr>
      <vt:lpstr>ficha</vt:lpstr>
      <vt:lpstr>grafico</vt:lpstr>
      <vt:lpstr>gráfico</vt:lpstr>
      <vt:lpstr>grafico2</vt:lpstr>
      <vt:lpstr>Imparcialidad</vt:lpstr>
      <vt:lpstr>Imparcialidad2</vt:lpstr>
      <vt:lpstr>indicadores_globales_evol</vt:lpstr>
      <vt:lpstr>indicadorglobal</vt:lpstr>
      <vt:lpstr>motivo</vt:lpstr>
      <vt:lpstr>Motivo2</vt:lpstr>
      <vt:lpstr>Orgullo</vt:lpstr>
      <vt:lpstr>Orgullo2</vt:lpstr>
      <vt:lpstr>Respeto</vt:lpstr>
      <vt:lpstr>Respeto2</vt:lpstr>
      <vt:lpstr>SHIST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Valentina Perez Aguirre</dc:creator>
  <cp:lastModifiedBy>Adriana Orellana</cp:lastModifiedBy>
  <cp:lastPrinted>2017-06-12T11:07:13Z</cp:lastPrinted>
  <dcterms:created xsi:type="dcterms:W3CDTF">2012-02-16T20:39:03Z</dcterms:created>
  <dcterms:modified xsi:type="dcterms:W3CDTF">2017-07-12T20:03:06Z</dcterms:modified>
</cp:coreProperties>
</file>