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filterPrivacy="1" codeName="ThisWorkbook" defaultThemeVersion="124226"/>
  <workbookProtection workbookAlgorithmName="SHA-512" workbookHashValue="ZFl7NqeaUBfiptaM75S8p+TrtQqOkLf4hHmwncGcn2y/p/sJvjbZMJ4BnbngrFlHLNYxAP6VQfIzCuzUTSVeiQ==" workbookSaltValue="hdR5ZAFqszLU0YkaJAWjwg==" workbookSpinCount="100000" lockStructure="1"/>
  <bookViews>
    <workbookView xWindow="0" yWindow="0" windowWidth="24000" windowHeight="9735" tabRatio="760" firstSheet="3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55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71027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<sst xmlns="http://schemas.openxmlformats.org/spreadsheetml/2006/main" count="1461" uniqueCount="511">
  <si>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</si>
  <si>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</si>
  <si>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</si>
  <si>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</si>
  <si>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</si>
  <si>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</si>
  <si>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</si>
  <si>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</si>
  <si>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</si>
  <si>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</si>
  <si>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</si>
  <si>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</si>
  <si>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</si>
  <si>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</si>
  <si>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</si>
  <si>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</si>
  <si>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</si>
  <si>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</si>
  <si>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</si>
  <si>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</si>
  <si>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</si>
  <si>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</si>
  <si>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</si>
  <si>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</si>
  <si>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</si>
  <si>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</si>
  <si>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</si>
  <si>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</si>
  <si>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</si>
  <si>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</si>
  <si>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</si>
  <si>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</si>
  <si>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</si>
  <si>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</si>
  <si>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</si>
  <si>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</si>
  <si>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</si>
  <si>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</si>
  <si>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</si>
  <si>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</si>
  <si>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</si>
  <si>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</si>
  <si>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</si>
  <si>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</si>
  <si>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</si>
  <si>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</si>
  <si>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</si>
  <si>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</si>
  <si>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</si>
  <si>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</si>
  <si>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</si>
  <si>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</si>
  <si>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</si>
  <si>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</si>
  <si>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</si>
  <si>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</si>
  <si>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</si>
  <si>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</si>
  <si>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</si>
  <si>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</si>
  <si>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</si>
  <si>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</si>
  <si>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</si>
  <si>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</si>
  <si>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</si>
  <si>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</si>
  <si>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</si>
  <si>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</si>
  <si>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</si>
  <si>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</si>
  <si>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</si>
  <si>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</si>
  <si>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</si>
  <si>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</si>
  <si>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</si>
  <si>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</si>
  <si>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</si>
  <si>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</si>
  <si>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</si>
  <si>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</si>
  <si>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</si>
  <si>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</si>
  <si>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</si>
  <si>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</si>
  <si>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</si>
  <si>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</si>
  <si>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</si>
  <si>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</si>
  <si>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</si>
  <si>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</si>
  <si>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</si>
  <si>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</si>
  <si>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</si>
  <si>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</si>
  <si>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</si>
  <si>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</si>
  <si>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</si>
  <si>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</si>
  <si>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</si>
  <si>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</si>
  <si>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</si>
  <si>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</si>
  <si>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</si>
  <si>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</si>
  <si>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</si>
  <si>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</si>
  <si>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</si>
  <si>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</si>
  <si>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</si>
  <si>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</si>
  <si>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</si>
  <si>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</si>
  <si>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</si>
  <si>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</si>
  <si>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</si>
  <si>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</si>
  <si>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</si>
  <si>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</si>
  <si>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</si>
  <si>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</si>
  <si>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</si>
  <si>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</si>
  <si>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</si>
  <si>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</si>
  <si>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</si>
  <si>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</si>
  <si>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</si>
  <si>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</si>
  <si>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</si>
  <si>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</si>
  <si>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</si>
  <si>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</si>
  <si>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</si>
  <si>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</si>
  <si>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</si>
  <si>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</si>
  <si>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</si>
  <si>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</si>
  <si>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</si>
  <si>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</si>
  <si>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</si>
  <si>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</si>
  <si>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</si>
  <si>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</si>
  <si>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</si>
  <si>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</si>
  <si>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</si>
  <si>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</si>
  <si>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</si>
  <si>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</si>
  <si>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</si>
  <si>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</si>
  <si>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</si>
  <si>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</si>
  <si>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</si>
  <si>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</si>
  <si>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</si>
  <si>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</si>
  <si>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</si>
  <si>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</si>
  <si>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</si>
  <si>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</si>
  <si>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</si>
  <si>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</si>
  <si>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</si>
  <si>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</si>
  <si>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</si>
  <si>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</si>
  <si>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</si>
  <si>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</si>
  <si>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</si>
  <si>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</si>
  <si>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</si>
  <si>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</si>
  <si>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</si>
  <si>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</si>
  <si>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</si>
  <si>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</si>
  <si>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</si>
  <si>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</si>
  <si>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</si>
  <si>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</si>
  <si>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</si>
  <si>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</si>
  <si>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</si>
  <si>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</si>
  <si>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</si>
  <si>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</si>
  <si>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</si>
  <si>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</si>
  <si>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</si>
  <si>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</si>
  <si>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</si>
  <si>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</si>
  <si>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</si>
  <si>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</si>
  <si>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</si>
  <si>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</si>
  <si>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</si>
  <si>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</si>
  <si>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</si>
  <si>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</si>
  <si>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</si>
  <si>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</si>
  <si>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</si>
  <si>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</si>
  <si>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</si>
  <si>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</si>
  <si>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</si>
  <si>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</si>
  <si>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</si>
  <si>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</si>
  <si>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</si>
  <si>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</si>
  <si>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</si>
  <si>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</si>
  <si>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</si>
  <si>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</si>
  <si>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</si>
  <si>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</si>
  <si>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</si>
  <si>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</si>
  <si>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</si>
  <si>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</si>
  <si>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</si>
  <si>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</si>
  <si>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</si>
  <si>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</si>
  <si>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</si>
  <si>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</si>
  <si>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</si>
  <si>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</si>
  <si>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</si>
  <si>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</si>
  <si>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</si>
  <si>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</si>
  <si>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</si>
  <si>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</si>
  <si>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</si>
  <si>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</si>
  <si>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</si>
  <si>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</si>
  <si>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</si>
  <si>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</si>
  <si>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</si>
  <si>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</si>
  <si>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</si>
  <si>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</si>
  <si>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</si>
  <si>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</si>
  <si>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</si>
  <si>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</si>
  <si>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</si>
  <si>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</si>
  <si>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</si>
  <si>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</si>
  <si>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</si>
  <si>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</si>
  <si>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</si>
  <si>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</si>
  <si>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</si>
  <si>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</si>
  <si>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</si>
  <si>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</si>
  <si>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</si>
  <si>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</si>
  <si>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</si>
  <si>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</si>
  <si>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</si>
  <si>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</si>
  <si>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</si>
  <si>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</si>
  <si>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</si>
  <si>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</si>
  <si>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</si>
  <si>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</si>
  <si>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</si>
  <si>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</si>
  <si>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</si>
  <si>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</si>
  <si>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</si>
  <si>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</si>
  <si>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</si>
  <si>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</si>
  <si>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</si>
  <si>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</si>
  <si>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</si>
  <si>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</si>
  <si>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</si>
  <si>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</si>
  <si>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</si>
  <si>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</si>
  <si>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</si>
  <si>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</si>
  <si>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</si>
  <si>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</si>
  <si>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</si>
  <si>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</si>
  <si>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</si>
  <si>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</si>
  <si>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</si>
  <si>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</si>
  <si>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</si>
  <si>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</si>
  <si>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</si>
  <si>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</si>
  <si>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</si>
  <si>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</si>
  <si>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</si>
  <si>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</si>
  <si>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</si>
  <si>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</si>
  <si>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</si>
  <si>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</si>
  <si>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</si>
  <si>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</si>
  <si>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</si>
  <si>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</si>
  <si>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</si>
  <si>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</si>
  <si>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</si>
  <si>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</si>
  <si>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</si>
  <si>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</si>
  <si>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</si>
  <si>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</si>
  <si>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</si>
  <si>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</si>
  <si>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</si>
  <si>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</si>
  <si>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</si>
  <si>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</si>
  <si>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</si>
  <si>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</si>
  <si>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</si>
  <si>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</si>
  <si>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</si>
  <si>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</si>
  <si>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</si>
  <si>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</si>
  <si>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</si>
  <si>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</si>
  <si>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</si>
  <si>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</si>
  <si>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</si>
  <si>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</si>
  <si>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</si>
  <si>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</si>
  <si>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</si>
  <si>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</si>
  <si>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</si>
  <si>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</si>
  <si>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</si>
  <si>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</si>
  <si>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</si>
  <si>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</si>
  <si>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</si>
  <si>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</si>
  <si>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</si>
  <si>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</si>
  <si>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</si>
  <si>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</si>
  <si>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</si>
  <si>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</si>
  <si>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</si>
  <si>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</si>
  <si>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</si>
  <si>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</si>
  <si>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</si>
  <si>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</si>
  <si>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</si>
  <si>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</si>
  <si>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</si>
  <si>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</si>
  <si>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</si>
  <si>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</si>
  <si>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</si>
  <si>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</si>
  <si>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</si>
  <si>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</si>
  <si>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</si>
  <si>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</si>
  <si>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</si>
  <si>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</si>
  <si>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</si>
  <si>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</si>
  <si>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</si>
  <si>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</si>
  <si>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</si>
  <si>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</si>
  <si>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</si>
  <si>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</si>
  <si>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</si>
  <si>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</si>
  <si>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</si>
  <si>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</si>
  <si>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</si>
  <si>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</si>
  <si>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</si>
  <si>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</si>
  <si>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</si>
  <si>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</si>
  <si>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</si>
  <si>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</si>
  <si>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</si>
  <si>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</si>
  <si>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</si>
  <si>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</si>
  <si>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</si>
  <si>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</si>
  <si>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</si>
  <si>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</si>
  <si>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</si>
  <si>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</si>
  <si>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</si>
  <si>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</si>
  <si>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</si>
  <si>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</si>
  <si>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</si>
  <si>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</si>
  <si>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</si>
  <si>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</si>
  <si>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</si>
  <si>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</si>
  <si>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</si>
  <si>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</si>
  <si>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</si>
  <si>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</si>
  <si>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</si>
  <si>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</si>
  <si>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</si>
  <si>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</si>
  <si>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</si>
  <si>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</si>
  <si>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</si>
  <si>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</si>
  <si>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</si>
  <si>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</si>
  <si>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</si>
  <si>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</si>
  <si>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</si>
  <si>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</si>
  <si>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</si>
  <si>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</si>
  <si>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</si>
  <si>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</si>
  <si>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</si>
  <si>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</si>
  <si>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</si>
  <si>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</si>
  <si>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</si>
  <si>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</si>
  <si>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</si>
  <si>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</si>
  <si>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</si>
  <si>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</si>
  <si>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</si>
  <si>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</si>
  <si>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</si>
  <si>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</si>
  <si>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</si>
  <si>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</si>
  <si>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</si>
  <si>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</si>
  <si>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</si>
  <si>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</si>
  <si>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</si>
  <si>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</si>
  <si>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</si>
  <si>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</si>
  <si>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</si>
  <si>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</si>
  <si>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</si>
  <si>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</si>
  <si>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</si>
  <si>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</si>
  <si>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</si>
  <si>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</si>
  <si>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</si>
  <si>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</si>
  <si>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</si>
  <si>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</si>
  <si>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</si>
  <si>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</si>
  <si>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</si>
  <si>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</si>
  <si>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</si>
  <si>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</si>
  <si>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</si>
  <si>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</si>
  <si>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</si>
  <si>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</si>
  <si>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</si>
  <si>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</si>
  <si>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</si>
  <si>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</si>
  <si>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</si>
  <si>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</si>
  <si>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</si>
  <si>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</si>
  <si>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</si>
  <si>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</si>
  <si>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</si>
  <si>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</si>
  <si>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</si>
  <si>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</si>
  <si>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</si>
  <si>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</si>
  <si>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</si>
  <si>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</si>
  <si>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#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</si>
</sst>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3" fillId="0" borderId="0" applyFont="0" applyFill="0" applyBorder="0" applyAlignment="0" applyProtection="0"/>
  </cellStyleXfs>
  <cellXfs count="34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left" vertical="center"/>
    </xf>
    <xf numFmtId="0" fontId="20" fillId="18" borderId="17" xfId="5" applyFont="1" applyFill="1" applyBorder="1" applyAlignment="1">
      <alignment horizontal="center" vertical="center"/>
    </xf>
    <xf numFmtId="0" fontId="20" fillId="18" borderId="17" xfId="5" applyFont="1" applyFill="1" applyBorder="1" applyAlignment="1">
      <alignment horizontal="center" vertical="center" wrapText="1"/>
    </xf>
    <xf numFmtId="0" fontId="19" fillId="15" borderId="18" xfId="0" applyFont="1" applyFill="1" applyBorder="1" applyAlignment="1">
      <alignment horizontal="left" vertical="center"/>
    </xf>
    <xf numFmtId="0" fontId="19" fillId="15" borderId="16" xfId="0" applyFont="1" applyFill="1" applyBorder="1" applyAlignment="1">
      <alignment horizontal="center" vertical="center"/>
    </xf>
    <xf numFmtId="0" fontId="19" fillId="15" borderId="16" xfId="0" applyFont="1" applyFill="1" applyBorder="1" applyAlignment="1">
      <alignment horizontal="center" vertical="center" wrapText="1"/>
    </xf>
    <xf numFmtId="0" fontId="21" fillId="19" borderId="0" xfId="5" applyFont="1" applyFill="1" applyAlignment="1">
      <alignment horizontal="center" vertical="center"/>
    </xf>
    <xf numFmtId="0" fontId="21" fillId="0" borderId="0" xfId="5" applyFont="1" applyAlignment="1">
      <alignment horizontal="center" vertical="center"/>
    </xf>
    <xf numFmtId="1" fontId="22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center" vertical="center" wrapText="1"/>
    </xf>
    <xf numFmtId="0" fontId="28" fillId="28" borderId="0" xfId="0" applyFont="1" applyFill="1" applyBorder="1" applyAlignment="1">
      <alignment horizontal="left" vertical="center" wrapText="1"/>
    </xf>
    <xf numFmtId="1" fontId="29" fillId="29" borderId="0" xfId="0" applyNumberFormat="1" applyFont="1" applyFill="1" applyBorder="1" applyAlignment="1">
      <alignment horizontal="center" vertical="center"/>
    </xf>
    <xf numFmtId="1" fontId="21" fillId="19" borderId="0" xfId="5" applyNumberFormat="1" applyFont="1" applyFill="1" applyAlignment="1">
      <alignment horizontal="center" vertical="center"/>
    </xf>
    <xf numFmtId="0" fontId="21" fillId="0" borderId="0" xfId="5" applyFont="1" applyAlignment="1">
      <alignment vertical="center"/>
    </xf>
    <xf numFmtId="1" fontId="30" fillId="0" borderId="24" xfId="0" applyNumberFormat="1" applyFont="1" applyFill="1" applyBorder="1" applyAlignment="1">
      <alignment horizontal="center" vertical="center"/>
    </xf>
    <xf numFmtId="0" fontId="27" fillId="28" borderId="25" xfId="0" applyFont="1" applyFill="1" applyBorder="1" applyAlignment="1">
      <alignment horizontal="center" vertical="center" wrapText="1"/>
    </xf>
    <xf numFmtId="0" fontId="28" fillId="28" borderId="25" xfId="0" applyFont="1" applyFill="1" applyBorder="1" applyAlignment="1">
      <alignment horizontal="left" vertical="center" wrapText="1"/>
    </xf>
    <xf numFmtId="1" fontId="29" fillId="29" borderId="26" xfId="0" applyNumberFormat="1" applyFont="1" applyFill="1" applyBorder="1" applyAlignment="1">
      <alignment horizontal="center" vertical="center"/>
    </xf>
    <xf numFmtId="1" fontId="29" fillId="29" borderId="25" xfId="0" applyNumberFormat="1" applyFont="1" applyFill="1" applyBorder="1" applyAlignment="1">
      <alignment horizontal="center" vertical="center"/>
    </xf>
    <xf numFmtId="1" fontId="29" fillId="29" borderId="16" xfId="0" applyNumberFormat="1" applyFont="1" applyFill="1" applyBorder="1" applyAlignment="1">
      <alignment horizontal="center" vertical="center"/>
    </xf>
    <xf numFmtId="0" fontId="31" fillId="28" borderId="26" xfId="0" applyFont="1" applyFill="1" applyBorder="1" applyAlignment="1">
      <alignment horizontal="center" vertical="center" wrapText="1"/>
    </xf>
    <xf numFmtId="0" fontId="28" fillId="28" borderId="26" xfId="0" applyFont="1" applyFill="1" applyBorder="1" applyAlignment="1">
      <alignment horizontal="left" vertical="center" wrapText="1"/>
    </xf>
    <xf numFmtId="1" fontId="29" fillId="33" borderId="26" xfId="0" applyNumberFormat="1" applyFont="1" applyFill="1" applyBorder="1" applyAlignment="1">
      <alignment horizontal="center" vertical="center"/>
    </xf>
    <xf numFmtId="0" fontId="31" fillId="28" borderId="25" xfId="0" applyFont="1" applyFill="1" applyBorder="1" applyAlignment="1">
      <alignment horizontal="center" vertical="center" wrapText="1"/>
    </xf>
    <xf numFmtId="1" fontId="29" fillId="33" borderId="25" xfId="0" applyNumberFormat="1" applyFont="1" applyFill="1" applyBorder="1" applyAlignment="1">
      <alignment horizontal="center" vertical="center"/>
    </xf>
    <xf numFmtId="0" fontId="31" fillId="28" borderId="0" xfId="0" applyFont="1" applyFill="1" applyBorder="1" applyAlignment="1">
      <alignment horizontal="center" vertical="center" wrapText="1"/>
    </xf>
    <xf numFmtId="1" fontId="29" fillId="33" borderId="0" xfId="0" applyNumberFormat="1" applyFont="1" applyFill="1" applyBorder="1" applyAlignment="1">
      <alignment horizontal="center" vertical="center"/>
    </xf>
    <xf numFmtId="1" fontId="32" fillId="33" borderId="25" xfId="0" applyNumberFormat="1" applyFont="1" applyFill="1" applyBorder="1" applyAlignment="1">
      <alignment horizontal="center" vertical="center"/>
    </xf>
    <xf numFmtId="0" fontId="31" fillId="28" borderId="36" xfId="0" applyFont="1" applyFill="1" applyBorder="1" applyAlignment="1">
      <alignment horizontal="center" vertical="center" wrapText="1"/>
    </xf>
    <xf numFmtId="0" fontId="28" fillId="28" borderId="36" xfId="0" applyFont="1" applyFill="1" applyBorder="1" applyAlignment="1">
      <alignment horizontal="left" vertical="center" wrapText="1"/>
    </xf>
    <xf numFmtId="0" fontId="25" fillId="36" borderId="16" xfId="0" applyFont="1" applyFill="1" applyBorder="1" applyAlignment="1">
      <alignment horizontal="center" vertical="center" wrapText="1"/>
    </xf>
    <xf numFmtId="0" fontId="31" fillId="28" borderId="16" xfId="0" applyFont="1" applyFill="1" applyBorder="1" applyAlignment="1">
      <alignment horizontal="center" vertical="center" wrapText="1"/>
    </xf>
    <xf numFmtId="1" fontId="29" fillId="33" borderId="16" xfId="0" applyNumberFormat="1" applyFont="1" applyFill="1" applyBorder="1" applyAlignment="1">
      <alignment horizontal="center" vertical="center"/>
    </xf>
    <xf numFmtId="0" fontId="27" fillId="28" borderId="26" xfId="0" applyFont="1" applyFill="1" applyBorder="1" applyAlignment="1">
      <alignment horizontal="center" vertical="center" wrapText="1"/>
    </xf>
    <xf numFmtId="0" fontId="34" fillId="28" borderId="0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left" vertical="center" wrapText="1"/>
    </xf>
    <xf numFmtId="0" fontId="34" fillId="28" borderId="25" xfId="0" applyFont="1" applyFill="1" applyBorder="1" applyAlignment="1">
      <alignment horizontal="center" vertical="center" wrapText="1"/>
    </xf>
    <xf numFmtId="0" fontId="33" fillId="28" borderId="25" xfId="0" applyFont="1" applyFill="1" applyBorder="1" applyAlignment="1">
      <alignment horizontal="left" vertical="center" wrapText="1"/>
    </xf>
    <xf numFmtId="0" fontId="34" fillId="28" borderId="26" xfId="0" applyFont="1" applyFill="1" applyBorder="1" applyAlignment="1">
      <alignment horizontal="center" vertical="center" wrapText="1"/>
    </xf>
    <xf numFmtId="0" fontId="33" fillId="28" borderId="26" xfId="0" applyFont="1" applyFill="1" applyBorder="1" applyAlignment="1">
      <alignment horizontal="left" vertical="center" wrapText="1"/>
    </xf>
    <xf numFmtId="0" fontId="23" fillId="0" borderId="0" xfId="5" applyFont="1" applyAlignment="1">
      <alignment horizontal="center" vertical="center"/>
    </xf>
    <xf numFmtId="0" fontId="21" fillId="0" borderId="23" xfId="5" applyFont="1" applyBorder="1" applyAlignment="1">
      <alignment vertical="center"/>
    </xf>
    <xf numFmtId="0" fontId="21" fillId="0" borderId="16" xfId="5" applyFont="1" applyBorder="1" applyAlignment="1">
      <alignment vertical="center"/>
    </xf>
    <xf numFmtId="0" fontId="21" fillId="19" borderId="0" xfId="5" applyFont="1" applyFill="1" applyAlignment="1">
      <alignment vertical="center"/>
    </xf>
    <xf numFmtId="0" fontId="35" fillId="0" borderId="14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5" fillId="42" borderId="59" xfId="0" applyFont="1" applyFill="1" applyBorder="1" applyAlignment="1">
      <alignment vertical="center" wrapText="1"/>
    </xf>
    <xf numFmtId="0" fontId="35" fillId="42" borderId="60" xfId="0" applyFont="1" applyFill="1" applyBorder="1" applyAlignment="1">
      <alignment vertical="center" wrapText="1"/>
    </xf>
    <xf numFmtId="0" fontId="20" fillId="18" borderId="0" xfId="5" applyFont="1" applyFill="1" applyAlignment="1">
      <alignment vertical="center"/>
    </xf>
    <xf numFmtId="1" fontId="20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6" fillId="43" borderId="36" xfId="0" applyFont="1" applyFill="1" applyBorder="1" applyAlignment="1">
      <alignment horizontal="center" vertical="center" wrapText="1"/>
    </xf>
    <xf numFmtId="0" fontId="21" fillId="0" borderId="0" xfId="5" applyFont="1" applyAlignment="1">
      <alignment horizontal="left" vertical="center"/>
    </xf>
    <xf numFmtId="0" fontId="37" fillId="0" borderId="61" xfId="0" applyFont="1" applyFill="1" applyBorder="1" applyAlignment="1">
      <alignment horizontal="left" vertical="center" wrapText="1"/>
    </xf>
    <xf numFmtId="0" fontId="38" fillId="0" borderId="61" xfId="0" applyFont="1" applyFill="1" applyBorder="1" applyAlignment="1">
      <alignment horizontal="left" vertical="center" wrapText="1"/>
    </xf>
    <xf numFmtId="1" fontId="30" fillId="0" borderId="61" xfId="0" applyNumberFormat="1" applyFont="1" applyFill="1" applyBorder="1" applyAlignment="1">
      <alignment horizontal="center" vertical="center"/>
    </xf>
    <xf numFmtId="1" fontId="30" fillId="0" borderId="61" xfId="0" applyNumberFormat="1" applyFont="1" applyFill="1" applyBorder="1" applyAlignment="1">
      <alignment horizontal="center" vertical="center" wrapText="1"/>
    </xf>
    <xf numFmtId="0" fontId="37" fillId="0" borderId="24" xfId="0" applyFont="1" applyFill="1" applyBorder="1" applyAlignment="1">
      <alignment horizontal="left" vertical="center" wrapText="1"/>
    </xf>
    <xf numFmtId="0" fontId="38" fillId="0" borderId="24" xfId="0" applyFont="1" applyFill="1" applyBorder="1" applyAlignment="1">
      <alignment horizontal="left" vertical="center" wrapText="1"/>
    </xf>
    <xf numFmtId="1" fontId="30" fillId="0" borderId="24" xfId="0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 vertical="center" wrapText="1"/>
    </xf>
    <xf numFmtId="0" fontId="38" fillId="0" borderId="0" xfId="0" applyFont="1" applyFill="1" applyBorder="1" applyAlignment="1">
      <alignment horizontal="left" vertical="center" wrapText="1"/>
    </xf>
    <xf numFmtId="1" fontId="37" fillId="0" borderId="0" xfId="0" applyNumberFormat="1" applyFont="1" applyFill="1" applyBorder="1" applyAlignment="1">
      <alignment horizontal="center" vertical="center"/>
    </xf>
    <xf numFmtId="1" fontId="37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9" fillId="13" borderId="0" xfId="0" applyFont="1" applyFill="1" applyAlignment="1">
      <alignment horizontal="right"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41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0" fillId="18" borderId="66" xfId="5" applyFont="1" applyFill="1" applyBorder="1" applyAlignment="1">
      <alignment horizontal="center" vertical="center"/>
    </xf>
    <xf numFmtId="0" fontId="19" fillId="15" borderId="19" xfId="5" applyFont="1" applyFill="1" applyBorder="1" applyAlignment="1">
      <alignment horizontal="right" vertical="center" wrapText="1"/>
    </xf>
    <xf numFmtId="0" fontId="23" fillId="45" borderId="0" xfId="5" applyFont="1" applyFill="1" applyAlignment="1">
      <alignment horizontal="center" vertical="center"/>
    </xf>
    <xf numFmtId="0" fontId="19" fillId="46" borderId="67" xfId="0" applyFont="1" applyFill="1" applyBorder="1" applyAlignment="1">
      <alignment horizontal="left" vertical="center" wrapText="1" readingOrder="1"/>
    </xf>
    <xf numFmtId="0" fontId="19" fillId="46" borderId="67" xfId="0" applyFont="1" applyFill="1" applyBorder="1" applyAlignment="1">
      <alignment horizontal="center" vertical="center" wrapText="1" readingOrder="1"/>
    </xf>
    <xf numFmtId="0" fontId="25" fillId="0" borderId="67" xfId="0" applyFont="1" applyFill="1" applyBorder="1" applyAlignment="1">
      <alignment horizontal="left" vertical="center" wrapText="1" readingOrder="1"/>
    </xf>
    <xf numFmtId="0" fontId="25" fillId="0" borderId="67" xfId="0" applyFont="1" applyFill="1" applyBorder="1" applyAlignment="1">
      <alignment horizontal="center" vertical="center" wrapText="1" readingOrder="1"/>
    </xf>
    <xf numFmtId="9" fontId="25" fillId="0" borderId="67" xfId="0" applyNumberFormat="1" applyFont="1" applyFill="1" applyBorder="1" applyAlignment="1">
      <alignment horizontal="center" vertical="center" wrapText="1" readingOrder="1"/>
    </xf>
    <xf numFmtId="10" fontId="25" fillId="0" borderId="67" xfId="0" applyNumberFormat="1" applyFont="1" applyFill="1" applyBorder="1" applyAlignment="1">
      <alignment horizontal="center" vertical="center" wrapText="1" readingOrder="1"/>
    </xf>
    <xf numFmtId="16" fontId="25" fillId="0" borderId="67" xfId="0" applyNumberFormat="1" applyFont="1" applyFill="1" applyBorder="1" applyAlignment="1">
      <alignment horizontal="center" vertical="center" wrapText="1" readingOrder="1"/>
    </xf>
    <xf numFmtId="0" fontId="36" fillId="43" borderId="36" xfId="0" applyFont="1" applyFill="1" applyBorder="1" applyAlignment="1">
      <alignment horizontal="left" vertical="center"/>
    </xf>
    <xf numFmtId="0" fontId="37" fillId="0" borderId="61" xfId="0" applyFont="1" applyFill="1" applyBorder="1" applyAlignment="1">
      <alignment horizontal="left" vertical="center"/>
    </xf>
    <xf numFmtId="0" fontId="37" fillId="0" borderId="24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44" fillId="44" borderId="63" xfId="0" applyFont="1" applyFill="1" applyBorder="1" applyAlignment="1">
      <alignment vertical="center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1" fillId="47" borderId="62" xfId="0" applyFont="1" applyFill="1" applyBorder="1" applyAlignment="1">
      <alignment horizontal="right" vertical="center"/>
    </xf>
    <xf numFmtId="0" fontId="15" fillId="47" borderId="12" xfId="0" applyFont="1" applyFill="1" applyBorder="1" applyAlignment="1">
      <alignment horizontal="right" vertical="center"/>
    </xf>
    <xf numFmtId="0" fontId="15" fillId="47" borderId="13" xfId="0" applyFont="1" applyFill="1" applyBorder="1" applyAlignment="1">
      <alignment horizontal="center" vertical="center" wrapText="1"/>
    </xf>
    <xf numFmtId="0" fontId="45" fillId="15" borderId="62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6" fillId="13" borderId="63" xfId="0" applyFont="1" applyFill="1" applyBorder="1" applyAlignment="1">
      <alignment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39" fillId="14" borderId="83" xfId="0" applyFont="1" applyFill="1" applyBorder="1" applyAlignment="1">
      <alignment horizontal="center" vertical="center" wrapText="1"/>
    </xf>
    <xf numFmtId="1" fontId="4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4" fillId="44" borderId="63" xfId="0" applyNumberFormat="1" applyFont="1" applyFill="1" applyBorder="1" applyAlignment="1">
      <alignment vertical="center" wrapText="1"/>
    </xf>
    <xf numFmtId="164" fontId="15" fillId="47" borderId="13" xfId="6" applyNumberFormat="1" applyFont="1" applyFill="1" applyBorder="1" applyAlignment="1">
      <alignment horizontal="center" vertical="center" wrapText="1"/>
    </xf>
    <xf numFmtId="164" fontId="17" fillId="47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1" fontId="47" fillId="0" borderId="79" xfId="0" applyNumberFormat="1" applyFont="1" applyFill="1" applyBorder="1" applyAlignment="1">
      <alignment horizontal="center" vertical="center" wrapText="1"/>
    </xf>
    <xf numFmtId="1" fontId="15" fillId="0" borderId="79" xfId="0" applyNumberFormat="1" applyFont="1" applyFill="1" applyBorder="1" applyAlignment="1">
      <alignment horizontal="center" vertical="center" wrapText="1"/>
    </xf>
    <xf numFmtId="1" fontId="47" fillId="0" borderId="80" xfId="0" applyNumberFormat="1" applyFont="1" applyFill="1" applyBorder="1" applyAlignment="1">
      <alignment horizontal="center" vertical="center" wrapText="1"/>
    </xf>
    <xf numFmtId="1" fontId="15" fillId="0" borderId="80" xfId="0" applyNumberFormat="1" applyFont="1" applyFill="1" applyBorder="1" applyAlignment="1">
      <alignment horizontal="center" vertical="center" wrapText="1"/>
    </xf>
    <xf numFmtId="1" fontId="47" fillId="0" borderId="81" xfId="0" applyNumberFormat="1" applyFont="1" applyFill="1" applyBorder="1" applyAlignment="1">
      <alignment horizontal="center" vertical="center" wrapText="1"/>
    </xf>
    <xf numFmtId="1" fontId="15" fillId="0" borderId="81" xfId="0" applyNumberFormat="1" applyFont="1" applyFill="1" applyBorder="1" applyAlignment="1">
      <alignment horizontal="center" vertical="center" wrapText="1"/>
    </xf>
    <xf numFmtId="1" fontId="47" fillId="0" borderId="82" xfId="0" applyNumberFormat="1" applyFont="1" applyFill="1" applyBorder="1" applyAlignment="1">
      <alignment horizontal="center" vertical="center" wrapText="1"/>
    </xf>
    <xf numFmtId="1" fontId="15" fillId="0" borderId="82" xfId="0" applyNumberFormat="1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1" fontId="4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39" fillId="14" borderId="11" xfId="0" applyFont="1" applyFill="1" applyBorder="1" applyAlignment="1">
      <alignment horizontal="center" vertical="center" wrapText="1"/>
    </xf>
    <xf numFmtId="0" fontId="39" fillId="14" borderId="62" xfId="0" applyFont="1" applyFill="1" applyBorder="1" applyAlignment="1">
      <alignment horizontal="center" vertical="center" wrapText="1"/>
    </xf>
    <xf numFmtId="0" fontId="39" fillId="14" borderId="12" xfId="0" applyFont="1" applyFill="1" applyBorder="1" applyAlignment="1">
      <alignment horizontal="center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40" fillId="13" borderId="64" xfId="0" applyFont="1" applyFill="1" applyBorder="1" applyAlignment="1">
      <alignment horizontal="left" vertical="center" wrapText="1"/>
    </xf>
    <xf numFmtId="0" fontId="40" fillId="13" borderId="65" xfId="0" applyFont="1" applyFill="1" applyBorder="1" applyAlignment="1">
      <alignment horizontal="left" vertical="center" wrapText="1"/>
    </xf>
    <xf numFmtId="0" fontId="39" fillId="13" borderId="0" xfId="0" applyFont="1" applyFill="1" applyAlignment="1">
      <alignment horizontal="left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62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8" fillId="48" borderId="11" xfId="0" applyFont="1" applyFill="1" applyBorder="1" applyAlignment="1">
      <alignment horizontal="right" vertical="center" wrapText="1"/>
    </xf>
    <xf numFmtId="0" fontId="48" fillId="48" borderId="62" xfId="0" applyFont="1" applyFill="1" applyBorder="1" applyAlignment="1">
      <alignment horizontal="right" vertical="center" wrapText="1"/>
    </xf>
    <xf numFmtId="0" fontId="48" fillId="48" borderId="12" xfId="0" applyFont="1" applyFill="1" applyBorder="1" applyAlignment="1">
      <alignment horizontal="right" vertical="center" wrapText="1"/>
    </xf>
    <xf numFmtId="0" fontId="48" fillId="49" borderId="11" xfId="0" applyFont="1" applyFill="1" applyBorder="1" applyAlignment="1">
      <alignment horizontal="right" vertical="center" wrapText="1"/>
    </xf>
    <xf numFmtId="0" fontId="48" fillId="49" borderId="62" xfId="0" applyFont="1" applyFill="1" applyBorder="1" applyAlignment="1">
      <alignment horizontal="right" vertical="center" wrapText="1"/>
    </xf>
    <xf numFmtId="0" fontId="48" fillId="49" borderId="12" xfId="0" applyFont="1" applyFill="1" applyBorder="1" applyAlignment="1">
      <alignment horizontal="right" vertical="center" wrapText="1"/>
    </xf>
    <xf numFmtId="0" fontId="48" fillId="50" borderId="11" xfId="0" applyFont="1" applyFill="1" applyBorder="1" applyAlignment="1">
      <alignment horizontal="right" vertical="center" wrapText="1"/>
    </xf>
    <xf numFmtId="0" fontId="48" fillId="50" borderId="62" xfId="0" applyFont="1" applyFill="1" applyBorder="1" applyAlignment="1">
      <alignment horizontal="right" vertical="center" wrapText="1"/>
    </xf>
    <xf numFmtId="0" fontId="48" fillId="50" borderId="12" xfId="0" applyFont="1" applyFill="1" applyBorder="1" applyAlignment="1">
      <alignment horizontal="right" vertical="center" wrapText="1"/>
    </xf>
    <xf numFmtId="0" fontId="48" fillId="51" borderId="11" xfId="0" applyFont="1" applyFill="1" applyBorder="1" applyAlignment="1">
      <alignment horizontal="right" vertical="center" wrapText="1"/>
    </xf>
    <xf numFmtId="0" fontId="48" fillId="51" borderId="62" xfId="0" applyFont="1" applyFill="1" applyBorder="1" applyAlignment="1">
      <alignment horizontal="right" vertical="center" wrapText="1"/>
    </xf>
    <xf numFmtId="0" fontId="48" fillId="51" borderId="12" xfId="0" applyFont="1" applyFill="1" applyBorder="1" applyAlignment="1">
      <alignment horizontal="right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62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62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19" fillId="30" borderId="44" xfId="5" applyFont="1" applyFill="1" applyBorder="1" applyAlignment="1">
      <alignment horizontal="center" vertical="center" textRotation="90"/>
    </xf>
    <xf numFmtId="0" fontId="19" fillId="30" borderId="57" xfId="5" applyFont="1" applyFill="1" applyBorder="1" applyAlignment="1">
      <alignment horizontal="center" vertical="center" textRotation="90"/>
    </xf>
    <xf numFmtId="0" fontId="24" fillId="25" borderId="54" xfId="5" applyFont="1" applyFill="1" applyBorder="1" applyAlignment="1">
      <alignment horizontal="center" vertical="center" wrapText="1"/>
    </xf>
    <xf numFmtId="0" fontId="24" fillId="25" borderId="55" xfId="5" applyFont="1" applyFill="1" applyBorder="1" applyAlignment="1">
      <alignment horizontal="center" vertical="center" wrapText="1"/>
    </xf>
    <xf numFmtId="1" fontId="24" fillId="26" borderId="22" xfId="5" applyNumberFormat="1" applyFont="1" applyFill="1" applyBorder="1" applyAlignment="1">
      <alignment horizontal="center" vertical="center" wrapText="1"/>
    </xf>
    <xf numFmtId="1" fontId="24" fillId="26" borderId="28" xfId="5" applyNumberFormat="1" applyFont="1" applyFill="1" applyBorder="1" applyAlignment="1">
      <alignment horizontal="center" vertical="center" wrapText="1"/>
    </xf>
    <xf numFmtId="1" fontId="24" fillId="25" borderId="6" xfId="5" applyNumberFormat="1" applyFont="1" applyFill="1" applyBorder="1" applyAlignment="1">
      <alignment horizontal="center" vertical="center" wrapText="1"/>
    </xf>
    <xf numFmtId="0" fontId="24" fillId="25" borderId="6" xfId="5" applyFont="1" applyFill="1" applyBorder="1" applyAlignment="1">
      <alignment horizontal="center" vertical="center" wrapText="1"/>
    </xf>
    <xf numFmtId="0" fontId="24" fillId="25" borderId="7" xfId="5" applyFont="1" applyFill="1" applyBorder="1" applyAlignment="1">
      <alignment horizontal="center" vertical="center" wrapText="1"/>
    </xf>
    <xf numFmtId="0" fontId="24" fillId="25" borderId="48" xfId="5" applyFont="1" applyFill="1" applyBorder="1" applyAlignment="1">
      <alignment horizontal="center" vertical="center" wrapText="1"/>
    </xf>
    <xf numFmtId="0" fontId="24" fillId="25" borderId="45" xfId="5" applyFont="1" applyFill="1" applyBorder="1" applyAlignment="1">
      <alignment horizontal="center" vertical="center" wrapText="1"/>
    </xf>
    <xf numFmtId="0" fontId="24" fillId="25" borderId="51" xfId="5" applyFont="1" applyFill="1" applyBorder="1" applyAlignment="1">
      <alignment horizontal="center" vertical="center" wrapText="1"/>
    </xf>
    <xf numFmtId="1" fontId="24" fillId="26" borderId="31" xfId="5" applyNumberFormat="1" applyFont="1" applyFill="1" applyBorder="1" applyAlignment="1">
      <alignment horizontal="center" vertical="center" wrapText="1"/>
    </xf>
    <xf numFmtId="1" fontId="24" fillId="26" borderId="52" xfId="5" applyNumberFormat="1" applyFont="1" applyFill="1" applyBorder="1" applyAlignment="1">
      <alignment horizontal="center" vertical="center" wrapText="1"/>
    </xf>
    <xf numFmtId="1" fontId="24" fillId="25" borderId="49" xfId="5" applyNumberFormat="1" applyFont="1" applyFill="1" applyBorder="1" applyAlignment="1">
      <alignment horizontal="center" vertical="center" wrapText="1"/>
    </xf>
    <xf numFmtId="0" fontId="24" fillId="25" borderId="53" xfId="5" applyFont="1" applyFill="1" applyBorder="1" applyAlignment="1">
      <alignment horizontal="center" vertical="center" wrapText="1"/>
    </xf>
    <xf numFmtId="0" fontId="24" fillId="25" borderId="30" xfId="5" applyFont="1" applyFill="1" applyBorder="1" applyAlignment="1">
      <alignment horizontal="center" vertical="center" wrapText="1"/>
    </xf>
    <xf numFmtId="0" fontId="24" fillId="25" borderId="21" xfId="5" applyFont="1" applyFill="1" applyBorder="1" applyAlignment="1">
      <alignment horizontal="center" vertical="center" wrapText="1"/>
    </xf>
    <xf numFmtId="0" fontId="24" fillId="25" borderId="27" xfId="5" applyFont="1" applyFill="1" applyBorder="1" applyAlignment="1">
      <alignment horizontal="center" vertical="center" wrapText="1"/>
    </xf>
    <xf numFmtId="1" fontId="24" fillId="25" borderId="40" xfId="5" applyNumberFormat="1" applyFont="1" applyFill="1" applyBorder="1" applyAlignment="1">
      <alignment horizontal="center" vertical="center" wrapText="1"/>
    </xf>
    <xf numFmtId="1" fontId="24" fillId="25" borderId="22" xfId="5" applyNumberFormat="1" applyFont="1" applyFill="1" applyBorder="1" applyAlignment="1">
      <alignment horizontal="center" vertical="center" wrapText="1"/>
    </xf>
    <xf numFmtId="0" fontId="24" fillId="25" borderId="56" xfId="5" applyFont="1" applyFill="1" applyBorder="1" applyAlignment="1">
      <alignment horizontal="center" vertical="center" wrapText="1"/>
    </xf>
    <xf numFmtId="0" fontId="24" fillId="25" borderId="58" xfId="5" applyFont="1" applyFill="1" applyBorder="1" applyAlignment="1">
      <alignment horizontal="center" vertical="center" wrapText="1"/>
    </xf>
    <xf numFmtId="1" fontId="24" fillId="26" borderId="34" xfId="5" applyNumberFormat="1" applyFont="1" applyFill="1" applyBorder="1" applyAlignment="1">
      <alignment horizontal="center" vertical="center" wrapText="1"/>
    </xf>
    <xf numFmtId="0" fontId="19" fillId="37" borderId="44" xfId="5" applyFont="1" applyFill="1" applyBorder="1" applyAlignment="1">
      <alignment horizontal="center" vertical="center" textRotation="90"/>
    </xf>
    <xf numFmtId="0" fontId="19" fillId="37" borderId="50" xfId="5" applyFont="1" applyFill="1" applyBorder="1" applyAlignment="1">
      <alignment horizontal="center" vertical="center" textRotation="90"/>
    </xf>
    <xf numFmtId="0" fontId="24" fillId="25" borderId="46" xfId="5" applyFont="1" applyFill="1" applyBorder="1" applyAlignment="1">
      <alignment horizontal="center" vertical="center" wrapText="1"/>
    </xf>
    <xf numFmtId="0" fontId="24" fillId="25" borderId="47" xfId="5" applyFont="1" applyFill="1" applyBorder="1" applyAlignment="1">
      <alignment horizontal="center" vertical="center" wrapText="1"/>
    </xf>
    <xf numFmtId="0" fontId="19" fillId="34" borderId="20" xfId="5" applyFont="1" applyFill="1" applyBorder="1" applyAlignment="1">
      <alignment horizontal="center" vertical="center" textRotation="90"/>
    </xf>
    <xf numFmtId="0" fontId="19" fillId="34" borderId="41" xfId="5" applyFont="1" applyFill="1" applyBorder="1" applyAlignment="1">
      <alignment horizontal="center" vertical="center" textRotation="90"/>
    </xf>
    <xf numFmtId="1" fontId="24" fillId="25" borderId="31" xfId="5" applyNumberFormat="1" applyFont="1" applyFill="1" applyBorder="1" applyAlignment="1">
      <alignment horizontal="center" vertical="center" wrapText="1"/>
    </xf>
    <xf numFmtId="1" fontId="24" fillId="25" borderId="70" xfId="5" applyNumberFormat="1" applyFont="1" applyFill="1" applyBorder="1" applyAlignment="1">
      <alignment horizontal="center" vertical="center" wrapText="1"/>
    </xf>
    <xf numFmtId="1" fontId="24" fillId="25" borderId="68" xfId="5" applyNumberFormat="1" applyFont="1" applyFill="1" applyBorder="1" applyAlignment="1">
      <alignment horizontal="center" vertical="center" wrapText="1"/>
    </xf>
    <xf numFmtId="1" fontId="24" fillId="25" borderId="69" xfId="5" applyNumberFormat="1" applyFont="1" applyFill="1" applyBorder="1" applyAlignment="1">
      <alignment horizontal="center" vertical="center" wrapText="1"/>
    </xf>
    <xf numFmtId="0" fontId="24" fillId="25" borderId="37" xfId="5" applyFont="1" applyFill="1" applyBorder="1" applyAlignment="1">
      <alignment horizontal="center" vertical="center" wrapText="1"/>
    </xf>
    <xf numFmtId="0" fontId="24" fillId="25" borderId="38" xfId="5" applyFont="1" applyFill="1" applyBorder="1" applyAlignment="1">
      <alignment horizontal="center" vertical="center" wrapText="1"/>
    </xf>
    <xf numFmtId="0" fontId="24" fillId="25" borderId="39" xfId="5" applyFont="1" applyFill="1" applyBorder="1" applyAlignment="1">
      <alignment horizontal="center" vertical="center" wrapText="1"/>
    </xf>
    <xf numFmtId="1" fontId="24" fillId="25" borderId="5" xfId="5" applyNumberFormat="1" applyFont="1" applyFill="1" applyBorder="1" applyAlignment="1">
      <alignment horizontal="center" vertical="center" wrapText="1"/>
    </xf>
    <xf numFmtId="0" fontId="24" fillId="25" borderId="42" xfId="5" applyFont="1" applyFill="1" applyBorder="1" applyAlignment="1">
      <alignment horizontal="center" vertical="center" wrapText="1"/>
    </xf>
    <xf numFmtId="1" fontId="24" fillId="26" borderId="43" xfId="5" applyNumberFormat="1" applyFont="1" applyFill="1" applyBorder="1" applyAlignment="1">
      <alignment horizontal="center" vertical="center" wrapText="1"/>
    </xf>
    <xf numFmtId="1" fontId="24" fillId="25" borderId="43" xfId="5" applyNumberFormat="1" applyFont="1" applyFill="1" applyBorder="1" applyAlignment="1">
      <alignment horizontal="center" vertical="center" wrapText="1"/>
    </xf>
    <xf numFmtId="1" fontId="24" fillId="25" borderId="72" xfId="5" applyNumberFormat="1" applyFont="1" applyFill="1" applyBorder="1" applyAlignment="1">
      <alignment horizontal="center" vertical="center" wrapText="1"/>
    </xf>
    <xf numFmtId="0" fontId="19" fillId="30" borderId="20" xfId="5" applyFont="1" applyFill="1" applyBorder="1" applyAlignment="1">
      <alignment horizontal="center" vertical="center" textRotation="90"/>
    </xf>
    <xf numFmtId="0" fontId="21" fillId="24" borderId="20" xfId="5" applyFont="1" applyFill="1" applyBorder="1" applyAlignment="1">
      <alignment horizontal="center" vertical="center" textRotation="90"/>
    </xf>
    <xf numFmtId="0" fontId="21" fillId="24" borderId="32" xfId="5" applyFont="1" applyFill="1" applyBorder="1" applyAlignment="1">
      <alignment horizontal="center" vertical="center" textRotation="90"/>
    </xf>
    <xf numFmtId="1" fontId="24" fillId="25" borderId="28" xfId="5" applyNumberFormat="1" applyFont="1" applyFill="1" applyBorder="1" applyAlignment="1">
      <alignment horizontal="center" vertical="center" wrapText="1"/>
    </xf>
    <xf numFmtId="0" fontId="24" fillId="25" borderId="33" xfId="5" applyFont="1" applyFill="1" applyBorder="1" applyAlignment="1">
      <alignment horizontal="center" vertical="center" wrapText="1"/>
    </xf>
    <xf numFmtId="1" fontId="24" fillId="25" borderId="34" xfId="5" applyNumberFormat="1" applyFont="1" applyFill="1" applyBorder="1" applyAlignment="1">
      <alignment horizontal="center" vertical="center" wrapText="1"/>
    </xf>
    <xf numFmtId="1" fontId="24" fillId="25" borderId="71" xfId="5" applyNumberFormat="1" applyFont="1" applyFill="1" applyBorder="1" applyAlignment="1">
      <alignment horizontal="center" vertical="center" wrapText="1"/>
    </xf>
    <xf numFmtId="0" fontId="25" fillId="35" borderId="35" xfId="0" applyFont="1" applyFill="1" applyBorder="1" applyAlignment="1">
      <alignment horizontal="center" vertical="center" textRotation="90" wrapText="1"/>
    </xf>
    <xf numFmtId="0" fontId="25" fillId="35" borderId="23" xfId="0" applyFont="1" applyFill="1" applyBorder="1" applyAlignment="1">
      <alignment horizontal="center" vertical="center" textRotation="90" wrapText="1"/>
    </xf>
    <xf numFmtId="0" fontId="25" fillId="35" borderId="29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23" xfId="0" applyFont="1" applyFill="1" applyBorder="1" applyAlignment="1">
      <alignment horizontal="center" vertical="center" textRotation="90" wrapText="1"/>
    </xf>
    <xf numFmtId="0" fontId="33" fillId="39" borderId="29" xfId="0" applyFont="1" applyFill="1" applyBorder="1" applyAlignment="1">
      <alignment horizontal="center" vertical="center" textRotation="90" wrapText="1"/>
    </xf>
    <xf numFmtId="1" fontId="24" fillId="25" borderId="22" xfId="5" applyNumberFormat="1" applyFont="1" applyFill="1" applyBorder="1" applyAlignment="1">
      <alignment horizontal="center" vertical="center"/>
    </xf>
    <xf numFmtId="1" fontId="24" fillId="25" borderId="28" xfId="5" applyNumberFormat="1" applyFont="1" applyFill="1" applyBorder="1" applyAlignment="1">
      <alignment horizontal="center" vertical="center"/>
    </xf>
    <xf numFmtId="1" fontId="24" fillId="25" borderId="68" xfId="5" applyNumberFormat="1" applyFont="1" applyFill="1" applyBorder="1" applyAlignment="1">
      <alignment horizontal="center" vertical="center"/>
    </xf>
    <xf numFmtId="1" fontId="24" fillId="25" borderId="69" xfId="5" applyNumberFormat="1" applyFont="1" applyFill="1" applyBorder="1" applyAlignment="1">
      <alignment horizontal="center" vertical="center"/>
    </xf>
    <xf numFmtId="1" fontId="24" fillId="26" borderId="22" xfId="5" applyNumberFormat="1" applyFont="1" applyFill="1" applyBorder="1" applyAlignment="1">
      <alignment horizontal="center" vertical="center"/>
    </xf>
    <xf numFmtId="1" fontId="24" fillId="26" borderId="28" xfId="5" applyNumberFormat="1" applyFont="1" applyFill="1" applyBorder="1" applyAlignment="1">
      <alignment horizontal="center" vertical="center"/>
    </xf>
    <xf numFmtId="0" fontId="25" fillId="31" borderId="35" xfId="0" applyFont="1" applyFill="1" applyBorder="1" applyAlignment="1">
      <alignment horizontal="center" vertical="center" textRotation="90" wrapText="1"/>
    </xf>
    <xf numFmtId="0" fontId="25" fillId="31" borderId="29" xfId="0" applyFont="1" applyFill="1" applyBorder="1" applyAlignment="1">
      <alignment horizontal="center" vertical="center" textRotation="90" wrapText="1"/>
    </xf>
    <xf numFmtId="0" fontId="25" fillId="16" borderId="23" xfId="0" applyFont="1" applyFill="1" applyBorder="1" applyAlignment="1">
      <alignment horizontal="center" vertical="center" textRotation="90" wrapText="1"/>
    </xf>
    <xf numFmtId="0" fontId="25" fillId="16" borderId="29" xfId="0" applyFont="1" applyFill="1" applyBorder="1" applyAlignment="1">
      <alignment horizontal="center" vertical="center" textRotation="90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5" xfId="0" applyFont="1" applyFill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6" fillId="32" borderId="26" xfId="0" applyFont="1" applyFill="1" applyBorder="1" applyAlignment="1">
      <alignment horizontal="center" vertical="center" wrapText="1"/>
    </xf>
    <xf numFmtId="0" fontId="26" fillId="32" borderId="25" xfId="0" applyFont="1" applyFill="1" applyBorder="1" applyAlignment="1">
      <alignment horizontal="center" vertical="center" wrapText="1"/>
    </xf>
    <xf numFmtId="0" fontId="26" fillId="32" borderId="0" xfId="0" applyFont="1" applyFill="1" applyBorder="1" applyAlignment="1">
      <alignment horizontal="center" vertical="center" wrapText="1"/>
    </xf>
    <xf numFmtId="0" fontId="25" fillId="36" borderId="36" xfId="0" applyFont="1" applyFill="1" applyBorder="1" applyAlignment="1">
      <alignment horizontal="center" vertical="center" wrapText="1"/>
    </xf>
    <xf numFmtId="0" fontId="25" fillId="36" borderId="0" xfId="0" applyFont="1" applyFill="1" applyBorder="1" applyAlignment="1">
      <alignment horizontal="center" vertical="center" wrapText="1"/>
    </xf>
    <xf numFmtId="0" fontId="25" fillId="36" borderId="26" xfId="0" applyFont="1" applyFill="1" applyBorder="1" applyAlignment="1">
      <alignment horizontal="center" vertical="center" wrapText="1"/>
    </xf>
    <xf numFmtId="0" fontId="25" fillId="36" borderId="25" xfId="0" applyFont="1" applyFill="1" applyBorder="1" applyAlignment="1">
      <alignment horizontal="center" vertical="center" wrapText="1"/>
    </xf>
    <xf numFmtId="0" fontId="25" fillId="35" borderId="26" xfId="0" applyFont="1" applyFill="1" applyBorder="1" applyAlignment="1">
      <alignment horizontal="center" vertical="center" wrapText="1"/>
    </xf>
    <xf numFmtId="0" fontId="25" fillId="35" borderId="0" xfId="0" applyFont="1" applyFill="1" applyBorder="1" applyAlignment="1">
      <alignment horizontal="center" vertical="center" wrapText="1"/>
    </xf>
    <xf numFmtId="0" fontId="25" fillId="35" borderId="25" xfId="0" applyFont="1" applyFill="1" applyBorder="1" applyAlignment="1">
      <alignment horizontal="center" vertical="center" wrapText="1"/>
    </xf>
    <xf numFmtId="0" fontId="25" fillId="38" borderId="35" xfId="0" applyFont="1" applyFill="1" applyBorder="1" applyAlignment="1">
      <alignment horizontal="center" vertical="center" wrapText="1"/>
    </xf>
    <xf numFmtId="0" fontId="25" fillId="38" borderId="26" xfId="0" applyFont="1" applyFill="1" applyBorder="1" applyAlignment="1">
      <alignment horizontal="center" vertical="center" wrapText="1"/>
    </xf>
    <xf numFmtId="0" fontId="25" fillId="38" borderId="29" xfId="0" applyFont="1" applyFill="1" applyBorder="1" applyAlignment="1">
      <alignment horizontal="center" vertical="center" wrapText="1"/>
    </xf>
    <xf numFmtId="0" fontId="25" fillId="38" borderId="25" xfId="0" applyFont="1" applyFill="1" applyBorder="1" applyAlignment="1">
      <alignment horizontal="center" vertical="center" wrapText="1"/>
    </xf>
    <xf numFmtId="1" fontId="24" fillId="25" borderId="73" xfId="5" applyNumberFormat="1" applyFont="1" applyFill="1" applyBorder="1" applyAlignment="1">
      <alignment horizontal="center" vertical="center" wrapText="1"/>
    </xf>
    <xf numFmtId="0" fontId="25" fillId="38" borderId="23" xfId="0" applyFont="1" applyFill="1" applyBorder="1" applyAlignment="1">
      <alignment horizontal="center" vertical="center" wrapText="1"/>
    </xf>
    <xf numFmtId="0" fontId="25" fillId="38" borderId="0" xfId="0" applyFont="1" applyFill="1" applyBorder="1" applyAlignment="1">
      <alignment horizontal="center" vertical="center" wrapText="1"/>
    </xf>
    <xf numFmtId="0" fontId="33" fillId="39" borderId="0" xfId="0" applyFont="1" applyFill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wrapText="1"/>
    </xf>
    <xf numFmtId="0" fontId="19" fillId="15" borderId="0" xfId="5" applyFont="1" applyFill="1" applyAlignment="1">
      <alignment horizontal="center" vertical="center" wrapText="1"/>
    </xf>
    <xf numFmtId="0" fontId="19" fillId="15" borderId="0" xfId="5" applyFont="1" applyFill="1" applyAlignment="1">
      <alignment horizontal="center" vertical="center"/>
    </xf>
    <xf numFmtId="0" fontId="19" fillId="15" borderId="19" xfId="5" applyFont="1" applyFill="1" applyBorder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0" xfId="0" applyFont="1" applyFill="1" applyBorder="1" applyAlignment="1">
      <alignment horizontal="center" vertical="center" wrapText="1"/>
    </xf>
    <xf numFmtId="0" fontId="33" fillId="39" borderId="26" xfId="0" applyFont="1" applyFill="1" applyBorder="1" applyAlignment="1">
      <alignment horizontal="center" vertical="center" wrapText="1"/>
    </xf>
    <xf numFmtId="0" fontId="19" fillId="12" borderId="26" xfId="0" applyFont="1" applyFill="1" applyBorder="1" applyAlignment="1">
      <alignment horizontal="center" vertical="center" textRotation="90" wrapText="1"/>
    </xf>
    <xf numFmtId="0" fontId="19" fillId="12" borderId="0" xfId="0" applyFont="1" applyFill="1" applyBorder="1" applyAlignment="1">
      <alignment horizontal="center" vertical="center" textRotation="90" wrapText="1"/>
    </xf>
    <xf numFmtId="0" fontId="19" fillId="12" borderId="25" xfId="0" applyFont="1" applyFill="1" applyBorder="1" applyAlignment="1">
      <alignment horizontal="center" vertical="center" textRotation="90" wrapText="1"/>
    </xf>
    <xf numFmtId="0" fontId="1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6" fillId="53" borderId="4" xfId="0" applyFont="1" applyFill="1" applyBorder="1" applyAlignment="1" applyProtection="1">
      <alignment horizontal="center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41-49C5-AAB9-E09E059A32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41-49C5-AAB9-E09E059A32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41-49C5-AAB9-E09E059A32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41-49C5-AAB9-E09E059A32E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41-49C5-AAB9-E09E059A32E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41-49C5-AAB9-E09E059A32E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341-49C5-AAB9-E09E059A32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79E3-45A7-8414-0425A1FCF61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6-4E24-A9B4-BBFCA7F5F85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6-4E24-A9B4-BBFCA7F5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716568"/>
        <c:axId val="2876978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6-4E24-A9B4-BBFCA7F5F85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6-4E24-A9B4-BBFCA7F5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16568"/>
        <c:axId val="287697872"/>
      </c:lineChart>
      <c:catAx>
        <c:axId val="287716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697872"/>
        <c:crosses val="autoZero"/>
        <c:auto val="1"/>
        <c:lblAlgn val="ctr"/>
        <c:lblOffset val="100"/>
        <c:noMultiLvlLbl val="0"/>
      </c:catAx>
      <c:valAx>
        <c:axId val="287697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71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A-44DB-97A8-C44B8C0787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A-44DB-97A8-C44B8C0787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A-44DB-97A8-C44B8C0787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A-44DB-97A8-C44B8C0787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A-44DB-97A8-C44B8C0787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21-471F-BC46-12F03052D29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A-4E26-8715-D9BCB480201B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BA-4E26-8715-D9BCB480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720504"/>
        <c:axId val="287695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BA-4E26-8715-D9BCB480201B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BA-4E26-8715-D9BCB480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20504"/>
        <c:axId val="287695248"/>
      </c:lineChart>
      <c:catAx>
        <c:axId val="287720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695248"/>
        <c:crosses val="autoZero"/>
        <c:auto val="1"/>
        <c:lblAlgn val="ctr"/>
        <c:lblOffset val="100"/>
        <c:noMultiLvlLbl val="0"/>
      </c:catAx>
      <c:valAx>
        <c:axId val="287695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72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67-459E-86EF-04D4960BE89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67-459E-86EF-04D4960BE8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E-44E4-8EFD-EE882D37AD4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6B-430A-A3FF-AB99A2E93AF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6B-430A-A3FF-AB99A2E9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700168"/>
        <c:axId val="287692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6B-430A-A3FF-AB99A2E93AF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6B-430A-A3FF-AB99A2E9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00168"/>
        <c:axId val="287692624"/>
      </c:lineChart>
      <c:catAx>
        <c:axId val="287700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692624"/>
        <c:crosses val="autoZero"/>
        <c:auto val="1"/>
        <c:lblAlgn val="ctr"/>
        <c:lblOffset val="100"/>
        <c:noMultiLvlLbl val="0"/>
      </c:catAx>
      <c:valAx>
        <c:axId val="287692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70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8-46F9-8A2F-D8A59CF45C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8-46F9-8A2F-D8A59CF45C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8-46F9-8A2F-D8A59CF45C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8-46F9-8A2F-D8A59CF45C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8-46F9-8A2F-D8A59CF45C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A-4EE4-AF64-52788320577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95908898484461"/>
          <c:y val="5.2380952380952382E-2"/>
          <c:w val="0.82404091101515531"/>
          <c:h val="0.75238095238095237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28-430F-8046-15CF05488814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28-430F-8046-15CF05488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616232"/>
        <c:axId val="286615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8-430F-8046-15CF05488814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8-430F-8046-15CF05488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616232"/>
        <c:axId val="286615576"/>
      </c:lineChart>
      <c:catAx>
        <c:axId val="286616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615576"/>
        <c:crosses val="autoZero"/>
        <c:auto val="1"/>
        <c:lblAlgn val="ctr"/>
        <c:lblOffset val="100"/>
        <c:noMultiLvlLbl val="0"/>
      </c:catAx>
      <c:valAx>
        <c:axId val="286615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661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8D-4DC6-A9E7-0F633A99AD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8D-4DC6-A9E7-0F633A99AD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8D-4DC6-A9E7-0F633A99AD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8D-4DC6-A9E7-0F633A99AD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8D-4DC6-A9E7-0F633A99ADA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F8D-4DC6-A9E7-0F633A99ADA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F8D-4DC6-A9E7-0F633A99ADA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F8D-4DC6-A9E7-0F633A99ADA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F8D-4DC6-A9E7-0F633A99ADA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F8D-4DC6-A9E7-0F633A99AD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2-488E-8782-8440450BBE1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0-4C09-BE89-69804D3C92E7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0-4C09-BE89-69804D3C9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585728"/>
        <c:axId val="286594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30-4C09-BE89-69804D3C92E7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30-4C09-BE89-69804D3C9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85728"/>
        <c:axId val="286594912"/>
      </c:lineChart>
      <c:catAx>
        <c:axId val="286585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594912"/>
        <c:crosses val="autoZero"/>
        <c:auto val="1"/>
        <c:lblAlgn val="ctr"/>
        <c:lblOffset val="100"/>
        <c:noMultiLvlLbl val="0"/>
      </c:catAx>
      <c:valAx>
        <c:axId val="286594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658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B9-435C-BBAD-DAF5E54257D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B9-435C-BBAD-DAF5E542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596552"/>
        <c:axId val="286598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B9-435C-BBAD-DAF5E54257D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B9-435C-BBAD-DAF5E542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96552"/>
        <c:axId val="286598848"/>
      </c:lineChart>
      <c:catAx>
        <c:axId val="286596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598848"/>
        <c:crosses val="autoZero"/>
        <c:auto val="1"/>
        <c:lblAlgn val="ctr"/>
        <c:lblOffset val="100"/>
        <c:noMultiLvlLbl val="0"/>
      </c:catAx>
      <c:valAx>
        <c:axId val="286598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659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BC-490D-91A6-7A3C683CC2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BC-490D-91A6-7A3C683CC2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BC-490D-91A6-7A3C683CC2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BC-490D-91A6-7A3C683CC2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BC-490D-91A6-7A3C683CC2E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BC-490D-91A6-7A3C683CC2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9-40C2-AF2D-533D4BA7DEA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9-49B5-A048-9329BF3A3CF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9-49B5-A048-9329BF3A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8784616"/>
        <c:axId val="27878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79-49B5-A048-9329BF3A3CF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79-49B5-A048-9329BF3A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84616"/>
        <c:axId val="278784288"/>
      </c:lineChart>
      <c:catAx>
        <c:axId val="278784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784288"/>
        <c:crosses val="autoZero"/>
        <c:auto val="1"/>
        <c:lblAlgn val="ctr"/>
        <c:lblOffset val="100"/>
        <c:noMultiLvlLbl val="0"/>
      </c:catAx>
      <c:valAx>
        <c:axId val="27878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78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9-41D9-8236-7E2FD833D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09-41D9-8236-7E2FD833D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09-41D9-8236-7E2FD833D0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09-41D9-8236-7E2FD833D0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09-41D9-8236-7E2FD833D0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009-41D9-8236-7E2FD833D0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09-41D9-8236-7E2FD833D0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009-41D9-8236-7E2FD833D04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009-41D9-8236-7E2FD833D04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009-41D9-8236-7E2FD833D04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009-41D9-8236-7E2FD833D04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009-41D9-8236-7E2FD833D04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009-41D9-8236-7E2FD833D04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009-41D9-8236-7E2FD833D0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0-4CC0-812B-2FB52094DB3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2-45C1-9B15-244C9B7CD9A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12-45C1-9B15-244C9B7CD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98320936"/>
        <c:axId val="198318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12-45C1-9B15-244C9B7CD9A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12-45C1-9B15-244C9B7CD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20936"/>
        <c:axId val="198318968"/>
      </c:lineChart>
      <c:catAx>
        <c:axId val="198320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318968"/>
        <c:crosses val="autoZero"/>
        <c:auto val="1"/>
        <c:lblAlgn val="ctr"/>
        <c:lblOffset val="100"/>
        <c:noMultiLvlLbl val="0"/>
      </c:catAx>
      <c:valAx>
        <c:axId val="198318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832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5-4119-BA7D-558AA6FBF22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F5-4119-BA7D-558AA6FBF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762032"/>
        <c:axId val="289770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F5-4119-BA7D-558AA6FBF22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F5-4119-BA7D-558AA6FBF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762032"/>
        <c:axId val="289770560"/>
      </c:lineChart>
      <c:catAx>
        <c:axId val="28976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770560"/>
        <c:crosses val="autoZero"/>
        <c:auto val="1"/>
        <c:lblAlgn val="ctr"/>
        <c:lblOffset val="100"/>
        <c:noMultiLvlLbl val="0"/>
      </c:catAx>
      <c:valAx>
        <c:axId val="289770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76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5F-4CC7-A1B0-38D7653F33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5F-4CC7-A1B0-38D7653F33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5F-4CC7-A1B0-38D7653F33F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5F-4CC7-A1B0-38D7653F33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B7-4484-9514-2911E4DD4F2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B-4AF6-B8E6-DD12141CEDE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9B-4AF6-B8E6-DD12141C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757440"/>
        <c:axId val="289766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B-4AF6-B8E6-DD12141CEDE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9B-4AF6-B8E6-DD12141C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757440"/>
        <c:axId val="289766952"/>
      </c:lineChart>
      <c:catAx>
        <c:axId val="28975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9766952"/>
        <c:crosses val="autoZero"/>
        <c:auto val="1"/>
        <c:lblAlgn val="ctr"/>
        <c:lblOffset val="100"/>
        <c:noMultiLvlLbl val="0"/>
      </c:catAx>
      <c:valAx>
        <c:axId val="289766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75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BD-4B3E-BE78-D986F97F2A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BD-4B3E-BE78-D986F97F2A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BD-4B3E-BE78-D986F97F2A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BD-4B3E-BE78-D986F97F2A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BD-4B3E-BE78-D986F97F2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6-4D7F-B566-B10FCB66D8A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F-464F-AAA9-1A50560D4AF1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F-464F-AAA9-1A50560D4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779744"/>
        <c:axId val="194315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6F-464F-AAA9-1A50560D4AF1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6F-464F-AAA9-1A50560D4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779744"/>
        <c:axId val="194315352"/>
      </c:lineChart>
      <c:catAx>
        <c:axId val="2897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94315352"/>
        <c:crosses val="autoZero"/>
        <c:auto val="1"/>
        <c:lblAlgn val="ctr"/>
        <c:lblOffset val="100"/>
        <c:noMultiLvlLbl val="0"/>
      </c:catAx>
      <c:valAx>
        <c:axId val="194315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77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7B-4D56-876B-64C29F8159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7B-4D56-876B-64C29F8159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7B-4D56-876B-64C29F8159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7B-4D56-876B-64C29F8159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B-4A42-8FC5-98F90429F54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76-4BD9-94AA-0E4BFD9BF8FA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76-4BD9-94AA-0E4BFD9B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5624632"/>
        <c:axId val="164017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76-4BD9-94AA-0E4BFD9BF8FA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76-4BD9-94AA-0E4BFD9B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624632"/>
        <c:axId val="164017656"/>
      </c:lineChart>
      <c:catAx>
        <c:axId val="275624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017656"/>
        <c:crosses val="autoZero"/>
        <c:auto val="1"/>
        <c:lblAlgn val="ctr"/>
        <c:lblOffset val="100"/>
        <c:noMultiLvlLbl val="0"/>
      </c:catAx>
      <c:valAx>
        <c:axId val="164017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562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92873112"/>
        <c:axId val="32770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3112"/>
        <c:axId val="327702336"/>
      </c:lineChart>
      <c:catAx>
        <c:axId val="492873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7702336"/>
        <c:crosses val="autoZero"/>
        <c:auto val="1"/>
        <c:lblAlgn val="ctr"/>
        <c:lblOffset val="100"/>
        <c:noMultiLvlLbl val="0"/>
      </c:catAx>
      <c:valAx>
        <c:axId val="327702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287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69912"/>
        <c:axId val="503470240"/>
      </c:lineChart>
      <c:catAx>
        <c:axId val="50346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0240"/>
        <c:crosses val="autoZero"/>
        <c:auto val="1"/>
        <c:lblAlgn val="ctr"/>
        <c:lblOffset val="100"/>
        <c:noMultiLvlLbl val="0"/>
      </c:catAx>
      <c:valAx>
        <c:axId val="5034702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3474504"/>
        <c:axId val="503474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4504"/>
        <c:axId val="503474176"/>
      </c:lineChart>
      <c:catAx>
        <c:axId val="503474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74176"/>
        <c:crosses val="autoZero"/>
        <c:auto val="1"/>
        <c:lblAlgn val="ctr"/>
        <c:lblOffset val="100"/>
        <c:noMultiLvlLbl val="0"/>
      </c:catAx>
      <c:valAx>
        <c:axId val="50347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75816"/>
        <c:axId val="503476144"/>
      </c:lineChart>
      <c:catAx>
        <c:axId val="50347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6144"/>
        <c:crosses val="autoZero"/>
        <c:auto val="1"/>
        <c:lblAlgn val="ctr"/>
        <c:lblOffset val="100"/>
        <c:noMultiLvlLbl val="0"/>
      </c:catAx>
      <c:valAx>
        <c:axId val="5034761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7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77456"/>
        <c:axId val="503480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7456"/>
        <c:axId val="503480408"/>
      </c:lineChart>
      <c:catAx>
        <c:axId val="50347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0408"/>
        <c:crosses val="autoZero"/>
        <c:auto val="1"/>
        <c:lblAlgn val="ctr"/>
        <c:lblOffset val="100"/>
        <c:noMultiLvlLbl val="0"/>
      </c:catAx>
      <c:valAx>
        <c:axId val="503480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82048"/>
        <c:axId val="503482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82048"/>
        <c:axId val="503482376"/>
      </c:lineChart>
      <c:catAx>
        <c:axId val="50348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2376"/>
        <c:crosses val="autoZero"/>
        <c:auto val="1"/>
        <c:lblAlgn val="ctr"/>
        <c:lblOffset val="100"/>
        <c:noMultiLvlLbl val="0"/>
      </c:catAx>
      <c:valAx>
        <c:axId val="503482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3672"/>
        <c:axId val="329954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3672"/>
        <c:axId val="329954000"/>
      </c:lineChart>
      <c:catAx>
        <c:axId val="329953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4000"/>
        <c:crosses val="autoZero"/>
        <c:auto val="1"/>
        <c:lblAlgn val="ctr"/>
        <c:lblOffset val="100"/>
        <c:noMultiLvlLbl val="0"/>
      </c:catAx>
      <c:valAx>
        <c:axId val="32995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6952"/>
        <c:axId val="329957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6952"/>
        <c:axId val="329957280"/>
      </c:lineChart>
      <c:catAx>
        <c:axId val="329956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7280"/>
        <c:crosses val="autoZero"/>
        <c:auto val="1"/>
        <c:lblAlgn val="ctr"/>
        <c:lblOffset val="100"/>
        <c:noMultiLvlLbl val="0"/>
      </c:catAx>
      <c:valAx>
        <c:axId val="32995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0888"/>
        <c:axId val="329961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0888"/>
        <c:axId val="329961216"/>
      </c:lineChart>
      <c:catAx>
        <c:axId val="329960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1216"/>
        <c:crosses val="autoZero"/>
        <c:auto val="1"/>
        <c:lblAlgn val="ctr"/>
        <c:lblOffset val="100"/>
        <c:noMultiLvlLbl val="0"/>
      </c:catAx>
      <c:valAx>
        <c:axId val="32996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4168"/>
        <c:axId val="329964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4168"/>
        <c:axId val="329964496"/>
      </c:lineChart>
      <c:catAx>
        <c:axId val="329964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4496"/>
        <c:crosses val="autoZero"/>
        <c:auto val="1"/>
        <c:lblAlgn val="ctr"/>
        <c:lblOffset val="100"/>
        <c:noMultiLvlLbl val="0"/>
      </c:catAx>
      <c:valAx>
        <c:axId val="32996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67336"/>
        <c:axId val="47826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67336"/>
        <c:axId val="478267664"/>
      </c:lineChart>
      <c:catAx>
        <c:axId val="478267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67664"/>
        <c:crosses val="autoZero"/>
        <c:auto val="1"/>
        <c:lblAlgn val="ctr"/>
        <c:lblOffset val="100"/>
        <c:noMultiLvlLbl val="0"/>
      </c:catAx>
      <c:valAx>
        <c:axId val="47826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6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0616"/>
        <c:axId val="4782709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0616"/>
        <c:axId val="478270944"/>
      </c:lineChart>
      <c:catAx>
        <c:axId val="478270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0944"/>
        <c:crosses val="autoZero"/>
        <c:auto val="1"/>
        <c:lblAlgn val="ctr"/>
        <c:lblOffset val="100"/>
        <c:noMultiLvlLbl val="0"/>
      </c:catAx>
      <c:valAx>
        <c:axId val="47827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4552"/>
        <c:axId val="478274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4552"/>
        <c:axId val="478274880"/>
      </c:lineChart>
      <c:catAx>
        <c:axId val="478274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4880"/>
        <c:crosses val="autoZero"/>
        <c:auto val="1"/>
        <c:lblAlgn val="ctr"/>
        <c:lblOffset val="100"/>
        <c:noMultiLvlLbl val="0"/>
      </c:catAx>
      <c:valAx>
        <c:axId val="478274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7832"/>
        <c:axId val="478278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7832"/>
        <c:axId val="478278160"/>
      </c:lineChart>
      <c:catAx>
        <c:axId val="478277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8160"/>
        <c:crosses val="autoZero"/>
        <c:auto val="1"/>
        <c:lblAlgn val="ctr"/>
        <c:lblOffset val="100"/>
        <c:noMultiLvlLbl val="0"/>
      </c:catAx>
      <c:valAx>
        <c:axId val="478278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78281768"/>
        <c:axId val="478282096"/>
      </c:barChart>
      <c:catAx>
        <c:axId val="478281768"/>
        <c:scaling>
          <c:orientation val="minMax"/>
        </c:scaling>
        <c:delete val="1"/>
        <c:axPos val="l"/>
        <c:majorTickMark val="none"/>
        <c:minorTickMark val="none"/>
        <c:tickLblPos val="nextTo"/>
        <c:crossAx val="478282096"/>
        <c:crosses val="autoZero"/>
        <c:auto val="1"/>
        <c:lblAlgn val="ctr"/>
        <c:lblOffset val="100"/>
        <c:noMultiLvlLbl val="0"/>
      </c:catAx>
      <c:valAx>
        <c:axId val="47828209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782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sel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sel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sel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sel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sel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sel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sel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sel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sel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sel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114</xdr:row>
          <xdr:rowOff>0</xdr:rowOff>
        </xdr:from>
        <xdr:to>
          <xdr:col>9</xdr:col>
          <xdr:colOff>0</xdr:colOff>
          <xdr:row>115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  <a:ext uri="{FF2B5EF4-FFF2-40B4-BE49-F238E27FC236}">
                  <a16:creationId xmlns:a16="http://schemas.microsoft.com/office/drawing/2014/main" id="{00000000-0008-0000-0500-000001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180975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267267" name="CommandButton1" hidden="1">
              <a:extLst>
                <a:ext uri="{63B3BB69-23CF-44E3-9099-C40C66FF867C}">
                  <a14:compatExt spid="_x0000_s267267"/>
                </a:ext>
                <a:ext uri="{FF2B5EF4-FFF2-40B4-BE49-F238E27FC236}">
                  <a16:creationId xmlns:a16="http://schemas.microsoft.com/office/drawing/2014/main" id="{2BF0A282-DBD9-45F2-84D7-640A9DDEF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657224</xdr:colOff>
      <xdr:row>210</xdr:row>
      <xdr:rowOff>9525</xdr:rowOff>
    </xdr:from>
    <xdr:to>
      <xdr:col>10</xdr:col>
      <xdr:colOff>761999</xdr:colOff>
      <xdr:row>224</xdr:row>
      <xdr:rowOff>9525</xdr:rowOff>
    </xdr:to>
    <xdr:graphicFrame macro="">
      <xdr:nvGraphicFramePr>
        <xdr:cNvPr id="9" name="GrafDemo_Bis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637D81FB-2E83-4703-806C-0D34369001EB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56678ABD-60A6-45DF-B6BC-2AB345BCEC91}"/>
            </a:ext>
          </a:extLst>
        </cdr:cNvPr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3AADF9F-A0E8-49F7-BCB2-4F2C03EFDA33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1553310-BB03-4E55-BD89-E74B2BDE34D3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C9530B88-F62C-49D5-9C74-B69889188775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55D4E12D-899A-4EA3-AD5F-5BD714D871E3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1DAB4295-8EAB-4DC1-B7A7-41C4FF97F060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468EF749-1A0B-4C84-8B2A-579BD6D640B1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A7E8AA6-94A9-491E-BC97-441685624303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73713747-8151-4067-99D4-0A3164CC724E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C6FF80FF-6B97-4C81-B37D-8550B499F75B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863ED24-9096-43C1-9D9D-9FE0074FC815}"/>
            </a:ext>
          </a:extLst>
        </cdr:cNvPr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7DFF94C0-2DF2-45CF-866B-CB837063D1BB}"/>
            </a:ext>
          </a:extLst>
        </cdr:cNvPr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B31CA919-81B0-412D-B2D0-5DFFA3A4A743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0C43F45A-E8E5-426C-B7D7-7B01C5428555}"/>
            </a:ext>
          </a:extLst>
        </cdr:cNvPr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F1FE9CC-9B34-4726-9DA5-7F3E5635C9EB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CB43219-C0FA-4FB4-9244-B8B7133A88FD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D94EFC4D-D568-4C89-A82A-831E8DBA62C8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AD58DA1-AE80-431E-8837-9498B4AFDF10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422A4096-B5A2-4B92-A219-13E5B6252BD4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88072971-CD52-4D00-9961-777027EF6CF2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D535FD34-DE79-4E1C-BFD1-E90F656E8486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6B053580-66FA-46D5-A048-59CDAF46E9B7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7D52AC0-C87A-4451-9566-52036B36B801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10DB8350-2124-478A-AE15-33DDBFD9859D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A2EBB711-D6CD-44C1-8E75-A95F3680E2F9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59909470-C54A-41AA-A544-BF6440F78074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C4FAF8B-AD54-4DB6-8BA5-6E6C15AC02F0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21DBCB38-EE0F-48CF-8FDC-8A4CF2FB8203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A89FE247-B39E-4E19-8F43-967175F37820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F4A17F65-EC34-46DE-BB95-FB2C7905CB9D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7AAA460D-6723-4DAA-999D-C15C2CE89789}"/>
            </a:ext>
          </a:extLst>
        </cdr:cNvPr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785BE945-DC17-494B-A314-F98D5A62DF6E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1E9448C4-7530-419D-8AFD-58B0C315A50B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B10A3526-FE8A-40D0-8C17-CA6FE9366ED2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85055F10-F696-43EB-AB80-1F587E4CCA48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20072F1D-528A-4261-85F6-546CF9313FFA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D29C9D6-A343-4099-A94A-13FCA64C8AA7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D15B863-A16F-4744-80C3-85CF5D24562E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52099597-DDE2-4E8F-B1D4-275D2669C6E9}"/>
            </a:ext>
          </a:extLst>
        </cdr:cNvPr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C6E6522A-2E97-4AC2-B3F4-134293B66B21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7FF7416C-77E2-4601-BBAE-2679343CBB28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148E0BD-8CBF-4AE0-A925-6196895021A4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241036D2-3BA0-4403-93E3-7F93D8A37467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70A3979-8C7E-4A65-B1A3-A843FBF2CD83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33F7967-9443-40F5-AB58-591A764BE247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91491E4-CA6A-4C83-A779-5851A57EBBB9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20549F8-FA87-4EE5-B54B-D206DC13BADB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FEBEB10-9D7D-447A-AC3E-400069DF5D6C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A1A75ED5-CF8C-4EFA-9B4A-1DD50FF90ACC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B0AE83A-E9B7-4E7E-82B3-1D1C74071DAF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DB489C70-406C-4722-BDBA-BE22458CEC51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5A51857A-E21E-4E8F-9C3E-5CF5CCF7F927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FA05B62A-FE02-41A1-8344-06123EDD9E8B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DAB0E5C2-EA9D-4FAA-A604-EA0AF761A140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025010F5-247D-48C5-BF8C-61F2C833478B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AD6242F4-805C-46CA-805F-858F9E676209}"/>
            </a:ext>
          </a:extLst>
        </cdr:cNvPr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E69B713-0B94-436D-AE45-1BAA91B92BEF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930CF8E1-AE4F-4B72-AF6C-20285A60F029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2C75C8F-6D39-418E-BF76-67BFC8D4C835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935F47ED-2872-44E6-ABBF-76C56E0FB736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0D270528-EABA-45F3-876E-AD80891E3B1D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ECE73F77-372A-4C93-9418-B0784920DE8F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9895E55-AA02-474D-B72A-C32B3F11B506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E25B741-D627-4921-9321-85AAF73C806C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7E86B8D3-2F63-457F-AB0C-AF21EEEF5230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2270B043-AFBC-461C-B65E-8648F1000D66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6B1FFA87-EB65-4D98-B7AC-A0D7D650D359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F51A9303-5D74-4DEB-BBA9-FAB59B523159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19EC7A65-8386-4590-BC3A-DC5EE0CFBF19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7C93A47F-4EF4-43E3-9500-4159EC400A34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265037C4-FB0D-4139-BA70-1AC111274D0F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13FEFC46-BBAD-4574-9DD1-307646FD7390}"/>
            </a:ext>
          </a:extLst>
        </cdr:cNvPr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B32B9BBE-79BC-4C21-BC69-F58364B6C1B1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6D73F2EC-D729-44A9-88C6-F6DC77DCA8A7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6E5DAF60-ABB3-4279-B274-8EE42EF80910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D9711193-7C58-43A3-92F1-2E125D5F769E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680B81C-3E0B-4AA9-9AAE-D572661013DE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82806D2-050F-421B-9E68-B02D4973CF44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E95A26C6-6096-4204-A6A6-79C321BCC8FE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99A4CD82-B81B-4DAB-ABCB-61BA28641BC1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04404D8-839E-4C15-A88A-F9694113DF08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F5252635-2BC0-4F0A-9247-FFD472F93C30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EB057C60-7152-40AF-90D3-5B651A6B0DCD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CEC09C2-56FE-45E9-A824-2987BA6D33A0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6A148809-7951-4295-8554-7AFA0FF75A20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4ECDCF59-6AF7-4AEC-BE60-EBACF79C98B9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E17E75DE-A569-4F70-A95C-6DD1F46745FA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9504C4D-D317-4B10-8ACF-23752236F48C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FC51823E-8045-46EC-AF2B-99CB88E177B8}"/>
            </a:ext>
          </a:extLst>
        </cdr:cNvPr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31DA80BA-D24B-40DF-ADA7-63D3637DCD8A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58EC2CC9-036F-4506-A4F8-CAD3AF7A3821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E77E2C7-090C-4A56-8BE6-D29B41E959C3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3DF31869-A820-4CCA-A5D8-CDE5D497B97D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75C3D80B-CFEB-4307-AEBB-371843B05DA1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036A59E-AB98-4B0E-B4C4-6BA18D74D25A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5DBB0914-A0CA-4B68-8036-8F91C819F51B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1B8DC0E5-9552-4242-B41B-77E373C5F9B3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1C8D035E-41FB-4388-AFC4-EBC944D8A14A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4ECE77F-E4DD-4990-BC40-C056D7E02776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5C5DB6C1-0919-42C9-B061-C21637D86511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FB36386-EA5F-40D9-91B4-4B5B33316991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94761E81-EDDD-4C18-B554-797FA579487F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79278D1-8E8C-4A56-8436-1A84CCF45DCA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BF4B1858-CC8C-4EA0-9179-69666AB5BE5A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94A704B9-06A4-44F7-BBE0-9A84856EA711}"/>
            </a:ext>
          </a:extLst>
        </cdr:cNvPr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B3663369-99F1-4931-A385-F9D2725767C4}"/>
            </a:ext>
          </a:extLst>
        </cdr:cNvPr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98132BCA-73A5-4625-9451-1A84F38E460E}"/>
            </a:ext>
          </a:extLst>
        </cdr:cNvPr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FF970B7D-AC7B-4215-B4E8-ED2B50296FBB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CCC236C7-E97B-4760-89DB-35378D0BD0F5}"/>
            </a:ext>
          </a:extLst>
        </cdr:cNvPr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EA43793-70F2-42E0-A604-BB5F32AA8B4D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B76996C-74A9-4DFD-8944-880917307CF5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ABD54EA9-7AEB-4B6F-94E4-3BCED8FAF994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F2E72B3F-B109-4263-80B1-741BC8CA1BF5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911A7D58-2A42-4DB5-9B84-5EC29B4E978D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AADD6474-A619-450B-B062-05BB765258F8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0F0144BD-403A-48AA-9DDB-C976465F34B4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A0A57B3A-8690-47F4-B5B1-1924340AFB6C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60F9316D-2B95-40DD-B85E-C8597960E431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314322B9-CB5E-40E9-AE7D-9E665377E263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832445B4-8070-4963-BB13-A60EC7857562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3BD9F5C-075C-4B47-A26B-71FC3B1E97D1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4231EE5F-D6C8-4507-910A-57910D46DA1F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5782552-2469-493A-A9E5-ECED1A8F35AA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94CFAC4F-61B8-4CF8-B212-8B17EFC22E2C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43A1F592-50A9-4141-AEAB-8D54CFC68A1C}"/>
            </a:ext>
          </a:extLst>
        </cdr:cNvPr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C6DE6B4F-2D30-40F6-9A88-1F05703BE8A5}"/>
            </a:ext>
          </a:extLst>
        </cdr:cNvPr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CF807D14-6D6D-4D21-AC47-83BE741BC8FF}"/>
            </a:ext>
          </a:extLst>
        </cdr:cNvPr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>
          <a:extLst xmlns:a="http://schemas.openxmlformats.org/drawingml/2006/main">
            <a:ext uri="{FF2B5EF4-FFF2-40B4-BE49-F238E27FC236}">
              <a16:creationId xmlns:a16="http://schemas.microsoft.com/office/drawing/2014/main" id="{BF4B2ED5-67B0-4C92-8A5D-DDF9EF88EDC5}"/>
            </a:ext>
          </a:extLst>
        </cdr:cNvPr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>
          <a:extLst xmlns:a="http://schemas.openxmlformats.org/drawingml/2006/main">
            <a:ext uri="{FF2B5EF4-FFF2-40B4-BE49-F238E27FC236}">
              <a16:creationId xmlns:a16="http://schemas.microsoft.com/office/drawing/2014/main" id="{6C23EDD9-4A90-45EE-8FAD-D257088F9928}"/>
            </a:ext>
          </a:extLst>
        </cdr:cNvPr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>
          <a:extLst xmlns:a="http://schemas.openxmlformats.org/drawingml/2006/main">
            <a:ext uri="{FF2B5EF4-FFF2-40B4-BE49-F238E27FC236}">
              <a16:creationId xmlns:a16="http://schemas.microsoft.com/office/drawing/2014/main" id="{5CE2C4A9-CE6C-477A-8FD9-74820EB4CA3F}"/>
            </a:ext>
          </a:extLst>
        </cdr:cNvPr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>
          <a:extLst xmlns:a="http://schemas.openxmlformats.org/drawingml/2006/main">
            <a:ext uri="{FF2B5EF4-FFF2-40B4-BE49-F238E27FC236}">
              <a16:creationId xmlns:a16="http://schemas.microsoft.com/office/drawing/2014/main" id="{8448D30A-6EAE-4589-B431-DEFC81A83EE9}"/>
            </a:ext>
          </a:extLst>
        </cdr:cNvPr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22AEA45B-2D1B-4845-9A0D-BD8D1EBF24F5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A92E2861-B7D9-4150-8103-4D4AE1EF64CF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75A18ED-66A3-4309-A090-A05B62C51BD5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A73B78E-522E-4AB3-95EE-70C9B58A971F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BA2F8B28-F941-4A48-A04C-BE845E3E4832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6F6C0DC-A58A-44FF-ABE5-FF5A4A3E2A91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355087E6-B98F-404D-A90C-E934FB3C5B48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A604732-623B-4069-90FD-2C5F578324CA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F3E8F405-F92B-49E9-8904-63B765142B58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99E8FA11-A55A-4057-87A1-2075BC412090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1E2DA67D-7E37-4F16-9375-FE840F757F0F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966246BD-EBC1-4523-8C9D-56D45AE505C8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818BBF2-D6E9-4251-B0B8-EB8D1F51F644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9611A057-ECB2-4D3E-8AA5-917298F06EA1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F86C33AE-6DCD-4D6B-AC95-4A3730519CDD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>
          <a:extLst xmlns:a="http://schemas.openxmlformats.org/drawingml/2006/main">
            <a:ext uri="{FF2B5EF4-FFF2-40B4-BE49-F238E27FC236}">
              <a16:creationId xmlns:a16="http://schemas.microsoft.com/office/drawing/2014/main" id="{FB965A7E-8DA9-46DC-8073-3316B3421711}"/>
            </a:ext>
          </a:extLst>
        </cdr:cNvPr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>
          <a:extLst xmlns:a="http://schemas.openxmlformats.org/drawingml/2006/main">
            <a:ext uri="{FF2B5EF4-FFF2-40B4-BE49-F238E27FC236}">
              <a16:creationId xmlns:a16="http://schemas.microsoft.com/office/drawing/2014/main" id="{B5C697A6-15BB-48A5-BF9A-55A48689E12F}"/>
            </a:ext>
          </a:extLst>
        </cdr:cNvPr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>
          <a:extLst xmlns:a="http://schemas.openxmlformats.org/drawingml/2006/main">
            <a:ext uri="{FF2B5EF4-FFF2-40B4-BE49-F238E27FC236}">
              <a16:creationId xmlns:a16="http://schemas.microsoft.com/office/drawing/2014/main" id="{F124C105-A44D-4B43-82FA-A78068A1A10D}"/>
            </a:ext>
          </a:extLst>
        </cdr:cNvPr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>
          <a:extLst xmlns:a="http://schemas.openxmlformats.org/drawingml/2006/main">
            <a:ext uri="{FF2B5EF4-FFF2-40B4-BE49-F238E27FC236}">
              <a16:creationId xmlns:a16="http://schemas.microsoft.com/office/drawing/2014/main" id="{BD3BBF75-5CFC-402A-B033-F6C36EDDBE06}"/>
            </a:ext>
          </a:extLst>
        </cdr:cNvPr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>
          <a:extLst xmlns:a="http://schemas.openxmlformats.org/drawingml/2006/main">
            <a:ext uri="{FF2B5EF4-FFF2-40B4-BE49-F238E27FC236}">
              <a16:creationId xmlns:a16="http://schemas.microsoft.com/office/drawing/2014/main" id="{F51DC420-7881-4F74-9DDE-585BACB49BE9}"/>
            </a:ext>
          </a:extLst>
        </cdr:cNvPr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>
          <a:extLst xmlns:a="http://schemas.openxmlformats.org/drawingml/2006/main">
            <a:ext uri="{FF2B5EF4-FFF2-40B4-BE49-F238E27FC236}">
              <a16:creationId xmlns:a16="http://schemas.microsoft.com/office/drawing/2014/main" id="{C55BDF0C-27C5-4F57-AFCE-98529EF1D47D}"/>
            </a:ext>
          </a:extLst>
        </cdr:cNvPr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FDA2B529-64F3-4C06-A38C-ACF821A3FB23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AD797D91-5BED-4EDC-9402-8BC6BA1D83FD}"/>
            </a:ext>
          </a:extLst>
        </cdr:cNvPr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6AB50E1-7F91-4722-AFE8-ADE42AF0E6C6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CF4881BE-5742-4AB7-841A-84F668087DC3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43845453-1855-458E-B464-4F8F76FF6F4A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E5FB7A16-1B10-484F-9629-7C8CDB43A526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3E8CA004-57EB-47FD-B544-7E8A0618F3C6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67CE4866-E732-4CB6-81BF-26EE14FC55EC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9AC6EA7C-5F79-4C67-B066-C5AEE93DE703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FAE40AF8-221F-4446-8971-8BB32B299AF5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510700A7-2DF3-4B91-8163-91599CE1E18E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052C0D49-4F34-44CA-910C-0C7F93AC9612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4D4A650-E0B0-4203-A084-A7B152774294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A0BB83D4-71AF-4265-8E99-5E4B8BC22C41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1CE7CB26-1D43-4B51-9E4C-BF7C51E81902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6798B913-ABC4-4DA1-B8DF-6208859CE9BB}"/>
            </a:ext>
          </a:extLst>
        </cdr:cNvPr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F248F9C2-1F3B-4D29-819F-47ED7ACC94A9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3C142BF9-7EF7-4E97-BAB6-34D0277A6CF4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80F19E0F-4E3B-4D79-93A7-E78A71DB3730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1FFAB08B-8AB2-49FE-B392-CE5E2D682B7A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F63F0FF9-00C4-48E1-9B42-903D8195AACD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533350B6-0BFC-430A-8ADC-AF89258BD32A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A1AD90F5-3E04-4242-85DB-FE4FAAE8820D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C95B6540-2304-40E8-9CC5-6E22012C3F67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299C938E-107D-4046-AB1F-1D84D31D7F88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BC274B65-D946-44CA-A114-E805278A009C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476D40B8-665B-4687-AC4E-9A7AC715D8EE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7431D581-A62B-4125-8776-E17F925B843E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>
          <a:extLst xmlns:a="http://schemas.openxmlformats.org/drawingml/2006/main">
            <a:ext uri="{FF2B5EF4-FFF2-40B4-BE49-F238E27FC236}">
              <a16:creationId xmlns:a16="http://schemas.microsoft.com/office/drawing/2014/main" id="{D08B087B-DA23-4AC5-9789-2D27CDC01824}"/>
            </a:ext>
          </a:extLst>
        </cdr:cNvPr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>
          <a:extLst xmlns:a="http://schemas.openxmlformats.org/drawingml/2006/main">
            <a:ext uri="{FF2B5EF4-FFF2-40B4-BE49-F238E27FC236}">
              <a16:creationId xmlns:a16="http://schemas.microsoft.com/office/drawing/2014/main" id="{D9609031-EE44-48E7-9E85-6EE0A29FFD54}"/>
            </a:ext>
          </a:extLst>
        </cdr:cNvPr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>
          <a:extLst xmlns:a="http://schemas.openxmlformats.org/drawingml/2006/main">
            <a:ext uri="{FF2B5EF4-FFF2-40B4-BE49-F238E27FC236}">
              <a16:creationId xmlns:a16="http://schemas.microsoft.com/office/drawing/2014/main" id="{81F786A7-8805-4EAB-8B49-64452DB5EC50}"/>
            </a:ext>
          </a:extLst>
        </cdr:cNvPr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3BE51B8-3F51-4CCD-9591-2A08C3B17C02}"/>
            </a:ext>
          </a:extLst>
        </cdr:cNvPr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>
          <a:extLst xmlns:a="http://schemas.openxmlformats.org/drawingml/2006/main">
            <a:ext uri="{FF2B5EF4-FFF2-40B4-BE49-F238E27FC236}">
              <a16:creationId xmlns:a16="http://schemas.microsoft.com/office/drawing/2014/main" id="{E48974EE-26FF-4AFE-9054-1E9F57AA6FAE}"/>
            </a:ext>
          </a:extLst>
        </cdr:cNvPr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6CBE33FB-1CD6-4A5A-BF59-9E06B3A11407}"/>
            </a:ext>
          </a:extLst>
        </cdr:cNvPr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200FAF4E-0FF4-4690-B2D2-8DDC1F68C7A6}"/>
            </a:ext>
          </a:extLst>
        </cdr:cNvPr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>
          <a:extLst xmlns:a="http://schemas.openxmlformats.org/drawingml/2006/main">
            <a:ext uri="{FF2B5EF4-FFF2-40B4-BE49-F238E27FC236}">
              <a16:creationId xmlns:a16="http://schemas.microsoft.com/office/drawing/2014/main" id="{30B53E3D-9A06-403B-9AC8-C57E566C59B9}"/>
            </a:ext>
          </a:extLst>
        </cdr:cNvPr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>
          <a:extLst xmlns:a="http://schemas.openxmlformats.org/drawingml/2006/main">
            <a:ext uri="{FF2B5EF4-FFF2-40B4-BE49-F238E27FC236}">
              <a16:creationId xmlns:a16="http://schemas.microsoft.com/office/drawing/2014/main" id="{798AE3FE-0F20-44C8-BE85-7A2C21E6EEE7}"/>
            </a:ext>
          </a:extLst>
        </cdr:cNvPr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>
          <a:extLst xmlns:a="http://schemas.openxmlformats.org/drawingml/2006/main">
            <a:ext uri="{FF2B5EF4-FFF2-40B4-BE49-F238E27FC236}">
              <a16:creationId xmlns:a16="http://schemas.microsoft.com/office/drawing/2014/main" id="{C3044382-8E63-4160-B1AF-4225CE095D5C}"/>
            </a:ext>
          </a:extLst>
        </cdr:cNvPr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>
          <a:extLst xmlns:a="http://schemas.openxmlformats.org/drawingml/2006/main">
            <a:ext uri="{FF2B5EF4-FFF2-40B4-BE49-F238E27FC236}">
              <a16:creationId xmlns:a16="http://schemas.microsoft.com/office/drawing/2014/main" id="{B797A150-458A-4209-98F8-868E2D9E3CA7}"/>
            </a:ext>
          </a:extLst>
        </cdr:cNvPr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>
          <a:extLst xmlns:a="http://schemas.openxmlformats.org/drawingml/2006/main">
            <a:ext uri="{FF2B5EF4-FFF2-40B4-BE49-F238E27FC236}">
              <a16:creationId xmlns:a16="http://schemas.microsoft.com/office/drawing/2014/main" id="{CEC738EF-0E89-4CC9-A118-35BF40358B2B}"/>
            </a:ext>
          </a:extLst>
        </cdr:cNvPr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>
          <a:extLst xmlns:a="http://schemas.openxmlformats.org/drawingml/2006/main">
            <a:ext uri="{FF2B5EF4-FFF2-40B4-BE49-F238E27FC236}">
              <a16:creationId xmlns:a16="http://schemas.microsoft.com/office/drawing/2014/main" id="{00098A1C-2CB9-4CBF-A486-C3C2F491DC6C}"/>
            </a:ext>
          </a:extLst>
        </cdr:cNvPr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>
          <a:extLst xmlns:a="http://schemas.openxmlformats.org/drawingml/2006/main">
            <a:ext uri="{FF2B5EF4-FFF2-40B4-BE49-F238E27FC236}">
              <a16:creationId xmlns:a16="http://schemas.microsoft.com/office/drawing/2014/main" id="{4AB3D738-68BE-45A7-AB45-E8F33220681B}"/>
            </a:ext>
          </a:extLst>
        </cdr:cNvPr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>
          <a:extLst xmlns:a="http://schemas.openxmlformats.org/drawingml/2006/main">
            <a:ext uri="{FF2B5EF4-FFF2-40B4-BE49-F238E27FC236}">
              <a16:creationId xmlns:a16="http://schemas.microsoft.com/office/drawing/2014/main" id="{41B302F7-93CD-48E7-B21B-720A0D034C92}"/>
            </a:ext>
          </a:extLst>
        </cdr:cNvPr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>
          <a:extLst xmlns:a="http://schemas.openxmlformats.org/drawingml/2006/main">
            <a:ext uri="{FF2B5EF4-FFF2-40B4-BE49-F238E27FC236}">
              <a16:creationId xmlns:a16="http://schemas.microsoft.com/office/drawing/2014/main" id="{DC350CB6-1549-4883-93E9-D62E2D4FF9BD}"/>
            </a:ext>
          </a:extLst>
        </cdr:cNvPr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>
          <a:extLst xmlns:a="http://schemas.openxmlformats.org/drawingml/2006/main">
            <a:ext uri="{FF2B5EF4-FFF2-40B4-BE49-F238E27FC236}">
              <a16:creationId xmlns:a16="http://schemas.microsoft.com/office/drawing/2014/main" id="{C2DE7E02-1699-44D1-84DE-493AB8E06A21}"/>
            </a:ext>
          </a:extLst>
        </cdr:cNvPr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3" Type="http://schemas.openxmlformats.org/officeDocument/2006/relationships/ctrlProp" Target="../ctrlProps/ctrlProp5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0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418</v>
      </c>
      <c r="J4" s="9" t="s">
        <v>224</v>
      </c>
      <c r="K4" s="103" t="s">
        <v>8</v>
      </c>
      <c r="L4" s="103" t="s">
        <v>418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1" t="s">
        <v>426</v>
      </c>
      <c r="B1" s="201"/>
      <c r="C1" s="108"/>
      <c r="D1" s="193" t="s">
        <v>225</v>
      </c>
      <c r="E1" s="194"/>
      <c r="F1" s="194"/>
      <c r="G1" s="194"/>
      <c r="H1" s="194"/>
      <c r="I1" s="194"/>
      <c r="J1" s="194"/>
      <c r="K1" s="158"/>
      <c r="L1" s="193" t="s">
        <v>28</v>
      </c>
      <c r="M1" s="194"/>
      <c r="N1" s="194"/>
      <c r="O1" s="194"/>
      <c r="P1" s="195"/>
      <c r="Q1" s="158"/>
      <c r="R1" s="193" t="s">
        <v>29</v>
      </c>
      <c r="S1" s="195"/>
      <c r="T1" s="158"/>
      <c r="U1" s="193" t="s">
        <v>159</v>
      </c>
      <c r="V1" s="194"/>
      <c r="W1" s="194"/>
      <c r="X1" s="194"/>
      <c r="Y1" s="195"/>
      <c r="Z1" s="158"/>
      <c r="AA1" s="193" t="s">
        <v>427</v>
      </c>
      <c r="AB1" s="194"/>
      <c r="AC1" s="194"/>
      <c r="AD1" s="194"/>
      <c r="AE1" s="194"/>
      <c r="AF1" s="194"/>
      <c r="AG1" s="194"/>
      <c r="AH1" s="194"/>
      <c r="AI1" s="194"/>
      <c r="AJ1" s="195"/>
      <c r="AK1" s="158"/>
      <c r="AL1" s="193" t="s">
        <v>160</v>
      </c>
      <c r="AM1" s="194"/>
      <c r="AN1" s="194"/>
      <c r="AO1" s="194"/>
      <c r="AP1" s="194"/>
      <c r="AQ1" s="195"/>
      <c r="AR1" s="158"/>
      <c r="AS1" s="193" t="s">
        <v>428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158"/>
      <c r="BH1" s="193" t="s">
        <v>161</v>
      </c>
      <c r="BI1" s="194"/>
      <c r="BJ1" s="194"/>
      <c r="BK1" s="195"/>
      <c r="BL1" s="158"/>
      <c r="BM1" s="193" t="s">
        <v>142</v>
      </c>
      <c r="BN1" s="194"/>
      <c r="BO1" s="194"/>
      <c r="BP1" s="194"/>
      <c r="BQ1" s="195"/>
      <c r="BR1" s="158"/>
      <c r="BS1" s="193" t="s">
        <v>162</v>
      </c>
      <c r="BT1" s="194"/>
      <c r="BU1" s="194"/>
      <c r="BV1" s="195"/>
    </row>
    <row r="2" spans="1:74" ht="273.75">
      <c r="A2" s="199" t="s">
        <v>429</v>
      </c>
      <c r="B2" s="199"/>
      <c r="C2" s="200"/>
      <c r="D2" s="109">
        <v>2016</v>
      </c>
      <c r="E2" s="109">
        <v>2015</v>
      </c>
      <c r="F2" s="109" t="s">
        <v>430</v>
      </c>
      <c r="G2" s="109" t="s">
        <v>431</v>
      </c>
      <c r="H2" s="109" t="s">
        <v>432</v>
      </c>
      <c r="I2" s="109" t="s">
        <v>433</v>
      </c>
      <c r="J2" s="109" t="s">
        <v>434</v>
      </c>
      <c r="K2" s="158"/>
      <c r="L2" s="109" t="s">
        <v>226</v>
      </c>
      <c r="M2" s="109" t="s">
        <v>227</v>
      </c>
      <c r="N2" s="109" t="s">
        <v>228</v>
      </c>
      <c r="O2" s="109" t="s">
        <v>229</v>
      </c>
      <c r="P2" s="109" t="s">
        <v>230</v>
      </c>
      <c r="Q2" s="158"/>
      <c r="R2" s="109" t="s">
        <v>231</v>
      </c>
      <c r="S2" s="109" t="s">
        <v>232</v>
      </c>
      <c r="T2" s="158"/>
      <c r="U2" s="109" t="s">
        <v>435</v>
      </c>
      <c r="V2" s="109" t="s">
        <v>358</v>
      </c>
      <c r="W2" s="109" t="s">
        <v>359</v>
      </c>
      <c r="X2" s="109" t="s">
        <v>360</v>
      </c>
      <c r="Y2" s="109" t="s">
        <v>361</v>
      </c>
      <c r="Z2" s="158"/>
      <c r="AA2" s="159" t="s">
        <v>436</v>
      </c>
      <c r="AB2" s="159" t="s">
        <v>437</v>
      </c>
      <c r="AC2" s="159" t="s">
        <v>438</v>
      </c>
      <c r="AD2" s="159" t="s">
        <v>439</v>
      </c>
      <c r="AE2" s="159" t="s">
        <v>440</v>
      </c>
      <c r="AF2" s="159" t="s">
        <v>441</v>
      </c>
      <c r="AG2" s="159" t="s">
        <v>442</v>
      </c>
      <c r="AH2" s="159" t="s">
        <v>443</v>
      </c>
      <c r="AI2" s="159" t="s">
        <v>444</v>
      </c>
      <c r="AJ2" s="159" t="s">
        <v>445</v>
      </c>
      <c r="AK2" s="158"/>
      <c r="AL2" s="109" t="s">
        <v>362</v>
      </c>
      <c r="AM2" s="109" t="s">
        <v>363</v>
      </c>
      <c r="AN2" s="109" t="s">
        <v>364</v>
      </c>
      <c r="AO2" s="109" t="s">
        <v>365</v>
      </c>
      <c r="AP2" s="109" t="s">
        <v>366</v>
      </c>
      <c r="AQ2" s="109" t="s">
        <v>367</v>
      </c>
      <c r="AR2" s="158"/>
      <c r="AS2" s="109" t="s">
        <v>446</v>
      </c>
      <c r="AT2" s="109" t="s">
        <v>447</v>
      </c>
      <c r="AU2" s="109" t="s">
        <v>448</v>
      </c>
      <c r="AV2" s="109" t="s">
        <v>449</v>
      </c>
      <c r="AW2" s="109" t="s">
        <v>450</v>
      </c>
      <c r="AX2" s="109" t="s">
        <v>451</v>
      </c>
      <c r="AY2" s="109" t="s">
        <v>452</v>
      </c>
      <c r="AZ2" s="109" t="s">
        <v>368</v>
      </c>
      <c r="BA2" s="109" t="s">
        <v>453</v>
      </c>
      <c r="BB2" s="109" t="s">
        <v>454</v>
      </c>
      <c r="BC2" s="109" t="s">
        <v>455</v>
      </c>
      <c r="BD2" s="109" t="s">
        <v>456</v>
      </c>
      <c r="BE2" s="109" t="s">
        <v>369</v>
      </c>
      <c r="BF2" s="109" t="s">
        <v>457</v>
      </c>
      <c r="BG2" s="158"/>
      <c r="BH2" s="109" t="s">
        <v>458</v>
      </c>
      <c r="BI2" s="109" t="s">
        <v>459</v>
      </c>
      <c r="BJ2" s="109" t="s">
        <v>460</v>
      </c>
      <c r="BK2" s="109" t="s">
        <v>461</v>
      </c>
      <c r="BL2" s="158"/>
      <c r="BM2" s="109" t="s">
        <v>233</v>
      </c>
      <c r="BN2" s="109" t="s">
        <v>234</v>
      </c>
      <c r="BO2" s="109" t="s">
        <v>235</v>
      </c>
      <c r="BP2" s="109" t="s">
        <v>236</v>
      </c>
      <c r="BQ2" s="109" t="s">
        <v>237</v>
      </c>
      <c r="BR2" s="158"/>
      <c r="BS2" s="109" t="s">
        <v>462</v>
      </c>
      <c r="BT2" s="109" t="s">
        <v>459</v>
      </c>
      <c r="BU2" s="109" t="s">
        <v>460</v>
      </c>
      <c r="BV2" s="109" t="s">
        <v>461</v>
      </c>
    </row>
    <row r="3" spans="1:74">
      <c r="A3" s="110"/>
      <c r="B3" s="110"/>
      <c r="C3" s="111" t="s">
        <v>238</v>
      </c>
      <c r="D3" s="112">
        <v>4886</v>
      </c>
      <c r="E3" s="112">
        <v>4735</v>
      </c>
      <c r="F3" s="112"/>
      <c r="G3" s="112"/>
      <c r="H3" s="112"/>
      <c r="I3" s="112"/>
      <c r="J3" s="112"/>
      <c r="K3" s="158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8"/>
      <c r="R3" s="112">
        <v>2476</v>
      </c>
      <c r="S3" s="112">
        <v>2191</v>
      </c>
      <c r="T3" s="158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8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8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8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8"/>
      <c r="BH3" s="112">
        <v>2444</v>
      </c>
      <c r="BI3" s="112">
        <v>1088</v>
      </c>
      <c r="BJ3" s="112">
        <v>501</v>
      </c>
      <c r="BK3" s="112">
        <v>116</v>
      </c>
      <c r="BL3" s="158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8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60"/>
      <c r="B4" s="160"/>
      <c r="C4" s="161" t="s">
        <v>380</v>
      </c>
      <c r="D4" s="162">
        <v>5231</v>
      </c>
      <c r="E4" s="162">
        <v>5159</v>
      </c>
      <c r="F4" s="162"/>
      <c r="G4" s="162"/>
      <c r="H4" s="162"/>
      <c r="I4" s="162"/>
      <c r="J4" s="162"/>
      <c r="K4" s="158"/>
      <c r="L4" s="162"/>
      <c r="M4" s="162"/>
      <c r="N4" s="162"/>
      <c r="O4" s="162"/>
      <c r="P4" s="162"/>
      <c r="Q4" s="158"/>
      <c r="R4" s="162"/>
      <c r="S4" s="162"/>
      <c r="T4" s="158"/>
      <c r="U4" s="162"/>
      <c r="V4" s="162"/>
      <c r="W4" s="162"/>
      <c r="X4" s="162"/>
      <c r="Y4" s="162"/>
      <c r="Z4" s="158"/>
      <c r="AA4" s="162"/>
      <c r="AB4" s="162"/>
      <c r="AC4" s="162"/>
      <c r="AD4" s="162"/>
      <c r="AE4" s="162"/>
      <c r="AF4" s="162"/>
      <c r="AG4" s="162"/>
      <c r="AH4" s="162"/>
      <c r="AI4" s="162"/>
      <c r="AJ4" s="162"/>
      <c r="AK4" s="158"/>
      <c r="AL4" s="162"/>
      <c r="AM4" s="162"/>
      <c r="AN4" s="162"/>
      <c r="AO4" s="162"/>
      <c r="AP4" s="162"/>
      <c r="AQ4" s="162"/>
      <c r="AR4" s="158"/>
      <c r="AS4" s="162">
        <v>9</v>
      </c>
      <c r="AT4" s="162">
        <v>22</v>
      </c>
      <c r="AU4" s="162">
        <v>43</v>
      </c>
      <c r="AV4" s="162">
        <v>219</v>
      </c>
      <c r="AW4" s="162">
        <v>2790</v>
      </c>
      <c r="AX4" s="162">
        <v>97</v>
      </c>
      <c r="AY4" s="162">
        <v>21</v>
      </c>
      <c r="AZ4" s="162">
        <v>179</v>
      </c>
      <c r="BA4" s="162">
        <v>109</v>
      </c>
      <c r="BB4" s="162">
        <v>62</v>
      </c>
      <c r="BC4" s="162">
        <v>1587</v>
      </c>
      <c r="BD4" s="162">
        <v>77</v>
      </c>
      <c r="BE4" s="162">
        <v>4</v>
      </c>
      <c r="BF4" s="162">
        <v>12</v>
      </c>
      <c r="BG4" s="158"/>
      <c r="BH4" s="162"/>
      <c r="BI4" s="162"/>
      <c r="BJ4" s="162"/>
      <c r="BK4" s="162"/>
      <c r="BL4" s="158"/>
      <c r="BM4" s="162"/>
      <c r="BN4" s="162"/>
      <c r="BO4" s="162"/>
      <c r="BP4" s="162"/>
      <c r="BQ4" s="162"/>
      <c r="BR4" s="158"/>
      <c r="BS4" s="162"/>
      <c r="BT4" s="162"/>
      <c r="BU4" s="162"/>
      <c r="BV4" s="162"/>
    </row>
    <row r="5" spans="1:74">
      <c r="A5" s="163"/>
      <c r="B5" s="163"/>
      <c r="C5" s="164" t="s">
        <v>381</v>
      </c>
      <c r="D5" s="165">
        <v>4735</v>
      </c>
      <c r="E5" s="165">
        <v>4504</v>
      </c>
      <c r="F5" s="165"/>
      <c r="G5" s="165"/>
      <c r="H5" s="165"/>
      <c r="I5" s="165"/>
      <c r="J5" s="165"/>
      <c r="K5" s="158"/>
      <c r="L5" s="165">
        <v>249</v>
      </c>
      <c r="M5" s="165">
        <v>1965</v>
      </c>
      <c r="N5" s="165">
        <v>1426</v>
      </c>
      <c r="O5" s="165">
        <v>733</v>
      </c>
      <c r="P5" s="165">
        <v>256</v>
      </c>
      <c r="Q5" s="158"/>
      <c r="R5" s="165">
        <v>2382</v>
      </c>
      <c r="S5" s="165">
        <v>2218</v>
      </c>
      <c r="T5" s="158"/>
      <c r="U5" s="165">
        <v>14</v>
      </c>
      <c r="V5" s="165">
        <v>413</v>
      </c>
      <c r="W5" s="165">
        <v>2318</v>
      </c>
      <c r="X5" s="165">
        <v>1467</v>
      </c>
      <c r="Y5" s="165">
        <v>425</v>
      </c>
      <c r="Z5" s="158"/>
      <c r="AA5" s="165">
        <v>65</v>
      </c>
      <c r="AB5" s="165">
        <v>121</v>
      </c>
      <c r="AC5" s="165">
        <v>895</v>
      </c>
      <c r="AD5" s="165">
        <v>768</v>
      </c>
      <c r="AE5" s="165">
        <v>265</v>
      </c>
      <c r="AF5" s="165">
        <v>519</v>
      </c>
      <c r="AG5" s="165">
        <v>572</v>
      </c>
      <c r="AH5" s="165">
        <v>937</v>
      </c>
      <c r="AI5" s="165">
        <v>444</v>
      </c>
      <c r="AJ5" s="165" t="s">
        <v>239</v>
      </c>
      <c r="AK5" s="158"/>
      <c r="AL5" s="165">
        <v>305</v>
      </c>
      <c r="AM5" s="165">
        <v>1135</v>
      </c>
      <c r="AN5" s="165">
        <v>1202</v>
      </c>
      <c r="AO5" s="165">
        <v>481</v>
      </c>
      <c r="AP5" s="165">
        <v>715</v>
      </c>
      <c r="AQ5" s="165">
        <v>773</v>
      </c>
      <c r="AR5" s="158"/>
      <c r="AS5" s="165">
        <v>22</v>
      </c>
      <c r="AT5" s="165">
        <v>10</v>
      </c>
      <c r="AU5" s="165">
        <v>47</v>
      </c>
      <c r="AV5" s="165">
        <v>187</v>
      </c>
      <c r="AW5" s="165">
        <v>2535</v>
      </c>
      <c r="AX5" s="165">
        <v>89</v>
      </c>
      <c r="AY5" s="165" t="s">
        <v>239</v>
      </c>
      <c r="AZ5" s="165">
        <v>159</v>
      </c>
      <c r="BA5" s="165">
        <v>99</v>
      </c>
      <c r="BB5" s="165">
        <v>55</v>
      </c>
      <c r="BC5" s="165">
        <v>1432</v>
      </c>
      <c r="BD5" s="165">
        <v>77</v>
      </c>
      <c r="BE5" s="165">
        <v>5</v>
      </c>
      <c r="BF5" s="165">
        <v>11</v>
      </c>
      <c r="BG5" s="158"/>
      <c r="BH5" s="165">
        <v>2773</v>
      </c>
      <c r="BI5" s="165">
        <v>1087</v>
      </c>
      <c r="BJ5" s="165">
        <v>595</v>
      </c>
      <c r="BK5" s="165">
        <v>110</v>
      </c>
      <c r="BL5" s="158"/>
      <c r="BM5" s="165">
        <v>764</v>
      </c>
      <c r="BN5" s="165">
        <v>1235</v>
      </c>
      <c r="BO5" s="165">
        <v>132</v>
      </c>
      <c r="BP5" s="165">
        <v>2149</v>
      </c>
      <c r="BQ5" s="165">
        <v>297</v>
      </c>
      <c r="BR5" s="158"/>
      <c r="BS5" s="165" t="s">
        <v>239</v>
      </c>
      <c r="BT5" s="165" t="s">
        <v>239</v>
      </c>
      <c r="BU5" s="165" t="s">
        <v>239</v>
      </c>
      <c r="BV5" s="165" t="s">
        <v>239</v>
      </c>
    </row>
    <row r="6" spans="1:74">
      <c r="A6" s="166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2" t="s">
        <v>240</v>
      </c>
      <c r="B7" s="203"/>
      <c r="C7" s="204"/>
      <c r="D7" s="167">
        <v>85.93</v>
      </c>
      <c r="E7" s="167">
        <v>82.67</v>
      </c>
      <c r="F7" s="167">
        <v>89.46</v>
      </c>
      <c r="G7" s="167">
        <v>79.150000000000006</v>
      </c>
      <c r="H7" s="168">
        <v>3.2600000000000051</v>
      </c>
      <c r="I7" s="168">
        <v>-3.5299999999999869</v>
      </c>
      <c r="J7" s="168">
        <v>6.7800000000000011</v>
      </c>
      <c r="K7" s="158"/>
      <c r="L7" s="167">
        <v>90.45</v>
      </c>
      <c r="M7" s="167">
        <v>86.08</v>
      </c>
      <c r="N7" s="167">
        <v>84.35</v>
      </c>
      <c r="O7" s="167">
        <v>87.74</v>
      </c>
      <c r="P7" s="167">
        <v>90.43</v>
      </c>
      <c r="Q7" s="158"/>
      <c r="R7" s="167">
        <v>86.53</v>
      </c>
      <c r="S7" s="167">
        <v>86.24</v>
      </c>
      <c r="T7" s="158"/>
      <c r="U7" s="167">
        <v>76.19</v>
      </c>
      <c r="V7" s="167">
        <v>87.14</v>
      </c>
      <c r="W7" s="167">
        <v>86.86</v>
      </c>
      <c r="X7" s="167">
        <v>85.18</v>
      </c>
      <c r="Y7" s="167">
        <v>87.05</v>
      </c>
      <c r="Z7" s="158"/>
      <c r="AA7" s="167">
        <v>93.53</v>
      </c>
      <c r="AB7" s="167">
        <v>91.83</v>
      </c>
      <c r="AC7" s="167">
        <v>88.97</v>
      </c>
      <c r="AD7" s="167">
        <v>83.86</v>
      </c>
      <c r="AE7" s="167">
        <v>84.1</v>
      </c>
      <c r="AF7" s="167">
        <v>78.73</v>
      </c>
      <c r="AG7" s="167">
        <v>86.35</v>
      </c>
      <c r="AH7" s="167">
        <v>87.52</v>
      </c>
      <c r="AI7" s="167">
        <v>90.4</v>
      </c>
      <c r="AJ7" s="167">
        <v>79.88</v>
      </c>
      <c r="AK7" s="158"/>
      <c r="AL7" s="167">
        <v>91.75</v>
      </c>
      <c r="AM7" s="167">
        <v>87.14</v>
      </c>
      <c r="AN7" s="167">
        <v>84.41</v>
      </c>
      <c r="AO7" s="167">
        <v>79.94</v>
      </c>
      <c r="AP7" s="167">
        <v>87.42</v>
      </c>
      <c r="AQ7" s="167">
        <v>88.24</v>
      </c>
      <c r="AR7" s="158"/>
      <c r="AS7" s="167">
        <v>70.28</v>
      </c>
      <c r="AT7" s="167">
        <v>93.52</v>
      </c>
      <c r="AU7" s="167">
        <v>81.7</v>
      </c>
      <c r="AV7" s="167">
        <v>85.8</v>
      </c>
      <c r="AW7" s="167">
        <v>86.78</v>
      </c>
      <c r="AX7" s="167">
        <v>83.81</v>
      </c>
      <c r="AY7" s="167">
        <v>96.24</v>
      </c>
      <c r="AZ7" s="167">
        <v>90.49</v>
      </c>
      <c r="BA7" s="167">
        <v>78.42</v>
      </c>
      <c r="BB7" s="167">
        <v>89.17</v>
      </c>
      <c r="BC7" s="167">
        <v>84.63</v>
      </c>
      <c r="BD7" s="167">
        <v>81.78</v>
      </c>
      <c r="BE7" s="167" t="s">
        <v>241</v>
      </c>
      <c r="BF7" s="167">
        <v>97.14</v>
      </c>
      <c r="BG7" s="158"/>
      <c r="BH7" s="167">
        <v>92.06</v>
      </c>
      <c r="BI7" s="167">
        <v>82.99</v>
      </c>
      <c r="BJ7" s="167">
        <v>73.010000000000005</v>
      </c>
      <c r="BK7" s="167">
        <v>58.22</v>
      </c>
      <c r="BL7" s="158"/>
      <c r="BM7" s="167">
        <v>88.46</v>
      </c>
      <c r="BN7" s="167">
        <v>81.81</v>
      </c>
      <c r="BO7" s="167">
        <v>69.47</v>
      </c>
      <c r="BP7" s="167">
        <v>90.75</v>
      </c>
      <c r="BQ7" s="167">
        <v>71.900000000000006</v>
      </c>
      <c r="BR7" s="158"/>
      <c r="BS7" s="167">
        <v>93.66</v>
      </c>
      <c r="BT7" s="167">
        <v>88.03</v>
      </c>
      <c r="BU7" s="167">
        <v>82.62</v>
      </c>
      <c r="BV7" s="167">
        <v>65.010000000000005</v>
      </c>
    </row>
    <row r="8" spans="1:74">
      <c r="A8" s="205" t="s">
        <v>242</v>
      </c>
      <c r="B8" s="206"/>
      <c r="C8" s="207"/>
      <c r="D8" s="167">
        <v>81.56</v>
      </c>
      <c r="E8" s="167">
        <v>77.59</v>
      </c>
      <c r="F8" s="167">
        <v>88.6</v>
      </c>
      <c r="G8" s="167">
        <v>77.23</v>
      </c>
      <c r="H8" s="168">
        <v>3.9699999999999989</v>
      </c>
      <c r="I8" s="168">
        <v>-7.039999999999992</v>
      </c>
      <c r="J8" s="168">
        <v>4.3299999999999983</v>
      </c>
      <c r="K8" s="158"/>
      <c r="L8" s="167">
        <v>84.9</v>
      </c>
      <c r="M8" s="167">
        <v>80.59</v>
      </c>
      <c r="N8" s="167">
        <v>81</v>
      </c>
      <c r="O8" s="167">
        <v>84.36</v>
      </c>
      <c r="P8" s="167">
        <v>87.34</v>
      </c>
      <c r="Q8" s="158"/>
      <c r="R8" s="167">
        <v>82.52</v>
      </c>
      <c r="S8" s="167">
        <v>81.34</v>
      </c>
      <c r="T8" s="158"/>
      <c r="U8" s="167">
        <v>78.209999999999994</v>
      </c>
      <c r="V8" s="167">
        <v>80.63</v>
      </c>
      <c r="W8" s="167">
        <v>81.92</v>
      </c>
      <c r="X8" s="167">
        <v>81.260000000000005</v>
      </c>
      <c r="Y8" s="167">
        <v>85.26</v>
      </c>
      <c r="Z8" s="158"/>
      <c r="AA8" s="167">
        <v>93.66</v>
      </c>
      <c r="AB8" s="167">
        <v>89.43</v>
      </c>
      <c r="AC8" s="167">
        <v>85.92</v>
      </c>
      <c r="AD8" s="167">
        <v>81.99</v>
      </c>
      <c r="AE8" s="167">
        <v>79.41</v>
      </c>
      <c r="AF8" s="167">
        <v>74.709999999999994</v>
      </c>
      <c r="AG8" s="167">
        <v>79.209999999999994</v>
      </c>
      <c r="AH8" s="167">
        <v>81.94</v>
      </c>
      <c r="AI8" s="167">
        <v>82.09</v>
      </c>
      <c r="AJ8" s="167">
        <v>80.540000000000006</v>
      </c>
      <c r="AK8" s="158"/>
      <c r="AL8" s="167">
        <v>87.01</v>
      </c>
      <c r="AM8" s="167">
        <v>82.15</v>
      </c>
      <c r="AN8" s="167">
        <v>78.97</v>
      </c>
      <c r="AO8" s="167">
        <v>76.930000000000007</v>
      </c>
      <c r="AP8" s="167">
        <v>83.93</v>
      </c>
      <c r="AQ8" s="167">
        <v>84.79</v>
      </c>
      <c r="AR8" s="158"/>
      <c r="AS8" s="167">
        <v>62.23</v>
      </c>
      <c r="AT8" s="167">
        <v>94.29</v>
      </c>
      <c r="AU8" s="167">
        <v>80.44</v>
      </c>
      <c r="AV8" s="167">
        <v>83.68</v>
      </c>
      <c r="AW8" s="167">
        <v>81.459999999999994</v>
      </c>
      <c r="AX8" s="167">
        <v>84.28</v>
      </c>
      <c r="AY8" s="167">
        <v>91.48</v>
      </c>
      <c r="AZ8" s="167">
        <v>90.16</v>
      </c>
      <c r="BA8" s="167">
        <v>79.81</v>
      </c>
      <c r="BB8" s="167">
        <v>87.3</v>
      </c>
      <c r="BC8" s="167">
        <v>79.87</v>
      </c>
      <c r="BD8" s="167">
        <v>83.85</v>
      </c>
      <c r="BE8" s="167" t="s">
        <v>241</v>
      </c>
      <c r="BF8" s="167">
        <v>95.38</v>
      </c>
      <c r="BG8" s="158"/>
      <c r="BH8" s="167">
        <v>87.65</v>
      </c>
      <c r="BI8" s="167">
        <v>78.34</v>
      </c>
      <c r="BJ8" s="167">
        <v>69.09</v>
      </c>
      <c r="BK8" s="167">
        <v>54.71</v>
      </c>
      <c r="BL8" s="158"/>
      <c r="BM8" s="167">
        <v>84.45</v>
      </c>
      <c r="BN8" s="167">
        <v>75.67</v>
      </c>
      <c r="BO8" s="167">
        <v>62.34</v>
      </c>
      <c r="BP8" s="167">
        <v>87.24</v>
      </c>
      <c r="BQ8" s="167">
        <v>66.099999999999994</v>
      </c>
      <c r="BR8" s="158"/>
      <c r="BS8" s="167">
        <v>89.83</v>
      </c>
      <c r="BT8" s="167">
        <v>83.54</v>
      </c>
      <c r="BU8" s="167">
        <v>77.73</v>
      </c>
      <c r="BV8" s="167">
        <v>61.02</v>
      </c>
    </row>
    <row r="9" spans="1:74">
      <c r="A9" s="208" t="s">
        <v>243</v>
      </c>
      <c r="B9" s="209"/>
      <c r="C9" s="210"/>
      <c r="D9" s="167">
        <v>77.78</v>
      </c>
      <c r="E9" s="167">
        <v>73.56</v>
      </c>
      <c r="F9" s="167">
        <v>84.91</v>
      </c>
      <c r="G9" s="167">
        <v>75.44</v>
      </c>
      <c r="H9" s="168">
        <v>4.2199999999999989</v>
      </c>
      <c r="I9" s="168">
        <v>-7.1299999999999955</v>
      </c>
      <c r="J9" s="168">
        <v>2.3400000000000034</v>
      </c>
      <c r="K9" s="158"/>
      <c r="L9" s="167">
        <v>85.2</v>
      </c>
      <c r="M9" s="167">
        <v>77.400000000000006</v>
      </c>
      <c r="N9" s="167">
        <v>75.959999999999994</v>
      </c>
      <c r="O9" s="167">
        <v>79.81</v>
      </c>
      <c r="P9" s="167">
        <v>83.12</v>
      </c>
      <c r="Q9" s="158"/>
      <c r="R9" s="167">
        <v>78.27</v>
      </c>
      <c r="S9" s="167">
        <v>78.02</v>
      </c>
      <c r="T9" s="158"/>
      <c r="U9" s="167">
        <v>80.489999999999995</v>
      </c>
      <c r="V9" s="167">
        <v>78.47</v>
      </c>
      <c r="W9" s="167">
        <v>78.739999999999995</v>
      </c>
      <c r="X9" s="167">
        <v>76.790000000000006</v>
      </c>
      <c r="Y9" s="167">
        <v>79.03</v>
      </c>
      <c r="Z9" s="158"/>
      <c r="AA9" s="167">
        <v>87.16</v>
      </c>
      <c r="AB9" s="167">
        <v>83.33</v>
      </c>
      <c r="AC9" s="167">
        <v>81.790000000000006</v>
      </c>
      <c r="AD9" s="167">
        <v>75.37</v>
      </c>
      <c r="AE9" s="167">
        <v>74.319999999999993</v>
      </c>
      <c r="AF9" s="167">
        <v>69.97</v>
      </c>
      <c r="AG9" s="167">
        <v>77.64</v>
      </c>
      <c r="AH9" s="167">
        <v>79.180000000000007</v>
      </c>
      <c r="AI9" s="167">
        <v>83.27</v>
      </c>
      <c r="AJ9" s="167">
        <v>72.260000000000005</v>
      </c>
      <c r="AK9" s="158"/>
      <c r="AL9" s="167">
        <v>87.17</v>
      </c>
      <c r="AM9" s="167">
        <v>79.760000000000005</v>
      </c>
      <c r="AN9" s="167">
        <v>74.66</v>
      </c>
      <c r="AO9" s="167">
        <v>72.42</v>
      </c>
      <c r="AP9" s="167">
        <v>77.63</v>
      </c>
      <c r="AQ9" s="167">
        <v>80.38</v>
      </c>
      <c r="AR9" s="158"/>
      <c r="AS9" s="167">
        <v>67.959999999999994</v>
      </c>
      <c r="AT9" s="167">
        <v>91.07</v>
      </c>
      <c r="AU9" s="167">
        <v>74.040000000000006</v>
      </c>
      <c r="AV9" s="167">
        <v>74.45</v>
      </c>
      <c r="AW9" s="167">
        <v>78.72</v>
      </c>
      <c r="AX9" s="167">
        <v>76.58</v>
      </c>
      <c r="AY9" s="167">
        <v>81.349999999999994</v>
      </c>
      <c r="AZ9" s="167">
        <v>80.63</v>
      </c>
      <c r="BA9" s="167">
        <v>70.56</v>
      </c>
      <c r="BB9" s="167">
        <v>81.760000000000005</v>
      </c>
      <c r="BC9" s="167">
        <v>76.849999999999994</v>
      </c>
      <c r="BD9" s="167">
        <v>73.540000000000006</v>
      </c>
      <c r="BE9" s="167" t="s">
        <v>241</v>
      </c>
      <c r="BF9" s="167">
        <v>85</v>
      </c>
      <c r="BG9" s="158"/>
      <c r="BH9" s="167">
        <v>83.2</v>
      </c>
      <c r="BI9" s="167">
        <v>74.31</v>
      </c>
      <c r="BJ9" s="167">
        <v>66.7</v>
      </c>
      <c r="BK9" s="167">
        <v>56.94</v>
      </c>
      <c r="BL9" s="158"/>
      <c r="BM9" s="167">
        <v>79.25</v>
      </c>
      <c r="BN9" s="167">
        <v>73.47</v>
      </c>
      <c r="BO9" s="167">
        <v>59.43</v>
      </c>
      <c r="BP9" s="167">
        <v>82.97</v>
      </c>
      <c r="BQ9" s="167">
        <v>62.41</v>
      </c>
      <c r="BR9" s="158"/>
      <c r="BS9" s="167">
        <v>85.29</v>
      </c>
      <c r="BT9" s="167">
        <v>79.36</v>
      </c>
      <c r="BU9" s="167">
        <v>73.209999999999994</v>
      </c>
      <c r="BV9" s="167">
        <v>61.49</v>
      </c>
    </row>
    <row r="10" spans="1:74">
      <c r="A10" s="211" t="s">
        <v>244</v>
      </c>
      <c r="B10" s="212"/>
      <c r="C10" s="213"/>
      <c r="D10" s="167">
        <v>83.3</v>
      </c>
      <c r="E10" s="167">
        <v>78.540000000000006</v>
      </c>
      <c r="F10" s="167">
        <v>90.36</v>
      </c>
      <c r="G10" s="167">
        <v>80.28</v>
      </c>
      <c r="H10" s="168">
        <v>4.7599999999999909</v>
      </c>
      <c r="I10" s="168">
        <v>-7.0600000000000023</v>
      </c>
      <c r="J10" s="168">
        <v>3.019999999999996</v>
      </c>
      <c r="K10" s="158"/>
      <c r="L10" s="167">
        <v>83.54</v>
      </c>
      <c r="M10" s="167">
        <v>81.03</v>
      </c>
      <c r="N10" s="167">
        <v>83.26</v>
      </c>
      <c r="O10" s="167">
        <v>88.56</v>
      </c>
      <c r="P10" s="167">
        <v>91.07</v>
      </c>
      <c r="Q10" s="158"/>
      <c r="R10" s="167">
        <v>83.68</v>
      </c>
      <c r="S10" s="167">
        <v>83.52</v>
      </c>
      <c r="T10" s="158"/>
      <c r="U10" s="167">
        <v>84.38</v>
      </c>
      <c r="V10" s="167">
        <v>84.66</v>
      </c>
      <c r="W10" s="167">
        <v>83.78</v>
      </c>
      <c r="X10" s="167">
        <v>82.02</v>
      </c>
      <c r="Y10" s="167">
        <v>86.82</v>
      </c>
      <c r="Z10" s="158"/>
      <c r="AA10" s="167">
        <v>94.93</v>
      </c>
      <c r="AB10" s="167">
        <v>92.27</v>
      </c>
      <c r="AC10" s="167">
        <v>89.09</v>
      </c>
      <c r="AD10" s="167">
        <v>82.97</v>
      </c>
      <c r="AE10" s="167">
        <v>81.58</v>
      </c>
      <c r="AF10" s="167">
        <v>76.73</v>
      </c>
      <c r="AG10" s="167">
        <v>80.61</v>
      </c>
      <c r="AH10" s="167">
        <v>83.49</v>
      </c>
      <c r="AI10" s="167">
        <v>80.66</v>
      </c>
      <c r="AJ10" s="167">
        <v>76.23</v>
      </c>
      <c r="AK10" s="158"/>
      <c r="AL10" s="167">
        <v>86.67</v>
      </c>
      <c r="AM10" s="167">
        <v>82.73</v>
      </c>
      <c r="AN10" s="167">
        <v>79.88</v>
      </c>
      <c r="AO10" s="167">
        <v>80.069999999999993</v>
      </c>
      <c r="AP10" s="167">
        <v>86.61</v>
      </c>
      <c r="AQ10" s="167">
        <v>88.62</v>
      </c>
      <c r="AR10" s="158"/>
      <c r="AS10" s="167">
        <v>72.989999999999995</v>
      </c>
      <c r="AT10" s="167">
        <v>99.04</v>
      </c>
      <c r="AU10" s="167">
        <v>80</v>
      </c>
      <c r="AV10" s="167">
        <v>84.75</v>
      </c>
      <c r="AW10" s="167">
        <v>83.95</v>
      </c>
      <c r="AX10" s="167">
        <v>89.61</v>
      </c>
      <c r="AY10" s="167">
        <v>93.45</v>
      </c>
      <c r="AZ10" s="167">
        <v>88.73</v>
      </c>
      <c r="BA10" s="167">
        <v>76.319999999999993</v>
      </c>
      <c r="BB10" s="167">
        <v>90.11</v>
      </c>
      <c r="BC10" s="167">
        <v>80.97</v>
      </c>
      <c r="BD10" s="167">
        <v>81.84</v>
      </c>
      <c r="BE10" s="167" t="s">
        <v>241</v>
      </c>
      <c r="BF10" s="167">
        <v>96.25</v>
      </c>
      <c r="BG10" s="158"/>
      <c r="BH10" s="167">
        <v>87.6</v>
      </c>
      <c r="BI10" s="167">
        <v>81.8</v>
      </c>
      <c r="BJ10" s="167">
        <v>71.7</v>
      </c>
      <c r="BK10" s="167">
        <v>66.19</v>
      </c>
      <c r="BL10" s="158"/>
      <c r="BM10" s="167">
        <v>84.85</v>
      </c>
      <c r="BN10" s="167">
        <v>75.930000000000007</v>
      </c>
      <c r="BO10" s="167">
        <v>67.13</v>
      </c>
      <c r="BP10" s="167">
        <v>89.76</v>
      </c>
      <c r="BQ10" s="167">
        <v>66.989999999999995</v>
      </c>
      <c r="BR10" s="158"/>
      <c r="BS10" s="167">
        <v>89.45</v>
      </c>
      <c r="BT10" s="167">
        <v>84.49</v>
      </c>
      <c r="BU10" s="167">
        <v>80.319999999999993</v>
      </c>
      <c r="BV10" s="167">
        <v>67.36</v>
      </c>
    </row>
    <row r="11" spans="1:74">
      <c r="A11" s="214" t="s">
        <v>245</v>
      </c>
      <c r="B11" s="215"/>
      <c r="C11" s="216"/>
      <c r="D11" s="167">
        <v>86.19</v>
      </c>
      <c r="E11" s="167">
        <v>81.86</v>
      </c>
      <c r="F11" s="167">
        <v>92.63</v>
      </c>
      <c r="G11" s="167">
        <v>83.31</v>
      </c>
      <c r="H11" s="168">
        <v>4.3299999999999983</v>
      </c>
      <c r="I11" s="168">
        <v>-6.4399999999999977</v>
      </c>
      <c r="J11" s="168">
        <v>2.8799999999999955</v>
      </c>
      <c r="K11" s="158"/>
      <c r="L11" s="167">
        <v>90.58</v>
      </c>
      <c r="M11" s="167">
        <v>85.89</v>
      </c>
      <c r="N11" s="167">
        <v>85.08</v>
      </c>
      <c r="O11" s="167">
        <v>88.42</v>
      </c>
      <c r="P11" s="167">
        <v>90.24</v>
      </c>
      <c r="Q11" s="158"/>
      <c r="R11" s="167">
        <v>86.39</v>
      </c>
      <c r="S11" s="167">
        <v>86.83</v>
      </c>
      <c r="T11" s="158"/>
      <c r="U11" s="167">
        <v>78.33</v>
      </c>
      <c r="V11" s="167">
        <v>85.6</v>
      </c>
      <c r="W11" s="167">
        <v>86.75</v>
      </c>
      <c r="X11" s="167">
        <v>85.69</v>
      </c>
      <c r="Y11" s="167">
        <v>89.35</v>
      </c>
      <c r="Z11" s="158"/>
      <c r="AA11" s="167">
        <v>94.86</v>
      </c>
      <c r="AB11" s="167">
        <v>92.88</v>
      </c>
      <c r="AC11" s="167">
        <v>90.23</v>
      </c>
      <c r="AD11" s="167">
        <v>86.42</v>
      </c>
      <c r="AE11" s="167">
        <v>83.34</v>
      </c>
      <c r="AF11" s="167">
        <v>79.400000000000006</v>
      </c>
      <c r="AG11" s="167">
        <v>84.13</v>
      </c>
      <c r="AH11" s="167">
        <v>86.8</v>
      </c>
      <c r="AI11" s="167">
        <v>89.26</v>
      </c>
      <c r="AJ11" s="167">
        <v>80.28</v>
      </c>
      <c r="AK11" s="158"/>
      <c r="AL11" s="167">
        <v>91.77</v>
      </c>
      <c r="AM11" s="167">
        <v>87.67</v>
      </c>
      <c r="AN11" s="167">
        <v>83.75</v>
      </c>
      <c r="AO11" s="167">
        <v>81.36</v>
      </c>
      <c r="AP11" s="167">
        <v>88.32</v>
      </c>
      <c r="AQ11" s="167">
        <v>88.26</v>
      </c>
      <c r="AR11" s="158"/>
      <c r="AS11" s="167">
        <v>60.71</v>
      </c>
      <c r="AT11" s="167">
        <v>98.57</v>
      </c>
      <c r="AU11" s="167">
        <v>79.77</v>
      </c>
      <c r="AV11" s="167">
        <v>87.66</v>
      </c>
      <c r="AW11" s="167">
        <v>86.3</v>
      </c>
      <c r="AX11" s="167">
        <v>90.11</v>
      </c>
      <c r="AY11" s="167">
        <v>93.76</v>
      </c>
      <c r="AZ11" s="167">
        <v>92.57</v>
      </c>
      <c r="BA11" s="167">
        <v>79.37</v>
      </c>
      <c r="BB11" s="167">
        <v>91.39</v>
      </c>
      <c r="BC11" s="167">
        <v>85.14</v>
      </c>
      <c r="BD11" s="167">
        <v>86.85</v>
      </c>
      <c r="BE11" s="167" t="s">
        <v>241</v>
      </c>
      <c r="BF11" s="167">
        <v>91</v>
      </c>
      <c r="BG11" s="158"/>
      <c r="BH11" s="167">
        <v>90.98</v>
      </c>
      <c r="BI11" s="167">
        <v>84.03</v>
      </c>
      <c r="BJ11" s="167">
        <v>75.88</v>
      </c>
      <c r="BK11" s="167">
        <v>65.92</v>
      </c>
      <c r="BL11" s="158"/>
      <c r="BM11" s="167">
        <v>88.44</v>
      </c>
      <c r="BN11" s="167">
        <v>81.05</v>
      </c>
      <c r="BO11" s="167">
        <v>68.94</v>
      </c>
      <c r="BP11" s="167">
        <v>91.63</v>
      </c>
      <c r="BQ11" s="167">
        <v>70.739999999999995</v>
      </c>
      <c r="BR11" s="158"/>
      <c r="BS11" s="167">
        <v>93.27</v>
      </c>
      <c r="BT11" s="167">
        <v>88.22</v>
      </c>
      <c r="BU11" s="167">
        <v>84</v>
      </c>
      <c r="BV11" s="167">
        <v>70.72</v>
      </c>
    </row>
    <row r="12" spans="1:74">
      <c r="A12" s="169" t="s">
        <v>382</v>
      </c>
      <c r="B12" s="114">
        <v>58</v>
      </c>
      <c r="C12" s="115" t="s">
        <v>246</v>
      </c>
      <c r="D12" s="170">
        <v>84.08</v>
      </c>
      <c r="E12" s="170">
        <v>79.319999999999993</v>
      </c>
      <c r="F12" s="170">
        <v>91.62</v>
      </c>
      <c r="G12" s="170">
        <v>82.28</v>
      </c>
      <c r="H12" s="171">
        <v>4.7600000000000051</v>
      </c>
      <c r="I12" s="171">
        <v>-7.5400000000000063</v>
      </c>
      <c r="J12" s="171">
        <v>1.7999999999999972</v>
      </c>
      <c r="K12" s="158"/>
      <c r="L12" s="170">
        <v>87.33</v>
      </c>
      <c r="M12" s="170">
        <v>82.4</v>
      </c>
      <c r="N12" s="170">
        <v>83.7</v>
      </c>
      <c r="O12" s="170">
        <v>87.89</v>
      </c>
      <c r="P12" s="170">
        <v>93.55</v>
      </c>
      <c r="Q12" s="158"/>
      <c r="R12" s="170">
        <v>85.32</v>
      </c>
      <c r="S12" s="170">
        <v>83.78</v>
      </c>
      <c r="T12" s="158"/>
      <c r="U12" s="170">
        <v>75</v>
      </c>
      <c r="V12" s="170">
        <v>86.11</v>
      </c>
      <c r="W12" s="170">
        <v>84.66</v>
      </c>
      <c r="X12" s="170">
        <v>82.38</v>
      </c>
      <c r="Y12" s="170">
        <v>89.58</v>
      </c>
      <c r="Z12" s="158"/>
      <c r="AA12" s="170">
        <v>98.65</v>
      </c>
      <c r="AB12" s="170">
        <v>94.24</v>
      </c>
      <c r="AC12" s="170">
        <v>89.27</v>
      </c>
      <c r="AD12" s="170">
        <v>85.34</v>
      </c>
      <c r="AE12" s="170">
        <v>81.61</v>
      </c>
      <c r="AF12" s="170">
        <v>80</v>
      </c>
      <c r="AG12" s="170">
        <v>81.459999999999994</v>
      </c>
      <c r="AH12" s="170">
        <v>82.78</v>
      </c>
      <c r="AI12" s="170">
        <v>82.83</v>
      </c>
      <c r="AJ12" s="170">
        <v>76.19</v>
      </c>
      <c r="AK12" s="158"/>
      <c r="AL12" s="170">
        <v>90.59</v>
      </c>
      <c r="AM12" s="170">
        <v>84.53</v>
      </c>
      <c r="AN12" s="170">
        <v>80.75</v>
      </c>
      <c r="AO12" s="170">
        <v>79.08</v>
      </c>
      <c r="AP12" s="170">
        <v>86.71</v>
      </c>
      <c r="AQ12" s="170">
        <v>89.28</v>
      </c>
      <c r="AR12" s="158"/>
      <c r="AS12" s="170">
        <v>75</v>
      </c>
      <c r="AT12" s="170">
        <v>100</v>
      </c>
      <c r="AU12" s="170">
        <v>75.61</v>
      </c>
      <c r="AV12" s="170">
        <v>86.36</v>
      </c>
      <c r="AW12" s="170">
        <v>83.41</v>
      </c>
      <c r="AX12" s="170">
        <v>91.58</v>
      </c>
      <c r="AY12" s="170">
        <v>100</v>
      </c>
      <c r="AZ12" s="170">
        <v>91.12</v>
      </c>
      <c r="BA12" s="170">
        <v>81.37</v>
      </c>
      <c r="BB12" s="170">
        <v>91.53</v>
      </c>
      <c r="BC12" s="170">
        <v>83.23</v>
      </c>
      <c r="BD12" s="170">
        <v>87.67</v>
      </c>
      <c r="BE12" s="170" t="s">
        <v>241</v>
      </c>
      <c r="BF12" s="170">
        <v>100</v>
      </c>
      <c r="BG12" s="158"/>
      <c r="BH12" s="170">
        <v>89.51</v>
      </c>
      <c r="BI12" s="170">
        <v>82.26</v>
      </c>
      <c r="BJ12" s="170">
        <v>70.599999999999994</v>
      </c>
      <c r="BK12" s="170">
        <v>68.099999999999994</v>
      </c>
      <c r="BL12" s="158"/>
      <c r="BM12" s="170">
        <v>87.3</v>
      </c>
      <c r="BN12" s="170">
        <v>77.290000000000006</v>
      </c>
      <c r="BO12" s="170">
        <v>65.349999999999994</v>
      </c>
      <c r="BP12" s="170">
        <v>91.62</v>
      </c>
      <c r="BQ12" s="170">
        <v>61.47</v>
      </c>
      <c r="BR12" s="158"/>
      <c r="BS12" s="170">
        <v>93.54</v>
      </c>
      <c r="BT12" s="170">
        <v>87.99</v>
      </c>
      <c r="BU12" s="170">
        <v>81.739999999999995</v>
      </c>
      <c r="BV12" s="170">
        <v>63.29</v>
      </c>
    </row>
    <row r="13" spans="1:74">
      <c r="A13" s="220" t="s">
        <v>247</v>
      </c>
      <c r="B13" s="221"/>
      <c r="C13" s="222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8"/>
      <c r="R13" s="26">
        <v>83.48</v>
      </c>
      <c r="S13" s="26">
        <v>83.12</v>
      </c>
      <c r="T13" s="15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241</v>
      </c>
      <c r="BF13" s="26">
        <v>93.1</v>
      </c>
      <c r="BG13" s="15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8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3"/>
      <c r="B14" s="163"/>
      <c r="C14" s="164" t="s">
        <v>383</v>
      </c>
      <c r="D14" s="172">
        <v>78.88</v>
      </c>
      <c r="E14" s="172">
        <v>73.930000000000007</v>
      </c>
      <c r="F14" s="172"/>
      <c r="G14" s="172"/>
      <c r="H14" s="172"/>
      <c r="I14" s="172"/>
      <c r="J14" s="172"/>
      <c r="K14" s="173"/>
      <c r="L14" s="172">
        <v>82.41</v>
      </c>
      <c r="M14" s="172">
        <v>77.44</v>
      </c>
      <c r="N14" s="172">
        <v>78.069999999999993</v>
      </c>
      <c r="O14" s="172">
        <v>82.57</v>
      </c>
      <c r="P14" s="172">
        <v>86.36</v>
      </c>
      <c r="Q14" s="173"/>
      <c r="R14" s="172">
        <v>79.62</v>
      </c>
      <c r="S14" s="172">
        <v>78.790000000000006</v>
      </c>
      <c r="T14" s="173"/>
      <c r="U14" s="172">
        <v>68.069999999999993</v>
      </c>
      <c r="V14" s="172">
        <v>79.69</v>
      </c>
      <c r="W14" s="172">
        <v>79.13</v>
      </c>
      <c r="X14" s="172">
        <v>78.17</v>
      </c>
      <c r="Y14" s="172">
        <v>82.9</v>
      </c>
      <c r="Z14" s="173"/>
      <c r="AA14" s="172">
        <v>91.91</v>
      </c>
      <c r="AB14" s="172">
        <v>88.05</v>
      </c>
      <c r="AC14" s="172">
        <v>86.33</v>
      </c>
      <c r="AD14" s="172">
        <v>77.510000000000005</v>
      </c>
      <c r="AE14" s="172">
        <v>73.2</v>
      </c>
      <c r="AF14" s="172">
        <v>71.02</v>
      </c>
      <c r="AG14" s="172">
        <v>74.760000000000005</v>
      </c>
      <c r="AH14" s="172">
        <v>80.2</v>
      </c>
      <c r="AI14" s="172">
        <v>80.39</v>
      </c>
      <c r="AJ14" s="172" t="s">
        <v>241</v>
      </c>
      <c r="AK14" s="173"/>
      <c r="AL14" s="172">
        <v>83.99</v>
      </c>
      <c r="AM14" s="172">
        <v>78.19</v>
      </c>
      <c r="AN14" s="172">
        <v>76.42</v>
      </c>
      <c r="AO14" s="172">
        <v>76.36</v>
      </c>
      <c r="AP14" s="172">
        <v>80.75</v>
      </c>
      <c r="AQ14" s="172">
        <v>84.02</v>
      </c>
      <c r="AR14" s="173"/>
      <c r="AS14" s="172">
        <v>71.709999999999994</v>
      </c>
      <c r="AT14" s="172">
        <v>94.66</v>
      </c>
      <c r="AU14" s="172">
        <v>78.58</v>
      </c>
      <c r="AV14" s="172">
        <v>74.38</v>
      </c>
      <c r="AW14" s="172">
        <v>80.41</v>
      </c>
      <c r="AX14" s="172">
        <v>84.16</v>
      </c>
      <c r="AY14" s="172" t="s">
        <v>241</v>
      </c>
      <c r="AZ14" s="172">
        <v>87.49</v>
      </c>
      <c r="BA14" s="172">
        <v>80.099999999999994</v>
      </c>
      <c r="BB14" s="172">
        <v>77.22</v>
      </c>
      <c r="BC14" s="172">
        <v>75.45</v>
      </c>
      <c r="BD14" s="172">
        <v>82.2</v>
      </c>
      <c r="BE14" s="172" t="s">
        <v>241</v>
      </c>
      <c r="BF14" s="172">
        <v>91.82</v>
      </c>
      <c r="BG14" s="173"/>
      <c r="BH14" s="172">
        <v>84.86</v>
      </c>
      <c r="BI14" s="172">
        <v>74.510000000000005</v>
      </c>
      <c r="BJ14" s="172">
        <v>66.599999999999994</v>
      </c>
      <c r="BK14" s="172">
        <v>55.18</v>
      </c>
      <c r="BL14" s="173"/>
      <c r="BM14" s="172">
        <v>80.739999999999995</v>
      </c>
      <c r="BN14" s="172">
        <v>74.11</v>
      </c>
      <c r="BO14" s="172">
        <v>60.51</v>
      </c>
      <c r="BP14" s="172">
        <v>85.59</v>
      </c>
      <c r="BQ14" s="172">
        <v>59.82</v>
      </c>
      <c r="BR14" s="173"/>
      <c r="BS14" s="172" t="s">
        <v>241</v>
      </c>
      <c r="BT14" s="172" t="s">
        <v>241</v>
      </c>
      <c r="BU14" s="172" t="s">
        <v>241</v>
      </c>
      <c r="BV14" s="172" t="s">
        <v>241</v>
      </c>
    </row>
    <row r="16" spans="1:74">
      <c r="A16" s="110"/>
      <c r="B16" s="110"/>
      <c r="C16" s="111" t="s">
        <v>384</v>
      </c>
      <c r="D16" s="112"/>
      <c r="E16" s="112"/>
      <c r="F16" s="112"/>
      <c r="G16" s="112"/>
      <c r="H16" s="112"/>
      <c r="I16" s="112"/>
      <c r="J16" s="112"/>
      <c r="K16" s="158"/>
      <c r="L16" s="196">
        <f>+SUM(L3:P3)</f>
        <v>4698</v>
      </c>
      <c r="M16" s="197"/>
      <c r="N16" s="197"/>
      <c r="O16" s="197"/>
      <c r="P16" s="198"/>
      <c r="Q16" s="158"/>
      <c r="R16" s="196">
        <f>+SUM(R3:S3)</f>
        <v>4667</v>
      </c>
      <c r="S16" s="198"/>
      <c r="T16" s="158"/>
      <c r="U16" s="196">
        <f>+SUM(U3:Y3)</f>
        <v>4690</v>
      </c>
      <c r="V16" s="197"/>
      <c r="W16" s="197"/>
      <c r="X16" s="197"/>
      <c r="Y16" s="198"/>
      <c r="Z16" s="158"/>
      <c r="AA16" s="196">
        <f>+SUM(AA3:AJ3)</f>
        <v>4649</v>
      </c>
      <c r="AB16" s="197"/>
      <c r="AC16" s="197"/>
      <c r="AD16" s="197"/>
      <c r="AE16" s="197"/>
      <c r="AF16" s="197"/>
      <c r="AG16" s="197"/>
      <c r="AH16" s="197"/>
      <c r="AI16" s="197"/>
      <c r="AJ16" s="198"/>
      <c r="AK16" s="158"/>
      <c r="AL16" s="196">
        <f>+SUM(AL3:AQ3)</f>
        <v>4670</v>
      </c>
      <c r="AM16" s="197"/>
      <c r="AN16" s="197"/>
      <c r="AO16" s="197"/>
      <c r="AP16" s="197"/>
      <c r="AQ16" s="198"/>
      <c r="AR16" s="158"/>
      <c r="AS16" s="196">
        <f>+SUM(AS3:BF3)</f>
        <v>4886</v>
      </c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8"/>
      <c r="BG16" s="158"/>
      <c r="BH16" s="196">
        <f>+SUM(BH3:BK3)</f>
        <v>4149</v>
      </c>
      <c r="BI16" s="197"/>
      <c r="BJ16" s="197"/>
      <c r="BK16" s="198"/>
      <c r="BL16" s="158"/>
      <c r="BM16" s="196">
        <f>+SUM(BM3:BQ3)</f>
        <v>3932</v>
      </c>
      <c r="BN16" s="197"/>
      <c r="BO16" s="197"/>
      <c r="BP16" s="197"/>
      <c r="BQ16" s="198"/>
      <c r="BR16" s="158"/>
      <c r="BS16" s="196">
        <f>+SUM(BS3:BV3)</f>
        <v>1839</v>
      </c>
      <c r="BT16" s="197"/>
      <c r="BU16" s="197"/>
      <c r="BV16" s="198"/>
    </row>
    <row r="17" spans="1:74">
      <c r="A17" s="160"/>
      <c r="B17" s="160"/>
      <c r="C17" s="161" t="s">
        <v>385</v>
      </c>
      <c r="D17" s="162"/>
      <c r="E17" s="162"/>
      <c r="F17" s="162"/>
      <c r="G17" s="162"/>
      <c r="H17" s="162"/>
      <c r="I17" s="162"/>
      <c r="J17" s="162"/>
      <c r="K17" s="158"/>
      <c r="L17" s="174">
        <f>+L3/$L$16</f>
        <v>6.2154108131119629E-2</v>
      </c>
      <c r="M17" s="174">
        <f t="shared" ref="M17:P17" si="0">+M3/$L$16</f>
        <v>0.42486164325244785</v>
      </c>
      <c r="N17" s="174">
        <f t="shared" si="0"/>
        <v>0.30353341847594723</v>
      </c>
      <c r="O17" s="174">
        <f t="shared" si="0"/>
        <v>0.15666240953597274</v>
      </c>
      <c r="P17" s="174">
        <f t="shared" si="0"/>
        <v>5.2788420604512561E-2</v>
      </c>
      <c r="Q17" s="158"/>
      <c r="R17" s="174">
        <f>+R3/$R$16</f>
        <v>0.53053353331904862</v>
      </c>
      <c r="S17" s="174">
        <f>+S3/$R$16</f>
        <v>0.46946646668095138</v>
      </c>
      <c r="T17" s="158"/>
      <c r="U17" s="174">
        <f>+U3/$U$16</f>
        <v>2.5586353944562902E-3</v>
      </c>
      <c r="V17" s="174">
        <f t="shared" ref="V17:Y17" si="1">+V3/$U$16</f>
        <v>7.6759061833688705E-2</v>
      </c>
      <c r="W17" s="174">
        <f t="shared" si="1"/>
        <v>0.48528784648187634</v>
      </c>
      <c r="X17" s="174">
        <f t="shared" si="1"/>
        <v>0.32878464818763325</v>
      </c>
      <c r="Y17" s="174">
        <f t="shared" si="1"/>
        <v>0.10660980810234541</v>
      </c>
      <c r="Z17" s="158"/>
      <c r="AA17" s="174">
        <f>+AA3/$AA$16</f>
        <v>1.5917401591740158E-2</v>
      </c>
      <c r="AB17" s="174">
        <f t="shared" ref="AB17:AJ17" si="2">+AB3/$AA$16</f>
        <v>2.98989029898903E-2</v>
      </c>
      <c r="AC17" s="174">
        <f t="shared" si="2"/>
        <v>0.2105829210582921</v>
      </c>
      <c r="AD17" s="174">
        <f t="shared" si="2"/>
        <v>0.17078941707894171</v>
      </c>
      <c r="AE17" s="174">
        <f t="shared" si="2"/>
        <v>8.3028608302860823E-2</v>
      </c>
      <c r="AF17" s="174">
        <f t="shared" si="2"/>
        <v>9.1632609163260922E-2</v>
      </c>
      <c r="AG17" s="174">
        <f t="shared" si="2"/>
        <v>0.11529361152936116</v>
      </c>
      <c r="AH17" s="174">
        <f t="shared" si="2"/>
        <v>0.18864271886427189</v>
      </c>
      <c r="AI17" s="174">
        <f t="shared" si="2"/>
        <v>8.5179608517960859E-2</v>
      </c>
      <c r="AJ17" s="174">
        <f t="shared" si="2"/>
        <v>9.0342009034200896E-3</v>
      </c>
      <c r="AK17" s="158"/>
      <c r="AL17" s="174">
        <f>+AL3/$AL$16</f>
        <v>9.1006423982869372E-2</v>
      </c>
      <c r="AM17" s="174">
        <f t="shared" ref="AM17:AQ17" si="3">+AM3/$AL$16</f>
        <v>0.24089935760171305</v>
      </c>
      <c r="AN17" s="174">
        <f t="shared" si="3"/>
        <v>0.25653104925053533</v>
      </c>
      <c r="AO17" s="174">
        <f t="shared" si="3"/>
        <v>8.8222698072805139E-2</v>
      </c>
      <c r="AP17" s="174">
        <f t="shared" si="3"/>
        <v>0.16937901498929336</v>
      </c>
      <c r="AQ17" s="174">
        <f t="shared" si="3"/>
        <v>0.15396145610278372</v>
      </c>
      <c r="AR17" s="158"/>
      <c r="AS17" s="174">
        <f>+AS3/$AS$16</f>
        <v>1.637331150225133E-3</v>
      </c>
      <c r="AT17" s="174">
        <f t="shared" ref="AT17:BF17" si="4">+AT3/$AS$16</f>
        <v>2.8653295128939827E-3</v>
      </c>
      <c r="AU17" s="174">
        <f t="shared" si="4"/>
        <v>8.3913221449038074E-3</v>
      </c>
      <c r="AV17" s="174">
        <f t="shared" si="4"/>
        <v>4.0728612361850186E-2</v>
      </c>
      <c r="AW17" s="174">
        <f t="shared" si="4"/>
        <v>0.53458862054850598</v>
      </c>
      <c r="AX17" s="174">
        <f t="shared" si="4"/>
        <v>1.9443307408923454E-2</v>
      </c>
      <c r="AY17" s="174">
        <f t="shared" si="4"/>
        <v>4.2979942693409743E-3</v>
      </c>
      <c r="AZ17" s="174">
        <f t="shared" si="4"/>
        <v>3.4793286942284077E-2</v>
      </c>
      <c r="BA17" s="174">
        <f t="shared" si="4"/>
        <v>2.0875972165370446E-2</v>
      </c>
      <c r="BB17" s="174">
        <f t="shared" si="4"/>
        <v>1.2279983626688497E-2</v>
      </c>
      <c r="BC17" s="174">
        <f t="shared" si="4"/>
        <v>0.30249693000409333</v>
      </c>
      <c r="BD17" s="174">
        <f t="shared" si="4"/>
        <v>1.4940646745804339E-2</v>
      </c>
      <c r="BE17" s="174">
        <f t="shared" si="4"/>
        <v>6.1399918133442485E-4</v>
      </c>
      <c r="BF17" s="174">
        <f t="shared" si="4"/>
        <v>2.0466639377814161E-3</v>
      </c>
      <c r="BG17" s="158"/>
      <c r="BH17" s="174">
        <f>+BH3/$BH$16</f>
        <v>0.58905760424198605</v>
      </c>
      <c r="BI17" s="174">
        <f t="shared" ref="BI17:BJ17" si="5">+BI3/$BH$16</f>
        <v>0.26223186309954205</v>
      </c>
      <c r="BJ17" s="174">
        <f t="shared" si="5"/>
        <v>0.12075198843094721</v>
      </c>
      <c r="BK17" s="174">
        <f>+BK3/$BH$16</f>
        <v>2.7958544227524706E-2</v>
      </c>
      <c r="BL17" s="158"/>
      <c r="BM17" s="174">
        <f>+BM3/$BM$16</f>
        <v>0.17293997965412003</v>
      </c>
      <c r="BN17" s="174">
        <f t="shared" ref="BN17:BP17" si="6">+BN3/$BM$16</f>
        <v>0.23906408952187183</v>
      </c>
      <c r="BO17" s="174">
        <f t="shared" si="6"/>
        <v>2.5686673448626653E-2</v>
      </c>
      <c r="BP17" s="174">
        <f t="shared" si="6"/>
        <v>0.50686673448626651</v>
      </c>
      <c r="BQ17" s="174">
        <f>+BQ3/$BM$16</f>
        <v>5.5442522889114956E-2</v>
      </c>
      <c r="BR17" s="158"/>
      <c r="BS17" s="174">
        <f>+BS3/$BS$16</f>
        <v>0.4290375203915171</v>
      </c>
      <c r="BT17" s="174">
        <f t="shared" ref="BT17:BV17" si="7">+BT3/$BS$16</f>
        <v>0.15388798259923872</v>
      </c>
      <c r="BU17" s="174">
        <f t="shared" si="7"/>
        <v>0.24469820554649266</v>
      </c>
      <c r="BV17" s="174">
        <f t="shared" si="7"/>
        <v>0.17237629146275149</v>
      </c>
    </row>
    <row r="18" spans="1:74">
      <c r="A18" s="160"/>
      <c r="B18" s="160"/>
      <c r="C18" s="161" t="s">
        <v>463</v>
      </c>
      <c r="D18" s="162"/>
      <c r="E18" s="162"/>
      <c r="F18" s="162"/>
      <c r="G18" s="162"/>
      <c r="H18" s="162"/>
      <c r="I18" s="162"/>
      <c r="J18" s="162"/>
      <c r="K18" s="158"/>
      <c r="L18" s="162"/>
      <c r="M18" s="162"/>
      <c r="N18" s="162"/>
      <c r="O18" s="162"/>
      <c r="P18" s="162"/>
      <c r="Q18" s="158"/>
      <c r="R18" s="162"/>
      <c r="S18" s="162"/>
      <c r="T18" s="158"/>
      <c r="U18" s="162"/>
      <c r="V18" s="162"/>
      <c r="W18" s="162"/>
      <c r="X18" s="162"/>
      <c r="Y18" s="162"/>
      <c r="Z18" s="158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58"/>
      <c r="AL18" s="162"/>
      <c r="AM18" s="162"/>
      <c r="AN18" s="162"/>
      <c r="AO18" s="162"/>
      <c r="AP18" s="162"/>
      <c r="AQ18" s="162"/>
      <c r="AR18" s="158"/>
      <c r="AS18" s="175">
        <f>+AS3/AS4</f>
        <v>0.88888888888888884</v>
      </c>
      <c r="AT18" s="175">
        <f t="shared" ref="AT18:BF18" si="8">+AT3/AT4</f>
        <v>0.63636363636363635</v>
      </c>
      <c r="AU18" s="175">
        <f t="shared" si="8"/>
        <v>0.95348837209302328</v>
      </c>
      <c r="AV18" s="175">
        <f t="shared" si="8"/>
        <v>0.908675799086758</v>
      </c>
      <c r="AW18" s="175">
        <f t="shared" si="8"/>
        <v>0.93620071684587813</v>
      </c>
      <c r="AX18" s="175">
        <f t="shared" si="8"/>
        <v>0.97938144329896903</v>
      </c>
      <c r="AY18" s="175">
        <f t="shared" si="8"/>
        <v>1</v>
      </c>
      <c r="AZ18" s="175">
        <f t="shared" si="8"/>
        <v>0.94972067039106145</v>
      </c>
      <c r="BA18" s="175">
        <f t="shared" si="8"/>
        <v>0.93577981651376152</v>
      </c>
      <c r="BB18" s="175">
        <f t="shared" si="8"/>
        <v>0.967741935483871</v>
      </c>
      <c r="BC18" s="175">
        <f t="shared" si="8"/>
        <v>0.93131695022054195</v>
      </c>
      <c r="BD18" s="175">
        <f t="shared" si="8"/>
        <v>0.94805194805194803</v>
      </c>
      <c r="BE18" s="175">
        <f t="shared" si="8"/>
        <v>0.75</v>
      </c>
      <c r="BF18" s="175">
        <f t="shared" si="8"/>
        <v>0.83333333333333337</v>
      </c>
      <c r="BG18" s="158"/>
      <c r="BH18" s="162"/>
      <c r="BI18" s="162"/>
      <c r="BJ18" s="162"/>
      <c r="BK18" s="162"/>
      <c r="BL18" s="158"/>
      <c r="BM18" s="162"/>
      <c r="BN18" s="162"/>
      <c r="BO18" s="162"/>
      <c r="BP18" s="162"/>
      <c r="BQ18" s="162"/>
      <c r="BR18" s="158"/>
      <c r="BS18" s="162"/>
      <c r="BT18" s="162"/>
      <c r="BU18" s="162"/>
      <c r="BV18" s="162"/>
    </row>
    <row r="19" spans="1:74">
      <c r="A19" s="163"/>
      <c r="B19" s="163"/>
      <c r="C19" s="164" t="s">
        <v>464</v>
      </c>
      <c r="D19" s="165"/>
      <c r="E19" s="165"/>
      <c r="F19" s="165"/>
      <c r="G19" s="165"/>
      <c r="H19" s="165"/>
      <c r="I19" s="165"/>
      <c r="J19" s="165"/>
      <c r="K19" s="158"/>
      <c r="L19" s="165"/>
      <c r="M19" s="165"/>
      <c r="N19" s="165"/>
      <c r="O19" s="165"/>
      <c r="P19" s="165"/>
      <c r="Q19" s="158"/>
      <c r="R19" s="165"/>
      <c r="S19" s="165"/>
      <c r="T19" s="158"/>
      <c r="U19" s="165"/>
      <c r="V19" s="165"/>
      <c r="W19" s="165"/>
      <c r="X19" s="165"/>
      <c r="Y19" s="165"/>
      <c r="Z19" s="158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58"/>
      <c r="AL19" s="165"/>
      <c r="AM19" s="165"/>
      <c r="AN19" s="165"/>
      <c r="AO19" s="165"/>
      <c r="AP19" s="165"/>
      <c r="AQ19" s="165"/>
      <c r="AR19" s="158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58"/>
      <c r="BH19" s="165"/>
      <c r="BI19" s="165"/>
      <c r="BJ19" s="165"/>
      <c r="BK19" s="165"/>
      <c r="BL19" s="158"/>
      <c r="BM19" s="217">
        <f>+SUM(BM5:BQ5)</f>
        <v>4577</v>
      </c>
      <c r="BN19" s="218"/>
      <c r="BO19" s="218"/>
      <c r="BP19" s="218"/>
      <c r="BQ19" s="219"/>
      <c r="BR19" s="158"/>
      <c r="BS19" s="165"/>
      <c r="BT19" s="165"/>
      <c r="BU19" s="165"/>
      <c r="BV19" s="165"/>
    </row>
    <row r="20" spans="1:74">
      <c r="A20" s="163"/>
      <c r="B20" s="163"/>
      <c r="C20" s="164" t="s">
        <v>465</v>
      </c>
      <c r="D20" s="165"/>
      <c r="E20" s="165"/>
      <c r="F20" s="165"/>
      <c r="G20" s="165"/>
      <c r="H20" s="165"/>
      <c r="I20" s="165"/>
      <c r="J20" s="165"/>
      <c r="K20" s="158"/>
      <c r="L20" s="165"/>
      <c r="M20" s="165"/>
      <c r="N20" s="165"/>
      <c r="O20" s="165"/>
      <c r="P20" s="165"/>
      <c r="Q20" s="158"/>
      <c r="R20" s="165"/>
      <c r="S20" s="165"/>
      <c r="T20" s="158"/>
      <c r="U20" s="165"/>
      <c r="V20" s="165"/>
      <c r="W20" s="165"/>
      <c r="X20" s="165"/>
      <c r="Y20" s="165"/>
      <c r="Z20" s="158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58"/>
      <c r="AL20" s="165"/>
      <c r="AM20" s="165"/>
      <c r="AN20" s="165"/>
      <c r="AO20" s="165"/>
      <c r="AP20" s="165"/>
      <c r="AQ20" s="165"/>
      <c r="AR20" s="158"/>
      <c r="AS20" s="165"/>
      <c r="AT20" s="165"/>
      <c r="AU20" s="16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58"/>
      <c r="BH20" s="165"/>
      <c r="BI20" s="165"/>
      <c r="BJ20" s="165"/>
      <c r="BK20" s="165"/>
      <c r="BL20" s="158"/>
      <c r="BM20" s="176">
        <f>+BM5/$BM$19</f>
        <v>0.16692156434345642</v>
      </c>
      <c r="BN20" s="176">
        <f t="shared" ref="BN20:BQ20" si="9">+BN5/$BM$19</f>
        <v>0.26982739785885951</v>
      </c>
      <c r="BO20" s="176">
        <f t="shared" si="9"/>
        <v>2.8839851431068386E-2</v>
      </c>
      <c r="BP20" s="176">
        <f t="shared" si="9"/>
        <v>0.46952152064671182</v>
      </c>
      <c r="BQ20" s="176">
        <f t="shared" si="9"/>
        <v>6.4889665719903872E-2</v>
      </c>
      <c r="BR20" s="158"/>
      <c r="BS20" s="165"/>
      <c r="BT20" s="165"/>
      <c r="BU20" s="165"/>
      <c r="BV20" s="16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2:C2"/>
    <mergeCell ref="A1:B1"/>
    <mergeCell ref="AS1:BF1"/>
    <mergeCell ref="A7:C7"/>
    <mergeCell ref="A8:C8"/>
    <mergeCell ref="A9:C9"/>
    <mergeCell ref="A10:C10"/>
    <mergeCell ref="A11:C1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267</v>
      </c>
      <c r="B1" s="32" t="s">
        <v>268</v>
      </c>
      <c r="C1" s="33">
        <v>2016</v>
      </c>
      <c r="D1" s="33">
        <v>2015</v>
      </c>
      <c r="E1" s="34" t="s">
        <v>386</v>
      </c>
      <c r="F1" s="34" t="s">
        <v>269</v>
      </c>
      <c r="G1" s="33" t="s">
        <v>270</v>
      </c>
      <c r="H1" s="124" t="s">
        <v>387</v>
      </c>
      <c r="I1" s="35" t="s">
        <v>271</v>
      </c>
      <c r="J1" s="36"/>
      <c r="K1" s="36" t="s">
        <v>272</v>
      </c>
      <c r="L1" s="36" t="s">
        <v>273</v>
      </c>
      <c r="M1" s="37">
        <v>2016</v>
      </c>
      <c r="N1" s="37">
        <v>2015</v>
      </c>
      <c r="O1" s="37" t="s">
        <v>386</v>
      </c>
      <c r="P1" s="37" t="s">
        <v>269</v>
      </c>
      <c r="Q1" s="38"/>
      <c r="R1" s="39"/>
      <c r="S1" s="39"/>
      <c r="T1" s="125" t="s">
        <v>388</v>
      </c>
      <c r="U1" s="40" t="s">
        <v>389</v>
      </c>
      <c r="V1" s="41" t="s">
        <v>390</v>
      </c>
      <c r="W1" s="42" t="s">
        <v>391</v>
      </c>
      <c r="X1" s="43" t="s">
        <v>392</v>
      </c>
      <c r="Y1" s="44" t="s">
        <v>393</v>
      </c>
      <c r="Z1" s="126" t="s">
        <v>11</v>
      </c>
      <c r="AA1" s="126" t="s">
        <v>394</v>
      </c>
      <c r="AB1" s="126" t="s">
        <v>395</v>
      </c>
      <c r="AC1" s="39"/>
      <c r="AD1" s="127" t="s">
        <v>396</v>
      </c>
      <c r="AE1" s="128">
        <v>2007</v>
      </c>
      <c r="AF1" s="128">
        <v>2008</v>
      </c>
      <c r="AG1" s="128">
        <v>2009</v>
      </c>
      <c r="AH1" s="128">
        <v>2010</v>
      </c>
      <c r="AI1" s="128">
        <v>2011</v>
      </c>
      <c r="AJ1" s="128">
        <v>2012</v>
      </c>
      <c r="AK1" s="128">
        <v>2013</v>
      </c>
      <c r="AL1" s="128">
        <v>2014</v>
      </c>
      <c r="AM1" s="128">
        <v>2015</v>
      </c>
      <c r="AN1" s="128">
        <v>2016</v>
      </c>
    </row>
    <row r="2" spans="1:40" ht="15.75" thickBot="1">
      <c r="A2" s="266" t="s">
        <v>274</v>
      </c>
      <c r="B2" s="240" t="s">
        <v>12</v>
      </c>
      <c r="C2" s="282">
        <f>+ROUND(AVERAGE(M2:M5),0)</f>
        <v>87</v>
      </c>
      <c r="D2" s="282">
        <f>+ROUND(AVERAGE(N2:N5),0)</f>
        <v>84</v>
      </c>
      <c r="E2" s="282">
        <f>+ROUND(AVERAGE(O2:O5),0)</f>
        <v>89</v>
      </c>
      <c r="F2" s="282">
        <f>+ROUND(AVERAGE(P2:P5),0)</f>
        <v>78</v>
      </c>
      <c r="G2" s="278">
        <f>+C2-E2</f>
        <v>-2</v>
      </c>
      <c r="H2" s="280">
        <f>+C2-F2</f>
        <v>9</v>
      </c>
      <c r="I2" s="286" t="s">
        <v>12</v>
      </c>
      <c r="J2" s="288" t="s">
        <v>275</v>
      </c>
      <c r="K2" s="45">
        <v>1</v>
      </c>
      <c r="L2" s="46" t="s">
        <v>276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9" t="s">
        <v>397</v>
      </c>
      <c r="AE2" s="130">
        <v>376</v>
      </c>
      <c r="AF2" s="130">
        <v>387</v>
      </c>
      <c r="AG2" s="130">
        <v>532</v>
      </c>
      <c r="AH2" s="130">
        <v>581</v>
      </c>
      <c r="AI2" s="130">
        <v>676</v>
      </c>
      <c r="AJ2" s="130">
        <v>704</v>
      </c>
      <c r="AK2" s="130">
        <v>711</v>
      </c>
      <c r="AL2" s="130">
        <v>669</v>
      </c>
      <c r="AM2" s="130">
        <v>664</v>
      </c>
      <c r="AN2" s="130">
        <v>669</v>
      </c>
    </row>
    <row r="3" spans="1:40" ht="15.75" thickBot="1">
      <c r="A3" s="266"/>
      <c r="B3" s="240"/>
      <c r="C3" s="282"/>
      <c r="D3" s="282"/>
      <c r="E3" s="282"/>
      <c r="F3" s="282"/>
      <c r="G3" s="278"/>
      <c r="H3" s="280"/>
      <c r="I3" s="286"/>
      <c r="J3" s="289"/>
      <c r="K3" s="51">
        <v>2</v>
      </c>
      <c r="L3" s="52" t="s">
        <v>277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9" t="s">
        <v>238</v>
      </c>
      <c r="AE3" s="130">
        <v>336</v>
      </c>
      <c r="AF3" s="130">
        <v>364</v>
      </c>
      <c r="AG3" s="130">
        <v>491</v>
      </c>
      <c r="AH3" s="130">
        <v>448</v>
      </c>
      <c r="AI3" s="130">
        <v>560</v>
      </c>
      <c r="AJ3" s="130">
        <v>594</v>
      </c>
      <c r="AK3" s="130">
        <v>610</v>
      </c>
      <c r="AL3" s="130">
        <v>580</v>
      </c>
      <c r="AM3" s="130">
        <v>600</v>
      </c>
      <c r="AN3" s="130">
        <v>546</v>
      </c>
    </row>
    <row r="4" spans="1:40" ht="15.75" thickBot="1">
      <c r="A4" s="266"/>
      <c r="B4" s="240"/>
      <c r="C4" s="282"/>
      <c r="D4" s="282"/>
      <c r="E4" s="282"/>
      <c r="F4" s="282"/>
      <c r="G4" s="278"/>
      <c r="H4" s="280"/>
      <c r="I4" s="286"/>
      <c r="J4" s="288" t="s">
        <v>278</v>
      </c>
      <c r="K4" s="45">
        <v>3</v>
      </c>
      <c r="L4" s="46" t="s">
        <v>279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9" t="s">
        <v>398</v>
      </c>
      <c r="AE4" s="131">
        <v>0.9</v>
      </c>
      <c r="AF4" s="131">
        <v>0.94099999999999995</v>
      </c>
      <c r="AG4" s="131">
        <v>0.92</v>
      </c>
      <c r="AH4" s="131">
        <v>0.77</v>
      </c>
      <c r="AI4" s="131">
        <v>0.83</v>
      </c>
      <c r="AJ4" s="131">
        <v>0.84</v>
      </c>
      <c r="AK4" s="131">
        <v>0.86</v>
      </c>
      <c r="AL4" s="131">
        <v>0.87</v>
      </c>
      <c r="AM4" s="131">
        <v>0.90361445783132532</v>
      </c>
      <c r="AN4" s="131">
        <v>0.81614349775784756</v>
      </c>
    </row>
    <row r="5" spans="1:40" ht="29.25" thickBot="1">
      <c r="A5" s="266"/>
      <c r="B5" s="241"/>
      <c r="C5" s="283"/>
      <c r="D5" s="283"/>
      <c r="E5" s="283"/>
      <c r="F5" s="283"/>
      <c r="G5" s="279"/>
      <c r="H5" s="281"/>
      <c r="I5" s="287"/>
      <c r="J5" s="289"/>
      <c r="K5" s="51">
        <v>4</v>
      </c>
      <c r="L5" s="52" t="s">
        <v>280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9" t="s">
        <v>399</v>
      </c>
      <c r="AE5" s="132">
        <v>1.6400000000000001E-2</v>
      </c>
      <c r="AF5" s="132">
        <v>1.2500000000000001E-2</v>
      </c>
      <c r="AG5" s="132">
        <v>1.23E-2</v>
      </c>
      <c r="AH5" s="132">
        <v>2.2200000000000001E-2</v>
      </c>
      <c r="AI5" s="132">
        <v>1.72E-2</v>
      </c>
      <c r="AJ5" s="132">
        <v>1.5900000000000001E-2</v>
      </c>
      <c r="AK5" s="132">
        <v>1.4999999999999999E-2</v>
      </c>
      <c r="AL5" s="132">
        <v>1.4800000000000001E-2</v>
      </c>
      <c r="AM5" s="132">
        <v>1.24E-2</v>
      </c>
      <c r="AN5" s="132">
        <v>0</v>
      </c>
    </row>
    <row r="6" spans="1:40" ht="15.75" thickBot="1">
      <c r="A6" s="266"/>
      <c r="B6" s="239" t="s">
        <v>13</v>
      </c>
      <c r="C6" s="235">
        <f>+ROUND(AVERAGE(M6:M11),0)</f>
        <v>86</v>
      </c>
      <c r="D6" s="235">
        <f>+ROUND(AVERAGE(N6:N11),0)</f>
        <v>82</v>
      </c>
      <c r="E6" s="235">
        <f>+ROUND(AVERAGE(O6:O11),0)</f>
        <v>89</v>
      </c>
      <c r="F6" s="235">
        <f>+ROUND(AVERAGE(P6:P11),0)</f>
        <v>80</v>
      </c>
      <c r="G6" s="253">
        <f>+C6-E6</f>
        <v>-3</v>
      </c>
      <c r="H6" s="254">
        <f>+C6-F6</f>
        <v>6</v>
      </c>
      <c r="I6" s="286" t="s">
        <v>13</v>
      </c>
      <c r="J6" s="288" t="s">
        <v>281</v>
      </c>
      <c r="K6" s="45">
        <v>5</v>
      </c>
      <c r="L6" s="46" t="s">
        <v>282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9" t="s">
        <v>400</v>
      </c>
      <c r="AE6" s="133">
        <v>41081</v>
      </c>
      <c r="AF6" s="133">
        <v>41078</v>
      </c>
      <c r="AG6" s="133">
        <v>41076</v>
      </c>
      <c r="AH6" s="133">
        <v>41088</v>
      </c>
      <c r="AI6" s="133">
        <v>41112</v>
      </c>
      <c r="AJ6" s="133">
        <v>41117</v>
      </c>
      <c r="AK6" s="133">
        <v>41484</v>
      </c>
      <c r="AL6" s="133">
        <v>41827</v>
      </c>
      <c r="AM6" s="133">
        <v>42193</v>
      </c>
      <c r="AN6" s="133">
        <v>42559</v>
      </c>
    </row>
    <row r="7" spans="1:40" ht="15.75" thickBot="1">
      <c r="A7" s="266"/>
      <c r="B7" s="240"/>
      <c r="C7" s="227"/>
      <c r="D7" s="227"/>
      <c r="E7" s="227"/>
      <c r="F7" s="227"/>
      <c r="G7" s="243"/>
      <c r="H7" s="255"/>
      <c r="I7" s="286"/>
      <c r="J7" s="288"/>
      <c r="K7" s="45">
        <v>6</v>
      </c>
      <c r="L7" s="46" t="s">
        <v>283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9" t="s">
        <v>401</v>
      </c>
      <c r="AE7" s="130" t="s">
        <v>402</v>
      </c>
      <c r="AF7" s="130" t="s">
        <v>402</v>
      </c>
      <c r="AG7" s="130" t="s">
        <v>402</v>
      </c>
      <c r="AH7" s="130" t="s">
        <v>402</v>
      </c>
      <c r="AI7" s="130" t="s">
        <v>402</v>
      </c>
      <c r="AJ7" s="130" t="s">
        <v>402</v>
      </c>
      <c r="AK7" s="130" t="s">
        <v>402</v>
      </c>
      <c r="AL7" s="130" t="s">
        <v>402</v>
      </c>
      <c r="AM7" s="130" t="s">
        <v>402</v>
      </c>
      <c r="AN7" s="130" t="s">
        <v>402</v>
      </c>
    </row>
    <row r="8" spans="1:40" ht="15.75" thickBot="1">
      <c r="A8" s="266"/>
      <c r="B8" s="240"/>
      <c r="C8" s="227"/>
      <c r="D8" s="227"/>
      <c r="E8" s="227"/>
      <c r="F8" s="227"/>
      <c r="G8" s="243"/>
      <c r="H8" s="255"/>
      <c r="I8" s="286"/>
      <c r="J8" s="289"/>
      <c r="K8" s="51">
        <v>7</v>
      </c>
      <c r="L8" s="52" t="s">
        <v>284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66"/>
      <c r="B9" s="240"/>
      <c r="C9" s="227"/>
      <c r="D9" s="227"/>
      <c r="E9" s="227"/>
      <c r="F9" s="227"/>
      <c r="G9" s="243"/>
      <c r="H9" s="255"/>
      <c r="I9" s="286"/>
      <c r="J9" s="288" t="s">
        <v>285</v>
      </c>
      <c r="K9" s="45">
        <v>8</v>
      </c>
      <c r="L9" s="46" t="s">
        <v>286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66"/>
      <c r="B10" s="240"/>
      <c r="C10" s="227"/>
      <c r="D10" s="227"/>
      <c r="E10" s="227"/>
      <c r="F10" s="227"/>
      <c r="G10" s="243"/>
      <c r="H10" s="255"/>
      <c r="I10" s="286"/>
      <c r="J10" s="289"/>
      <c r="K10" s="51">
        <v>9</v>
      </c>
      <c r="L10" s="52" t="s">
        <v>287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66"/>
      <c r="B11" s="241"/>
      <c r="C11" s="228"/>
      <c r="D11" s="228"/>
      <c r="E11" s="228"/>
      <c r="F11" s="228"/>
      <c r="G11" s="268"/>
      <c r="H11" s="256"/>
      <c r="I11" s="287"/>
      <c r="J11" s="149" t="s">
        <v>288</v>
      </c>
      <c r="K11" s="51">
        <v>10</v>
      </c>
      <c r="L11" s="52" t="s">
        <v>289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66"/>
      <c r="B12" s="239" t="s">
        <v>14</v>
      </c>
      <c r="C12" s="235">
        <f>+ROUND(AVERAGE(M12:M15),0)</f>
        <v>86</v>
      </c>
      <c r="D12" s="235">
        <f>+ROUND(AVERAGE(N12:N15),0)</f>
        <v>82</v>
      </c>
      <c r="E12" s="235">
        <f>+ROUND(AVERAGE(O12:O15),0)</f>
        <v>90</v>
      </c>
      <c r="F12" s="235">
        <f>+ROUND(AVERAGE(P12:P15),0)</f>
        <v>79</v>
      </c>
      <c r="G12" s="253">
        <f>+C12-E12</f>
        <v>-4</v>
      </c>
      <c r="H12" s="254">
        <f>+C12-F12</f>
        <v>7</v>
      </c>
      <c r="I12" s="286" t="s">
        <v>14</v>
      </c>
      <c r="J12" s="288" t="s">
        <v>290</v>
      </c>
      <c r="K12" s="45">
        <v>11</v>
      </c>
      <c r="L12" s="46" t="s">
        <v>291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66"/>
      <c r="B13" s="240"/>
      <c r="C13" s="227"/>
      <c r="D13" s="227"/>
      <c r="E13" s="227"/>
      <c r="F13" s="227"/>
      <c r="G13" s="243"/>
      <c r="H13" s="255"/>
      <c r="I13" s="286"/>
      <c r="J13" s="288"/>
      <c r="K13" s="45">
        <v>12</v>
      </c>
      <c r="L13" s="46" t="s">
        <v>292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66"/>
      <c r="B14" s="240"/>
      <c r="C14" s="227"/>
      <c r="D14" s="227"/>
      <c r="E14" s="227"/>
      <c r="F14" s="227"/>
      <c r="G14" s="243"/>
      <c r="H14" s="255"/>
      <c r="I14" s="286"/>
      <c r="J14" s="289"/>
      <c r="K14" s="51">
        <v>13</v>
      </c>
      <c r="L14" s="52" t="s">
        <v>293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67"/>
      <c r="B15" s="269"/>
      <c r="C15" s="246"/>
      <c r="D15" s="246"/>
      <c r="E15" s="246"/>
      <c r="F15" s="246"/>
      <c r="G15" s="270"/>
      <c r="H15" s="271"/>
      <c r="I15" s="287"/>
      <c r="J15" s="149" t="s">
        <v>294</v>
      </c>
      <c r="K15" s="51">
        <v>14</v>
      </c>
      <c r="L15" s="52" t="s">
        <v>295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267</v>
      </c>
      <c r="B16" s="32" t="s">
        <v>268</v>
      </c>
      <c r="C16" s="33">
        <v>2016</v>
      </c>
      <c r="D16" s="33">
        <v>2015</v>
      </c>
      <c r="E16" s="34" t="s">
        <v>386</v>
      </c>
      <c r="F16" s="34" t="s">
        <v>269</v>
      </c>
      <c r="G16" s="33" t="s">
        <v>270</v>
      </c>
      <c r="H16" s="124" t="s">
        <v>387</v>
      </c>
      <c r="I16" s="35" t="s">
        <v>271</v>
      </c>
      <c r="J16" s="36"/>
      <c r="K16" s="36" t="s">
        <v>272</v>
      </c>
      <c r="L16" s="36" t="s">
        <v>273</v>
      </c>
      <c r="M16" s="37">
        <v>2016</v>
      </c>
      <c r="N16" s="37">
        <v>2015</v>
      </c>
      <c r="O16" s="37" t="s">
        <v>386</v>
      </c>
      <c r="P16" s="37" t="s">
        <v>269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65" t="s">
        <v>296</v>
      </c>
      <c r="B17" s="239" t="s">
        <v>15</v>
      </c>
      <c r="C17" s="235">
        <f>+ROUND(AVERAGE(M17:M20),0)</f>
        <v>82</v>
      </c>
      <c r="D17" s="235">
        <f>+ROUND(AVERAGE(N17:N20),0)</f>
        <v>79</v>
      </c>
      <c r="E17" s="235">
        <f>+ROUND(AVERAGE(O17:O20),0)</f>
        <v>89</v>
      </c>
      <c r="F17" s="235">
        <f>+ROUND(AVERAGE(P17:P20),0)</f>
        <v>77</v>
      </c>
      <c r="G17" s="253">
        <f>+C17-E17</f>
        <v>-7</v>
      </c>
      <c r="H17" s="254">
        <f>+C17-F17</f>
        <v>5</v>
      </c>
      <c r="I17" s="284" t="s">
        <v>15</v>
      </c>
      <c r="J17" s="291" t="s">
        <v>297</v>
      </c>
      <c r="K17" s="56">
        <v>15</v>
      </c>
      <c r="L17" s="57" t="s">
        <v>298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65"/>
      <c r="B18" s="240"/>
      <c r="C18" s="227"/>
      <c r="D18" s="227"/>
      <c r="E18" s="227"/>
      <c r="F18" s="227"/>
      <c r="G18" s="243"/>
      <c r="H18" s="255"/>
      <c r="I18" s="290"/>
      <c r="J18" s="292"/>
      <c r="K18" s="59">
        <v>16</v>
      </c>
      <c r="L18" s="52" t="s">
        <v>299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65"/>
      <c r="B19" s="240"/>
      <c r="C19" s="227"/>
      <c r="D19" s="227"/>
      <c r="E19" s="227"/>
      <c r="F19" s="227"/>
      <c r="G19" s="243"/>
      <c r="H19" s="255"/>
      <c r="I19" s="290"/>
      <c r="J19" s="293" t="s">
        <v>300</v>
      </c>
      <c r="K19" s="61">
        <v>17</v>
      </c>
      <c r="L19" s="46" t="s">
        <v>301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65"/>
      <c r="B20" s="241"/>
      <c r="C20" s="228"/>
      <c r="D20" s="228"/>
      <c r="E20" s="228"/>
      <c r="F20" s="228"/>
      <c r="G20" s="268"/>
      <c r="H20" s="256"/>
      <c r="I20" s="285"/>
      <c r="J20" s="292"/>
      <c r="K20" s="59">
        <v>18</v>
      </c>
      <c r="L20" s="52" t="s">
        <v>302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65"/>
      <c r="B21" s="239" t="s">
        <v>16</v>
      </c>
      <c r="C21" s="235">
        <f>+ROUND(AVERAGE(M21:M22),0)</f>
        <v>81</v>
      </c>
      <c r="D21" s="235">
        <f>+ROUND(AVERAGE(N21:N22),0)</f>
        <v>77</v>
      </c>
      <c r="E21" s="235">
        <f>+ROUND(AVERAGE(O21:O22),0)</f>
        <v>87</v>
      </c>
      <c r="F21" s="235">
        <f>+ROUND(AVERAGE(P21:P22),0)</f>
        <v>73</v>
      </c>
      <c r="G21" s="253">
        <f>+C21-E21</f>
        <v>-6</v>
      </c>
      <c r="H21" s="254">
        <f>+C21-F21</f>
        <v>8</v>
      </c>
      <c r="I21" s="284" t="s">
        <v>16</v>
      </c>
      <c r="J21" s="293" t="s">
        <v>303</v>
      </c>
      <c r="K21" s="61">
        <v>19</v>
      </c>
      <c r="L21" s="46" t="s">
        <v>304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65"/>
      <c r="B22" s="241"/>
      <c r="C22" s="228"/>
      <c r="D22" s="228"/>
      <c r="E22" s="228"/>
      <c r="F22" s="228"/>
      <c r="G22" s="268"/>
      <c r="H22" s="256"/>
      <c r="I22" s="285"/>
      <c r="J22" s="292"/>
      <c r="K22" s="59">
        <v>20</v>
      </c>
      <c r="L22" s="52" t="s">
        <v>305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65"/>
      <c r="B23" s="239" t="s">
        <v>17</v>
      </c>
      <c r="C23" s="235">
        <f>+ROUND(AVERAGE(M23:M29),0)</f>
        <v>81</v>
      </c>
      <c r="D23" s="235">
        <f>+ROUND(AVERAGE(N23:N29),0)</f>
        <v>77</v>
      </c>
      <c r="E23" s="235">
        <f>+ROUND(AVERAGE(O23:O29),0)</f>
        <v>89</v>
      </c>
      <c r="F23" s="235">
        <f>+ROUND(AVERAGE(P23:P29),0)</f>
        <v>78</v>
      </c>
      <c r="G23" s="253">
        <f>+C23-E23</f>
        <v>-8</v>
      </c>
      <c r="H23" s="254">
        <f>+C23-F23</f>
        <v>3</v>
      </c>
      <c r="I23" s="284" t="s">
        <v>17</v>
      </c>
      <c r="J23" s="293" t="s">
        <v>306</v>
      </c>
      <c r="K23" s="61">
        <v>21</v>
      </c>
      <c r="L23" s="46" t="s">
        <v>307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65"/>
      <c r="B24" s="240"/>
      <c r="C24" s="227"/>
      <c r="D24" s="227"/>
      <c r="E24" s="227"/>
      <c r="F24" s="227"/>
      <c r="G24" s="243"/>
      <c r="H24" s="255"/>
      <c r="I24" s="290"/>
      <c r="J24" s="293"/>
      <c r="K24" s="61">
        <v>22</v>
      </c>
      <c r="L24" s="46" t="s">
        <v>308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65"/>
      <c r="B25" s="240"/>
      <c r="C25" s="227"/>
      <c r="D25" s="227"/>
      <c r="E25" s="227"/>
      <c r="F25" s="227"/>
      <c r="G25" s="243"/>
      <c r="H25" s="255"/>
      <c r="I25" s="290"/>
      <c r="J25" s="292"/>
      <c r="K25" s="59">
        <v>23</v>
      </c>
      <c r="L25" s="52" t="s">
        <v>309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65"/>
      <c r="B26" s="240"/>
      <c r="C26" s="227"/>
      <c r="D26" s="227"/>
      <c r="E26" s="227"/>
      <c r="F26" s="227"/>
      <c r="G26" s="243"/>
      <c r="H26" s="255"/>
      <c r="I26" s="290"/>
      <c r="J26" s="293" t="s">
        <v>310</v>
      </c>
      <c r="K26" s="61">
        <v>24</v>
      </c>
      <c r="L26" s="46" t="s">
        <v>311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65"/>
      <c r="B27" s="240"/>
      <c r="C27" s="227"/>
      <c r="D27" s="227"/>
      <c r="E27" s="227"/>
      <c r="F27" s="227"/>
      <c r="G27" s="243"/>
      <c r="H27" s="255"/>
      <c r="I27" s="290"/>
      <c r="J27" s="293"/>
      <c r="K27" s="61">
        <v>25</v>
      </c>
      <c r="L27" s="46" t="s">
        <v>312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65"/>
      <c r="B28" s="240"/>
      <c r="C28" s="227"/>
      <c r="D28" s="227"/>
      <c r="E28" s="227"/>
      <c r="F28" s="227"/>
      <c r="G28" s="243"/>
      <c r="H28" s="255"/>
      <c r="I28" s="290"/>
      <c r="J28" s="293"/>
      <c r="K28" s="61">
        <v>26</v>
      </c>
      <c r="L28" s="46" t="s">
        <v>313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65"/>
      <c r="B29" s="269"/>
      <c r="C29" s="246"/>
      <c r="D29" s="246"/>
      <c r="E29" s="246"/>
      <c r="F29" s="246"/>
      <c r="G29" s="270"/>
      <c r="H29" s="271"/>
      <c r="I29" s="285"/>
      <c r="J29" s="292"/>
      <c r="K29" s="59">
        <v>27</v>
      </c>
      <c r="L29" s="52" t="s">
        <v>314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267</v>
      </c>
      <c r="B30" s="32" t="s">
        <v>268</v>
      </c>
      <c r="C30" s="33">
        <v>2016</v>
      </c>
      <c r="D30" s="33">
        <v>2015</v>
      </c>
      <c r="E30" s="34" t="s">
        <v>386</v>
      </c>
      <c r="F30" s="34" t="s">
        <v>269</v>
      </c>
      <c r="G30" s="33" t="s">
        <v>270</v>
      </c>
      <c r="H30" s="124" t="s">
        <v>387</v>
      </c>
      <c r="I30" s="35" t="s">
        <v>271</v>
      </c>
      <c r="J30" s="36"/>
      <c r="K30" s="36" t="s">
        <v>272</v>
      </c>
      <c r="L30" s="36" t="s">
        <v>273</v>
      </c>
      <c r="M30" s="37">
        <v>2016</v>
      </c>
      <c r="N30" s="37">
        <v>2015</v>
      </c>
      <c r="O30" s="37" t="s">
        <v>386</v>
      </c>
      <c r="P30" s="37" t="s">
        <v>269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51" t="s">
        <v>315</v>
      </c>
      <c r="B31" s="239" t="s">
        <v>18</v>
      </c>
      <c r="C31" s="235">
        <f>+ROUND(AVERAGE(M31:M34),0)</f>
        <v>69</v>
      </c>
      <c r="D31" s="235">
        <f>+ROUND(AVERAGE(N31:N34),0)</f>
        <v>63</v>
      </c>
      <c r="E31" s="235">
        <f>+ROUND(AVERAGE(O31:O34),0)</f>
        <v>77</v>
      </c>
      <c r="F31" s="235">
        <f>+ROUND(AVERAGE(P31:P34),0)</f>
        <v>65</v>
      </c>
      <c r="G31" s="253">
        <f>+C31-E31</f>
        <v>-8</v>
      </c>
      <c r="H31" s="254">
        <f>+C31-F31</f>
        <v>4</v>
      </c>
      <c r="I31" s="273" t="s">
        <v>18</v>
      </c>
      <c r="J31" s="294" t="s">
        <v>316</v>
      </c>
      <c r="K31" s="64">
        <v>28</v>
      </c>
      <c r="L31" s="65" t="s">
        <v>317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51"/>
      <c r="B32" s="240"/>
      <c r="C32" s="227"/>
      <c r="D32" s="227"/>
      <c r="E32" s="227"/>
      <c r="F32" s="227"/>
      <c r="G32" s="243"/>
      <c r="H32" s="255"/>
      <c r="I32" s="273"/>
      <c r="J32" s="295"/>
      <c r="K32" s="61">
        <v>29</v>
      </c>
      <c r="L32" s="46" t="s">
        <v>318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51"/>
      <c r="B33" s="240"/>
      <c r="C33" s="227"/>
      <c r="D33" s="227"/>
      <c r="E33" s="227"/>
      <c r="F33" s="227"/>
      <c r="G33" s="243"/>
      <c r="H33" s="255"/>
      <c r="I33" s="273"/>
      <c r="J33" s="296" t="s">
        <v>319</v>
      </c>
      <c r="K33" s="56">
        <v>30</v>
      </c>
      <c r="L33" s="57" t="s">
        <v>320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51"/>
      <c r="B34" s="241"/>
      <c r="C34" s="228"/>
      <c r="D34" s="228"/>
      <c r="E34" s="228"/>
      <c r="F34" s="228"/>
      <c r="G34" s="243"/>
      <c r="H34" s="256"/>
      <c r="I34" s="274"/>
      <c r="J34" s="297"/>
      <c r="K34" s="59">
        <v>31</v>
      </c>
      <c r="L34" s="52" t="s">
        <v>321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51"/>
      <c r="B35" s="257" t="s">
        <v>19</v>
      </c>
      <c r="C35" s="235">
        <f>+ROUND(AVERAGE(M35:M37),0)</f>
        <v>68</v>
      </c>
      <c r="D35" s="235">
        <f>+ROUND(AVERAGE(N35:N37),0)</f>
        <v>62</v>
      </c>
      <c r="E35" s="235">
        <f>+ROUND(AVERAGE(O35:O37),0)</f>
        <v>78</v>
      </c>
      <c r="F35" s="235">
        <f>+ROUND(AVERAGE(P35:P37),0)</f>
        <v>64</v>
      </c>
      <c r="G35" s="260">
        <f>+C35-E35</f>
        <v>-10</v>
      </c>
      <c r="H35" s="254">
        <f>+C35-F35</f>
        <v>4</v>
      </c>
      <c r="I35" s="298" t="s">
        <v>19</v>
      </c>
      <c r="J35" s="298"/>
      <c r="K35" s="61">
        <v>32</v>
      </c>
      <c r="L35" s="46" t="s">
        <v>322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51"/>
      <c r="B36" s="258"/>
      <c r="C36" s="227"/>
      <c r="D36" s="227"/>
      <c r="E36" s="227"/>
      <c r="F36" s="227"/>
      <c r="G36" s="230"/>
      <c r="H36" s="255"/>
      <c r="I36" s="299"/>
      <c r="J36" s="299"/>
      <c r="K36" s="61">
        <v>33</v>
      </c>
      <c r="L36" s="46" t="s">
        <v>323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51"/>
      <c r="B37" s="259"/>
      <c r="C37" s="228"/>
      <c r="D37" s="228"/>
      <c r="E37" s="228"/>
      <c r="F37" s="228"/>
      <c r="G37" s="231"/>
      <c r="H37" s="256"/>
      <c r="I37" s="300"/>
      <c r="J37" s="300"/>
      <c r="K37" s="59">
        <v>34</v>
      </c>
      <c r="L37" s="52" t="s">
        <v>324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51"/>
      <c r="B38" s="239" t="s">
        <v>20</v>
      </c>
      <c r="C38" s="235">
        <f>+ROUND(AVERAGE(M38:M42),0)</f>
        <v>91</v>
      </c>
      <c r="D38" s="235">
        <f>+ROUND(AVERAGE(N38:N42),0)</f>
        <v>89</v>
      </c>
      <c r="E38" s="235">
        <f>+ROUND(AVERAGE(O38:O42),0)</f>
        <v>96</v>
      </c>
      <c r="F38" s="235">
        <f>+ROUND(AVERAGE(P38:P42),0)</f>
        <v>91</v>
      </c>
      <c r="G38" s="242">
        <f>+C38-E38</f>
        <v>-5</v>
      </c>
      <c r="H38" s="254">
        <f>+C38-F38</f>
        <v>0</v>
      </c>
      <c r="I38" s="272" t="s">
        <v>20</v>
      </c>
      <c r="J38" s="296" t="s">
        <v>325</v>
      </c>
      <c r="K38" s="56">
        <v>35</v>
      </c>
      <c r="L38" s="57" t="s">
        <v>326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51"/>
      <c r="B39" s="240"/>
      <c r="C39" s="227"/>
      <c r="D39" s="227"/>
      <c r="E39" s="227"/>
      <c r="F39" s="227"/>
      <c r="G39" s="243"/>
      <c r="H39" s="255"/>
      <c r="I39" s="273"/>
      <c r="J39" s="295"/>
      <c r="K39" s="61">
        <v>36</v>
      </c>
      <c r="L39" s="46" t="s">
        <v>327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51"/>
      <c r="B40" s="240"/>
      <c r="C40" s="227"/>
      <c r="D40" s="227"/>
      <c r="E40" s="227"/>
      <c r="F40" s="227"/>
      <c r="G40" s="243"/>
      <c r="H40" s="255"/>
      <c r="I40" s="273"/>
      <c r="J40" s="295"/>
      <c r="K40" s="61">
        <v>37</v>
      </c>
      <c r="L40" s="46" t="s">
        <v>328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51"/>
      <c r="B41" s="240"/>
      <c r="C41" s="227"/>
      <c r="D41" s="227"/>
      <c r="E41" s="227"/>
      <c r="F41" s="227"/>
      <c r="G41" s="243"/>
      <c r="H41" s="255"/>
      <c r="I41" s="273"/>
      <c r="J41" s="295"/>
      <c r="K41" s="61">
        <v>38</v>
      </c>
      <c r="L41" s="52" t="s">
        <v>329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52"/>
      <c r="B42" s="261"/>
      <c r="C42" s="262"/>
      <c r="D42" s="262"/>
      <c r="E42" s="262"/>
      <c r="F42" s="262"/>
      <c r="G42" s="263"/>
      <c r="H42" s="264"/>
      <c r="I42" s="274"/>
      <c r="J42" s="66" t="s">
        <v>330</v>
      </c>
      <c r="K42" s="67">
        <v>39</v>
      </c>
      <c r="L42" s="52" t="s">
        <v>331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267</v>
      </c>
      <c r="B43" s="32" t="s">
        <v>268</v>
      </c>
      <c r="C43" s="33">
        <v>2016</v>
      </c>
      <c r="D43" s="33">
        <v>2015</v>
      </c>
      <c r="E43" s="34" t="s">
        <v>386</v>
      </c>
      <c r="F43" s="34" t="s">
        <v>269</v>
      </c>
      <c r="G43" s="33" t="s">
        <v>270</v>
      </c>
      <c r="H43" s="124" t="s">
        <v>387</v>
      </c>
      <c r="I43" s="35" t="s">
        <v>271</v>
      </c>
      <c r="J43" s="36"/>
      <c r="K43" s="36" t="s">
        <v>272</v>
      </c>
      <c r="L43" s="36" t="s">
        <v>273</v>
      </c>
      <c r="M43" s="37">
        <v>2016</v>
      </c>
      <c r="N43" s="37">
        <v>2015</v>
      </c>
      <c r="O43" s="37" t="s">
        <v>386</v>
      </c>
      <c r="P43" s="37" t="s">
        <v>269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47" t="s">
        <v>332</v>
      </c>
      <c r="B44" s="233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29">
        <f>+C44-E44</f>
        <v>-7</v>
      </c>
      <c r="H44" s="255">
        <f>+C44-F44</f>
        <v>4</v>
      </c>
      <c r="I44" s="301" t="s">
        <v>21</v>
      </c>
      <c r="J44" s="302"/>
      <c r="K44" s="69">
        <v>40</v>
      </c>
      <c r="L44" s="57" t="s">
        <v>333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47"/>
      <c r="B45" s="249"/>
      <c r="C45" s="228"/>
      <c r="D45" s="228"/>
      <c r="E45" s="228"/>
      <c r="F45" s="228"/>
      <c r="G45" s="250"/>
      <c r="H45" s="256"/>
      <c r="I45" s="303"/>
      <c r="J45" s="304"/>
      <c r="K45" s="51">
        <v>41</v>
      </c>
      <c r="L45" s="52" t="s">
        <v>334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47"/>
      <c r="B46" s="232" t="s">
        <v>22</v>
      </c>
      <c r="C46" s="235">
        <f>+ROUND(AVERAGE(M46:M47),0)</f>
        <v>84</v>
      </c>
      <c r="D46" s="235">
        <f>+ROUND(AVERAGE(N46:N47),0)</f>
        <v>79</v>
      </c>
      <c r="E46" s="235">
        <f>+ROUND(AVERAGE(O46:O47),0)</f>
        <v>91</v>
      </c>
      <c r="F46" s="235">
        <f>+ROUND(AVERAGE(P46:P47),0)</f>
        <v>80</v>
      </c>
      <c r="G46" s="237">
        <f>+C46-E46</f>
        <v>-7</v>
      </c>
      <c r="H46" s="254">
        <f>+C46-F46</f>
        <v>4</v>
      </c>
      <c r="I46" s="301" t="s">
        <v>22</v>
      </c>
      <c r="J46" s="302"/>
      <c r="K46" s="69">
        <v>42</v>
      </c>
      <c r="L46" s="57" t="s">
        <v>335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47"/>
      <c r="B47" s="249"/>
      <c r="C47" s="228"/>
      <c r="D47" s="228"/>
      <c r="E47" s="228"/>
      <c r="F47" s="228"/>
      <c r="G47" s="250"/>
      <c r="H47" s="256"/>
      <c r="I47" s="303"/>
      <c r="J47" s="304"/>
      <c r="K47" s="51">
        <v>43</v>
      </c>
      <c r="L47" s="52" t="s">
        <v>336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47"/>
      <c r="B48" s="232" t="s">
        <v>23</v>
      </c>
      <c r="C48" s="235">
        <f>+ROUND(AVERAGE(M48:M51),0)</f>
        <v>84</v>
      </c>
      <c r="D48" s="235">
        <f>+ROUND(AVERAGE(N48:N51),0)</f>
        <v>79</v>
      </c>
      <c r="E48" s="235">
        <f>+ROUND(AVERAGE(O48:O51),0)</f>
        <v>91</v>
      </c>
      <c r="F48" s="235">
        <f>+ROUND(AVERAGE(P48:P51),0)</f>
        <v>82</v>
      </c>
      <c r="G48" s="237">
        <f>+C48-E48</f>
        <v>-7</v>
      </c>
      <c r="H48" s="254">
        <f>+C48-F48</f>
        <v>2</v>
      </c>
      <c r="I48" s="301" t="s">
        <v>23</v>
      </c>
      <c r="J48" s="302"/>
      <c r="K48" s="69">
        <v>44</v>
      </c>
      <c r="L48" s="57" t="s">
        <v>337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47"/>
      <c r="B49" s="233"/>
      <c r="C49" s="227"/>
      <c r="D49" s="227"/>
      <c r="E49" s="227"/>
      <c r="F49" s="227"/>
      <c r="G49" s="230"/>
      <c r="H49" s="255"/>
      <c r="I49" s="306"/>
      <c r="J49" s="307"/>
      <c r="K49" s="45">
        <v>45</v>
      </c>
      <c r="L49" s="46" t="s">
        <v>338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47"/>
      <c r="B50" s="233"/>
      <c r="C50" s="227"/>
      <c r="D50" s="227"/>
      <c r="E50" s="227"/>
      <c r="F50" s="227"/>
      <c r="G50" s="230"/>
      <c r="H50" s="255"/>
      <c r="I50" s="306"/>
      <c r="J50" s="307"/>
      <c r="K50" s="45">
        <v>46</v>
      </c>
      <c r="L50" s="46" t="s">
        <v>339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48"/>
      <c r="B51" s="234"/>
      <c r="C51" s="236"/>
      <c r="D51" s="236"/>
      <c r="E51" s="236"/>
      <c r="F51" s="236"/>
      <c r="G51" s="238"/>
      <c r="H51" s="305"/>
      <c r="I51" s="303"/>
      <c r="J51" s="304"/>
      <c r="K51" s="51">
        <v>47</v>
      </c>
      <c r="L51" s="52" t="s">
        <v>340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267</v>
      </c>
      <c r="B52" s="32" t="s">
        <v>268</v>
      </c>
      <c r="C52" s="33">
        <v>2016</v>
      </c>
      <c r="D52" s="33">
        <v>2015</v>
      </c>
      <c r="E52" s="34" t="s">
        <v>386</v>
      </c>
      <c r="F52" s="34" t="s">
        <v>269</v>
      </c>
      <c r="G52" s="33" t="s">
        <v>270</v>
      </c>
      <c r="H52" s="124" t="s">
        <v>387</v>
      </c>
      <c r="I52" s="35" t="s">
        <v>271</v>
      </c>
      <c r="J52" s="36"/>
      <c r="K52" s="36" t="s">
        <v>272</v>
      </c>
      <c r="L52" s="36" t="s">
        <v>273</v>
      </c>
      <c r="M52" s="37">
        <v>2016</v>
      </c>
      <c r="N52" s="37">
        <v>2015</v>
      </c>
      <c r="O52" s="37" t="s">
        <v>386</v>
      </c>
      <c r="P52" s="37" t="s">
        <v>269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23" t="s">
        <v>341</v>
      </c>
      <c r="B53" s="225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29">
        <f>+C53-E53</f>
        <v>-6</v>
      </c>
      <c r="H53" s="255">
        <f>+C53-F53</f>
        <v>3</v>
      </c>
      <c r="I53" s="308" t="s">
        <v>24</v>
      </c>
      <c r="J53" s="308"/>
      <c r="K53" s="70">
        <v>48</v>
      </c>
      <c r="L53" s="71" t="s">
        <v>342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23"/>
      <c r="B54" s="225"/>
      <c r="C54" s="227"/>
      <c r="D54" s="227"/>
      <c r="E54" s="227"/>
      <c r="F54" s="227"/>
      <c r="G54" s="230"/>
      <c r="H54" s="255"/>
      <c r="I54" s="308"/>
      <c r="J54" s="308"/>
      <c r="K54" s="70">
        <v>49</v>
      </c>
      <c r="L54" s="71" t="s">
        <v>343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23"/>
      <c r="B55" s="226"/>
      <c r="C55" s="228"/>
      <c r="D55" s="228"/>
      <c r="E55" s="228"/>
      <c r="F55" s="228"/>
      <c r="G55" s="231"/>
      <c r="H55" s="256"/>
      <c r="I55" s="309"/>
      <c r="J55" s="309"/>
      <c r="K55" s="72">
        <v>50</v>
      </c>
      <c r="L55" s="73" t="s">
        <v>344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23"/>
      <c r="B56" s="239" t="s">
        <v>25</v>
      </c>
      <c r="C56" s="235">
        <f>+ROUND(AVERAGE(M56:M59),0)</f>
        <v>88</v>
      </c>
      <c r="D56" s="235">
        <f>+ROUND(AVERAGE(N56:N59),0)</f>
        <v>84</v>
      </c>
      <c r="E56" s="235">
        <f>+ROUND(AVERAGE(O56:O59),0)</f>
        <v>94</v>
      </c>
      <c r="F56" s="235">
        <f>+ROUND(AVERAGE(P56:P59),0)</f>
        <v>86</v>
      </c>
      <c r="G56" s="242">
        <f>+C56-E56</f>
        <v>-6</v>
      </c>
      <c r="H56" s="254">
        <f>+C56-F56</f>
        <v>2</v>
      </c>
      <c r="I56" s="275" t="s">
        <v>25</v>
      </c>
      <c r="J56" s="313" t="s">
        <v>345</v>
      </c>
      <c r="K56" s="74">
        <v>51</v>
      </c>
      <c r="L56" s="75" t="s">
        <v>346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23"/>
      <c r="B57" s="240"/>
      <c r="C57" s="227"/>
      <c r="D57" s="227"/>
      <c r="E57" s="227"/>
      <c r="F57" s="227"/>
      <c r="G57" s="243"/>
      <c r="H57" s="255"/>
      <c r="I57" s="276"/>
      <c r="J57" s="314"/>
      <c r="K57" s="72">
        <v>52</v>
      </c>
      <c r="L57" s="73" t="s">
        <v>347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23"/>
      <c r="B58" s="240"/>
      <c r="C58" s="227"/>
      <c r="D58" s="227"/>
      <c r="E58" s="227"/>
      <c r="F58" s="227"/>
      <c r="G58" s="243"/>
      <c r="H58" s="255"/>
      <c r="I58" s="276"/>
      <c r="J58" s="313" t="s">
        <v>348</v>
      </c>
      <c r="K58" s="74">
        <v>53</v>
      </c>
      <c r="L58" s="75" t="s">
        <v>349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23"/>
      <c r="B59" s="241"/>
      <c r="C59" s="228"/>
      <c r="D59" s="228"/>
      <c r="E59" s="228"/>
      <c r="F59" s="228"/>
      <c r="G59" s="243"/>
      <c r="H59" s="256"/>
      <c r="I59" s="277"/>
      <c r="J59" s="315"/>
      <c r="K59" s="70">
        <v>54</v>
      </c>
      <c r="L59" s="71" t="s">
        <v>350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23"/>
      <c r="B60" s="244" t="s">
        <v>26</v>
      </c>
      <c r="C60" s="235">
        <f>+ROUND(AVERAGE(M60:M62),0)</f>
        <v>82</v>
      </c>
      <c r="D60" s="235">
        <f>+ROUND(AVERAGE(N60:N62),0)</f>
        <v>78</v>
      </c>
      <c r="E60" s="235">
        <f>+ROUND(AVERAGE(O60:O62),0)</f>
        <v>90</v>
      </c>
      <c r="F60" s="235">
        <f>+ROUND(AVERAGE(P60:P62),0)</f>
        <v>78</v>
      </c>
      <c r="G60" s="260">
        <f>+C60-E60</f>
        <v>-8</v>
      </c>
      <c r="H60" s="254">
        <f>+C60-F60</f>
        <v>4</v>
      </c>
      <c r="I60" s="316" t="s">
        <v>26</v>
      </c>
      <c r="J60" s="316"/>
      <c r="K60" s="74">
        <v>55</v>
      </c>
      <c r="L60" s="75" t="s">
        <v>351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23"/>
      <c r="B61" s="225"/>
      <c r="C61" s="227"/>
      <c r="D61" s="227"/>
      <c r="E61" s="227"/>
      <c r="F61" s="227"/>
      <c r="G61" s="230"/>
      <c r="H61" s="255"/>
      <c r="I61" s="308"/>
      <c r="J61" s="308"/>
      <c r="K61" s="70">
        <v>56</v>
      </c>
      <c r="L61" s="71" t="s">
        <v>352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24"/>
      <c r="B62" s="245"/>
      <c r="C62" s="246"/>
      <c r="D62" s="246"/>
      <c r="E62" s="246"/>
      <c r="F62" s="246"/>
      <c r="G62" s="231"/>
      <c r="H62" s="271"/>
      <c r="I62" s="309"/>
      <c r="J62" s="309"/>
      <c r="K62" s="72">
        <v>57</v>
      </c>
      <c r="L62" s="73" t="s">
        <v>353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267</v>
      </c>
      <c r="B63" s="32" t="s">
        <v>268</v>
      </c>
      <c r="C63" s="33">
        <v>2016</v>
      </c>
      <c r="D63" s="33">
        <v>2015</v>
      </c>
      <c r="E63" s="34" t="s">
        <v>386</v>
      </c>
      <c r="F63" s="34" t="s">
        <v>269</v>
      </c>
      <c r="G63" s="33" t="s">
        <v>270</v>
      </c>
      <c r="H63" s="124" t="s">
        <v>387</v>
      </c>
      <c r="I63" s="35" t="s">
        <v>271</v>
      </c>
      <c r="J63" s="36"/>
      <c r="K63" s="36" t="s">
        <v>272</v>
      </c>
      <c r="L63" s="36" t="s">
        <v>273</v>
      </c>
      <c r="M63" s="37">
        <v>2016</v>
      </c>
      <c r="N63" s="37">
        <v>2015</v>
      </c>
      <c r="O63" s="37" t="s">
        <v>386</v>
      </c>
      <c r="P63" s="37" t="s">
        <v>269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5"/>
      <c r="C64" s="227"/>
      <c r="D64" s="227"/>
      <c r="E64" s="227"/>
      <c r="F64" s="227"/>
      <c r="G64" s="229"/>
      <c r="H64" s="255"/>
      <c r="I64" s="77"/>
      <c r="J64" s="317" t="s">
        <v>403</v>
      </c>
      <c r="K64" s="70">
        <v>59</v>
      </c>
      <c r="L64" s="71" t="s">
        <v>404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5"/>
      <c r="C65" s="227"/>
      <c r="D65" s="227"/>
      <c r="E65" s="227"/>
      <c r="F65" s="227"/>
      <c r="G65" s="229"/>
      <c r="H65" s="255"/>
      <c r="I65" s="77"/>
      <c r="J65" s="318"/>
      <c r="K65" s="70">
        <v>60</v>
      </c>
      <c r="L65" s="71" t="s">
        <v>405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5"/>
      <c r="C66" s="227"/>
      <c r="D66" s="227"/>
      <c r="E66" s="227"/>
      <c r="F66" s="227"/>
      <c r="G66" s="229"/>
      <c r="H66" s="255"/>
      <c r="I66" s="77"/>
      <c r="J66" s="318"/>
      <c r="K66" s="70">
        <v>61</v>
      </c>
      <c r="L66" s="71" t="s">
        <v>406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5"/>
      <c r="C67" s="227"/>
      <c r="D67" s="227"/>
      <c r="E67" s="227"/>
      <c r="F67" s="227"/>
      <c r="G67" s="229"/>
      <c r="H67" s="255"/>
      <c r="I67" s="77"/>
      <c r="J67" s="318"/>
      <c r="K67" s="70">
        <v>62</v>
      </c>
      <c r="L67" s="71" t="s">
        <v>407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5"/>
      <c r="C68" s="227"/>
      <c r="D68" s="227"/>
      <c r="E68" s="227"/>
      <c r="F68" s="227"/>
      <c r="G68" s="229"/>
      <c r="H68" s="255"/>
      <c r="I68" s="77"/>
      <c r="J68" s="318"/>
      <c r="K68" s="70">
        <v>63</v>
      </c>
      <c r="L68" s="71" t="s">
        <v>408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5"/>
      <c r="C69" s="227"/>
      <c r="D69" s="227"/>
      <c r="E69" s="227"/>
      <c r="F69" s="227"/>
      <c r="G69" s="230"/>
      <c r="H69" s="255"/>
      <c r="I69" s="77"/>
      <c r="J69" s="318"/>
      <c r="K69" s="70">
        <v>64</v>
      </c>
      <c r="L69" s="71" t="s">
        <v>409</v>
      </c>
      <c r="M69" s="62">
        <v>85.46</v>
      </c>
      <c r="N69" s="62" t="s">
        <v>239</v>
      </c>
      <c r="O69" s="62"/>
      <c r="P69" s="62"/>
      <c r="Q69" s="48" t="s">
        <v>239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6"/>
      <c r="C70" s="228"/>
      <c r="D70" s="228"/>
      <c r="E70" s="228"/>
      <c r="F70" s="228"/>
      <c r="G70" s="231"/>
      <c r="H70" s="256"/>
      <c r="I70" s="77"/>
      <c r="J70" s="319"/>
      <c r="K70" s="72">
        <v>65</v>
      </c>
      <c r="L70" s="73" t="s">
        <v>410</v>
      </c>
      <c r="M70" s="60">
        <v>80.86</v>
      </c>
      <c r="N70" s="62" t="s">
        <v>239</v>
      </c>
      <c r="O70" s="60"/>
      <c r="P70" s="60"/>
      <c r="Q70" s="48" t="s">
        <v>239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310" t="s">
        <v>354</v>
      </c>
      <c r="K72" s="36" t="s">
        <v>272</v>
      </c>
      <c r="L72" s="36" t="s">
        <v>273</v>
      </c>
      <c r="M72" s="37">
        <v>2016</v>
      </c>
      <c r="N72" s="37">
        <v>2015</v>
      </c>
      <c r="O72" s="37" t="s">
        <v>386</v>
      </c>
      <c r="P72" s="37" t="s">
        <v>269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311"/>
      <c r="K73" s="80">
        <v>58</v>
      </c>
      <c r="L73" s="81" t="s">
        <v>246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311"/>
      <c r="K74" s="84"/>
      <c r="L74" s="85" t="s">
        <v>247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311"/>
      <c r="K75" s="86"/>
      <c r="L75" s="86" t="s">
        <v>355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386</v>
      </c>
      <c r="P77" s="37" t="s">
        <v>269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312" t="s">
        <v>27</v>
      </c>
      <c r="K78" s="88" t="s">
        <v>240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312"/>
      <c r="K79" s="88" t="s">
        <v>242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312"/>
      <c r="K80" s="88" t="s">
        <v>243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312"/>
      <c r="K81" s="88" t="s">
        <v>244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312"/>
      <c r="K82" s="88" t="s">
        <v>245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4" t="s">
        <v>193</v>
      </c>
      <c r="I85" s="90"/>
      <c r="J85" s="90" t="s">
        <v>356</v>
      </c>
      <c r="K85" s="90" t="s">
        <v>272</v>
      </c>
      <c r="L85" s="90" t="s">
        <v>273</v>
      </c>
      <c r="M85" s="90">
        <v>2016</v>
      </c>
      <c r="N85" s="90" t="s">
        <v>357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5" t="s">
        <v>194</v>
      </c>
      <c r="I86" s="92"/>
      <c r="J86" s="92" t="s">
        <v>20</v>
      </c>
      <c r="K86" s="93">
        <v>36</v>
      </c>
      <c r="L86" s="93" t="s">
        <v>327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6" t="s">
        <v>194</v>
      </c>
      <c r="I87" s="96"/>
      <c r="J87" s="96" t="s">
        <v>20</v>
      </c>
      <c r="K87" s="97">
        <v>37</v>
      </c>
      <c r="L87" s="97" t="s">
        <v>328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6" t="s">
        <v>194</v>
      </c>
      <c r="I88" s="96"/>
      <c r="J88" s="96" t="s">
        <v>20</v>
      </c>
      <c r="K88" s="97">
        <v>38</v>
      </c>
      <c r="L88" s="97" t="s">
        <v>329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6" t="s">
        <v>195</v>
      </c>
      <c r="I89" s="96"/>
      <c r="J89" s="96" t="s">
        <v>14</v>
      </c>
      <c r="K89" s="97">
        <v>14</v>
      </c>
      <c r="L89" s="97" t="s">
        <v>295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6" t="s">
        <v>194</v>
      </c>
      <c r="I90" s="96"/>
      <c r="J90" s="96" t="s">
        <v>18</v>
      </c>
      <c r="K90" s="97">
        <v>31</v>
      </c>
      <c r="L90" s="97" t="s">
        <v>321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6" t="s">
        <v>196</v>
      </c>
      <c r="I91" s="96"/>
      <c r="J91" s="96" t="s">
        <v>17</v>
      </c>
      <c r="K91" s="97">
        <v>21</v>
      </c>
      <c r="L91" s="97" t="s">
        <v>307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6" t="s">
        <v>195</v>
      </c>
      <c r="I92" s="96"/>
      <c r="J92" s="96" t="s">
        <v>12</v>
      </c>
      <c r="K92" s="97">
        <v>4</v>
      </c>
      <c r="L92" s="97" t="s">
        <v>280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6" t="s">
        <v>195</v>
      </c>
      <c r="I93" s="96"/>
      <c r="J93" s="96" t="s">
        <v>13</v>
      </c>
      <c r="K93" s="97">
        <v>9</v>
      </c>
      <c r="L93" s="97" t="s">
        <v>287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6" t="s">
        <v>195</v>
      </c>
      <c r="I94" s="96"/>
      <c r="J94" s="96" t="s">
        <v>13</v>
      </c>
      <c r="K94" s="97">
        <v>5</v>
      </c>
      <c r="L94" s="97" t="s">
        <v>282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6" t="s">
        <v>195</v>
      </c>
      <c r="I95" s="96"/>
      <c r="J95" s="96" t="s">
        <v>13</v>
      </c>
      <c r="K95" s="97">
        <v>10</v>
      </c>
      <c r="L95" s="97" t="s">
        <v>289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7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4" t="s">
        <v>193</v>
      </c>
      <c r="I97" s="90"/>
      <c r="J97" s="90" t="s">
        <v>356</v>
      </c>
      <c r="K97" s="90" t="s">
        <v>272</v>
      </c>
      <c r="L97" s="90" t="s">
        <v>273</v>
      </c>
      <c r="M97" s="90">
        <v>2016</v>
      </c>
      <c r="N97" s="90" t="s">
        <v>357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5" t="s">
        <v>194</v>
      </c>
      <c r="I98" s="92"/>
      <c r="J98" s="92" t="s">
        <v>18</v>
      </c>
      <c r="K98" s="93">
        <v>29</v>
      </c>
      <c r="L98" s="93" t="s">
        <v>318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5" t="s">
        <v>194</v>
      </c>
      <c r="I99" s="92"/>
      <c r="J99" s="92" t="s">
        <v>19</v>
      </c>
      <c r="K99" s="93">
        <v>32</v>
      </c>
      <c r="L99" s="93" t="s">
        <v>322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5" t="s">
        <v>194</v>
      </c>
      <c r="I100" s="92"/>
      <c r="J100" s="92" t="s">
        <v>18</v>
      </c>
      <c r="K100" s="93">
        <v>28</v>
      </c>
      <c r="L100" s="93" t="s">
        <v>317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5" t="s">
        <v>196</v>
      </c>
      <c r="I101" s="92"/>
      <c r="J101" s="92" t="s">
        <v>17</v>
      </c>
      <c r="K101" s="93">
        <v>22</v>
      </c>
      <c r="L101" s="93" t="s">
        <v>308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5" t="s">
        <v>194</v>
      </c>
      <c r="I102" s="92"/>
      <c r="J102" s="92" t="s">
        <v>19</v>
      </c>
      <c r="K102" s="93">
        <v>34</v>
      </c>
      <c r="L102" s="93" t="s">
        <v>324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5" t="s">
        <v>194</v>
      </c>
      <c r="I103" s="92"/>
      <c r="J103" s="92" t="s">
        <v>18</v>
      </c>
      <c r="K103" s="93">
        <v>30</v>
      </c>
      <c r="L103" s="93" t="s">
        <v>320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5" t="s">
        <v>194</v>
      </c>
      <c r="I104" s="92"/>
      <c r="J104" s="92" t="s">
        <v>19</v>
      </c>
      <c r="K104" s="93">
        <v>33</v>
      </c>
      <c r="L104" s="93" t="s">
        <v>323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5" t="s">
        <v>196</v>
      </c>
      <c r="I105" s="92"/>
      <c r="J105" s="92" t="s">
        <v>17</v>
      </c>
      <c r="K105" s="93">
        <v>25</v>
      </c>
      <c r="L105" s="93" t="s">
        <v>312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5" t="s">
        <v>195</v>
      </c>
      <c r="I106" s="92"/>
      <c r="J106" s="92" t="s">
        <v>13</v>
      </c>
      <c r="K106" s="93">
        <v>7</v>
      </c>
      <c r="L106" s="93" t="s">
        <v>284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5" t="s">
        <v>411</v>
      </c>
      <c r="I107" s="92"/>
      <c r="J107" s="92" t="s">
        <v>411</v>
      </c>
      <c r="K107" s="93" t="s">
        <v>411</v>
      </c>
      <c r="L107" s="93" t="s">
        <v>411</v>
      </c>
      <c r="M107" s="94" t="s">
        <v>411</v>
      </c>
      <c r="N107" s="95" t="s">
        <v>411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248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249</v>
      </c>
      <c r="D3" s="28" t="s">
        <v>250</v>
      </c>
      <c r="E3" s="28" t="s">
        <v>251</v>
      </c>
      <c r="F3" s="28" t="s">
        <v>252</v>
      </c>
      <c r="G3" s="28" t="s">
        <v>253</v>
      </c>
      <c r="H3" s="28" t="s">
        <v>254</v>
      </c>
      <c r="I3" s="28" t="s">
        <v>255</v>
      </c>
      <c r="J3" s="28" t="s">
        <v>256</v>
      </c>
    </row>
    <row r="4" spans="2:10">
      <c r="B4" s="27" t="s">
        <v>257</v>
      </c>
      <c r="C4" s="27" t="s">
        <v>225</v>
      </c>
      <c r="D4" s="27" t="s">
        <v>224</v>
      </c>
      <c r="E4" s="27" t="s">
        <v>258</v>
      </c>
      <c r="F4" s="27" t="s">
        <v>466</v>
      </c>
      <c r="G4" s="27" t="s">
        <v>259</v>
      </c>
      <c r="H4" s="27" t="s">
        <v>467</v>
      </c>
      <c r="I4" s="27">
        <v>2</v>
      </c>
      <c r="J4" s="31"/>
    </row>
    <row r="5" spans="2:10">
      <c r="B5" s="27" t="s">
        <v>260</v>
      </c>
      <c r="C5" s="27" t="s">
        <v>225</v>
      </c>
      <c r="D5" s="27" t="s">
        <v>224</v>
      </c>
      <c r="E5" s="27" t="s">
        <v>258</v>
      </c>
      <c r="F5" s="27" t="s">
        <v>466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224</v>
      </c>
      <c r="E6" s="27" t="s">
        <v>370</v>
      </c>
      <c r="F6" s="27" t="s">
        <v>468</v>
      </c>
      <c r="G6" s="27" t="s">
        <v>371</v>
      </c>
      <c r="H6" s="27" t="s">
        <v>469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224</v>
      </c>
      <c r="E7" s="27" t="s">
        <v>370</v>
      </c>
      <c r="F7" s="27" t="s">
        <v>468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224</v>
      </c>
      <c r="E8" s="27" t="s">
        <v>372</v>
      </c>
      <c r="F8" s="27" t="s">
        <v>470</v>
      </c>
      <c r="G8" s="27" t="s">
        <v>373</v>
      </c>
      <c r="H8" s="27" t="s">
        <v>471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224</v>
      </c>
      <c r="E9" s="27" t="s">
        <v>372</v>
      </c>
      <c r="F9" s="27" t="s">
        <v>470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224</v>
      </c>
      <c r="E10" s="27" t="s">
        <v>374</v>
      </c>
      <c r="F10" s="27" t="s">
        <v>472</v>
      </c>
      <c r="G10" s="27" t="s">
        <v>375</v>
      </c>
      <c r="H10" s="27" t="s">
        <v>473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224</v>
      </c>
      <c r="E11" s="27" t="s">
        <v>374</v>
      </c>
      <c r="F11" s="27" t="s">
        <v>472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427</v>
      </c>
      <c r="D12" s="27" t="s">
        <v>224</v>
      </c>
      <c r="E12" s="27" t="s">
        <v>474</v>
      </c>
      <c r="F12" s="27" t="s">
        <v>475</v>
      </c>
      <c r="G12" s="27" t="s">
        <v>476</v>
      </c>
      <c r="H12" s="27" t="s">
        <v>477</v>
      </c>
      <c r="I12" s="27">
        <v>2</v>
      </c>
      <c r="J12" s="31"/>
    </row>
    <row r="13" spans="2:10">
      <c r="B13" s="27" t="s">
        <v>261</v>
      </c>
      <c r="C13" s="27" t="s">
        <v>427</v>
      </c>
      <c r="D13" s="27" t="s">
        <v>224</v>
      </c>
      <c r="E13" s="27" t="s">
        <v>474</v>
      </c>
      <c r="F13" s="27" t="s">
        <v>475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224</v>
      </c>
      <c r="E14" s="27" t="s">
        <v>478</v>
      </c>
      <c r="F14" s="27" t="s">
        <v>479</v>
      </c>
      <c r="G14" s="27" t="s">
        <v>480</v>
      </c>
      <c r="H14" s="27" t="s">
        <v>481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224</v>
      </c>
      <c r="E15" s="27" t="s">
        <v>478</v>
      </c>
      <c r="F15" s="27" t="s">
        <v>479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428</v>
      </c>
      <c r="D16" s="27" t="s">
        <v>224</v>
      </c>
      <c r="E16" s="27" t="s">
        <v>262</v>
      </c>
      <c r="F16" s="27" t="s">
        <v>376</v>
      </c>
      <c r="G16" s="27" t="s">
        <v>263</v>
      </c>
      <c r="H16" s="27" t="s">
        <v>377</v>
      </c>
      <c r="I16" s="27">
        <v>2</v>
      </c>
      <c r="J16" s="31"/>
    </row>
    <row r="17" spans="2:10">
      <c r="B17" s="27" t="s">
        <v>264</v>
      </c>
      <c r="C17" s="27" t="s">
        <v>428</v>
      </c>
      <c r="D17" s="27" t="s">
        <v>224</v>
      </c>
      <c r="E17" s="27" t="s">
        <v>262</v>
      </c>
      <c r="F17" s="27" t="s">
        <v>376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224</v>
      </c>
      <c r="E18" s="27" t="s">
        <v>482</v>
      </c>
      <c r="F18" s="27" t="s">
        <v>265</v>
      </c>
      <c r="G18" s="27" t="s">
        <v>483</v>
      </c>
      <c r="H18" s="27" t="s">
        <v>266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224</v>
      </c>
      <c r="E19" s="27" t="s">
        <v>482</v>
      </c>
      <c r="F19" s="27" t="s">
        <v>265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224</v>
      </c>
      <c r="E20" s="27" t="s">
        <v>378</v>
      </c>
      <c r="F20" s="27" t="s">
        <v>484</v>
      </c>
      <c r="G20" s="27" t="s">
        <v>379</v>
      </c>
      <c r="H20" s="27" t="s">
        <v>485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224</v>
      </c>
      <c r="E21" s="27" t="s">
        <v>378</v>
      </c>
      <c r="F21" s="27" t="s">
        <v>484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224</v>
      </c>
      <c r="E22" s="27" t="s">
        <v>486</v>
      </c>
      <c r="F22" s="27" t="s">
        <v>487</v>
      </c>
      <c r="G22" s="27" t="s">
        <v>488</v>
      </c>
      <c r="H22" s="27" t="s">
        <v>489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224</v>
      </c>
      <c r="E23" s="29" t="s">
        <v>486</v>
      </c>
      <c r="F23" s="29" t="s">
        <v>487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34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1" t="s">
        <v>197</v>
      </c>
      <c r="D5" s="322"/>
      <c r="E5" s="25" t="s">
        <v>32</v>
      </c>
      <c r="F5" s="25" t="s">
        <v>33</v>
      </c>
      <c r="G5" s="25" t="s">
        <v>219</v>
      </c>
      <c r="H5" s="25" t="s">
        <v>220</v>
      </c>
    </row>
    <row r="6" spans="2:8">
      <c r="B6" s="17" t="s">
        <v>163</v>
      </c>
      <c r="C6" s="22" t="s">
        <v>197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7" t="s">
        <v>75</v>
      </c>
      <c r="D7" s="328"/>
      <c r="E7" s="20" t="s">
        <v>32</v>
      </c>
      <c r="F7" s="20" t="s">
        <v>33</v>
      </c>
      <c r="G7" s="20" t="s">
        <v>219</v>
      </c>
      <c r="H7" s="20" t="s">
        <v>220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215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216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7" t="s">
        <v>27</v>
      </c>
      <c r="D12" s="328"/>
      <c r="E12" s="20" t="s">
        <v>32</v>
      </c>
      <c r="F12" s="20" t="s">
        <v>33</v>
      </c>
      <c r="G12" s="20" t="s">
        <v>219</v>
      </c>
      <c r="H12" s="20" t="s">
        <v>220</v>
      </c>
    </row>
    <row r="13" spans="2:8">
      <c r="B13" s="323" t="s">
        <v>86</v>
      </c>
      <c r="C13" s="14" t="s">
        <v>193</v>
      </c>
      <c r="D13" s="10" t="s">
        <v>195</v>
      </c>
      <c r="E13" s="107" t="s">
        <v>102</v>
      </c>
      <c r="F13" s="107" t="s">
        <v>103</v>
      </c>
      <c r="G13" s="106"/>
      <c r="H13" s="106"/>
    </row>
    <row r="14" spans="2:8">
      <c r="B14" s="324"/>
      <c r="C14" s="331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4"/>
      <c r="C15" s="331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5"/>
      <c r="C16" s="331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3" t="s">
        <v>87</v>
      </c>
      <c r="C17" s="14" t="s">
        <v>193</v>
      </c>
      <c r="D17" s="10" t="s">
        <v>196</v>
      </c>
      <c r="E17" s="107" t="s">
        <v>104</v>
      </c>
      <c r="F17" s="107" t="s">
        <v>105</v>
      </c>
      <c r="G17" s="106"/>
      <c r="H17" s="106"/>
    </row>
    <row r="18" spans="2:8">
      <c r="B18" s="324"/>
      <c r="C18" s="326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4"/>
      <c r="C19" s="332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5"/>
      <c r="C20" s="332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3" t="s">
        <v>88</v>
      </c>
      <c r="C21" s="23" t="s">
        <v>193</v>
      </c>
      <c r="D21" s="10" t="s">
        <v>194</v>
      </c>
      <c r="E21" s="107" t="s">
        <v>106</v>
      </c>
      <c r="F21" s="107" t="s">
        <v>107</v>
      </c>
      <c r="G21" s="106"/>
      <c r="H21" s="106"/>
    </row>
    <row r="22" spans="2:8">
      <c r="B22" s="324"/>
      <c r="C22" s="326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4"/>
      <c r="C23" s="332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5"/>
      <c r="C24" s="332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3" t="s">
        <v>89</v>
      </c>
      <c r="C25" s="23" t="s">
        <v>193</v>
      </c>
      <c r="D25" s="10" t="s">
        <v>222</v>
      </c>
      <c r="E25" s="107" t="s">
        <v>108</v>
      </c>
      <c r="F25" s="107" t="s">
        <v>109</v>
      </c>
      <c r="G25" s="106"/>
      <c r="H25" s="106"/>
    </row>
    <row r="26" spans="2:8">
      <c r="B26" s="324"/>
      <c r="C26" s="331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4"/>
      <c r="C27" s="331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5"/>
      <c r="C28" s="331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3" t="s">
        <v>90</v>
      </c>
      <c r="C29" s="23" t="s">
        <v>193</v>
      </c>
      <c r="D29" s="10" t="s">
        <v>223</v>
      </c>
      <c r="E29" s="107" t="s">
        <v>110</v>
      </c>
      <c r="F29" s="107" t="s">
        <v>69</v>
      </c>
      <c r="G29" s="106"/>
      <c r="H29" s="106"/>
    </row>
    <row r="30" spans="2:8">
      <c r="B30" s="324"/>
      <c r="C30" s="331" t="s">
        <v>217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4"/>
      <c r="C31" s="331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5"/>
      <c r="C32" s="331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7" t="s">
        <v>77</v>
      </c>
      <c r="D33" s="328"/>
      <c r="E33" s="20" t="s">
        <v>32</v>
      </c>
      <c r="F33" s="20" t="s">
        <v>33</v>
      </c>
      <c r="G33" s="20" t="s">
        <v>219</v>
      </c>
      <c r="H33" s="20" t="s">
        <v>220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210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211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209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212</v>
      </c>
      <c r="F37" s="106" t="s">
        <v>82</v>
      </c>
      <c r="G37" s="106"/>
      <c r="H37" s="106"/>
    </row>
    <row r="38" spans="2:8">
      <c r="B38" s="17" t="s">
        <v>94</v>
      </c>
      <c r="C38" s="14" t="s">
        <v>217</v>
      </c>
      <c r="D38" s="18" t="s">
        <v>78</v>
      </c>
      <c r="E38" s="106" t="s">
        <v>213</v>
      </c>
      <c r="F38" s="106" t="s">
        <v>83</v>
      </c>
      <c r="G38" s="106"/>
      <c r="H38" s="106"/>
    </row>
    <row r="39" spans="2:8">
      <c r="B39" s="24" t="s">
        <v>30</v>
      </c>
      <c r="C39" s="327" t="s">
        <v>214</v>
      </c>
      <c r="D39" s="328"/>
      <c r="E39" s="20" t="s">
        <v>32</v>
      </c>
      <c r="F39" s="20" t="s">
        <v>33</v>
      </c>
      <c r="G39" s="20" t="s">
        <v>219</v>
      </c>
      <c r="H39" s="20" t="s">
        <v>220</v>
      </c>
    </row>
    <row r="40" spans="2:8">
      <c r="B40" s="323" t="s">
        <v>126</v>
      </c>
      <c r="C40" s="326" t="s">
        <v>214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4"/>
      <c r="C41" s="324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4"/>
      <c r="C42" s="324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4"/>
      <c r="C43" s="324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4"/>
      <c r="C44" s="324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4"/>
      <c r="C45" s="324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4"/>
      <c r="C46" s="324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4"/>
      <c r="C47" s="324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4"/>
      <c r="C48" s="324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4"/>
      <c r="C49" s="324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4"/>
      <c r="C50" s="324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4"/>
      <c r="C51" s="324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4"/>
      <c r="C52" s="324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4"/>
      <c r="C53" s="324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5"/>
      <c r="C54" s="325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3" t="s">
        <v>100</v>
      </c>
      <c r="C55" s="326" t="s">
        <v>214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4"/>
      <c r="C56" s="324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4"/>
      <c r="C57" s="324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4"/>
      <c r="C58" s="324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4"/>
      <c r="C59" s="324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4"/>
      <c r="C60" s="324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4"/>
      <c r="C61" s="324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4"/>
      <c r="C62" s="324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4"/>
      <c r="C63" s="324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4"/>
      <c r="C64" s="324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4"/>
      <c r="C65" s="324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4"/>
      <c r="C66" s="324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4"/>
      <c r="C67" s="324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4"/>
      <c r="C68" s="324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4"/>
      <c r="C69" s="324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5"/>
      <c r="C70" s="325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7" t="s">
        <v>70</v>
      </c>
      <c r="D71" s="329"/>
      <c r="E71" s="20" t="s">
        <v>32</v>
      </c>
      <c r="F71" s="20" t="s">
        <v>33</v>
      </c>
      <c r="G71" s="20" t="s">
        <v>219</v>
      </c>
      <c r="H71" s="20" t="s">
        <v>220</v>
      </c>
    </row>
    <row r="72" spans="2:8">
      <c r="B72" s="17" t="s">
        <v>101</v>
      </c>
      <c r="C72" s="21" t="s">
        <v>218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1" t="s">
        <v>11</v>
      </c>
      <c r="D73" s="330"/>
      <c r="E73" s="20" t="s">
        <v>32</v>
      </c>
      <c r="F73" s="20" t="s">
        <v>33</v>
      </c>
      <c r="G73" s="20" t="s">
        <v>219</v>
      </c>
      <c r="H73" s="20" t="s">
        <v>220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113"/>
  <sheetViews>
    <sheetView tabSelected="1" workbookViewId="0">
      <pane ySplit="22" topLeftCell="A23" activePane="bottomLeft" state="frozen"/>
      <selection pane="bottomLeft" activeCell="B17" sqref="B17"/>
    </sheetView>
  </sheetViews>
  <sheetFormatPr baseColWidth="10" defaultRowHeight="15"/>
  <cols>
    <col min="1" max="1" width="11.42578125" style="117"/>
    <col min="2" max="2" width="34.5703125" style="121" bestFit="1" customWidth="1"/>
    <col min="3" max="3" width="18" style="121" bestFit="1" customWidth="1"/>
    <col min="4" max="4" width="104.5703125" style="121" bestFit="1" customWidth="1"/>
    <col min="5" max="5" width="22.85546875" style="121" bestFit="1" customWidth="1"/>
    <col min="6" max="6" width="15.85546875" style="121" bestFit="1" customWidth="1"/>
    <col min="7" max="7" width="16.85546875" style="121" bestFit="1" customWidth="1"/>
    <col min="8" max="8" width="4.7109375" style="121" bestFit="1" customWidth="1"/>
    <col min="9" max="9" width="6.5703125" style="121" bestFit="1" customWidth="1"/>
    <col min="10" max="16384" width="11.42578125" style="117"/>
  </cols>
  <sheetData>
    <row r="2" spans="2:9">
      <c r="B2" s="336" t="s">
        <v>491</v>
      </c>
      <c r="C2" s="337"/>
      <c r="D2" s="337"/>
      <c r="E2" s="338"/>
      <c r="F2" s="338"/>
    </row>
    <row r="3" spans="2:9">
      <c r="B3" s="335" t="s">
        <v>492</v>
      </c>
      <c r="C3" s="335" t="s">
        <v>498</v>
      </c>
      <c r="D3" s="335" t="s">
        <v>493</v>
      </c>
      <c r="E3" s="335" t="s">
        <v>494</v>
      </c>
      <c r="F3" s="335" t="s">
        <v>510</v>
      </c>
    </row>
    <row r="4" spans="2:9">
      <c r="B4" s="118" t="s">
        <v>509</v>
      </c>
      <c r="C4" s="118" t="s">
        <v>499</v>
      </c>
      <c r="D4" s="118">
        <v>1</v>
      </c>
      <c r="E4" s="118">
        <v>29</v>
      </c>
      <c r="F4" s="118"/>
    </row>
    <row r="5" spans="2:9">
      <c r="B5" s="118" t="s">
        <v>495</v>
      </c>
      <c r="C5" s="118" t="s">
        <v>1</v>
      </c>
      <c r="D5" s="118">
        <v>30</v>
      </c>
      <c r="E5" s="118"/>
      <c r="F5" s="118"/>
    </row>
    <row r="6" spans="2:9" s="123" customFormat="1">
      <c r="B6" s="334" t="s">
        <v>503</v>
      </c>
      <c r="C6" s="334" t="s">
        <v>0</v>
      </c>
      <c r="D6" s="339"/>
      <c r="E6" s="339"/>
      <c r="F6" s="334">
        <v>31</v>
      </c>
      <c r="G6" s="122"/>
      <c r="H6" s="122"/>
      <c r="I6" s="122"/>
    </row>
    <row r="7" spans="2:9" s="123" customFormat="1">
      <c r="B7" s="334" t="s">
        <v>496</v>
      </c>
      <c r="C7" s="334" t="s">
        <v>499</v>
      </c>
      <c r="D7" s="334">
        <v>43</v>
      </c>
      <c r="E7" s="334"/>
      <c r="F7" s="334"/>
      <c r="G7" s="122"/>
      <c r="H7" s="122"/>
      <c r="I7" s="122"/>
    </row>
    <row r="8" spans="2:9" s="123" customFormat="1">
      <c r="B8" s="334" t="s">
        <v>500</v>
      </c>
      <c r="C8" s="334" t="s">
        <v>1</v>
      </c>
      <c r="D8" s="334">
        <v>44</v>
      </c>
      <c r="E8" s="334">
        <v>47</v>
      </c>
      <c r="F8" s="334"/>
      <c r="G8" s="122"/>
      <c r="H8" s="122"/>
      <c r="I8" s="122"/>
    </row>
    <row r="9" spans="2:9" s="123" customFormat="1">
      <c r="B9" s="334" t="s">
        <v>497</v>
      </c>
      <c r="C9" s="334" t="s">
        <v>499</v>
      </c>
      <c r="D9" s="334">
        <v>52</v>
      </c>
      <c r="E9" s="334"/>
      <c r="F9" s="334"/>
      <c r="G9" s="122"/>
      <c r="H9" s="122"/>
      <c r="I9" s="122"/>
    </row>
    <row r="10" spans="2:9" s="123" customFormat="1">
      <c r="B10" s="334" t="s">
        <v>504</v>
      </c>
      <c r="C10" s="334" t="s">
        <v>1</v>
      </c>
      <c r="D10" s="334">
        <v>53</v>
      </c>
      <c r="E10" s="334">
        <v>62</v>
      </c>
      <c r="F10" s="334"/>
      <c r="G10" s="122"/>
      <c r="H10" s="122"/>
      <c r="I10" s="122"/>
    </row>
    <row r="11" spans="2:9" s="123" customFormat="1">
      <c r="B11" s="334" t="s">
        <v>505</v>
      </c>
      <c r="C11" s="334" t="s">
        <v>1</v>
      </c>
      <c r="D11" s="334">
        <v>63</v>
      </c>
      <c r="E11" s="334">
        <v>64</v>
      </c>
      <c r="F11" s="334"/>
      <c r="G11" s="122"/>
      <c r="H11" s="122"/>
      <c r="I11" s="122"/>
    </row>
    <row r="12" spans="2:9" s="123" customFormat="1">
      <c r="B12" s="334" t="s">
        <v>355</v>
      </c>
      <c r="C12" s="334" t="s">
        <v>499</v>
      </c>
      <c r="D12" s="334">
        <v>65</v>
      </c>
      <c r="E12" s="334"/>
      <c r="F12" s="334"/>
      <c r="G12" s="122"/>
      <c r="H12" s="122"/>
      <c r="I12" s="122"/>
    </row>
    <row r="13" spans="2:9" s="123" customFormat="1">
      <c r="B13" s="334" t="s">
        <v>501</v>
      </c>
      <c r="C13" s="334" t="s">
        <v>1</v>
      </c>
      <c r="D13" s="334">
        <v>66</v>
      </c>
      <c r="E13" s="334">
        <v>67</v>
      </c>
      <c r="F13" s="334"/>
      <c r="G13" s="122"/>
      <c r="H13" s="122"/>
      <c r="I13" s="122"/>
    </row>
    <row r="14" spans="2:9" s="123" customFormat="1">
      <c r="B14" s="334" t="s">
        <v>506</v>
      </c>
      <c r="C14" s="334" t="s">
        <v>499</v>
      </c>
      <c r="D14" s="334">
        <v>68</v>
      </c>
      <c r="E14" s="334"/>
      <c r="F14" s="334"/>
      <c r="G14" s="122"/>
      <c r="H14" s="122"/>
      <c r="I14" s="122"/>
    </row>
    <row r="15" spans="2:9" s="123" customFormat="1">
      <c r="B15" s="334" t="s">
        <v>507</v>
      </c>
      <c r="C15" s="334" t="s">
        <v>0</v>
      </c>
      <c r="D15" s="339"/>
      <c r="E15" s="339"/>
      <c r="F15" s="334">
        <v>69</v>
      </c>
      <c r="G15" s="122"/>
      <c r="H15" s="122"/>
      <c r="I15" s="122"/>
    </row>
    <row r="16" spans="2:9" s="123" customFormat="1">
      <c r="B16" s="334" t="s">
        <v>508</v>
      </c>
      <c r="C16" s="334" t="s">
        <v>499</v>
      </c>
      <c r="D16" s="334">
        <v>89</v>
      </c>
      <c r="E16" s="334">
        <v>92</v>
      </c>
      <c r="F16" s="334"/>
      <c r="G16" s="122"/>
      <c r="H16" s="122"/>
      <c r="I16" s="122"/>
    </row>
    <row r="17" spans="2:9" s="123" customFormat="1">
      <c r="B17" s="334" t="s">
        <v>502</v>
      </c>
      <c r="C17" s="334" t="s">
        <v>499</v>
      </c>
      <c r="D17" s="334">
        <v>93</v>
      </c>
      <c r="E17" s="334">
        <v>96</v>
      </c>
      <c r="F17" s="334"/>
      <c r="G17" s="122"/>
      <c r="H17" s="122"/>
      <c r="I17" s="122"/>
    </row>
    <row r="18" spans="2:9" s="123" customFormat="1">
      <c r="B18" s="122"/>
      <c r="C18" s="122"/>
      <c r="D18" s="122"/>
      <c r="E18" s="122"/>
      <c r="F18" s="122"/>
      <c r="G18" s="122"/>
      <c r="H18" s="122"/>
      <c r="I18" s="122"/>
    </row>
    <row r="19" spans="2:9" s="123" customFormat="1">
      <c r="B19" s="122"/>
      <c r="C19" s="122"/>
      <c r="D19" s="122"/>
      <c r="E19" s="122"/>
      <c r="F19" s="122"/>
      <c r="G19" s="122"/>
      <c r="H19" s="122"/>
      <c r="I19" s="122"/>
    </row>
    <row r="20" spans="2:9" s="123" customFormat="1">
      <c r="B20" s="122"/>
      <c r="C20" s="122"/>
      <c r="D20" s="122"/>
      <c r="E20" s="122"/>
      <c r="F20" s="122"/>
      <c r="G20" s="122"/>
      <c r="H20" s="122"/>
      <c r="I20" s="122"/>
    </row>
    <row r="21" spans="2:9" s="123" customFormat="1">
      <c r="B21" s="122"/>
      <c r="C21" s="122"/>
      <c r="D21" s="122"/>
      <c r="E21" s="122"/>
      <c r="F21" s="122"/>
      <c r="G21" s="122"/>
      <c r="H21" s="122"/>
      <c r="I21" s="122"/>
    </row>
    <row r="22" spans="2:9" s="123" customFormat="1">
      <c r="B22" s="116" t="s">
        <v>168</v>
      </c>
      <c r="C22" s="116" t="s">
        <v>169</v>
      </c>
      <c r="D22" s="116" t="s">
        <v>221</v>
      </c>
      <c r="E22" s="116" t="s">
        <v>170</v>
      </c>
      <c r="F22" s="116" t="s">
        <v>173</v>
      </c>
      <c r="G22" s="116" t="s">
        <v>174</v>
      </c>
      <c r="H22" s="116" t="s">
        <v>171</v>
      </c>
      <c r="I22" s="116" t="s">
        <v>172</v>
      </c>
    </row>
    <row r="23" spans="2:9">
      <c r="B23" s="118">
        <v>1</v>
      </c>
      <c r="C23" s="118">
        <v>1</v>
      </c>
      <c r="D23" s="118"/>
      <c r="E23" s="118"/>
      <c r="F23" s="118"/>
      <c r="G23" s="118"/>
      <c r="H23" s="118"/>
      <c r="I23" s="118"/>
    </row>
    <row r="24" spans="2:9">
      <c r="B24" s="118">
        <v>2</v>
      </c>
      <c r="C24" s="118">
        <v>2</v>
      </c>
      <c r="D24" s="118"/>
      <c r="E24" s="118"/>
      <c r="F24" s="118"/>
      <c r="G24" s="118"/>
      <c r="H24" s="118"/>
      <c r="I24" s="118"/>
    </row>
    <row r="25" spans="2:9">
      <c r="B25" s="118">
        <v>3</v>
      </c>
      <c r="C25" s="118">
        <v>3</v>
      </c>
      <c r="D25" s="118"/>
      <c r="E25" s="118"/>
      <c r="F25" s="118"/>
      <c r="G25" s="118"/>
      <c r="H25" s="118"/>
      <c r="I25" s="118"/>
    </row>
    <row r="26" spans="2:9">
      <c r="B26" s="118">
        <v>4</v>
      </c>
      <c r="C26" s="118">
        <v>4</v>
      </c>
      <c r="D26" s="118"/>
      <c r="E26" s="118"/>
      <c r="F26" s="118"/>
      <c r="G26" s="118"/>
      <c r="H26" s="118"/>
      <c r="I26" s="118"/>
    </row>
    <row r="27" spans="2:9">
      <c r="B27" s="118">
        <v>5</v>
      </c>
      <c r="C27" s="118">
        <v>5</v>
      </c>
      <c r="D27" s="118"/>
      <c r="E27" s="118"/>
      <c r="F27" s="118"/>
      <c r="G27" s="118"/>
      <c r="H27" s="118"/>
      <c r="I27" s="118"/>
    </row>
    <row r="28" spans="2:9">
      <c r="B28" s="118">
        <v>6</v>
      </c>
      <c r="C28" s="118">
        <v>6</v>
      </c>
      <c r="D28" s="118"/>
      <c r="E28" s="118"/>
      <c r="F28" s="118"/>
      <c r="G28" s="118"/>
      <c r="H28" s="118"/>
      <c r="I28" s="118"/>
    </row>
    <row r="29" spans="2:9">
      <c r="B29" s="118">
        <v>7</v>
      </c>
      <c r="C29" s="118">
        <v>7</v>
      </c>
      <c r="D29" s="118"/>
      <c r="E29" s="118"/>
      <c r="F29" s="118"/>
      <c r="G29" s="118"/>
      <c r="H29" s="118"/>
      <c r="I29" s="118"/>
    </row>
    <row r="30" spans="2:9">
      <c r="B30" s="118">
        <v>8</v>
      </c>
      <c r="C30" s="118">
        <v>8</v>
      </c>
      <c r="D30" s="118"/>
      <c r="E30" s="118"/>
      <c r="F30" s="118"/>
      <c r="G30" s="118"/>
      <c r="H30" s="118"/>
      <c r="I30" s="118"/>
    </row>
    <row r="31" spans="2:9">
      <c r="B31" s="118">
        <v>9</v>
      </c>
      <c r="C31" s="118">
        <v>9</v>
      </c>
      <c r="D31" s="118"/>
      <c r="E31" s="118"/>
      <c r="F31" s="118"/>
      <c r="G31" s="118"/>
      <c r="H31" s="118"/>
      <c r="I31" s="118"/>
    </row>
    <row r="32" spans="2:9">
      <c r="B32" s="118">
        <v>10</v>
      </c>
      <c r="C32" s="118">
        <v>10</v>
      </c>
      <c r="D32" s="118"/>
      <c r="E32" s="118"/>
      <c r="F32" s="118"/>
      <c r="G32" s="118"/>
      <c r="H32" s="118"/>
      <c r="I32" s="118"/>
    </row>
    <row r="33" spans="2:9">
      <c r="B33" s="118">
        <v>11</v>
      </c>
      <c r="C33" s="118">
        <v>11</v>
      </c>
      <c r="D33" s="118"/>
      <c r="E33" s="118"/>
      <c r="F33" s="118"/>
      <c r="G33" s="118"/>
      <c r="H33" s="118"/>
      <c r="I33" s="118"/>
    </row>
    <row r="34" spans="2:9">
      <c r="B34" s="118">
        <v>12</v>
      </c>
      <c r="C34" s="118">
        <v>12</v>
      </c>
      <c r="D34" s="118"/>
      <c r="E34" s="118"/>
      <c r="F34" s="118"/>
      <c r="G34" s="118"/>
      <c r="H34" s="118"/>
      <c r="I34" s="118"/>
    </row>
    <row r="35" spans="2:9">
      <c r="B35" s="118">
        <v>13</v>
      </c>
      <c r="C35" s="118">
        <v>13</v>
      </c>
      <c r="D35" s="118"/>
      <c r="E35" s="118"/>
      <c r="F35" s="118"/>
      <c r="G35" s="118"/>
      <c r="H35" s="118"/>
      <c r="I35" s="118"/>
    </row>
    <row r="36" spans="2:9">
      <c r="B36" s="118">
        <v>14</v>
      </c>
      <c r="C36" s="118">
        <v>14</v>
      </c>
      <c r="D36" s="118"/>
      <c r="E36" s="118"/>
      <c r="F36" s="118"/>
      <c r="G36" s="118"/>
      <c r="H36" s="118"/>
      <c r="I36" s="118"/>
    </row>
    <row r="37" spans="2:9">
      <c r="B37" s="118">
        <v>15</v>
      </c>
      <c r="C37" s="118">
        <v>15</v>
      </c>
      <c r="D37" s="118"/>
      <c r="E37" s="118"/>
      <c r="F37" s="118"/>
      <c r="G37" s="118"/>
      <c r="H37" s="118"/>
      <c r="I37" s="118"/>
    </row>
    <row r="38" spans="2:9">
      <c r="B38" s="118">
        <v>16</v>
      </c>
      <c r="C38" s="118">
        <v>16</v>
      </c>
      <c r="D38" s="118"/>
      <c r="E38" s="118"/>
      <c r="F38" s="118"/>
      <c r="G38" s="118"/>
      <c r="H38" s="118"/>
      <c r="I38" s="118"/>
    </row>
    <row r="39" spans="2:9">
      <c r="B39" s="118">
        <v>17</v>
      </c>
      <c r="C39" s="118">
        <v>17</v>
      </c>
      <c r="D39" s="118"/>
      <c r="E39" s="118"/>
      <c r="F39" s="118"/>
      <c r="G39" s="118"/>
      <c r="H39" s="118"/>
      <c r="I39" s="118"/>
    </row>
    <row r="40" spans="2:9">
      <c r="B40" s="118">
        <v>18</v>
      </c>
      <c r="C40" s="118">
        <v>18</v>
      </c>
      <c r="D40" s="118"/>
      <c r="E40" s="118"/>
      <c r="F40" s="118"/>
      <c r="G40" s="118"/>
      <c r="H40" s="118"/>
      <c r="I40" s="118"/>
    </row>
    <row r="41" spans="2:9">
      <c r="B41" s="118">
        <v>19</v>
      </c>
      <c r="C41" s="118">
        <v>19</v>
      </c>
      <c r="D41" s="118"/>
      <c r="E41" s="118"/>
      <c r="F41" s="118"/>
      <c r="G41" s="118"/>
      <c r="H41" s="118"/>
      <c r="I41" s="118"/>
    </row>
    <row r="42" spans="2:9">
      <c r="B42" s="118">
        <v>20</v>
      </c>
      <c r="C42" s="118">
        <v>20</v>
      </c>
      <c r="D42" s="118"/>
      <c r="E42" s="118"/>
      <c r="F42" s="118"/>
      <c r="G42" s="118"/>
      <c r="H42" s="118"/>
      <c r="I42" s="118"/>
    </row>
    <row r="43" spans="2:9">
      <c r="B43" s="118">
        <v>21</v>
      </c>
      <c r="C43" s="118">
        <v>21</v>
      </c>
      <c r="D43" s="118"/>
      <c r="E43" s="118"/>
      <c r="F43" s="118"/>
      <c r="G43" s="118"/>
      <c r="H43" s="118"/>
      <c r="I43" s="118"/>
    </row>
    <row r="44" spans="2:9">
      <c r="B44" s="118">
        <v>22</v>
      </c>
      <c r="C44" s="118">
        <v>22</v>
      </c>
      <c r="D44" s="118"/>
      <c r="E44" s="118"/>
      <c r="F44" s="118"/>
      <c r="G44" s="118"/>
      <c r="H44" s="118"/>
      <c r="I44" s="118"/>
    </row>
    <row r="45" spans="2:9">
      <c r="B45" s="118">
        <v>23</v>
      </c>
      <c r="C45" s="118">
        <v>23</v>
      </c>
      <c r="D45" s="118"/>
      <c r="E45" s="118"/>
      <c r="F45" s="118"/>
      <c r="G45" s="118"/>
      <c r="H45" s="118"/>
      <c r="I45" s="118"/>
    </row>
    <row r="46" spans="2:9">
      <c r="B46" s="118">
        <v>24</v>
      </c>
      <c r="C46" s="118">
        <v>24</v>
      </c>
      <c r="D46" s="118"/>
      <c r="E46" s="118"/>
      <c r="F46" s="118"/>
      <c r="G46" s="118"/>
      <c r="H46" s="118"/>
      <c r="I46" s="118"/>
    </row>
    <row r="47" spans="2:9">
      <c r="B47" s="118">
        <v>25</v>
      </c>
      <c r="C47" s="118">
        <v>25</v>
      </c>
      <c r="D47" s="118"/>
      <c r="E47" s="118"/>
      <c r="F47" s="118"/>
      <c r="G47" s="118"/>
      <c r="H47" s="118"/>
      <c r="I47" s="118"/>
    </row>
    <row r="48" spans="2:9">
      <c r="B48" s="118">
        <v>26</v>
      </c>
      <c r="C48" s="118">
        <v>26</v>
      </c>
      <c r="D48" s="118"/>
      <c r="E48" s="118"/>
      <c r="F48" s="118"/>
      <c r="G48" s="118"/>
      <c r="H48" s="118"/>
      <c r="I48" s="118"/>
    </row>
    <row r="49" spans="2:9">
      <c r="B49" s="118">
        <v>27</v>
      </c>
      <c r="C49" s="118">
        <v>27</v>
      </c>
      <c r="D49" s="118"/>
      <c r="E49" s="118"/>
      <c r="F49" s="118"/>
      <c r="G49" s="118"/>
      <c r="H49" s="118"/>
      <c r="I49" s="118"/>
    </row>
    <row r="50" spans="2:9">
      <c r="B50" s="118">
        <v>28</v>
      </c>
      <c r="C50" s="118">
        <v>28</v>
      </c>
      <c r="D50" s="118"/>
      <c r="E50" s="118"/>
      <c r="F50" s="118"/>
      <c r="G50" s="118"/>
      <c r="H50" s="118"/>
      <c r="I50" s="118"/>
    </row>
    <row r="51" spans="2:9">
      <c r="B51" s="118">
        <v>29</v>
      </c>
      <c r="C51" s="118">
        <v>29</v>
      </c>
      <c r="D51" s="118"/>
      <c r="E51" s="118"/>
      <c r="F51" s="118"/>
      <c r="G51" s="118"/>
      <c r="H51" s="118"/>
      <c r="I51" s="118"/>
    </row>
    <row r="52" spans="2:9">
      <c r="B52" s="118">
        <v>30</v>
      </c>
      <c r="C52" s="118">
        <v>30</v>
      </c>
      <c r="D52" s="118" t="s">
        <v>197</v>
      </c>
      <c r="E52" s="118" t="s">
        <v>163</v>
      </c>
      <c r="F52" s="118">
        <v>300</v>
      </c>
      <c r="G52" s="118"/>
      <c r="H52" s="118"/>
      <c r="I52" s="118"/>
    </row>
    <row r="53" spans="2:9">
      <c r="B53" s="118">
        <v>31</v>
      </c>
      <c r="C53" s="118">
        <v>31</v>
      </c>
      <c r="D53" s="118" t="s">
        <v>28</v>
      </c>
      <c r="E53" s="118" t="s">
        <v>143</v>
      </c>
      <c r="F53" s="118">
        <v>95</v>
      </c>
      <c r="G53" s="118"/>
      <c r="H53" s="118"/>
      <c r="I53" s="118"/>
    </row>
    <row r="54" spans="2:9">
      <c r="B54" s="118">
        <v>32</v>
      </c>
      <c r="C54" s="118">
        <v>31</v>
      </c>
      <c r="D54" s="118" t="s">
        <v>29</v>
      </c>
      <c r="E54" s="118" t="s">
        <v>145</v>
      </c>
      <c r="F54" s="118">
        <v>95</v>
      </c>
      <c r="G54" s="118"/>
      <c r="H54" s="118"/>
      <c r="I54" s="118"/>
    </row>
    <row r="55" spans="2:9">
      <c r="B55" s="118">
        <v>33</v>
      </c>
      <c r="C55" s="118">
        <v>31</v>
      </c>
      <c r="D55" s="118" t="s">
        <v>159</v>
      </c>
      <c r="E55" s="118" t="s">
        <v>147</v>
      </c>
      <c r="F55" s="118">
        <v>95</v>
      </c>
      <c r="G55" s="118"/>
      <c r="H55" s="118"/>
      <c r="I55" s="118"/>
    </row>
    <row r="56" spans="2:9">
      <c r="B56" s="118">
        <v>34</v>
      </c>
      <c r="C56" s="118">
        <v>31</v>
      </c>
      <c r="D56" s="118" t="s">
        <v>175</v>
      </c>
      <c r="E56" s="118" t="s">
        <v>149</v>
      </c>
      <c r="F56" s="118">
        <v>95</v>
      </c>
      <c r="G56" s="118"/>
      <c r="H56" s="118"/>
      <c r="I56" s="118"/>
    </row>
    <row r="57" spans="2:9">
      <c r="B57" s="118">
        <v>35</v>
      </c>
      <c r="C57" s="118">
        <v>31</v>
      </c>
      <c r="D57" s="118" t="s">
        <v>160</v>
      </c>
      <c r="E57" s="118" t="s">
        <v>150</v>
      </c>
      <c r="F57" s="118">
        <v>95</v>
      </c>
      <c r="G57" s="118"/>
      <c r="H57" s="118"/>
      <c r="I57" s="118"/>
    </row>
    <row r="58" spans="2:9">
      <c r="B58" s="118">
        <v>36</v>
      </c>
      <c r="C58" s="118">
        <v>31</v>
      </c>
      <c r="D58" s="118" t="s">
        <v>176</v>
      </c>
      <c r="E58" s="118" t="s">
        <v>152</v>
      </c>
      <c r="F58" s="118">
        <v>95</v>
      </c>
      <c r="G58" s="118"/>
      <c r="H58" s="118"/>
      <c r="I58" s="118"/>
    </row>
    <row r="59" spans="2:9">
      <c r="B59" s="118">
        <v>37</v>
      </c>
      <c r="C59" s="118">
        <v>31</v>
      </c>
      <c r="D59" s="118" t="s">
        <v>161</v>
      </c>
      <c r="E59" s="118" t="s">
        <v>153</v>
      </c>
      <c r="F59" s="118">
        <v>95</v>
      </c>
      <c r="G59" s="118"/>
      <c r="H59" s="118"/>
      <c r="I59" s="118"/>
    </row>
    <row r="60" spans="2:9">
      <c r="B60" s="118">
        <v>38</v>
      </c>
      <c r="C60" s="118">
        <v>31</v>
      </c>
      <c r="D60" s="118" t="s">
        <v>142</v>
      </c>
      <c r="E60" s="118" t="s">
        <v>155</v>
      </c>
      <c r="F60" s="118">
        <v>95</v>
      </c>
      <c r="G60" s="118"/>
      <c r="H60" s="118"/>
      <c r="I60" s="118"/>
    </row>
    <row r="61" spans="2:9">
      <c r="B61" s="118">
        <v>39</v>
      </c>
      <c r="C61" s="118">
        <v>31</v>
      </c>
      <c r="D61" s="118" t="s">
        <v>162</v>
      </c>
      <c r="E61" s="118" t="s">
        <v>157</v>
      </c>
      <c r="F61" s="118">
        <v>95</v>
      </c>
      <c r="G61" s="118"/>
      <c r="H61" s="118"/>
      <c r="I61" s="118"/>
    </row>
    <row r="62" spans="2:9">
      <c r="B62" s="118">
        <v>40</v>
      </c>
      <c r="C62" s="118">
        <v>43</v>
      </c>
      <c r="D62" s="118"/>
      <c r="E62" s="118"/>
      <c r="F62" s="118"/>
      <c r="G62" s="118"/>
      <c r="H62" s="118"/>
      <c r="I62" s="118"/>
    </row>
    <row r="63" spans="2:9">
      <c r="B63" s="118">
        <v>41</v>
      </c>
      <c r="C63" s="118">
        <v>44</v>
      </c>
      <c r="D63" s="118"/>
      <c r="E63" s="118" t="s">
        <v>84</v>
      </c>
      <c r="F63" s="118">
        <v>100</v>
      </c>
      <c r="G63" s="118">
        <v>210</v>
      </c>
      <c r="H63" s="118">
        <v>390</v>
      </c>
      <c r="I63" s="118">
        <v>550</v>
      </c>
    </row>
    <row r="64" spans="2:9">
      <c r="B64" s="118">
        <v>42</v>
      </c>
      <c r="C64" s="118">
        <v>45</v>
      </c>
      <c r="D64" s="118" t="s">
        <v>177</v>
      </c>
      <c r="E64" s="118" t="s">
        <v>98</v>
      </c>
      <c r="F64" s="118">
        <v>204.5</v>
      </c>
      <c r="G64" s="118">
        <v>130</v>
      </c>
      <c r="H64" s="118">
        <v>275</v>
      </c>
      <c r="I64" s="118">
        <v>700</v>
      </c>
    </row>
    <row r="65" spans="2:9">
      <c r="B65" s="118">
        <v>43</v>
      </c>
      <c r="C65" s="118">
        <v>46</v>
      </c>
      <c r="D65" s="118"/>
      <c r="E65" s="118" t="s">
        <v>85</v>
      </c>
      <c r="F65" s="118">
        <v>130</v>
      </c>
      <c r="G65" s="118">
        <v>170</v>
      </c>
      <c r="H65" s="118">
        <v>360</v>
      </c>
      <c r="I65" s="118">
        <v>600</v>
      </c>
    </row>
    <row r="66" spans="2:9">
      <c r="B66" s="118">
        <v>44</v>
      </c>
      <c r="C66" s="118">
        <v>47</v>
      </c>
      <c r="D66" s="118" t="s">
        <v>177</v>
      </c>
      <c r="E66" s="118" t="s">
        <v>99</v>
      </c>
      <c r="F66" s="118">
        <v>204.5</v>
      </c>
      <c r="G66" s="118">
        <v>125</v>
      </c>
      <c r="H66" s="118">
        <v>270</v>
      </c>
      <c r="I66" s="118">
        <v>700</v>
      </c>
    </row>
    <row r="67" spans="2:9">
      <c r="B67" s="118">
        <v>45</v>
      </c>
      <c r="C67" s="118">
        <v>52</v>
      </c>
      <c r="D67" s="118"/>
      <c r="E67" s="118"/>
      <c r="F67" s="118"/>
      <c r="G67" s="118"/>
      <c r="H67" s="118"/>
      <c r="I67" s="118"/>
    </row>
    <row r="68" spans="2:9">
      <c r="B68" s="118">
        <v>46</v>
      </c>
      <c r="C68" s="118">
        <v>53</v>
      </c>
      <c r="D68" s="118"/>
      <c r="E68" s="118" t="s">
        <v>86</v>
      </c>
      <c r="F68" s="118">
        <v>234.5</v>
      </c>
      <c r="G68" s="118">
        <v>179</v>
      </c>
      <c r="H68" s="118">
        <v>270</v>
      </c>
      <c r="I68" s="118">
        <v>650</v>
      </c>
    </row>
    <row r="69" spans="2:9">
      <c r="B69" s="118">
        <v>47</v>
      </c>
      <c r="C69" s="118">
        <v>54</v>
      </c>
      <c r="D69" s="118"/>
      <c r="E69" s="118" t="s">
        <v>91</v>
      </c>
      <c r="F69" s="118"/>
      <c r="G69" s="118"/>
      <c r="H69" s="118"/>
      <c r="I69" s="118"/>
    </row>
    <row r="70" spans="2:9">
      <c r="B70" s="118">
        <v>48</v>
      </c>
      <c r="C70" s="118">
        <v>55</v>
      </c>
      <c r="D70" s="118"/>
      <c r="E70" s="118" t="s">
        <v>87</v>
      </c>
      <c r="F70" s="118">
        <v>234.5</v>
      </c>
      <c r="G70" s="118">
        <v>179</v>
      </c>
      <c r="H70" s="118">
        <v>270</v>
      </c>
      <c r="I70" s="118">
        <v>650</v>
      </c>
    </row>
    <row r="71" spans="2:9">
      <c r="B71" s="118">
        <v>49</v>
      </c>
      <c r="C71" s="118">
        <v>56</v>
      </c>
      <c r="D71" s="118"/>
      <c r="E71" s="118" t="s">
        <v>92</v>
      </c>
      <c r="F71" s="118"/>
      <c r="G71" s="118"/>
      <c r="H71" s="118"/>
      <c r="I71" s="118"/>
    </row>
    <row r="72" spans="2:9">
      <c r="B72" s="118">
        <v>50</v>
      </c>
      <c r="C72" s="118">
        <v>57</v>
      </c>
      <c r="D72" s="118"/>
      <c r="E72" s="118" t="s">
        <v>88</v>
      </c>
      <c r="F72" s="118">
        <v>234.5</v>
      </c>
      <c r="G72" s="118">
        <v>179</v>
      </c>
      <c r="H72" s="118">
        <v>270</v>
      </c>
      <c r="I72" s="118">
        <v>650</v>
      </c>
    </row>
    <row r="73" spans="2:9">
      <c r="B73" s="118">
        <v>51</v>
      </c>
      <c r="C73" s="118">
        <v>58</v>
      </c>
      <c r="D73" s="118"/>
      <c r="E73" s="118" t="s">
        <v>95</v>
      </c>
      <c r="F73" s="118"/>
      <c r="G73" s="118"/>
      <c r="H73" s="118"/>
      <c r="I73" s="118"/>
    </row>
    <row r="74" spans="2:9">
      <c r="B74" s="118">
        <v>52</v>
      </c>
      <c r="C74" s="118">
        <v>59</v>
      </c>
      <c r="D74" s="118"/>
      <c r="E74" s="118" t="s">
        <v>89</v>
      </c>
      <c r="F74" s="118">
        <v>234.5</v>
      </c>
      <c r="G74" s="118">
        <v>179</v>
      </c>
      <c r="H74" s="118">
        <v>270</v>
      </c>
      <c r="I74" s="118">
        <v>650</v>
      </c>
    </row>
    <row r="75" spans="2:9">
      <c r="B75" s="118">
        <v>53</v>
      </c>
      <c r="C75" s="118">
        <v>60</v>
      </c>
      <c r="D75" s="118"/>
      <c r="E75" s="118" t="s">
        <v>93</v>
      </c>
      <c r="F75" s="118"/>
      <c r="G75" s="118"/>
      <c r="H75" s="118"/>
      <c r="I75" s="118"/>
    </row>
    <row r="76" spans="2:9">
      <c r="B76" s="118">
        <v>54</v>
      </c>
      <c r="C76" s="118">
        <v>61</v>
      </c>
      <c r="D76" s="118"/>
      <c r="E76" s="118" t="s">
        <v>90</v>
      </c>
      <c r="F76" s="118">
        <v>234.5</v>
      </c>
      <c r="G76" s="118">
        <v>179</v>
      </c>
      <c r="H76" s="118">
        <v>270</v>
      </c>
      <c r="I76" s="118">
        <v>650</v>
      </c>
    </row>
    <row r="77" spans="2:9">
      <c r="B77" s="118">
        <v>55</v>
      </c>
      <c r="C77" s="118">
        <v>62</v>
      </c>
      <c r="D77" s="118"/>
      <c r="E77" s="118" t="s">
        <v>94</v>
      </c>
      <c r="F77" s="118"/>
      <c r="G77" s="118"/>
      <c r="H77" s="118"/>
      <c r="I77" s="118"/>
    </row>
    <row r="78" spans="2:9">
      <c r="B78" s="118">
        <v>56</v>
      </c>
      <c r="C78" s="118">
        <v>63</v>
      </c>
      <c r="D78" s="118"/>
      <c r="E78" s="118" t="s">
        <v>126</v>
      </c>
      <c r="F78" s="118">
        <v>112</v>
      </c>
      <c r="G78" s="118">
        <v>236.5</v>
      </c>
      <c r="H78" s="118">
        <v>390</v>
      </c>
      <c r="I78" s="118">
        <v>500</v>
      </c>
    </row>
    <row r="79" spans="2:9">
      <c r="B79" s="118">
        <v>57</v>
      </c>
      <c r="C79" s="118">
        <v>64</v>
      </c>
      <c r="D79" s="118"/>
      <c r="E79" s="118" t="s">
        <v>100</v>
      </c>
      <c r="F79" s="118">
        <v>58</v>
      </c>
      <c r="G79" s="118">
        <v>180</v>
      </c>
      <c r="H79" s="118">
        <v>450</v>
      </c>
      <c r="I79" s="118">
        <v>530</v>
      </c>
    </row>
    <row r="80" spans="2:9">
      <c r="B80" s="118">
        <v>58</v>
      </c>
      <c r="C80" s="118">
        <v>65</v>
      </c>
      <c r="D80" s="118"/>
      <c r="E80" s="118"/>
      <c r="F80" s="119"/>
      <c r="G80" s="118"/>
      <c r="H80" s="118"/>
      <c r="I80" s="118"/>
    </row>
    <row r="81" spans="2:9">
      <c r="B81" s="118">
        <v>59</v>
      </c>
      <c r="C81" s="118">
        <v>66</v>
      </c>
      <c r="D81" s="118"/>
      <c r="E81" s="118" t="s">
        <v>96</v>
      </c>
      <c r="F81" s="118">
        <v>160</v>
      </c>
      <c r="G81" s="118">
        <v>175</v>
      </c>
      <c r="H81" s="118">
        <v>300</v>
      </c>
      <c r="I81" s="118">
        <v>605</v>
      </c>
    </row>
    <row r="82" spans="2:9">
      <c r="B82" s="118">
        <v>60</v>
      </c>
      <c r="C82" s="118">
        <v>67</v>
      </c>
      <c r="D82" s="118"/>
      <c r="E82" s="118" t="s">
        <v>97</v>
      </c>
      <c r="F82" s="118">
        <v>160</v>
      </c>
      <c r="G82" s="118">
        <v>175</v>
      </c>
      <c r="H82" s="118">
        <v>300</v>
      </c>
      <c r="I82" s="118">
        <v>605</v>
      </c>
    </row>
    <row r="83" spans="2:9">
      <c r="B83" s="118">
        <v>61</v>
      </c>
      <c r="C83" s="118">
        <v>68</v>
      </c>
      <c r="D83" s="118"/>
      <c r="E83" s="118"/>
      <c r="F83" s="118"/>
      <c r="G83" s="118"/>
      <c r="H83" s="118"/>
      <c r="I83" s="118"/>
    </row>
    <row r="84" spans="2:9">
      <c r="B84" s="118">
        <v>62</v>
      </c>
      <c r="C84" s="118">
        <v>69</v>
      </c>
      <c r="D84" s="118" t="s">
        <v>198</v>
      </c>
      <c r="E84" s="118" t="s">
        <v>144</v>
      </c>
      <c r="F84" s="118">
        <v>130</v>
      </c>
      <c r="G84" s="118">
        <v>220</v>
      </c>
      <c r="H84" s="118"/>
      <c r="I84" s="118"/>
    </row>
    <row r="85" spans="2:9">
      <c r="B85" s="118">
        <v>62</v>
      </c>
      <c r="C85" s="118">
        <v>69</v>
      </c>
      <c r="D85" s="118"/>
      <c r="E85" s="118" t="s">
        <v>180</v>
      </c>
      <c r="F85" s="118">
        <v>360</v>
      </c>
      <c r="G85" s="118">
        <v>220</v>
      </c>
      <c r="H85" s="118"/>
      <c r="I85" s="118"/>
    </row>
    <row r="86" spans="2:9">
      <c r="B86" s="118">
        <v>63</v>
      </c>
      <c r="C86" s="118">
        <v>69</v>
      </c>
      <c r="D86" s="118" t="s">
        <v>199</v>
      </c>
      <c r="E86" s="118" t="s">
        <v>146</v>
      </c>
      <c r="F86" s="118">
        <v>130</v>
      </c>
      <c r="G86" s="118">
        <v>220</v>
      </c>
      <c r="H86" s="118"/>
      <c r="I86" s="118"/>
    </row>
    <row r="87" spans="2:9">
      <c r="B87" s="118">
        <v>63</v>
      </c>
      <c r="C87" s="118">
        <v>69</v>
      </c>
      <c r="D87" s="118"/>
      <c r="E87" s="118" t="s">
        <v>179</v>
      </c>
      <c r="F87" s="118">
        <v>360</v>
      </c>
      <c r="G87" s="118">
        <v>220</v>
      </c>
      <c r="H87" s="118"/>
      <c r="I87" s="118"/>
    </row>
    <row r="88" spans="2:9">
      <c r="B88" s="118">
        <v>64</v>
      </c>
      <c r="C88" s="118">
        <v>69</v>
      </c>
      <c r="D88" s="118" t="s">
        <v>200</v>
      </c>
      <c r="E88" s="118" t="s">
        <v>148</v>
      </c>
      <c r="F88" s="118">
        <v>130</v>
      </c>
      <c r="G88" s="118">
        <v>220</v>
      </c>
      <c r="H88" s="118"/>
      <c r="I88" s="118"/>
    </row>
    <row r="89" spans="2:9">
      <c r="B89" s="118">
        <v>64</v>
      </c>
      <c r="C89" s="118">
        <v>69</v>
      </c>
      <c r="D89" s="118"/>
      <c r="E89" s="118" t="s">
        <v>178</v>
      </c>
      <c r="F89" s="118">
        <v>360</v>
      </c>
      <c r="G89" s="118">
        <v>220</v>
      </c>
      <c r="H89" s="118"/>
      <c r="I89" s="118"/>
    </row>
    <row r="90" spans="2:9">
      <c r="B90" s="118">
        <v>65</v>
      </c>
      <c r="C90" s="118">
        <v>69</v>
      </c>
      <c r="D90" s="118" t="s">
        <v>201</v>
      </c>
      <c r="E90" s="118" t="s">
        <v>186</v>
      </c>
      <c r="F90" s="118">
        <v>130</v>
      </c>
      <c r="G90" s="118">
        <v>220</v>
      </c>
      <c r="H90" s="118"/>
      <c r="I90" s="118"/>
    </row>
    <row r="91" spans="2:9">
      <c r="B91" s="118">
        <v>65</v>
      </c>
      <c r="C91" s="118">
        <v>69</v>
      </c>
      <c r="D91" s="118"/>
      <c r="E91" s="118" t="s">
        <v>185</v>
      </c>
      <c r="F91" s="118">
        <v>360</v>
      </c>
      <c r="G91" s="118">
        <v>220</v>
      </c>
      <c r="H91" s="118"/>
      <c r="I91" s="118"/>
    </row>
    <row r="92" spans="2:9">
      <c r="B92" s="118">
        <v>66</v>
      </c>
      <c r="C92" s="118">
        <v>69</v>
      </c>
      <c r="D92" s="118" t="s">
        <v>203</v>
      </c>
      <c r="E92" s="118" t="s">
        <v>188</v>
      </c>
      <c r="F92" s="118">
        <v>130</v>
      </c>
      <c r="G92" s="118">
        <v>220</v>
      </c>
      <c r="H92" s="118"/>
      <c r="I92" s="118"/>
    </row>
    <row r="93" spans="2:9">
      <c r="B93" s="118">
        <v>66</v>
      </c>
      <c r="C93" s="118">
        <v>69</v>
      </c>
      <c r="D93" s="118"/>
      <c r="E93" s="118" t="s">
        <v>187</v>
      </c>
      <c r="F93" s="118">
        <v>360</v>
      </c>
      <c r="G93" s="118">
        <v>220</v>
      </c>
      <c r="H93" s="118"/>
      <c r="I93" s="118"/>
    </row>
    <row r="94" spans="2:9">
      <c r="B94" s="118">
        <v>67</v>
      </c>
      <c r="C94" s="118">
        <v>69</v>
      </c>
      <c r="D94" s="118" t="s">
        <v>202</v>
      </c>
      <c r="E94" s="118" t="s">
        <v>151</v>
      </c>
      <c r="F94" s="118">
        <v>130</v>
      </c>
      <c r="G94" s="118">
        <v>220</v>
      </c>
      <c r="H94" s="118"/>
      <c r="I94" s="118"/>
    </row>
    <row r="95" spans="2:9">
      <c r="B95" s="118">
        <v>67</v>
      </c>
      <c r="C95" s="118">
        <v>69</v>
      </c>
      <c r="D95" s="118"/>
      <c r="E95" s="118" t="s">
        <v>181</v>
      </c>
      <c r="F95" s="118">
        <v>360</v>
      </c>
      <c r="G95" s="118">
        <v>220</v>
      </c>
      <c r="H95" s="118"/>
      <c r="I95" s="118"/>
    </row>
    <row r="96" spans="2:9">
      <c r="B96" s="118">
        <v>68</v>
      </c>
      <c r="C96" s="118">
        <v>69</v>
      </c>
      <c r="D96" s="118" t="s">
        <v>204</v>
      </c>
      <c r="E96" s="118" t="s">
        <v>189</v>
      </c>
      <c r="F96" s="118">
        <v>130</v>
      </c>
      <c r="G96" s="118">
        <v>220</v>
      </c>
      <c r="H96" s="118"/>
      <c r="I96" s="118"/>
    </row>
    <row r="97" spans="2:9">
      <c r="B97" s="118">
        <v>68</v>
      </c>
      <c r="C97" s="118">
        <v>69</v>
      </c>
      <c r="D97" s="118"/>
      <c r="E97" s="118" t="s">
        <v>190</v>
      </c>
      <c r="F97" s="118">
        <v>360</v>
      </c>
      <c r="G97" s="118">
        <v>220</v>
      </c>
      <c r="H97" s="118"/>
      <c r="I97" s="118"/>
    </row>
    <row r="98" spans="2:9">
      <c r="B98" s="118">
        <v>69</v>
      </c>
      <c r="C98" s="118">
        <v>69</v>
      </c>
      <c r="D98" s="118" t="s">
        <v>205</v>
      </c>
      <c r="E98" s="118" t="s">
        <v>191</v>
      </c>
      <c r="F98" s="118">
        <v>130</v>
      </c>
      <c r="G98" s="118">
        <v>220</v>
      </c>
      <c r="H98" s="118"/>
      <c r="I98" s="118"/>
    </row>
    <row r="99" spans="2:9">
      <c r="B99" s="118">
        <v>69</v>
      </c>
      <c r="C99" s="118">
        <v>69</v>
      </c>
      <c r="D99" s="118"/>
      <c r="E99" s="118" t="s">
        <v>192</v>
      </c>
      <c r="F99" s="118">
        <v>360</v>
      </c>
      <c r="G99" s="118">
        <v>220</v>
      </c>
      <c r="H99" s="118"/>
      <c r="I99" s="118"/>
    </row>
    <row r="100" spans="2:9" ht="30">
      <c r="B100" s="118">
        <v>70</v>
      </c>
      <c r="C100" s="118">
        <v>69</v>
      </c>
      <c r="D100" s="120" t="s">
        <v>206</v>
      </c>
      <c r="E100" s="118" t="s">
        <v>154</v>
      </c>
      <c r="F100" s="118">
        <v>130</v>
      </c>
      <c r="G100" s="118">
        <v>220</v>
      </c>
      <c r="H100" s="118"/>
      <c r="I100" s="118"/>
    </row>
    <row r="101" spans="2:9">
      <c r="B101" s="118">
        <v>70</v>
      </c>
      <c r="C101" s="118">
        <v>69</v>
      </c>
      <c r="D101" s="118"/>
      <c r="E101" s="118" t="s">
        <v>182</v>
      </c>
      <c r="F101" s="118">
        <v>360</v>
      </c>
      <c r="G101" s="118">
        <v>220</v>
      </c>
      <c r="H101" s="118"/>
      <c r="I101" s="118"/>
    </row>
    <row r="102" spans="2:9">
      <c r="B102" s="118">
        <v>71</v>
      </c>
      <c r="C102" s="118">
        <v>69</v>
      </c>
      <c r="D102" s="118" t="s">
        <v>207</v>
      </c>
      <c r="E102" s="118" t="s">
        <v>156</v>
      </c>
      <c r="F102" s="118">
        <v>130</v>
      </c>
      <c r="G102" s="118">
        <v>220</v>
      </c>
      <c r="H102" s="118"/>
      <c r="I102" s="118"/>
    </row>
    <row r="103" spans="2:9">
      <c r="B103" s="118">
        <v>71</v>
      </c>
      <c r="C103" s="118">
        <v>69</v>
      </c>
      <c r="D103" s="118"/>
      <c r="E103" s="118" t="s">
        <v>183</v>
      </c>
      <c r="F103" s="118">
        <v>360</v>
      </c>
      <c r="G103" s="118">
        <v>220</v>
      </c>
      <c r="H103" s="118"/>
      <c r="I103" s="118"/>
    </row>
    <row r="104" spans="2:9">
      <c r="B104" s="118">
        <v>72</v>
      </c>
      <c r="C104" s="118">
        <v>69</v>
      </c>
      <c r="D104" s="118" t="s">
        <v>208</v>
      </c>
      <c r="E104" s="118" t="s">
        <v>158</v>
      </c>
      <c r="F104" s="118">
        <v>130</v>
      </c>
      <c r="G104" s="118">
        <v>220</v>
      </c>
      <c r="H104" s="118"/>
      <c r="I104" s="118"/>
    </row>
    <row r="105" spans="2:9">
      <c r="B105" s="118">
        <v>72</v>
      </c>
      <c r="C105" s="118">
        <v>69</v>
      </c>
      <c r="D105" s="118"/>
      <c r="E105" s="118" t="s">
        <v>184</v>
      </c>
      <c r="F105" s="118">
        <v>360</v>
      </c>
      <c r="G105" s="118">
        <v>220</v>
      </c>
      <c r="H105" s="118"/>
      <c r="I105" s="118"/>
    </row>
    <row r="106" spans="2:9">
      <c r="B106" s="118">
        <v>73</v>
      </c>
      <c r="C106" s="118">
        <v>89</v>
      </c>
      <c r="D106" s="118"/>
      <c r="E106" s="118"/>
      <c r="F106" s="118"/>
      <c r="G106" s="118"/>
      <c r="H106" s="118"/>
      <c r="I106" s="118"/>
    </row>
    <row r="107" spans="2:9">
      <c r="B107" s="118">
        <v>74</v>
      </c>
      <c r="C107" s="118">
        <v>90</v>
      </c>
      <c r="D107" s="118"/>
      <c r="E107" s="118"/>
      <c r="F107" s="118"/>
      <c r="G107" s="118"/>
      <c r="H107" s="118"/>
      <c r="I107" s="118"/>
    </row>
    <row r="108" spans="2:9">
      <c r="B108" s="118">
        <v>75</v>
      </c>
      <c r="C108" s="118">
        <v>91</v>
      </c>
      <c r="D108" s="118"/>
      <c r="E108" s="118"/>
      <c r="F108" s="118"/>
      <c r="G108" s="118"/>
      <c r="H108" s="118"/>
      <c r="I108" s="118"/>
    </row>
    <row r="109" spans="2:9">
      <c r="B109" s="118">
        <v>76</v>
      </c>
      <c r="C109" s="118">
        <v>92</v>
      </c>
      <c r="D109" s="118"/>
      <c r="E109" s="118"/>
      <c r="F109" s="118"/>
      <c r="G109" s="118"/>
      <c r="H109" s="118"/>
      <c r="I109" s="118"/>
    </row>
    <row r="110" spans="2:9">
      <c r="B110" s="118">
        <v>77</v>
      </c>
      <c r="C110" s="118">
        <v>93</v>
      </c>
      <c r="D110" s="118"/>
      <c r="E110" s="118"/>
      <c r="F110" s="118"/>
      <c r="G110" s="118"/>
      <c r="H110" s="118"/>
      <c r="I110" s="118"/>
    </row>
    <row r="111" spans="2:9">
      <c r="B111" s="118">
        <v>78</v>
      </c>
      <c r="C111" s="118">
        <v>94</v>
      </c>
      <c r="D111" s="118"/>
      <c r="E111" s="118"/>
      <c r="F111" s="118"/>
      <c r="G111" s="118"/>
      <c r="H111" s="118"/>
      <c r="I111" s="118"/>
    </row>
    <row r="112" spans="2:9">
      <c r="B112" s="118">
        <v>79</v>
      </c>
      <c r="C112" s="118">
        <v>95</v>
      </c>
      <c r="D112" s="118"/>
      <c r="E112" s="118"/>
      <c r="F112" s="118"/>
      <c r="G112" s="118"/>
      <c r="H112" s="118"/>
      <c r="I112" s="118"/>
    </row>
    <row r="113" spans="2:9">
      <c r="B113" s="118">
        <v>80</v>
      </c>
      <c r="C113" s="118">
        <v>96</v>
      </c>
      <c r="D113" s="118"/>
      <c r="E113" s="118"/>
      <c r="F113" s="118"/>
      <c r="G113" s="118"/>
      <c r="H113" s="118"/>
      <c r="I113" s="118"/>
    </row>
  </sheetData>
  <sheetProtection formatCells="0" formatColumns="0" formatRows="0" insertRows="0" deleteRows="0"/>
  <mergeCells count="1">
    <mergeCell ref="B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7267" r:id="rId3" name="CommandButton1">
          <controlPr defaultSize="0" autoLine="0" r:id="rId4">
            <anchor moveWithCells="1">
              <from>
                <xdr:col>4</xdr:col>
                <xdr:colOff>0</xdr:colOff>
                <xdr:row>17</xdr:row>
                <xdr:rowOff>180975</xdr:rowOff>
              </from>
              <to>
                <xdr:col>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267267" r:id="rId3" name="CommandButton1"/>
      </mc:Fallback>
    </mc:AlternateContent>
    <mc:AlternateContent xmlns:mc="http://schemas.openxmlformats.org/markup-compatibility/2006">
      <mc:Choice Requires="x14">
        <control shapeId="267265" r:id="rId5" name="Button 1">
          <controlPr defaultSize="0" print="0" autoFill="0" autoPict="0" macro="[0]!Generar_PPT">
            <anchor moveWithCells="1" sizeWithCells="1">
              <from>
                <xdr:col>6</xdr:col>
                <xdr:colOff>0</xdr:colOff>
                <xdr:row>114</xdr:row>
                <xdr:rowOff>0</xdr:rowOff>
              </from>
              <to>
                <xdr:col>9</xdr:col>
                <xdr:colOff>0</xdr:colOff>
                <xdr:row>115</xdr:row>
                <xdr:rowOff>180975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656"/>
  <sheetViews>
    <sheetView topLeftCell="A406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257</v>
      </c>
    </row>
    <row r="31" spans="1:1">
      <c r="A31" t="s">
        <v>260</v>
      </c>
    </row>
    <row r="45" spans="1:10" ht="15.75" thickBot="1">
      <c r="A45" t="s">
        <v>490</v>
      </c>
      <c r="C45" s="150" t="s">
        <v>195</v>
      </c>
      <c r="D45" s="177">
        <v>85.93</v>
      </c>
      <c r="E45" s="177">
        <v>82.67</v>
      </c>
      <c r="F45" s="177">
        <v>89.46</v>
      </c>
      <c r="G45" s="177">
        <v>79.150000000000006</v>
      </c>
      <c r="H45" s="178">
        <v>3.2600000000000051</v>
      </c>
      <c r="I45" s="178">
        <v>-3.5299999999999869</v>
      </c>
      <c r="J45" s="178">
        <v>6.7800000000000011</v>
      </c>
    </row>
    <row r="46" spans="1:10" ht="15.75" thickBot="1">
      <c r="C46" s="151" t="s">
        <v>196</v>
      </c>
      <c r="D46" s="179">
        <v>81.56</v>
      </c>
      <c r="E46" s="179">
        <v>77.59</v>
      </c>
      <c r="F46" s="179">
        <v>88.6</v>
      </c>
      <c r="G46" s="179">
        <v>77.23</v>
      </c>
      <c r="H46" s="180">
        <v>3.9699999999999989</v>
      </c>
      <c r="I46" s="180">
        <v>-7.039999999999992</v>
      </c>
      <c r="J46" s="180">
        <v>4.3299999999999983</v>
      </c>
    </row>
    <row r="47" spans="1:10" ht="15.75" thickBot="1">
      <c r="C47" s="152" t="s">
        <v>194</v>
      </c>
      <c r="D47" s="181">
        <v>77.78</v>
      </c>
      <c r="E47" s="181">
        <v>73.56</v>
      </c>
      <c r="F47" s="181">
        <v>84.91</v>
      </c>
      <c r="G47" s="181">
        <v>75.44</v>
      </c>
      <c r="H47" s="182">
        <v>4.2199999999999989</v>
      </c>
      <c r="I47" s="182">
        <v>-7.1299999999999955</v>
      </c>
      <c r="J47" s="182">
        <v>2.3400000000000034</v>
      </c>
    </row>
    <row r="48" spans="1:10" ht="15.75" thickBot="1">
      <c r="C48" s="153" t="s">
        <v>222</v>
      </c>
      <c r="D48" s="183">
        <v>83.3</v>
      </c>
      <c r="E48" s="183">
        <v>78.540000000000006</v>
      </c>
      <c r="F48" s="183">
        <v>90.36</v>
      </c>
      <c r="G48" s="183">
        <v>80.28</v>
      </c>
      <c r="H48" s="184">
        <v>4.7599999999999909</v>
      </c>
      <c r="I48" s="184">
        <v>-7.0600000000000023</v>
      </c>
      <c r="J48" s="184">
        <v>3.019999999999996</v>
      </c>
    </row>
    <row r="49" spans="1:10" ht="15.75" thickBot="1">
      <c r="C49" s="154" t="s">
        <v>419</v>
      </c>
      <c r="D49" s="185">
        <v>86.19</v>
      </c>
      <c r="E49" s="185">
        <v>81.86</v>
      </c>
      <c r="F49" s="185">
        <v>92.63</v>
      </c>
      <c r="G49" s="185">
        <v>83.31</v>
      </c>
      <c r="H49" s="186">
        <v>4.3299999999999983</v>
      </c>
      <c r="I49" s="186">
        <v>-6.4399999999999977</v>
      </c>
      <c r="J49" s="186">
        <v>2.8799999999999955</v>
      </c>
    </row>
    <row r="50" spans="1:10">
      <c r="C50" t="s">
        <v>420</v>
      </c>
      <c r="D50" s="155">
        <v>82.91</v>
      </c>
      <c r="E50" s="155">
        <v>78.88</v>
      </c>
      <c r="F50" s="155">
        <v>89.03</v>
      </c>
      <c r="G50" s="155">
        <v>78.88</v>
      </c>
      <c r="H50" s="155">
        <v>4.0300000000000011</v>
      </c>
      <c r="I50" s="155">
        <v>-6.1200000000000045</v>
      </c>
      <c r="J50" s="155">
        <v>4.0300000000000011</v>
      </c>
    </row>
    <row r="51" spans="1:10">
      <c r="C51" t="s">
        <v>421</v>
      </c>
      <c r="D51" s="156">
        <v>4886</v>
      </c>
      <c r="E51" s="156">
        <v>4735</v>
      </c>
      <c r="F51" s="156"/>
      <c r="G51" s="156"/>
      <c r="H51" s="156"/>
      <c r="I51" s="156"/>
      <c r="J51" s="156"/>
    </row>
    <row r="52" spans="1:10">
      <c r="C52" t="s">
        <v>422</v>
      </c>
      <c r="D52" s="187">
        <v>78.88</v>
      </c>
      <c r="E52" s="187">
        <v>73.930000000000007</v>
      </c>
      <c r="F52" s="187"/>
      <c r="G52" s="187"/>
      <c r="H52" s="187"/>
      <c r="I52" s="187"/>
      <c r="J52" s="187"/>
    </row>
    <row r="53" spans="1:10">
      <c r="C53" t="s">
        <v>423</v>
      </c>
      <c r="D53" s="188">
        <v>4735</v>
      </c>
      <c r="E53" s="188">
        <v>4504</v>
      </c>
      <c r="F53" s="188"/>
      <c r="G53" s="188"/>
      <c r="H53" s="188"/>
      <c r="I53" s="188"/>
      <c r="J53" s="188"/>
    </row>
    <row r="54" spans="1:10" ht="33.75">
      <c r="C54" t="s">
        <v>193</v>
      </c>
      <c r="D54" s="157">
        <v>2016</v>
      </c>
      <c r="E54" s="157">
        <v>2015</v>
      </c>
      <c r="F54" s="157" t="s">
        <v>430</v>
      </c>
      <c r="G54" s="157" t="s">
        <v>431</v>
      </c>
      <c r="H54" s="157" t="s">
        <v>432</v>
      </c>
      <c r="I54" s="157" t="s">
        <v>433</v>
      </c>
      <c r="J54" s="157" t="s">
        <v>434</v>
      </c>
    </row>
    <row r="55" spans="1:10">
      <c r="C55" t="s">
        <v>424</v>
      </c>
      <c r="D55" s="155">
        <v>82.91</v>
      </c>
      <c r="E55" s="155">
        <v>82.91</v>
      </c>
      <c r="F55" s="155">
        <v>82.91</v>
      </c>
      <c r="G55" s="155">
        <v>82.91</v>
      </c>
      <c r="H55" s="155">
        <v>82.91</v>
      </c>
      <c r="I55" s="155">
        <v>82.91</v>
      </c>
      <c r="J55" s="155">
        <v>82.91</v>
      </c>
    </row>
    <row r="56" spans="1:10">
      <c r="C56" t="s">
        <v>425</v>
      </c>
      <c r="D56" s="189">
        <v>84.08</v>
      </c>
      <c r="E56" s="189">
        <v>79.319999999999993</v>
      </c>
      <c r="F56" s="189">
        <v>91.62</v>
      </c>
      <c r="G56" s="189">
        <v>82.28</v>
      </c>
      <c r="H56" s="190">
        <v>4.7600000000000051</v>
      </c>
      <c r="I56" s="190">
        <v>-7.5400000000000063</v>
      </c>
      <c r="J56" s="190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180</v>
      </c>
      <c r="C105" s="150" t="s">
        <v>195</v>
      </c>
      <c r="D105" s="177">
        <v>90.45</v>
      </c>
      <c r="E105" s="177">
        <v>86.08</v>
      </c>
      <c r="F105" s="177">
        <v>84.35</v>
      </c>
      <c r="G105" s="177">
        <v>87.74</v>
      </c>
      <c r="H105" s="177">
        <v>90.43</v>
      </c>
    </row>
    <row r="106" spans="1:8" ht="15.75" thickBot="1">
      <c r="C106" s="151" t="s">
        <v>196</v>
      </c>
      <c r="D106" s="179">
        <v>84.9</v>
      </c>
      <c r="E106" s="179">
        <v>80.59</v>
      </c>
      <c r="F106" s="179">
        <v>81</v>
      </c>
      <c r="G106" s="179">
        <v>84.36</v>
      </c>
      <c r="H106" s="179">
        <v>87.34</v>
      </c>
    </row>
    <row r="107" spans="1:8" ht="15.75" thickBot="1">
      <c r="C107" s="152" t="s">
        <v>194</v>
      </c>
      <c r="D107" s="181">
        <v>85.2</v>
      </c>
      <c r="E107" s="181">
        <v>77.400000000000006</v>
      </c>
      <c r="F107" s="181">
        <v>75.959999999999994</v>
      </c>
      <c r="G107" s="181">
        <v>79.81</v>
      </c>
      <c r="H107" s="181">
        <v>83.12</v>
      </c>
    </row>
    <row r="108" spans="1:8" ht="15.75" thickBot="1">
      <c r="C108" s="153" t="s">
        <v>222</v>
      </c>
      <c r="D108" s="183">
        <v>83.54</v>
      </c>
      <c r="E108" s="183">
        <v>81.03</v>
      </c>
      <c r="F108" s="183">
        <v>83.26</v>
      </c>
      <c r="G108" s="183">
        <v>88.56</v>
      </c>
      <c r="H108" s="183">
        <v>91.07</v>
      </c>
    </row>
    <row r="109" spans="1:8" ht="15.75" thickBot="1">
      <c r="C109" s="154" t="s">
        <v>419</v>
      </c>
      <c r="D109" s="185">
        <v>90.58</v>
      </c>
      <c r="E109" s="185">
        <v>85.89</v>
      </c>
      <c r="F109" s="185">
        <v>85.08</v>
      </c>
      <c r="G109" s="185">
        <v>88.42</v>
      </c>
      <c r="H109" s="185">
        <v>90.24</v>
      </c>
    </row>
    <row r="110" spans="1:8">
      <c r="C110" t="s">
        <v>420</v>
      </c>
      <c r="D110" s="155">
        <v>87.13</v>
      </c>
      <c r="E110" s="155">
        <v>82.26</v>
      </c>
      <c r="F110" s="155">
        <v>81.83</v>
      </c>
      <c r="G110" s="155">
        <v>85.57</v>
      </c>
      <c r="H110" s="155">
        <v>88.33</v>
      </c>
    </row>
    <row r="111" spans="1:8">
      <c r="C111" t="s">
        <v>421</v>
      </c>
      <c r="D111" s="156">
        <v>292</v>
      </c>
      <c r="E111" s="156">
        <v>1996</v>
      </c>
      <c r="F111" s="156">
        <v>1426</v>
      </c>
      <c r="G111" s="156">
        <v>736</v>
      </c>
      <c r="H111" s="156">
        <v>248</v>
      </c>
    </row>
    <row r="112" spans="1:8">
      <c r="C112" t="s">
        <v>422</v>
      </c>
      <c r="D112" s="187">
        <v>82.41</v>
      </c>
      <c r="E112" s="187">
        <v>77.44</v>
      </c>
      <c r="F112" s="187">
        <v>78.069999999999993</v>
      </c>
      <c r="G112" s="187">
        <v>82.57</v>
      </c>
      <c r="H112" s="187">
        <v>86.36</v>
      </c>
    </row>
    <row r="113" spans="1:8">
      <c r="C113" t="s">
        <v>423</v>
      </c>
      <c r="D113" s="188">
        <v>249</v>
      </c>
      <c r="E113" s="188">
        <v>1965</v>
      </c>
      <c r="F113" s="188">
        <v>1426</v>
      </c>
      <c r="G113" s="188">
        <v>733</v>
      </c>
      <c r="H113" s="188">
        <v>256</v>
      </c>
    </row>
    <row r="114" spans="1:8" ht="22.5">
      <c r="C114" t="s">
        <v>193</v>
      </c>
      <c r="D114" s="157" t="s">
        <v>226</v>
      </c>
      <c r="E114" s="157" t="s">
        <v>227</v>
      </c>
      <c r="F114" s="157" t="s">
        <v>228</v>
      </c>
      <c r="G114" s="157" t="s">
        <v>229</v>
      </c>
      <c r="H114" s="157" t="s">
        <v>230</v>
      </c>
    </row>
    <row r="115" spans="1:8">
      <c r="C115" t="s">
        <v>424</v>
      </c>
      <c r="D115" s="155">
        <v>82.91</v>
      </c>
      <c r="E115" s="155">
        <v>82.91</v>
      </c>
      <c r="F115" s="155">
        <v>82.91</v>
      </c>
      <c r="G115" s="155">
        <v>82.91</v>
      </c>
      <c r="H115" s="155">
        <v>82.91</v>
      </c>
    </row>
    <row r="116" spans="1:8">
      <c r="C116" t="s">
        <v>425</v>
      </c>
      <c r="D116" s="189">
        <v>87.33</v>
      </c>
      <c r="E116" s="189">
        <v>82.4</v>
      </c>
      <c r="F116" s="189">
        <v>83.7</v>
      </c>
      <c r="G116" s="189">
        <v>87.89</v>
      </c>
      <c r="H116" s="189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179</v>
      </c>
      <c r="C165" s="150" t="s">
        <v>195</v>
      </c>
      <c r="D165" s="177">
        <v>86.53</v>
      </c>
      <c r="E165" s="177">
        <v>86.24</v>
      </c>
    </row>
    <row r="166" spans="1:5" ht="15.75" thickBot="1">
      <c r="C166" s="151" t="s">
        <v>196</v>
      </c>
      <c r="D166" s="179">
        <v>82.52</v>
      </c>
      <c r="E166" s="179">
        <v>81.34</v>
      </c>
    </row>
    <row r="167" spans="1:5" ht="15.75" thickBot="1">
      <c r="C167" s="152" t="s">
        <v>194</v>
      </c>
      <c r="D167" s="181">
        <v>78.27</v>
      </c>
      <c r="E167" s="181">
        <v>78.02</v>
      </c>
    </row>
    <row r="168" spans="1:5" ht="15.75" thickBot="1">
      <c r="C168" s="153" t="s">
        <v>222</v>
      </c>
      <c r="D168" s="183">
        <v>83.68</v>
      </c>
      <c r="E168" s="183">
        <v>83.52</v>
      </c>
    </row>
    <row r="169" spans="1:5" ht="15.75" thickBot="1">
      <c r="C169" s="154" t="s">
        <v>419</v>
      </c>
      <c r="D169" s="185">
        <v>86.39</v>
      </c>
      <c r="E169" s="185">
        <v>86.83</v>
      </c>
    </row>
    <row r="170" spans="1:5">
      <c r="C170" t="s">
        <v>420</v>
      </c>
      <c r="D170" s="155">
        <v>83.48</v>
      </c>
      <c r="E170" s="155">
        <v>83.12</v>
      </c>
    </row>
    <row r="171" spans="1:5">
      <c r="C171" t="s">
        <v>421</v>
      </c>
      <c r="D171" s="156">
        <v>2476</v>
      </c>
      <c r="E171" s="156">
        <v>2191</v>
      </c>
    </row>
    <row r="172" spans="1:5">
      <c r="C172" t="s">
        <v>422</v>
      </c>
      <c r="D172" s="187">
        <v>79.62</v>
      </c>
      <c r="E172" s="187">
        <v>78.790000000000006</v>
      </c>
    </row>
    <row r="173" spans="1:5">
      <c r="C173" t="s">
        <v>423</v>
      </c>
      <c r="D173" s="188">
        <v>2382</v>
      </c>
      <c r="E173" s="188">
        <v>2218</v>
      </c>
    </row>
    <row r="174" spans="1:5">
      <c r="C174" t="s">
        <v>193</v>
      </c>
      <c r="D174" s="157" t="s">
        <v>231</v>
      </c>
      <c r="E174" s="157" t="s">
        <v>232</v>
      </c>
    </row>
    <row r="175" spans="1:5">
      <c r="C175" t="s">
        <v>424</v>
      </c>
      <c r="D175" s="155">
        <v>82.91</v>
      </c>
      <c r="E175" s="155">
        <v>82.91</v>
      </c>
    </row>
    <row r="176" spans="1:5">
      <c r="C176" t="s">
        <v>425</v>
      </c>
      <c r="D176" s="189">
        <v>85.32</v>
      </c>
      <c r="E176" s="189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178</v>
      </c>
      <c r="C225" s="150" t="s">
        <v>195</v>
      </c>
      <c r="D225" s="177">
        <v>76.19</v>
      </c>
      <c r="E225" s="177">
        <v>87.14</v>
      </c>
      <c r="F225" s="177">
        <v>86.86</v>
      </c>
      <c r="G225" s="177">
        <v>85.18</v>
      </c>
      <c r="H225" s="177">
        <v>87.05</v>
      </c>
    </row>
    <row r="226" spans="1:8" ht="15.75" thickBot="1">
      <c r="C226" s="151" t="s">
        <v>196</v>
      </c>
      <c r="D226" s="179">
        <v>78.209999999999994</v>
      </c>
      <c r="E226" s="179">
        <v>80.63</v>
      </c>
      <c r="F226" s="179">
        <v>81.92</v>
      </c>
      <c r="G226" s="179">
        <v>81.260000000000005</v>
      </c>
      <c r="H226" s="179">
        <v>85.26</v>
      </c>
    </row>
    <row r="227" spans="1:8" ht="15.75" thickBot="1">
      <c r="C227" s="152" t="s">
        <v>194</v>
      </c>
      <c r="D227" s="181">
        <v>80.489999999999995</v>
      </c>
      <c r="E227" s="181">
        <v>78.47</v>
      </c>
      <c r="F227" s="181">
        <v>78.739999999999995</v>
      </c>
      <c r="G227" s="181">
        <v>76.790000000000006</v>
      </c>
      <c r="H227" s="181">
        <v>79.03</v>
      </c>
    </row>
    <row r="228" spans="1:8" ht="15.75" thickBot="1">
      <c r="C228" s="153" t="s">
        <v>222</v>
      </c>
      <c r="D228" s="183">
        <v>84.38</v>
      </c>
      <c r="E228" s="183">
        <v>84.66</v>
      </c>
      <c r="F228" s="183">
        <v>83.78</v>
      </c>
      <c r="G228" s="183">
        <v>82.02</v>
      </c>
      <c r="H228" s="183">
        <v>86.82</v>
      </c>
    </row>
    <row r="229" spans="1:8" ht="15.75" thickBot="1">
      <c r="C229" s="154" t="s">
        <v>419</v>
      </c>
      <c r="D229" s="185">
        <v>78.33</v>
      </c>
      <c r="E229" s="185">
        <v>85.6</v>
      </c>
      <c r="F229" s="185">
        <v>86.75</v>
      </c>
      <c r="G229" s="185">
        <v>85.69</v>
      </c>
      <c r="H229" s="185">
        <v>89.35</v>
      </c>
    </row>
    <row r="230" spans="1:8">
      <c r="C230" t="s">
        <v>420</v>
      </c>
      <c r="D230" s="155">
        <v>79.010000000000005</v>
      </c>
      <c r="E230" s="155">
        <v>83.26</v>
      </c>
      <c r="F230" s="155">
        <v>83.59</v>
      </c>
      <c r="G230" s="155">
        <v>82.17</v>
      </c>
      <c r="H230" s="155">
        <v>85.4</v>
      </c>
    </row>
    <row r="231" spans="1:8">
      <c r="C231" t="s">
        <v>421</v>
      </c>
      <c r="D231" s="156">
        <v>12</v>
      </c>
      <c r="E231" s="156">
        <v>360</v>
      </c>
      <c r="F231" s="156">
        <v>2276</v>
      </c>
      <c r="G231" s="156">
        <v>1542</v>
      </c>
      <c r="H231" s="156">
        <v>500</v>
      </c>
    </row>
    <row r="232" spans="1:8">
      <c r="C232" t="s">
        <v>422</v>
      </c>
      <c r="D232" s="187">
        <v>68.069999999999993</v>
      </c>
      <c r="E232" s="187">
        <v>79.69</v>
      </c>
      <c r="F232" s="187">
        <v>79.13</v>
      </c>
      <c r="G232" s="187">
        <v>78.17</v>
      </c>
      <c r="H232" s="187">
        <v>82.9</v>
      </c>
    </row>
    <row r="233" spans="1:8">
      <c r="C233" t="s">
        <v>423</v>
      </c>
      <c r="D233" s="188">
        <v>14</v>
      </c>
      <c r="E233" s="188">
        <v>413</v>
      </c>
      <c r="F233" s="188">
        <v>2318</v>
      </c>
      <c r="G233" s="188">
        <v>1467</v>
      </c>
      <c r="H233" s="188">
        <v>425</v>
      </c>
    </row>
    <row r="234" spans="1:8" ht="45">
      <c r="C234" t="s">
        <v>193</v>
      </c>
      <c r="D234" s="157" t="s">
        <v>435</v>
      </c>
      <c r="E234" s="157" t="s">
        <v>358</v>
      </c>
      <c r="F234" s="157" t="s">
        <v>359</v>
      </c>
      <c r="G234" s="157" t="s">
        <v>360</v>
      </c>
      <c r="H234" s="157" t="s">
        <v>361</v>
      </c>
    </row>
    <row r="235" spans="1:8">
      <c r="C235" t="s">
        <v>424</v>
      </c>
      <c r="D235" s="155">
        <v>82.91</v>
      </c>
      <c r="E235" s="155">
        <v>82.91</v>
      </c>
      <c r="F235" s="155">
        <v>82.91</v>
      </c>
      <c r="G235" s="155">
        <v>82.91</v>
      </c>
      <c r="H235" s="155">
        <v>82.91</v>
      </c>
    </row>
    <row r="236" spans="1:8">
      <c r="C236" t="s">
        <v>425</v>
      </c>
      <c r="D236" s="189">
        <v>75</v>
      </c>
      <c r="E236" s="189">
        <v>86.11</v>
      </c>
      <c r="F236" s="189">
        <v>84.66</v>
      </c>
      <c r="G236" s="189">
        <v>82.38</v>
      </c>
      <c r="H236" s="189">
        <v>89.58</v>
      </c>
    </row>
    <row r="241" spans="1:1">
      <c r="A241" t="s">
        <v>149</v>
      </c>
    </row>
    <row r="271" spans="1:1">
      <c r="A271" t="s">
        <v>186</v>
      </c>
    </row>
    <row r="285" spans="1:8" ht="15.75" thickBot="1">
      <c r="A285" t="s">
        <v>185</v>
      </c>
      <c r="C285" s="150" t="s">
        <v>195</v>
      </c>
      <c r="D285" s="177">
        <v>93.53</v>
      </c>
      <c r="E285" s="177">
        <v>91.83</v>
      </c>
      <c r="F285" s="177">
        <v>88.97</v>
      </c>
      <c r="G285" s="177">
        <v>83.86</v>
      </c>
      <c r="H285" s="177">
        <v>84.1</v>
      </c>
    </row>
    <row r="286" spans="1:8" ht="15.75" thickBot="1">
      <c r="C286" s="151" t="s">
        <v>196</v>
      </c>
      <c r="D286" s="179">
        <v>93.66</v>
      </c>
      <c r="E286" s="179">
        <v>89.43</v>
      </c>
      <c r="F286" s="179">
        <v>85.92</v>
      </c>
      <c r="G286" s="179">
        <v>81.99</v>
      </c>
      <c r="H286" s="179">
        <v>79.41</v>
      </c>
    </row>
    <row r="287" spans="1:8" ht="15.75" thickBot="1">
      <c r="C287" s="152" t="s">
        <v>194</v>
      </c>
      <c r="D287" s="181">
        <v>87.16</v>
      </c>
      <c r="E287" s="181">
        <v>83.33</v>
      </c>
      <c r="F287" s="181">
        <v>81.790000000000006</v>
      </c>
      <c r="G287" s="181">
        <v>75.37</v>
      </c>
      <c r="H287" s="181">
        <v>74.319999999999993</v>
      </c>
    </row>
    <row r="288" spans="1:8" ht="15.75" thickBot="1">
      <c r="C288" s="153" t="s">
        <v>222</v>
      </c>
      <c r="D288" s="183">
        <v>94.93</v>
      </c>
      <c r="E288" s="183">
        <v>92.27</v>
      </c>
      <c r="F288" s="183">
        <v>89.09</v>
      </c>
      <c r="G288" s="183">
        <v>82.97</v>
      </c>
      <c r="H288" s="183">
        <v>81.58</v>
      </c>
    </row>
    <row r="289" spans="1:8" ht="15.75" thickBot="1">
      <c r="C289" s="154" t="s">
        <v>419</v>
      </c>
      <c r="D289" s="185">
        <v>94.86</v>
      </c>
      <c r="E289" s="185">
        <v>92.88</v>
      </c>
      <c r="F289" s="185">
        <v>90.23</v>
      </c>
      <c r="G289" s="185">
        <v>86.42</v>
      </c>
      <c r="H289" s="185">
        <v>83.34</v>
      </c>
    </row>
    <row r="290" spans="1:8">
      <c r="C290" t="s">
        <v>420</v>
      </c>
      <c r="D290" s="155">
        <v>92.75</v>
      </c>
      <c r="E290" s="155">
        <v>89.82</v>
      </c>
      <c r="F290" s="155">
        <v>87.04</v>
      </c>
      <c r="G290" s="155">
        <v>82.03</v>
      </c>
      <c r="H290" s="155">
        <v>80.510000000000005</v>
      </c>
    </row>
    <row r="291" spans="1:8">
      <c r="C291" t="s">
        <v>421</v>
      </c>
      <c r="D291" s="156">
        <v>74</v>
      </c>
      <c r="E291" s="156">
        <v>139</v>
      </c>
      <c r="F291" s="156">
        <v>979</v>
      </c>
      <c r="G291" s="156">
        <v>794</v>
      </c>
      <c r="H291" s="156">
        <v>386</v>
      </c>
    </row>
    <row r="292" spans="1:8">
      <c r="C292" t="s">
        <v>422</v>
      </c>
      <c r="D292" s="187">
        <v>91.91</v>
      </c>
      <c r="E292" s="187">
        <v>88.05</v>
      </c>
      <c r="F292" s="187">
        <v>86.33</v>
      </c>
      <c r="G292" s="187">
        <v>77.510000000000005</v>
      </c>
      <c r="H292" s="187">
        <v>73.2</v>
      </c>
    </row>
    <row r="293" spans="1:8">
      <c r="C293" t="s">
        <v>423</v>
      </c>
      <c r="D293" s="188">
        <v>65</v>
      </c>
      <c r="E293" s="188">
        <v>121</v>
      </c>
      <c r="F293" s="188">
        <v>895</v>
      </c>
      <c r="G293" s="188">
        <v>768</v>
      </c>
      <c r="H293" s="188">
        <v>265</v>
      </c>
    </row>
    <row r="294" spans="1:8" ht="112.5">
      <c r="C294" t="s">
        <v>193</v>
      </c>
      <c r="D294" s="191" t="s">
        <v>436</v>
      </c>
      <c r="E294" s="191" t="s">
        <v>437</v>
      </c>
      <c r="F294" s="191" t="s">
        <v>438</v>
      </c>
      <c r="G294" s="191" t="s">
        <v>439</v>
      </c>
      <c r="H294" s="191" t="s">
        <v>440</v>
      </c>
    </row>
    <row r="295" spans="1:8">
      <c r="C295" t="s">
        <v>424</v>
      </c>
      <c r="D295" s="155">
        <v>82.91</v>
      </c>
      <c r="E295" s="155">
        <v>82.91</v>
      </c>
      <c r="F295" s="155">
        <v>82.91</v>
      </c>
      <c r="G295" s="155">
        <v>82.91</v>
      </c>
      <c r="H295" s="155">
        <v>82.91</v>
      </c>
    </row>
    <row r="296" spans="1:8">
      <c r="C296" t="s">
        <v>425</v>
      </c>
      <c r="D296" s="189">
        <v>98.65</v>
      </c>
      <c r="E296" s="189">
        <v>94.24</v>
      </c>
      <c r="F296" s="189">
        <v>89.27</v>
      </c>
      <c r="G296" s="189">
        <v>85.34</v>
      </c>
      <c r="H296" s="189">
        <v>81.61</v>
      </c>
    </row>
    <row r="301" spans="1:8">
      <c r="A301" t="s">
        <v>188</v>
      </c>
    </row>
    <row r="315" spans="1:8" ht="15.75" thickBot="1">
      <c r="A315" t="s">
        <v>187</v>
      </c>
      <c r="C315" s="150" t="s">
        <v>195</v>
      </c>
      <c r="D315" s="177">
        <v>78.73</v>
      </c>
      <c r="E315" s="177">
        <v>86.35</v>
      </c>
      <c r="F315" s="177">
        <v>87.52</v>
      </c>
      <c r="G315" s="177">
        <v>90.4</v>
      </c>
      <c r="H315" s="177">
        <v>79.88</v>
      </c>
    </row>
    <row r="316" spans="1:8" ht="15.75" thickBot="1">
      <c r="C316" s="151" t="s">
        <v>196</v>
      </c>
      <c r="D316" s="179">
        <v>74.709999999999994</v>
      </c>
      <c r="E316" s="179">
        <v>79.209999999999994</v>
      </c>
      <c r="F316" s="179">
        <v>81.94</v>
      </c>
      <c r="G316" s="179">
        <v>82.09</v>
      </c>
      <c r="H316" s="179">
        <v>80.540000000000006</v>
      </c>
    </row>
    <row r="317" spans="1:8" ht="15.75" thickBot="1">
      <c r="C317" s="152" t="s">
        <v>194</v>
      </c>
      <c r="D317" s="181">
        <v>69.97</v>
      </c>
      <c r="E317" s="181">
        <v>77.64</v>
      </c>
      <c r="F317" s="181">
        <v>79.180000000000007</v>
      </c>
      <c r="G317" s="181">
        <v>83.27</v>
      </c>
      <c r="H317" s="181">
        <v>72.260000000000005</v>
      </c>
    </row>
    <row r="318" spans="1:8" ht="15.75" thickBot="1">
      <c r="C318" s="153" t="s">
        <v>222</v>
      </c>
      <c r="D318" s="183">
        <v>76.73</v>
      </c>
      <c r="E318" s="183">
        <v>80.61</v>
      </c>
      <c r="F318" s="183">
        <v>83.49</v>
      </c>
      <c r="G318" s="183">
        <v>80.66</v>
      </c>
      <c r="H318" s="183">
        <v>76.23</v>
      </c>
    </row>
    <row r="319" spans="1:8" ht="15.75" thickBot="1">
      <c r="C319" s="154" t="s">
        <v>419</v>
      </c>
      <c r="D319" s="185">
        <v>79.400000000000006</v>
      </c>
      <c r="E319" s="185">
        <v>84.13</v>
      </c>
      <c r="F319" s="185">
        <v>86.8</v>
      </c>
      <c r="G319" s="185">
        <v>89.26</v>
      </c>
      <c r="H319" s="185">
        <v>80.28</v>
      </c>
    </row>
    <row r="320" spans="1:8">
      <c r="C320" t="s">
        <v>420</v>
      </c>
      <c r="D320" s="155">
        <v>75.88</v>
      </c>
      <c r="E320" s="155">
        <v>81.69</v>
      </c>
      <c r="F320" s="155">
        <v>83.78</v>
      </c>
      <c r="G320" s="155">
        <v>85.39</v>
      </c>
      <c r="H320" s="155">
        <v>77.95</v>
      </c>
    </row>
    <row r="321" spans="1:8">
      <c r="C321" t="s">
        <v>421</v>
      </c>
      <c r="D321" s="156">
        <v>426</v>
      </c>
      <c r="E321" s="156">
        <v>536</v>
      </c>
      <c r="F321" s="156">
        <v>877</v>
      </c>
      <c r="G321" s="156">
        <v>396</v>
      </c>
      <c r="H321" s="156">
        <v>42</v>
      </c>
    </row>
    <row r="322" spans="1:8">
      <c r="C322" t="s">
        <v>422</v>
      </c>
      <c r="D322" s="187">
        <v>71.02</v>
      </c>
      <c r="E322" s="187">
        <v>74.760000000000005</v>
      </c>
      <c r="F322" s="187">
        <v>80.2</v>
      </c>
      <c r="G322" s="187">
        <v>80.39</v>
      </c>
      <c r="H322" s="187" t="s">
        <v>241</v>
      </c>
    </row>
    <row r="323" spans="1:8">
      <c r="C323" t="s">
        <v>423</v>
      </c>
      <c r="D323" s="188">
        <v>519</v>
      </c>
      <c r="E323" s="188">
        <v>572</v>
      </c>
      <c r="F323" s="188">
        <v>937</v>
      </c>
      <c r="G323" s="188">
        <v>444</v>
      </c>
      <c r="H323" s="188" t="s">
        <v>239</v>
      </c>
    </row>
    <row r="324" spans="1:8" ht="90">
      <c r="C324" t="s">
        <v>193</v>
      </c>
      <c r="D324" s="191" t="s">
        <v>441</v>
      </c>
      <c r="E324" s="191" t="s">
        <v>442</v>
      </c>
      <c r="F324" s="191" t="s">
        <v>443</v>
      </c>
      <c r="G324" s="191" t="s">
        <v>444</v>
      </c>
      <c r="H324" s="191" t="s">
        <v>445</v>
      </c>
    </row>
    <row r="325" spans="1:8">
      <c r="C325" t="s">
        <v>424</v>
      </c>
      <c r="D325" s="155">
        <v>82.91</v>
      </c>
      <c r="E325" s="155">
        <v>82.91</v>
      </c>
      <c r="F325" s="155">
        <v>82.91</v>
      </c>
      <c r="G325" s="155">
        <v>82.91</v>
      </c>
      <c r="H325" s="155">
        <v>82.91</v>
      </c>
    </row>
    <row r="326" spans="1:8">
      <c r="C326" t="s">
        <v>425</v>
      </c>
      <c r="D326" s="189">
        <v>80</v>
      </c>
      <c r="E326" s="189">
        <v>81.459999999999994</v>
      </c>
      <c r="F326" s="189">
        <v>82.78</v>
      </c>
      <c r="G326" s="189">
        <v>82.83</v>
      </c>
      <c r="H326" s="189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181</v>
      </c>
      <c r="C375" s="150" t="s">
        <v>195</v>
      </c>
      <c r="D375" s="177">
        <v>91.75</v>
      </c>
      <c r="E375" s="177">
        <v>87.14</v>
      </c>
      <c r="F375" s="177">
        <v>84.41</v>
      </c>
      <c r="G375" s="177">
        <v>79.94</v>
      </c>
      <c r="H375" s="177">
        <v>87.42</v>
      </c>
      <c r="I375" s="177">
        <v>88.24</v>
      </c>
    </row>
    <row r="376" spans="1:9" ht="15.75" thickBot="1">
      <c r="C376" s="151" t="s">
        <v>196</v>
      </c>
      <c r="D376" s="179">
        <v>87.01</v>
      </c>
      <c r="E376" s="179">
        <v>82.15</v>
      </c>
      <c r="F376" s="179">
        <v>78.97</v>
      </c>
      <c r="G376" s="179">
        <v>76.930000000000007</v>
      </c>
      <c r="H376" s="179">
        <v>83.93</v>
      </c>
      <c r="I376" s="179">
        <v>84.79</v>
      </c>
    </row>
    <row r="377" spans="1:9" ht="15.75" thickBot="1">
      <c r="C377" s="152" t="s">
        <v>194</v>
      </c>
      <c r="D377" s="181">
        <v>87.17</v>
      </c>
      <c r="E377" s="181">
        <v>79.760000000000005</v>
      </c>
      <c r="F377" s="181">
        <v>74.66</v>
      </c>
      <c r="G377" s="181">
        <v>72.42</v>
      </c>
      <c r="H377" s="181">
        <v>77.63</v>
      </c>
      <c r="I377" s="181">
        <v>80.38</v>
      </c>
    </row>
    <row r="378" spans="1:9" ht="15.75" thickBot="1">
      <c r="C378" s="153" t="s">
        <v>222</v>
      </c>
      <c r="D378" s="183">
        <v>86.67</v>
      </c>
      <c r="E378" s="183">
        <v>82.73</v>
      </c>
      <c r="F378" s="183">
        <v>79.88</v>
      </c>
      <c r="G378" s="183">
        <v>80.069999999999993</v>
      </c>
      <c r="H378" s="183">
        <v>86.61</v>
      </c>
      <c r="I378" s="183">
        <v>88.62</v>
      </c>
    </row>
    <row r="379" spans="1:9" ht="15.75" thickBot="1">
      <c r="C379" s="154" t="s">
        <v>419</v>
      </c>
      <c r="D379" s="185">
        <v>91.77</v>
      </c>
      <c r="E379" s="185">
        <v>87.67</v>
      </c>
      <c r="F379" s="185">
        <v>83.75</v>
      </c>
      <c r="G379" s="185">
        <v>81.36</v>
      </c>
      <c r="H379" s="185">
        <v>88.32</v>
      </c>
      <c r="I379" s="185">
        <v>88.26</v>
      </c>
    </row>
    <row r="380" spans="1:9">
      <c r="C380" t="s">
        <v>420</v>
      </c>
      <c r="D380" s="155">
        <v>89.02</v>
      </c>
      <c r="E380" s="155">
        <v>83.93</v>
      </c>
      <c r="F380" s="155">
        <v>80.37</v>
      </c>
      <c r="G380" s="155">
        <v>77.959999999999994</v>
      </c>
      <c r="H380" s="155">
        <v>84.65</v>
      </c>
      <c r="I380" s="155">
        <v>85.91</v>
      </c>
    </row>
    <row r="381" spans="1:9">
      <c r="C381" t="s">
        <v>421</v>
      </c>
      <c r="D381" s="156">
        <v>425</v>
      </c>
      <c r="E381" s="156">
        <v>1125</v>
      </c>
      <c r="F381" s="156">
        <v>1198</v>
      </c>
      <c r="G381" s="156">
        <v>412</v>
      </c>
      <c r="H381" s="156">
        <v>791</v>
      </c>
      <c r="I381" s="156">
        <v>719</v>
      </c>
    </row>
    <row r="382" spans="1:9">
      <c r="C382" t="s">
        <v>422</v>
      </c>
      <c r="D382" s="187">
        <v>83.99</v>
      </c>
      <c r="E382" s="187">
        <v>78.19</v>
      </c>
      <c r="F382" s="187">
        <v>76.42</v>
      </c>
      <c r="G382" s="187">
        <v>76.36</v>
      </c>
      <c r="H382" s="187">
        <v>80.75</v>
      </c>
      <c r="I382" s="187">
        <v>84.02</v>
      </c>
    </row>
    <row r="383" spans="1:9">
      <c r="C383" t="s">
        <v>423</v>
      </c>
      <c r="D383" s="188">
        <v>305</v>
      </c>
      <c r="E383" s="188">
        <v>1135</v>
      </c>
      <c r="F383" s="188">
        <v>1202</v>
      </c>
      <c r="G383" s="188">
        <v>481</v>
      </c>
      <c r="H383" s="188">
        <v>715</v>
      </c>
      <c r="I383" s="188">
        <v>773</v>
      </c>
    </row>
    <row r="384" spans="1:9" ht="22.5">
      <c r="C384" t="s">
        <v>193</v>
      </c>
      <c r="D384" s="157" t="s">
        <v>362</v>
      </c>
      <c r="E384" s="157" t="s">
        <v>363</v>
      </c>
      <c r="F384" s="157" t="s">
        <v>364</v>
      </c>
      <c r="G384" s="157" t="s">
        <v>365</v>
      </c>
      <c r="H384" s="157" t="s">
        <v>366</v>
      </c>
      <c r="I384" s="157" t="s">
        <v>367</v>
      </c>
    </row>
    <row r="385" spans="1:9">
      <c r="C385" t="s">
        <v>424</v>
      </c>
      <c r="D385" s="155">
        <v>82.91</v>
      </c>
      <c r="E385" s="155">
        <v>82.91</v>
      </c>
      <c r="F385" s="155">
        <v>82.91</v>
      </c>
      <c r="G385" s="155">
        <v>82.91</v>
      </c>
      <c r="H385" s="155">
        <v>82.91</v>
      </c>
      <c r="I385" s="155">
        <v>82.91</v>
      </c>
    </row>
    <row r="386" spans="1:9">
      <c r="C386" t="s">
        <v>425</v>
      </c>
      <c r="D386" s="189">
        <v>90.59</v>
      </c>
      <c r="E386" s="189">
        <v>84.53</v>
      </c>
      <c r="F386" s="189">
        <v>80.75</v>
      </c>
      <c r="G386" s="189">
        <v>79.08</v>
      </c>
      <c r="H386" s="189">
        <v>86.71</v>
      </c>
      <c r="I386" s="189">
        <v>89.28</v>
      </c>
    </row>
    <row r="391" spans="1:9">
      <c r="A391" t="s">
        <v>152</v>
      </c>
    </row>
    <row r="421" spans="1:1">
      <c r="A421" t="s">
        <v>189</v>
      </c>
    </row>
    <row r="435" spans="1:10" ht="15.75" thickBot="1">
      <c r="A435" t="s">
        <v>190</v>
      </c>
      <c r="C435" s="150" t="s">
        <v>195</v>
      </c>
      <c r="D435" s="177">
        <v>70.28</v>
      </c>
      <c r="E435" s="177">
        <v>93.52</v>
      </c>
      <c r="F435" s="177">
        <v>81.7</v>
      </c>
      <c r="G435" s="177">
        <v>85.8</v>
      </c>
      <c r="H435" s="177">
        <v>86.78</v>
      </c>
      <c r="I435" s="177">
        <v>83.81</v>
      </c>
      <c r="J435" s="177">
        <v>96.24</v>
      </c>
    </row>
    <row r="436" spans="1:10" ht="15.75" thickBot="1">
      <c r="C436" s="151" t="s">
        <v>196</v>
      </c>
      <c r="D436" s="179">
        <v>62.23</v>
      </c>
      <c r="E436" s="179">
        <v>94.29</v>
      </c>
      <c r="F436" s="179">
        <v>80.44</v>
      </c>
      <c r="G436" s="179">
        <v>83.68</v>
      </c>
      <c r="H436" s="179">
        <v>81.459999999999994</v>
      </c>
      <c r="I436" s="179">
        <v>84.28</v>
      </c>
      <c r="J436" s="179">
        <v>91.48</v>
      </c>
    </row>
    <row r="437" spans="1:10" ht="15.75" thickBot="1">
      <c r="C437" s="152" t="s">
        <v>194</v>
      </c>
      <c r="D437" s="181">
        <v>67.959999999999994</v>
      </c>
      <c r="E437" s="181">
        <v>91.07</v>
      </c>
      <c r="F437" s="181">
        <v>74.040000000000006</v>
      </c>
      <c r="G437" s="181">
        <v>74.45</v>
      </c>
      <c r="H437" s="181">
        <v>78.72</v>
      </c>
      <c r="I437" s="181">
        <v>76.58</v>
      </c>
      <c r="J437" s="181">
        <v>81.349999999999994</v>
      </c>
    </row>
    <row r="438" spans="1:10" ht="15.75" thickBot="1">
      <c r="C438" s="153" t="s">
        <v>222</v>
      </c>
      <c r="D438" s="183">
        <v>72.989999999999995</v>
      </c>
      <c r="E438" s="183">
        <v>99.04</v>
      </c>
      <c r="F438" s="183">
        <v>80</v>
      </c>
      <c r="G438" s="183">
        <v>84.75</v>
      </c>
      <c r="H438" s="183">
        <v>83.95</v>
      </c>
      <c r="I438" s="183">
        <v>89.61</v>
      </c>
      <c r="J438" s="183">
        <v>93.45</v>
      </c>
    </row>
    <row r="439" spans="1:10" ht="15.75" thickBot="1">
      <c r="C439" s="154" t="s">
        <v>419</v>
      </c>
      <c r="D439" s="185">
        <v>60.71</v>
      </c>
      <c r="E439" s="185">
        <v>98.57</v>
      </c>
      <c r="F439" s="185">
        <v>79.77</v>
      </c>
      <c r="G439" s="185">
        <v>87.66</v>
      </c>
      <c r="H439" s="185">
        <v>86.3</v>
      </c>
      <c r="I439" s="185">
        <v>90.11</v>
      </c>
      <c r="J439" s="185">
        <v>93.76</v>
      </c>
    </row>
    <row r="440" spans="1:10">
      <c r="C440" t="s">
        <v>420</v>
      </c>
      <c r="D440" s="155">
        <v>66.8</v>
      </c>
      <c r="E440" s="155">
        <v>94.93</v>
      </c>
      <c r="F440" s="155">
        <v>79.16</v>
      </c>
      <c r="G440" s="155">
        <v>83.16</v>
      </c>
      <c r="H440" s="155">
        <v>83.39</v>
      </c>
      <c r="I440" s="155">
        <v>84.44</v>
      </c>
      <c r="J440" s="155">
        <v>91.35</v>
      </c>
    </row>
    <row r="441" spans="1:10">
      <c r="C441" t="s">
        <v>421</v>
      </c>
      <c r="D441" s="156">
        <v>8</v>
      </c>
      <c r="E441" s="156">
        <v>14</v>
      </c>
      <c r="F441" s="156">
        <v>41</v>
      </c>
      <c r="G441" s="156">
        <v>199</v>
      </c>
      <c r="H441" s="156">
        <v>2612</v>
      </c>
      <c r="I441" s="156">
        <v>95</v>
      </c>
      <c r="J441" s="156">
        <v>21</v>
      </c>
    </row>
    <row r="442" spans="1:10">
      <c r="C442" t="s">
        <v>422</v>
      </c>
      <c r="D442" s="187">
        <v>71.709999999999994</v>
      </c>
      <c r="E442" s="187">
        <v>94.66</v>
      </c>
      <c r="F442" s="187">
        <v>78.58</v>
      </c>
      <c r="G442" s="187">
        <v>74.38</v>
      </c>
      <c r="H442" s="187">
        <v>80.41</v>
      </c>
      <c r="I442" s="187">
        <v>84.16</v>
      </c>
      <c r="J442" s="187" t="s">
        <v>241</v>
      </c>
    </row>
    <row r="443" spans="1:10">
      <c r="C443" t="s">
        <v>423</v>
      </c>
      <c r="D443" s="188">
        <v>22</v>
      </c>
      <c r="E443" s="188">
        <v>10</v>
      </c>
      <c r="F443" s="188">
        <v>47</v>
      </c>
      <c r="G443" s="188">
        <v>187</v>
      </c>
      <c r="H443" s="188">
        <v>2535</v>
      </c>
      <c r="I443" s="188">
        <v>89</v>
      </c>
      <c r="J443" s="188" t="s">
        <v>239</v>
      </c>
    </row>
    <row r="444" spans="1:10" ht="33.75">
      <c r="C444" t="s">
        <v>193</v>
      </c>
      <c r="D444" s="157" t="s">
        <v>446</v>
      </c>
      <c r="E444" s="157" t="s">
        <v>447</v>
      </c>
      <c r="F444" s="157" t="s">
        <v>448</v>
      </c>
      <c r="G444" s="157" t="s">
        <v>449</v>
      </c>
      <c r="H444" s="157" t="s">
        <v>450</v>
      </c>
      <c r="I444" s="157" t="s">
        <v>451</v>
      </c>
      <c r="J444" s="157" t="s">
        <v>452</v>
      </c>
    </row>
    <row r="445" spans="1:10">
      <c r="C445" t="s">
        <v>424</v>
      </c>
      <c r="D445" s="155">
        <v>82.91</v>
      </c>
      <c r="E445" s="155">
        <v>82.91</v>
      </c>
      <c r="F445" s="155">
        <v>82.91</v>
      </c>
      <c r="G445" s="155">
        <v>82.91</v>
      </c>
      <c r="H445" s="155">
        <v>82.91</v>
      </c>
      <c r="I445" s="155">
        <v>82.91</v>
      </c>
      <c r="J445" s="155">
        <v>82.91</v>
      </c>
    </row>
    <row r="446" spans="1:10">
      <c r="C446" t="s">
        <v>425</v>
      </c>
      <c r="D446" s="189">
        <v>75</v>
      </c>
      <c r="E446" s="189">
        <v>100</v>
      </c>
      <c r="F446" s="189">
        <v>75.61</v>
      </c>
      <c r="G446" s="189">
        <v>86.36</v>
      </c>
      <c r="H446" s="189">
        <v>83.41</v>
      </c>
      <c r="I446" s="189">
        <v>91.58</v>
      </c>
      <c r="J446" s="189">
        <v>100</v>
      </c>
    </row>
    <row r="451" spans="1:1">
      <c r="A451" t="s">
        <v>191</v>
      </c>
    </row>
    <row r="465" spans="1:10" ht="15.75" thickBot="1">
      <c r="A465" t="s">
        <v>192</v>
      </c>
      <c r="C465" s="150" t="s">
        <v>195</v>
      </c>
      <c r="D465" s="177">
        <v>90.49</v>
      </c>
      <c r="E465" s="177">
        <v>78.42</v>
      </c>
      <c r="F465" s="177">
        <v>89.17</v>
      </c>
      <c r="G465" s="177">
        <v>84.63</v>
      </c>
      <c r="H465" s="177">
        <v>81.78</v>
      </c>
      <c r="I465" s="177" t="s">
        <v>241</v>
      </c>
      <c r="J465" s="177">
        <v>97.14</v>
      </c>
    </row>
    <row r="466" spans="1:10" ht="15.75" thickBot="1">
      <c r="C466" s="151" t="s">
        <v>196</v>
      </c>
      <c r="D466" s="179">
        <v>90.16</v>
      </c>
      <c r="E466" s="179">
        <v>79.81</v>
      </c>
      <c r="F466" s="179">
        <v>87.3</v>
      </c>
      <c r="G466" s="179">
        <v>79.87</v>
      </c>
      <c r="H466" s="179">
        <v>83.85</v>
      </c>
      <c r="I466" s="179" t="s">
        <v>241</v>
      </c>
      <c r="J466" s="179">
        <v>95.38</v>
      </c>
    </row>
    <row r="467" spans="1:10" ht="15.75" thickBot="1">
      <c r="C467" s="152" t="s">
        <v>194</v>
      </c>
      <c r="D467" s="181">
        <v>80.63</v>
      </c>
      <c r="E467" s="181">
        <v>70.56</v>
      </c>
      <c r="F467" s="181">
        <v>81.760000000000005</v>
      </c>
      <c r="G467" s="181">
        <v>76.849999999999994</v>
      </c>
      <c r="H467" s="181">
        <v>73.540000000000006</v>
      </c>
      <c r="I467" s="181" t="s">
        <v>241</v>
      </c>
      <c r="J467" s="181">
        <v>85</v>
      </c>
    </row>
    <row r="468" spans="1:10" ht="15.75" thickBot="1">
      <c r="C468" s="153" t="s">
        <v>222</v>
      </c>
      <c r="D468" s="183">
        <v>88.73</v>
      </c>
      <c r="E468" s="183">
        <v>76.319999999999993</v>
      </c>
      <c r="F468" s="183">
        <v>90.11</v>
      </c>
      <c r="G468" s="183">
        <v>80.97</v>
      </c>
      <c r="H468" s="183">
        <v>81.84</v>
      </c>
      <c r="I468" s="183" t="s">
        <v>241</v>
      </c>
      <c r="J468" s="183">
        <v>96.25</v>
      </c>
    </row>
    <row r="469" spans="1:10" ht="15.75" thickBot="1">
      <c r="C469" s="154" t="s">
        <v>419</v>
      </c>
      <c r="D469" s="185">
        <v>92.57</v>
      </c>
      <c r="E469" s="185">
        <v>79.37</v>
      </c>
      <c r="F469" s="185">
        <v>91.39</v>
      </c>
      <c r="G469" s="185">
        <v>85.14</v>
      </c>
      <c r="H469" s="185">
        <v>86.85</v>
      </c>
      <c r="I469" s="185" t="s">
        <v>241</v>
      </c>
      <c r="J469" s="185">
        <v>91</v>
      </c>
    </row>
    <row r="470" spans="1:10">
      <c r="C470" t="s">
        <v>420</v>
      </c>
      <c r="D470" s="155">
        <v>88.51</v>
      </c>
      <c r="E470" s="155">
        <v>77.03</v>
      </c>
      <c r="F470" s="155">
        <v>87.77</v>
      </c>
      <c r="G470" s="155">
        <v>81.510000000000005</v>
      </c>
      <c r="H470" s="155">
        <v>81.52</v>
      </c>
      <c r="I470" s="155" t="s">
        <v>241</v>
      </c>
      <c r="J470" s="155">
        <v>93.1</v>
      </c>
    </row>
    <row r="471" spans="1:10">
      <c r="C471" t="s">
        <v>421</v>
      </c>
      <c r="D471" s="156">
        <v>170</v>
      </c>
      <c r="E471" s="156">
        <v>102</v>
      </c>
      <c r="F471" s="156">
        <v>60</v>
      </c>
      <c r="G471" s="156">
        <v>1478</v>
      </c>
      <c r="H471" s="156">
        <v>73</v>
      </c>
      <c r="I471" s="156">
        <v>3</v>
      </c>
      <c r="J471" s="156">
        <v>10</v>
      </c>
    </row>
    <row r="472" spans="1:10">
      <c r="C472" t="s">
        <v>422</v>
      </c>
      <c r="D472" s="187">
        <v>87.49</v>
      </c>
      <c r="E472" s="187">
        <v>80.099999999999994</v>
      </c>
      <c r="F472" s="187">
        <v>77.22</v>
      </c>
      <c r="G472" s="187">
        <v>75.45</v>
      </c>
      <c r="H472" s="187">
        <v>82.2</v>
      </c>
      <c r="I472" s="187" t="s">
        <v>241</v>
      </c>
      <c r="J472" s="187">
        <v>91.82</v>
      </c>
    </row>
    <row r="473" spans="1:10">
      <c r="C473" t="s">
        <v>423</v>
      </c>
      <c r="D473" s="188">
        <v>159</v>
      </c>
      <c r="E473" s="188">
        <v>99</v>
      </c>
      <c r="F473" s="188">
        <v>55</v>
      </c>
      <c r="G473" s="188">
        <v>1432</v>
      </c>
      <c r="H473" s="188">
        <v>77</v>
      </c>
      <c r="I473" s="188">
        <v>5</v>
      </c>
      <c r="J473" s="188">
        <v>11</v>
      </c>
    </row>
    <row r="474" spans="1:10" ht="33.75">
      <c r="C474" t="s">
        <v>193</v>
      </c>
      <c r="D474" s="157" t="s">
        <v>368</v>
      </c>
      <c r="E474" s="157" t="s">
        <v>453</v>
      </c>
      <c r="F474" s="157" t="s">
        <v>454</v>
      </c>
      <c r="G474" s="157" t="s">
        <v>455</v>
      </c>
      <c r="H474" s="157" t="s">
        <v>456</v>
      </c>
      <c r="I474" s="157" t="s">
        <v>369</v>
      </c>
      <c r="J474" s="157" t="s">
        <v>457</v>
      </c>
    </row>
    <row r="475" spans="1:10">
      <c r="C475" t="s">
        <v>424</v>
      </c>
      <c r="D475" s="155">
        <v>82.91</v>
      </c>
      <c r="E475" s="155">
        <v>82.91</v>
      </c>
      <c r="F475" s="155">
        <v>82.91</v>
      </c>
      <c r="G475" s="155">
        <v>82.91</v>
      </c>
      <c r="H475" s="155">
        <v>82.91</v>
      </c>
      <c r="I475" s="155">
        <v>82.91</v>
      </c>
      <c r="J475" s="155">
        <v>82.91</v>
      </c>
    </row>
    <row r="476" spans="1:10">
      <c r="C476" t="s">
        <v>425</v>
      </c>
      <c r="D476" s="189">
        <v>91.12</v>
      </c>
      <c r="E476" s="189">
        <v>81.37</v>
      </c>
      <c r="F476" s="189">
        <v>91.53</v>
      </c>
      <c r="G476" s="189">
        <v>83.23</v>
      </c>
      <c r="H476" s="189">
        <v>87.67</v>
      </c>
      <c r="I476" s="189" t="s">
        <v>241</v>
      </c>
      <c r="J476" s="189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182</v>
      </c>
      <c r="C525" s="150" t="s">
        <v>195</v>
      </c>
      <c r="D525" s="177">
        <v>92.06</v>
      </c>
      <c r="E525" s="177">
        <v>82.99</v>
      </c>
      <c r="F525" s="177">
        <v>73.010000000000005</v>
      </c>
      <c r="G525" s="177">
        <v>58.22</v>
      </c>
    </row>
    <row r="526" spans="1:7" ht="15.75" thickBot="1">
      <c r="C526" s="151" t="s">
        <v>196</v>
      </c>
      <c r="D526" s="179">
        <v>87.65</v>
      </c>
      <c r="E526" s="179">
        <v>78.34</v>
      </c>
      <c r="F526" s="179">
        <v>69.09</v>
      </c>
      <c r="G526" s="179">
        <v>54.71</v>
      </c>
    </row>
    <row r="527" spans="1:7" ht="15.75" thickBot="1">
      <c r="C527" s="152" t="s">
        <v>194</v>
      </c>
      <c r="D527" s="181">
        <v>83.2</v>
      </c>
      <c r="E527" s="181">
        <v>74.31</v>
      </c>
      <c r="F527" s="181">
        <v>66.7</v>
      </c>
      <c r="G527" s="181">
        <v>56.94</v>
      </c>
    </row>
    <row r="528" spans="1:7" ht="15.75" thickBot="1">
      <c r="C528" s="153" t="s">
        <v>222</v>
      </c>
      <c r="D528" s="183">
        <v>87.6</v>
      </c>
      <c r="E528" s="183">
        <v>81.8</v>
      </c>
      <c r="F528" s="183">
        <v>71.7</v>
      </c>
      <c r="G528" s="183">
        <v>66.19</v>
      </c>
    </row>
    <row r="529" spans="1:7" ht="15.75" thickBot="1">
      <c r="C529" s="154" t="s">
        <v>419</v>
      </c>
      <c r="D529" s="185">
        <v>90.98</v>
      </c>
      <c r="E529" s="185">
        <v>84.03</v>
      </c>
      <c r="F529" s="185">
        <v>75.88</v>
      </c>
      <c r="G529" s="185">
        <v>65.92</v>
      </c>
    </row>
    <row r="530" spans="1:7">
      <c r="C530" t="s">
        <v>420</v>
      </c>
      <c r="D530" s="155">
        <v>88.39</v>
      </c>
      <c r="E530" s="155">
        <v>80.150000000000006</v>
      </c>
      <c r="F530" s="155">
        <v>71.099999999999994</v>
      </c>
      <c r="G530" s="155">
        <v>59.77</v>
      </c>
    </row>
    <row r="531" spans="1:7">
      <c r="C531" t="s">
        <v>421</v>
      </c>
      <c r="D531" s="156">
        <v>2444</v>
      </c>
      <c r="E531" s="156">
        <v>1088</v>
      </c>
      <c r="F531" s="156">
        <v>501</v>
      </c>
      <c r="G531" s="156">
        <v>116</v>
      </c>
    </row>
    <row r="532" spans="1:7">
      <c r="C532" t="s">
        <v>422</v>
      </c>
      <c r="D532" s="187">
        <v>84.86</v>
      </c>
      <c r="E532" s="187">
        <v>74.510000000000005</v>
      </c>
      <c r="F532" s="187">
        <v>66.599999999999994</v>
      </c>
      <c r="G532" s="187">
        <v>55.18</v>
      </c>
    </row>
    <row r="533" spans="1:7">
      <c r="C533" t="s">
        <v>423</v>
      </c>
      <c r="D533" s="188">
        <v>2773</v>
      </c>
      <c r="E533" s="188">
        <v>1087</v>
      </c>
      <c r="F533" s="188">
        <v>595</v>
      </c>
      <c r="G533" s="188">
        <v>110</v>
      </c>
    </row>
    <row r="534" spans="1:7">
      <c r="C534" t="s">
        <v>193</v>
      </c>
      <c r="D534" s="157" t="s">
        <v>458</v>
      </c>
      <c r="E534" s="157" t="s">
        <v>459</v>
      </c>
      <c r="F534" s="157" t="s">
        <v>460</v>
      </c>
      <c r="G534" s="157" t="s">
        <v>461</v>
      </c>
    </row>
    <row r="535" spans="1:7">
      <c r="C535" t="s">
        <v>424</v>
      </c>
      <c r="D535" s="155">
        <v>82.91</v>
      </c>
      <c r="E535" s="155">
        <v>82.91</v>
      </c>
      <c r="F535" s="155">
        <v>82.91</v>
      </c>
      <c r="G535" s="155">
        <v>82.91</v>
      </c>
    </row>
    <row r="536" spans="1:7">
      <c r="C536" t="s">
        <v>425</v>
      </c>
      <c r="D536" s="189">
        <v>89.51</v>
      </c>
      <c r="E536" s="189">
        <v>82.26</v>
      </c>
      <c r="F536" s="189">
        <v>70.599999999999994</v>
      </c>
      <c r="G536" s="189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183</v>
      </c>
      <c r="C585" s="150" t="s">
        <v>195</v>
      </c>
      <c r="D585" s="177">
        <v>88.46</v>
      </c>
      <c r="E585" s="177">
        <v>81.81</v>
      </c>
      <c r="F585" s="177">
        <v>69.47</v>
      </c>
      <c r="G585" s="177">
        <v>90.75</v>
      </c>
      <c r="H585" s="177">
        <v>71.900000000000006</v>
      </c>
    </row>
    <row r="586" spans="1:8" ht="15.75" thickBot="1">
      <c r="C586" s="151" t="s">
        <v>196</v>
      </c>
      <c r="D586" s="179">
        <v>84.45</v>
      </c>
      <c r="E586" s="179">
        <v>75.67</v>
      </c>
      <c r="F586" s="179">
        <v>62.34</v>
      </c>
      <c r="G586" s="179">
        <v>87.24</v>
      </c>
      <c r="H586" s="179">
        <v>66.099999999999994</v>
      </c>
    </row>
    <row r="587" spans="1:8" ht="15.75" thickBot="1">
      <c r="C587" s="152" t="s">
        <v>194</v>
      </c>
      <c r="D587" s="181">
        <v>79.25</v>
      </c>
      <c r="E587" s="181">
        <v>73.47</v>
      </c>
      <c r="F587" s="181">
        <v>59.43</v>
      </c>
      <c r="G587" s="181">
        <v>82.97</v>
      </c>
      <c r="H587" s="181">
        <v>62.41</v>
      </c>
    </row>
    <row r="588" spans="1:8" ht="15.75" thickBot="1">
      <c r="C588" s="153" t="s">
        <v>222</v>
      </c>
      <c r="D588" s="183">
        <v>84.85</v>
      </c>
      <c r="E588" s="183">
        <v>75.930000000000007</v>
      </c>
      <c r="F588" s="183">
        <v>67.13</v>
      </c>
      <c r="G588" s="183">
        <v>89.76</v>
      </c>
      <c r="H588" s="183">
        <v>66.989999999999995</v>
      </c>
    </row>
    <row r="589" spans="1:8" ht="15.75" thickBot="1">
      <c r="C589" s="154" t="s">
        <v>419</v>
      </c>
      <c r="D589" s="185">
        <v>88.44</v>
      </c>
      <c r="E589" s="185">
        <v>81.05</v>
      </c>
      <c r="F589" s="185">
        <v>68.94</v>
      </c>
      <c r="G589" s="185">
        <v>91.63</v>
      </c>
      <c r="H589" s="185">
        <v>70.739999999999995</v>
      </c>
    </row>
    <row r="590" spans="1:8">
      <c r="C590" t="s">
        <v>420</v>
      </c>
      <c r="D590" s="155">
        <v>85.13</v>
      </c>
      <c r="E590" s="155">
        <v>77.69</v>
      </c>
      <c r="F590" s="155">
        <v>65.31</v>
      </c>
      <c r="G590" s="155">
        <v>88.38</v>
      </c>
      <c r="H590" s="155">
        <v>67.58</v>
      </c>
    </row>
    <row r="591" spans="1:8">
      <c r="C591" t="s">
        <v>421</v>
      </c>
      <c r="D591" s="156">
        <v>680</v>
      </c>
      <c r="E591" s="156">
        <v>940</v>
      </c>
      <c r="F591" s="156">
        <v>101</v>
      </c>
      <c r="G591" s="156">
        <v>1993</v>
      </c>
      <c r="H591" s="156">
        <v>218</v>
      </c>
    </row>
    <row r="592" spans="1:8">
      <c r="C592" t="s">
        <v>422</v>
      </c>
      <c r="D592" s="187">
        <v>80.739999999999995</v>
      </c>
      <c r="E592" s="187">
        <v>74.11</v>
      </c>
      <c r="F592" s="187">
        <v>60.51</v>
      </c>
      <c r="G592" s="187">
        <v>85.59</v>
      </c>
      <c r="H592" s="187">
        <v>59.82</v>
      </c>
    </row>
    <row r="593" spans="1:8">
      <c r="C593" t="s">
        <v>423</v>
      </c>
      <c r="D593" s="188">
        <v>764</v>
      </c>
      <c r="E593" s="188">
        <v>1235</v>
      </c>
      <c r="F593" s="188">
        <v>132</v>
      </c>
      <c r="G593" s="188">
        <v>2149</v>
      </c>
      <c r="H593" s="188">
        <v>297</v>
      </c>
    </row>
    <row r="594" spans="1:8" ht="67.5">
      <c r="C594" t="s">
        <v>193</v>
      </c>
      <c r="D594" s="157" t="s">
        <v>233</v>
      </c>
      <c r="E594" s="157" t="s">
        <v>234</v>
      </c>
      <c r="F594" s="157" t="s">
        <v>235</v>
      </c>
      <c r="G594" s="157" t="s">
        <v>236</v>
      </c>
      <c r="H594" s="157" t="s">
        <v>237</v>
      </c>
    </row>
    <row r="595" spans="1:8">
      <c r="C595" t="s">
        <v>424</v>
      </c>
      <c r="D595" s="155">
        <v>82.91</v>
      </c>
      <c r="E595" s="155">
        <v>82.91</v>
      </c>
      <c r="F595" s="155">
        <v>82.91</v>
      </c>
      <c r="G595" s="155">
        <v>82.91</v>
      </c>
      <c r="H595" s="155">
        <v>82.91</v>
      </c>
    </row>
    <row r="596" spans="1:8">
      <c r="C596" t="s">
        <v>425</v>
      </c>
      <c r="D596" s="189">
        <v>87.3</v>
      </c>
      <c r="E596" s="189">
        <v>77.290000000000006</v>
      </c>
      <c r="F596" s="189">
        <v>65.349999999999994</v>
      </c>
      <c r="G596" s="189">
        <v>91.62</v>
      </c>
      <c r="H596" s="189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184</v>
      </c>
      <c r="C645" s="150" t="s">
        <v>195</v>
      </c>
      <c r="D645" s="177">
        <v>93.66</v>
      </c>
      <c r="E645" s="177">
        <v>88.03</v>
      </c>
      <c r="F645" s="177">
        <v>82.62</v>
      </c>
      <c r="G645" s="177">
        <v>65.010000000000005</v>
      </c>
    </row>
    <row r="646" spans="1:7" ht="15.75" thickBot="1">
      <c r="C646" s="151" t="s">
        <v>196</v>
      </c>
      <c r="D646" s="179">
        <v>89.83</v>
      </c>
      <c r="E646" s="179">
        <v>83.54</v>
      </c>
      <c r="F646" s="179">
        <v>77.73</v>
      </c>
      <c r="G646" s="179">
        <v>61.02</v>
      </c>
    </row>
    <row r="647" spans="1:7" ht="15.75" thickBot="1">
      <c r="C647" s="152" t="s">
        <v>194</v>
      </c>
      <c r="D647" s="181">
        <v>85.29</v>
      </c>
      <c r="E647" s="181">
        <v>79.36</v>
      </c>
      <c r="F647" s="181">
        <v>73.209999999999994</v>
      </c>
      <c r="G647" s="181">
        <v>61.49</v>
      </c>
    </row>
    <row r="648" spans="1:7" ht="15.75" thickBot="1">
      <c r="C648" s="153" t="s">
        <v>222</v>
      </c>
      <c r="D648" s="183">
        <v>89.45</v>
      </c>
      <c r="E648" s="183">
        <v>84.49</v>
      </c>
      <c r="F648" s="183">
        <v>80.319999999999993</v>
      </c>
      <c r="G648" s="183">
        <v>67.36</v>
      </c>
    </row>
    <row r="649" spans="1:7" ht="15.75" thickBot="1">
      <c r="C649" s="154" t="s">
        <v>419</v>
      </c>
      <c r="D649" s="185">
        <v>93.27</v>
      </c>
      <c r="E649" s="185">
        <v>88.22</v>
      </c>
      <c r="F649" s="185">
        <v>84</v>
      </c>
      <c r="G649" s="185">
        <v>70.72</v>
      </c>
    </row>
    <row r="650" spans="1:7">
      <c r="C650" t="s">
        <v>420</v>
      </c>
      <c r="D650" s="155">
        <v>90.42</v>
      </c>
      <c r="E650" s="155">
        <v>84.77</v>
      </c>
      <c r="F650" s="155">
        <v>79.48</v>
      </c>
      <c r="G650" s="155">
        <v>64.67</v>
      </c>
    </row>
    <row r="651" spans="1:7">
      <c r="C651" t="s">
        <v>421</v>
      </c>
      <c r="D651" s="156">
        <v>789</v>
      </c>
      <c r="E651" s="156">
        <v>283</v>
      </c>
      <c r="F651" s="156">
        <v>450</v>
      </c>
      <c r="G651" s="156">
        <v>317</v>
      </c>
    </row>
    <row r="652" spans="1:7">
      <c r="C652" t="s">
        <v>422</v>
      </c>
      <c r="D652" s="187" t="s">
        <v>241</v>
      </c>
      <c r="E652" s="187" t="s">
        <v>241</v>
      </c>
      <c r="F652" s="187" t="s">
        <v>241</v>
      </c>
      <c r="G652" s="187" t="s">
        <v>241</v>
      </c>
    </row>
    <row r="653" spans="1:7">
      <c r="C653" t="s">
        <v>423</v>
      </c>
      <c r="D653" s="188" t="s">
        <v>239</v>
      </c>
      <c r="E653" s="188" t="s">
        <v>239</v>
      </c>
      <c r="F653" s="188" t="s">
        <v>239</v>
      </c>
      <c r="G653" s="188" t="s">
        <v>239</v>
      </c>
    </row>
    <row r="654" spans="1:7">
      <c r="C654" t="s">
        <v>193</v>
      </c>
      <c r="D654" s="157" t="s">
        <v>462</v>
      </c>
      <c r="E654" s="157" t="s">
        <v>459</v>
      </c>
      <c r="F654" s="157" t="s">
        <v>460</v>
      </c>
      <c r="G654" s="157" t="s">
        <v>461</v>
      </c>
    </row>
    <row r="655" spans="1:7">
      <c r="C655" t="s">
        <v>424</v>
      </c>
      <c r="D655" s="155">
        <v>82.91</v>
      </c>
      <c r="E655" s="155">
        <v>82.91</v>
      </c>
      <c r="F655" s="155">
        <v>82.91</v>
      </c>
      <c r="G655" s="155">
        <v>82.91</v>
      </c>
    </row>
    <row r="656" spans="1:7">
      <c r="C656" t="s">
        <v>425</v>
      </c>
      <c r="D656" s="189">
        <v>93.54</v>
      </c>
      <c r="E656" s="189">
        <v>87.99</v>
      </c>
      <c r="F656" s="189">
        <v>81.739999999999995</v>
      </c>
      <c r="G656" s="189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133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8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7" t="s">
        <v>396</v>
      </c>
      <c r="AA15" s="128">
        <v>2007</v>
      </c>
      <c r="AB15" s="128">
        <v>2008</v>
      </c>
      <c r="AC15" s="128">
        <v>2009</v>
      </c>
      <c r="AD15" s="128">
        <v>2010</v>
      </c>
      <c r="AE15" s="128">
        <v>2011</v>
      </c>
      <c r="AF15" s="128">
        <v>2012</v>
      </c>
      <c r="AG15" s="128">
        <v>2013</v>
      </c>
      <c r="AH15" s="128">
        <v>2014</v>
      </c>
      <c r="AI15" s="128">
        <v>2015</v>
      </c>
      <c r="AJ15" s="128">
        <v>2016</v>
      </c>
    </row>
    <row r="16" spans="1:36" ht="15.75" thickBot="1">
      <c r="Z16" s="129" t="s">
        <v>397</v>
      </c>
      <c r="AA16" s="130">
        <v>376</v>
      </c>
      <c r="AB16" s="130">
        <v>387</v>
      </c>
      <c r="AC16" s="130">
        <v>532</v>
      </c>
      <c r="AD16" s="130">
        <v>581</v>
      </c>
      <c r="AE16" s="130">
        <v>676</v>
      </c>
      <c r="AF16" s="130">
        <v>704</v>
      </c>
      <c r="AG16" s="130">
        <v>711</v>
      </c>
      <c r="AH16" s="130">
        <v>669</v>
      </c>
      <c r="AI16" s="130">
        <v>664</v>
      </c>
      <c r="AJ16" s="130">
        <v>669</v>
      </c>
    </row>
    <row r="17" spans="1:36" ht="15.75" thickBot="1">
      <c r="Z17" s="129" t="s">
        <v>238</v>
      </c>
      <c r="AA17" s="130">
        <v>336</v>
      </c>
      <c r="AB17" s="130">
        <v>364</v>
      </c>
      <c r="AC17" s="130">
        <v>491</v>
      </c>
      <c r="AD17" s="130">
        <v>448</v>
      </c>
      <c r="AE17" s="130">
        <v>560</v>
      </c>
      <c r="AF17" s="130">
        <v>594</v>
      </c>
      <c r="AG17" s="130">
        <v>610</v>
      </c>
      <c r="AH17" s="130">
        <v>580</v>
      </c>
      <c r="AI17" s="130">
        <v>600</v>
      </c>
      <c r="AJ17" s="130">
        <v>546</v>
      </c>
    </row>
    <row r="18" spans="1:36" ht="15.75" thickBot="1">
      <c r="Z18" s="129" t="s">
        <v>398</v>
      </c>
      <c r="AA18" s="131">
        <v>0.9</v>
      </c>
      <c r="AB18" s="131">
        <v>0.94099999999999995</v>
      </c>
      <c r="AC18" s="131">
        <v>0.92</v>
      </c>
      <c r="AD18" s="131">
        <v>0.77</v>
      </c>
      <c r="AE18" s="131">
        <v>0.83</v>
      </c>
      <c r="AF18" s="131">
        <v>0.84</v>
      </c>
      <c r="AG18" s="131">
        <v>0.86</v>
      </c>
      <c r="AH18" s="131">
        <v>0.87</v>
      </c>
      <c r="AI18" s="131">
        <v>0.90361445783132532</v>
      </c>
      <c r="AJ18" s="131">
        <v>0.81614349775784756</v>
      </c>
    </row>
    <row r="19" spans="1:36" ht="29.25" thickBot="1">
      <c r="Z19" s="129" t="s">
        <v>399</v>
      </c>
      <c r="AA19" s="132">
        <v>1.6400000000000001E-2</v>
      </c>
      <c r="AB19" s="132">
        <v>1.2500000000000001E-2</v>
      </c>
      <c r="AC19" s="132">
        <v>1.23E-2</v>
      </c>
      <c r="AD19" s="132">
        <v>2.2200000000000001E-2</v>
      </c>
      <c r="AE19" s="132">
        <v>1.72E-2</v>
      </c>
      <c r="AF19" s="132">
        <v>1.5900000000000001E-2</v>
      </c>
      <c r="AG19" s="132">
        <v>1.4999999999999999E-2</v>
      </c>
      <c r="AH19" s="132">
        <v>1.4800000000000001E-2</v>
      </c>
      <c r="AI19" s="132">
        <v>1.24E-2</v>
      </c>
      <c r="AJ19" s="132">
        <v>0</v>
      </c>
    </row>
    <row r="20" spans="1:36" ht="15.75" thickBot="1">
      <c r="Z20" s="129" t="s">
        <v>400</v>
      </c>
      <c r="AA20" s="133">
        <v>41081</v>
      </c>
      <c r="AB20" s="133">
        <v>41078</v>
      </c>
      <c r="AC20" s="133">
        <v>41076</v>
      </c>
      <c r="AD20" s="133">
        <v>41088</v>
      </c>
      <c r="AE20" s="133">
        <v>41112</v>
      </c>
      <c r="AF20" s="133">
        <v>41117</v>
      </c>
      <c r="AG20" s="133">
        <v>41484</v>
      </c>
      <c r="AH20" s="133">
        <v>41827</v>
      </c>
      <c r="AI20" s="133">
        <v>42193</v>
      </c>
      <c r="AJ20" s="133">
        <v>42559</v>
      </c>
    </row>
    <row r="21" spans="1:36" ht="15.75" thickBot="1">
      <c r="Z21" s="129" t="s">
        <v>401</v>
      </c>
      <c r="AA21" s="130" t="s">
        <v>402</v>
      </c>
      <c r="AB21" s="130" t="s">
        <v>402</v>
      </c>
      <c r="AC21" s="130" t="s">
        <v>402</v>
      </c>
      <c r="AD21" s="130" t="s">
        <v>402</v>
      </c>
      <c r="AE21" s="130" t="s">
        <v>402</v>
      </c>
      <c r="AF21" s="130" t="s">
        <v>402</v>
      </c>
      <c r="AG21" s="130" t="s">
        <v>402</v>
      </c>
      <c r="AH21" s="130" t="s">
        <v>402</v>
      </c>
      <c r="AI21" s="130" t="s">
        <v>402</v>
      </c>
      <c r="AJ21" s="130" t="s">
        <v>402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412</v>
      </c>
    </row>
    <row r="160" spans="1:1">
      <c r="A160" t="s">
        <v>413</v>
      </c>
    </row>
    <row r="187" spans="1:1">
      <c r="A187" t="s">
        <v>414</v>
      </c>
    </row>
    <row r="213" spans="1:1">
      <c r="A213" t="s">
        <v>415</v>
      </c>
    </row>
    <row r="240" spans="1:1">
      <c r="A240" t="s">
        <v>416</v>
      </c>
    </row>
    <row r="266" spans="1:11" ht="15.75" thickBot="1"/>
    <row r="267" spans="1:11" ht="29.25" thickBot="1">
      <c r="A267" t="s">
        <v>91</v>
      </c>
      <c r="D267" s="35" t="s">
        <v>271</v>
      </c>
      <c r="E267" s="36"/>
      <c r="F267" s="36" t="s">
        <v>272</v>
      </c>
      <c r="G267" s="36" t="s">
        <v>273</v>
      </c>
      <c r="H267" s="37">
        <v>2016</v>
      </c>
      <c r="I267" s="37">
        <v>2015</v>
      </c>
      <c r="J267" s="37" t="s">
        <v>386</v>
      </c>
      <c r="K267" s="37" t="s">
        <v>269</v>
      </c>
    </row>
    <row r="268" spans="1:11">
      <c r="D268" s="286" t="s">
        <v>12</v>
      </c>
      <c r="E268" s="288" t="s">
        <v>275</v>
      </c>
      <c r="F268" s="45">
        <v>1</v>
      </c>
      <c r="G268" s="46" t="s">
        <v>276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86"/>
      <c r="E269" s="289"/>
      <c r="F269" s="51">
        <v>2</v>
      </c>
      <c r="G269" s="52" t="s">
        <v>277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86"/>
      <c r="E270" s="288" t="s">
        <v>278</v>
      </c>
      <c r="F270" s="45">
        <v>3</v>
      </c>
      <c r="G270" s="46" t="s">
        <v>279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87"/>
      <c r="E271" s="289"/>
      <c r="F271" s="51">
        <v>4</v>
      </c>
      <c r="G271" s="52" t="s">
        <v>280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86" t="s">
        <v>13</v>
      </c>
      <c r="E272" s="288" t="s">
        <v>281</v>
      </c>
      <c r="F272" s="45">
        <v>5</v>
      </c>
      <c r="G272" s="46" t="s">
        <v>282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86"/>
      <c r="E273" s="288"/>
      <c r="F273" s="45">
        <v>6</v>
      </c>
      <c r="G273" s="46" t="s">
        <v>283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86"/>
      <c r="E274" s="289"/>
      <c r="F274" s="51">
        <v>7</v>
      </c>
      <c r="G274" s="52" t="s">
        <v>284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86"/>
      <c r="E275" s="288" t="s">
        <v>285</v>
      </c>
      <c r="F275" s="45">
        <v>8</v>
      </c>
      <c r="G275" s="46" t="s">
        <v>286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86"/>
      <c r="E276" s="289"/>
      <c r="F276" s="51">
        <v>9</v>
      </c>
      <c r="G276" s="52" t="s">
        <v>287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87"/>
      <c r="E277" s="149" t="s">
        <v>288</v>
      </c>
      <c r="F277" s="51">
        <v>10</v>
      </c>
      <c r="G277" s="52" t="s">
        <v>289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86" t="s">
        <v>14</v>
      </c>
      <c r="E278" s="288" t="s">
        <v>290</v>
      </c>
      <c r="F278" s="45">
        <v>11</v>
      </c>
      <c r="G278" s="46" t="s">
        <v>291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86"/>
      <c r="E279" s="288"/>
      <c r="F279" s="45">
        <v>12</v>
      </c>
      <c r="G279" s="46" t="s">
        <v>292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86"/>
      <c r="E280" s="289"/>
      <c r="F280" s="51">
        <v>13</v>
      </c>
      <c r="G280" s="52" t="s">
        <v>293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87"/>
      <c r="E281" s="149" t="s">
        <v>294</v>
      </c>
      <c r="F281" s="51">
        <v>14</v>
      </c>
      <c r="G281" s="52" t="s">
        <v>295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271</v>
      </c>
      <c r="E293" s="36"/>
      <c r="F293" s="36" t="s">
        <v>272</v>
      </c>
      <c r="G293" s="36" t="s">
        <v>273</v>
      </c>
      <c r="H293" s="37">
        <v>2016</v>
      </c>
      <c r="I293" s="37">
        <v>2015</v>
      </c>
      <c r="J293" s="37" t="s">
        <v>386</v>
      </c>
      <c r="K293" s="37" t="s">
        <v>269</v>
      </c>
    </row>
    <row r="294" spans="1:11">
      <c r="D294" s="284" t="s">
        <v>15</v>
      </c>
      <c r="E294" s="291" t="s">
        <v>297</v>
      </c>
      <c r="F294" s="56">
        <v>15</v>
      </c>
      <c r="G294" s="57" t="s">
        <v>298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90"/>
      <c r="E295" s="292"/>
      <c r="F295" s="59">
        <v>16</v>
      </c>
      <c r="G295" s="52" t="s">
        <v>299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90"/>
      <c r="E296" s="293" t="s">
        <v>300</v>
      </c>
      <c r="F296" s="61">
        <v>17</v>
      </c>
      <c r="G296" s="46" t="s">
        <v>301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85"/>
      <c r="E297" s="292"/>
      <c r="F297" s="59">
        <v>18</v>
      </c>
      <c r="G297" s="52" t="s">
        <v>302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84" t="s">
        <v>16</v>
      </c>
      <c r="E298" s="293" t="s">
        <v>303</v>
      </c>
      <c r="F298" s="61">
        <v>19</v>
      </c>
      <c r="G298" s="46" t="s">
        <v>304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85"/>
      <c r="E299" s="292"/>
      <c r="F299" s="59">
        <v>20</v>
      </c>
      <c r="G299" s="52" t="s">
        <v>305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84" t="s">
        <v>17</v>
      </c>
      <c r="E300" s="293" t="s">
        <v>306</v>
      </c>
      <c r="F300" s="61">
        <v>21</v>
      </c>
      <c r="G300" s="46" t="s">
        <v>307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90"/>
      <c r="E301" s="293"/>
      <c r="F301" s="61">
        <v>22</v>
      </c>
      <c r="G301" s="46" t="s">
        <v>308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90"/>
      <c r="E302" s="292"/>
      <c r="F302" s="59">
        <v>23</v>
      </c>
      <c r="G302" s="52" t="s">
        <v>309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90"/>
      <c r="E303" s="293" t="s">
        <v>310</v>
      </c>
      <c r="F303" s="61">
        <v>24</v>
      </c>
      <c r="G303" s="46" t="s">
        <v>311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90"/>
      <c r="E304" s="293"/>
      <c r="F304" s="61">
        <v>25</v>
      </c>
      <c r="G304" s="46" t="s">
        <v>312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90"/>
      <c r="E305" s="293"/>
      <c r="F305" s="61">
        <v>26</v>
      </c>
      <c r="G305" s="46" t="s">
        <v>313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85"/>
      <c r="E306" s="292"/>
      <c r="F306" s="59">
        <v>27</v>
      </c>
      <c r="G306" s="52" t="s">
        <v>314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271</v>
      </c>
      <c r="E320" s="36"/>
      <c r="F320" s="36" t="s">
        <v>272</v>
      </c>
      <c r="G320" s="36" t="s">
        <v>273</v>
      </c>
      <c r="H320" s="37">
        <v>2016</v>
      </c>
      <c r="I320" s="37">
        <v>2015</v>
      </c>
      <c r="J320" s="37" t="s">
        <v>386</v>
      </c>
      <c r="K320" s="37" t="s">
        <v>269</v>
      </c>
    </row>
    <row r="321" spans="4:11">
      <c r="D321" s="273" t="s">
        <v>18</v>
      </c>
      <c r="E321" s="294" t="s">
        <v>316</v>
      </c>
      <c r="F321" s="64">
        <v>28</v>
      </c>
      <c r="G321" s="65" t="s">
        <v>317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73"/>
      <c r="E322" s="295"/>
      <c r="F322" s="61">
        <v>29</v>
      </c>
      <c r="G322" s="46" t="s">
        <v>318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73"/>
      <c r="E323" s="296" t="s">
        <v>319</v>
      </c>
      <c r="F323" s="56">
        <v>30</v>
      </c>
      <c r="G323" s="57" t="s">
        <v>320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74"/>
      <c r="E324" s="297"/>
      <c r="F324" s="59">
        <v>31</v>
      </c>
      <c r="G324" s="52" t="s">
        <v>321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98" t="s">
        <v>19</v>
      </c>
      <c r="E325" s="298"/>
      <c r="F325" s="61">
        <v>32</v>
      </c>
      <c r="G325" s="46" t="s">
        <v>322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99"/>
      <c r="E326" s="299"/>
      <c r="F326" s="61">
        <v>33</v>
      </c>
      <c r="G326" s="46" t="s">
        <v>323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300"/>
      <c r="E327" s="300"/>
      <c r="F327" s="59">
        <v>34</v>
      </c>
      <c r="G327" s="52" t="s">
        <v>324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2" t="s">
        <v>20</v>
      </c>
      <c r="E328" s="296" t="s">
        <v>325</v>
      </c>
      <c r="F328" s="56">
        <v>35</v>
      </c>
      <c r="G328" s="57" t="s">
        <v>326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73"/>
      <c r="E329" s="295"/>
      <c r="F329" s="61">
        <v>36</v>
      </c>
      <c r="G329" s="46" t="s">
        <v>327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73"/>
      <c r="E330" s="295"/>
      <c r="F330" s="61">
        <v>37</v>
      </c>
      <c r="G330" s="46" t="s">
        <v>328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73"/>
      <c r="E331" s="295"/>
      <c r="F331" s="61">
        <v>38</v>
      </c>
      <c r="G331" s="52" t="s">
        <v>329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74"/>
      <c r="E332" s="66" t="s">
        <v>330</v>
      </c>
      <c r="F332" s="67">
        <v>39</v>
      </c>
      <c r="G332" s="52" t="s">
        <v>331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271</v>
      </c>
      <c r="E347" s="36"/>
      <c r="F347" s="36" t="s">
        <v>272</v>
      </c>
      <c r="G347" s="36" t="s">
        <v>273</v>
      </c>
      <c r="H347" s="37">
        <v>2016</v>
      </c>
      <c r="I347" s="37">
        <v>2015</v>
      </c>
      <c r="J347" s="37" t="s">
        <v>386</v>
      </c>
      <c r="K347" s="37" t="s">
        <v>269</v>
      </c>
    </row>
    <row r="348" spans="1:11">
      <c r="D348" s="301" t="s">
        <v>21</v>
      </c>
      <c r="E348" s="302"/>
      <c r="F348" s="69">
        <v>40</v>
      </c>
      <c r="G348" s="57" t="s">
        <v>333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303"/>
      <c r="E349" s="304"/>
      <c r="F349" s="51">
        <v>41</v>
      </c>
      <c r="G349" s="52" t="s">
        <v>334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301" t="s">
        <v>22</v>
      </c>
      <c r="E350" s="302"/>
      <c r="F350" s="69">
        <v>42</v>
      </c>
      <c r="G350" s="57" t="s">
        <v>335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303"/>
      <c r="E351" s="304"/>
      <c r="F351" s="51">
        <v>43</v>
      </c>
      <c r="G351" s="52" t="s">
        <v>336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301" t="s">
        <v>23</v>
      </c>
      <c r="E352" s="302"/>
      <c r="F352" s="69">
        <v>44</v>
      </c>
      <c r="G352" s="57" t="s">
        <v>337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306"/>
      <c r="E353" s="307"/>
      <c r="F353" s="45">
        <v>45</v>
      </c>
      <c r="G353" s="46" t="s">
        <v>338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306"/>
      <c r="E354" s="307"/>
      <c r="F354" s="45">
        <v>46</v>
      </c>
      <c r="G354" s="46" t="s">
        <v>339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303"/>
      <c r="E355" s="304"/>
      <c r="F355" s="51">
        <v>47</v>
      </c>
      <c r="G355" s="52" t="s">
        <v>340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271</v>
      </c>
      <c r="E373" s="36"/>
      <c r="F373" s="36" t="s">
        <v>272</v>
      </c>
      <c r="G373" s="36" t="s">
        <v>273</v>
      </c>
      <c r="H373" s="37">
        <v>2016</v>
      </c>
      <c r="I373" s="37">
        <v>2015</v>
      </c>
      <c r="J373" s="37" t="s">
        <v>386</v>
      </c>
      <c r="K373" s="37" t="s">
        <v>269</v>
      </c>
    </row>
    <row r="374" spans="1:11">
      <c r="D374" s="308" t="s">
        <v>24</v>
      </c>
      <c r="E374" s="308"/>
      <c r="F374" s="70">
        <v>48</v>
      </c>
      <c r="G374" s="71" t="s">
        <v>342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308"/>
      <c r="E375" s="308"/>
      <c r="F375" s="70">
        <v>49</v>
      </c>
      <c r="G375" s="71" t="s">
        <v>343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309"/>
      <c r="E376" s="309"/>
      <c r="F376" s="72">
        <v>50</v>
      </c>
      <c r="G376" s="73" t="s">
        <v>344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5" t="s">
        <v>25</v>
      </c>
      <c r="E377" s="313" t="s">
        <v>345</v>
      </c>
      <c r="F377" s="74">
        <v>51</v>
      </c>
      <c r="G377" s="75" t="s">
        <v>346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6"/>
      <c r="E378" s="314"/>
      <c r="F378" s="72">
        <v>52</v>
      </c>
      <c r="G378" s="73" t="s">
        <v>347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6"/>
      <c r="E379" s="313" t="s">
        <v>348</v>
      </c>
      <c r="F379" s="74">
        <v>53</v>
      </c>
      <c r="G379" s="75" t="s">
        <v>349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7"/>
      <c r="E380" s="315"/>
      <c r="F380" s="70">
        <v>54</v>
      </c>
      <c r="G380" s="71" t="s">
        <v>350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316" t="s">
        <v>26</v>
      </c>
      <c r="E381" s="316"/>
      <c r="F381" s="74">
        <v>55</v>
      </c>
      <c r="G381" s="75" t="s">
        <v>351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308"/>
      <c r="E382" s="308"/>
      <c r="F382" s="70">
        <v>56</v>
      </c>
      <c r="G382" s="71" t="s">
        <v>352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309"/>
      <c r="E383" s="309"/>
      <c r="F383" s="72">
        <v>57</v>
      </c>
      <c r="G383" s="73" t="s">
        <v>353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268</v>
      </c>
      <c r="N400" s="138">
        <v>2016</v>
      </c>
      <c r="O400" s="138">
        <v>2015</v>
      </c>
      <c r="P400" s="138" t="s">
        <v>386</v>
      </c>
      <c r="Q400" s="138" t="s">
        <v>269</v>
      </c>
      <c r="R400" s="138" t="s">
        <v>270</v>
      </c>
      <c r="S400" s="138" t="s">
        <v>387</v>
      </c>
    </row>
    <row r="401" spans="1:19" ht="20.100000000000001" customHeight="1">
      <c r="A401" t="s">
        <v>100</v>
      </c>
      <c r="L401" s="333">
        <v>86</v>
      </c>
      <c r="M401" s="12" t="s">
        <v>12</v>
      </c>
      <c r="N401" s="138">
        <v>87</v>
      </c>
      <c r="O401" s="138">
        <v>84</v>
      </c>
      <c r="P401" s="138">
        <v>89</v>
      </c>
      <c r="Q401" s="138">
        <v>78</v>
      </c>
      <c r="R401" s="138">
        <v>-2</v>
      </c>
      <c r="S401" s="138">
        <v>9</v>
      </c>
    </row>
    <row r="402" spans="1:19" ht="20.100000000000001" customHeight="1">
      <c r="L402" s="333"/>
      <c r="M402" s="12" t="s">
        <v>13</v>
      </c>
      <c r="N402" s="138">
        <v>86</v>
      </c>
      <c r="O402" s="138">
        <v>82</v>
      </c>
      <c r="P402" s="138">
        <v>89</v>
      </c>
      <c r="Q402" s="138">
        <v>80</v>
      </c>
      <c r="R402" s="138">
        <v>-3</v>
      </c>
      <c r="S402" s="138">
        <v>6</v>
      </c>
    </row>
    <row r="403" spans="1:19" ht="20.100000000000001" customHeight="1" thickBot="1">
      <c r="L403" s="333"/>
      <c r="M403" s="139" t="s">
        <v>14</v>
      </c>
      <c r="N403" s="140">
        <v>86</v>
      </c>
      <c r="O403" s="140">
        <v>82</v>
      </c>
      <c r="P403" s="140">
        <v>90</v>
      </c>
      <c r="Q403" s="140">
        <v>79</v>
      </c>
      <c r="R403" s="140">
        <v>-4</v>
      </c>
      <c r="S403" s="140">
        <v>7</v>
      </c>
    </row>
    <row r="404" spans="1:19" ht="20.100000000000001" customHeight="1">
      <c r="L404" s="333">
        <v>82</v>
      </c>
      <c r="M404" s="12" t="s">
        <v>15</v>
      </c>
      <c r="N404" s="138">
        <v>82</v>
      </c>
      <c r="O404" s="138">
        <v>79</v>
      </c>
      <c r="P404" s="138">
        <v>89</v>
      </c>
      <c r="Q404" s="138">
        <v>77</v>
      </c>
      <c r="R404" s="138">
        <v>-7</v>
      </c>
      <c r="S404" s="138">
        <v>5</v>
      </c>
    </row>
    <row r="405" spans="1:19" ht="20.100000000000001" customHeight="1">
      <c r="L405" s="333"/>
      <c r="M405" s="12" t="s">
        <v>16</v>
      </c>
      <c r="N405" s="138">
        <v>81</v>
      </c>
      <c r="O405" s="138">
        <v>77</v>
      </c>
      <c r="P405" s="138">
        <v>87</v>
      </c>
      <c r="Q405" s="138">
        <v>73</v>
      </c>
      <c r="R405" s="138">
        <v>-6</v>
      </c>
      <c r="S405" s="138">
        <v>8</v>
      </c>
    </row>
    <row r="406" spans="1:19" ht="20.100000000000001" customHeight="1" thickBot="1">
      <c r="L406" s="333"/>
      <c r="M406" s="141" t="s">
        <v>17</v>
      </c>
      <c r="N406" s="142">
        <v>81</v>
      </c>
      <c r="O406" s="142">
        <v>77</v>
      </c>
      <c r="P406" s="142">
        <v>89</v>
      </c>
      <c r="Q406" s="142">
        <v>78</v>
      </c>
      <c r="R406" s="142">
        <v>-8</v>
      </c>
      <c r="S406" s="142">
        <v>3</v>
      </c>
    </row>
    <row r="407" spans="1:19" ht="20.100000000000001" customHeight="1">
      <c r="L407" s="333">
        <v>78</v>
      </c>
      <c r="M407" s="12" t="s">
        <v>18</v>
      </c>
      <c r="N407" s="138">
        <v>69</v>
      </c>
      <c r="O407" s="138">
        <v>63</v>
      </c>
      <c r="P407" s="138">
        <v>77</v>
      </c>
      <c r="Q407" s="138">
        <v>65</v>
      </c>
      <c r="R407" s="138">
        <v>-8</v>
      </c>
      <c r="S407" s="138">
        <v>4</v>
      </c>
    </row>
    <row r="408" spans="1:19" ht="20.100000000000001" customHeight="1">
      <c r="L408" s="333"/>
      <c r="M408" s="12" t="s">
        <v>19</v>
      </c>
      <c r="N408" s="138">
        <v>68</v>
      </c>
      <c r="O408" s="138">
        <v>62</v>
      </c>
      <c r="P408" s="138">
        <v>78</v>
      </c>
      <c r="Q408" s="138">
        <v>64</v>
      </c>
      <c r="R408" s="138">
        <v>-10</v>
      </c>
      <c r="S408" s="138">
        <v>4</v>
      </c>
    </row>
    <row r="409" spans="1:19" ht="20.100000000000001" customHeight="1" thickBot="1">
      <c r="L409" s="333"/>
      <c r="M409" s="143" t="s">
        <v>20</v>
      </c>
      <c r="N409" s="144">
        <v>91</v>
      </c>
      <c r="O409" s="144">
        <v>89</v>
      </c>
      <c r="P409" s="144">
        <v>96</v>
      </c>
      <c r="Q409" s="144">
        <v>91</v>
      </c>
      <c r="R409" s="144">
        <v>-5</v>
      </c>
      <c r="S409" s="144">
        <v>0</v>
      </c>
    </row>
    <row r="410" spans="1:19" ht="20.100000000000001" customHeight="1">
      <c r="L410" s="333">
        <v>83</v>
      </c>
      <c r="M410" s="12" t="s">
        <v>21</v>
      </c>
      <c r="N410" s="138">
        <v>81</v>
      </c>
      <c r="O410" s="138">
        <v>76</v>
      </c>
      <c r="P410" s="138">
        <v>88</v>
      </c>
      <c r="Q410" s="138">
        <v>77</v>
      </c>
      <c r="R410" s="138">
        <v>-7</v>
      </c>
      <c r="S410" s="138">
        <v>4</v>
      </c>
    </row>
    <row r="411" spans="1:19" ht="20.100000000000001" customHeight="1">
      <c r="L411" s="333"/>
      <c r="M411" s="12" t="s">
        <v>22</v>
      </c>
      <c r="N411" s="138">
        <v>84</v>
      </c>
      <c r="O411" s="138">
        <v>79</v>
      </c>
      <c r="P411" s="138">
        <v>91</v>
      </c>
      <c r="Q411" s="138">
        <v>80</v>
      </c>
      <c r="R411" s="138">
        <v>-7</v>
      </c>
      <c r="S411" s="138">
        <v>4</v>
      </c>
    </row>
    <row r="412" spans="1:19" ht="20.100000000000001" customHeight="1" thickBot="1">
      <c r="L412" s="333"/>
      <c r="M412" s="145" t="s">
        <v>23</v>
      </c>
      <c r="N412" s="146">
        <v>84</v>
      </c>
      <c r="O412" s="146">
        <v>79</v>
      </c>
      <c r="P412" s="146">
        <v>91</v>
      </c>
      <c r="Q412" s="146">
        <v>82</v>
      </c>
      <c r="R412" s="146">
        <v>-7</v>
      </c>
      <c r="S412" s="146">
        <v>2</v>
      </c>
    </row>
    <row r="413" spans="1:19" ht="20.100000000000001" customHeight="1">
      <c r="L413" s="333">
        <v>86</v>
      </c>
      <c r="M413" s="12" t="s">
        <v>24</v>
      </c>
      <c r="N413" s="138">
        <v>87</v>
      </c>
      <c r="O413" s="138">
        <v>83</v>
      </c>
      <c r="P413" s="138">
        <v>93</v>
      </c>
      <c r="Q413" s="138">
        <v>84</v>
      </c>
      <c r="R413" s="138">
        <v>-6</v>
      </c>
      <c r="S413" s="138">
        <v>3</v>
      </c>
    </row>
    <row r="414" spans="1:19" ht="20.100000000000001" customHeight="1">
      <c r="L414" s="333"/>
      <c r="M414" s="12" t="s">
        <v>25</v>
      </c>
      <c r="N414" s="138">
        <v>88</v>
      </c>
      <c r="O414" s="138">
        <v>84</v>
      </c>
      <c r="P414" s="138">
        <v>94</v>
      </c>
      <c r="Q414" s="138">
        <v>86</v>
      </c>
      <c r="R414" s="138">
        <v>-6</v>
      </c>
      <c r="S414" s="138">
        <v>2</v>
      </c>
    </row>
    <row r="415" spans="1:19" ht="20.100000000000001" customHeight="1" thickBot="1">
      <c r="L415" s="333"/>
      <c r="M415" s="147" t="s">
        <v>26</v>
      </c>
      <c r="N415" s="148">
        <v>82</v>
      </c>
      <c r="O415" s="148">
        <v>78</v>
      </c>
      <c r="P415" s="148">
        <v>90</v>
      </c>
      <c r="Q415" s="148">
        <v>78</v>
      </c>
      <c r="R415" s="148">
        <v>-8</v>
      </c>
      <c r="S415" s="148">
        <v>4</v>
      </c>
    </row>
    <row r="442" spans="1:9">
      <c r="A442" t="s">
        <v>417</v>
      </c>
      <c r="F442" s="70">
        <v>59</v>
      </c>
      <c r="G442" s="71" t="s">
        <v>404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405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406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407</v>
      </c>
      <c r="H445" s="62">
        <v>92.57</v>
      </c>
      <c r="I445" s="62">
        <v>89.81</v>
      </c>
    </row>
    <row r="446" spans="1:9">
      <c r="F446" s="70">
        <v>63</v>
      </c>
      <c r="G446" s="71" t="s">
        <v>408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409</v>
      </c>
      <c r="H447" s="62">
        <v>85.46</v>
      </c>
      <c r="I447" s="62" t="s">
        <v>239</v>
      </c>
    </row>
    <row r="448" spans="1:9" ht="29.25" thickBot="1">
      <c r="F448" s="72">
        <v>65</v>
      </c>
      <c r="G448" s="73" t="s">
        <v>410</v>
      </c>
      <c r="H448" s="60">
        <v>80.86</v>
      </c>
      <c r="I448" s="62" t="s">
        <v>239</v>
      </c>
    </row>
    <row r="468" spans="1:9">
      <c r="A468" t="s">
        <v>96</v>
      </c>
      <c r="C468" s="135" t="s">
        <v>194</v>
      </c>
      <c r="D468" s="92"/>
      <c r="E468" s="92" t="s">
        <v>20</v>
      </c>
      <c r="F468" s="93">
        <v>36</v>
      </c>
      <c r="G468" s="93" t="s">
        <v>327</v>
      </c>
      <c r="H468" s="94">
        <v>96.52</v>
      </c>
      <c r="I468" s="95">
        <v>13.61</v>
      </c>
    </row>
    <row r="469" spans="1:9">
      <c r="C469" s="136" t="s">
        <v>194</v>
      </c>
      <c r="D469" s="96"/>
      <c r="E469" s="96" t="s">
        <v>20</v>
      </c>
      <c r="F469" s="97">
        <v>37</v>
      </c>
      <c r="G469" s="97" t="s">
        <v>328</v>
      </c>
      <c r="H469" s="50">
        <v>94.97</v>
      </c>
      <c r="I469" s="98">
        <v>12.060000000000002</v>
      </c>
    </row>
    <row r="470" spans="1:9">
      <c r="C470" s="136" t="s">
        <v>194</v>
      </c>
      <c r="D470" s="96"/>
      <c r="E470" s="96" t="s">
        <v>20</v>
      </c>
      <c r="F470" s="97">
        <v>38</v>
      </c>
      <c r="G470" s="97" t="s">
        <v>329</v>
      </c>
      <c r="H470" s="50">
        <v>93.83</v>
      </c>
      <c r="I470" s="98">
        <v>10.920000000000002</v>
      </c>
    </row>
    <row r="471" spans="1:9">
      <c r="C471" s="136" t="s">
        <v>195</v>
      </c>
      <c r="D471" s="96"/>
      <c r="E471" s="96" t="s">
        <v>14</v>
      </c>
      <c r="F471" s="97">
        <v>14</v>
      </c>
      <c r="G471" s="97" t="s">
        <v>295</v>
      </c>
      <c r="H471" s="50">
        <v>92.33</v>
      </c>
      <c r="I471" s="98">
        <v>9.4200000000000017</v>
      </c>
    </row>
    <row r="472" spans="1:9">
      <c r="C472" s="136" t="s">
        <v>194</v>
      </c>
      <c r="D472" s="96"/>
      <c r="E472" s="96" t="s">
        <v>18</v>
      </c>
      <c r="F472" s="97">
        <v>31</v>
      </c>
      <c r="G472" s="97" t="s">
        <v>321</v>
      </c>
      <c r="H472" s="50">
        <v>92.08</v>
      </c>
      <c r="I472" s="98">
        <v>9.1700000000000017</v>
      </c>
    </row>
    <row r="473" spans="1:9" ht="24">
      <c r="C473" s="136" t="s">
        <v>196</v>
      </c>
      <c r="D473" s="96"/>
      <c r="E473" s="96" t="s">
        <v>17</v>
      </c>
      <c r="F473" s="97">
        <v>21</v>
      </c>
      <c r="G473" s="97" t="s">
        <v>307</v>
      </c>
      <c r="H473" s="50">
        <v>91.17</v>
      </c>
      <c r="I473" s="98">
        <v>8.2600000000000051</v>
      </c>
    </row>
    <row r="474" spans="1:9">
      <c r="C474" s="136" t="s">
        <v>195</v>
      </c>
      <c r="D474" s="96"/>
      <c r="E474" s="96" t="s">
        <v>12</v>
      </c>
      <c r="F474" s="97">
        <v>4</v>
      </c>
      <c r="G474" s="97" t="s">
        <v>280</v>
      </c>
      <c r="H474" s="50">
        <v>89.51</v>
      </c>
      <c r="I474" s="98">
        <v>6.6000000000000085</v>
      </c>
    </row>
    <row r="475" spans="1:9">
      <c r="C475" s="136" t="s">
        <v>195</v>
      </c>
      <c r="D475" s="96"/>
      <c r="E475" s="96" t="s">
        <v>13</v>
      </c>
      <c r="F475" s="97">
        <v>9</v>
      </c>
      <c r="G475" s="97" t="s">
        <v>287</v>
      </c>
      <c r="H475" s="50">
        <v>89.17</v>
      </c>
      <c r="I475" s="98">
        <v>6.2600000000000051</v>
      </c>
    </row>
    <row r="476" spans="1:9">
      <c r="C476" s="136" t="s">
        <v>195</v>
      </c>
      <c r="D476" s="96"/>
      <c r="E476" s="96" t="s">
        <v>13</v>
      </c>
      <c r="F476" s="97">
        <v>5</v>
      </c>
      <c r="G476" s="97" t="s">
        <v>282</v>
      </c>
      <c r="H476" s="50">
        <v>89.01</v>
      </c>
      <c r="I476" s="98">
        <v>6.1000000000000085</v>
      </c>
    </row>
    <row r="477" spans="1:9">
      <c r="C477" s="136" t="s">
        <v>195</v>
      </c>
      <c r="D477" s="96"/>
      <c r="E477" s="96" t="s">
        <v>13</v>
      </c>
      <c r="F477" s="97">
        <v>10</v>
      </c>
      <c r="G477" s="97" t="s">
        <v>289</v>
      </c>
      <c r="H477" s="50">
        <v>88.56</v>
      </c>
      <c r="I477" s="98">
        <v>5.6500000000000057</v>
      </c>
    </row>
    <row r="495" spans="1:9">
      <c r="A495" t="s">
        <v>97</v>
      </c>
      <c r="C495" s="135" t="s">
        <v>194</v>
      </c>
      <c r="D495" s="92"/>
      <c r="E495" s="92" t="s">
        <v>18</v>
      </c>
      <c r="F495" s="93">
        <v>29</v>
      </c>
      <c r="G495" s="93" t="s">
        <v>318</v>
      </c>
      <c r="H495" s="94">
        <v>45.85</v>
      </c>
      <c r="I495" s="95">
        <v>-37.059999999999995</v>
      </c>
    </row>
    <row r="496" spans="1:9" ht="24">
      <c r="C496" s="135" t="s">
        <v>194</v>
      </c>
      <c r="D496" s="92"/>
      <c r="E496" s="92" t="s">
        <v>19</v>
      </c>
      <c r="F496" s="93">
        <v>32</v>
      </c>
      <c r="G496" s="93" t="s">
        <v>322</v>
      </c>
      <c r="H496" s="94">
        <v>58.81</v>
      </c>
      <c r="I496" s="95">
        <v>-24.099999999999994</v>
      </c>
    </row>
    <row r="497" spans="3:9">
      <c r="C497" s="135" t="s">
        <v>194</v>
      </c>
      <c r="D497" s="92"/>
      <c r="E497" s="92" t="s">
        <v>18</v>
      </c>
      <c r="F497" s="93">
        <v>28</v>
      </c>
      <c r="G497" s="93" t="s">
        <v>317</v>
      </c>
      <c r="H497" s="94">
        <v>63.94</v>
      </c>
      <c r="I497" s="95">
        <v>-18.97</v>
      </c>
    </row>
    <row r="498" spans="3:9" ht="24">
      <c r="C498" s="135" t="s">
        <v>196</v>
      </c>
      <c r="D498" s="92"/>
      <c r="E498" s="92" t="s">
        <v>17</v>
      </c>
      <c r="F498" s="93">
        <v>22</v>
      </c>
      <c r="G498" s="93" t="s">
        <v>308</v>
      </c>
      <c r="H498" s="94">
        <v>69.52</v>
      </c>
      <c r="I498" s="95">
        <v>-13.39</v>
      </c>
    </row>
    <row r="499" spans="3:9" ht="24">
      <c r="C499" s="135" t="s">
        <v>194</v>
      </c>
      <c r="D499" s="92"/>
      <c r="E499" s="92" t="s">
        <v>19</v>
      </c>
      <c r="F499" s="93">
        <v>34</v>
      </c>
      <c r="G499" s="93" t="s">
        <v>324</v>
      </c>
      <c r="H499" s="94">
        <v>71.930000000000007</v>
      </c>
      <c r="I499" s="95">
        <v>-10.97999999999999</v>
      </c>
    </row>
    <row r="500" spans="3:9">
      <c r="C500" s="135" t="s">
        <v>194</v>
      </c>
      <c r="D500" s="92"/>
      <c r="E500" s="92" t="s">
        <v>18</v>
      </c>
      <c r="F500" s="93">
        <v>30</v>
      </c>
      <c r="G500" s="93" t="s">
        <v>320</v>
      </c>
      <c r="H500" s="94">
        <v>72.17</v>
      </c>
      <c r="I500" s="95">
        <v>-10.739999999999995</v>
      </c>
    </row>
    <row r="501" spans="3:9" ht="24">
      <c r="C501" s="135" t="s">
        <v>194</v>
      </c>
      <c r="D501" s="92"/>
      <c r="E501" s="92" t="s">
        <v>19</v>
      </c>
      <c r="F501" s="93">
        <v>33</v>
      </c>
      <c r="G501" s="93" t="s">
        <v>323</v>
      </c>
      <c r="H501" s="94">
        <v>73.19</v>
      </c>
      <c r="I501" s="95">
        <v>-9.7199999999999989</v>
      </c>
    </row>
    <row r="502" spans="3:9" ht="24">
      <c r="C502" s="135" t="s">
        <v>196</v>
      </c>
      <c r="D502" s="92"/>
      <c r="E502" s="92" t="s">
        <v>17</v>
      </c>
      <c r="F502" s="93">
        <v>25</v>
      </c>
      <c r="G502" s="93" t="s">
        <v>312</v>
      </c>
      <c r="H502" s="94">
        <v>75.88</v>
      </c>
      <c r="I502" s="95">
        <v>-7.0300000000000011</v>
      </c>
    </row>
    <row r="503" spans="3:9">
      <c r="C503" s="135" t="s">
        <v>195</v>
      </c>
      <c r="D503" s="92"/>
      <c r="E503" s="92" t="s">
        <v>13</v>
      </c>
      <c r="F503" s="93">
        <v>7</v>
      </c>
      <c r="G503" s="93" t="s">
        <v>284</v>
      </c>
      <c r="H503" s="94">
        <v>76.25</v>
      </c>
      <c r="I503" s="95">
        <v>-6.6599999999999966</v>
      </c>
    </row>
    <row r="504" spans="3:9">
      <c r="C504" s="135" t="s">
        <v>411</v>
      </c>
      <c r="D504" s="92"/>
      <c r="E504" s="92" t="s">
        <v>411</v>
      </c>
      <c r="F504" s="93" t="s">
        <v>411</v>
      </c>
      <c r="G504" s="93" t="s">
        <v>411</v>
      </c>
      <c r="H504" s="94" t="s">
        <v>411</v>
      </c>
      <c r="I504" s="95" t="s">
        <v>411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2017-05-08T03:03:55Z</dcterms:modified>
</cp:coreProperties>
</file>