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RmaUKGL5ToXgIB6Gi68pvEruSkFhpBhf+biLyhy3QT3TQZCkh7oUhlvZia9EzlPWbs1jqZpRp0KqpwEuybIFzw==" workbookSaltValue="6vG0In2Dykc5jlEJktc1lg==" workbookSpinCount="100000" lockStructure="1"/>
  <bookViews>
    <workbookView xWindow="0" yWindow="0" windowWidth="20490" windowHeight="7755" tabRatio="760" firstSheet="4" activeTab="4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13" r:id="rId7"/>
    <sheet name="Gráficos Indicadores" sheetId="2615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<sst xmlns="http://schemas.openxmlformats.org/spreadsheetml/2006/main" count="1567" uniqueCount="503">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</sst>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sz val="13"/>
      <color rgb="FF40404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DB533"/>
      </bottom>
      <diagonal/>
    </border>
    <border>
      <left/>
      <right/>
      <top style="medium">
        <color rgb="FFFDB533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50" fillId="44" borderId="0" xfId="0" applyNumberFormat="1" applyFont="1" applyFill="1" applyBorder="1" applyAlignment="1">
      <alignment horizontal="center" vertical="center" wrapText="1"/>
    </xf>
    <xf numFmtId="1" fontId="50" fillId="44" borderId="44" xfId="0" applyNumberFormat="1" applyFont="1" applyFill="1" applyBorder="1" applyAlignment="1">
      <alignment horizontal="center" vertical="center" wrapText="1"/>
    </xf>
    <xf numFmtId="1" fontId="50" fillId="44" borderId="46" xfId="0" applyNumberFormat="1" applyFont="1" applyFill="1" applyBorder="1" applyAlignment="1">
      <alignment horizontal="center" vertical="center" wrapText="1"/>
    </xf>
    <xf numFmtId="1" fontId="50" fillId="44" borderId="47" xfId="0" applyNumberFormat="1" applyFont="1" applyFill="1" applyBorder="1" applyAlignment="1">
      <alignment horizontal="center" vertical="center" wrapText="1"/>
    </xf>
    <xf numFmtId="1" fontId="50" fillId="45" borderId="0" xfId="0" applyNumberFormat="1" applyFont="1" applyFill="1" applyBorder="1" applyAlignment="1">
      <alignment horizontal="center" vertical="center" wrapText="1"/>
    </xf>
    <xf numFmtId="1" fontId="50" fillId="45" borderId="44" xfId="0" applyNumberFormat="1" applyFont="1" applyFill="1" applyBorder="1" applyAlignment="1">
      <alignment horizontal="center" vertical="center" wrapText="1"/>
    </xf>
    <xf numFmtId="1" fontId="50" fillId="45" borderId="47" xfId="0" applyNumberFormat="1" applyFont="1" applyFill="1" applyBorder="1" applyAlignment="1">
      <alignment horizontal="center" vertical="center" wrapText="1"/>
    </xf>
    <xf numFmtId="1" fontId="46" fillId="44" borderId="0" xfId="0" applyNumberFormat="1" applyFont="1" applyFill="1" applyBorder="1" applyAlignment="1">
      <alignment vertical="center" wrapText="1"/>
    </xf>
    <xf numFmtId="1" fontId="46" fillId="44" borderId="44" xfId="0" applyNumberFormat="1" applyFont="1" applyFill="1" applyBorder="1" applyAlignment="1">
      <alignment vertical="center" wrapText="1"/>
    </xf>
    <xf numFmtId="1" fontId="46" fillId="44" borderId="46" xfId="0" applyNumberFormat="1" applyFont="1" applyFill="1" applyBorder="1" applyAlignment="1">
      <alignment vertical="center" wrapText="1"/>
    </xf>
    <xf numFmtId="1" fontId="48" fillId="44" borderId="0" xfId="0" applyNumberFormat="1" applyFont="1" applyFill="1" applyBorder="1" applyAlignment="1">
      <alignment vertical="center" wrapText="1"/>
    </xf>
    <xf numFmtId="1" fontId="48" fillId="44" borderId="47" xfId="0" applyNumberFormat="1" applyFont="1" applyFill="1" applyBorder="1" applyAlignment="1">
      <alignment vertical="center" wrapText="1"/>
    </xf>
    <xf numFmtId="1" fontId="50" fillId="45" borderId="45" xfId="0" applyNumberFormat="1" applyFont="1" applyFill="1" applyBorder="1" applyAlignment="1">
      <alignment horizontal="center" vertical="center" wrapText="1"/>
    </xf>
    <xf numFmtId="1" fontId="50" fillId="45" borderId="49" xfId="0" applyNumberFormat="1" applyFont="1" applyFill="1" applyBorder="1" applyAlignment="1">
      <alignment horizontal="center" vertical="center" wrapText="1"/>
    </xf>
    <xf numFmtId="1" fontId="50" fillId="45" borderId="51" xfId="0" applyNumberFormat="1" applyFont="1" applyFill="1" applyBorder="1" applyAlignment="1">
      <alignment horizontal="center" vertical="center" wrapText="1"/>
    </xf>
    <xf numFmtId="1" fontId="50" fillId="45" borderId="52" xfId="0" applyNumberFormat="1" applyFont="1" applyFill="1" applyBorder="1" applyAlignment="1">
      <alignment horizontal="center" vertical="center" wrapText="1"/>
    </xf>
    <xf numFmtId="1" fontId="50" fillId="45" borderId="50" xfId="0" applyNumberFormat="1" applyFont="1" applyFill="1" applyBorder="1" applyAlignment="1">
      <alignment horizontal="center" vertical="center" wrapText="1"/>
    </xf>
    <xf numFmtId="1" fontId="47" fillId="45" borderId="0" xfId="0" applyNumberFormat="1" applyFont="1" applyFill="1" applyBorder="1" applyAlignment="1">
      <alignment vertical="center" wrapText="1"/>
    </xf>
    <xf numFmtId="1" fontId="47" fillId="45" borderId="47" xfId="0" applyNumberFormat="1" applyFont="1" applyFill="1" applyBorder="1" applyAlignment="1">
      <alignment vertical="center" wrapText="1"/>
    </xf>
    <xf numFmtId="1" fontId="47" fillId="45" borderId="49" xfId="0" applyNumberFormat="1" applyFont="1" applyFill="1" applyBorder="1" applyAlignment="1">
      <alignment vertical="center" wrapText="1"/>
    </xf>
    <xf numFmtId="1" fontId="49" fillId="45" borderId="51" xfId="0" applyNumberFormat="1" applyFont="1" applyFill="1" applyBorder="1" applyAlignment="1">
      <alignment vertical="center" wrapText="1"/>
    </xf>
    <xf numFmtId="1" fontId="49" fillId="45" borderId="52" xfId="0" applyNumberFormat="1" applyFont="1" applyFill="1" applyBorder="1" applyAlignment="1">
      <alignment vertical="center" wrapText="1"/>
    </xf>
    <xf numFmtId="1" fontId="49" fillId="45" borderId="50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59" fillId="35" borderId="0" xfId="0" applyNumberFormat="1" applyFont="1" applyFill="1" applyAlignment="1">
      <alignment horizontal="center" vertical="center" wrapText="1"/>
    </xf>
    <xf numFmtId="1" fontId="60" fillId="13" borderId="0" xfId="0" applyNumberFormat="1" applyFont="1" applyFill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2" fillId="13" borderId="59" xfId="0" applyFont="1" applyFill="1" applyBorder="1" applyAlignment="1">
      <alignment horizontal="left" vertical="center" wrapText="1"/>
    </xf>
    <xf numFmtId="0" fontId="32" fillId="13" borderId="59" xfId="0" applyFont="1" applyFill="1" applyBorder="1" applyAlignment="1">
      <alignment horizontal="left" vertical="center" wrapText="1"/>
    </xf>
    <xf numFmtId="1" fontId="32" fillId="13" borderId="59" xfId="0" applyNumberFormat="1" applyFont="1" applyFill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2" fillId="13" borderId="62" xfId="0" applyFont="1" applyFill="1" applyBorder="1" applyAlignment="1">
      <alignment horizontal="left" vertical="center" wrapText="1"/>
    </xf>
    <xf numFmtId="1" fontId="32" fillId="13" borderId="62" xfId="0" applyNumberFormat="1" applyFont="1" applyFill="1" applyBorder="1" applyAlignment="1">
      <alignment horizontal="center" vertical="center" wrapText="1"/>
    </xf>
    <xf numFmtId="0" fontId="66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8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0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6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2" fillId="0" borderId="77" xfId="0" applyFont="1" applyBorder="1"/>
    <xf numFmtId="1" fontId="71" fillId="0" borderId="77" xfId="0" applyNumberFormat="1" applyFont="1" applyFill="1" applyBorder="1" applyAlignment="1">
      <alignment horizontal="center" vertical="center" wrapText="1"/>
    </xf>
    <xf numFmtId="1" fontId="71" fillId="0" borderId="78" xfId="0" applyNumberFormat="1" applyFont="1" applyFill="1" applyBorder="1" applyAlignment="1">
      <alignment horizontal="center" vertical="center" wrapText="1"/>
    </xf>
    <xf numFmtId="0" fontId="73" fillId="0" borderId="77" xfId="0" applyFont="1" applyBorder="1"/>
    <xf numFmtId="0" fontId="74" fillId="0" borderId="77" xfId="0" applyFont="1" applyBorder="1"/>
    <xf numFmtId="0" fontId="75" fillId="0" borderId="77" xfId="0" applyFont="1" applyBorder="1"/>
    <xf numFmtId="0" fontId="76" fillId="0" borderId="78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horizontal="center" vertical="center" wrapText="1"/>
    </xf>
    <xf numFmtId="1" fontId="77" fillId="45" borderId="0" xfId="0" applyNumberFormat="1" applyFont="1" applyFill="1" applyBorder="1" applyAlignment="1">
      <alignment vertical="center" wrapText="1"/>
    </xf>
    <xf numFmtId="1" fontId="77" fillId="45" borderId="44" xfId="0" applyNumberFormat="1" applyFont="1" applyFill="1" applyBorder="1" applyAlignment="1">
      <alignment vertical="center" wrapText="1"/>
    </xf>
    <xf numFmtId="1" fontId="77" fillId="45" borderId="45" xfId="0" applyNumberFormat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1" fontId="32" fillId="33" borderId="34" xfId="0" applyNumberFormat="1" applyFont="1" applyFill="1" applyBorder="1" applyAlignment="1">
      <alignment horizontal="center" vertical="center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9" fillId="0" borderId="31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4" fillId="0" borderId="3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67" fillId="13" borderId="72" xfId="0" applyFont="1" applyFill="1" applyBorder="1" applyAlignment="1">
      <alignment horizontal="left" vertical="center" wrapText="1"/>
    </xf>
    <xf numFmtId="0" fontId="61" fillId="13" borderId="58" xfId="0" applyFont="1" applyFill="1" applyBorder="1" applyAlignment="1">
      <alignment horizontal="left" vertical="center" wrapText="1"/>
    </xf>
    <xf numFmtId="0" fontId="61" fillId="13" borderId="65" xfId="0" applyFont="1" applyFill="1" applyBorder="1" applyAlignment="1">
      <alignment horizontal="left" vertical="center" wrapText="1"/>
    </xf>
    <xf numFmtId="0" fontId="63" fillId="13" borderId="61" xfId="0" applyFont="1" applyFill="1" applyBorder="1" applyAlignment="1">
      <alignment horizontal="left" vertical="center" wrapText="1"/>
    </xf>
    <xf numFmtId="0" fontId="65" fillId="13" borderId="63" xfId="0" applyFont="1" applyFill="1" applyBorder="1" applyAlignment="1">
      <alignment horizontal="left" vertical="center" wrapText="1"/>
    </xf>
    <xf numFmtId="0" fontId="44" fillId="0" borderId="56" xfId="0" applyFont="1" applyBorder="1" applyAlignment="1">
      <alignment horizontal="center" vertical="center" wrapText="1"/>
    </xf>
    <xf numFmtId="0" fontId="61" fillId="13" borderId="60" xfId="0" applyFont="1" applyFill="1" applyBorder="1" applyAlignment="1">
      <alignment horizontal="left" vertical="center" wrapText="1"/>
    </xf>
    <xf numFmtId="0" fontId="67" fillId="13" borderId="73" xfId="0" applyFont="1" applyFill="1" applyBorder="1" applyAlignment="1">
      <alignment horizontal="left" vertical="center" wrapText="1"/>
    </xf>
    <xf numFmtId="0" fontId="65" fillId="13" borderId="74" xfId="0" applyFont="1" applyFill="1" applyBorder="1" applyAlignment="1">
      <alignment horizontal="left" vertical="center" wrapText="1"/>
    </xf>
    <xf numFmtId="0" fontId="69" fillId="13" borderId="75" xfId="0" applyFont="1" applyFill="1" applyBorder="1" applyAlignment="1">
      <alignment horizontal="left" vertical="center" wrapText="1"/>
    </xf>
    <xf numFmtId="0" fontId="67" fillId="13" borderId="66" xfId="0" applyFont="1" applyFill="1" applyBorder="1" applyAlignment="1">
      <alignment horizontal="left" vertical="center" wrapText="1"/>
    </xf>
    <xf numFmtId="0" fontId="69" fillId="13" borderId="68" xfId="0" applyFont="1" applyFill="1" applyBorder="1" applyAlignment="1">
      <alignment horizontal="left" vertical="center" wrapText="1"/>
    </xf>
    <xf numFmtId="0" fontId="63" fillId="13" borderId="70" xfId="0" applyFont="1" applyFill="1" applyBorder="1" applyAlignment="1">
      <alignment horizontal="left" vertical="center" wrapText="1"/>
    </xf>
    <xf numFmtId="0" fontId="63" fillId="13" borderId="71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7" fillId="45" borderId="51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5" borderId="51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1" fillId="44" borderId="53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0" fontId="52" fillId="44" borderId="5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8" xfId="0" applyFont="1" applyBorder="1" applyAlignment="1">
      <alignment horizontal="center" vertical="center" wrapText="1"/>
    </xf>
    <xf numFmtId="0" fontId="54" fillId="45" borderId="54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48" xfId="0" applyFont="1" applyBorder="1" applyAlignment="1">
      <alignment horizontal="left" vertical="center" wrapText="1"/>
    </xf>
    <xf numFmtId="0" fontId="55" fillId="44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50" xfId="0" applyFont="1" applyBorder="1" applyAlignment="1">
      <alignment horizontal="center" vertical="center" wrapText="1"/>
    </xf>
    <xf numFmtId="0" fontId="56" fillId="44" borderId="55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50" xfId="0" applyFont="1" applyBorder="1" applyAlignment="1">
      <alignment horizontal="left" vertical="center" wrapText="1"/>
    </xf>
    <xf numFmtId="0" fontId="78" fillId="45" borderId="80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45" xfId="0" applyFont="1" applyBorder="1" applyAlignment="1">
      <alignment horizontal="center" vertical="center" wrapText="1"/>
    </xf>
    <xf numFmtId="0" fontId="79" fillId="45" borderId="80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45" xfId="0" applyFont="1" applyBorder="1" applyAlignment="1">
      <alignment horizontal="left" vertical="center" wrapText="1"/>
    </xf>
    <xf numFmtId="0" fontId="45" fillId="44" borderId="79" xfId="0" applyFont="1" applyFill="1" applyBorder="1" applyAlignment="1">
      <alignment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7F7F7F"/>
      <color rgb="FF000000"/>
      <color rgb="FF006086"/>
      <color rgb="FF007E86"/>
      <color rgb="FFBD1933"/>
      <color rgb="FF595959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2707072"/>
        <c:axId val="1622708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2707072"/>
        <c:axId val="1622708704"/>
      </c:lineChart>
      <c:catAx>
        <c:axId val="1622707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22708704"/>
        <c:crosses val="autoZero"/>
        <c:auto val="1"/>
        <c:lblAlgn val="ctr"/>
        <c:lblOffset val="100"/>
        <c:noMultiLvlLbl val="0"/>
      </c:catAx>
      <c:valAx>
        <c:axId val="1622708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270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5230416"/>
        <c:axId val="1785233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230416"/>
        <c:axId val="1785233136"/>
      </c:lineChart>
      <c:catAx>
        <c:axId val="1785230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233136"/>
        <c:crosses val="autoZero"/>
        <c:auto val="1"/>
        <c:lblAlgn val="ctr"/>
        <c:lblOffset val="100"/>
        <c:noMultiLvlLbl val="0"/>
      </c:catAx>
      <c:valAx>
        <c:axId val="178523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52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5235856"/>
        <c:axId val="1785222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235856"/>
        <c:axId val="1785222256"/>
      </c:lineChart>
      <c:catAx>
        <c:axId val="178523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222256"/>
        <c:crosses val="autoZero"/>
        <c:auto val="1"/>
        <c:lblAlgn val="ctr"/>
        <c:lblOffset val="100"/>
        <c:noMultiLvlLbl val="0"/>
      </c:catAx>
      <c:valAx>
        <c:axId val="1785222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523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85228240"/>
        <c:axId val="1785221712"/>
      </c:barChart>
      <c:catAx>
        <c:axId val="1785228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85221712"/>
        <c:crosses val="autoZero"/>
        <c:auto val="1"/>
        <c:lblAlgn val="ctr"/>
        <c:lblOffset val="100"/>
        <c:noMultiLvlLbl val="0"/>
      </c:catAx>
      <c:valAx>
        <c:axId val="178522171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85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5229872"/>
        <c:axId val="1785227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229872"/>
        <c:axId val="1785227152"/>
      </c:lineChart>
      <c:catAx>
        <c:axId val="178522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227152"/>
        <c:crosses val="autoZero"/>
        <c:auto val="1"/>
        <c:lblAlgn val="ctr"/>
        <c:lblOffset val="100"/>
        <c:noMultiLvlLbl val="0"/>
      </c:catAx>
      <c:valAx>
        <c:axId val="1785227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522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5226064"/>
        <c:axId val="1785230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226064"/>
        <c:axId val="1785230960"/>
      </c:lineChart>
      <c:catAx>
        <c:axId val="178522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230960"/>
        <c:crosses val="autoZero"/>
        <c:auto val="1"/>
        <c:lblAlgn val="ctr"/>
        <c:lblOffset val="100"/>
        <c:noMultiLvlLbl val="0"/>
      </c:catAx>
      <c:valAx>
        <c:axId val="1785230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52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6881792"/>
        <c:axId val="1786882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881792"/>
        <c:axId val="1786882336"/>
      </c:lineChart>
      <c:catAx>
        <c:axId val="1786881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6882336"/>
        <c:crosses val="autoZero"/>
        <c:auto val="1"/>
        <c:lblAlgn val="ctr"/>
        <c:lblOffset val="100"/>
        <c:noMultiLvlLbl val="0"/>
      </c:catAx>
      <c:valAx>
        <c:axId val="178688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68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86888864"/>
        <c:axId val="1786886688"/>
      </c:barChart>
      <c:catAx>
        <c:axId val="1786888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86886688"/>
        <c:crosses val="autoZero"/>
        <c:auto val="1"/>
        <c:lblAlgn val="ctr"/>
        <c:lblOffset val="100"/>
        <c:noMultiLvlLbl val="0"/>
      </c:catAx>
      <c:valAx>
        <c:axId val="178688668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8688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6883968"/>
        <c:axId val="1786877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883968"/>
        <c:axId val="1786877984"/>
      </c:lineChart>
      <c:catAx>
        <c:axId val="1786883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6877984"/>
        <c:crosses val="autoZero"/>
        <c:auto val="1"/>
        <c:lblAlgn val="ctr"/>
        <c:lblOffset val="100"/>
        <c:noMultiLvlLbl val="0"/>
      </c:catAx>
      <c:valAx>
        <c:axId val="1786877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688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6885056"/>
        <c:axId val="1786878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885056"/>
        <c:axId val="1786878528"/>
      </c:lineChart>
      <c:catAx>
        <c:axId val="1786885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6878528"/>
        <c:crosses val="autoZero"/>
        <c:auto val="1"/>
        <c:lblAlgn val="ctr"/>
        <c:lblOffset val="100"/>
        <c:noMultiLvlLbl val="0"/>
      </c:catAx>
      <c:valAx>
        <c:axId val="1786878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688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86877440"/>
        <c:axId val="178688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877440"/>
        <c:axId val="1786886144"/>
      </c:lineChart>
      <c:catAx>
        <c:axId val="178687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6886144"/>
        <c:crosses val="autoZero"/>
        <c:auto val="1"/>
        <c:lblAlgn val="ctr"/>
        <c:lblOffset val="100"/>
        <c:noMultiLvlLbl val="0"/>
      </c:catAx>
      <c:valAx>
        <c:axId val="178688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687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99419664"/>
        <c:axId val="1699422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419664"/>
        <c:axId val="1699422928"/>
      </c:lineChart>
      <c:catAx>
        <c:axId val="169941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422928"/>
        <c:crosses val="autoZero"/>
        <c:auto val="1"/>
        <c:lblAlgn val="ctr"/>
        <c:lblOffset val="100"/>
        <c:noMultiLvlLbl val="0"/>
      </c:catAx>
      <c:valAx>
        <c:axId val="1699422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41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99415856"/>
        <c:axId val="1699412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415856"/>
        <c:axId val="1699412592"/>
      </c:lineChart>
      <c:catAx>
        <c:axId val="169941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412592"/>
        <c:crosses val="autoZero"/>
        <c:auto val="1"/>
        <c:lblAlgn val="ctr"/>
        <c:lblOffset val="100"/>
        <c:noMultiLvlLbl val="0"/>
      </c:catAx>
      <c:valAx>
        <c:axId val="1699412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41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9414224"/>
        <c:axId val="16994202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414224"/>
        <c:axId val="1699420208"/>
      </c:lineChart>
      <c:catAx>
        <c:axId val="169941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420208"/>
        <c:crosses val="autoZero"/>
        <c:auto val="1"/>
        <c:lblAlgn val="ctr"/>
        <c:lblOffset val="100"/>
        <c:noMultiLvlLbl val="0"/>
      </c:catAx>
      <c:valAx>
        <c:axId val="1699420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9941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9413136"/>
        <c:axId val="1699411504"/>
      </c:lineChart>
      <c:catAx>
        <c:axId val="169941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699411504"/>
        <c:crosses val="autoZero"/>
        <c:auto val="1"/>
        <c:lblAlgn val="ctr"/>
        <c:lblOffset val="100"/>
        <c:noMultiLvlLbl val="0"/>
      </c:catAx>
      <c:valAx>
        <c:axId val="1699411504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69941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9416944"/>
        <c:axId val="1699420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416944"/>
        <c:axId val="1699420752"/>
      </c:lineChart>
      <c:catAx>
        <c:axId val="1699416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420752"/>
        <c:crosses val="autoZero"/>
        <c:auto val="1"/>
        <c:lblAlgn val="ctr"/>
        <c:lblOffset val="100"/>
        <c:noMultiLvlLbl val="0"/>
      </c:catAx>
      <c:valAx>
        <c:axId val="1699420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4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9422384"/>
        <c:axId val="1699424016"/>
      </c:lineChart>
      <c:catAx>
        <c:axId val="169942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699424016"/>
        <c:crosses val="autoZero"/>
        <c:auto val="1"/>
        <c:lblAlgn val="ctr"/>
        <c:lblOffset val="100"/>
        <c:noMultiLvlLbl val="0"/>
      </c:catAx>
      <c:valAx>
        <c:axId val="1699424016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69942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90208272"/>
        <c:axId val="1790220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08272"/>
        <c:axId val="1790220240"/>
      </c:lineChart>
      <c:catAx>
        <c:axId val="179020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20240"/>
        <c:crosses val="autoZero"/>
        <c:auto val="1"/>
        <c:lblAlgn val="ctr"/>
        <c:lblOffset val="100"/>
        <c:noMultiLvlLbl val="0"/>
      </c:catAx>
      <c:valAx>
        <c:axId val="17902202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0211536"/>
        <c:axId val="17902060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1536"/>
        <c:axId val="1790206096"/>
      </c:lineChart>
      <c:catAx>
        <c:axId val="1790211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06096"/>
        <c:crosses val="autoZero"/>
        <c:auto val="1"/>
        <c:lblAlgn val="ctr"/>
        <c:lblOffset val="100"/>
        <c:noMultiLvlLbl val="0"/>
      </c:catAx>
      <c:valAx>
        <c:axId val="17902060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90213712"/>
        <c:axId val="17902088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3712"/>
        <c:axId val="1790208816"/>
      </c:lineChart>
      <c:catAx>
        <c:axId val="1790213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08816"/>
        <c:crosses val="autoZero"/>
        <c:auto val="1"/>
        <c:lblAlgn val="ctr"/>
        <c:lblOffset val="100"/>
        <c:noMultiLvlLbl val="0"/>
      </c:catAx>
      <c:valAx>
        <c:axId val="17902088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0215344"/>
        <c:axId val="17902104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5344"/>
        <c:axId val="1790210448"/>
      </c:lineChart>
      <c:catAx>
        <c:axId val="1790215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10448"/>
        <c:crosses val="autoZero"/>
        <c:auto val="1"/>
        <c:lblAlgn val="ctr"/>
        <c:lblOffset val="100"/>
        <c:noMultiLvlLbl val="0"/>
      </c:catAx>
      <c:valAx>
        <c:axId val="17902104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90216976"/>
        <c:axId val="17902148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6976"/>
        <c:axId val="1790214800"/>
      </c:lineChart>
      <c:catAx>
        <c:axId val="1790216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14800"/>
        <c:crosses val="autoZero"/>
        <c:auto val="1"/>
        <c:lblAlgn val="ctr"/>
        <c:lblOffset val="100"/>
        <c:noMultiLvlLbl val="0"/>
      </c:catAx>
      <c:valAx>
        <c:axId val="17902148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0215888"/>
        <c:axId val="17902109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5888"/>
        <c:axId val="1790210992"/>
      </c:lineChart>
      <c:catAx>
        <c:axId val="1790215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10992"/>
        <c:crosses val="autoZero"/>
        <c:auto val="1"/>
        <c:lblAlgn val="ctr"/>
        <c:lblOffset val="100"/>
        <c:noMultiLvlLbl val="0"/>
      </c:catAx>
      <c:valAx>
        <c:axId val="17902109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90219696"/>
        <c:axId val="17902207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219696"/>
        <c:axId val="1790220784"/>
      </c:lineChart>
      <c:catAx>
        <c:axId val="1790219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0220784"/>
        <c:crosses val="autoZero"/>
        <c:auto val="1"/>
        <c:lblAlgn val="ctr"/>
        <c:lblOffset val="100"/>
        <c:noMultiLvlLbl val="0"/>
      </c:catAx>
      <c:valAx>
        <c:axId val="17902207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021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1271088"/>
        <c:axId val="17912819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271088"/>
        <c:axId val="1791281968"/>
      </c:lineChart>
      <c:catAx>
        <c:axId val="179127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1281968"/>
        <c:crosses val="autoZero"/>
        <c:auto val="1"/>
        <c:lblAlgn val="ctr"/>
        <c:lblOffset val="100"/>
        <c:noMultiLvlLbl val="0"/>
      </c:catAx>
      <c:valAx>
        <c:axId val="17912819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12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91283056"/>
        <c:axId val="17912803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283056"/>
        <c:axId val="1791280336"/>
      </c:lineChart>
      <c:catAx>
        <c:axId val="1791283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1280336"/>
        <c:crosses val="autoZero"/>
        <c:auto val="1"/>
        <c:lblAlgn val="ctr"/>
        <c:lblOffset val="100"/>
        <c:noMultiLvlLbl val="0"/>
      </c:catAx>
      <c:valAx>
        <c:axId val="17912803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12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1278704"/>
        <c:axId val="17912808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278704"/>
        <c:axId val="1791280880"/>
      </c:lineChart>
      <c:catAx>
        <c:axId val="1791278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1280880"/>
        <c:crosses val="autoZero"/>
        <c:auto val="1"/>
        <c:lblAlgn val="ctr"/>
        <c:lblOffset val="100"/>
        <c:noMultiLvlLbl val="0"/>
      </c:catAx>
      <c:valAx>
        <c:axId val="17912808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912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791283600"/>
        <c:axId val="1791284688"/>
      </c:barChart>
      <c:catAx>
        <c:axId val="1791283600"/>
        <c:scaling>
          <c:orientation val="minMax"/>
        </c:scaling>
        <c:delete val="1"/>
        <c:axPos val="l"/>
        <c:majorTickMark val="none"/>
        <c:minorTickMark val="none"/>
        <c:tickLblPos val="nextTo"/>
        <c:crossAx val="1791284688"/>
        <c:crosses val="autoZero"/>
        <c:auto val="1"/>
        <c:lblAlgn val="ctr"/>
        <c:lblOffset val="100"/>
        <c:noMultiLvlLbl val="0"/>
      </c:catAx>
      <c:valAx>
        <c:axId val="179128468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79128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5" name="Button 81" hidden="1">
              <a:extLst>
                <a:ext uri="{63B3BB69-23CF-44E3-9099-C40C66FF867C}">
                  <a14:compatExt spid="_x0000_s26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3475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3475" y="30638983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3475" y="48955558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3475" y="61652383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3475" y="69205708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3475" y="88046158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3475" y="100647733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3475" y="107629558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3475" y="12604138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3475" y="144357958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3475" y="162912658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98" t="s">
        <v>173</v>
      </c>
      <c r="B1" s="198"/>
      <c r="C1" s="32"/>
      <c r="D1" s="184" t="s">
        <v>144</v>
      </c>
      <c r="E1" s="185"/>
      <c r="F1" s="185"/>
      <c r="G1" s="185"/>
      <c r="H1" s="185"/>
      <c r="I1" s="185"/>
      <c r="J1" s="185"/>
      <c r="K1" s="45"/>
      <c r="L1" s="184" t="s">
        <v>27</v>
      </c>
      <c r="M1" s="185"/>
      <c r="N1" s="185"/>
      <c r="O1" s="185"/>
      <c r="P1" s="186"/>
      <c r="Q1" s="45"/>
      <c r="R1" s="184" t="s">
        <v>28</v>
      </c>
      <c r="S1" s="186"/>
      <c r="T1" s="45"/>
      <c r="U1" s="184" t="s">
        <v>114</v>
      </c>
      <c r="V1" s="185"/>
      <c r="W1" s="185"/>
      <c r="X1" s="185"/>
      <c r="Y1" s="186"/>
      <c r="Z1" s="45"/>
      <c r="AA1" s="184" t="s">
        <v>174</v>
      </c>
      <c r="AB1" s="185"/>
      <c r="AC1" s="185"/>
      <c r="AD1" s="185"/>
      <c r="AE1" s="185"/>
      <c r="AF1" s="185"/>
      <c r="AG1" s="185"/>
      <c r="AH1" s="185"/>
      <c r="AI1" s="185"/>
      <c r="AJ1" s="186"/>
      <c r="AK1" s="45"/>
      <c r="AL1" s="184" t="s">
        <v>115</v>
      </c>
      <c r="AM1" s="185"/>
      <c r="AN1" s="185"/>
      <c r="AO1" s="185"/>
      <c r="AP1" s="185"/>
      <c r="AQ1" s="186"/>
      <c r="AR1" s="45"/>
      <c r="AS1" s="184" t="s">
        <v>175</v>
      </c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6"/>
      <c r="BG1" s="45"/>
      <c r="BH1" s="184" t="s">
        <v>116</v>
      </c>
      <c r="BI1" s="185"/>
      <c r="BJ1" s="185"/>
      <c r="BK1" s="186"/>
      <c r="BL1" s="45"/>
      <c r="BM1" s="184" t="s">
        <v>97</v>
      </c>
      <c r="BN1" s="185"/>
      <c r="BO1" s="185"/>
      <c r="BP1" s="185"/>
      <c r="BQ1" s="186"/>
      <c r="BR1" s="45"/>
      <c r="BS1" s="184" t="s">
        <v>117</v>
      </c>
      <c r="BT1" s="185"/>
      <c r="BU1" s="185"/>
      <c r="BV1" s="186"/>
    </row>
    <row r="2" spans="1:74" ht="86.25" customHeight="1" x14ac:dyDescent="0.25">
      <c r="A2" s="196" t="s">
        <v>176</v>
      </c>
      <c r="B2" s="196"/>
      <c r="C2" s="197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99" t="s">
        <v>147</v>
      </c>
      <c r="B7" s="200"/>
      <c r="C7" s="201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202" t="s">
        <v>149</v>
      </c>
      <c r="B8" s="203"/>
      <c r="C8" s="204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87" t="s">
        <v>150</v>
      </c>
      <c r="B9" s="188"/>
      <c r="C9" s="189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90" t="s">
        <v>151</v>
      </c>
      <c r="B10" s="191"/>
      <c r="C10" s="192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93" t="s">
        <v>152</v>
      </c>
      <c r="B11" s="194"/>
      <c r="C11" s="195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178" t="s">
        <v>154</v>
      </c>
      <c r="B13" s="179"/>
      <c r="C13" s="18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81">
        <f>+SUM(L3:P3)</f>
        <v>4698</v>
      </c>
      <c r="M16" s="182"/>
      <c r="N16" s="182"/>
      <c r="O16" s="182"/>
      <c r="P16" s="183"/>
      <c r="Q16" s="45"/>
      <c r="R16" s="181">
        <f>+SUM(R3:S3)</f>
        <v>4667</v>
      </c>
      <c r="S16" s="183"/>
      <c r="T16" s="45"/>
      <c r="U16" s="181">
        <f>+SUM(U3:Y3)</f>
        <v>4690</v>
      </c>
      <c r="V16" s="182"/>
      <c r="W16" s="182"/>
      <c r="X16" s="182"/>
      <c r="Y16" s="183"/>
      <c r="Z16" s="45"/>
      <c r="AA16" s="181">
        <f>+SUM(AA3:AJ3)</f>
        <v>4649</v>
      </c>
      <c r="AB16" s="182"/>
      <c r="AC16" s="182"/>
      <c r="AD16" s="182"/>
      <c r="AE16" s="182"/>
      <c r="AF16" s="182"/>
      <c r="AG16" s="182"/>
      <c r="AH16" s="182"/>
      <c r="AI16" s="182"/>
      <c r="AJ16" s="183"/>
      <c r="AK16" s="45"/>
      <c r="AL16" s="181">
        <f>+SUM(AL3:AQ3)</f>
        <v>4670</v>
      </c>
      <c r="AM16" s="182"/>
      <c r="AN16" s="182"/>
      <c r="AO16" s="182"/>
      <c r="AP16" s="182"/>
      <c r="AQ16" s="183"/>
      <c r="AR16" s="45"/>
      <c r="AS16" s="181">
        <f>+SUM(AS3:BF3)</f>
        <v>4886</v>
      </c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3"/>
      <c r="BG16" s="45"/>
      <c r="BH16" s="181">
        <f>+SUM(BH3:BK3)</f>
        <v>4149</v>
      </c>
      <c r="BI16" s="182"/>
      <c r="BJ16" s="182"/>
      <c r="BK16" s="183"/>
      <c r="BL16" s="45"/>
      <c r="BM16" s="181">
        <f>+SUM(BM3:BQ3)</f>
        <v>3932</v>
      </c>
      <c r="BN16" s="182"/>
      <c r="BO16" s="182"/>
      <c r="BP16" s="182"/>
      <c r="BQ16" s="183"/>
      <c r="BR16" s="45"/>
      <c r="BS16" s="181">
        <f>+SUM(BS3:BV3)</f>
        <v>1839</v>
      </c>
      <c r="BT16" s="182"/>
      <c r="BU16" s="182"/>
      <c r="BV16" s="183"/>
    </row>
    <row r="17" spans="1:74" ht="15" customHeight="1" x14ac:dyDescent="0.25">
      <c r="A17" s="47"/>
      <c r="B17" s="47"/>
      <c r="C17" s="48" t="s">
        <v>171</v>
      </c>
      <c r="D17" s="147"/>
      <c r="E17" s="147"/>
      <c r="F17" s="147"/>
      <c r="G17" s="147"/>
      <c r="H17" s="147"/>
      <c r="I17" s="147"/>
      <c r="J17" s="147"/>
      <c r="K17" s="45"/>
      <c r="L17" s="162">
        <f>+L3/$L$16*100</f>
        <v>6.215410813111963</v>
      </c>
      <c r="M17" s="162">
        <f>+M3/$L$16*100</f>
        <v>42.486164325244786</v>
      </c>
      <c r="N17" s="162">
        <f>+N3/$L$16*100</f>
        <v>30.353341847594724</v>
      </c>
      <c r="O17" s="162">
        <f>+O3/$L$16*100</f>
        <v>15.666240953597274</v>
      </c>
      <c r="P17" s="162">
        <f>+P3/$L$16*100</f>
        <v>5.2788420604512565</v>
      </c>
      <c r="Q17" s="45"/>
      <c r="R17" s="162">
        <f>+R3/$L$16*100</f>
        <v>52.703277990634312</v>
      </c>
      <c r="S17" s="162">
        <f>+S3/$L$16*100</f>
        <v>46.636866751809279</v>
      </c>
      <c r="T17" s="45"/>
      <c r="U17" s="162">
        <f>+U3/$L$16*100</f>
        <v>0.2554278416347382</v>
      </c>
      <c r="V17" s="162">
        <f>+V3/$L$16*100</f>
        <v>7.6628352490421454</v>
      </c>
      <c r="W17" s="162">
        <f>+W3/$L$16*100</f>
        <v>48.44614729672201</v>
      </c>
      <c r="X17" s="162">
        <f>+X3/$L$16*100</f>
        <v>32.82247765006386</v>
      </c>
      <c r="Y17" s="162">
        <f>+Y3/$L$16*100</f>
        <v>10.642826734780758</v>
      </c>
      <c r="Z17" s="45"/>
      <c r="AA17" s="162">
        <f t="shared" ref="AA17:AJ17" si="0">+AA3/$L$16*100</f>
        <v>1.5751383567475523</v>
      </c>
      <c r="AB17" s="162">
        <f t="shared" si="0"/>
        <v>2.9587058322690507</v>
      </c>
      <c r="AC17" s="162">
        <f t="shared" si="0"/>
        <v>20.838654746700726</v>
      </c>
      <c r="AD17" s="162">
        <f t="shared" si="0"/>
        <v>16.900808854831844</v>
      </c>
      <c r="AE17" s="162">
        <f t="shared" si="0"/>
        <v>8.2162622392507441</v>
      </c>
      <c r="AF17" s="162">
        <f t="shared" si="0"/>
        <v>9.0676883780332069</v>
      </c>
      <c r="AG17" s="162">
        <f t="shared" si="0"/>
        <v>11.409110259684972</v>
      </c>
      <c r="AH17" s="162">
        <f t="shared" si="0"/>
        <v>18.667518092805448</v>
      </c>
      <c r="AI17" s="162">
        <f t="shared" si="0"/>
        <v>8.4291187739463602</v>
      </c>
      <c r="AJ17" s="162">
        <f t="shared" si="0"/>
        <v>0.89399744572158357</v>
      </c>
      <c r="AK17" s="45"/>
      <c r="AL17" s="162">
        <f t="shared" ref="AL17:AQ17" si="1">+AL3/$L$16*100</f>
        <v>9.0464027245636451</v>
      </c>
      <c r="AM17" s="162">
        <f t="shared" si="1"/>
        <v>23.946360153256705</v>
      </c>
      <c r="AN17" s="162">
        <f t="shared" si="1"/>
        <v>25.500212856534691</v>
      </c>
      <c r="AO17" s="162">
        <f t="shared" si="1"/>
        <v>8.7696892294593454</v>
      </c>
      <c r="AP17" s="162">
        <f t="shared" si="1"/>
        <v>16.836951894423159</v>
      </c>
      <c r="AQ17" s="162">
        <f t="shared" si="1"/>
        <v>15.304384844614729</v>
      </c>
      <c r="AR17" s="45"/>
      <c r="AS17" s="162">
        <f t="shared" ref="AS17:BF17" si="2">+AS3/$L$16*100</f>
        <v>0.17028522775649213</v>
      </c>
      <c r="AT17" s="162">
        <f t="shared" si="2"/>
        <v>0.29799914857386123</v>
      </c>
      <c r="AU17" s="162">
        <f t="shared" si="2"/>
        <v>0.87271179225202211</v>
      </c>
      <c r="AV17" s="162">
        <f t="shared" si="2"/>
        <v>4.235845040442741</v>
      </c>
      <c r="AW17" s="162">
        <f t="shared" si="2"/>
        <v>55.598126862494681</v>
      </c>
      <c r="AX17" s="162">
        <f t="shared" si="2"/>
        <v>2.0221370796083442</v>
      </c>
      <c r="AY17" s="162">
        <f t="shared" si="2"/>
        <v>0.44699872286079179</v>
      </c>
      <c r="AZ17" s="162">
        <f t="shared" si="2"/>
        <v>3.6185610898254574</v>
      </c>
      <c r="BA17" s="162">
        <f t="shared" si="2"/>
        <v>2.1711366538952745</v>
      </c>
      <c r="BB17" s="162">
        <f t="shared" si="2"/>
        <v>1.277139208173691</v>
      </c>
      <c r="BC17" s="162">
        <f t="shared" si="2"/>
        <v>31.460195828011923</v>
      </c>
      <c r="BD17" s="162">
        <f t="shared" si="2"/>
        <v>1.5538527032779907</v>
      </c>
      <c r="BE17" s="162">
        <f t="shared" si="2"/>
        <v>6.3856960408684549E-2</v>
      </c>
      <c r="BF17" s="162">
        <f t="shared" si="2"/>
        <v>0.21285653469561516</v>
      </c>
      <c r="BG17" s="45"/>
      <c r="BH17" s="162">
        <f>+BH3/$L$16*100</f>
        <v>52.022137079608342</v>
      </c>
      <c r="BI17" s="162">
        <f>+BI3/$L$16*100</f>
        <v>23.15879097488293</v>
      </c>
      <c r="BJ17" s="162">
        <f>+BJ3/$L$16*100</f>
        <v>10.664112388250318</v>
      </c>
      <c r="BK17" s="162">
        <f>+BK3/$L$16*100</f>
        <v>2.4691358024691357</v>
      </c>
      <c r="BL17" s="45"/>
      <c r="BM17" s="162">
        <f>+BM3/$L$16*100</f>
        <v>14.47424435930183</v>
      </c>
      <c r="BN17" s="162">
        <f>+BN3/$L$16*100</f>
        <v>20.008514261387823</v>
      </c>
      <c r="BO17" s="162">
        <f>+BO3/$L$16*100</f>
        <v>2.1498510004257132</v>
      </c>
      <c r="BP17" s="162">
        <f>+BP3/$L$16*100</f>
        <v>42.422307364836101</v>
      </c>
      <c r="BQ17" s="162">
        <f>+BQ3/$L$16*100</f>
        <v>4.6402724563644107</v>
      </c>
      <c r="BR17" s="45"/>
      <c r="BS17" s="162">
        <f>+BS3/$L$16*100</f>
        <v>16.794380587484035</v>
      </c>
      <c r="BT17" s="162">
        <f>+BT3/$L$16*100</f>
        <v>6.0238399318859086</v>
      </c>
      <c r="BU17" s="162">
        <f>+BU3/$L$16*100</f>
        <v>9.5785440613026829</v>
      </c>
      <c r="BV17" s="162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0">
        <f>+AS3/AS4</f>
        <v>0.88888888888888884</v>
      </c>
      <c r="AT18" s="140">
        <f t="shared" ref="AT18:BF18" si="3">+AT3/AT4</f>
        <v>0.63636363636363635</v>
      </c>
      <c r="AU18" s="140">
        <f t="shared" si="3"/>
        <v>0.95348837209302328</v>
      </c>
      <c r="AV18" s="140">
        <f t="shared" si="3"/>
        <v>0.908675799086758</v>
      </c>
      <c r="AW18" s="140">
        <f t="shared" si="3"/>
        <v>0.93620071684587813</v>
      </c>
      <c r="AX18" s="140">
        <f t="shared" si="3"/>
        <v>0.97938144329896903</v>
      </c>
      <c r="AY18" s="140">
        <f t="shared" si="3"/>
        <v>1</v>
      </c>
      <c r="AZ18" s="140">
        <f t="shared" si="3"/>
        <v>0.94972067039106145</v>
      </c>
      <c r="BA18" s="140">
        <f t="shared" si="3"/>
        <v>0.93577981651376152</v>
      </c>
      <c r="BB18" s="140">
        <f t="shared" si="3"/>
        <v>0.967741935483871</v>
      </c>
      <c r="BC18" s="140">
        <f t="shared" si="3"/>
        <v>0.93131695022054195</v>
      </c>
      <c r="BD18" s="140">
        <f t="shared" si="3"/>
        <v>0.94805194805194803</v>
      </c>
      <c r="BE18" s="140">
        <f t="shared" si="3"/>
        <v>0.75</v>
      </c>
      <c r="BF18" s="140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75">
        <f>+SUM(BM5:BQ5)</f>
        <v>4577</v>
      </c>
      <c r="BN19" s="176"/>
      <c r="BO19" s="176"/>
      <c r="BP19" s="176"/>
      <c r="BQ19" s="177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5">
        <f>+BM5/$BM$19*100</f>
        <v>16.692156434345641</v>
      </c>
      <c r="BN20" s="165">
        <f>+BN5/$BM$19*100</f>
        <v>26.982739785885951</v>
      </c>
      <c r="BO20" s="165">
        <f>+BO5/$BM$19*100</f>
        <v>2.8839851431068384</v>
      </c>
      <c r="BP20" s="165">
        <f>+BP5/$BM$19*100</f>
        <v>46.952152064671182</v>
      </c>
      <c r="BQ20" s="165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58" zoomScale="80" zoomScaleNormal="80" workbookViewId="0">
      <selection activeCell="L64" sqref="L64:L67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2" t="s">
        <v>285</v>
      </c>
      <c r="B1" s="112" t="s">
        <v>286</v>
      </c>
      <c r="C1" s="112">
        <v>2016</v>
      </c>
      <c r="D1" s="112">
        <v>2016</v>
      </c>
      <c r="E1" s="112" t="s">
        <v>287</v>
      </c>
      <c r="F1" s="112" t="s">
        <v>288</v>
      </c>
      <c r="G1" s="112" t="s">
        <v>289</v>
      </c>
      <c r="H1" s="205" t="s">
        <v>286</v>
      </c>
      <c r="I1" s="205"/>
      <c r="J1" s="112" t="s">
        <v>290</v>
      </c>
      <c r="K1" s="112" t="s">
        <v>291</v>
      </c>
      <c r="L1" s="112">
        <v>2016</v>
      </c>
      <c r="M1" s="112">
        <v>2016</v>
      </c>
      <c r="N1" s="112" t="s">
        <v>287</v>
      </c>
      <c r="O1" s="37"/>
      <c r="P1" s="37"/>
      <c r="Q1" s="37"/>
      <c r="R1" s="113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16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19" t="s">
        <v>301</v>
      </c>
      <c r="B2" s="222" t="s">
        <v>11</v>
      </c>
      <c r="C2" s="224">
        <v>86.53</v>
      </c>
      <c r="D2" s="224">
        <v>84.8</v>
      </c>
      <c r="E2" s="224">
        <v>77.650000000000006</v>
      </c>
      <c r="F2" s="211">
        <v>1.73</v>
      </c>
      <c r="G2" s="211">
        <v>8.8800000000000008</v>
      </c>
      <c r="H2" s="227" t="s">
        <v>11</v>
      </c>
      <c r="I2" s="206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17">
        <v>5.34</v>
      </c>
      <c r="P2" s="37"/>
      <c r="Q2" s="37"/>
      <c r="R2" s="118">
        <v>2016</v>
      </c>
      <c r="S2" s="118">
        <v>87.87</v>
      </c>
      <c r="T2" s="118">
        <v>90.01</v>
      </c>
      <c r="U2" s="118">
        <v>79.709999999999994</v>
      </c>
      <c r="V2" s="118">
        <v>88.39</v>
      </c>
      <c r="W2" s="118">
        <v>92.57</v>
      </c>
      <c r="X2" s="118">
        <v>86.07</v>
      </c>
      <c r="Y2" s="118">
        <v>87.57</v>
      </c>
      <c r="Z2" s="118">
        <v>89.36</v>
      </c>
      <c r="AA2" s="37"/>
      <c r="AB2" s="75" t="s">
        <v>304</v>
      </c>
    </row>
    <row r="3" spans="1:28" ht="27" customHeight="1" thickTop="1" thickBot="1" x14ac:dyDescent="0.3">
      <c r="A3" s="220"/>
      <c r="B3" s="223"/>
      <c r="C3" s="225"/>
      <c r="D3" s="225"/>
      <c r="E3" s="225"/>
      <c r="F3" s="209"/>
      <c r="G3" s="209"/>
      <c r="H3" s="217"/>
      <c r="I3" s="207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20"/>
      <c r="B4" s="223"/>
      <c r="C4" s="225"/>
      <c r="D4" s="225"/>
      <c r="E4" s="225"/>
      <c r="F4" s="209"/>
      <c r="G4" s="209"/>
      <c r="H4" s="217"/>
      <c r="I4" s="268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20"/>
      <c r="B5" s="223"/>
      <c r="C5" s="226"/>
      <c r="D5" s="226"/>
      <c r="E5" s="226"/>
      <c r="F5" s="212"/>
      <c r="G5" s="212"/>
      <c r="H5" s="228"/>
      <c r="I5" s="207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20"/>
      <c r="B6" s="223" t="s">
        <v>12</v>
      </c>
      <c r="C6" s="229">
        <v>85.75</v>
      </c>
      <c r="D6" s="229">
        <v>87.99</v>
      </c>
      <c r="E6" s="229">
        <v>79.209999999999994</v>
      </c>
      <c r="F6" s="208">
        <v>-2.2400000000000002</v>
      </c>
      <c r="G6" s="208">
        <v>6.54</v>
      </c>
      <c r="H6" s="216" t="s">
        <v>12</v>
      </c>
      <c r="I6" s="268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20"/>
      <c r="B7" s="223"/>
      <c r="C7" s="225"/>
      <c r="D7" s="225"/>
      <c r="E7" s="225"/>
      <c r="F7" s="209"/>
      <c r="G7" s="209"/>
      <c r="H7" s="217"/>
      <c r="I7" s="269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20"/>
      <c r="B8" s="223"/>
      <c r="C8" s="225"/>
      <c r="D8" s="225"/>
      <c r="E8" s="225"/>
      <c r="F8" s="209"/>
      <c r="G8" s="209"/>
      <c r="H8" s="217"/>
      <c r="I8" s="207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20"/>
      <c r="B9" s="223"/>
      <c r="C9" s="225"/>
      <c r="D9" s="225"/>
      <c r="E9" s="225"/>
      <c r="F9" s="209"/>
      <c r="G9" s="209"/>
      <c r="H9" s="217"/>
      <c r="I9" s="268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20"/>
      <c r="B10" s="223"/>
      <c r="C10" s="225"/>
      <c r="D10" s="225"/>
      <c r="E10" s="225"/>
      <c r="F10" s="209"/>
      <c r="G10" s="209"/>
      <c r="H10" s="217"/>
      <c r="I10" s="207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20"/>
      <c r="B11" s="223"/>
      <c r="C11" s="226"/>
      <c r="D11" s="226"/>
      <c r="E11" s="226"/>
      <c r="F11" s="212"/>
      <c r="G11" s="212"/>
      <c r="H11" s="228"/>
      <c r="I11" s="115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17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20"/>
      <c r="B12" s="223" t="s">
        <v>13</v>
      </c>
      <c r="C12" s="229">
        <v>85.61</v>
      </c>
      <c r="D12" s="229">
        <v>90.77</v>
      </c>
      <c r="E12" s="229">
        <v>79.099999999999994</v>
      </c>
      <c r="F12" s="208">
        <v>-5.16</v>
      </c>
      <c r="G12" s="208">
        <v>6.51</v>
      </c>
      <c r="H12" s="216" t="s">
        <v>13</v>
      </c>
      <c r="I12" s="268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20"/>
      <c r="B13" s="223"/>
      <c r="C13" s="225"/>
      <c r="D13" s="225"/>
      <c r="E13" s="225"/>
      <c r="F13" s="209"/>
      <c r="G13" s="209"/>
      <c r="H13" s="217"/>
      <c r="I13" s="269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20"/>
      <c r="B14" s="223"/>
      <c r="C14" s="225"/>
      <c r="D14" s="225"/>
      <c r="E14" s="225"/>
      <c r="F14" s="209"/>
      <c r="G14" s="209"/>
      <c r="H14" s="217"/>
      <c r="I14" s="207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221"/>
      <c r="B15" s="233"/>
      <c r="C15" s="234"/>
      <c r="D15" s="234"/>
      <c r="E15" s="234"/>
      <c r="F15" s="210"/>
      <c r="G15" s="210"/>
      <c r="H15" s="218"/>
      <c r="I15" s="115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2" t="s">
        <v>285</v>
      </c>
      <c r="B16" s="112" t="s">
        <v>286</v>
      </c>
      <c r="C16" s="112">
        <v>2016</v>
      </c>
      <c r="D16" s="112">
        <v>2016</v>
      </c>
      <c r="E16" s="112" t="s">
        <v>287</v>
      </c>
      <c r="F16" s="112" t="s">
        <v>288</v>
      </c>
      <c r="G16" s="112" t="s">
        <v>289</v>
      </c>
      <c r="H16" s="205" t="s">
        <v>286</v>
      </c>
      <c r="I16" s="205"/>
      <c r="J16" s="112" t="s">
        <v>290</v>
      </c>
      <c r="K16" s="112" t="s">
        <v>291</v>
      </c>
      <c r="L16" s="112">
        <v>2016</v>
      </c>
      <c r="M16" s="112">
        <v>2016</v>
      </c>
      <c r="N16" s="112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230" t="s">
        <v>328</v>
      </c>
      <c r="B17" s="222" t="s">
        <v>14</v>
      </c>
      <c r="C17" s="224">
        <v>82.03</v>
      </c>
      <c r="D17" s="224">
        <v>90.97</v>
      </c>
      <c r="E17" s="224">
        <v>76.66</v>
      </c>
      <c r="F17" s="211">
        <v>-8.94</v>
      </c>
      <c r="G17" s="211">
        <v>5.37</v>
      </c>
      <c r="H17" s="213" t="s">
        <v>14</v>
      </c>
      <c r="I17" s="270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231"/>
      <c r="B18" s="223"/>
      <c r="C18" s="225"/>
      <c r="D18" s="225"/>
      <c r="E18" s="225"/>
      <c r="F18" s="209"/>
      <c r="G18" s="209"/>
      <c r="H18" s="214"/>
      <c r="I18" s="243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231"/>
      <c r="B19" s="223"/>
      <c r="C19" s="225"/>
      <c r="D19" s="225"/>
      <c r="E19" s="225"/>
      <c r="F19" s="209"/>
      <c r="G19" s="209"/>
      <c r="H19" s="214"/>
      <c r="I19" s="242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231"/>
      <c r="B20" s="223"/>
      <c r="C20" s="226"/>
      <c r="D20" s="226"/>
      <c r="E20" s="226"/>
      <c r="F20" s="212"/>
      <c r="G20" s="212"/>
      <c r="H20" s="215"/>
      <c r="I20" s="243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231"/>
      <c r="B21" s="223" t="s">
        <v>15</v>
      </c>
      <c r="C21" s="229">
        <v>81.34</v>
      </c>
      <c r="D21" s="229">
        <v>83.97</v>
      </c>
      <c r="E21" s="229">
        <v>73.13</v>
      </c>
      <c r="F21" s="208">
        <v>-2.63</v>
      </c>
      <c r="G21" s="208">
        <v>8.2100000000000009</v>
      </c>
      <c r="H21" s="241" t="s">
        <v>15</v>
      </c>
      <c r="I21" s="242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231"/>
      <c r="B22" s="223"/>
      <c r="C22" s="226"/>
      <c r="D22" s="226"/>
      <c r="E22" s="226"/>
      <c r="F22" s="212"/>
      <c r="G22" s="212"/>
      <c r="H22" s="215"/>
      <c r="I22" s="243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231"/>
      <c r="B23" s="223" t="s">
        <v>16</v>
      </c>
      <c r="C23" s="229">
        <v>81.349999999999994</v>
      </c>
      <c r="D23" s="229">
        <v>91.19</v>
      </c>
      <c r="E23" s="229">
        <v>79.02</v>
      </c>
      <c r="F23" s="208">
        <v>-9.84</v>
      </c>
      <c r="G23" s="208">
        <v>2.33</v>
      </c>
      <c r="H23" s="241" t="s">
        <v>16</v>
      </c>
      <c r="I23" s="242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231"/>
      <c r="B24" s="223"/>
      <c r="C24" s="225"/>
      <c r="D24" s="225"/>
      <c r="E24" s="225"/>
      <c r="F24" s="209"/>
      <c r="G24" s="209"/>
      <c r="H24" s="214"/>
      <c r="I24" s="271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231"/>
      <c r="B25" s="223"/>
      <c r="C25" s="225"/>
      <c r="D25" s="225"/>
      <c r="E25" s="225"/>
      <c r="F25" s="209"/>
      <c r="G25" s="209"/>
      <c r="H25" s="214"/>
      <c r="I25" s="243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231"/>
      <c r="B26" s="223"/>
      <c r="C26" s="225"/>
      <c r="D26" s="225"/>
      <c r="E26" s="225"/>
      <c r="F26" s="209"/>
      <c r="G26" s="209"/>
      <c r="H26" s="214"/>
      <c r="I26" s="242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231"/>
      <c r="B27" s="223"/>
      <c r="C27" s="225"/>
      <c r="D27" s="225"/>
      <c r="E27" s="225"/>
      <c r="F27" s="209"/>
      <c r="G27" s="209"/>
      <c r="H27" s="214"/>
      <c r="I27" s="271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231"/>
      <c r="B28" s="223"/>
      <c r="C28" s="225"/>
      <c r="D28" s="225"/>
      <c r="E28" s="225"/>
      <c r="F28" s="209"/>
      <c r="G28" s="209"/>
      <c r="H28" s="214"/>
      <c r="I28" s="271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232"/>
      <c r="B29" s="233"/>
      <c r="C29" s="234"/>
      <c r="D29" s="234"/>
      <c r="E29" s="234"/>
      <c r="F29" s="210"/>
      <c r="G29" s="210"/>
      <c r="H29" s="246"/>
      <c r="I29" s="272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2" t="s">
        <v>285</v>
      </c>
      <c r="B30" s="112" t="s">
        <v>286</v>
      </c>
      <c r="C30" s="112">
        <v>2016</v>
      </c>
      <c r="D30" s="112">
        <v>2016</v>
      </c>
      <c r="E30" s="112" t="s">
        <v>287</v>
      </c>
      <c r="F30" s="112" t="s">
        <v>288</v>
      </c>
      <c r="G30" s="112" t="s">
        <v>289</v>
      </c>
      <c r="H30" s="205" t="s">
        <v>286</v>
      </c>
      <c r="I30" s="205"/>
      <c r="J30" s="112" t="s">
        <v>290</v>
      </c>
      <c r="K30" s="112" t="s">
        <v>291</v>
      </c>
      <c r="L30" s="112">
        <v>2016</v>
      </c>
      <c r="M30" s="112">
        <v>2016</v>
      </c>
      <c r="N30" s="112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35" t="s">
        <v>347</v>
      </c>
      <c r="B31" s="222" t="s">
        <v>17</v>
      </c>
      <c r="C31" s="224">
        <v>68.510000000000005</v>
      </c>
      <c r="D31" s="224">
        <v>66.22</v>
      </c>
      <c r="E31" s="224">
        <v>63.26</v>
      </c>
      <c r="F31" s="211">
        <v>2.29</v>
      </c>
      <c r="G31" s="211">
        <v>5.25</v>
      </c>
      <c r="H31" s="244" t="s">
        <v>17</v>
      </c>
      <c r="I31" s="247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17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36"/>
      <c r="B32" s="223"/>
      <c r="C32" s="225"/>
      <c r="D32" s="225"/>
      <c r="E32" s="225"/>
      <c r="F32" s="209"/>
      <c r="G32" s="209"/>
      <c r="H32" s="239"/>
      <c r="I32" s="248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36"/>
      <c r="B33" s="223"/>
      <c r="C33" s="225"/>
      <c r="D33" s="225"/>
      <c r="E33" s="225"/>
      <c r="F33" s="209"/>
      <c r="G33" s="209"/>
      <c r="H33" s="239"/>
      <c r="I33" s="249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36"/>
      <c r="B34" s="223"/>
      <c r="C34" s="226"/>
      <c r="D34" s="226"/>
      <c r="E34" s="226"/>
      <c r="F34" s="212"/>
      <c r="G34" s="212"/>
      <c r="H34" s="245"/>
      <c r="I34" s="248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36"/>
      <c r="B35" s="223" t="s">
        <v>18</v>
      </c>
      <c r="C35" s="229">
        <v>67.98</v>
      </c>
      <c r="D35" s="229">
        <v>72.180000000000007</v>
      </c>
      <c r="E35" s="229">
        <v>64.150000000000006</v>
      </c>
      <c r="F35" s="208">
        <v>-4.2</v>
      </c>
      <c r="G35" s="208">
        <v>3.83</v>
      </c>
      <c r="H35" s="250" t="s">
        <v>18</v>
      </c>
      <c r="I35" s="251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36"/>
      <c r="B36" s="223"/>
      <c r="C36" s="225"/>
      <c r="D36" s="225"/>
      <c r="E36" s="225"/>
      <c r="F36" s="209"/>
      <c r="G36" s="209"/>
      <c r="H36" s="250"/>
      <c r="I36" s="251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36"/>
      <c r="B37" s="223"/>
      <c r="C37" s="226"/>
      <c r="D37" s="226"/>
      <c r="E37" s="226"/>
      <c r="F37" s="212"/>
      <c r="G37" s="212"/>
      <c r="H37" s="252"/>
      <c r="I37" s="253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36"/>
      <c r="B38" s="223" t="s">
        <v>19</v>
      </c>
      <c r="C38" s="229">
        <v>91.08</v>
      </c>
      <c r="D38" s="229">
        <v>95.01</v>
      </c>
      <c r="E38" s="229">
        <v>90.14</v>
      </c>
      <c r="F38" s="208">
        <v>-3.93</v>
      </c>
      <c r="G38" s="208">
        <v>0.94</v>
      </c>
      <c r="H38" s="238" t="s">
        <v>19</v>
      </c>
      <c r="I38" s="254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36"/>
      <c r="B39" s="223"/>
      <c r="C39" s="225"/>
      <c r="D39" s="225"/>
      <c r="E39" s="225"/>
      <c r="F39" s="209"/>
      <c r="G39" s="209"/>
      <c r="H39" s="239"/>
      <c r="I39" s="255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36"/>
      <c r="B40" s="223"/>
      <c r="C40" s="225"/>
      <c r="D40" s="225"/>
      <c r="E40" s="225"/>
      <c r="F40" s="209"/>
      <c r="G40" s="209"/>
      <c r="H40" s="239"/>
      <c r="I40" s="255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36"/>
      <c r="B41" s="223"/>
      <c r="C41" s="225"/>
      <c r="D41" s="225"/>
      <c r="E41" s="225"/>
      <c r="F41" s="209"/>
      <c r="G41" s="209"/>
      <c r="H41" s="239"/>
      <c r="I41" s="248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37"/>
      <c r="B42" s="233"/>
      <c r="C42" s="234"/>
      <c r="D42" s="234"/>
      <c r="E42" s="234"/>
      <c r="F42" s="210"/>
      <c r="G42" s="210"/>
      <c r="H42" s="240"/>
      <c r="I42" s="114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2" t="s">
        <v>285</v>
      </c>
      <c r="B43" s="112" t="s">
        <v>286</v>
      </c>
      <c r="C43" s="112">
        <v>2016</v>
      </c>
      <c r="D43" s="112">
        <v>2016</v>
      </c>
      <c r="E43" s="112" t="s">
        <v>287</v>
      </c>
      <c r="F43" s="112" t="s">
        <v>288</v>
      </c>
      <c r="G43" s="112" t="s">
        <v>289</v>
      </c>
      <c r="H43" s="205" t="s">
        <v>286</v>
      </c>
      <c r="I43" s="205"/>
      <c r="J43" s="112" t="s">
        <v>290</v>
      </c>
      <c r="K43" s="112" t="s">
        <v>291</v>
      </c>
      <c r="L43" s="112">
        <v>2016</v>
      </c>
      <c r="M43" s="112">
        <v>2016</v>
      </c>
      <c r="N43" s="112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0" t="s">
        <v>363</v>
      </c>
      <c r="B44" s="222" t="s">
        <v>20</v>
      </c>
      <c r="C44" s="224">
        <v>80.63</v>
      </c>
      <c r="D44" s="224">
        <v>83.69</v>
      </c>
      <c r="E44" s="224">
        <v>76.319999999999993</v>
      </c>
      <c r="F44" s="211">
        <v>-3.06</v>
      </c>
      <c r="G44" s="211">
        <v>4.3099999999999996</v>
      </c>
      <c r="H44" s="256" t="s">
        <v>20</v>
      </c>
      <c r="I44" s="257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1"/>
      <c r="B45" s="223"/>
      <c r="C45" s="226"/>
      <c r="D45" s="226"/>
      <c r="E45" s="226"/>
      <c r="F45" s="212"/>
      <c r="G45" s="212"/>
      <c r="H45" s="258"/>
      <c r="I45" s="259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1"/>
      <c r="B46" s="223" t="s">
        <v>21</v>
      </c>
      <c r="C46" s="229">
        <v>83.99</v>
      </c>
      <c r="D46" s="229">
        <v>91.22</v>
      </c>
      <c r="E46" s="229">
        <v>80.14</v>
      </c>
      <c r="F46" s="208">
        <v>-7.23</v>
      </c>
      <c r="G46" s="208">
        <v>3.85</v>
      </c>
      <c r="H46" s="273" t="s">
        <v>21</v>
      </c>
      <c r="I46" s="274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1"/>
      <c r="B47" s="223"/>
      <c r="C47" s="226"/>
      <c r="D47" s="226"/>
      <c r="E47" s="226"/>
      <c r="F47" s="212"/>
      <c r="G47" s="212"/>
      <c r="H47" s="258"/>
      <c r="I47" s="259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1"/>
      <c r="B48" s="223" t="s">
        <v>22</v>
      </c>
      <c r="C48" s="229">
        <v>84.29</v>
      </c>
      <c r="D48" s="229">
        <v>89.33</v>
      </c>
      <c r="E48" s="229">
        <v>80.72</v>
      </c>
      <c r="F48" s="208">
        <v>-5.04</v>
      </c>
      <c r="G48" s="208">
        <v>3.57</v>
      </c>
      <c r="H48" s="273" t="s">
        <v>22</v>
      </c>
      <c r="I48" s="274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17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1"/>
      <c r="B49" s="223"/>
      <c r="C49" s="225"/>
      <c r="D49" s="225"/>
      <c r="E49" s="225"/>
      <c r="F49" s="209"/>
      <c r="G49" s="209"/>
      <c r="H49" s="275"/>
      <c r="I49" s="27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1"/>
      <c r="B50" s="223"/>
      <c r="C50" s="225"/>
      <c r="D50" s="225"/>
      <c r="E50" s="225"/>
      <c r="F50" s="209"/>
      <c r="G50" s="209"/>
      <c r="H50" s="275"/>
      <c r="I50" s="27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2"/>
      <c r="B51" s="233"/>
      <c r="C51" s="234"/>
      <c r="D51" s="234"/>
      <c r="E51" s="234"/>
      <c r="F51" s="210"/>
      <c r="G51" s="210"/>
      <c r="H51" s="277"/>
      <c r="I51" s="27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2" t="s">
        <v>285</v>
      </c>
      <c r="B52" s="112" t="s">
        <v>286</v>
      </c>
      <c r="C52" s="112">
        <v>2016</v>
      </c>
      <c r="D52" s="112">
        <v>2016</v>
      </c>
      <c r="E52" s="112" t="s">
        <v>287</v>
      </c>
      <c r="F52" s="112" t="s">
        <v>288</v>
      </c>
      <c r="G52" s="112" t="s">
        <v>289</v>
      </c>
      <c r="H52" s="205" t="s">
        <v>286</v>
      </c>
      <c r="I52" s="205"/>
      <c r="J52" s="112" t="s">
        <v>290</v>
      </c>
      <c r="K52" s="112" t="s">
        <v>291</v>
      </c>
      <c r="L52" s="112">
        <v>2016</v>
      </c>
      <c r="M52" s="112">
        <v>2016</v>
      </c>
      <c r="N52" s="112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66" t="s">
        <v>372</v>
      </c>
      <c r="B53" s="222" t="s">
        <v>23</v>
      </c>
      <c r="C53" s="224">
        <v>87.27</v>
      </c>
      <c r="D53" s="224">
        <v>92.2</v>
      </c>
      <c r="E53" s="224">
        <v>84.71</v>
      </c>
      <c r="F53" s="211">
        <v>-4.93</v>
      </c>
      <c r="G53" s="211">
        <v>2.56</v>
      </c>
      <c r="H53" s="279" t="s">
        <v>23</v>
      </c>
      <c r="I53" s="280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67"/>
      <c r="B54" s="223"/>
      <c r="C54" s="225"/>
      <c r="D54" s="225"/>
      <c r="E54" s="225"/>
      <c r="F54" s="209"/>
      <c r="G54" s="209"/>
      <c r="H54" s="281"/>
      <c r="I54" s="282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67"/>
      <c r="B55" s="223"/>
      <c r="C55" s="226"/>
      <c r="D55" s="226"/>
      <c r="E55" s="226"/>
      <c r="F55" s="212"/>
      <c r="G55" s="212"/>
      <c r="H55" s="283"/>
      <c r="I55" s="284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67"/>
      <c r="B56" s="223" t="s">
        <v>24</v>
      </c>
      <c r="C56" s="229">
        <v>88.28</v>
      </c>
      <c r="D56" s="229">
        <v>93.8</v>
      </c>
      <c r="E56" s="229">
        <v>86.6</v>
      </c>
      <c r="F56" s="208">
        <v>-5.52</v>
      </c>
      <c r="G56" s="208">
        <v>1.68</v>
      </c>
      <c r="H56" s="263" t="s">
        <v>24</v>
      </c>
      <c r="I56" s="285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67"/>
      <c r="B57" s="223"/>
      <c r="C57" s="225"/>
      <c r="D57" s="225"/>
      <c r="E57" s="225"/>
      <c r="F57" s="209"/>
      <c r="G57" s="209"/>
      <c r="H57" s="264"/>
      <c r="I57" s="286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67"/>
      <c r="B58" s="223"/>
      <c r="C58" s="225"/>
      <c r="D58" s="225"/>
      <c r="E58" s="225"/>
      <c r="F58" s="209"/>
      <c r="G58" s="209"/>
      <c r="H58" s="264"/>
      <c r="I58" s="287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67"/>
      <c r="B59" s="223"/>
      <c r="C59" s="226"/>
      <c r="D59" s="226"/>
      <c r="E59" s="226"/>
      <c r="F59" s="212"/>
      <c r="G59" s="212"/>
      <c r="H59" s="265"/>
      <c r="I59" s="286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67"/>
      <c r="B60" s="223" t="s">
        <v>25</v>
      </c>
      <c r="C60" s="229">
        <v>82.3</v>
      </c>
      <c r="D60" s="229">
        <v>91.3</v>
      </c>
      <c r="E60" s="229">
        <v>78.11</v>
      </c>
      <c r="F60" s="208">
        <v>-9</v>
      </c>
      <c r="G60" s="208">
        <v>4.1900000000000004</v>
      </c>
      <c r="H60" s="281" t="s">
        <v>25</v>
      </c>
      <c r="I60" s="282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67"/>
      <c r="B61" s="223"/>
      <c r="C61" s="225"/>
      <c r="D61" s="225"/>
      <c r="E61" s="225"/>
      <c r="F61" s="209"/>
      <c r="G61" s="209"/>
      <c r="H61" s="281"/>
      <c r="I61" s="282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67"/>
      <c r="B62" s="223"/>
      <c r="C62" s="226"/>
      <c r="D62" s="226"/>
      <c r="E62" s="226"/>
      <c r="F62" s="212"/>
      <c r="G62" s="212"/>
      <c r="H62" s="283"/>
      <c r="I62" s="284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88" t="s">
        <v>385</v>
      </c>
      <c r="J64" s="112" t="s">
        <v>290</v>
      </c>
      <c r="K64" s="112" t="s">
        <v>291</v>
      </c>
      <c r="L64" s="112">
        <v>2016</v>
      </c>
      <c r="M64" s="112">
        <v>2016</v>
      </c>
      <c r="N64" s="112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88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88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88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2">
        <v>2016</v>
      </c>
      <c r="M69" s="112">
        <v>2016</v>
      </c>
      <c r="N69" s="112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89" t="s">
        <v>26</v>
      </c>
      <c r="J70" s="290" t="s">
        <v>147</v>
      </c>
      <c r="K70" s="291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89"/>
      <c r="J71" s="290" t="s">
        <v>149</v>
      </c>
      <c r="K71" s="291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89"/>
      <c r="J72" s="290" t="s">
        <v>150</v>
      </c>
      <c r="K72" s="291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89"/>
      <c r="J73" s="290" t="s">
        <v>151</v>
      </c>
      <c r="K73" s="291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89"/>
      <c r="J74" s="290" t="s">
        <v>152</v>
      </c>
      <c r="K74" s="291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97" t="s">
        <v>130</v>
      </c>
      <c r="H77" s="297"/>
      <c r="I77" s="119" t="s">
        <v>286</v>
      </c>
      <c r="J77" s="119" t="s">
        <v>290</v>
      </c>
      <c r="K77" s="119" t="s">
        <v>291</v>
      </c>
      <c r="L77" s="119">
        <v>2016</v>
      </c>
      <c r="M77" s="119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0">
        <v>1</v>
      </c>
      <c r="G78" s="293" t="s">
        <v>131</v>
      </c>
      <c r="H78" s="293"/>
      <c r="I78" s="121" t="s">
        <v>357</v>
      </c>
      <c r="J78" s="122">
        <v>36</v>
      </c>
      <c r="K78" s="122" t="s">
        <v>359</v>
      </c>
      <c r="L78" s="123">
        <v>96.52</v>
      </c>
      <c r="M78" s="123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0">
        <v>2</v>
      </c>
      <c r="G79" s="293" t="s">
        <v>131</v>
      </c>
      <c r="H79" s="293"/>
      <c r="I79" s="121" t="s">
        <v>357</v>
      </c>
      <c r="J79" s="122">
        <v>37</v>
      </c>
      <c r="K79" s="122" t="s">
        <v>360</v>
      </c>
      <c r="L79" s="123">
        <v>94.97</v>
      </c>
      <c r="M79" s="123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0">
        <v>3</v>
      </c>
      <c r="G80" s="298" t="s">
        <v>131</v>
      </c>
      <c r="H80" s="298"/>
      <c r="I80" s="121" t="s">
        <v>357</v>
      </c>
      <c r="J80" s="122">
        <v>38</v>
      </c>
      <c r="K80" s="122" t="s">
        <v>361</v>
      </c>
      <c r="L80" s="123">
        <v>93.83</v>
      </c>
      <c r="M80" s="123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0">
        <v>4</v>
      </c>
      <c r="G81" s="295" t="s">
        <v>387</v>
      </c>
      <c r="H81" s="295"/>
      <c r="I81" s="124" t="s">
        <v>379</v>
      </c>
      <c r="J81" s="125">
        <v>53</v>
      </c>
      <c r="K81" s="125" t="s">
        <v>380</v>
      </c>
      <c r="L81" s="126">
        <v>93.54</v>
      </c>
      <c r="M81" s="126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0">
        <v>5</v>
      </c>
      <c r="G82" s="296" t="s">
        <v>132</v>
      </c>
      <c r="H82" s="296"/>
      <c r="I82" s="127" t="s">
        <v>326</v>
      </c>
      <c r="J82" s="128">
        <v>14</v>
      </c>
      <c r="K82" s="128" t="s">
        <v>327</v>
      </c>
      <c r="L82" s="129">
        <v>92.33</v>
      </c>
      <c r="M82" s="129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0">
        <v>6</v>
      </c>
      <c r="G83" s="294" t="s">
        <v>131</v>
      </c>
      <c r="H83" s="294"/>
      <c r="I83" s="121" t="s">
        <v>351</v>
      </c>
      <c r="J83" s="122">
        <v>31</v>
      </c>
      <c r="K83" s="122" t="s">
        <v>353</v>
      </c>
      <c r="L83" s="123">
        <v>92.08</v>
      </c>
      <c r="M83" s="123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0">
        <v>7</v>
      </c>
      <c r="G84" s="302" t="s">
        <v>133</v>
      </c>
      <c r="H84" s="302"/>
      <c r="I84" s="130" t="s">
        <v>338</v>
      </c>
      <c r="J84" s="131">
        <v>21</v>
      </c>
      <c r="K84" s="131" t="s">
        <v>339</v>
      </c>
      <c r="L84" s="132">
        <v>91.17</v>
      </c>
      <c r="M84" s="132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0">
        <v>8</v>
      </c>
      <c r="G85" s="303" t="s">
        <v>142</v>
      </c>
      <c r="H85" s="303"/>
      <c r="I85" s="133" t="s">
        <v>21</v>
      </c>
      <c r="J85" s="134">
        <v>42</v>
      </c>
      <c r="K85" s="134" t="s">
        <v>366</v>
      </c>
      <c r="L85" s="135">
        <v>90.85</v>
      </c>
      <c r="M85" s="135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0">
        <v>9</v>
      </c>
      <c r="G86" s="304" t="s">
        <v>387</v>
      </c>
      <c r="H86" s="304"/>
      <c r="I86" s="124" t="s">
        <v>376</v>
      </c>
      <c r="J86" s="125">
        <v>51</v>
      </c>
      <c r="K86" s="125" t="s">
        <v>377</v>
      </c>
      <c r="L86" s="126">
        <v>90.49</v>
      </c>
      <c r="M86" s="126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0">
        <v>10</v>
      </c>
      <c r="G87" s="305" t="s">
        <v>387</v>
      </c>
      <c r="H87" s="305"/>
      <c r="I87" s="124" t="s">
        <v>23</v>
      </c>
      <c r="J87" s="125">
        <v>48</v>
      </c>
      <c r="K87" s="125" t="s">
        <v>373</v>
      </c>
      <c r="L87" s="126">
        <v>89.81</v>
      </c>
      <c r="M87" s="126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36"/>
      <c r="H88" s="136"/>
      <c r="I88" s="136"/>
      <c r="J88" s="136"/>
      <c r="K88" s="136"/>
      <c r="L88" s="136"/>
      <c r="M88" s="136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97" t="s">
        <v>130</v>
      </c>
      <c r="H89" s="297"/>
      <c r="I89" s="119" t="s">
        <v>286</v>
      </c>
      <c r="J89" s="119" t="s">
        <v>290</v>
      </c>
      <c r="K89" s="119" t="s">
        <v>291</v>
      </c>
      <c r="L89" s="119">
        <v>2016</v>
      </c>
      <c r="M89" s="119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0">
        <v>1</v>
      </c>
      <c r="G90" s="293" t="s">
        <v>131</v>
      </c>
      <c r="H90" s="293"/>
      <c r="I90" s="121" t="s">
        <v>348</v>
      </c>
      <c r="J90" s="122">
        <v>29</v>
      </c>
      <c r="K90" s="122" t="s">
        <v>350</v>
      </c>
      <c r="L90" s="123">
        <v>45.85</v>
      </c>
      <c r="M90" s="123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0">
        <v>2</v>
      </c>
      <c r="G91" s="293" t="s">
        <v>131</v>
      </c>
      <c r="H91" s="293"/>
      <c r="I91" s="121" t="s">
        <v>18</v>
      </c>
      <c r="J91" s="122">
        <v>32</v>
      </c>
      <c r="K91" s="122" t="s">
        <v>354</v>
      </c>
      <c r="L91" s="123">
        <v>58.81</v>
      </c>
      <c r="M91" s="123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0">
        <v>3</v>
      </c>
      <c r="G92" s="294" t="s">
        <v>131</v>
      </c>
      <c r="H92" s="294"/>
      <c r="I92" s="121" t="s">
        <v>348</v>
      </c>
      <c r="J92" s="122">
        <v>28</v>
      </c>
      <c r="K92" s="122" t="s">
        <v>349</v>
      </c>
      <c r="L92" s="123">
        <v>63.94</v>
      </c>
      <c r="M92" s="123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0">
        <v>4</v>
      </c>
      <c r="G93" s="292" t="s">
        <v>133</v>
      </c>
      <c r="H93" s="292"/>
      <c r="I93" s="130" t="s">
        <v>338</v>
      </c>
      <c r="J93" s="131">
        <v>22</v>
      </c>
      <c r="K93" s="131" t="s">
        <v>340</v>
      </c>
      <c r="L93" s="132">
        <v>69.52</v>
      </c>
      <c r="M93" s="132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0">
        <v>5</v>
      </c>
      <c r="G94" s="293" t="s">
        <v>131</v>
      </c>
      <c r="H94" s="293"/>
      <c r="I94" s="121" t="s">
        <v>18</v>
      </c>
      <c r="J94" s="122">
        <v>34</v>
      </c>
      <c r="K94" s="122" t="s">
        <v>356</v>
      </c>
      <c r="L94" s="123">
        <v>71.930000000000007</v>
      </c>
      <c r="M94" s="123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0">
        <v>6</v>
      </c>
      <c r="G95" s="293" t="s">
        <v>131</v>
      </c>
      <c r="H95" s="293"/>
      <c r="I95" s="121" t="s">
        <v>351</v>
      </c>
      <c r="J95" s="122">
        <v>30</v>
      </c>
      <c r="K95" s="122" t="s">
        <v>352</v>
      </c>
      <c r="L95" s="123">
        <v>72.17</v>
      </c>
      <c r="M95" s="123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0">
        <v>7</v>
      </c>
      <c r="G96" s="294" t="s">
        <v>131</v>
      </c>
      <c r="H96" s="294"/>
      <c r="I96" s="121" t="s">
        <v>18</v>
      </c>
      <c r="J96" s="122">
        <v>33</v>
      </c>
      <c r="K96" s="122" t="s">
        <v>355</v>
      </c>
      <c r="L96" s="123">
        <v>73.19</v>
      </c>
      <c r="M96" s="123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0">
        <v>8</v>
      </c>
      <c r="G97" s="299" t="s">
        <v>133</v>
      </c>
      <c r="H97" s="299"/>
      <c r="I97" s="130" t="s">
        <v>342</v>
      </c>
      <c r="J97" s="131">
        <v>25</v>
      </c>
      <c r="K97" s="131" t="s">
        <v>344</v>
      </c>
      <c r="L97" s="132">
        <v>75.88</v>
      </c>
      <c r="M97" s="132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0">
        <v>9</v>
      </c>
      <c r="G98" s="300" t="s">
        <v>132</v>
      </c>
      <c r="H98" s="300"/>
      <c r="I98" s="127" t="s">
        <v>311</v>
      </c>
      <c r="J98" s="128">
        <v>7</v>
      </c>
      <c r="K98" s="128" t="s">
        <v>316</v>
      </c>
      <c r="L98" s="129">
        <v>76.25</v>
      </c>
      <c r="M98" s="129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0">
        <v>10</v>
      </c>
      <c r="G99" s="301" t="s">
        <v>142</v>
      </c>
      <c r="H99" s="301"/>
      <c r="I99" s="133" t="s">
        <v>21</v>
      </c>
      <c r="J99" s="134">
        <v>43</v>
      </c>
      <c r="K99" s="134" t="s">
        <v>367</v>
      </c>
      <c r="L99" s="135">
        <v>77.12</v>
      </c>
      <c r="M99" s="135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36"/>
      <c r="H100" s="136"/>
      <c r="I100" s="136"/>
      <c r="J100" s="136"/>
      <c r="K100" s="136"/>
      <c r="L100" s="136"/>
      <c r="M100" s="1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0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39" t="s">
        <v>483</v>
      </c>
      <c r="C2" s="139">
        <v>2016</v>
      </c>
    </row>
    <row r="3" spans="2:10" ht="18.75" customHeight="1" x14ac:dyDescent="0.25">
      <c r="B3" s="146" t="s">
        <v>484</v>
      </c>
      <c r="C3" s="146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2" t="s">
        <v>29</v>
      </c>
      <c r="C6" s="142" t="s">
        <v>156</v>
      </c>
      <c r="D6" s="142" t="s">
        <v>157</v>
      </c>
      <c r="E6" s="142" t="s">
        <v>158</v>
      </c>
      <c r="F6" s="142" t="s">
        <v>159</v>
      </c>
      <c r="G6" s="142" t="s">
        <v>160</v>
      </c>
      <c r="H6" s="142" t="s">
        <v>161</v>
      </c>
      <c r="I6" s="142" t="s">
        <v>162</v>
      </c>
      <c r="J6" s="142" t="s">
        <v>163</v>
      </c>
    </row>
    <row r="7" spans="2:10" x14ac:dyDescent="0.25">
      <c r="B7" s="141" t="s">
        <v>441</v>
      </c>
      <c r="C7" s="141" t="s">
        <v>144</v>
      </c>
      <c r="D7" s="141" t="s">
        <v>143</v>
      </c>
      <c r="E7" s="141" t="s">
        <v>442</v>
      </c>
      <c r="F7" s="141" t="s">
        <v>443</v>
      </c>
      <c r="G7" s="141" t="s">
        <v>444</v>
      </c>
      <c r="H7" s="141" t="s">
        <v>445</v>
      </c>
      <c r="I7" s="141">
        <v>1</v>
      </c>
      <c r="J7" s="145"/>
    </row>
    <row r="8" spans="2:10" x14ac:dyDescent="0.25">
      <c r="B8" s="141" t="s">
        <v>446</v>
      </c>
      <c r="C8" s="141" t="s">
        <v>144</v>
      </c>
      <c r="D8" s="141" t="s">
        <v>143</v>
      </c>
      <c r="E8" s="141" t="s">
        <v>442</v>
      </c>
      <c r="F8" s="141" t="s">
        <v>443</v>
      </c>
      <c r="G8" s="141"/>
      <c r="H8" s="141"/>
      <c r="I8" s="141">
        <v>1</v>
      </c>
      <c r="J8" s="145"/>
    </row>
    <row r="9" spans="2:10" x14ac:dyDescent="0.25">
      <c r="B9" s="141" t="s">
        <v>98</v>
      </c>
      <c r="C9" s="141" t="s">
        <v>27</v>
      </c>
      <c r="D9" s="141" t="s">
        <v>143</v>
      </c>
      <c r="E9" s="141" t="s">
        <v>447</v>
      </c>
      <c r="F9" s="141" t="s">
        <v>448</v>
      </c>
      <c r="G9" s="141" t="s">
        <v>449</v>
      </c>
      <c r="H9" s="141" t="s">
        <v>450</v>
      </c>
      <c r="I9" s="141">
        <v>1</v>
      </c>
      <c r="J9" s="145"/>
    </row>
    <row r="10" spans="2:10" x14ac:dyDescent="0.25">
      <c r="B10" s="141" t="s">
        <v>99</v>
      </c>
      <c r="C10" s="141" t="s">
        <v>27</v>
      </c>
      <c r="D10" s="141" t="s">
        <v>143</v>
      </c>
      <c r="E10" s="141" t="s">
        <v>447</v>
      </c>
      <c r="F10" s="141" t="s">
        <v>448</v>
      </c>
      <c r="G10" s="141"/>
      <c r="H10" s="141"/>
      <c r="I10" s="141">
        <v>1</v>
      </c>
      <c r="J10" s="145"/>
    </row>
    <row r="11" spans="2:10" x14ac:dyDescent="0.25">
      <c r="B11" s="141" t="s">
        <v>100</v>
      </c>
      <c r="C11" s="141" t="s">
        <v>28</v>
      </c>
      <c r="D11" s="141" t="s">
        <v>143</v>
      </c>
      <c r="E11" s="141" t="s">
        <v>165</v>
      </c>
      <c r="F11" s="141" t="s">
        <v>185</v>
      </c>
      <c r="G11" s="141" t="s">
        <v>451</v>
      </c>
      <c r="H11" s="141" t="s">
        <v>452</v>
      </c>
      <c r="I11" s="141">
        <v>1</v>
      </c>
      <c r="J11" s="145"/>
    </row>
    <row r="12" spans="2:10" x14ac:dyDescent="0.25">
      <c r="B12" s="141" t="s">
        <v>101</v>
      </c>
      <c r="C12" s="141" t="s">
        <v>28</v>
      </c>
      <c r="D12" s="141" t="s">
        <v>143</v>
      </c>
      <c r="E12" s="141" t="s">
        <v>165</v>
      </c>
      <c r="F12" s="141" t="s">
        <v>185</v>
      </c>
      <c r="G12" s="141"/>
      <c r="H12" s="141"/>
      <c r="I12" s="141">
        <v>1</v>
      </c>
      <c r="J12" s="145"/>
    </row>
    <row r="13" spans="2:10" x14ac:dyDescent="0.25">
      <c r="B13" s="141" t="s">
        <v>102</v>
      </c>
      <c r="C13" s="141" t="s">
        <v>114</v>
      </c>
      <c r="D13" s="141" t="s">
        <v>143</v>
      </c>
      <c r="E13" s="141" t="s">
        <v>453</v>
      </c>
      <c r="F13" s="141" t="s">
        <v>454</v>
      </c>
      <c r="G13" s="141" t="s">
        <v>455</v>
      </c>
      <c r="H13" s="141" t="s">
        <v>456</v>
      </c>
      <c r="I13" s="141">
        <v>1</v>
      </c>
      <c r="J13" s="145"/>
    </row>
    <row r="14" spans="2:10" x14ac:dyDescent="0.25">
      <c r="B14" s="141" t="s">
        <v>103</v>
      </c>
      <c r="C14" s="141" t="s">
        <v>114</v>
      </c>
      <c r="D14" s="141" t="s">
        <v>143</v>
      </c>
      <c r="E14" s="141" t="s">
        <v>453</v>
      </c>
      <c r="F14" s="141" t="s">
        <v>454</v>
      </c>
      <c r="G14" s="141"/>
      <c r="H14" s="141"/>
      <c r="I14" s="141">
        <v>1</v>
      </c>
      <c r="J14" s="145"/>
    </row>
    <row r="15" spans="2:10" x14ac:dyDescent="0.25">
      <c r="B15" s="141" t="s">
        <v>104</v>
      </c>
      <c r="C15" s="141" t="s">
        <v>174</v>
      </c>
      <c r="D15" s="141" t="s">
        <v>143</v>
      </c>
      <c r="E15" s="141" t="s">
        <v>457</v>
      </c>
      <c r="F15" s="141" t="s">
        <v>458</v>
      </c>
      <c r="G15" s="141" t="s">
        <v>459</v>
      </c>
      <c r="H15" s="141" t="s">
        <v>460</v>
      </c>
      <c r="I15" s="141">
        <v>2</v>
      </c>
      <c r="J15" s="145"/>
    </row>
    <row r="16" spans="2:10" x14ac:dyDescent="0.25">
      <c r="B16" s="141" t="s">
        <v>461</v>
      </c>
      <c r="C16" s="141" t="s">
        <v>174</v>
      </c>
      <c r="D16" s="141" t="s">
        <v>143</v>
      </c>
      <c r="E16" s="141" t="s">
        <v>457</v>
      </c>
      <c r="F16" s="141" t="s">
        <v>458</v>
      </c>
      <c r="G16" s="141"/>
      <c r="H16" s="141"/>
      <c r="I16" s="141">
        <v>1</v>
      </c>
      <c r="J16" s="145"/>
    </row>
    <row r="17" spans="2:10" x14ac:dyDescent="0.25">
      <c r="B17" s="141" t="s">
        <v>105</v>
      </c>
      <c r="C17" s="141" t="s">
        <v>115</v>
      </c>
      <c r="D17" s="141" t="s">
        <v>143</v>
      </c>
      <c r="E17" s="141" t="s">
        <v>462</v>
      </c>
      <c r="F17" s="141" t="s">
        <v>463</v>
      </c>
      <c r="G17" s="141" t="s">
        <v>464</v>
      </c>
      <c r="H17" s="141" t="s">
        <v>465</v>
      </c>
      <c r="I17" s="141">
        <v>1</v>
      </c>
      <c r="J17" s="145"/>
    </row>
    <row r="18" spans="2:10" x14ac:dyDescent="0.25">
      <c r="B18" s="141" t="s">
        <v>106</v>
      </c>
      <c r="C18" s="141" t="s">
        <v>115</v>
      </c>
      <c r="D18" s="141" t="s">
        <v>143</v>
      </c>
      <c r="E18" s="141" t="s">
        <v>462</v>
      </c>
      <c r="F18" s="141" t="s">
        <v>463</v>
      </c>
      <c r="G18" s="141"/>
      <c r="H18" s="141"/>
      <c r="I18" s="141">
        <v>1</v>
      </c>
      <c r="J18" s="145"/>
    </row>
    <row r="19" spans="2:10" x14ac:dyDescent="0.25">
      <c r="B19" s="141" t="s">
        <v>107</v>
      </c>
      <c r="C19" s="141" t="s">
        <v>175</v>
      </c>
      <c r="D19" s="141" t="s">
        <v>143</v>
      </c>
      <c r="E19" s="141" t="s">
        <v>466</v>
      </c>
      <c r="F19" s="141" t="s">
        <v>467</v>
      </c>
      <c r="G19" s="141" t="s">
        <v>468</v>
      </c>
      <c r="H19" s="141" t="s">
        <v>469</v>
      </c>
      <c r="I19" s="141">
        <v>3</v>
      </c>
      <c r="J19" s="145"/>
    </row>
    <row r="20" spans="2:10" x14ac:dyDescent="0.25">
      <c r="B20" s="141" t="s">
        <v>470</v>
      </c>
      <c r="C20" s="141" t="s">
        <v>175</v>
      </c>
      <c r="D20" s="141" t="s">
        <v>143</v>
      </c>
      <c r="E20" s="141" t="s">
        <v>466</v>
      </c>
      <c r="F20" s="141" t="s">
        <v>467</v>
      </c>
      <c r="G20" s="141"/>
      <c r="H20" s="141"/>
      <c r="I20" s="141">
        <v>1</v>
      </c>
      <c r="J20" s="145"/>
    </row>
    <row r="21" spans="2:10" x14ac:dyDescent="0.25">
      <c r="B21" s="141" t="s">
        <v>108</v>
      </c>
      <c r="C21" s="141" t="s">
        <v>116</v>
      </c>
      <c r="D21" s="141" t="s">
        <v>143</v>
      </c>
      <c r="E21" s="141" t="s">
        <v>471</v>
      </c>
      <c r="F21" s="141" t="s">
        <v>472</v>
      </c>
      <c r="G21" s="141" t="s">
        <v>473</v>
      </c>
      <c r="H21" s="141" t="s">
        <v>474</v>
      </c>
      <c r="I21" s="141">
        <v>1</v>
      </c>
      <c r="J21" s="145"/>
    </row>
    <row r="22" spans="2:10" x14ac:dyDescent="0.25">
      <c r="B22" s="141" t="s">
        <v>109</v>
      </c>
      <c r="C22" s="141" t="s">
        <v>116</v>
      </c>
      <c r="D22" s="141" t="s">
        <v>143</v>
      </c>
      <c r="E22" s="141" t="s">
        <v>471</v>
      </c>
      <c r="F22" s="141" t="s">
        <v>472</v>
      </c>
      <c r="G22" s="141"/>
      <c r="H22" s="141"/>
      <c r="I22" s="141">
        <v>1</v>
      </c>
      <c r="J22" s="145"/>
    </row>
    <row r="23" spans="2:10" x14ac:dyDescent="0.25">
      <c r="B23" s="141" t="s">
        <v>110</v>
      </c>
      <c r="C23" s="141" t="s">
        <v>97</v>
      </c>
      <c r="D23" s="141" t="s">
        <v>143</v>
      </c>
      <c r="E23" s="141" t="s">
        <v>475</v>
      </c>
      <c r="F23" s="141" t="s">
        <v>476</v>
      </c>
      <c r="G23" s="141" t="s">
        <v>477</v>
      </c>
      <c r="H23" s="141" t="s">
        <v>478</v>
      </c>
      <c r="I23" s="141">
        <v>4</v>
      </c>
      <c r="J23" s="145"/>
    </row>
    <row r="24" spans="2:10" x14ac:dyDescent="0.25">
      <c r="B24" s="141" t="s">
        <v>111</v>
      </c>
      <c r="C24" s="141" t="s">
        <v>97</v>
      </c>
      <c r="D24" s="141" t="s">
        <v>143</v>
      </c>
      <c r="E24" s="141" t="s">
        <v>475</v>
      </c>
      <c r="F24" s="141" t="s">
        <v>476</v>
      </c>
      <c r="G24" s="141"/>
      <c r="H24" s="141"/>
      <c r="I24" s="141">
        <v>1</v>
      </c>
      <c r="J24" s="145"/>
    </row>
    <row r="25" spans="2:10" x14ac:dyDescent="0.25">
      <c r="B25" s="141" t="s">
        <v>112</v>
      </c>
      <c r="C25" s="141" t="s">
        <v>117</v>
      </c>
      <c r="D25" s="141" t="s">
        <v>143</v>
      </c>
      <c r="E25" s="141" t="s">
        <v>479</v>
      </c>
      <c r="F25" s="141" t="s">
        <v>480</v>
      </c>
      <c r="G25" s="141" t="s">
        <v>481</v>
      </c>
      <c r="H25" s="141" t="s">
        <v>482</v>
      </c>
      <c r="I25" s="141">
        <v>1</v>
      </c>
      <c r="J25" s="145"/>
    </row>
    <row r="26" spans="2:10" x14ac:dyDescent="0.25">
      <c r="B26" s="143" t="s">
        <v>113</v>
      </c>
      <c r="C26" s="143" t="s">
        <v>117</v>
      </c>
      <c r="D26" s="143" t="s">
        <v>143</v>
      </c>
      <c r="E26" s="143" t="s">
        <v>479</v>
      </c>
      <c r="F26" s="143" t="s">
        <v>480</v>
      </c>
      <c r="G26" s="143"/>
      <c r="H26" s="143"/>
      <c r="I26" s="143">
        <v>1</v>
      </c>
      <c r="J26" s="144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abSelected="1" topLeftCell="A7" workbookViewId="0">
      <selection activeCell="E8" sqref="E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9" t="s">
        <v>134</v>
      </c>
      <c r="D5" s="317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07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07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18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5"/>
      <c r="C14" s="311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5"/>
      <c r="C15" s="311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6"/>
      <c r="C16" s="311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18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5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5"/>
      <c r="C19" s="313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6"/>
      <c r="C20" s="313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18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5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5"/>
      <c r="C23" s="313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6"/>
      <c r="C24" s="313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18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5"/>
      <c r="C26" s="311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5"/>
      <c r="C27" s="311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6"/>
      <c r="C28" s="311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18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5"/>
      <c r="C30" s="311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5"/>
      <c r="C31" s="311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6"/>
      <c r="C32" s="311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07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07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18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5"/>
      <c r="C41" s="315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5"/>
      <c r="C42" s="315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5"/>
      <c r="C43" s="315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5"/>
      <c r="C44" s="315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5"/>
      <c r="C45" s="315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5"/>
      <c r="C46" s="315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5"/>
      <c r="C47" s="315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5"/>
      <c r="C48" s="315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5"/>
      <c r="C49" s="315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5"/>
      <c r="C50" s="315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5"/>
      <c r="C51" s="315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5"/>
      <c r="C52" s="315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5"/>
      <c r="C53" s="315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6"/>
      <c r="C54" s="316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8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5"/>
      <c r="C56" s="315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5"/>
      <c r="C57" s="315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5"/>
      <c r="C58" s="315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5"/>
      <c r="C59" s="315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5"/>
      <c r="C60" s="315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5"/>
      <c r="C61" s="315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5"/>
      <c r="C62" s="315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5"/>
      <c r="C63" s="315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5"/>
      <c r="C64" s="315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5"/>
      <c r="C65" s="315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5"/>
      <c r="C66" s="315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5"/>
      <c r="C67" s="315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5"/>
      <c r="C68" s="315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5"/>
      <c r="C69" s="315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6"/>
      <c r="C70" s="316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07" t="s">
        <v>52</v>
      </c>
      <c r="D71" s="308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9" t="s">
        <v>10</v>
      </c>
      <c r="D73" s="310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10" workbookViewId="0">
      <selection activeCell="F75" sqref="F75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5" r:id="rId5" name="Button 81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topLeftCell="A88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0" t="s">
        <v>222</v>
      </c>
      <c r="E75" s="160" t="s">
        <v>223</v>
      </c>
      <c r="F75" s="160" t="s">
        <v>224</v>
      </c>
      <c r="G75" s="160" t="s">
        <v>225</v>
      </c>
      <c r="H75" s="160" t="s">
        <v>226</v>
      </c>
    </row>
    <row r="76" spans="1:8" ht="21.95" customHeight="1" x14ac:dyDescent="0.25">
      <c r="C76" s="148" t="s">
        <v>132</v>
      </c>
      <c r="D76" s="149">
        <v>90.45</v>
      </c>
      <c r="E76" s="149">
        <v>86.08</v>
      </c>
      <c r="F76" s="149">
        <v>84.35</v>
      </c>
      <c r="G76" s="149">
        <v>87.74</v>
      </c>
      <c r="H76" s="149">
        <v>90.43</v>
      </c>
    </row>
    <row r="77" spans="1:8" ht="21.95" customHeight="1" x14ac:dyDescent="0.25">
      <c r="C77" s="151" t="s">
        <v>133</v>
      </c>
      <c r="D77" s="149">
        <v>84.9</v>
      </c>
      <c r="E77" s="149">
        <v>80.59</v>
      </c>
      <c r="F77" s="149">
        <v>81</v>
      </c>
      <c r="G77" s="149">
        <v>84.36</v>
      </c>
      <c r="H77" s="149">
        <v>87.34</v>
      </c>
    </row>
    <row r="78" spans="1:8" ht="21.95" customHeight="1" x14ac:dyDescent="0.25">
      <c r="C78" s="152" t="s">
        <v>131</v>
      </c>
      <c r="D78" s="149">
        <v>85.2</v>
      </c>
      <c r="E78" s="149">
        <v>77.400000000000006</v>
      </c>
      <c r="F78" s="149">
        <v>75.959999999999994</v>
      </c>
      <c r="G78" s="149">
        <v>79.81</v>
      </c>
      <c r="H78" s="149">
        <v>83.12</v>
      </c>
    </row>
    <row r="79" spans="1:8" ht="21.95" customHeight="1" x14ac:dyDescent="0.25">
      <c r="C79" s="153" t="s">
        <v>142</v>
      </c>
      <c r="D79" s="149">
        <v>83.54</v>
      </c>
      <c r="E79" s="149">
        <v>81.03</v>
      </c>
      <c r="F79" s="149">
        <v>83.26</v>
      </c>
      <c r="G79" s="149">
        <v>88.56</v>
      </c>
      <c r="H79" s="149">
        <v>91.07</v>
      </c>
    </row>
    <row r="80" spans="1:8" ht="21.95" customHeight="1" x14ac:dyDescent="0.25">
      <c r="C80" s="154" t="s">
        <v>485</v>
      </c>
      <c r="D80" s="150">
        <v>90.58</v>
      </c>
      <c r="E80" s="150">
        <v>85.89</v>
      </c>
      <c r="F80" s="150">
        <v>85.08</v>
      </c>
      <c r="G80" s="150">
        <v>88.42</v>
      </c>
      <c r="H80" s="150">
        <v>90.24</v>
      </c>
    </row>
    <row r="81" spans="1:8" x14ac:dyDescent="0.25">
      <c r="C81" t="s">
        <v>486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 x14ac:dyDescent="0.25">
      <c r="C82" t="s">
        <v>487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 x14ac:dyDescent="0.25">
      <c r="C83" t="s">
        <v>488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 x14ac:dyDescent="0.25">
      <c r="C84" t="s">
        <v>489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x14ac:dyDescent="0.25">
      <c r="C85" t="s">
        <v>130</v>
      </c>
      <c r="D85" s="159" t="s">
        <v>222</v>
      </c>
      <c r="E85" s="159" t="s">
        <v>223</v>
      </c>
      <c r="F85" s="159" t="s">
        <v>224</v>
      </c>
      <c r="G85" s="159" t="s">
        <v>225</v>
      </c>
      <c r="H85" s="159" t="s">
        <v>226</v>
      </c>
    </row>
    <row r="86" spans="1:8" x14ac:dyDescent="0.25">
      <c r="C86" t="s">
        <v>490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 x14ac:dyDescent="0.25">
      <c r="C87" t="s">
        <v>491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0" t="s">
        <v>227</v>
      </c>
      <c r="E166" s="160" t="s">
        <v>228</v>
      </c>
    </row>
    <row r="167" spans="1:5" ht="21.95" customHeight="1" x14ac:dyDescent="0.25">
      <c r="C167" s="148" t="s">
        <v>132</v>
      </c>
      <c r="D167" s="149">
        <v>86.53</v>
      </c>
      <c r="E167" s="149">
        <v>86.24</v>
      </c>
    </row>
    <row r="168" spans="1:5" ht="21.95" customHeight="1" x14ac:dyDescent="0.25">
      <c r="C168" s="151" t="s">
        <v>133</v>
      </c>
      <c r="D168" s="149">
        <v>82.52</v>
      </c>
      <c r="E168" s="149">
        <v>81.34</v>
      </c>
    </row>
    <row r="169" spans="1:5" ht="21.95" customHeight="1" x14ac:dyDescent="0.25">
      <c r="C169" s="152" t="s">
        <v>131</v>
      </c>
      <c r="D169" s="149">
        <v>78.27</v>
      </c>
      <c r="E169" s="149">
        <v>78.02</v>
      </c>
    </row>
    <row r="170" spans="1:5" ht="21.95" customHeight="1" x14ac:dyDescent="0.25">
      <c r="C170" s="153" t="s">
        <v>142</v>
      </c>
      <c r="D170" s="149">
        <v>83.68</v>
      </c>
      <c r="E170" s="149">
        <v>83.52</v>
      </c>
    </row>
    <row r="171" spans="1:5" ht="21.95" customHeight="1" x14ac:dyDescent="0.25">
      <c r="C171" s="154" t="s">
        <v>485</v>
      </c>
      <c r="D171" s="150">
        <v>86.39</v>
      </c>
      <c r="E171" s="150">
        <v>86.83</v>
      </c>
    </row>
    <row r="172" spans="1:5" x14ac:dyDescent="0.25">
      <c r="C172" t="s">
        <v>486</v>
      </c>
      <c r="D172" s="155">
        <v>83.48</v>
      </c>
      <c r="E172" s="155">
        <v>83.12</v>
      </c>
    </row>
    <row r="173" spans="1:5" x14ac:dyDescent="0.25">
      <c r="C173" t="s">
        <v>487</v>
      </c>
      <c r="D173" s="156">
        <v>2476</v>
      </c>
      <c r="E173" s="156">
        <v>2191</v>
      </c>
    </row>
    <row r="174" spans="1:5" x14ac:dyDescent="0.25">
      <c r="C174" t="s">
        <v>488</v>
      </c>
      <c r="D174" s="157">
        <v>79.62</v>
      </c>
      <c r="E174" s="157">
        <v>78.790000000000006</v>
      </c>
    </row>
    <row r="175" spans="1:5" x14ac:dyDescent="0.25">
      <c r="C175" t="s">
        <v>489</v>
      </c>
      <c r="D175" s="158">
        <v>2382</v>
      </c>
      <c r="E175" s="158">
        <v>2218</v>
      </c>
    </row>
    <row r="176" spans="1:5" x14ac:dyDescent="0.25">
      <c r="C176" t="s">
        <v>130</v>
      </c>
      <c r="D176" s="159" t="s">
        <v>227</v>
      </c>
      <c r="E176" s="159" t="s">
        <v>228</v>
      </c>
    </row>
    <row r="177" spans="1:5" x14ac:dyDescent="0.25">
      <c r="C177" t="s">
        <v>490</v>
      </c>
      <c r="D177" s="155">
        <v>82.91</v>
      </c>
      <c r="E177" s="155">
        <v>82.91</v>
      </c>
    </row>
    <row r="178" spans="1:5" x14ac:dyDescent="0.25">
      <c r="C178" t="s">
        <v>491</v>
      </c>
      <c r="D178" s="161">
        <v>85.32</v>
      </c>
      <c r="E178" s="161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0" t="s">
        <v>229</v>
      </c>
      <c r="E257" s="160" t="s">
        <v>230</v>
      </c>
      <c r="F257" s="160" t="s">
        <v>231</v>
      </c>
      <c r="G257" s="160" t="s">
        <v>232</v>
      </c>
      <c r="H257" s="160" t="s">
        <v>233</v>
      </c>
    </row>
    <row r="258" spans="1:8" ht="21.95" customHeight="1" x14ac:dyDescent="0.25">
      <c r="C258" s="148" t="s">
        <v>132</v>
      </c>
      <c r="D258" s="149">
        <v>76.19</v>
      </c>
      <c r="E258" s="149">
        <v>87.14</v>
      </c>
      <c r="F258" s="149">
        <v>86.86</v>
      </c>
      <c r="G258" s="149">
        <v>85.18</v>
      </c>
      <c r="H258" s="149">
        <v>87.05</v>
      </c>
    </row>
    <row r="259" spans="1:8" ht="21.95" customHeight="1" x14ac:dyDescent="0.25">
      <c r="C259" s="151" t="s">
        <v>133</v>
      </c>
      <c r="D259" s="149">
        <v>78.209999999999994</v>
      </c>
      <c r="E259" s="149">
        <v>80.63</v>
      </c>
      <c r="F259" s="149">
        <v>81.92</v>
      </c>
      <c r="G259" s="149">
        <v>81.260000000000005</v>
      </c>
      <c r="H259" s="149">
        <v>85.26</v>
      </c>
    </row>
    <row r="260" spans="1:8" ht="21.95" customHeight="1" x14ac:dyDescent="0.25">
      <c r="C260" s="152" t="s">
        <v>131</v>
      </c>
      <c r="D260" s="149">
        <v>80.489999999999995</v>
      </c>
      <c r="E260" s="149">
        <v>78.47</v>
      </c>
      <c r="F260" s="149">
        <v>78.739999999999995</v>
      </c>
      <c r="G260" s="149">
        <v>76.790000000000006</v>
      </c>
      <c r="H260" s="149">
        <v>79.03</v>
      </c>
    </row>
    <row r="261" spans="1:8" ht="21.95" customHeight="1" x14ac:dyDescent="0.25">
      <c r="C261" s="153" t="s">
        <v>142</v>
      </c>
      <c r="D261" s="149">
        <v>84.38</v>
      </c>
      <c r="E261" s="149">
        <v>84.66</v>
      </c>
      <c r="F261" s="149">
        <v>83.78</v>
      </c>
      <c r="G261" s="149">
        <v>82.02</v>
      </c>
      <c r="H261" s="149">
        <v>86.82</v>
      </c>
    </row>
    <row r="262" spans="1:8" ht="21.95" customHeight="1" x14ac:dyDescent="0.25">
      <c r="C262" s="154" t="s">
        <v>485</v>
      </c>
      <c r="D262" s="150">
        <v>78.33</v>
      </c>
      <c r="E262" s="150">
        <v>85.6</v>
      </c>
      <c r="F262" s="150">
        <v>86.75</v>
      </c>
      <c r="G262" s="150">
        <v>85.69</v>
      </c>
      <c r="H262" s="150">
        <v>89.35</v>
      </c>
    </row>
    <row r="263" spans="1:8" x14ac:dyDescent="0.25">
      <c r="C263" t="s">
        <v>486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 x14ac:dyDescent="0.25">
      <c r="C264" t="s">
        <v>487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 x14ac:dyDescent="0.25">
      <c r="C265" t="s">
        <v>488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 x14ac:dyDescent="0.25">
      <c r="C266" t="s">
        <v>489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22.5" x14ac:dyDescent="0.25">
      <c r="C267" t="s">
        <v>130</v>
      </c>
      <c r="D267" s="159" t="s">
        <v>229</v>
      </c>
      <c r="E267" s="159" t="s">
        <v>230</v>
      </c>
      <c r="F267" s="159" t="s">
        <v>231</v>
      </c>
      <c r="G267" s="159" t="s">
        <v>232</v>
      </c>
      <c r="H267" s="159" t="s">
        <v>233</v>
      </c>
    </row>
    <row r="268" spans="1:8" x14ac:dyDescent="0.25">
      <c r="C268" t="s">
        <v>490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 x14ac:dyDescent="0.25">
      <c r="C269" t="s">
        <v>491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4" t="s">
        <v>234</v>
      </c>
      <c r="E318" s="164" t="s">
        <v>235</v>
      </c>
      <c r="F318" s="164" t="s">
        <v>236</v>
      </c>
      <c r="G318" s="164" t="s">
        <v>237</v>
      </c>
      <c r="H318" s="164" t="s">
        <v>238</v>
      </c>
    </row>
    <row r="319" spans="1:8" ht="21.95" customHeight="1" x14ac:dyDescent="0.25">
      <c r="C319" s="148" t="s">
        <v>132</v>
      </c>
      <c r="D319" s="149">
        <v>93.53</v>
      </c>
      <c r="E319" s="149">
        <v>91.83</v>
      </c>
      <c r="F319" s="149">
        <v>88.97</v>
      </c>
      <c r="G319" s="149">
        <v>83.86</v>
      </c>
      <c r="H319" s="149">
        <v>84.1</v>
      </c>
    </row>
    <row r="320" spans="1:8" ht="21.95" customHeight="1" x14ac:dyDescent="0.25">
      <c r="C320" s="151" t="s">
        <v>133</v>
      </c>
      <c r="D320" s="149">
        <v>93.66</v>
      </c>
      <c r="E320" s="149">
        <v>89.43</v>
      </c>
      <c r="F320" s="149">
        <v>85.92</v>
      </c>
      <c r="G320" s="149">
        <v>81.99</v>
      </c>
      <c r="H320" s="149">
        <v>79.41</v>
      </c>
    </row>
    <row r="321" spans="1:8" ht="21.95" customHeight="1" x14ac:dyDescent="0.25">
      <c r="C321" s="152" t="s">
        <v>131</v>
      </c>
      <c r="D321" s="149">
        <v>87.16</v>
      </c>
      <c r="E321" s="149">
        <v>83.33</v>
      </c>
      <c r="F321" s="149">
        <v>81.790000000000006</v>
      </c>
      <c r="G321" s="149">
        <v>75.37</v>
      </c>
      <c r="H321" s="149">
        <v>74.319999999999993</v>
      </c>
    </row>
    <row r="322" spans="1:8" ht="21.95" customHeight="1" x14ac:dyDescent="0.25">
      <c r="C322" s="153" t="s">
        <v>142</v>
      </c>
      <c r="D322" s="149">
        <v>94.93</v>
      </c>
      <c r="E322" s="149">
        <v>92.27</v>
      </c>
      <c r="F322" s="149">
        <v>89.09</v>
      </c>
      <c r="G322" s="149">
        <v>82.97</v>
      </c>
      <c r="H322" s="149">
        <v>81.58</v>
      </c>
    </row>
    <row r="323" spans="1:8" ht="21.95" customHeight="1" x14ac:dyDescent="0.25">
      <c r="C323" s="154" t="s">
        <v>485</v>
      </c>
      <c r="D323" s="150">
        <v>94.86</v>
      </c>
      <c r="E323" s="150">
        <v>92.88</v>
      </c>
      <c r="F323" s="150">
        <v>90.23</v>
      </c>
      <c r="G323" s="150">
        <v>86.42</v>
      </c>
      <c r="H323" s="150">
        <v>83.34</v>
      </c>
    </row>
    <row r="324" spans="1:8" x14ac:dyDescent="0.25">
      <c r="C324" t="s">
        <v>486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 x14ac:dyDescent="0.25">
      <c r="C325" t="s">
        <v>487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 x14ac:dyDescent="0.25">
      <c r="C326" t="s">
        <v>488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 x14ac:dyDescent="0.25">
      <c r="C327" t="s">
        <v>489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67.5" x14ac:dyDescent="0.25">
      <c r="C328" t="s">
        <v>130</v>
      </c>
      <c r="D328" s="163" t="s">
        <v>234</v>
      </c>
      <c r="E328" s="163" t="s">
        <v>235</v>
      </c>
      <c r="F328" s="163" t="s">
        <v>236</v>
      </c>
      <c r="G328" s="163" t="s">
        <v>237</v>
      </c>
      <c r="H328" s="163" t="s">
        <v>238</v>
      </c>
    </row>
    <row r="329" spans="1:8" x14ac:dyDescent="0.25">
      <c r="C329" t="s">
        <v>490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 x14ac:dyDescent="0.25">
      <c r="C330" t="s">
        <v>491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4" t="s">
        <v>239</v>
      </c>
      <c r="E349" s="164" t="s">
        <v>240</v>
      </c>
      <c r="F349" s="164" t="s">
        <v>241</v>
      </c>
      <c r="G349" s="164" t="s">
        <v>242</v>
      </c>
      <c r="H349" s="164" t="s">
        <v>243</v>
      </c>
    </row>
    <row r="350" spans="1:8" ht="21.95" customHeight="1" x14ac:dyDescent="0.25">
      <c r="C350" s="148" t="s">
        <v>132</v>
      </c>
      <c r="D350" s="149">
        <v>78.73</v>
      </c>
      <c r="E350" s="149">
        <v>86.35</v>
      </c>
      <c r="F350" s="149">
        <v>87.52</v>
      </c>
      <c r="G350" s="149">
        <v>90.4</v>
      </c>
      <c r="H350" s="149">
        <v>79.88</v>
      </c>
    </row>
    <row r="351" spans="1:8" ht="21.95" customHeight="1" x14ac:dyDescent="0.25">
      <c r="C351" s="151" t="s">
        <v>133</v>
      </c>
      <c r="D351" s="149">
        <v>74.709999999999994</v>
      </c>
      <c r="E351" s="149">
        <v>79.209999999999994</v>
      </c>
      <c r="F351" s="149">
        <v>81.94</v>
      </c>
      <c r="G351" s="149">
        <v>82.09</v>
      </c>
      <c r="H351" s="149">
        <v>80.540000000000006</v>
      </c>
    </row>
    <row r="352" spans="1:8" ht="21.95" customHeight="1" x14ac:dyDescent="0.25">
      <c r="C352" s="152" t="s">
        <v>131</v>
      </c>
      <c r="D352" s="149">
        <v>69.97</v>
      </c>
      <c r="E352" s="149">
        <v>77.64</v>
      </c>
      <c r="F352" s="149">
        <v>79.180000000000007</v>
      </c>
      <c r="G352" s="149">
        <v>83.27</v>
      </c>
      <c r="H352" s="149">
        <v>72.260000000000005</v>
      </c>
    </row>
    <row r="353" spans="1:8" ht="21.95" customHeight="1" x14ac:dyDescent="0.25">
      <c r="C353" s="153" t="s">
        <v>142</v>
      </c>
      <c r="D353" s="149">
        <v>76.73</v>
      </c>
      <c r="E353" s="149">
        <v>80.61</v>
      </c>
      <c r="F353" s="149">
        <v>83.49</v>
      </c>
      <c r="G353" s="149">
        <v>80.66</v>
      </c>
      <c r="H353" s="149">
        <v>76.23</v>
      </c>
    </row>
    <row r="354" spans="1:8" ht="21.95" customHeight="1" x14ac:dyDescent="0.25">
      <c r="C354" s="154" t="s">
        <v>485</v>
      </c>
      <c r="D354" s="150">
        <v>79.400000000000006</v>
      </c>
      <c r="E354" s="150">
        <v>84.13</v>
      </c>
      <c r="F354" s="150">
        <v>86.8</v>
      </c>
      <c r="G354" s="150">
        <v>89.26</v>
      </c>
      <c r="H354" s="150">
        <v>80.28</v>
      </c>
    </row>
    <row r="355" spans="1:8" x14ac:dyDescent="0.25">
      <c r="C355" t="s">
        <v>486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 x14ac:dyDescent="0.25">
      <c r="C356" t="s">
        <v>487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 x14ac:dyDescent="0.25">
      <c r="C357" t="s">
        <v>488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148</v>
      </c>
    </row>
    <row r="358" spans="1:8" x14ac:dyDescent="0.25">
      <c r="C358" t="s">
        <v>489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146</v>
      </c>
    </row>
    <row r="359" spans="1:8" ht="56.25" x14ac:dyDescent="0.25">
      <c r="C359" t="s">
        <v>130</v>
      </c>
      <c r="D359" s="163" t="s">
        <v>239</v>
      </c>
      <c r="E359" s="163" t="s">
        <v>240</v>
      </c>
      <c r="F359" s="163" t="s">
        <v>241</v>
      </c>
      <c r="G359" s="163" t="s">
        <v>242</v>
      </c>
      <c r="H359" s="163" t="s">
        <v>243</v>
      </c>
    </row>
    <row r="360" spans="1:8" x14ac:dyDescent="0.25">
      <c r="C360" t="s">
        <v>490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 x14ac:dyDescent="0.25">
      <c r="C361" t="s">
        <v>491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0" t="s">
        <v>244</v>
      </c>
      <c r="E440" s="160" t="s">
        <v>245</v>
      </c>
      <c r="F440" s="160" t="s">
        <v>246</v>
      </c>
      <c r="G440" s="160" t="s">
        <v>247</v>
      </c>
      <c r="H440" s="160" t="s">
        <v>248</v>
      </c>
      <c r="I440" s="160" t="s">
        <v>249</v>
      </c>
    </row>
    <row r="441" spans="1:9" ht="21.95" customHeight="1" x14ac:dyDescent="0.25">
      <c r="C441" s="148" t="s">
        <v>132</v>
      </c>
      <c r="D441" s="149">
        <v>91.75</v>
      </c>
      <c r="E441" s="149">
        <v>87.14</v>
      </c>
      <c r="F441" s="149">
        <v>84.41</v>
      </c>
      <c r="G441" s="149">
        <v>79.94</v>
      </c>
      <c r="H441" s="149">
        <v>87.42</v>
      </c>
      <c r="I441" s="149">
        <v>88.24</v>
      </c>
    </row>
    <row r="442" spans="1:9" ht="21.95" customHeight="1" x14ac:dyDescent="0.25">
      <c r="C442" s="151" t="s">
        <v>133</v>
      </c>
      <c r="D442" s="149">
        <v>87.01</v>
      </c>
      <c r="E442" s="149">
        <v>82.15</v>
      </c>
      <c r="F442" s="149">
        <v>78.97</v>
      </c>
      <c r="G442" s="149">
        <v>76.930000000000007</v>
      </c>
      <c r="H442" s="149">
        <v>83.93</v>
      </c>
      <c r="I442" s="149">
        <v>84.79</v>
      </c>
    </row>
    <row r="443" spans="1:9" ht="21.95" customHeight="1" x14ac:dyDescent="0.25">
      <c r="C443" s="152" t="s">
        <v>131</v>
      </c>
      <c r="D443" s="149">
        <v>87.17</v>
      </c>
      <c r="E443" s="149">
        <v>79.760000000000005</v>
      </c>
      <c r="F443" s="149">
        <v>74.66</v>
      </c>
      <c r="G443" s="149">
        <v>72.42</v>
      </c>
      <c r="H443" s="149">
        <v>77.63</v>
      </c>
      <c r="I443" s="149">
        <v>80.38</v>
      </c>
    </row>
    <row r="444" spans="1:9" ht="21.95" customHeight="1" x14ac:dyDescent="0.25">
      <c r="C444" s="153" t="s">
        <v>142</v>
      </c>
      <c r="D444" s="149">
        <v>86.67</v>
      </c>
      <c r="E444" s="149">
        <v>82.73</v>
      </c>
      <c r="F444" s="149">
        <v>79.88</v>
      </c>
      <c r="G444" s="149">
        <v>80.069999999999993</v>
      </c>
      <c r="H444" s="149">
        <v>86.61</v>
      </c>
      <c r="I444" s="149">
        <v>88.62</v>
      </c>
    </row>
    <row r="445" spans="1:9" ht="21.95" customHeight="1" x14ac:dyDescent="0.25">
      <c r="C445" s="154" t="s">
        <v>485</v>
      </c>
      <c r="D445" s="150">
        <v>91.77</v>
      </c>
      <c r="E445" s="150">
        <v>87.67</v>
      </c>
      <c r="F445" s="150">
        <v>83.75</v>
      </c>
      <c r="G445" s="150">
        <v>81.36</v>
      </c>
      <c r="H445" s="150">
        <v>88.32</v>
      </c>
      <c r="I445" s="150">
        <v>88.26</v>
      </c>
    </row>
    <row r="446" spans="1:9" x14ac:dyDescent="0.25">
      <c r="C446" t="s">
        <v>486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 x14ac:dyDescent="0.25">
      <c r="C447" t="s">
        <v>487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 x14ac:dyDescent="0.25">
      <c r="C448" t="s">
        <v>488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 x14ac:dyDescent="0.25">
      <c r="C449" t="s">
        <v>489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x14ac:dyDescent="0.25">
      <c r="C450" t="s">
        <v>130</v>
      </c>
      <c r="D450" s="159" t="s">
        <v>244</v>
      </c>
      <c r="E450" s="159" t="s">
        <v>245</v>
      </c>
      <c r="F450" s="159" t="s">
        <v>246</v>
      </c>
      <c r="G450" s="159" t="s">
        <v>247</v>
      </c>
      <c r="H450" s="159" t="s">
        <v>248</v>
      </c>
      <c r="I450" s="159" t="s">
        <v>249</v>
      </c>
    </row>
    <row r="451" spans="1:9" x14ac:dyDescent="0.25">
      <c r="C451" t="s">
        <v>490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 x14ac:dyDescent="0.25">
      <c r="C452" t="s">
        <v>491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0" t="s">
        <v>250</v>
      </c>
      <c r="E501" s="160" t="s">
        <v>251</v>
      </c>
      <c r="F501" s="160" t="s">
        <v>252</v>
      </c>
      <c r="G501" s="160" t="s">
        <v>253</v>
      </c>
      <c r="H501" s="160" t="s">
        <v>254</v>
      </c>
      <c r="I501" s="160" t="s">
        <v>255</v>
      </c>
      <c r="J501" s="160" t="s">
        <v>256</v>
      </c>
    </row>
    <row r="502" spans="1:10" ht="21.95" customHeight="1" x14ac:dyDescent="0.25">
      <c r="C502" s="148" t="s">
        <v>132</v>
      </c>
      <c r="D502" s="149">
        <v>70.28</v>
      </c>
      <c r="E502" s="149">
        <v>93.52</v>
      </c>
      <c r="F502" s="149">
        <v>81.7</v>
      </c>
      <c r="G502" s="149">
        <v>85.8</v>
      </c>
      <c r="H502" s="149">
        <v>86.78</v>
      </c>
      <c r="I502" s="149">
        <v>83.81</v>
      </c>
      <c r="J502" s="149">
        <v>96.24</v>
      </c>
    </row>
    <row r="503" spans="1:10" ht="21.95" customHeight="1" x14ac:dyDescent="0.25">
      <c r="C503" s="151" t="s">
        <v>133</v>
      </c>
      <c r="D503" s="149">
        <v>62.23</v>
      </c>
      <c r="E503" s="149">
        <v>94.29</v>
      </c>
      <c r="F503" s="149">
        <v>80.44</v>
      </c>
      <c r="G503" s="149">
        <v>83.68</v>
      </c>
      <c r="H503" s="149">
        <v>81.459999999999994</v>
      </c>
      <c r="I503" s="149">
        <v>84.28</v>
      </c>
      <c r="J503" s="149">
        <v>91.48</v>
      </c>
    </row>
    <row r="504" spans="1:10" ht="21.95" customHeight="1" x14ac:dyDescent="0.25">
      <c r="C504" s="152" t="s">
        <v>131</v>
      </c>
      <c r="D504" s="149">
        <v>67.959999999999994</v>
      </c>
      <c r="E504" s="149">
        <v>91.07</v>
      </c>
      <c r="F504" s="149">
        <v>74.040000000000006</v>
      </c>
      <c r="G504" s="149">
        <v>74.45</v>
      </c>
      <c r="H504" s="149">
        <v>78.72</v>
      </c>
      <c r="I504" s="149">
        <v>76.58</v>
      </c>
      <c r="J504" s="149">
        <v>81.349999999999994</v>
      </c>
    </row>
    <row r="505" spans="1:10" ht="21.95" customHeight="1" x14ac:dyDescent="0.25">
      <c r="C505" s="153" t="s">
        <v>142</v>
      </c>
      <c r="D505" s="149">
        <v>72.989999999999995</v>
      </c>
      <c r="E505" s="149">
        <v>99.04</v>
      </c>
      <c r="F505" s="149">
        <v>80</v>
      </c>
      <c r="G505" s="149">
        <v>84.75</v>
      </c>
      <c r="H505" s="149">
        <v>83.95</v>
      </c>
      <c r="I505" s="149">
        <v>89.61</v>
      </c>
      <c r="J505" s="149">
        <v>93.45</v>
      </c>
    </row>
    <row r="506" spans="1:10" ht="21.95" customHeight="1" x14ac:dyDescent="0.25">
      <c r="C506" s="154" t="s">
        <v>485</v>
      </c>
      <c r="D506" s="150">
        <v>60.71</v>
      </c>
      <c r="E506" s="150">
        <v>98.57</v>
      </c>
      <c r="F506" s="150">
        <v>79.77</v>
      </c>
      <c r="G506" s="150">
        <v>87.66</v>
      </c>
      <c r="H506" s="150">
        <v>86.3</v>
      </c>
      <c r="I506" s="150">
        <v>90.11</v>
      </c>
      <c r="J506" s="150">
        <v>93.76</v>
      </c>
    </row>
    <row r="507" spans="1:10" x14ac:dyDescent="0.25">
      <c r="C507" t="s">
        <v>486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 x14ac:dyDescent="0.25">
      <c r="C508" t="s">
        <v>487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 x14ac:dyDescent="0.25">
      <c r="C509" t="s">
        <v>488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148</v>
      </c>
    </row>
    <row r="510" spans="1:10" x14ac:dyDescent="0.25">
      <c r="C510" t="s">
        <v>489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146</v>
      </c>
    </row>
    <row r="511" spans="1:10" ht="22.5" x14ac:dyDescent="0.25">
      <c r="C511" t="s">
        <v>130</v>
      </c>
      <c r="D511" s="159" t="s">
        <v>250</v>
      </c>
      <c r="E511" s="159" t="s">
        <v>251</v>
      </c>
      <c r="F511" s="159" t="s">
        <v>252</v>
      </c>
      <c r="G511" s="159" t="s">
        <v>253</v>
      </c>
      <c r="H511" s="159" t="s">
        <v>254</v>
      </c>
      <c r="I511" s="159" t="s">
        <v>255</v>
      </c>
      <c r="J511" s="159" t="s">
        <v>256</v>
      </c>
    </row>
    <row r="512" spans="1:10" x14ac:dyDescent="0.25">
      <c r="C512" t="s">
        <v>490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 x14ac:dyDescent="0.25">
      <c r="C513" t="s">
        <v>491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0" t="s">
        <v>257</v>
      </c>
      <c r="E532" s="160" t="s">
        <v>258</v>
      </c>
      <c r="F532" s="160" t="s">
        <v>259</v>
      </c>
      <c r="G532" s="160" t="s">
        <v>260</v>
      </c>
      <c r="H532" s="160" t="s">
        <v>261</v>
      </c>
      <c r="I532" s="160" t="s">
        <v>262</v>
      </c>
      <c r="J532" s="160" t="s">
        <v>263</v>
      </c>
    </row>
    <row r="533" spans="1:10" ht="21.95" customHeight="1" x14ac:dyDescent="0.25">
      <c r="C533" s="148" t="s">
        <v>132</v>
      </c>
      <c r="D533" s="149">
        <v>90.49</v>
      </c>
      <c r="E533" s="149">
        <v>78.42</v>
      </c>
      <c r="F533" s="149">
        <v>89.17</v>
      </c>
      <c r="G533" s="149">
        <v>84.63</v>
      </c>
      <c r="H533" s="149">
        <v>81.78</v>
      </c>
      <c r="I533" s="149" t="s">
        <v>148</v>
      </c>
      <c r="J533" s="149">
        <v>97.14</v>
      </c>
    </row>
    <row r="534" spans="1:10" ht="21.95" customHeight="1" x14ac:dyDescent="0.25">
      <c r="C534" s="151" t="s">
        <v>133</v>
      </c>
      <c r="D534" s="149">
        <v>90.16</v>
      </c>
      <c r="E534" s="149">
        <v>79.81</v>
      </c>
      <c r="F534" s="149">
        <v>87.3</v>
      </c>
      <c r="G534" s="149">
        <v>79.87</v>
      </c>
      <c r="H534" s="149">
        <v>83.85</v>
      </c>
      <c r="I534" s="149" t="s">
        <v>148</v>
      </c>
      <c r="J534" s="149">
        <v>95.38</v>
      </c>
    </row>
    <row r="535" spans="1:10" ht="21.95" customHeight="1" x14ac:dyDescent="0.25">
      <c r="C535" s="152" t="s">
        <v>131</v>
      </c>
      <c r="D535" s="149">
        <v>80.63</v>
      </c>
      <c r="E535" s="149">
        <v>70.56</v>
      </c>
      <c r="F535" s="149">
        <v>81.760000000000005</v>
      </c>
      <c r="G535" s="149">
        <v>76.849999999999994</v>
      </c>
      <c r="H535" s="149">
        <v>73.540000000000006</v>
      </c>
      <c r="I535" s="149" t="s">
        <v>148</v>
      </c>
      <c r="J535" s="149">
        <v>85</v>
      </c>
    </row>
    <row r="536" spans="1:10" ht="21.95" customHeight="1" x14ac:dyDescent="0.25">
      <c r="C536" s="153" t="s">
        <v>142</v>
      </c>
      <c r="D536" s="149">
        <v>88.73</v>
      </c>
      <c r="E536" s="149">
        <v>76.319999999999993</v>
      </c>
      <c r="F536" s="149">
        <v>90.11</v>
      </c>
      <c r="G536" s="149">
        <v>80.97</v>
      </c>
      <c r="H536" s="149">
        <v>81.84</v>
      </c>
      <c r="I536" s="149" t="s">
        <v>148</v>
      </c>
      <c r="J536" s="149">
        <v>96.25</v>
      </c>
    </row>
    <row r="537" spans="1:10" ht="21.95" customHeight="1" x14ac:dyDescent="0.25">
      <c r="C537" s="154" t="s">
        <v>485</v>
      </c>
      <c r="D537" s="150">
        <v>92.57</v>
      </c>
      <c r="E537" s="150">
        <v>79.37</v>
      </c>
      <c r="F537" s="150">
        <v>91.39</v>
      </c>
      <c r="G537" s="150">
        <v>85.14</v>
      </c>
      <c r="H537" s="150">
        <v>86.85</v>
      </c>
      <c r="I537" s="150" t="s">
        <v>148</v>
      </c>
      <c r="J537" s="150">
        <v>91</v>
      </c>
    </row>
    <row r="538" spans="1:10" x14ac:dyDescent="0.25">
      <c r="C538" t="s">
        <v>486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148</v>
      </c>
      <c r="J538" s="155">
        <v>93.1</v>
      </c>
    </row>
    <row r="539" spans="1:10" x14ac:dyDescent="0.25">
      <c r="C539" t="s">
        <v>487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 x14ac:dyDescent="0.25">
      <c r="C540" t="s">
        <v>488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148</v>
      </c>
      <c r="J540" s="157">
        <v>91.82</v>
      </c>
    </row>
    <row r="541" spans="1:10" x14ac:dyDescent="0.25">
      <c r="C541" t="s">
        <v>489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22.5" x14ac:dyDescent="0.25">
      <c r="C542" t="s">
        <v>130</v>
      </c>
      <c r="D542" s="159" t="s">
        <v>257</v>
      </c>
      <c r="E542" s="159" t="s">
        <v>258</v>
      </c>
      <c r="F542" s="159" t="s">
        <v>259</v>
      </c>
      <c r="G542" s="159" t="s">
        <v>260</v>
      </c>
      <c r="H542" s="159" t="s">
        <v>261</v>
      </c>
      <c r="I542" s="159" t="s">
        <v>262</v>
      </c>
      <c r="J542" s="159" t="s">
        <v>263</v>
      </c>
    </row>
    <row r="543" spans="1:10" x14ac:dyDescent="0.25">
      <c r="C543" t="s">
        <v>490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 x14ac:dyDescent="0.25">
      <c r="C544" t="s">
        <v>491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148</v>
      </c>
      <c r="J544" s="161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0" t="s">
        <v>264</v>
      </c>
      <c r="E623" s="160" t="s">
        <v>265</v>
      </c>
      <c r="F623" s="160" t="s">
        <v>266</v>
      </c>
      <c r="G623" s="160" t="s">
        <v>267</v>
      </c>
    </row>
    <row r="624" spans="1:7" ht="21.95" customHeight="1" x14ac:dyDescent="0.25">
      <c r="C624" s="148" t="s">
        <v>132</v>
      </c>
      <c r="D624" s="149">
        <v>92.06</v>
      </c>
      <c r="E624" s="149">
        <v>82.99</v>
      </c>
      <c r="F624" s="149">
        <v>73.010000000000005</v>
      </c>
      <c r="G624" s="149">
        <v>58.22</v>
      </c>
    </row>
    <row r="625" spans="1:7" ht="21.95" customHeight="1" x14ac:dyDescent="0.25">
      <c r="C625" s="151" t="s">
        <v>133</v>
      </c>
      <c r="D625" s="149">
        <v>87.65</v>
      </c>
      <c r="E625" s="149">
        <v>78.34</v>
      </c>
      <c r="F625" s="149">
        <v>69.09</v>
      </c>
      <c r="G625" s="149">
        <v>54.71</v>
      </c>
    </row>
    <row r="626" spans="1:7" ht="21.95" customHeight="1" x14ac:dyDescent="0.25">
      <c r="C626" s="152" t="s">
        <v>131</v>
      </c>
      <c r="D626" s="149">
        <v>83.2</v>
      </c>
      <c r="E626" s="149">
        <v>74.31</v>
      </c>
      <c r="F626" s="149">
        <v>66.7</v>
      </c>
      <c r="G626" s="149">
        <v>56.94</v>
      </c>
    </row>
    <row r="627" spans="1:7" ht="21.95" customHeight="1" x14ac:dyDescent="0.25">
      <c r="C627" s="153" t="s">
        <v>142</v>
      </c>
      <c r="D627" s="149">
        <v>87.6</v>
      </c>
      <c r="E627" s="149">
        <v>81.8</v>
      </c>
      <c r="F627" s="149">
        <v>71.7</v>
      </c>
      <c r="G627" s="149">
        <v>66.19</v>
      </c>
    </row>
    <row r="628" spans="1:7" ht="21.95" customHeight="1" x14ac:dyDescent="0.25">
      <c r="C628" s="154" t="s">
        <v>485</v>
      </c>
      <c r="D628" s="150">
        <v>90.98</v>
      </c>
      <c r="E628" s="150">
        <v>84.03</v>
      </c>
      <c r="F628" s="150">
        <v>75.88</v>
      </c>
      <c r="G628" s="150">
        <v>65.92</v>
      </c>
    </row>
    <row r="629" spans="1:7" x14ac:dyDescent="0.25">
      <c r="C629" t="s">
        <v>486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 x14ac:dyDescent="0.25">
      <c r="C630" t="s">
        <v>487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 x14ac:dyDescent="0.25">
      <c r="C631" t="s">
        <v>488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 x14ac:dyDescent="0.25">
      <c r="C632" t="s">
        <v>489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 x14ac:dyDescent="0.25">
      <c r="C633" t="s">
        <v>130</v>
      </c>
      <c r="D633" s="159" t="s">
        <v>264</v>
      </c>
      <c r="E633" s="159" t="s">
        <v>265</v>
      </c>
      <c r="F633" s="159" t="s">
        <v>266</v>
      </c>
      <c r="G633" s="159" t="s">
        <v>267</v>
      </c>
    </row>
    <row r="634" spans="1:7" x14ac:dyDescent="0.25">
      <c r="C634" t="s">
        <v>490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 x14ac:dyDescent="0.25">
      <c r="C635" t="s">
        <v>491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0" t="s">
        <v>268</v>
      </c>
      <c r="E714" s="160" t="s">
        <v>269</v>
      </c>
      <c r="F714" s="160" t="s">
        <v>270</v>
      </c>
      <c r="G714" s="160" t="s">
        <v>271</v>
      </c>
      <c r="H714" s="160" t="s">
        <v>272</v>
      </c>
    </row>
    <row r="715" spans="1:8" ht="21.95" customHeight="1" x14ac:dyDescent="0.25">
      <c r="C715" s="148" t="s">
        <v>132</v>
      </c>
      <c r="D715" s="149">
        <v>88.46</v>
      </c>
      <c r="E715" s="149">
        <v>81.81</v>
      </c>
      <c r="F715" s="149">
        <v>69.47</v>
      </c>
      <c r="G715" s="149">
        <v>90.75</v>
      </c>
      <c r="H715" s="149">
        <v>71.900000000000006</v>
      </c>
    </row>
    <row r="716" spans="1:8" ht="21.95" customHeight="1" x14ac:dyDescent="0.25">
      <c r="C716" s="151" t="s">
        <v>133</v>
      </c>
      <c r="D716" s="149">
        <v>84.45</v>
      </c>
      <c r="E716" s="149">
        <v>75.67</v>
      </c>
      <c r="F716" s="149">
        <v>62.34</v>
      </c>
      <c r="G716" s="149">
        <v>87.24</v>
      </c>
      <c r="H716" s="149">
        <v>66.099999999999994</v>
      </c>
    </row>
    <row r="717" spans="1:8" ht="21.95" customHeight="1" x14ac:dyDescent="0.25">
      <c r="C717" s="152" t="s">
        <v>131</v>
      </c>
      <c r="D717" s="149">
        <v>79.25</v>
      </c>
      <c r="E717" s="149">
        <v>73.47</v>
      </c>
      <c r="F717" s="149">
        <v>59.43</v>
      </c>
      <c r="G717" s="149">
        <v>82.97</v>
      </c>
      <c r="H717" s="149">
        <v>62.41</v>
      </c>
    </row>
    <row r="718" spans="1:8" ht="21.95" customHeight="1" x14ac:dyDescent="0.25">
      <c r="C718" s="153" t="s">
        <v>142</v>
      </c>
      <c r="D718" s="149">
        <v>84.85</v>
      </c>
      <c r="E718" s="149">
        <v>75.930000000000007</v>
      </c>
      <c r="F718" s="149">
        <v>67.13</v>
      </c>
      <c r="G718" s="149">
        <v>89.76</v>
      </c>
      <c r="H718" s="149">
        <v>66.989999999999995</v>
      </c>
    </row>
    <row r="719" spans="1:8" ht="21.95" customHeight="1" x14ac:dyDescent="0.25">
      <c r="C719" s="154" t="s">
        <v>485</v>
      </c>
      <c r="D719" s="150">
        <v>88.44</v>
      </c>
      <c r="E719" s="150">
        <v>81.05</v>
      </c>
      <c r="F719" s="150">
        <v>68.94</v>
      </c>
      <c r="G719" s="150">
        <v>91.63</v>
      </c>
      <c r="H719" s="150">
        <v>70.739999999999995</v>
      </c>
    </row>
    <row r="720" spans="1:8" x14ac:dyDescent="0.25">
      <c r="C720" t="s">
        <v>486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 x14ac:dyDescent="0.25">
      <c r="C721" t="s">
        <v>487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 x14ac:dyDescent="0.25">
      <c r="C722" t="s">
        <v>488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 x14ac:dyDescent="0.25">
      <c r="C723" t="s">
        <v>489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33.75" x14ac:dyDescent="0.25">
      <c r="C724" t="s">
        <v>130</v>
      </c>
      <c r="D724" s="159" t="s">
        <v>268</v>
      </c>
      <c r="E724" s="159" t="s">
        <v>269</v>
      </c>
      <c r="F724" s="159" t="s">
        <v>270</v>
      </c>
      <c r="G724" s="159" t="s">
        <v>271</v>
      </c>
      <c r="H724" s="159" t="s">
        <v>272</v>
      </c>
    </row>
    <row r="725" spans="1:8" x14ac:dyDescent="0.25">
      <c r="C725" t="s">
        <v>490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 x14ac:dyDescent="0.25">
      <c r="C726" t="s">
        <v>491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0" t="s">
        <v>273</v>
      </c>
      <c r="E805" s="160" t="s">
        <v>265</v>
      </c>
      <c r="F805" s="160" t="s">
        <v>266</v>
      </c>
      <c r="G805" s="160" t="s">
        <v>267</v>
      </c>
    </row>
    <row r="806" spans="1:7" ht="21.95" customHeight="1" x14ac:dyDescent="0.25">
      <c r="C806" s="148" t="s">
        <v>132</v>
      </c>
      <c r="D806" s="149">
        <v>93.66</v>
      </c>
      <c r="E806" s="149">
        <v>88.03</v>
      </c>
      <c r="F806" s="149">
        <v>82.62</v>
      </c>
      <c r="G806" s="149">
        <v>65.010000000000005</v>
      </c>
    </row>
    <row r="807" spans="1:7" ht="21.95" customHeight="1" x14ac:dyDescent="0.25">
      <c r="C807" s="151" t="s">
        <v>133</v>
      </c>
      <c r="D807" s="149">
        <v>89.83</v>
      </c>
      <c r="E807" s="149">
        <v>83.54</v>
      </c>
      <c r="F807" s="149">
        <v>77.73</v>
      </c>
      <c r="G807" s="149">
        <v>61.02</v>
      </c>
    </row>
    <row r="808" spans="1:7" ht="21.95" customHeight="1" x14ac:dyDescent="0.25">
      <c r="C808" s="152" t="s">
        <v>131</v>
      </c>
      <c r="D808" s="149">
        <v>85.29</v>
      </c>
      <c r="E808" s="149">
        <v>79.36</v>
      </c>
      <c r="F808" s="149">
        <v>73.209999999999994</v>
      </c>
      <c r="G808" s="149">
        <v>61.49</v>
      </c>
    </row>
    <row r="809" spans="1:7" ht="21.95" customHeight="1" x14ac:dyDescent="0.25">
      <c r="C809" s="153" t="s">
        <v>142</v>
      </c>
      <c r="D809" s="149">
        <v>89.45</v>
      </c>
      <c r="E809" s="149">
        <v>84.49</v>
      </c>
      <c r="F809" s="149">
        <v>80.319999999999993</v>
      </c>
      <c r="G809" s="149">
        <v>67.36</v>
      </c>
    </row>
    <row r="810" spans="1:7" ht="21.95" customHeight="1" x14ac:dyDescent="0.25">
      <c r="C810" s="154" t="s">
        <v>485</v>
      </c>
      <c r="D810" s="150">
        <v>93.27</v>
      </c>
      <c r="E810" s="150">
        <v>88.22</v>
      </c>
      <c r="F810" s="150">
        <v>84</v>
      </c>
      <c r="G810" s="150">
        <v>70.72</v>
      </c>
    </row>
    <row r="811" spans="1:7" x14ac:dyDescent="0.25">
      <c r="C811" t="s">
        <v>486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 x14ac:dyDescent="0.25">
      <c r="C812" t="s">
        <v>487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 x14ac:dyDescent="0.25">
      <c r="C813" t="s">
        <v>488</v>
      </c>
      <c r="D813" s="157" t="s">
        <v>148</v>
      </c>
      <c r="E813" s="157" t="s">
        <v>148</v>
      </c>
      <c r="F813" s="157" t="s">
        <v>148</v>
      </c>
      <c r="G813" s="157" t="s">
        <v>148</v>
      </c>
    </row>
    <row r="814" spans="1:7" x14ac:dyDescent="0.25">
      <c r="C814" t="s">
        <v>489</v>
      </c>
      <c r="D814" s="158" t="s">
        <v>146</v>
      </c>
      <c r="E814" s="158" t="s">
        <v>146</v>
      </c>
      <c r="F814" s="158" t="s">
        <v>146</v>
      </c>
      <c r="G814" s="158" t="s">
        <v>146</v>
      </c>
    </row>
    <row r="815" spans="1:7" x14ac:dyDescent="0.25">
      <c r="C815" t="s">
        <v>130</v>
      </c>
      <c r="D815" s="159" t="s">
        <v>273</v>
      </c>
      <c r="E815" s="159" t="s">
        <v>265</v>
      </c>
      <c r="F815" s="159" t="s">
        <v>266</v>
      </c>
      <c r="G815" s="159" t="s">
        <v>267</v>
      </c>
    </row>
    <row r="816" spans="1:7" x14ac:dyDescent="0.25">
      <c r="C816" t="s">
        <v>490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 x14ac:dyDescent="0.25">
      <c r="C817" t="s">
        <v>491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5"/>
  <sheetViews>
    <sheetView showGridLines="0" topLeftCell="A220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05" t="s">
        <v>286</v>
      </c>
      <c r="AB267" s="205"/>
      <c r="AC267" s="166" t="s">
        <v>290</v>
      </c>
      <c r="AD267" s="166" t="s">
        <v>291</v>
      </c>
      <c r="AE267" s="166">
        <v>2016</v>
      </c>
      <c r="AF267" s="166">
        <v>2016</v>
      </c>
      <c r="AG267" s="166" t="s">
        <v>287</v>
      </c>
    </row>
    <row r="268" spans="1:33" ht="27" customHeight="1" x14ac:dyDescent="0.25">
      <c r="AA268" s="227" t="s">
        <v>11</v>
      </c>
      <c r="AB268" s="206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17"/>
      <c r="AB269" s="207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17"/>
      <c r="AB270" s="268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228"/>
      <c r="AB271" s="207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16" t="s">
        <v>12</v>
      </c>
      <c r="AB272" s="268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17"/>
      <c r="AB273" s="269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17"/>
      <c r="AB274" s="207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17"/>
      <c r="AB275" s="268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17"/>
      <c r="AB276" s="207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228"/>
      <c r="AB277" s="167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16" t="s">
        <v>13</v>
      </c>
      <c r="AB278" s="268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17"/>
      <c r="AB279" s="269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17"/>
      <c r="AB280" s="207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18"/>
      <c r="AB281" s="167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05" t="s">
        <v>286</v>
      </c>
      <c r="AB293" s="205"/>
      <c r="AC293" s="166" t="s">
        <v>290</v>
      </c>
      <c r="AD293" s="166" t="s">
        <v>291</v>
      </c>
      <c r="AE293" s="166">
        <v>2016</v>
      </c>
      <c r="AF293" s="166">
        <v>2016</v>
      </c>
      <c r="AG293" s="166" t="s">
        <v>287</v>
      </c>
    </row>
    <row r="294" spans="1:33" ht="27" customHeight="1" x14ac:dyDescent="0.25">
      <c r="AA294" s="213" t="s">
        <v>14</v>
      </c>
      <c r="AB294" s="270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14"/>
      <c r="AB295" s="243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14"/>
      <c r="AB296" s="242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15"/>
      <c r="AB297" s="243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41" t="s">
        <v>15</v>
      </c>
      <c r="AB298" s="242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15"/>
      <c r="AB299" s="243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41" t="s">
        <v>16</v>
      </c>
      <c r="AB300" s="242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14"/>
      <c r="AB301" s="271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14"/>
      <c r="AB302" s="243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14"/>
      <c r="AB303" s="242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14"/>
      <c r="AB304" s="271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14"/>
      <c r="AB305" s="271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46"/>
      <c r="AB306" s="272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05" t="s">
        <v>286</v>
      </c>
      <c r="AB320" s="205"/>
      <c r="AC320" s="166" t="s">
        <v>290</v>
      </c>
      <c r="AD320" s="166" t="s">
        <v>291</v>
      </c>
      <c r="AE320" s="166">
        <v>2016</v>
      </c>
      <c r="AF320" s="166">
        <v>2016</v>
      </c>
      <c r="AG320" s="166" t="s">
        <v>287</v>
      </c>
    </row>
    <row r="321" spans="27:33" ht="27" customHeight="1" x14ac:dyDescent="0.25">
      <c r="AA321" s="244" t="s">
        <v>17</v>
      </c>
      <c r="AB321" s="247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39"/>
      <c r="AB322" s="248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39"/>
      <c r="AB323" s="249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45"/>
      <c r="AB324" s="248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50" t="s">
        <v>18</v>
      </c>
      <c r="AB325" s="251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50"/>
      <c r="AB326" s="251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52"/>
      <c r="AB327" s="253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38" t="s">
        <v>19</v>
      </c>
      <c r="AB328" s="254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39"/>
      <c r="AB329" s="255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39"/>
      <c r="AB330" s="255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39"/>
      <c r="AB331" s="248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40"/>
      <c r="AB332" s="168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05" t="s">
        <v>286</v>
      </c>
      <c r="AB347" s="205"/>
      <c r="AC347" s="166" t="s">
        <v>290</v>
      </c>
      <c r="AD347" s="166" t="s">
        <v>291</v>
      </c>
      <c r="AE347" s="166">
        <v>2016</v>
      </c>
      <c r="AF347" s="166">
        <v>2016</v>
      </c>
      <c r="AG347" s="166" t="s">
        <v>287</v>
      </c>
    </row>
    <row r="348" spans="1:33" ht="27" customHeight="1" x14ac:dyDescent="0.25">
      <c r="AA348" s="256" t="s">
        <v>20</v>
      </c>
      <c r="AB348" s="257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58"/>
      <c r="AB349" s="259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73" t="s">
        <v>21</v>
      </c>
      <c r="AB350" s="274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58"/>
      <c r="AB351" s="259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73" t="s">
        <v>22</v>
      </c>
      <c r="AB352" s="274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75"/>
      <c r="AB353" s="27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75"/>
      <c r="AB354" s="27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77"/>
      <c r="AB355" s="27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05" t="s">
        <v>286</v>
      </c>
      <c r="AB373" s="205"/>
      <c r="AC373" s="166" t="s">
        <v>290</v>
      </c>
      <c r="AD373" s="166" t="s">
        <v>291</v>
      </c>
      <c r="AE373" s="166">
        <v>2016</v>
      </c>
      <c r="AF373" s="166">
        <v>2016</v>
      </c>
      <c r="AG373" s="166" t="s">
        <v>287</v>
      </c>
    </row>
    <row r="374" spans="1:33" ht="27" customHeight="1" x14ac:dyDescent="0.25">
      <c r="AA374" s="279" t="s">
        <v>23</v>
      </c>
      <c r="AB374" s="280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81"/>
      <c r="AB375" s="282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83"/>
      <c r="AB376" s="284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3" t="s">
        <v>24</v>
      </c>
      <c r="AB377" s="285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4"/>
      <c r="AB378" s="286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4"/>
      <c r="AB379" s="287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5"/>
      <c r="AB380" s="286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81" t="s">
        <v>25</v>
      </c>
      <c r="AB381" s="282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81"/>
      <c r="AB382" s="282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83"/>
      <c r="AB383" s="284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54" t="s">
        <v>130</v>
      </c>
      <c r="S400" s="354"/>
      <c r="T400" s="169" t="s">
        <v>286</v>
      </c>
      <c r="U400" s="170">
        <v>2016</v>
      </c>
      <c r="V400" s="170">
        <v>2016</v>
      </c>
      <c r="W400" s="170" t="s">
        <v>287</v>
      </c>
      <c r="X400" s="170" t="s">
        <v>288</v>
      </c>
      <c r="Y400" s="170" t="s">
        <v>289</v>
      </c>
      <c r="Z400" s="137"/>
    </row>
    <row r="401" spans="1:26" ht="24.95" customHeight="1" x14ac:dyDescent="0.25">
      <c r="A401" t="s">
        <v>75</v>
      </c>
      <c r="R401" s="351" t="s">
        <v>33</v>
      </c>
      <c r="S401" s="348">
        <v>86</v>
      </c>
      <c r="T401" s="171" t="s">
        <v>11</v>
      </c>
      <c r="U401" s="93">
        <v>86.53</v>
      </c>
      <c r="V401" s="93">
        <v>84.8</v>
      </c>
      <c r="W401" s="93">
        <v>77.650000000000006</v>
      </c>
      <c r="X401" s="93">
        <v>1.73</v>
      </c>
      <c r="Y401" s="93">
        <v>8.8800000000000008</v>
      </c>
      <c r="Z401" s="138"/>
    </row>
    <row r="402" spans="1:26" ht="24.95" customHeight="1" x14ac:dyDescent="0.25">
      <c r="R402" s="352"/>
      <c r="S402" s="349"/>
      <c r="T402" s="172" t="s">
        <v>12</v>
      </c>
      <c r="U402" s="94">
        <v>85.75</v>
      </c>
      <c r="V402" s="94">
        <v>87.99</v>
      </c>
      <c r="W402" s="94">
        <v>79.209999999999994</v>
      </c>
      <c r="X402" s="94">
        <v>-2.2400000000000002</v>
      </c>
      <c r="Y402" s="94">
        <v>6.54</v>
      </c>
      <c r="Z402" s="138"/>
    </row>
    <row r="403" spans="1:26" ht="24.95" customHeight="1" thickBot="1" x14ac:dyDescent="0.3">
      <c r="R403" s="353"/>
      <c r="S403" s="350"/>
      <c r="T403" s="173" t="s">
        <v>13</v>
      </c>
      <c r="U403" s="101">
        <v>85.61</v>
      </c>
      <c r="V403" s="101">
        <v>90.77</v>
      </c>
      <c r="W403" s="101">
        <v>79.099999999999994</v>
      </c>
      <c r="X403" s="101">
        <v>-5.16</v>
      </c>
      <c r="Y403" s="101">
        <v>6.51</v>
      </c>
      <c r="Z403" s="138"/>
    </row>
    <row r="404" spans="1:26" ht="24.95" customHeight="1" x14ac:dyDescent="0.25">
      <c r="R404" s="333" t="s">
        <v>37</v>
      </c>
      <c r="S404" s="330">
        <v>82</v>
      </c>
      <c r="T404" s="96" t="s">
        <v>14</v>
      </c>
      <c r="U404" s="89">
        <v>82.03</v>
      </c>
      <c r="V404" s="89">
        <v>90.97</v>
      </c>
      <c r="W404" s="89">
        <v>76.66</v>
      </c>
      <c r="X404" s="89">
        <v>-8.94</v>
      </c>
      <c r="Y404" s="89">
        <v>5.37</v>
      </c>
      <c r="Z404" s="138"/>
    </row>
    <row r="405" spans="1:26" ht="24.95" customHeight="1" x14ac:dyDescent="0.25">
      <c r="R405" s="334"/>
      <c r="S405" s="331"/>
      <c r="T405" s="97" t="s">
        <v>15</v>
      </c>
      <c r="U405" s="90">
        <v>81.34</v>
      </c>
      <c r="V405" s="90">
        <v>83.97</v>
      </c>
      <c r="W405" s="90">
        <v>73.13</v>
      </c>
      <c r="X405" s="90">
        <v>-2.63</v>
      </c>
      <c r="Y405" s="90">
        <v>8.2100000000000009</v>
      </c>
      <c r="Z405" s="138"/>
    </row>
    <row r="406" spans="1:26" ht="24.95" customHeight="1" thickBot="1" x14ac:dyDescent="0.3">
      <c r="R406" s="335"/>
      <c r="S406" s="332"/>
      <c r="T406" s="98" t="s">
        <v>16</v>
      </c>
      <c r="U406" s="91">
        <v>81.349999999999994</v>
      </c>
      <c r="V406" s="91">
        <v>91.19</v>
      </c>
      <c r="W406" s="91">
        <v>79.02</v>
      </c>
      <c r="X406" s="91">
        <v>-9.84</v>
      </c>
      <c r="Y406" s="91">
        <v>2.33</v>
      </c>
      <c r="Z406" s="138"/>
    </row>
    <row r="407" spans="1:26" ht="24.95" customHeight="1" x14ac:dyDescent="0.25">
      <c r="R407" s="339" t="s">
        <v>41</v>
      </c>
      <c r="S407" s="336">
        <v>78</v>
      </c>
      <c r="T407" s="106" t="s">
        <v>17</v>
      </c>
      <c r="U407" s="93">
        <v>68.510000000000005</v>
      </c>
      <c r="V407" s="93">
        <v>66.22</v>
      </c>
      <c r="W407" s="93">
        <v>63.26</v>
      </c>
      <c r="X407" s="93">
        <v>2.29</v>
      </c>
      <c r="Y407" s="93">
        <v>5.25</v>
      </c>
      <c r="Z407" s="138"/>
    </row>
    <row r="408" spans="1:26" ht="24.95" customHeight="1" x14ac:dyDescent="0.25">
      <c r="R408" s="340"/>
      <c r="S408" s="337"/>
      <c r="T408" s="107" t="s">
        <v>18</v>
      </c>
      <c r="U408" s="95">
        <v>67.98</v>
      </c>
      <c r="V408" s="95">
        <v>72.180000000000007</v>
      </c>
      <c r="W408" s="95">
        <v>64.150000000000006</v>
      </c>
      <c r="X408" s="95">
        <v>-4.2</v>
      </c>
      <c r="Y408" s="95">
        <v>3.83</v>
      </c>
      <c r="Z408" s="138"/>
    </row>
    <row r="409" spans="1:26" ht="24.95" customHeight="1" thickBot="1" x14ac:dyDescent="0.3">
      <c r="R409" s="341"/>
      <c r="S409" s="338"/>
      <c r="T409" s="108" t="s">
        <v>19</v>
      </c>
      <c r="U409" s="102">
        <v>91.08</v>
      </c>
      <c r="V409" s="102">
        <v>95.01</v>
      </c>
      <c r="W409" s="102">
        <v>90.14</v>
      </c>
      <c r="X409" s="102">
        <v>-3.93</v>
      </c>
      <c r="Y409" s="102">
        <v>0.94</v>
      </c>
      <c r="Z409" s="138"/>
    </row>
    <row r="410" spans="1:26" ht="24.95" customHeight="1" x14ac:dyDescent="0.25">
      <c r="R410" s="345" t="s">
        <v>45</v>
      </c>
      <c r="S410" s="342">
        <v>83</v>
      </c>
      <c r="T410" s="99" t="s">
        <v>20</v>
      </c>
      <c r="U410" s="89">
        <v>80.63</v>
      </c>
      <c r="V410" s="89">
        <v>83.69</v>
      </c>
      <c r="W410" s="89">
        <v>76.319999999999993</v>
      </c>
      <c r="X410" s="89">
        <v>-3.06</v>
      </c>
      <c r="Y410" s="89">
        <v>4.3099999999999996</v>
      </c>
      <c r="Z410" s="138"/>
    </row>
    <row r="411" spans="1:26" ht="24.95" customHeight="1" x14ac:dyDescent="0.25">
      <c r="R411" s="346"/>
      <c r="S411" s="343"/>
      <c r="T411" s="100" t="s">
        <v>21</v>
      </c>
      <c r="U411" s="92">
        <v>83.99</v>
      </c>
      <c r="V411" s="92">
        <v>91.22</v>
      </c>
      <c r="W411" s="92">
        <v>80.14</v>
      </c>
      <c r="X411" s="92">
        <v>-7.23</v>
      </c>
      <c r="Y411" s="92">
        <v>3.85</v>
      </c>
      <c r="Z411" s="138"/>
    </row>
    <row r="412" spans="1:26" ht="24.95" customHeight="1" thickBot="1" x14ac:dyDescent="0.3">
      <c r="R412" s="347"/>
      <c r="S412" s="344"/>
      <c r="T412" s="100" t="s">
        <v>22</v>
      </c>
      <c r="U412" s="92">
        <v>84.29</v>
      </c>
      <c r="V412" s="92">
        <v>89.33</v>
      </c>
      <c r="W412" s="92">
        <v>80.72</v>
      </c>
      <c r="X412" s="92">
        <v>-5.04</v>
      </c>
      <c r="Y412" s="92">
        <v>3.57</v>
      </c>
      <c r="Z412" s="138"/>
    </row>
    <row r="413" spans="1:26" ht="24.95" customHeight="1" x14ac:dyDescent="0.25">
      <c r="R413" s="327" t="s">
        <v>138</v>
      </c>
      <c r="S413" s="324">
        <v>86</v>
      </c>
      <c r="T413" s="109" t="s">
        <v>23</v>
      </c>
      <c r="U413" s="103">
        <v>87.27</v>
      </c>
      <c r="V413" s="103">
        <v>92.2</v>
      </c>
      <c r="W413" s="103">
        <v>84.71</v>
      </c>
      <c r="X413" s="103">
        <v>-4.93</v>
      </c>
      <c r="Y413" s="103">
        <v>2.56</v>
      </c>
      <c r="Z413" s="138"/>
    </row>
    <row r="414" spans="1:26" ht="24.95" customHeight="1" x14ac:dyDescent="0.25">
      <c r="R414" s="328"/>
      <c r="S414" s="325"/>
      <c r="T414" s="110" t="s">
        <v>24</v>
      </c>
      <c r="U414" s="104">
        <v>88.28</v>
      </c>
      <c r="V414" s="104">
        <v>93.8</v>
      </c>
      <c r="W414" s="104">
        <v>86.6</v>
      </c>
      <c r="X414" s="104">
        <v>-5.52</v>
      </c>
      <c r="Y414" s="104">
        <v>1.68</v>
      </c>
      <c r="Z414" s="138"/>
    </row>
    <row r="415" spans="1:26" ht="24.95" customHeight="1" thickBot="1" x14ac:dyDescent="0.3">
      <c r="R415" s="329"/>
      <c r="S415" s="326"/>
      <c r="T415" s="111" t="s">
        <v>25</v>
      </c>
      <c r="U415" s="105">
        <v>82.3</v>
      </c>
      <c r="V415" s="105">
        <v>91.3</v>
      </c>
      <c r="W415" s="105">
        <v>78.11</v>
      </c>
      <c r="X415" s="105">
        <v>-9</v>
      </c>
      <c r="Y415" s="105">
        <v>4.1900000000000004</v>
      </c>
      <c r="Z415" s="138"/>
    </row>
    <row r="468" spans="1:48" ht="24.75" customHeight="1" x14ac:dyDescent="0.25">
      <c r="A468" t="s">
        <v>71</v>
      </c>
      <c r="AP468" s="297" t="s">
        <v>130</v>
      </c>
      <c r="AQ468" s="297"/>
      <c r="AR468" s="119" t="s">
        <v>286</v>
      </c>
      <c r="AS468" s="119" t="s">
        <v>290</v>
      </c>
      <c r="AT468" s="119" t="s">
        <v>291</v>
      </c>
      <c r="AU468" s="119">
        <v>2016</v>
      </c>
      <c r="AV468" s="119" t="s">
        <v>386</v>
      </c>
    </row>
    <row r="469" spans="1:48" ht="24.75" customHeight="1" x14ac:dyDescent="0.25">
      <c r="AP469" s="293" t="s">
        <v>131</v>
      </c>
      <c r="AQ469" s="293"/>
      <c r="AR469" s="121" t="s">
        <v>357</v>
      </c>
      <c r="AS469" s="122">
        <v>36</v>
      </c>
      <c r="AT469" s="122" t="s">
        <v>359</v>
      </c>
      <c r="AU469" s="123">
        <v>96.52</v>
      </c>
      <c r="AV469" s="123">
        <v>13.61</v>
      </c>
    </row>
    <row r="470" spans="1:48" ht="24.75" customHeight="1" x14ac:dyDescent="0.25">
      <c r="AP470" s="293" t="s">
        <v>131</v>
      </c>
      <c r="AQ470" s="293"/>
      <c r="AR470" s="121" t="s">
        <v>357</v>
      </c>
      <c r="AS470" s="122">
        <v>37</v>
      </c>
      <c r="AT470" s="122" t="s">
        <v>360</v>
      </c>
      <c r="AU470" s="123">
        <v>94.97</v>
      </c>
      <c r="AV470" s="123">
        <v>12.06</v>
      </c>
    </row>
    <row r="471" spans="1:48" ht="24.75" customHeight="1" x14ac:dyDescent="0.25">
      <c r="AP471" s="298" t="s">
        <v>131</v>
      </c>
      <c r="AQ471" s="298"/>
      <c r="AR471" s="121" t="s">
        <v>357</v>
      </c>
      <c r="AS471" s="122">
        <v>38</v>
      </c>
      <c r="AT471" s="122" t="s">
        <v>361</v>
      </c>
      <c r="AU471" s="123">
        <v>93.83</v>
      </c>
      <c r="AV471" s="123">
        <v>10.92</v>
      </c>
    </row>
    <row r="472" spans="1:48" ht="24.75" customHeight="1" x14ac:dyDescent="0.25">
      <c r="AP472" s="295" t="s">
        <v>387</v>
      </c>
      <c r="AQ472" s="295"/>
      <c r="AR472" s="124" t="s">
        <v>379</v>
      </c>
      <c r="AS472" s="125">
        <v>53</v>
      </c>
      <c r="AT472" s="125" t="s">
        <v>380</v>
      </c>
      <c r="AU472" s="126">
        <v>93.54</v>
      </c>
      <c r="AV472" s="126">
        <v>10.63</v>
      </c>
    </row>
    <row r="473" spans="1:48" ht="24.75" customHeight="1" x14ac:dyDescent="0.25">
      <c r="AP473" s="296" t="s">
        <v>132</v>
      </c>
      <c r="AQ473" s="296"/>
      <c r="AR473" s="127" t="s">
        <v>326</v>
      </c>
      <c r="AS473" s="128">
        <v>14</v>
      </c>
      <c r="AT473" s="128" t="s">
        <v>327</v>
      </c>
      <c r="AU473" s="129">
        <v>92.33</v>
      </c>
      <c r="AV473" s="129">
        <v>9.42</v>
      </c>
    </row>
    <row r="474" spans="1:48" ht="24.75" customHeight="1" x14ac:dyDescent="0.25">
      <c r="AP474" s="294" t="s">
        <v>131</v>
      </c>
      <c r="AQ474" s="294"/>
      <c r="AR474" s="121" t="s">
        <v>351</v>
      </c>
      <c r="AS474" s="122">
        <v>31</v>
      </c>
      <c r="AT474" s="122" t="s">
        <v>353</v>
      </c>
      <c r="AU474" s="123">
        <v>92.08</v>
      </c>
      <c r="AV474" s="123">
        <v>9.17</v>
      </c>
    </row>
    <row r="475" spans="1:48" ht="24.75" customHeight="1" x14ac:dyDescent="0.25">
      <c r="AP475" s="302" t="s">
        <v>133</v>
      </c>
      <c r="AQ475" s="302"/>
      <c r="AR475" s="130" t="s">
        <v>338</v>
      </c>
      <c r="AS475" s="131">
        <v>21</v>
      </c>
      <c r="AT475" s="131" t="s">
        <v>339</v>
      </c>
      <c r="AU475" s="132">
        <v>91.17</v>
      </c>
      <c r="AV475" s="132">
        <v>8.26</v>
      </c>
    </row>
    <row r="476" spans="1:48" ht="24.75" customHeight="1" x14ac:dyDescent="0.25">
      <c r="AP476" s="303" t="s">
        <v>142</v>
      </c>
      <c r="AQ476" s="303"/>
      <c r="AR476" s="133" t="s">
        <v>21</v>
      </c>
      <c r="AS476" s="134">
        <v>42</v>
      </c>
      <c r="AT476" s="134" t="s">
        <v>366</v>
      </c>
      <c r="AU476" s="135">
        <v>90.85</v>
      </c>
      <c r="AV476" s="135">
        <v>7.94</v>
      </c>
    </row>
    <row r="477" spans="1:48" ht="24.75" customHeight="1" x14ac:dyDescent="0.25">
      <c r="AP477" s="304" t="s">
        <v>387</v>
      </c>
      <c r="AQ477" s="304"/>
      <c r="AR477" s="124" t="s">
        <v>376</v>
      </c>
      <c r="AS477" s="125">
        <v>51</v>
      </c>
      <c r="AT477" s="125" t="s">
        <v>377</v>
      </c>
      <c r="AU477" s="126">
        <v>90.49</v>
      </c>
      <c r="AV477" s="126">
        <v>7.57</v>
      </c>
    </row>
    <row r="478" spans="1:48" ht="24.75" customHeight="1" x14ac:dyDescent="0.25">
      <c r="AP478" s="305" t="s">
        <v>387</v>
      </c>
      <c r="AQ478" s="305"/>
      <c r="AR478" s="124" t="s">
        <v>23</v>
      </c>
      <c r="AS478" s="125">
        <v>48</v>
      </c>
      <c r="AT478" s="125" t="s">
        <v>373</v>
      </c>
      <c r="AU478" s="126">
        <v>89.81</v>
      </c>
      <c r="AV478" s="126">
        <v>6.9</v>
      </c>
    </row>
    <row r="495" spans="1:48" ht="24.75" customHeight="1" x14ac:dyDescent="0.25">
      <c r="A495" t="s">
        <v>72</v>
      </c>
      <c r="AP495" s="297" t="s">
        <v>130</v>
      </c>
      <c r="AQ495" s="297"/>
      <c r="AR495" s="119" t="s">
        <v>286</v>
      </c>
      <c r="AS495" s="119" t="s">
        <v>290</v>
      </c>
      <c r="AT495" s="119" t="s">
        <v>291</v>
      </c>
      <c r="AU495" s="119">
        <v>2016</v>
      </c>
      <c r="AV495" s="119" t="s">
        <v>386</v>
      </c>
    </row>
    <row r="496" spans="1:48" ht="24.75" customHeight="1" x14ac:dyDescent="0.25">
      <c r="AP496" s="293" t="s">
        <v>131</v>
      </c>
      <c r="AQ496" s="293"/>
      <c r="AR496" s="121" t="s">
        <v>348</v>
      </c>
      <c r="AS496" s="122">
        <v>29</v>
      </c>
      <c r="AT496" s="122" t="s">
        <v>350</v>
      </c>
      <c r="AU496" s="123">
        <v>45.85</v>
      </c>
      <c r="AV496" s="123">
        <v>-37.06</v>
      </c>
    </row>
    <row r="497" spans="42:48" ht="24.75" customHeight="1" x14ac:dyDescent="0.25">
      <c r="AP497" s="293" t="s">
        <v>131</v>
      </c>
      <c r="AQ497" s="293"/>
      <c r="AR497" s="121" t="s">
        <v>18</v>
      </c>
      <c r="AS497" s="122">
        <v>32</v>
      </c>
      <c r="AT497" s="122" t="s">
        <v>354</v>
      </c>
      <c r="AU497" s="123">
        <v>58.81</v>
      </c>
      <c r="AV497" s="123">
        <v>-24.11</v>
      </c>
    </row>
    <row r="498" spans="42:48" ht="24.75" customHeight="1" x14ac:dyDescent="0.25">
      <c r="AP498" s="294" t="s">
        <v>131</v>
      </c>
      <c r="AQ498" s="294"/>
      <c r="AR498" s="121" t="s">
        <v>348</v>
      </c>
      <c r="AS498" s="122">
        <v>28</v>
      </c>
      <c r="AT498" s="122" t="s">
        <v>349</v>
      </c>
      <c r="AU498" s="123">
        <v>63.94</v>
      </c>
      <c r="AV498" s="123">
        <v>-18.97</v>
      </c>
    </row>
    <row r="499" spans="42:48" ht="24.75" customHeight="1" x14ac:dyDescent="0.25">
      <c r="AP499" s="292" t="s">
        <v>133</v>
      </c>
      <c r="AQ499" s="292"/>
      <c r="AR499" s="130" t="s">
        <v>338</v>
      </c>
      <c r="AS499" s="131">
        <v>22</v>
      </c>
      <c r="AT499" s="131" t="s">
        <v>340</v>
      </c>
      <c r="AU499" s="132">
        <v>69.52</v>
      </c>
      <c r="AV499" s="132">
        <v>-13.39</v>
      </c>
    </row>
    <row r="500" spans="42:48" ht="24.75" customHeight="1" x14ac:dyDescent="0.25">
      <c r="AP500" s="293" t="s">
        <v>131</v>
      </c>
      <c r="AQ500" s="293"/>
      <c r="AR500" s="121" t="s">
        <v>18</v>
      </c>
      <c r="AS500" s="122">
        <v>34</v>
      </c>
      <c r="AT500" s="122" t="s">
        <v>356</v>
      </c>
      <c r="AU500" s="123">
        <v>71.930000000000007</v>
      </c>
      <c r="AV500" s="123">
        <v>-10.99</v>
      </c>
    </row>
    <row r="501" spans="42:48" ht="24.75" customHeight="1" x14ac:dyDescent="0.25">
      <c r="AP501" s="293" t="s">
        <v>131</v>
      </c>
      <c r="AQ501" s="293"/>
      <c r="AR501" s="121" t="s">
        <v>351</v>
      </c>
      <c r="AS501" s="122">
        <v>30</v>
      </c>
      <c r="AT501" s="122" t="s">
        <v>352</v>
      </c>
      <c r="AU501" s="123">
        <v>72.17</v>
      </c>
      <c r="AV501" s="123">
        <v>-10.74</v>
      </c>
    </row>
    <row r="502" spans="42:48" ht="24.75" customHeight="1" x14ac:dyDescent="0.25">
      <c r="AP502" s="294" t="s">
        <v>131</v>
      </c>
      <c r="AQ502" s="294"/>
      <c r="AR502" s="121" t="s">
        <v>18</v>
      </c>
      <c r="AS502" s="122">
        <v>33</v>
      </c>
      <c r="AT502" s="122" t="s">
        <v>355</v>
      </c>
      <c r="AU502" s="123">
        <v>73.19</v>
      </c>
      <c r="AV502" s="123">
        <v>-9.7200000000000006</v>
      </c>
    </row>
    <row r="503" spans="42:48" ht="24.75" customHeight="1" x14ac:dyDescent="0.25">
      <c r="AP503" s="299" t="s">
        <v>133</v>
      </c>
      <c r="AQ503" s="299"/>
      <c r="AR503" s="130" t="s">
        <v>342</v>
      </c>
      <c r="AS503" s="131">
        <v>25</v>
      </c>
      <c r="AT503" s="131" t="s">
        <v>344</v>
      </c>
      <c r="AU503" s="132">
        <v>75.88</v>
      </c>
      <c r="AV503" s="132">
        <v>-7.03</v>
      </c>
    </row>
    <row r="504" spans="42:48" ht="24.75" customHeight="1" x14ac:dyDescent="0.25">
      <c r="AP504" s="300" t="s">
        <v>132</v>
      </c>
      <c r="AQ504" s="300"/>
      <c r="AR504" s="127" t="s">
        <v>311</v>
      </c>
      <c r="AS504" s="128">
        <v>7</v>
      </c>
      <c r="AT504" s="128" t="s">
        <v>316</v>
      </c>
      <c r="AU504" s="129">
        <v>76.25</v>
      </c>
      <c r="AV504" s="129">
        <v>-6.66</v>
      </c>
    </row>
    <row r="505" spans="42:48" ht="24.75" customHeight="1" x14ac:dyDescent="0.25">
      <c r="AP505" s="301" t="s">
        <v>142</v>
      </c>
      <c r="AQ505" s="301"/>
      <c r="AR505" s="133" t="s">
        <v>21</v>
      </c>
      <c r="AS505" s="134">
        <v>43</v>
      </c>
      <c r="AT505" s="134" t="s">
        <v>367</v>
      </c>
      <c r="AU505" s="135">
        <v>77.12</v>
      </c>
      <c r="AV505" s="135">
        <v>-5.79</v>
      </c>
    </row>
  </sheetData>
  <mergeCells count="68">
    <mergeCell ref="AA267:AB267"/>
    <mergeCell ref="AA268:AA271"/>
    <mergeCell ref="AB268:AB269"/>
    <mergeCell ref="AB270:AB271"/>
    <mergeCell ref="AA272:AA277"/>
    <mergeCell ref="AB272:AB274"/>
    <mergeCell ref="AB275:AB276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2017-08-16T21:04:04Z</dcterms:modified>
</cp:coreProperties>
</file>