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7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8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0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ml.chartshap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2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3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4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5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6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7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0.xml" ContentType="application/vnd.openxmlformats-officedocument.drawingml.chartshapes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1.xml" ContentType="application/vnd.openxmlformats-officedocument.drawingml.chartshapes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2.xml" ContentType="application/vnd.openxmlformats-officedocument.drawingml.chartshap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53.xml" ContentType="application/vnd.openxmlformats-officedocument.drawingml.chartshapes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54.xml" ContentType="application/vnd.openxmlformats-officedocument.drawingml.chartshapes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55.xml" ContentType="application/vnd.openxmlformats-officedocument.drawingml.chartshapes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56.xml" ContentType="application/vnd.openxmlformats-officedocument.drawingml.chartshapes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57.xml" ContentType="application/vnd.openxmlformats-officedocument.drawingml.chartshapes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58.xml" ContentType="application/vnd.openxmlformats-officedocument.drawingml.chartshapes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59.xml" ContentType="application/vnd.openxmlformats-officedocument.drawingml.chartshapes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w7bvoLzMPNaDf8w/uREsMOzgE8Pf91gQcnQrjEUZ3+m3qG2F1kLJcAgEBaCKImEPMZT9TZyvhFL5o3BkrTuqoQ==" workbookSaltValue="DyRuvC9/0LwbV3wFhr4kVg==" workbookSpinCount="100000" lockStructure="1"/>
  <bookViews>
    <workbookView xWindow="0" yWindow="0" windowWidth="20490" windowHeight="7755" tabRatio="760" firstSheet="4" activeTab="7"/>
  </bookViews>
  <sheets>
    <sheet name="Referencia Datos" sheetId="1" r:id="rId1"/>
    <sheet name="Demografía" sheetId="2" r:id="rId2"/>
    <sheet name="Indicadores" sheetId="3" r:id="rId3"/>
    <sheet name="Cuadro de Mando Demografías" sheetId="2669" r:id="rId4"/>
    <sheet name="Cuadro de Mando Indicadores" sheetId="329" r:id="rId5"/>
    <sheet name="Cuadro de Mando PPT" sheetId="1123" r:id="rId6"/>
    <sheet name="Gráficos Demografías" sheetId="2676" r:id="rId7"/>
    <sheet name="Gráficos Indicadores" sheetId="2713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Indicadores'!$AP$495:$AV$503</definedName>
    <definedName name="Credibilidad">#REF!</definedName>
    <definedName name="Equidad">#REF!</definedName>
    <definedName name="FichaTecnica">'Gráficos Indicadores'!$BA$1:$BA$7</definedName>
    <definedName name="GrafDemo_Bis1_datos">'Gráficos Demografías'!$C$75:$J$80</definedName>
    <definedName name="GrafDemo_Bis1_datos_0">#REF!</definedName>
    <definedName name="GrafDemo_Bis1_datos_1">#REF!</definedName>
    <definedName name="GrafDemo_Bis10_0_datos">'Gráficos Demografías'!$C$927:$J$932</definedName>
    <definedName name="GrafDemo_Bis10_1_datos">'Gráficos Demografías'!$C$958:$J$963</definedName>
    <definedName name="GrafDemo_Bis10_10_datos">'Gráficos Demografías'!$C$1237:$I$1242</definedName>
    <definedName name="GrafDemo_Bis10_2_datos">'Gráficos Demografías'!$C$989:$J$994</definedName>
    <definedName name="GrafDemo_Bis10_3_datos">'Gráficos Demografías'!$C$1020:$J$1025</definedName>
    <definedName name="GrafDemo_Bis10_4_datos">'Gráficos Demografías'!$C$1051:$J$1056</definedName>
    <definedName name="GrafDemo_Bis10_5_datos">'Gráficos Demografías'!$C$1082:$J$1087</definedName>
    <definedName name="GrafDemo_Bis10_6_datos">'Gráficos Demografías'!$C$1113:$J$1118</definedName>
    <definedName name="GrafDemo_Bis10_7_datos">'Gráficos Demografías'!$C$1144:$I$1149</definedName>
    <definedName name="GrafDemo_Bis10_8_datos">'Gráficos Demografías'!$C$1175:$I$1180</definedName>
    <definedName name="GrafDemo_Bis10_9_datos">'Gráficos Demografías'!$C$1206:$I$1211</definedName>
    <definedName name="GrafDemo_Bis10_datos">#REF!</definedName>
    <definedName name="GrafDemo_Bis11_datos">'Gráficos Demografías'!$C$1328:$E$1333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'Gráficos Demografías'!$C$1419:$H$1424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'Gráficos Demografías'!$C$1510:$E$1515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'Gráficos Demografías'!$C$1601:$E$1606</definedName>
    <definedName name="GrafDemo_Bis15_datos">'Gráficos Demografías'!$C$1692:$G$1697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Demografías'!$C$166:$H$171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Demografías'!$C$257:$E$262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Demografías'!$C$348:$H$353</definedName>
    <definedName name="GrafDemo_Bis5_0_datos">#REF!</definedName>
    <definedName name="GrafDemo_Bis5_1_datos">#REF!</definedName>
    <definedName name="GrafDemo_Bis5_datos">'Gráficos Demografías'!$C$439:$H$444</definedName>
    <definedName name="GrafDemo_Bis5_datos_0">#REF!</definedName>
    <definedName name="GrafDemo_Bis5_datos_1">#REF!</definedName>
    <definedName name="GrafDemo_Bis6_datos">'Gráficos Demografías'!$C$530:$E$535</definedName>
    <definedName name="GrafDemo_Bis7_0_datos">#REF!</definedName>
    <definedName name="GrafDemo_Bis7_1_datos">#REF!</definedName>
    <definedName name="GrafDemo_Bis7_datos">'Gráficos Demografías'!$C$621:$G$626</definedName>
    <definedName name="GrafDemo_Bis7_datos_0">#REF!</definedName>
    <definedName name="GrafDemo_Bis7_datos_1">#REF!</definedName>
    <definedName name="GrafDemo_Bis8_0_datos">'Gráficos Demografías'!$C$712:$I$717</definedName>
    <definedName name="GrafDemo_Bis8_1_datos">'Gráficos Demografías'!$C$743:$I$748</definedName>
    <definedName name="GrafDemo_Bis8_datos">#REF!</definedName>
    <definedName name="GrafDemo_Bis9_0_datos">'Gráficos Demografías'!$C$804:$J$809</definedName>
    <definedName name="GrafDemo_Bis9_1_datos">'Gráficos Demografías'!$C$835:$J$840</definedName>
    <definedName name="GrafDemo_Bis9_2_datos">'Gráficos Demografías'!$C$866:$J$871</definedName>
    <definedName name="GrafDemo_Bis9_datos">#REF!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Indicadores'!$AA$267:$AA$281</definedName>
    <definedName name="ResultadoSentencia2">'Gráficos Indicadores'!$AA$293:$AH$306</definedName>
    <definedName name="ResultadoSentencia3">'Gráficos Indicadores'!$AA$320:$AH$332</definedName>
    <definedName name="ResultadoSentencia4">'Gráficos Indicadores'!$AA$347:$AH$355</definedName>
    <definedName name="ResultadoSentencia5">'Gráficos Indicadores'!$AA$373:$AH$383</definedName>
    <definedName name="SentenciasAdicionales1">#REF!</definedName>
    <definedName name="TablaSintesis1">'Gráficos Indicadores'!$R$400:$AA$415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FL17" i="2" l="1"/>
  <c r="FK17" i="2"/>
  <c r="FJ17" i="2"/>
  <c r="FI17" i="2"/>
  <c r="FG17" i="2"/>
  <c r="FF17" i="2"/>
  <c r="FD17" i="2"/>
  <c r="FC17" i="2"/>
  <c r="FA20" i="2"/>
  <c r="EZ20" i="2"/>
  <c r="EY20" i="2"/>
  <c r="EX20" i="2"/>
  <c r="EW20" i="2"/>
  <c r="FA17" i="2"/>
  <c r="EZ17" i="2"/>
  <c r="EY17" i="2"/>
  <c r="EX17" i="2"/>
  <c r="EW17" i="2"/>
  <c r="EU17" i="2"/>
  <c r="ET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V17" i="2"/>
  <c r="DU17" i="2"/>
  <c r="DT17" i="2"/>
  <c r="DS17" i="2"/>
  <c r="DR17" i="2"/>
  <c r="DQ17" i="2"/>
  <c r="DP17" i="2"/>
  <c r="DO17" i="2"/>
  <c r="DN17" i="2"/>
  <c r="DM17" i="2"/>
  <c r="DL17" i="2"/>
  <c r="DK17" i="2"/>
  <c r="DJ17" i="2"/>
  <c r="DI17" i="2"/>
  <c r="DH17" i="2"/>
  <c r="DG17" i="2"/>
  <c r="DF17" i="2"/>
  <c r="DE17" i="2"/>
  <c r="DD17" i="2"/>
  <c r="DC17" i="2"/>
  <c r="DB17" i="2"/>
  <c r="DA17" i="2"/>
  <c r="CZ17" i="2"/>
  <c r="CY17" i="2"/>
  <c r="CX17" i="2"/>
  <c r="CW17" i="2"/>
  <c r="CV17" i="2"/>
  <c r="CU17" i="2"/>
  <c r="CT17" i="2"/>
  <c r="CS17" i="2"/>
  <c r="CR17" i="2"/>
  <c r="CQ17" i="2"/>
  <c r="CP17" i="2"/>
  <c r="CO17" i="2"/>
  <c r="CN17" i="2"/>
  <c r="CM17" i="2"/>
  <c r="CL17" i="2"/>
  <c r="CK17" i="2"/>
  <c r="CJ17" i="2"/>
  <c r="CI17" i="2"/>
  <c r="CH17" i="2"/>
  <c r="CG17" i="2"/>
  <c r="CF17" i="2"/>
  <c r="CE17" i="2"/>
  <c r="CD17" i="2"/>
  <c r="CC17" i="2"/>
  <c r="CB17" i="2"/>
  <c r="CA17" i="2"/>
  <c r="BZ17" i="2"/>
  <c r="BY17" i="2"/>
  <c r="BX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M17" i="2"/>
  <c r="AL17" i="2"/>
  <c r="AK17" i="2"/>
  <c r="AJ17" i="2"/>
  <c r="AH17" i="2"/>
  <c r="AG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<sst xmlns="http://schemas.openxmlformats.org/spreadsheetml/2006/main" count="3336" uniqueCount="679">
  <si>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</si>
  <si>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</si>
  <si>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</si>
  <si>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</si>
  <si>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</si>
  <si>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</si>
  <si>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</si>
  <si>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</si>
  <si>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</si>
  <si>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</si>
  <si>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</si>
  <si>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</si>
  <si>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</si>
  <si>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</si>
  <si>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</si>
  <si>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</si>
  <si>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</si>
  <si>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</si>
  <si>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</si>
  <si>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</si>
  <si>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</si>
  <si>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</si>
  <si>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</si>
  <si>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</si>
  <si>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</si>
  <si>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</si>
  <si>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</si>
  <si>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</si>
  <si>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</si>
  <si>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</si>
  <si>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</si>
  <si>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</si>
  <si>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</si>
  <si>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</si>
  <si>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</si>
  <si>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</si>
  <si>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</si>
  <si>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</si>
  <si>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</si>
  <si>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</si>
  <si>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</si>
  <si>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</si>
  <si>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</si>
  <si>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</si>
  <si>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</si>
  <si>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</si>
  <si>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</si>
  <si>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</si>
  <si>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</si>
  <si>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</si>
  <si>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</si>
  <si>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</si>
  <si>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</si>
  <si>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</si>
  <si>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</si>
  <si>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</si>
  <si>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</si>
  <si>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</si>
  <si>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</si>
  <si>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</si>
  <si>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</si>
  <si>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</si>
  <si>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</si>
  <si>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</si>
  <si>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</si>
  <si>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</si>
  <si>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</si>
  <si>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</si>
  <si>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</si>
  <si>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</si>
  <si>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</si>
  <si>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</si>
  <si>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</si>
  <si>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</si>
  <si>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</si>
  <si>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</si>
  <si>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</si>
  <si>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</si>
  <si>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</si>
  <si>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</si>
  <si>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</si>
  <si>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</si>
  <si>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</si>
  <si>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</si>
  <si>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</si>
  <si>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</si>
  <si>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</si>
  <si>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</si>
  <si>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</si>
  <si>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</si>
  <si>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</si>
  <si>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</si>
  <si>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</si>
  <si>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</si>
  <si>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</si>
  <si>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</si>
  <si>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</si>
  <si>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</si>
  <si>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</si>
  <si>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</si>
  <si>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</si>
  <si>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</si>
  <si>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</si>
  <si>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</si>
  <si>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</si>
  <si>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</si>
  <si>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</si>
  <si>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</si>
  <si>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</si>
  <si>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</si>
  <si>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</si>
  <si>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</si>
  <si>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</si>
  <si>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</si>
  <si>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</si>
  <si>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</si>
  <si>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</si>
  <si>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</si>
  <si>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</si>
  <si>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</si>
  <si>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</si>
  <si>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</si>
  <si>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</si>
  <si>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</si>
  <si>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</si>
  <si>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</si>
  <si>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</si>
  <si>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</si>
  <si>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</si>
  <si>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</si>
  <si>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</si>
  <si>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</si>
  <si>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</si>
  <si>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</si>
  <si>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</si>
  <si>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</si>
  <si>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</si>
  <si>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</si>
  <si>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</si>
  <si>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</si>
  <si>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</si>
  <si>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Demografía</t>
  </si>
  <si>
    <t>Promedios</t>
  </si>
  <si>
    <t>Cantidad de Respuestas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</si>
  <si>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</si>
  <si>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</si>
  <si>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</si>
  <si>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</si>
  <si>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</si>
  <si>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</si>
  <si>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</si>
  <si>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</si>
  <si>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</si>
  <si>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</si>
  <si>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</si>
  <si>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</si>
  <si>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</si>
  <si>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</si>
  <si>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</si>
  <si>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</si>
  <si>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</si>
  <si>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</si>
  <si>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</si>
  <si>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</si>
  <si>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</si>
  <si>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</si>
  <si>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</si>
  <si>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</si>
  <si>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</si>
  <si>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CARGO</t>
  </si>
  <si>
    <t>Departamento/ Gerencia</t>
  </si>
  <si>
    <t>% Rta por corte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</si>
  <si>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</si>
  <si>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</si>
  <si>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</si>
  <si>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</si>
  <si>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</si>
  <si>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</si>
  <si>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</si>
  <si>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</si>
  <si>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</si>
  <si>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</si>
  <si>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</si>
  <si>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</si>
  <si>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</si>
  <si>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</si>
  <si>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</si>
  <si>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</si>
  <si>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</si>
  <si>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</si>
  <si>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</si>
  <si>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</si>
  <si>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</si>
  <si>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</si>
  <si>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</si>
  <si>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</si>
  <si>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</si>
  <si>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</si>
  <si>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</si>
  <si>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</si>
  <si>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</si>
  <si>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</si>
  <si>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</si>
  <si>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</si>
  <si>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</si>
  <si>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</si>
  <si>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</si>
  <si>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</si>
  <si>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</si>
  <si>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</si>
  <si>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</si>
  <si>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</si>
  <si>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</si>
  <si>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</si>
  <si>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</si>
  <si>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</si>
  <si>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</si>
  <si>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</si>
  <si>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</si>
  <si>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</si>
  <si>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</si>
  <si>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</si>
  <si>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</si>
  <si>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</si>
  <si>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</si>
  <si>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</si>
  <si>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</si>
  <si>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</si>
  <si>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</si>
  <si>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</si>
  <si>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</si>
  <si>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</si>
  <si>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</si>
  <si>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</si>
  <si>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</si>
  <si>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Dim</t>
  </si>
  <si>
    <t>Sub-Dimensión</t>
  </si>
  <si>
    <t>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</si>
  <si>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</si>
  <si>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</si>
  <si>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</si>
  <si>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</si>
  <si>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</si>
  <si>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</si>
  <si>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</si>
  <si>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</si>
  <si>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</si>
  <si>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</si>
  <si>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</si>
  <si>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</si>
  <si>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</si>
  <si>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</si>
  <si>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</si>
  <si>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</si>
  <si>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</si>
  <si>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</si>
  <si>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</si>
  <si>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</si>
  <si>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</si>
  <si>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</si>
  <si>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</si>
  <si>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</si>
  <si>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</si>
  <si>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</si>
  <si>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</si>
  <si>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</si>
  <si>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</si>
  <si>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</si>
  <si>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</si>
  <si>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</si>
  <si>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</si>
  <si>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</si>
  <si>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</si>
  <si>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</si>
  <si>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</si>
  <si>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</si>
  <si>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</si>
  <si>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</si>
  <si>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</si>
  <si>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</si>
  <si>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</si>
  <si>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</si>
  <si>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</si>
  <si>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</si>
  <si>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</si>
  <si>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</si>
  <si>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</si>
  <si>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</si>
  <si>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</si>
  <si>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</si>
  <si>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</si>
  <si>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</si>
  <si>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</si>
  <si>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</si>
  <si>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</si>
  <si>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</si>
  <si>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</si>
  <si>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</si>
  <si>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</si>
  <si>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</si>
  <si>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</si>
  <si>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</si>
  <si>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</si>
  <si>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</si>
  <si>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</si>
  <si>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</si>
  <si>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</si>
  <si>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</si>
  <si>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</si>
  <si>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</si>
  <si>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</si>
  <si>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</si>
  <si>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</si>
  <si>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</si>
  <si>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</si>
  <si>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</si>
  <si>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</si>
  <si>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</si>
  <si>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</si>
  <si>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</si>
  <si>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</si>
  <si>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</si>
  <si>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</si>
  <si>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</si>
  <si>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</si>
  <si>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</si>
  <si>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</si>
  <si>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</si>
  <si>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</si>
  <si>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</si>
  <si>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CAMARADERÍA</t>
  </si>
  <si>
    <t>Si soy tratado injustamente, creo que, tendré la oportunidad de ser escuchado y de recibir un trato justo.</t>
  </si>
  <si>
    <t>N74</t>
  </si>
  <si>
    <t>Z2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</si>
  <si>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</si>
  <si>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</si>
  <si>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</si>
  <si>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</si>
  <si>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</si>
  <si>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</si>
  <si>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</si>
  <si>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</si>
  <si>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</si>
  <si>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</si>
  <si>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</si>
  <si>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</si>
  <si>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</si>
  <si>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</si>
  <si>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</si>
  <si>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</si>
  <si>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</si>
  <si>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</si>
  <si>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</si>
  <si>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</si>
  <si>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</si>
  <si>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GrafDemo_Bis7</t>
  </si>
  <si>
    <t>BV2</t>
  </si>
  <si>
    <t>BV17</t>
  </si>
  <si>
    <t>Año 1</t>
  </si>
  <si>
    <t>Año 2</t>
  </si>
  <si>
    <t>GrafDemo_Bis2_leyenda</t>
  </si>
  <si>
    <t>GrafDemo_Bis3_leyenda</t>
  </si>
  <si>
    <t>GrafDemo_Bis4_leyenda</t>
  </si>
  <si>
    <t>GrafDemo_Bis5_0_leyenda</t>
  </si>
  <si>
    <t>GrafDemo_Bis5_1_leyenda</t>
  </si>
  <si>
    <t>GrafDemo_Bis6_leyenda</t>
  </si>
  <si>
    <t>GrafDemo_Bis7_0_leyenda</t>
  </si>
  <si>
    <t>GrafDemo_Bis7_1_leyenda</t>
  </si>
  <si>
    <t>GrafDemo_Bis8_leyenda</t>
  </si>
  <si>
    <t>GrafDemo_Bis9_leyenda</t>
  </si>
  <si>
    <t>GrafDemo_Bis10_leyenda</t>
  </si>
  <si>
    <t>Evolución 2016 - 2016</t>
  </si>
  <si>
    <t>FL20</t>
  </si>
  <si>
    <t>Año 2017</t>
  </si>
  <si>
    <t>Cargo</t>
  </si>
  <si>
    <t>Antigüedad en la Empresa</t>
  </si>
  <si>
    <t>Jornada Laboral</t>
  </si>
  <si>
    <t>Cantidad de Reuniones de Feedback en FY17</t>
  </si>
  <si>
    <t>País</t>
  </si>
  <si>
    <t>Lob</t>
  </si>
  <si>
    <t>SubLob</t>
  </si>
  <si>
    <t>Región</t>
  </si>
  <si>
    <t>Conozco el Shifter Profile</t>
  </si>
  <si>
    <t>Creo en el Programa Shifter</t>
  </si>
  <si>
    <t>Cuando hay un cambio en Oracle</t>
  </si>
  <si>
    <t>02-DEMO-ORACLE FY18 - Argentina</t>
  </si>
  <si>
    <t>ORACLE Consolidado FY18</t>
  </si>
  <si>
    <t>Dif.2017-2016</t>
  </si>
  <si>
    <t>Dif.2017-BMK Mejores Argentina 2016</t>
  </si>
  <si>
    <t>Dif.2017-ORACLE Consolidado FY18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</si>
  <si>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</si>
  <si>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</si>
  <si>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</si>
  <si>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</si>
  <si>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</si>
  <si>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</si>
  <si>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</si>
  <si>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</si>
  <si>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</si>
  <si>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Más de 10 años</t>
  </si>
  <si>
    <t>Jornada Completa</t>
  </si>
  <si>
    <t>Jornada Parcial</t>
  </si>
  <si>
    <t>Argentina</t>
  </si>
  <si>
    <t>Brasil</t>
  </si>
  <si>
    <t>Chile</t>
  </si>
  <si>
    <t>Colombia</t>
  </si>
  <si>
    <t>México</t>
  </si>
  <si>
    <t>Oracle CR SSC S.A.</t>
  </si>
  <si>
    <t>Oracle de Centramérica S.A.</t>
  </si>
  <si>
    <t>Perú</t>
  </si>
  <si>
    <t>Puerto Rico</t>
  </si>
  <si>
    <t>Uruguay</t>
  </si>
  <si>
    <t>USA</t>
  </si>
  <si>
    <t>Venezuela</t>
  </si>
  <si>
    <t>Cloud Services</t>
  </si>
  <si>
    <t>Development</t>
  </si>
  <si>
    <t>GBU´s/IBU´S- Bob Weiler´s / Dontatelli´s / Mc Geever´s Org</t>
  </si>
  <si>
    <t>Global G&amp;A/Manufacturing (SSC &amp; Others)</t>
  </si>
  <si>
    <t>Global IT</t>
  </si>
  <si>
    <t>Global Sales CEO Office</t>
  </si>
  <si>
    <t>Product Support</t>
  </si>
  <si>
    <t>Eduardo Lopez´s Org (excl. Consulting)</t>
  </si>
  <si>
    <t>LAD Consulting</t>
  </si>
  <si>
    <t>LAD Customer Services</t>
  </si>
  <si>
    <t>LAD Deal Management</t>
  </si>
  <si>
    <t>LAD Education</t>
  </si>
  <si>
    <t>LAD Facilities</t>
  </si>
  <si>
    <t>LAD Finance &amp; Operations (Cheryl McDowell´s)</t>
  </si>
  <si>
    <t>LAD HR</t>
  </si>
  <si>
    <t>LAD Legal</t>
  </si>
  <si>
    <t>LAD Licenses &amp; Systems</t>
  </si>
  <si>
    <t>LAD LMS</t>
  </si>
  <si>
    <t>LAD Marketing</t>
  </si>
  <si>
    <t>LAD Recruiting</t>
  </si>
  <si>
    <t>LAD Support</t>
  </si>
  <si>
    <t>Cloud Services-All Others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</si>
  <si>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</si>
  <si>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</si>
  <si>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</si>
  <si>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 (Screven´s Org)</t>
  </si>
  <si>
    <t>Development - Database (Andy Mendelsohn´s Org)</t>
  </si>
  <si>
    <t>Development - Enterprise Mgmt (Prakash Ramamurthy´s Org)</t>
  </si>
  <si>
    <t>Development - Production Engineering &amp; Operations (Campbell Webb´s Org)</t>
  </si>
  <si>
    <t>Development - People Soft Development (Abrejuan´s Org)</t>
  </si>
  <si>
    <t>Development Sustaining - (Eleonor Meritt´s Org)</t>
  </si>
  <si>
    <t>Development - All Others</t>
  </si>
  <si>
    <t>Development - Cloud Development (Don Johnson´s Org)</t>
  </si>
  <si>
    <t>Development - Product Development (Jennifer Briscoe´s Org)</t>
  </si>
  <si>
    <t>LAD Architecture</t>
  </si>
  <si>
    <t>LAD Customer Programs</t>
  </si>
  <si>
    <t>LAD Customer Success</t>
  </si>
  <si>
    <t>LAD Localizations</t>
  </si>
  <si>
    <t>LAD Pre-Sales Apps</t>
  </si>
  <si>
    <t>Coverage Infraestructure (Donatelli´s Org)</t>
  </si>
  <si>
    <t>GBU-All Others</t>
  </si>
  <si>
    <t>GBU-Mike Webster´s Org</t>
  </si>
  <si>
    <t>GBU-Singh Sonny´s Org</t>
  </si>
  <si>
    <t>GBU-Suriano Douglas´s Org</t>
  </si>
  <si>
    <t>Finance - Controller Group (Augusto Serrano Villate´s Org)</t>
  </si>
  <si>
    <t>Safra Catz Org-All Others</t>
  </si>
  <si>
    <t>SSC All Others</t>
  </si>
  <si>
    <t>SSC-Credit &amp; Collections (Bonnie Barger´s Org)</t>
  </si>
  <si>
    <t>SSC-Payroll (Bustamante´s Org)</t>
  </si>
  <si>
    <t>Wolrdwide System Operations-(Karl Braitberg´s Org)</t>
  </si>
  <si>
    <t>IT - McParland´s org</t>
  </si>
  <si>
    <t>IT - O´Shea´s org</t>
  </si>
  <si>
    <t>IT - All Others</t>
  </si>
  <si>
    <t>Worldwide Alliances &amp; Channel (Penny Philpot´s Org)</t>
  </si>
  <si>
    <t>Worldwide Operations (Jennifer Birk´s Org)</t>
  </si>
  <si>
    <t>Consulting All Others</t>
  </si>
  <si>
    <t>Consulting-Delivery</t>
  </si>
  <si>
    <t>Consulting-Sales</t>
  </si>
  <si>
    <t>Customer Services-ACS Sales</t>
  </si>
  <si>
    <t>Customer Services-All Others</t>
  </si>
  <si>
    <t>Customer Services-Services Sales (Iacoviello´s Org)</t>
  </si>
  <si>
    <t>Customer Services-Martinez´s Org</t>
  </si>
  <si>
    <t>Customer Services-Operations</t>
  </si>
  <si>
    <t>Customer Services-Services Sales</t>
  </si>
  <si>
    <t>Deal Management-(Rafael Lara´Org)</t>
  </si>
  <si>
    <t>Education - Oracle University</t>
  </si>
  <si>
    <t>Facilities</t>
  </si>
  <si>
    <t>Finance - McDowell´s org</t>
  </si>
  <si>
    <t>LAD HR - All Others</t>
  </si>
  <si>
    <t>LAD HR - Carolina Florez´s Org</t>
  </si>
  <si>
    <t>Legal</t>
  </si>
  <si>
    <t>LAD Systems Pre-Sales</t>
  </si>
  <si>
    <t>LAD Systems Sales</t>
  </si>
  <si>
    <t>Licenses - Tech</t>
  </si>
  <si>
    <t>Licenses - IAAS y Business Analytics &amp; KAD Brasil</t>
  </si>
  <si>
    <t>Licenses - LAD Alliances</t>
  </si>
  <si>
    <t>Licenses - Oracle Digital</t>
  </si>
  <si>
    <t>LAD Pre-Sales Tech</t>
  </si>
  <si>
    <t>Licenses - Public Sector</t>
  </si>
  <si>
    <t>Licenses - All Others</t>
  </si>
  <si>
    <t>Licenses - Apps</t>
  </si>
  <si>
    <t>LMS</t>
  </si>
  <si>
    <t>Marketing - All Others</t>
  </si>
  <si>
    <t>Marketing - Borst`s org</t>
  </si>
  <si>
    <t>Marketing - Corporate Communications` org</t>
  </si>
  <si>
    <t>LAD Recruiting - All Others</t>
  </si>
  <si>
    <t>LAD Recruiting - Valeria Delgado´s Org</t>
  </si>
  <si>
    <t>LAD Product Support - ACS Delivery</t>
  </si>
  <si>
    <t>LAD Product Support - Systems Support</t>
  </si>
  <si>
    <t>Product Support-All Others</t>
  </si>
  <si>
    <t>Product Support-Delivery Operations (Jim Grieb´s Org)</t>
  </si>
  <si>
    <t>GBU-Netsuite (Jim McGeever´s Org)</t>
  </si>
  <si>
    <t>Consulting Service Delivery Center</t>
  </si>
  <si>
    <t>Development - Times (Hugo Coyote Estrada´s Org)</t>
  </si>
  <si>
    <t>Región Global</t>
  </si>
  <si>
    <t>Región LAD</t>
  </si>
  <si>
    <t>Si</t>
  </si>
  <si>
    <t>No</t>
  </si>
  <si>
    <t>Me lo informan y me invitan a contribuir con ideas y sugerencias</t>
  </si>
  <si>
    <t>Me lo informan cuando el cambio ya sucedió</t>
  </si>
  <si>
    <t>Me entero por los canales de comunicación corporativos</t>
  </si>
  <si>
    <t>Me entero por otros empleados de manera informal</t>
  </si>
  <si>
    <t>Población demografía año anterior</t>
  </si>
  <si>
    <t>AE2</t>
  </si>
  <si>
    <t>AE17</t>
  </si>
  <si>
    <t>AG2</t>
  </si>
  <si>
    <t>AH2</t>
  </si>
  <si>
    <t>AG17</t>
  </si>
  <si>
    <t>AH17</t>
  </si>
  <si>
    <t>AM2</t>
  </si>
  <si>
    <t>AM17</t>
  </si>
  <si>
    <t>AO2</t>
  </si>
  <si>
    <t>AZ2</t>
  </si>
  <si>
    <t>AO17</t>
  </si>
  <si>
    <t>AZ17</t>
  </si>
  <si>
    <t>BB2</t>
  </si>
  <si>
    <t>BB17</t>
  </si>
  <si>
    <t>BX2</t>
  </si>
  <si>
    <t>ER2</t>
  </si>
  <si>
    <t>BX17</t>
  </si>
  <si>
    <t>ER17</t>
  </si>
  <si>
    <t>GrafDemo11</t>
  </si>
  <si>
    <t>ET2</t>
  </si>
  <si>
    <t>EU2</t>
  </si>
  <si>
    <t>ET17</t>
  </si>
  <si>
    <t>EU17</t>
  </si>
  <si>
    <t>GrafDemo_Bis11</t>
  </si>
  <si>
    <t>GrafDemo12</t>
  </si>
  <si>
    <t>EW2</t>
  </si>
  <si>
    <t>FA2</t>
  </si>
  <si>
    <t>EW17</t>
  </si>
  <si>
    <t>FA17</t>
  </si>
  <si>
    <t>GrafDemo_Bis12</t>
  </si>
  <si>
    <t>GrafDemo13</t>
  </si>
  <si>
    <t>FC2</t>
  </si>
  <si>
    <t>FD2</t>
  </si>
  <si>
    <t>FC17</t>
  </si>
  <si>
    <t>FD17</t>
  </si>
  <si>
    <t>GrafDemo_Bis13</t>
  </si>
  <si>
    <t>GrafDemo14</t>
  </si>
  <si>
    <t>FF2</t>
  </si>
  <si>
    <t>FG2</t>
  </si>
  <si>
    <t>FF17</t>
  </si>
  <si>
    <t>FG17</t>
  </si>
  <si>
    <t>GrafDemo_Bis14</t>
  </si>
  <si>
    <t>GrafDemo15</t>
  </si>
  <si>
    <t>FI2</t>
  </si>
  <si>
    <t>FL2</t>
  </si>
  <si>
    <t>FI17</t>
  </si>
  <si>
    <t>FL17</t>
  </si>
  <si>
    <t>GrafDemo_Bis15</t>
  </si>
  <si>
    <t>ReporteIndicadores</t>
  </si>
  <si>
    <t>AE109</t>
  </si>
  <si>
    <t>2017 - 2016</t>
  </si>
  <si>
    <t>2017 - BMK Mejores Argentina 2016</t>
  </si>
  <si>
    <t>2017 - ORACLE Consolidado FY18</t>
  </si>
  <si>
    <t>Los jefes me mantienen informado acerca de temas y cambios importantes</t>
  </si>
  <si>
    <t>A las personas aquí se les da bastante responsabilidad.</t>
  </si>
  <si>
    <t>Involucración</t>
  </si>
  <si>
    <t>Siento que recibo una parte justa de las ganancias de esta organización</t>
  </si>
  <si>
    <t>ADICIONALES</t>
  </si>
  <si>
    <t>Creo que Oracle colabora con las empresas en su transformación digital.</t>
  </si>
  <si>
    <t>Estoy convencido de que el programa Shifter transformará a Oracle en una empresa preparada para la nueva economía.</t>
  </si>
  <si>
    <t>Oracle está alineada con la transformación digital que está sucediendo en el mundo.</t>
  </si>
  <si>
    <t>Aquí pensamos las soluciones en conjunto.</t>
  </si>
  <si>
    <t>Aquí utilizamos la tecnología para optimizar la colaboración entre las áreas.</t>
  </si>
  <si>
    <t>Siento que estamos abiertos a aprender con otras empresas y start ups.</t>
  </si>
  <si>
    <t>Mi Jefe está preparado para acompañar los cambios de Oracle.</t>
  </si>
  <si>
    <t>Mi Jefe está alineado con los objetivos del programa Shifter.</t>
  </si>
  <si>
    <t>Percibí cambios positivos en Oracle desde la encuesta de clima anterior a hoy.</t>
  </si>
  <si>
    <t>2017 - PG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</si>
  <si>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</si>
  <si>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</si>
  <si>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</si>
  <si>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</si>
  <si>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</si>
  <si>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</si>
  <si>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</si>
  <si>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</si>
  <si>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</si>
  <si>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GrafDemo_Bis5_datos</t>
  </si>
  <si>
    <t>GrafDemo_Bis7_datos</t>
  </si>
  <si>
    <t>GrafDemo_Bis8_0_datos</t>
  </si>
  <si>
    <t>GrafDemo_Bis8_0</t>
  </si>
  <si>
    <t>GrafDemo_Bis8_1_datos</t>
  </si>
  <si>
    <t>GrafDemo_Bis8_1</t>
  </si>
  <si>
    <t>GrafDemo_Bis9_0_datos</t>
  </si>
  <si>
    <t>GrafDemo_Bis9_0</t>
  </si>
  <si>
    <t>GrafDemo_Bis9_1_datos</t>
  </si>
  <si>
    <t>GrafDemo_Bis9_1</t>
  </si>
  <si>
    <t>GrafDemo_Bis9_2_datos</t>
  </si>
  <si>
    <t>GrafDemo_Bis9_2</t>
  </si>
  <si>
    <t>GrafDemo_Bis10_0_datos</t>
  </si>
  <si>
    <t>GrafDemo_Bis10_0</t>
  </si>
  <si>
    <t>GrafDemo_Bis10_1_datos</t>
  </si>
  <si>
    <t>GrafDemo_Bis10_1</t>
  </si>
  <si>
    <t>GrafDemo_Bis10_2_datos</t>
  </si>
  <si>
    <t>GrafDemo_Bis10_2</t>
  </si>
  <si>
    <t>GrafDemo_Bis10_3_datos</t>
  </si>
  <si>
    <t>GrafDemo_Bis10_3</t>
  </si>
  <si>
    <t>GrafDemo_Bis10_4_datos</t>
  </si>
  <si>
    <t>GrafDemo_Bis10_4</t>
  </si>
  <si>
    <t>GrafDemo_Bis10_5_datos</t>
  </si>
  <si>
    <t>GrafDemo_Bis10_5</t>
  </si>
  <si>
    <t>GrafDemo_Bis10_6_datos</t>
  </si>
  <si>
    <t>GrafDemo_Bis10_6</t>
  </si>
  <si>
    <t>GrafDemo_Bis10_7_datos</t>
  </si>
  <si>
    <t>GrafDemo_Bis10_7</t>
  </si>
  <si>
    <t>GrafDemo_Bis10_8_datos</t>
  </si>
  <si>
    <t>GrafDemo_Bis10_8</t>
  </si>
  <si>
    <t>GrafDemo_Bis10_9_datos</t>
  </si>
  <si>
    <t>GrafDemo_Bis10_9</t>
  </si>
  <si>
    <t>GrafDemo_Bis10_10_datos</t>
  </si>
  <si>
    <t>GrafDemo_Bis10_10</t>
  </si>
  <si>
    <t>GrafDemo_Bis11_datos</t>
  </si>
  <si>
    <t>GrafDemo_Bis12_datos</t>
  </si>
  <si>
    <t>GrafDemo_Bis13_datos</t>
  </si>
  <si>
    <t>GrafDemo_Bis14_datos</t>
  </si>
  <si>
    <t>GrafDemo_Bis15_datos</t>
  </si>
  <si>
    <t>AE1</t>
  </si>
  <si>
    <t>AE7</t>
  </si>
  <si>
    <t>Q77</t>
  </si>
  <si>
    <t>AC2</t>
  </si>
  <si>
    <t>N79</t>
  </si>
  <si>
    <t>Q84</t>
  </si>
  <si>
    <t>V2</t>
  </si>
  <si>
    <t>N80</t>
  </si>
  <si>
    <t>Q80</t>
  </si>
  <si>
    <t>I2</t>
  </si>
  <si>
    <t>I6</t>
  </si>
  <si>
    <t>I12</t>
  </si>
  <si>
    <t>N81</t>
  </si>
  <si>
    <t>Q81</t>
  </si>
  <si>
    <t>I17</t>
  </si>
  <si>
    <t>I21</t>
  </si>
  <si>
    <t>I23</t>
  </si>
  <si>
    <t>N82</t>
  </si>
  <si>
    <t>Q82</t>
  </si>
  <si>
    <t>I31</t>
  </si>
  <si>
    <t>I35</t>
  </si>
  <si>
    <t>I38</t>
  </si>
  <si>
    <t>N83</t>
  </si>
  <si>
    <t>Q83</t>
  </si>
  <si>
    <t>I44</t>
  </si>
  <si>
    <t>I46</t>
  </si>
  <si>
    <t>I48</t>
  </si>
  <si>
    <t>N84</t>
  </si>
  <si>
    <t>I53</t>
  </si>
  <si>
    <t>I56</t>
  </si>
  <si>
    <t>I60</t>
  </si>
  <si>
    <t>J1</t>
  </si>
  <si>
    <t>J15</t>
  </si>
  <si>
    <t>J16</t>
  </si>
  <si>
    <t>Q29</t>
  </si>
  <si>
    <t>J30</t>
  </si>
  <si>
    <t>Q42</t>
  </si>
  <si>
    <t>J43</t>
  </si>
  <si>
    <t>Q51</t>
  </si>
  <si>
    <t>J52</t>
  </si>
  <si>
    <t>Q62</t>
  </si>
  <si>
    <t>I1</t>
  </si>
  <si>
    <t>I87</t>
  </si>
  <si>
    <t>O97</t>
  </si>
  <si>
    <t>I99</t>
  </si>
  <si>
    <t>O107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</si>
</sst>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3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sz val="8"/>
      <color rgb="FF000000"/>
      <name val="Verdana"/>
      <family val="2"/>
    </font>
    <font>
      <b/>
      <sz val="9"/>
      <color rgb="FFFFFFFF"/>
      <name val="Arial"/>
      <family val="2"/>
    </font>
    <font>
      <sz val="5"/>
      <color rgb="FF000000"/>
      <name val="Verdana"/>
      <family val="2"/>
    </font>
    <font>
      <sz val="8"/>
      <color rgb="FFFFFFFF"/>
      <name val="Arial"/>
      <family val="2"/>
    </font>
    <font>
      <sz val="14.5"/>
      <color rgb="FF000000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3"/>
      <color rgb="FF808080"/>
      <name val="Arial"/>
      <family val="2"/>
    </font>
    <font>
      <sz val="13"/>
      <color rgb="FF404040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  <font>
      <b/>
      <sz val="14"/>
      <color rgb="FFAA272F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14"/>
      <color rgb="FF005172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14"/>
      <color rgb="FF73A11F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14"/>
      <color rgb="FF612141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DB63"/>
        <bgColor indexed="64"/>
      </patternFill>
    </fill>
    <fill>
      <patternFill patternType="solid">
        <fgColor rgb="FF5A595A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6121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993366"/>
      </bottom>
      <diagonal/>
    </border>
    <border>
      <left/>
      <right/>
      <top style="thin">
        <color rgb="FF003366"/>
      </top>
      <bottom style="thin">
        <color rgb="FFFDB533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DB533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DB533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</cellStyleXfs>
  <cellXfs count="364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6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7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19" fillId="14" borderId="14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13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6" fillId="12" borderId="5" xfId="0" applyFont="1" applyFill="1" applyBorder="1" applyAlignment="1" applyProtection="1">
      <alignment horizontal="center" vertical="center"/>
      <protection locked="0"/>
    </xf>
    <xf numFmtId="0" fontId="14" fillId="15" borderId="19" xfId="0" applyFont="1" applyFill="1" applyBorder="1" applyAlignment="1">
      <alignment horizontal="center" vertical="center" wrapText="1"/>
    </xf>
    <xf numFmtId="0" fontId="22" fillId="21" borderId="19" xfId="0" applyFont="1" applyFill="1" applyBorder="1" applyAlignment="1">
      <alignment horizontal="center" vertical="center" wrapText="1"/>
    </xf>
    <xf numFmtId="0" fontId="22" fillId="22" borderId="19" xfId="0" applyFont="1" applyFill="1" applyBorder="1" applyAlignment="1">
      <alignment horizontal="center" vertical="center" wrapText="1"/>
    </xf>
    <xf numFmtId="0" fontId="22" fillId="23" borderId="19" xfId="0" applyFont="1" applyFill="1" applyBorder="1" applyAlignment="1">
      <alignment horizontal="center" vertical="center" wrapText="1"/>
    </xf>
    <xf numFmtId="0" fontId="14" fillId="24" borderId="19" xfId="0" applyFont="1" applyFill="1" applyBorder="1" applyAlignment="1">
      <alignment horizontal="center" vertical="center" wrapText="1"/>
    </xf>
    <xf numFmtId="0" fontId="21" fillId="25" borderId="0" xfId="0" applyFont="1" applyFill="1" applyAlignment="1">
      <alignment horizontal="center" vertical="center" wrapText="1"/>
    </xf>
    <xf numFmtId="0" fontId="27" fillId="13" borderId="24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left" vertical="center" wrapText="1"/>
    </xf>
    <xf numFmtId="1" fontId="29" fillId="13" borderId="24" xfId="0" applyNumberFormat="1" applyFont="1" applyFill="1" applyBorder="1" applyAlignment="1">
      <alignment horizontal="center" vertical="center"/>
    </xf>
    <xf numFmtId="1" fontId="29" fillId="28" borderId="24" xfId="0" applyNumberFormat="1" applyFont="1" applyFill="1" applyBorder="1" applyAlignment="1">
      <alignment horizontal="center" vertical="center"/>
    </xf>
    <xf numFmtId="0" fontId="24" fillId="13" borderId="25" xfId="0" applyFont="1" applyFill="1" applyBorder="1" applyAlignment="1">
      <alignment horizontal="left" vertical="center" wrapText="1"/>
    </xf>
    <xf numFmtId="1" fontId="24" fillId="29" borderId="0" xfId="0" applyNumberFormat="1" applyFont="1" applyFill="1" applyAlignment="1">
      <alignment horizontal="center" vertical="center" wrapText="1"/>
    </xf>
    <xf numFmtId="1" fontId="29" fillId="14" borderId="24" xfId="0" applyNumberFormat="1" applyFont="1" applyFill="1" applyBorder="1" applyAlignment="1">
      <alignment horizontal="center" vertical="center"/>
    </xf>
    <xf numFmtId="1" fontId="29" fillId="36" borderId="24" xfId="0" applyNumberFormat="1" applyFont="1" applyFill="1" applyBorder="1" applyAlignment="1">
      <alignment horizontal="center" vertical="center"/>
    </xf>
    <xf numFmtId="0" fontId="33" fillId="16" borderId="19" xfId="0" applyFont="1" applyFill="1" applyBorder="1" applyAlignment="1">
      <alignment horizontal="left" vertical="center" wrapText="1"/>
    </xf>
    <xf numFmtId="1" fontId="34" fillId="16" borderId="19" xfId="0" applyNumberFormat="1" applyFont="1" applyFill="1" applyBorder="1" applyAlignment="1">
      <alignment horizontal="center" vertical="center" wrapText="1"/>
    </xf>
    <xf numFmtId="0" fontId="21" fillId="37" borderId="0" xfId="0" applyFont="1" applyFill="1" applyAlignment="1">
      <alignment horizontal="left" vertical="center" wrapText="1"/>
    </xf>
    <xf numFmtId="1" fontId="21" fillId="37" borderId="0" xfId="0" applyNumberFormat="1" applyFont="1" applyFill="1" applyAlignment="1">
      <alignment horizontal="center" vertical="center" wrapText="1"/>
    </xf>
    <xf numFmtId="1" fontId="22" fillId="26" borderId="19" xfId="0" applyNumberFormat="1" applyFont="1" applyFill="1" applyBorder="1" applyAlignment="1">
      <alignment horizontal="center" vertical="center" wrapText="1"/>
    </xf>
    <xf numFmtId="1" fontId="22" fillId="31" borderId="19" xfId="0" applyNumberFormat="1" applyFont="1" applyFill="1" applyBorder="1" applyAlignment="1">
      <alignment horizontal="center" vertical="center" wrapText="1"/>
    </xf>
    <xf numFmtId="1" fontId="22" fillId="33" borderId="19" xfId="0" applyNumberFormat="1" applyFont="1" applyFill="1" applyBorder="1" applyAlignment="1">
      <alignment horizontal="center" vertical="center" wrapText="1"/>
    </xf>
    <xf numFmtId="1" fontId="22" fillId="34" borderId="19" xfId="0" applyNumberFormat="1" applyFont="1" applyFill="1" applyBorder="1" applyAlignment="1">
      <alignment horizontal="center" vertical="center" wrapText="1"/>
    </xf>
    <xf numFmtId="1" fontId="22" fillId="35" borderId="19" xfId="0" applyNumberFormat="1" applyFont="1" applyFill="1" applyBorder="1" applyAlignment="1">
      <alignment horizontal="center" vertical="center" wrapText="1"/>
    </xf>
    <xf numFmtId="0" fontId="22" fillId="35" borderId="19" xfId="0" applyFont="1" applyFill="1" applyBorder="1" applyAlignment="1">
      <alignment horizontal="center" vertical="center" wrapText="1"/>
    </xf>
    <xf numFmtId="1" fontId="36" fillId="29" borderId="0" xfId="0" applyNumberFormat="1" applyFont="1" applyFill="1" applyAlignment="1">
      <alignment horizontal="center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24" fillId="13" borderId="0" xfId="0" applyFont="1" applyFill="1" applyAlignment="1">
      <alignment horizontal="center" vertical="center" wrapText="1"/>
    </xf>
    <xf numFmtId="0" fontId="39" fillId="13" borderId="45" xfId="0" applyFont="1" applyFill="1" applyBorder="1" applyAlignment="1">
      <alignment horizontal="left" vertical="center" wrapText="1"/>
    </xf>
    <xf numFmtId="0" fontId="24" fillId="13" borderId="45" xfId="0" applyFont="1" applyFill="1" applyBorder="1" applyAlignment="1">
      <alignment horizontal="left" vertical="center" wrapText="1"/>
    </xf>
    <xf numFmtId="1" fontId="24" fillId="13" borderId="45" xfId="0" applyNumberFormat="1" applyFont="1" applyFill="1" applyBorder="1" applyAlignment="1">
      <alignment horizontal="center" vertical="center" wrapText="1"/>
    </xf>
    <xf numFmtId="0" fontId="41" fillId="13" borderId="47" xfId="0" applyFont="1" applyFill="1" applyBorder="1" applyAlignment="1">
      <alignment horizontal="left" vertical="center" wrapText="1"/>
    </xf>
    <xf numFmtId="0" fontId="24" fillId="13" borderId="47" xfId="0" applyFont="1" applyFill="1" applyBorder="1" applyAlignment="1">
      <alignment horizontal="left" vertical="center" wrapText="1"/>
    </xf>
    <xf numFmtId="1" fontId="24" fillId="13" borderId="47" xfId="0" applyNumberFormat="1" applyFont="1" applyFill="1" applyBorder="1" applyAlignment="1">
      <alignment horizontal="center" vertical="center" wrapText="1"/>
    </xf>
    <xf numFmtId="0" fontId="43" fillId="13" borderId="49" xfId="0" applyFont="1" applyFill="1" applyBorder="1" applyAlignment="1">
      <alignment horizontal="left" vertical="center" wrapText="1"/>
    </xf>
    <xf numFmtId="0" fontId="24" fillId="13" borderId="49" xfId="0" applyFont="1" applyFill="1" applyBorder="1" applyAlignment="1">
      <alignment horizontal="left" vertical="center" wrapText="1"/>
    </xf>
    <xf numFmtId="1" fontId="24" fillId="13" borderId="49" xfId="0" applyNumberFormat="1" applyFont="1" applyFill="1" applyBorder="1" applyAlignment="1">
      <alignment horizontal="center" vertical="center" wrapText="1"/>
    </xf>
    <xf numFmtId="0" fontId="45" fillId="13" borderId="51" xfId="0" applyFont="1" applyFill="1" applyBorder="1" applyAlignment="1">
      <alignment horizontal="left" vertical="center" wrapText="1"/>
    </xf>
    <xf numFmtId="0" fontId="24" fillId="13" borderId="51" xfId="0" applyFont="1" applyFill="1" applyBorder="1" applyAlignment="1">
      <alignment horizontal="left" vertical="center" wrapText="1"/>
    </xf>
    <xf numFmtId="1" fontId="24" fillId="13" borderId="51" xfId="0" applyNumberFormat="1" applyFont="1" applyFill="1" applyBorder="1" applyAlignment="1">
      <alignment horizontal="center" vertical="center" wrapText="1"/>
    </xf>
    <xf numFmtId="0" fontId="0" fillId="0" borderId="43" xfId="0" applyBorder="1" applyAlignment="1">
      <alignment wrapText="1"/>
    </xf>
    <xf numFmtId="0" fontId="9" fillId="9" borderId="54" xfId="0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1" fillId="20" borderId="0" xfId="0" applyFont="1" applyFill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46" fillId="17" borderId="15" xfId="0" applyFont="1" applyFill="1" applyBorder="1" applyAlignment="1">
      <alignment vertical="center" wrapText="1"/>
    </xf>
    <xf numFmtId="0" fontId="19" fillId="38" borderId="14" xfId="0" applyFont="1" applyFill="1" applyBorder="1" applyAlignment="1">
      <alignment horizontal="right" vertical="center"/>
    </xf>
    <xf numFmtId="0" fontId="14" fillId="38" borderId="12" xfId="0" applyFont="1" applyFill="1" applyBorder="1" applyAlignment="1">
      <alignment horizontal="right" vertical="center"/>
    </xf>
    <xf numFmtId="0" fontId="14" fillId="38" borderId="13" xfId="0" applyFont="1" applyFill="1" applyBorder="1" applyAlignment="1">
      <alignment horizontal="center" vertical="center" wrapText="1"/>
    </xf>
    <xf numFmtId="0" fontId="47" fillId="39" borderId="14" xfId="0" applyFont="1" applyFill="1" applyBorder="1" applyAlignment="1">
      <alignment horizontal="right" vertical="center"/>
    </xf>
    <xf numFmtId="0" fontId="22" fillId="39" borderId="12" xfId="0" applyFont="1" applyFill="1" applyBorder="1" applyAlignment="1">
      <alignment horizontal="right" vertical="center"/>
    </xf>
    <xf numFmtId="1" fontId="22" fillId="39" borderId="13" xfId="0" applyNumberFormat="1" applyFont="1" applyFill="1" applyBorder="1" applyAlignment="1">
      <alignment horizontal="center" vertical="center" wrapText="1"/>
    </xf>
    <xf numFmtId="0" fontId="48" fillId="13" borderId="15" xfId="0" applyFont="1" applyFill="1" applyBorder="1" applyAlignment="1">
      <alignment vertical="center" wrapText="1"/>
    </xf>
    <xf numFmtId="0" fontId="19" fillId="40" borderId="14" xfId="0" applyFont="1" applyFill="1" applyBorder="1" applyAlignment="1">
      <alignment horizontal="right" vertical="center"/>
    </xf>
    <xf numFmtId="0" fontId="49" fillId="40" borderId="12" xfId="0" applyFont="1" applyFill="1" applyBorder="1" applyAlignment="1">
      <alignment horizontal="right" vertical="center"/>
    </xf>
    <xf numFmtId="1" fontId="14" fillId="13" borderId="13" xfId="0" applyNumberFormat="1" applyFont="1" applyFill="1" applyBorder="1" applyAlignment="1">
      <alignment horizontal="center" vertical="center"/>
    </xf>
    <xf numFmtId="1" fontId="14" fillId="28" borderId="13" xfId="0" applyNumberFormat="1" applyFont="1" applyFill="1" applyBorder="1" applyAlignment="1">
      <alignment horizontal="center" vertical="center"/>
    </xf>
    <xf numFmtId="1" fontId="14" fillId="14" borderId="13" xfId="0" applyNumberFormat="1" applyFont="1" applyFill="1" applyBorder="1" applyAlignment="1">
      <alignment horizontal="center" vertical="center"/>
    </xf>
    <xf numFmtId="1" fontId="14" fillId="36" borderId="13" xfId="0" applyNumberFormat="1" applyFont="1" applyFill="1" applyBorder="1" applyAlignment="1">
      <alignment horizontal="center" vertical="center"/>
    </xf>
    <xf numFmtId="0" fontId="19" fillId="25" borderId="14" xfId="0" applyFont="1" applyFill="1" applyBorder="1" applyAlignment="1">
      <alignment horizontal="right" vertical="center"/>
    </xf>
    <xf numFmtId="0" fontId="49" fillId="25" borderId="12" xfId="0" applyFont="1" applyFill="1" applyBorder="1" applyAlignment="1">
      <alignment horizontal="right" vertical="center"/>
    </xf>
    <xf numFmtId="0" fontId="19" fillId="33" borderId="14" xfId="0" applyFont="1" applyFill="1" applyBorder="1" applyAlignment="1">
      <alignment horizontal="right" vertical="center"/>
    </xf>
    <xf numFmtId="0" fontId="49" fillId="33" borderId="12" xfId="0" applyFont="1" applyFill="1" applyBorder="1" applyAlignment="1">
      <alignment horizontal="right" vertical="center"/>
    </xf>
    <xf numFmtId="0" fontId="19" fillId="34" borderId="14" xfId="0" applyFont="1" applyFill="1" applyBorder="1" applyAlignment="1">
      <alignment horizontal="right" vertical="center"/>
    </xf>
    <xf numFmtId="0" fontId="49" fillId="34" borderId="12" xfId="0" applyFont="1" applyFill="1" applyBorder="1" applyAlignment="1">
      <alignment horizontal="right" vertical="center"/>
    </xf>
    <xf numFmtId="0" fontId="19" fillId="41" borderId="14" xfId="0" applyFont="1" applyFill="1" applyBorder="1" applyAlignment="1">
      <alignment horizontal="right" vertical="center"/>
    </xf>
    <xf numFmtId="0" fontId="49" fillId="41" borderId="12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center" vertical="center" textRotation="90" wrapText="1"/>
    </xf>
    <xf numFmtId="0" fontId="19" fillId="16" borderId="14" xfId="0" applyFont="1" applyFill="1" applyBorder="1" applyAlignment="1">
      <alignment horizontal="right" vertical="center"/>
    </xf>
    <xf numFmtId="0" fontId="15" fillId="16" borderId="12" xfId="0" applyFont="1" applyFill="1" applyBorder="1" applyAlignment="1">
      <alignment horizontal="right" vertical="center"/>
    </xf>
    <xf numFmtId="0" fontId="14" fillId="16" borderId="13" xfId="0" applyFont="1" applyFill="1" applyBorder="1" applyAlignment="1">
      <alignment horizontal="center" vertical="center" wrapText="1"/>
    </xf>
    <xf numFmtId="1" fontId="22" fillId="39" borderId="13" xfId="0" applyNumberFormat="1" applyFont="1" applyFill="1" applyBorder="1" applyAlignment="1">
      <alignment horizontal="center" vertical="center"/>
    </xf>
    <xf numFmtId="10" fontId="22" fillId="39" borderId="13" xfId="0" applyNumberFormat="1" applyFont="1" applyFill="1" applyBorder="1" applyAlignment="1">
      <alignment horizontal="center" vertical="center" wrapText="1"/>
    </xf>
    <xf numFmtId="164" fontId="14" fillId="38" borderId="13" xfId="0" applyNumberFormat="1" applyFont="1" applyFill="1" applyBorder="1" applyAlignment="1">
      <alignment horizontal="center" vertical="center" wrapText="1"/>
    </xf>
    <xf numFmtId="1" fontId="14" fillId="13" borderId="0" xfId="0" applyNumberFormat="1" applyFont="1" applyFill="1" applyBorder="1" applyAlignment="1">
      <alignment horizontal="center" vertical="center"/>
    </xf>
    <xf numFmtId="0" fontId="51" fillId="0" borderId="58" xfId="0" applyFont="1" applyBorder="1"/>
    <xf numFmtId="1" fontId="50" fillId="13" borderId="58" xfId="0" applyNumberFormat="1" applyFont="1" applyFill="1" applyBorder="1" applyAlignment="1">
      <alignment horizontal="center" vertical="center"/>
    </xf>
    <xf numFmtId="1" fontId="50" fillId="13" borderId="59" xfId="0" applyNumberFormat="1" applyFont="1" applyFill="1" applyBorder="1" applyAlignment="1">
      <alignment horizontal="center" vertical="center"/>
    </xf>
    <xf numFmtId="0" fontId="52" fillId="0" borderId="58" xfId="0" applyFont="1" applyBorder="1"/>
    <xf numFmtId="0" fontId="53" fillId="0" borderId="58" xfId="0" applyFont="1" applyBorder="1"/>
    <xf numFmtId="0" fontId="54" fillId="0" borderId="58" xfId="0" applyFont="1" applyBorder="1"/>
    <xf numFmtId="0" fontId="55" fillId="0" borderId="59" xfId="0" applyFont="1" applyBorder="1"/>
    <xf numFmtId="1" fontId="14" fillId="16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22" fillId="39" borderId="0" xfId="0" applyNumberFormat="1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1" fontId="14" fillId="28" borderId="0" xfId="0" applyNumberFormat="1" applyFont="1" applyFill="1" applyBorder="1" applyAlignment="1">
      <alignment horizontal="center" vertical="center"/>
    </xf>
    <xf numFmtId="1" fontId="50" fillId="28" borderId="58" xfId="0" applyNumberFormat="1" applyFont="1" applyFill="1" applyBorder="1" applyAlignment="1">
      <alignment horizontal="center" vertical="center"/>
    </xf>
    <xf numFmtId="1" fontId="50" fillId="28" borderId="59" xfId="0" applyNumberFormat="1" applyFont="1" applyFill="1" applyBorder="1" applyAlignment="1">
      <alignment horizontal="center" vertical="center"/>
    </xf>
    <xf numFmtId="0" fontId="14" fillId="16" borderId="0" xfId="0" applyFont="1" applyFill="1" applyBorder="1" applyAlignment="1">
      <alignment horizontal="center" vertical="center" wrapText="1"/>
    </xf>
    <xf numFmtId="1" fontId="22" fillId="39" borderId="0" xfId="0" applyNumberFormat="1" applyFont="1" applyFill="1" applyBorder="1" applyAlignment="1">
      <alignment horizontal="center" vertical="center"/>
    </xf>
    <xf numFmtId="1" fontId="14" fillId="14" borderId="0" xfId="0" applyNumberFormat="1" applyFont="1" applyFill="1" applyBorder="1" applyAlignment="1">
      <alignment horizontal="center" vertical="center"/>
    </xf>
    <xf numFmtId="1" fontId="50" fillId="14" borderId="58" xfId="0" applyNumberFormat="1" applyFont="1" applyFill="1" applyBorder="1" applyAlignment="1">
      <alignment horizontal="center" vertical="center"/>
    </xf>
    <xf numFmtId="1" fontId="50" fillId="14" borderId="59" xfId="0" applyNumberFormat="1" applyFont="1" applyFill="1" applyBorder="1" applyAlignment="1">
      <alignment horizontal="center" vertical="center"/>
    </xf>
    <xf numFmtId="1" fontId="14" fillId="36" borderId="0" xfId="0" applyNumberFormat="1" applyFont="1" applyFill="1" applyBorder="1" applyAlignment="1">
      <alignment horizontal="center" vertical="center"/>
    </xf>
    <xf numFmtId="1" fontId="50" fillId="36" borderId="58" xfId="0" applyNumberFormat="1" applyFont="1" applyFill="1" applyBorder="1" applyAlignment="1">
      <alignment horizontal="center" vertical="center"/>
    </xf>
    <xf numFmtId="1" fontId="50" fillId="36" borderId="59" xfId="0" applyNumberFormat="1" applyFont="1" applyFill="1" applyBorder="1" applyAlignment="1">
      <alignment horizontal="center" vertical="center"/>
    </xf>
    <xf numFmtId="164" fontId="22" fillId="39" borderId="13" xfId="0" applyNumberFormat="1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7" fillId="14" borderId="11" xfId="0" applyFont="1" applyFill="1" applyBorder="1" applyAlignment="1">
      <alignment horizontal="center" vertical="center" wrapText="1"/>
    </xf>
    <xf numFmtId="0" fontId="17" fillId="14" borderId="14" xfId="0" applyFont="1" applyFill="1" applyBorder="1" applyAlignment="1">
      <alignment horizontal="center" vertical="center" wrapText="1"/>
    </xf>
    <xf numFmtId="0" fontId="17" fillId="14" borderId="12" xfId="0" applyFont="1" applyFill="1" applyBorder="1" applyAlignment="1">
      <alignment horizontal="center" vertical="center" wrapText="1"/>
    </xf>
    <xf numFmtId="0" fontId="18" fillId="13" borderId="16" xfId="0" applyFont="1" applyFill="1" applyBorder="1" applyAlignment="1">
      <alignment horizontal="left" vertical="center" wrapText="1"/>
    </xf>
    <xf numFmtId="0" fontId="18" fillId="13" borderId="17" xfId="0" applyFont="1" applyFill="1" applyBorder="1" applyAlignment="1">
      <alignment horizontal="left" vertical="center" wrapText="1"/>
    </xf>
    <xf numFmtId="0" fontId="17" fillId="13" borderId="0" xfId="0" applyFont="1" applyFill="1" applyAlignment="1">
      <alignment horizontal="left" vertical="center" wrapText="1"/>
    </xf>
    <xf numFmtId="1" fontId="22" fillId="39" borderId="11" xfId="0" applyNumberFormat="1" applyFont="1" applyFill="1" applyBorder="1" applyAlignment="1">
      <alignment horizontal="center" vertical="center" wrapText="1"/>
    </xf>
    <xf numFmtId="1" fontId="22" fillId="39" borderId="14" xfId="0" applyNumberFormat="1" applyFont="1" applyFill="1" applyBorder="1" applyAlignment="1">
      <alignment horizontal="center" vertical="center" wrapText="1"/>
    </xf>
    <xf numFmtId="1" fontId="22" fillId="39" borderId="12" xfId="0" applyNumberFormat="1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1" fontId="24" fillId="13" borderId="32" xfId="0" applyNumberFormat="1" applyFont="1" applyFill="1" applyBorder="1" applyAlignment="1">
      <alignment horizontal="center" vertical="center" wrapText="1"/>
    </xf>
    <xf numFmtId="1" fontId="24" fillId="13" borderId="27" xfId="0" applyNumberFormat="1" applyFont="1" applyFill="1" applyBorder="1" applyAlignment="1">
      <alignment horizontal="center" vertical="center" wrapText="1"/>
    </xf>
    <xf numFmtId="1" fontId="24" fillId="13" borderId="36" xfId="0" applyNumberFormat="1" applyFont="1" applyFill="1" applyBorder="1" applyAlignment="1">
      <alignment horizontal="center" vertical="center" wrapText="1"/>
    </xf>
    <xf numFmtId="0" fontId="35" fillId="0" borderId="55" xfId="0" applyFont="1" applyBorder="1" applyAlignment="1">
      <alignment horizontal="center" vertical="center" wrapText="1"/>
    </xf>
    <xf numFmtId="0" fontId="44" fillId="13" borderId="53" xfId="0" applyFont="1" applyFill="1" applyBorder="1" applyAlignment="1">
      <alignment horizontal="left" vertical="center" wrapText="1"/>
    </xf>
    <xf numFmtId="0" fontId="38" fillId="13" borderId="44" xfId="0" applyFont="1" applyFill="1" applyBorder="1" applyAlignment="1">
      <alignment horizontal="left" vertical="center" wrapText="1"/>
    </xf>
    <xf numFmtId="0" fontId="38" fillId="13" borderId="50" xfId="0" applyFont="1" applyFill="1" applyBorder="1" applyAlignment="1">
      <alignment horizontal="left" vertical="center" wrapText="1"/>
    </xf>
    <xf numFmtId="0" fontId="44" fillId="13" borderId="56" xfId="0" applyFont="1" applyFill="1" applyBorder="1" applyAlignment="1">
      <alignment horizontal="left" vertical="center" wrapText="1"/>
    </xf>
    <xf numFmtId="0" fontId="25" fillId="35" borderId="28" xfId="0" applyFont="1" applyFill="1" applyBorder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37" xfId="0" applyFont="1" applyFill="1" applyBorder="1" applyAlignment="1">
      <alignment horizontal="center" vertical="center" wrapText="1"/>
    </xf>
    <xf numFmtId="0" fontId="25" fillId="35" borderId="34" xfId="0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21" fillId="12" borderId="20" xfId="0" applyFont="1" applyFill="1" applyBorder="1" applyAlignment="1">
      <alignment horizontal="center" vertical="center" textRotation="90" wrapText="1"/>
    </xf>
    <xf numFmtId="0" fontId="21" fillId="12" borderId="0" xfId="0" applyFont="1" applyFill="1" applyAlignment="1">
      <alignment horizontal="center" vertical="center" textRotation="90" wrapText="1"/>
    </xf>
    <xf numFmtId="0" fontId="21" fillId="20" borderId="0" xfId="0" applyFont="1" applyFill="1" applyAlignment="1">
      <alignment horizontal="center" vertical="center" wrapText="1"/>
    </xf>
    <xf numFmtId="0" fontId="21" fillId="20" borderId="26" xfId="0" applyFont="1" applyFill="1" applyBorder="1" applyAlignment="1">
      <alignment horizontal="center" vertical="center" wrapText="1"/>
    </xf>
    <xf numFmtId="0" fontId="21" fillId="35" borderId="20" xfId="0" applyFont="1" applyFill="1" applyBorder="1" applyAlignment="1">
      <alignment horizontal="center" vertical="center" textRotation="90" wrapText="1"/>
    </xf>
    <xf numFmtId="0" fontId="21" fillId="35" borderId="0" xfId="0" applyFont="1" applyFill="1" applyAlignment="1">
      <alignment horizontal="center" vertical="center" textRotation="90" wrapText="1"/>
    </xf>
    <xf numFmtId="0" fontId="21" fillId="35" borderId="34" xfId="0" applyFont="1" applyFill="1" applyBorder="1" applyAlignment="1">
      <alignment horizontal="center" vertical="center" textRotation="90" wrapText="1"/>
    </xf>
    <xf numFmtId="0" fontId="23" fillId="0" borderId="21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1" fontId="24" fillId="27" borderId="22" xfId="0" applyNumberFormat="1" applyFont="1" applyFill="1" applyBorder="1" applyAlignment="1">
      <alignment horizontal="center" vertical="center" wrapText="1"/>
    </xf>
    <xf numFmtId="1" fontId="24" fillId="27" borderId="27" xfId="0" applyNumberFormat="1" applyFont="1" applyFill="1" applyBorder="1" applyAlignment="1">
      <alignment horizontal="center" vertical="center" wrapText="1"/>
    </xf>
    <xf numFmtId="1" fontId="24" fillId="27" borderId="30" xfId="0" applyNumberFormat="1" applyFont="1" applyFill="1" applyBorder="1" applyAlignment="1">
      <alignment horizontal="center" vertical="center" wrapText="1"/>
    </xf>
    <xf numFmtId="1" fontId="24" fillId="13" borderId="22" xfId="0" applyNumberFormat="1" applyFont="1" applyFill="1" applyBorder="1" applyAlignment="1">
      <alignment horizontal="center" vertical="center" wrapText="1"/>
    </xf>
    <xf numFmtId="1" fontId="24" fillId="13" borderId="30" xfId="0" applyNumberFormat="1" applyFont="1" applyFill="1" applyBorder="1" applyAlignment="1">
      <alignment horizontal="center" vertical="center" wrapText="1"/>
    </xf>
    <xf numFmtId="1" fontId="24" fillId="27" borderId="32" xfId="0" applyNumberFormat="1" applyFont="1" applyFill="1" applyBorder="1" applyAlignment="1">
      <alignment horizontal="center" vertical="center" wrapText="1"/>
    </xf>
    <xf numFmtId="1" fontId="24" fillId="27" borderId="36" xfId="0" applyNumberFormat="1" applyFont="1" applyFill="1" applyBorder="1" applyAlignment="1">
      <alignment horizontal="center" vertical="center" wrapText="1"/>
    </xf>
    <xf numFmtId="0" fontId="21" fillId="34" borderId="20" xfId="0" applyFont="1" applyFill="1" applyBorder="1" applyAlignment="1">
      <alignment horizontal="center" vertical="center" textRotation="90" wrapText="1"/>
    </xf>
    <xf numFmtId="0" fontId="21" fillId="34" borderId="0" xfId="0" applyFont="1" applyFill="1" applyAlignment="1">
      <alignment horizontal="center" vertical="center" textRotation="90" wrapText="1"/>
    </xf>
    <xf numFmtId="0" fontId="21" fillId="34" borderId="34" xfId="0" applyFont="1" applyFill="1" applyBorder="1" applyAlignment="1">
      <alignment horizontal="center" vertical="center" textRotation="90" wrapText="1"/>
    </xf>
    <xf numFmtId="0" fontId="23" fillId="0" borderId="35" xfId="0" applyFont="1" applyBorder="1" applyAlignment="1">
      <alignment horizontal="center" vertical="center" wrapText="1"/>
    </xf>
    <xf numFmtId="0" fontId="21" fillId="32" borderId="20" xfId="0" applyFont="1" applyFill="1" applyBorder="1" applyAlignment="1">
      <alignment horizontal="center" vertical="center" textRotation="90" wrapText="1"/>
    </xf>
    <xf numFmtId="0" fontId="21" fillId="32" borderId="0" xfId="0" applyFont="1" applyFill="1" applyAlignment="1">
      <alignment horizontal="center" vertical="center" textRotation="90" wrapText="1"/>
    </xf>
    <xf numFmtId="0" fontId="21" fillId="32" borderId="34" xfId="0" applyFont="1" applyFill="1" applyBorder="1" applyAlignment="1">
      <alignment horizontal="center" vertical="center" textRotation="90" wrapText="1"/>
    </xf>
    <xf numFmtId="0" fontId="21" fillId="26" borderId="20" xfId="0" applyFont="1" applyFill="1" applyBorder="1" applyAlignment="1">
      <alignment horizontal="center" vertical="center" textRotation="90" wrapText="1"/>
    </xf>
    <xf numFmtId="0" fontId="21" fillId="26" borderId="0" xfId="0" applyFont="1" applyFill="1" applyAlignment="1">
      <alignment horizontal="center" vertical="center" textRotation="90" wrapText="1"/>
    </xf>
    <xf numFmtId="0" fontId="21" fillId="26" borderId="34" xfId="0" applyFont="1" applyFill="1" applyBorder="1" applyAlignment="1">
      <alignment horizontal="center" vertical="center" textRotation="90" wrapText="1"/>
    </xf>
    <xf numFmtId="0" fontId="21" fillId="30" borderId="20" xfId="0" applyFont="1" applyFill="1" applyBorder="1" applyAlignment="1">
      <alignment horizontal="center" vertical="center" textRotation="90" wrapText="1"/>
    </xf>
    <xf numFmtId="0" fontId="21" fillId="30" borderId="0" xfId="0" applyFont="1" applyFill="1" applyAlignment="1">
      <alignment horizontal="center" vertical="center" textRotation="90" wrapText="1"/>
    </xf>
    <xf numFmtId="0" fontId="21" fillId="30" borderId="34" xfId="0" applyFont="1" applyFill="1" applyBorder="1" applyAlignment="1">
      <alignment horizontal="center" vertical="center" textRotation="90" wrapText="1"/>
    </xf>
    <xf numFmtId="0" fontId="25" fillId="26" borderId="23" xfId="0" applyFont="1" applyFill="1" applyBorder="1" applyAlignment="1">
      <alignment horizontal="center" vertical="center" textRotation="90" wrapText="1"/>
    </xf>
    <xf numFmtId="0" fontId="25" fillId="26" borderId="28" xfId="0" applyFont="1" applyFill="1" applyBorder="1" applyAlignment="1">
      <alignment horizontal="center" vertical="center" textRotation="90" wrapText="1"/>
    </xf>
    <xf numFmtId="0" fontId="25" fillId="26" borderId="31" xfId="0" applyFont="1" applyFill="1" applyBorder="1" applyAlignment="1">
      <alignment horizontal="center" vertical="center" textRotation="90" wrapText="1"/>
    </xf>
    <xf numFmtId="0" fontId="26" fillId="0" borderId="20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25" fillId="26" borderId="33" xfId="0" applyFont="1" applyFill="1" applyBorder="1" applyAlignment="1">
      <alignment horizontal="center" vertical="center" textRotation="90" wrapText="1"/>
    </xf>
    <xf numFmtId="0" fontId="26" fillId="0" borderId="0" xfId="0" applyFont="1" applyAlignment="1">
      <alignment horizontal="center" vertical="center" wrapText="1"/>
    </xf>
    <xf numFmtId="0" fontId="25" fillId="26" borderId="37" xfId="0" applyFont="1" applyFill="1" applyBorder="1" applyAlignment="1">
      <alignment horizontal="center" vertical="center" textRotation="90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5" fillId="31" borderId="28" xfId="0" applyFont="1" applyFill="1" applyBorder="1" applyAlignment="1">
      <alignment horizontal="center" vertical="center" textRotation="90" wrapText="1"/>
    </xf>
    <xf numFmtId="0" fontId="25" fillId="31" borderId="31" xfId="0" applyFont="1" applyFill="1" applyBorder="1" applyAlignment="1">
      <alignment horizontal="center" vertical="center" textRotation="90" wrapText="1"/>
    </xf>
    <xf numFmtId="0" fontId="30" fillId="0" borderId="20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29" xfId="0" applyFont="1" applyBorder="1" applyAlignment="1">
      <alignment horizontal="center" vertical="center" wrapText="1"/>
    </xf>
    <xf numFmtId="0" fontId="25" fillId="31" borderId="33" xfId="0" applyFont="1" applyFill="1" applyBorder="1" applyAlignment="1">
      <alignment horizontal="center" vertical="center" textRotation="90" wrapText="1"/>
    </xf>
    <xf numFmtId="0" fontId="25" fillId="31" borderId="37" xfId="0" applyFont="1" applyFill="1" applyBorder="1" applyAlignment="1">
      <alignment horizontal="center" vertical="center" textRotation="90" wrapText="1"/>
    </xf>
    <xf numFmtId="0" fontId="30" fillId="0" borderId="0" xfId="0" applyFont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25" fillId="33" borderId="23" xfId="0" applyFont="1" applyFill="1" applyBorder="1" applyAlignment="1">
      <alignment horizontal="center" vertical="center" textRotation="90" wrapText="1"/>
    </xf>
    <xf numFmtId="0" fontId="25" fillId="33" borderId="28" xfId="0" applyFont="1" applyFill="1" applyBorder="1" applyAlignment="1">
      <alignment horizontal="center" vertical="center" textRotation="90" wrapText="1"/>
    </xf>
    <xf numFmtId="0" fontId="25" fillId="33" borderId="31" xfId="0" applyFont="1" applyFill="1" applyBorder="1" applyAlignment="1">
      <alignment horizontal="center" vertical="center" textRotation="90" wrapText="1"/>
    </xf>
    <xf numFmtId="0" fontId="31" fillId="0" borderId="20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0" fontId="25" fillId="33" borderId="28" xfId="0" applyFont="1" applyFill="1" applyBorder="1" applyAlignment="1">
      <alignment horizontal="center" vertical="center" wrapText="1"/>
    </xf>
    <xf numFmtId="0" fontId="25" fillId="33" borderId="0" xfId="0" applyFont="1" applyFill="1" applyAlignment="1">
      <alignment horizontal="center" vertical="center" wrapText="1"/>
    </xf>
    <xf numFmtId="0" fontId="25" fillId="33" borderId="31" xfId="0" applyFont="1" applyFill="1" applyBorder="1" applyAlignment="1">
      <alignment horizontal="center" vertical="center" wrapText="1"/>
    </xf>
    <xf numFmtId="0" fontId="25" fillId="33" borderId="38" xfId="0" applyFont="1" applyFill="1" applyBorder="1" applyAlignment="1">
      <alignment horizontal="center" vertical="center" wrapText="1"/>
    </xf>
    <xf numFmtId="0" fontId="25" fillId="33" borderId="33" xfId="0" applyFont="1" applyFill="1" applyBorder="1" applyAlignment="1">
      <alignment horizontal="center" vertical="center" textRotation="90" wrapText="1"/>
    </xf>
    <xf numFmtId="0" fontId="25" fillId="33" borderId="37" xfId="0" applyFont="1" applyFill="1" applyBorder="1" applyAlignment="1">
      <alignment horizontal="center" vertical="center" textRotation="90" wrapText="1"/>
    </xf>
    <xf numFmtId="0" fontId="31" fillId="0" borderId="39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25" fillId="34" borderId="23" xfId="0" applyFont="1" applyFill="1" applyBorder="1" applyAlignment="1">
      <alignment horizontal="center" vertical="center" wrapText="1"/>
    </xf>
    <xf numFmtId="0" fontId="25" fillId="34" borderId="20" xfId="0" applyFont="1" applyFill="1" applyBorder="1" applyAlignment="1">
      <alignment horizontal="center" vertical="center" wrapText="1"/>
    </xf>
    <xf numFmtId="0" fontId="25" fillId="34" borderId="31" xfId="0" applyFont="1" applyFill="1" applyBorder="1" applyAlignment="1">
      <alignment horizontal="center" vertical="center" wrapText="1"/>
    </xf>
    <xf numFmtId="0" fontId="25" fillId="34" borderId="38" xfId="0" applyFont="1" applyFill="1" applyBorder="1" applyAlignment="1">
      <alignment horizontal="center" vertical="center" wrapText="1"/>
    </xf>
    <xf numFmtId="0" fontId="25" fillId="34" borderId="33" xfId="0" applyFont="1" applyFill="1" applyBorder="1" applyAlignment="1">
      <alignment horizontal="center" vertical="center" wrapText="1"/>
    </xf>
    <xf numFmtId="0" fontId="25" fillId="34" borderId="39" xfId="0" applyFont="1" applyFill="1" applyBorder="1" applyAlignment="1">
      <alignment horizontal="center" vertical="center" wrapText="1"/>
    </xf>
    <xf numFmtId="0" fontId="25" fillId="34" borderId="28" xfId="0" applyFont="1" applyFill="1" applyBorder="1" applyAlignment="1">
      <alignment horizontal="center"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37" xfId="0" applyFont="1" applyFill="1" applyBorder="1" applyAlignment="1">
      <alignment horizontal="center" vertical="center" wrapText="1"/>
    </xf>
    <xf numFmtId="0" fontId="25" fillId="34" borderId="34" xfId="0" applyFont="1" applyFill="1" applyBorder="1" applyAlignment="1">
      <alignment horizontal="center" vertical="center" wrapText="1"/>
    </xf>
    <xf numFmtId="0" fontId="25" fillId="35" borderId="23" xfId="0" applyFont="1" applyFill="1" applyBorder="1" applyAlignment="1">
      <alignment horizontal="center" vertical="center" wrapText="1"/>
    </xf>
    <xf numFmtId="0" fontId="25" fillId="35" borderId="20" xfId="0" applyFont="1" applyFill="1" applyBorder="1" applyAlignment="1">
      <alignment horizontal="center" vertical="center" wrapText="1"/>
    </xf>
    <xf numFmtId="0" fontId="25" fillId="35" borderId="31" xfId="0" applyFont="1" applyFill="1" applyBorder="1" applyAlignment="1">
      <alignment horizontal="center" vertical="center" wrapText="1"/>
    </xf>
    <xf numFmtId="0" fontId="25" fillId="35" borderId="38" xfId="0" applyFont="1" applyFill="1" applyBorder="1" applyAlignment="1">
      <alignment horizontal="center" vertical="center" wrapText="1"/>
    </xf>
    <xf numFmtId="0" fontId="25" fillId="35" borderId="33" xfId="0" applyFont="1" applyFill="1" applyBorder="1" applyAlignment="1">
      <alignment horizontal="center" vertical="center" textRotation="90" wrapText="1"/>
    </xf>
    <xf numFmtId="0" fontId="25" fillId="35" borderId="28" xfId="0" applyFont="1" applyFill="1" applyBorder="1" applyAlignment="1">
      <alignment horizontal="center" vertical="center" textRotation="90" wrapText="1"/>
    </xf>
    <xf numFmtId="0" fontId="25" fillId="35" borderId="31" xfId="0" applyFont="1" applyFill="1" applyBorder="1" applyAlignment="1">
      <alignment horizontal="center" vertical="center" textRotation="90" wrapText="1"/>
    </xf>
    <xf numFmtId="0" fontId="32" fillId="0" borderId="39" xfId="0" applyFont="1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0" fontId="33" fillId="16" borderId="40" xfId="0" applyFont="1" applyFill="1" applyBorder="1" applyAlignment="1">
      <alignment horizontal="left" vertical="center" wrapText="1"/>
    </xf>
    <xf numFmtId="0" fontId="33" fillId="16" borderId="41" xfId="0" applyFont="1" applyFill="1" applyBorder="1" applyAlignment="1">
      <alignment horizontal="left" vertical="center" wrapText="1"/>
    </xf>
    <xf numFmtId="0" fontId="38" fillId="13" borderId="57" xfId="0" applyFont="1" applyFill="1" applyBorder="1" applyAlignment="1">
      <alignment horizontal="left" vertical="center" wrapText="1"/>
    </xf>
    <xf numFmtId="0" fontId="42" fillId="13" borderId="48" xfId="0" applyFont="1" applyFill="1" applyBorder="1" applyAlignment="1">
      <alignment horizontal="left" vertical="center" wrapText="1"/>
    </xf>
    <xf numFmtId="0" fontId="38" fillId="13" borderId="46" xfId="0" applyFont="1" applyFill="1" applyBorder="1" applyAlignment="1">
      <alignment horizontal="left" vertical="center" wrapText="1"/>
    </xf>
    <xf numFmtId="0" fontId="40" fillId="13" borderId="52" xfId="0" applyFont="1" applyFill="1" applyBorder="1" applyAlignment="1">
      <alignment horizontal="left" vertical="center" wrapText="1"/>
    </xf>
    <xf numFmtId="0" fontId="35" fillId="0" borderId="42" xfId="0" applyFont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18" borderId="4" xfId="0" applyFont="1" applyFill="1" applyBorder="1" applyAlignment="1" applyProtection="1">
      <alignment horizontal="center"/>
      <protection locked="0"/>
    </xf>
    <xf numFmtId="0" fontId="12" fillId="1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6" fillId="18" borderId="5" xfId="0" applyFont="1" applyFill="1" applyBorder="1" applyAlignment="1" applyProtection="1">
      <alignment horizontal="center" vertical="center"/>
      <protection locked="0"/>
    </xf>
    <xf numFmtId="0" fontId="16" fillId="18" borderId="5" xfId="0" applyFont="1" applyFill="1" applyBorder="1" applyAlignment="1">
      <alignment horizontal="center" vertical="center"/>
    </xf>
    <xf numFmtId="0" fontId="57" fillId="0" borderId="0" xfId="0" applyFont="1"/>
    <xf numFmtId="0" fontId="56" fillId="0" borderId="0" xfId="0" applyFont="1"/>
    <xf numFmtId="0" fontId="0" fillId="0" borderId="0" xfId="0" applyAlignment="1">
      <alignment horizontal="center" vertical="center" wrapText="1"/>
    </xf>
    <xf numFmtId="0" fontId="56" fillId="43" borderId="61" xfId="0" applyFont="1" applyFill="1" applyBorder="1" applyAlignment="1">
      <alignment vertical="center" wrapText="1"/>
    </xf>
    <xf numFmtId="0" fontId="56" fillId="43" borderId="61" xfId="0" applyFont="1" applyFill="1" applyBorder="1" applyAlignment="1">
      <alignment vertical="center" wrapText="1"/>
    </xf>
    <xf numFmtId="0" fontId="56" fillId="43" borderId="61" xfId="0" applyFont="1" applyFill="1" applyBorder="1" applyAlignment="1">
      <alignment horizontal="center" vertical="center" wrapText="1"/>
    </xf>
    <xf numFmtId="0" fontId="56" fillId="43" borderId="61" xfId="0" applyFont="1" applyFill="1" applyBorder="1"/>
    <xf numFmtId="1" fontId="57" fillId="42" borderId="0" xfId="0" applyNumberFormat="1" applyFont="1" applyFill="1" applyBorder="1" applyAlignment="1">
      <alignment horizontal="center" vertical="center" wrapText="1"/>
    </xf>
    <xf numFmtId="1" fontId="57" fillId="42" borderId="0" xfId="0" applyNumberFormat="1" applyFont="1" applyFill="1" applyBorder="1"/>
    <xf numFmtId="1" fontId="57" fillId="42" borderId="60" xfId="0" applyNumberFormat="1" applyFont="1" applyFill="1" applyBorder="1" applyAlignment="1">
      <alignment horizontal="center" vertical="center" wrapText="1"/>
    </xf>
    <xf numFmtId="1" fontId="57" fillId="42" borderId="60" xfId="0" applyNumberFormat="1" applyFont="1" applyFill="1" applyBorder="1"/>
    <xf numFmtId="1" fontId="57" fillId="42" borderId="62" xfId="0" applyNumberFormat="1" applyFont="1" applyFill="1" applyBorder="1" applyAlignment="1">
      <alignment horizontal="center" vertical="center" wrapText="1"/>
    </xf>
    <xf numFmtId="1" fontId="57" fillId="42" borderId="62" xfId="0" applyNumberFormat="1" applyFont="1" applyFill="1" applyBorder="1"/>
    <xf numFmtId="1" fontId="57" fillId="43" borderId="0" xfId="0" applyNumberFormat="1" applyFont="1" applyFill="1" applyBorder="1" applyAlignment="1">
      <alignment horizontal="center" vertical="center" wrapText="1"/>
    </xf>
    <xf numFmtId="1" fontId="57" fillId="43" borderId="0" xfId="0" applyNumberFormat="1" applyFont="1" applyFill="1" applyBorder="1"/>
    <xf numFmtId="1" fontId="57" fillId="43" borderId="60" xfId="0" applyNumberFormat="1" applyFont="1" applyFill="1" applyBorder="1" applyAlignment="1">
      <alignment horizontal="center" vertical="center" wrapText="1"/>
    </xf>
    <xf numFmtId="1" fontId="57" fillId="43" borderId="60" xfId="0" applyNumberFormat="1" applyFont="1" applyFill="1" applyBorder="1"/>
    <xf numFmtId="1" fontId="57" fillId="43" borderId="63" xfId="0" applyNumberFormat="1" applyFont="1" applyFill="1" applyBorder="1" applyAlignment="1">
      <alignment horizontal="center" vertical="center" wrapText="1"/>
    </xf>
    <xf numFmtId="1" fontId="57" fillId="43" borderId="63" xfId="0" applyNumberFormat="1" applyFont="1" applyFill="1" applyBorder="1"/>
    <xf numFmtId="1" fontId="57" fillId="42" borderId="64" xfId="0" applyNumberFormat="1" applyFont="1" applyFill="1" applyBorder="1" applyAlignment="1">
      <alignment horizontal="center" vertical="center" wrapText="1"/>
    </xf>
    <xf numFmtId="1" fontId="57" fillId="42" borderId="64" xfId="0" applyNumberFormat="1" applyFont="1" applyFill="1" applyBorder="1"/>
    <xf numFmtId="1" fontId="57" fillId="42" borderId="66" xfId="0" applyNumberFormat="1" applyFont="1" applyFill="1" applyBorder="1" applyAlignment="1">
      <alignment horizontal="center" vertical="center" wrapText="1"/>
    </xf>
    <xf numFmtId="1" fontId="57" fillId="42" borderId="66" xfId="0" applyNumberFormat="1" applyFont="1" applyFill="1" applyBorder="1"/>
    <xf numFmtId="1" fontId="57" fillId="43" borderId="64" xfId="0" applyNumberFormat="1" applyFont="1" applyFill="1" applyBorder="1" applyAlignment="1">
      <alignment horizontal="center" vertical="center" wrapText="1"/>
    </xf>
    <xf numFmtId="1" fontId="57" fillId="43" borderId="64" xfId="0" applyNumberFormat="1" applyFont="1" applyFill="1" applyBorder="1"/>
    <xf numFmtId="1" fontId="57" fillId="42" borderId="68" xfId="0" applyNumberFormat="1" applyFont="1" applyFill="1" applyBorder="1" applyAlignment="1">
      <alignment horizontal="center" vertical="center" wrapText="1"/>
    </xf>
    <xf numFmtId="1" fontId="57" fillId="42" borderId="68" xfId="0" applyNumberFormat="1" applyFont="1" applyFill="1" applyBorder="1"/>
    <xf numFmtId="1" fontId="57" fillId="42" borderId="69" xfId="0" applyNumberFormat="1" applyFont="1" applyFill="1" applyBorder="1" applyAlignment="1">
      <alignment horizontal="center" vertical="center" wrapText="1"/>
    </xf>
    <xf numFmtId="1" fontId="57" fillId="42" borderId="69" xfId="0" applyNumberFormat="1" applyFont="1" applyFill="1" applyBorder="1"/>
    <xf numFmtId="1" fontId="57" fillId="42" borderId="67" xfId="0" applyNumberFormat="1" applyFont="1" applyFill="1" applyBorder="1" applyAlignment="1">
      <alignment horizontal="center" vertical="center" wrapText="1"/>
    </xf>
    <xf numFmtId="1" fontId="57" fillId="42" borderId="67" xfId="0" applyNumberFormat="1" applyFont="1" applyFill="1" applyBorder="1"/>
    <xf numFmtId="1" fontId="58" fillId="42" borderId="0" xfId="0" applyNumberFormat="1" applyFont="1" applyFill="1" applyBorder="1" applyAlignment="1">
      <alignment vertical="center" wrapText="1"/>
    </xf>
    <xf numFmtId="1" fontId="58" fillId="42" borderId="60" xfId="0" applyNumberFormat="1" applyFont="1" applyFill="1" applyBorder="1" applyAlignment="1">
      <alignment vertical="center" wrapText="1"/>
    </xf>
    <xf numFmtId="1" fontId="58" fillId="42" borderId="62" xfId="0" applyNumberFormat="1" applyFont="1" applyFill="1" applyBorder="1" applyAlignment="1">
      <alignment vertical="center" wrapText="1"/>
    </xf>
    <xf numFmtId="0" fontId="59" fillId="42" borderId="70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62" xfId="0" applyFont="1" applyBorder="1" applyAlignment="1">
      <alignment horizontal="center" vertical="center" wrapText="1"/>
    </xf>
    <xf numFmtId="0" fontId="60" fillId="42" borderId="70" xfId="0" applyFont="1" applyFill="1" applyBorder="1" applyAlignment="1">
      <alignment horizontal="left" vertical="center" wrapText="1"/>
    </xf>
    <xf numFmtId="0" fontId="60" fillId="0" borderId="0" xfId="0" applyFont="1" applyAlignment="1">
      <alignment horizontal="left" vertical="center" wrapText="1"/>
    </xf>
    <xf numFmtId="0" fontId="60" fillId="0" borderId="62" xfId="0" applyFont="1" applyBorder="1" applyAlignment="1">
      <alignment horizontal="left" vertical="center" wrapText="1"/>
    </xf>
    <xf numFmtId="1" fontId="61" fillId="43" borderId="0" xfId="0" applyNumberFormat="1" applyFont="1" applyFill="1" applyBorder="1" applyAlignment="1">
      <alignment vertical="center" wrapText="1"/>
    </xf>
    <xf numFmtId="1" fontId="61" fillId="43" borderId="60" xfId="0" applyNumberFormat="1" applyFont="1" applyFill="1" applyBorder="1" applyAlignment="1">
      <alignment vertical="center" wrapText="1"/>
    </xf>
    <xf numFmtId="1" fontId="61" fillId="43" borderId="63" xfId="0" applyNumberFormat="1" applyFont="1" applyFill="1" applyBorder="1" applyAlignment="1">
      <alignment vertical="center" wrapText="1"/>
    </xf>
    <xf numFmtId="0" fontId="62" fillId="43" borderId="71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63" fillId="43" borderId="71" xfId="0" applyFont="1" applyFill="1" applyBorder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63" fillId="0" borderId="63" xfId="0" applyFont="1" applyBorder="1" applyAlignment="1">
      <alignment horizontal="left" vertical="center" wrapText="1"/>
    </xf>
    <xf numFmtId="1" fontId="64" fillId="42" borderId="0" xfId="0" applyNumberFormat="1" applyFont="1" applyFill="1" applyBorder="1" applyAlignment="1">
      <alignment vertical="center" wrapText="1"/>
    </xf>
    <xf numFmtId="1" fontId="64" fillId="42" borderId="64" xfId="0" applyNumberFormat="1" applyFont="1" applyFill="1" applyBorder="1" applyAlignment="1">
      <alignment vertical="center" wrapText="1"/>
    </xf>
    <xf numFmtId="1" fontId="64" fillId="42" borderId="66" xfId="0" applyNumberFormat="1" applyFont="1" applyFill="1" applyBorder="1" applyAlignment="1">
      <alignment vertical="center" wrapText="1"/>
    </xf>
    <xf numFmtId="0" fontId="65" fillId="42" borderId="72" xfId="0" applyFont="1" applyFill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65" xfId="0" applyFont="1" applyBorder="1" applyAlignment="1">
      <alignment horizontal="center" vertical="center" wrapText="1"/>
    </xf>
    <xf numFmtId="0" fontId="66" fillId="42" borderId="72" xfId="0" applyFont="1" applyFill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65" xfId="0" applyFont="1" applyBorder="1" applyAlignment="1">
      <alignment horizontal="left" vertical="center" wrapText="1"/>
    </xf>
    <xf numFmtId="1" fontId="67" fillId="43" borderId="0" xfId="0" applyNumberFormat="1" applyFont="1" applyFill="1" applyBorder="1" applyAlignment="1">
      <alignment vertical="center" wrapText="1"/>
    </xf>
    <xf numFmtId="1" fontId="67" fillId="43" borderId="64" xfId="0" applyNumberFormat="1" applyFont="1" applyFill="1" applyBorder="1" applyAlignment="1">
      <alignment vertical="center" wrapText="1"/>
    </xf>
    <xf numFmtId="0" fontId="68" fillId="43" borderId="73" xfId="0" applyFont="1" applyFill="1" applyBorder="1" applyAlignment="1">
      <alignment horizontal="center" vertical="center" wrapText="1"/>
    </xf>
    <xf numFmtId="0" fontId="68" fillId="0" borderId="0" xfId="0" applyFont="1" applyAlignment="1">
      <alignment horizontal="center" vertical="center" wrapText="1"/>
    </xf>
    <xf numFmtId="0" fontId="68" fillId="0" borderId="67" xfId="0" applyFont="1" applyBorder="1" applyAlignment="1">
      <alignment horizontal="center" vertical="center" wrapText="1"/>
    </xf>
    <xf numFmtId="0" fontId="69" fillId="43" borderId="73" xfId="0" applyFont="1" applyFill="1" applyBorder="1" applyAlignment="1">
      <alignment horizontal="left" vertical="center" wrapText="1"/>
    </xf>
    <xf numFmtId="0" fontId="69" fillId="0" borderId="0" xfId="0" applyFont="1" applyAlignment="1">
      <alignment horizontal="left" vertical="center" wrapText="1"/>
    </xf>
    <xf numFmtId="0" fontId="69" fillId="0" borderId="67" xfId="0" applyFont="1" applyBorder="1" applyAlignment="1">
      <alignment horizontal="left" vertical="center" wrapText="1"/>
    </xf>
    <xf numFmtId="1" fontId="70" fillId="42" borderId="68" xfId="0" applyNumberFormat="1" applyFont="1" applyFill="1" applyBorder="1" applyAlignment="1">
      <alignment vertical="center" wrapText="1"/>
    </xf>
    <xf numFmtId="1" fontId="70" fillId="42" borderId="69" xfId="0" applyNumberFormat="1" applyFont="1" applyFill="1" applyBorder="1" applyAlignment="1">
      <alignment vertical="center" wrapText="1"/>
    </xf>
    <xf numFmtId="1" fontId="70" fillId="42" borderId="67" xfId="0" applyNumberFormat="1" applyFont="1" applyFill="1" applyBorder="1" applyAlignment="1">
      <alignment vertical="center" wrapText="1"/>
    </xf>
    <xf numFmtId="0" fontId="71" fillId="42" borderId="68" xfId="0" applyFont="1" applyFill="1" applyBorder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0" fontId="71" fillId="0" borderId="67" xfId="0" applyFont="1" applyBorder="1" applyAlignment="1">
      <alignment horizontal="center" vertical="center" wrapText="1"/>
    </xf>
    <xf numFmtId="0" fontId="72" fillId="42" borderId="68" xfId="0" applyFont="1" applyFill="1" applyBorder="1" applyAlignment="1">
      <alignment horizontal="left" vertical="center" wrapText="1"/>
    </xf>
    <xf numFmtId="0" fontId="72" fillId="0" borderId="0" xfId="0" applyFont="1" applyAlignment="1">
      <alignment horizontal="left" vertical="center" wrapText="1"/>
    </xf>
    <xf numFmtId="0" fontId="72" fillId="0" borderId="67" xfId="0" applyFont="1" applyBorder="1" applyAlignment="1">
      <alignment horizontal="left" vertical="center" wrapText="1"/>
    </xf>
  </cellXfs>
  <cellStyles count="6">
    <cellStyle name="Entrada" xfId="3" builtinId="20"/>
    <cellStyle name="Normal" xfId="0" builtinId="0"/>
    <cellStyle name="Normal 3" xfId="5"/>
    <cellStyle name="Título" xfId="1" builtinId="15"/>
    <cellStyle name="Título 2" xfId="2" builtinId="17"/>
    <cellStyle name="Total" xfId="4" builtinId="25"/>
  </cellStyles>
  <dxfs count="0"/>
  <tableStyles count="0" defaultTableStyle="TableStyleMedium2" defaultPivotStyle="PivotStyleMedium9"/>
  <colors>
    <mruColors>
      <color rgb="FF008000"/>
      <color rgb="FFFFFFFF"/>
      <color rgb="FF404040"/>
      <color rgb="FF7F7F7F"/>
      <color rgb="FF000000"/>
      <color rgb="FF006086"/>
      <color rgb="FF007E86"/>
      <color rgb="FFBD1933"/>
      <color rgb="FF595959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4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#,#00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#,#00</c:formatCode>
                <c:ptCount val="7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71.569999999999993</c:v>
                </c:pt>
                <c:pt idx="1">
                  <c:v>68.66</c:v>
                </c:pt>
                <c:pt idx="2">
                  <c:v>78.569999999999993</c:v>
                </c:pt>
                <c:pt idx="3">
                  <c:v>75.319999999999993</c:v>
                </c:pt>
                <c:pt idx="4">
                  <c:v>2.91</c:v>
                </c:pt>
                <c:pt idx="5">
                  <c:v>-7</c:v>
                </c:pt>
                <c:pt idx="6">
                  <c:v>-3.75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68.66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6251264"/>
        <c:axId val="904563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68.08</c:v>
                </c:pt>
                <c:pt idx="1">
                  <c:v>66.099999999999994</c:v>
                </c:pt>
                <c:pt idx="2">
                  <c:v>81.900000000000006</c:v>
                </c:pt>
                <c:pt idx="3">
                  <c:v>78.42</c:v>
                </c:pt>
                <c:pt idx="4">
                  <c:v>1.98</c:v>
                </c:pt>
                <c:pt idx="5">
                  <c:v>-13.82</c:v>
                </c:pt>
                <c:pt idx="6">
                  <c:v>-10.34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251264"/>
        <c:axId val="90456384"/>
      </c:lineChart>
      <c:catAx>
        <c:axId val="1996251264"/>
        <c:scaling>
          <c:orientation val="minMax"/>
        </c:scaling>
        <c:delete val="1"/>
        <c:axPos val="b"/>
        <c:majorTickMark val="none"/>
        <c:minorTickMark val="none"/>
        <c:tickLblPos val="nextTo"/>
        <c:crossAx val="90456384"/>
        <c:crosses val="autoZero"/>
        <c:auto val="1"/>
        <c:lblAlgn val="ctr"/>
        <c:lblOffset val="100"/>
        <c:noMultiLvlLbl val="0"/>
      </c:catAx>
      <c:valAx>
        <c:axId val="904563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625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 formatCode="General">
                  <c:v>0</c:v>
                </c:pt>
                <c:pt idx="1">
                  <c:v>89.99</c:v>
                </c:pt>
                <c:pt idx="2">
                  <c:v>73.36</c:v>
                </c:pt>
                <c:pt idx="3">
                  <c:v>69.650000000000006</c:v>
                </c:pt>
                <c:pt idx="4" formatCode="General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0</c:v>
                </c:pt>
                <c:pt idx="1">
                  <c:v>81.95</c:v>
                </c:pt>
                <c:pt idx="2">
                  <c:v>73.63</c:v>
                </c:pt>
                <c:pt idx="3">
                  <c:v>65.900000000000006</c:v>
                </c:pt>
                <c:pt idx="4">
                  <c:v>77.260000000000005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6240608"/>
        <c:axId val="904521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0</c:v>
                </c:pt>
                <c:pt idx="1">
                  <c:v>96.15</c:v>
                </c:pt>
                <c:pt idx="2">
                  <c:v>70.150000000000006</c:v>
                </c:pt>
                <c:pt idx="3">
                  <c:v>65.239999999999995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240608"/>
        <c:axId val="90452128"/>
      </c:lineChart>
      <c:catAx>
        <c:axId val="1996240608"/>
        <c:scaling>
          <c:orientation val="minMax"/>
        </c:scaling>
        <c:delete val="1"/>
        <c:axPos val="b"/>
        <c:majorTickMark val="none"/>
        <c:minorTickMark val="none"/>
        <c:tickLblPos val="nextTo"/>
        <c:crossAx val="90452128"/>
        <c:crosses val="autoZero"/>
        <c:auto val="1"/>
        <c:lblAlgn val="ctr"/>
        <c:lblOffset val="100"/>
        <c:noMultiLvlLbl val="0"/>
      </c:catAx>
      <c:valAx>
        <c:axId val="904521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9624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71.23</c:v>
                </c:pt>
                <c:pt idx="1">
                  <c:v>72.239999999999995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67.92</c:v>
                </c:pt>
                <c:pt idx="1">
                  <c:v>69.959999999999994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6250080"/>
        <c:axId val="904624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66.77</c:v>
                </c:pt>
                <c:pt idx="1">
                  <c:v>70.63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250080"/>
        <c:axId val="90462464"/>
      </c:lineChart>
      <c:catAx>
        <c:axId val="1996250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90462464"/>
        <c:crosses val="autoZero"/>
        <c:auto val="1"/>
        <c:lblAlgn val="ctr"/>
        <c:lblOffset val="100"/>
        <c:noMultiLvlLbl val="0"/>
      </c:catAx>
      <c:valAx>
        <c:axId val="904624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625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Demografías'!$D$354:$J$354</c:f>
              <c:numCache>
                <c:formatCode>0</c:formatCode>
                <c:ptCount val="7"/>
                <c:pt idx="0">
                  <c:v>67.98</c:v>
                </c:pt>
                <c:pt idx="1">
                  <c:v>66.010000000000005</c:v>
                </c:pt>
                <c:pt idx="2">
                  <c:v>74.72</c:v>
                </c:pt>
                <c:pt idx="3">
                  <c:v>73.73</c:v>
                </c:pt>
                <c:pt idx="4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Demografías'!$D$356:$J$356</c:f>
              <c:numCache>
                <c:formatCode>0</c:formatCode>
                <c:ptCount val="7"/>
                <c:pt idx="0">
                  <c:v>73.83</c:v>
                </c:pt>
                <c:pt idx="1">
                  <c:v>59.53</c:v>
                </c:pt>
                <c:pt idx="2">
                  <c:v>72.44</c:v>
                </c:pt>
                <c:pt idx="3">
                  <c:v>72.56</c:v>
                </c:pt>
                <c:pt idx="4">
                  <c:v>71.7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6244752"/>
        <c:axId val="904648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Demografías'!$D$359:$J$359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Demografías'!$D$360:$J$360</c:f>
              <c:numCache>
                <c:formatCode>0</c:formatCode>
                <c:ptCount val="7"/>
                <c:pt idx="0">
                  <c:v>62.51</c:v>
                </c:pt>
                <c:pt idx="1">
                  <c:v>63.12</c:v>
                </c:pt>
                <c:pt idx="2">
                  <c:v>72.41</c:v>
                </c:pt>
                <c:pt idx="3">
                  <c:v>66.39</c:v>
                </c:pt>
                <c:pt idx="4">
                  <c:v>80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244752"/>
        <c:axId val="90464896"/>
      </c:lineChart>
      <c:catAx>
        <c:axId val="1996244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90464896"/>
        <c:crosses val="autoZero"/>
        <c:auto val="1"/>
        <c:lblAlgn val="ctr"/>
        <c:lblOffset val="100"/>
        <c:noMultiLvlLbl val="0"/>
      </c:catAx>
      <c:valAx>
        <c:axId val="904648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624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Demografías'!$D$445:$J$445</c:f>
              <c:numCache>
                <c:formatCode>0</c:formatCode>
                <c:ptCount val="7"/>
                <c:pt idx="0">
                  <c:v>71.680000000000007</c:v>
                </c:pt>
                <c:pt idx="1">
                  <c:v>70.13</c:v>
                </c:pt>
                <c:pt idx="2">
                  <c:v>67.97</c:v>
                </c:pt>
                <c:pt idx="3">
                  <c:v>73.98</c:v>
                </c:pt>
                <c:pt idx="4">
                  <c:v>76.180000000000007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Demografías'!$D$447:$J$447</c:f>
              <c:numCache>
                <c:formatCode>0</c:formatCode>
                <c:ptCount val="7"/>
                <c:pt idx="0">
                  <c:v>71.45</c:v>
                </c:pt>
                <c:pt idx="1">
                  <c:v>66.28</c:v>
                </c:pt>
                <c:pt idx="2">
                  <c:v>65.08</c:v>
                </c:pt>
                <c:pt idx="3">
                  <c:v>70.23</c:v>
                </c:pt>
                <c:pt idx="4">
                  <c:v>76.27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6237648"/>
        <c:axId val="904679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Demografías'!$D$450:$J$450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Demografías'!$D$451:$J$451</c:f>
              <c:numCache>
                <c:formatCode>0</c:formatCode>
                <c:ptCount val="7"/>
                <c:pt idx="0">
                  <c:v>65.709999999999994</c:v>
                </c:pt>
                <c:pt idx="1">
                  <c:v>67.48</c:v>
                </c:pt>
                <c:pt idx="2">
                  <c:v>64.459999999999994</c:v>
                </c:pt>
                <c:pt idx="3">
                  <c:v>75.86</c:v>
                </c:pt>
                <c:pt idx="4">
                  <c:v>70.3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237648"/>
        <c:axId val="90467936"/>
      </c:lineChart>
      <c:catAx>
        <c:axId val="1996237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90467936"/>
        <c:crosses val="autoZero"/>
        <c:auto val="1"/>
        <c:lblAlgn val="ctr"/>
        <c:lblOffset val="100"/>
        <c:noMultiLvlLbl val="0"/>
      </c:catAx>
      <c:valAx>
        <c:axId val="904679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623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Demografías'!$D$536:$J$536</c:f>
              <c:numCache>
                <c:formatCode>General</c:formatCode>
                <c:ptCount val="7"/>
                <c:pt idx="0" formatCode="0">
                  <c:v>71.58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68.42</c:v>
                </c:pt>
                <c:pt idx="1">
                  <c:v>75.09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6239424"/>
        <c:axId val="904405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Demografías'!$D$541:$J$541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Demografías'!$D$542:$J$542</c:f>
              <c:numCache>
                <c:formatCode>0</c:formatCode>
                <c:ptCount val="7"/>
                <c:pt idx="0">
                  <c:v>68.010000000000005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239424"/>
        <c:axId val="90440576"/>
      </c:lineChart>
      <c:catAx>
        <c:axId val="1996239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90440576"/>
        <c:crosses val="autoZero"/>
        <c:auto val="1"/>
        <c:lblAlgn val="ctr"/>
        <c:lblOffset val="100"/>
        <c:noMultiLvlLbl val="0"/>
      </c:catAx>
      <c:valAx>
        <c:axId val="904405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623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34.375</c:v>
                </c:pt>
                <c:pt idx="1">
                  <c:v>16.875</c:v>
                </c:pt>
                <c:pt idx="2">
                  <c:v>24.166666666666668</c:v>
                </c:pt>
                <c:pt idx="3">
                  <c:v>19.166666666666668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34.375</c:v>
                </c:pt>
                <c:pt idx="1">
                  <c:v>16.875</c:v>
                </c:pt>
                <c:pt idx="2">
                  <c:v>24.166666666666668</c:v>
                </c:pt>
                <c:pt idx="3">
                  <c:v>19.166666666666668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Demografías'!$D$627:$J$627</c:f>
              <c:numCache>
                <c:formatCode>0</c:formatCode>
                <c:ptCount val="7"/>
                <c:pt idx="0">
                  <c:v>81.3</c:v>
                </c:pt>
                <c:pt idx="1">
                  <c:v>75.39</c:v>
                </c:pt>
                <c:pt idx="2">
                  <c:v>71.11</c:v>
                </c:pt>
                <c:pt idx="3">
                  <c:v>55.88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82.22</c:v>
                </c:pt>
                <c:pt idx="1">
                  <c:v>72.290000000000006</c:v>
                </c:pt>
                <c:pt idx="2">
                  <c:v>60.39</c:v>
                </c:pt>
                <c:pt idx="3">
                  <c:v>48.85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6240016"/>
        <c:axId val="869757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Demografías'!$D$632:$J$632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Demografías'!$D$633:$J$633</c:f>
              <c:numCache>
                <c:formatCode>0</c:formatCode>
                <c:ptCount val="7"/>
                <c:pt idx="0">
                  <c:v>82.42</c:v>
                </c:pt>
                <c:pt idx="1">
                  <c:v>70.37</c:v>
                </c:pt>
                <c:pt idx="2">
                  <c:v>67.83</c:v>
                </c:pt>
                <c:pt idx="3">
                  <c:v>44.57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240016"/>
        <c:axId val="86975776"/>
      </c:lineChart>
      <c:catAx>
        <c:axId val="1996240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86975776"/>
        <c:crosses val="autoZero"/>
        <c:auto val="1"/>
        <c:lblAlgn val="ctr"/>
        <c:lblOffset val="100"/>
        <c:noMultiLvlLbl val="0"/>
      </c:catAx>
      <c:valAx>
        <c:axId val="86975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624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7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8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9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Demografías'!$D$718:$J$718</c:f>
              <c:numCache>
                <c:formatCode>General</c:formatCode>
                <c:ptCount val="7"/>
                <c:pt idx="0" formatCode="0">
                  <c:v>71.569999999999993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68.66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6243568"/>
        <c:axId val="869867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Demografías'!$D$723:$J$723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Demografías'!$D$724:$J$724</c:f>
              <c:numCache>
                <c:formatCode>0</c:formatCode>
                <c:ptCount val="7"/>
                <c:pt idx="0">
                  <c:v>68.08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243568"/>
        <c:axId val="86986720"/>
      </c:lineChart>
      <c:catAx>
        <c:axId val="1996243568"/>
        <c:scaling>
          <c:orientation val="minMax"/>
        </c:scaling>
        <c:delete val="1"/>
        <c:axPos val="b"/>
        <c:majorTickMark val="none"/>
        <c:minorTickMark val="none"/>
        <c:tickLblPos val="nextTo"/>
        <c:crossAx val="86986720"/>
        <c:crosses val="autoZero"/>
        <c:auto val="1"/>
        <c:lblAlgn val="ctr"/>
        <c:lblOffset val="100"/>
        <c:noMultiLvlLbl val="0"/>
      </c:catAx>
      <c:valAx>
        <c:axId val="869867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624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Demografías'!$D$749:$J$749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Demografías'!$D$751:$J$751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6247120"/>
        <c:axId val="869763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Demografías'!$D$754:$J$754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Demografías'!$D$755:$J$755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247120"/>
        <c:axId val="86976384"/>
      </c:lineChart>
      <c:catAx>
        <c:axId val="1996247120"/>
        <c:scaling>
          <c:orientation val="minMax"/>
        </c:scaling>
        <c:delete val="1"/>
        <c:axPos val="b"/>
        <c:majorTickMark val="none"/>
        <c:minorTickMark val="none"/>
        <c:tickLblPos val="nextTo"/>
        <c:crossAx val="86976384"/>
        <c:crosses val="autoZero"/>
        <c:auto val="1"/>
        <c:lblAlgn val="ctr"/>
        <c:lblOffset val="100"/>
        <c:noMultiLvlLbl val="0"/>
      </c:catAx>
      <c:valAx>
        <c:axId val="86976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9624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7,9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15,2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Demografía!$BB$2:$BV$2</c:f>
              <c:strCache>
                <c:ptCount val="21"/>
                <c:pt idx="0">
                  <c:v>Cloud Services</c:v>
                </c:pt>
                <c:pt idx="1">
                  <c:v>Development</c:v>
                </c:pt>
                <c:pt idx="2">
                  <c:v>GBU´s/IBU´S- Bob Weiler´s / Dontatelli´s / Mc Geever´s Org</c:v>
                </c:pt>
                <c:pt idx="3">
                  <c:v>Global G&amp;A/Manufacturing (SSC &amp; Others)</c:v>
                </c:pt>
                <c:pt idx="4">
                  <c:v>Global IT</c:v>
                </c:pt>
                <c:pt idx="5">
                  <c:v>Global Sales CEO Office</c:v>
                </c:pt>
                <c:pt idx="6">
                  <c:v>Product Support</c:v>
                </c:pt>
                <c:pt idx="7">
                  <c:v>Eduardo Lopez´s Org (excl. Consulting)</c:v>
                </c:pt>
                <c:pt idx="8">
                  <c:v>LAD Consulting</c:v>
                </c:pt>
                <c:pt idx="9">
                  <c:v>LAD Customer Services</c:v>
                </c:pt>
                <c:pt idx="10">
                  <c:v>LAD Deal Management</c:v>
                </c:pt>
                <c:pt idx="11">
                  <c:v>LAD Education</c:v>
                </c:pt>
                <c:pt idx="12">
                  <c:v>LAD Facilities</c:v>
                </c:pt>
                <c:pt idx="13">
                  <c:v>LAD Finance &amp; Operations (Cheryl McDowell´s)</c:v>
                </c:pt>
                <c:pt idx="14">
                  <c:v>LAD HR</c:v>
                </c:pt>
                <c:pt idx="15">
                  <c:v>LAD Legal</c:v>
                </c:pt>
                <c:pt idx="16">
                  <c:v>LAD Licenses &amp; Systems</c:v>
                </c:pt>
                <c:pt idx="17">
                  <c:v>LAD LMS</c:v>
                </c:pt>
                <c:pt idx="18">
                  <c:v>LAD Marketing</c:v>
                </c:pt>
                <c:pt idx="19">
                  <c:v>LAD Recruiting</c:v>
                </c:pt>
                <c:pt idx="20">
                  <c:v>LAD Support</c:v>
                </c:pt>
              </c:strCache>
            </c:strRef>
          </c:cat>
          <c:val>
            <c:numRef>
              <c:f>Demografía!$BB$17:$BV$17</c:f>
              <c:numCache>
                <c:formatCode>0.0</c:formatCode>
                <c:ptCount val="21"/>
                <c:pt idx="0">
                  <c:v>1.0416666666666665</c:v>
                </c:pt>
                <c:pt idx="1">
                  <c:v>0.625</c:v>
                </c:pt>
                <c:pt idx="2">
                  <c:v>10</c:v>
                </c:pt>
                <c:pt idx="3">
                  <c:v>0.41666666666666669</c:v>
                </c:pt>
                <c:pt idx="4">
                  <c:v>0.625</c:v>
                </c:pt>
                <c:pt idx="5">
                  <c:v>6.8750000000000009</c:v>
                </c:pt>
                <c:pt idx="6">
                  <c:v>0.20833333333333334</c:v>
                </c:pt>
                <c:pt idx="7">
                  <c:v>5.833333333333333</c:v>
                </c:pt>
                <c:pt idx="8">
                  <c:v>33.125</c:v>
                </c:pt>
                <c:pt idx="9">
                  <c:v>7.9166666666666661</c:v>
                </c:pt>
                <c:pt idx="10">
                  <c:v>0.625</c:v>
                </c:pt>
                <c:pt idx="11">
                  <c:v>0.41666666666666669</c:v>
                </c:pt>
                <c:pt idx="12">
                  <c:v>0.83333333333333337</c:v>
                </c:pt>
                <c:pt idx="13">
                  <c:v>3.125</c:v>
                </c:pt>
                <c:pt idx="14">
                  <c:v>1.0416666666666665</c:v>
                </c:pt>
                <c:pt idx="15">
                  <c:v>0.41666666666666669</c:v>
                </c:pt>
                <c:pt idx="16">
                  <c:v>15.208333333333332</c:v>
                </c:pt>
                <c:pt idx="17">
                  <c:v>0.625</c:v>
                </c:pt>
                <c:pt idx="18">
                  <c:v>2.083333333333333</c:v>
                </c:pt>
                <c:pt idx="19">
                  <c:v>0.83333333333333337</c:v>
                </c:pt>
                <c:pt idx="20">
                  <c:v>8.125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996247712"/>
        <c:axId val="86978208"/>
      </c:barChart>
      <c:catAx>
        <c:axId val="19962477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86978208"/>
        <c:crosses val="autoZero"/>
        <c:auto val="1"/>
        <c:lblAlgn val="ctr"/>
        <c:lblOffset val="100"/>
        <c:noMultiLvlLbl val="0"/>
      </c:catAx>
      <c:valAx>
        <c:axId val="86978208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99624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Demografías'!$D$810:$J$810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 formatCode="0">
                  <c:v>55.82</c:v>
                </c:pt>
                <c:pt idx="3">
                  <c:v>0</c:v>
                </c:pt>
                <c:pt idx="4">
                  <c:v>0</c:v>
                </c:pt>
                <c:pt idx="5" formatCode="0">
                  <c:v>72.739999999999995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Demografías'!$D$812:$J$812</c:f>
              <c:numCache>
                <c:formatCode>0</c:formatCode>
                <c:ptCount val="7"/>
                <c:pt idx="0">
                  <c:v>53.78</c:v>
                </c:pt>
                <c:pt idx="1">
                  <c:v>69.599999999999994</c:v>
                </c:pt>
                <c:pt idx="2">
                  <c:v>51.49</c:v>
                </c:pt>
                <c:pt idx="3">
                  <c:v>0</c:v>
                </c:pt>
                <c:pt idx="4">
                  <c:v>0</c:v>
                </c:pt>
                <c:pt idx="5">
                  <c:v>52.19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6248304"/>
        <c:axId val="869800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Demografías'!$D$815:$J$815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Demografías'!$D$816:$J$816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46.81</c:v>
                </c:pt>
                <c:pt idx="3">
                  <c:v>0</c:v>
                </c:pt>
                <c:pt idx="4">
                  <c:v>0</c:v>
                </c:pt>
                <c:pt idx="5">
                  <c:v>72.73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248304"/>
        <c:axId val="86980032"/>
      </c:lineChart>
      <c:catAx>
        <c:axId val="1996248304"/>
        <c:scaling>
          <c:orientation val="minMax"/>
        </c:scaling>
        <c:delete val="1"/>
        <c:axPos val="b"/>
        <c:majorTickMark val="none"/>
        <c:minorTickMark val="none"/>
        <c:tickLblPos val="nextTo"/>
        <c:crossAx val="86980032"/>
        <c:crosses val="autoZero"/>
        <c:auto val="1"/>
        <c:lblAlgn val="ctr"/>
        <c:lblOffset val="100"/>
        <c:noMultiLvlLbl val="0"/>
      </c:catAx>
      <c:valAx>
        <c:axId val="86980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9624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Demografías'!$D$841:$J$841</c:f>
              <c:numCache>
                <c:formatCode>0</c:formatCode>
                <c:ptCount val="7"/>
                <c:pt idx="0">
                  <c:v>76.150000000000006</c:v>
                </c:pt>
                <c:pt idx="1">
                  <c:v>74.09</c:v>
                </c:pt>
                <c:pt idx="2">
                  <c:v>79.63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>
                  <c:v>75.290000000000006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Demografías'!$D$843:$J$843</c:f>
              <c:numCache>
                <c:formatCode>0</c:formatCode>
                <c:ptCount val="7"/>
                <c:pt idx="0">
                  <c:v>82.58</c:v>
                </c:pt>
                <c:pt idx="1">
                  <c:v>72.69</c:v>
                </c:pt>
                <c:pt idx="2">
                  <c:v>79.94</c:v>
                </c:pt>
                <c:pt idx="3">
                  <c:v>0</c:v>
                </c:pt>
                <c:pt idx="4">
                  <c:v>0</c:v>
                </c:pt>
                <c:pt idx="5">
                  <c:v>80.58</c:v>
                </c:pt>
                <c:pt idx="6">
                  <c:v>59.53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6242976"/>
        <c:axId val="869812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Demografías'!$D$846:$J$846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Demografías'!$D$847:$J$847</c:f>
              <c:numCache>
                <c:formatCode>0</c:formatCode>
                <c:ptCount val="7"/>
                <c:pt idx="0">
                  <c:v>85.71</c:v>
                </c:pt>
                <c:pt idx="1">
                  <c:v>64.150000000000006</c:v>
                </c:pt>
                <c:pt idx="2">
                  <c:v>83.33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73.33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242976"/>
        <c:axId val="86981248"/>
      </c:lineChart>
      <c:catAx>
        <c:axId val="1996242976"/>
        <c:scaling>
          <c:orientation val="minMax"/>
        </c:scaling>
        <c:delete val="1"/>
        <c:axPos val="b"/>
        <c:majorTickMark val="none"/>
        <c:minorTickMark val="none"/>
        <c:tickLblPos val="nextTo"/>
        <c:crossAx val="86981248"/>
        <c:crosses val="autoZero"/>
        <c:auto val="1"/>
        <c:lblAlgn val="ctr"/>
        <c:lblOffset val="100"/>
        <c:noMultiLvlLbl val="0"/>
      </c:catAx>
      <c:valAx>
        <c:axId val="86981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624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Demografías'!$D$872:$J$872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 formatCode="0">
                  <c:v>72.8</c:v>
                </c:pt>
                <c:pt idx="3">
                  <c:v>0</c:v>
                </c:pt>
                <c:pt idx="4" formatCode="0">
                  <c:v>73.97</c:v>
                </c:pt>
                <c:pt idx="5">
                  <c:v>0</c:v>
                </c:pt>
                <c:pt idx="6" formatCode="0">
                  <c:v>64.75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Demografías'!$D$874:$J$874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73.709999999999994</c:v>
                </c:pt>
                <c:pt idx="3">
                  <c:v>0</c:v>
                </c:pt>
                <c:pt idx="4">
                  <c:v>76.13</c:v>
                </c:pt>
                <c:pt idx="5">
                  <c:v>72.13</c:v>
                </c:pt>
                <c:pt idx="6">
                  <c:v>60.86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7324624"/>
        <c:axId val="711208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Demografías'!$D$877:$J$877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Demografías'!$D$878:$J$878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72.86</c:v>
                </c:pt>
                <c:pt idx="3">
                  <c:v>0</c:v>
                </c:pt>
                <c:pt idx="4">
                  <c:v>70</c:v>
                </c:pt>
                <c:pt idx="5">
                  <c:v>0</c:v>
                </c:pt>
                <c:pt idx="6">
                  <c:v>63.16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24624"/>
        <c:axId val="71120864"/>
      </c:lineChart>
      <c:catAx>
        <c:axId val="1997324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71120864"/>
        <c:crosses val="autoZero"/>
        <c:auto val="1"/>
        <c:lblAlgn val="ctr"/>
        <c:lblOffset val="100"/>
        <c:noMultiLvlLbl val="0"/>
      </c:catAx>
      <c:valAx>
        <c:axId val="711208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9732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12,7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4,4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17,3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Demografía!$BX$2:$ER$2</c:f>
              <c:strCache>
                <c:ptCount val="73"/>
                <c:pt idx="0">
                  <c:v>Cloud Services-All Others</c:v>
                </c:pt>
                <c:pt idx="1">
                  <c:v>Cloud Services-Business Development (Tony Gray´s Org)</c:v>
                </c:pt>
                <c:pt idx="2">
                  <c:v>Cloud Services-Solution Management (Bearzi´s Org)</c:v>
                </c:pt>
                <c:pt idx="3">
                  <c:v>Development - Apps (Steve Miranda´s Org)</c:v>
                </c:pt>
                <c:pt idx="4">
                  <c:v>Development - Corporate Arquitect (Screven´s Org)</c:v>
                </c:pt>
                <c:pt idx="5">
                  <c:v>Development - Database (Andy Mendelsohn´s Org)</c:v>
                </c:pt>
                <c:pt idx="6">
                  <c:v>Development - Enterprise Mgmt (Prakash Ramamurthy´s Org)</c:v>
                </c:pt>
                <c:pt idx="7">
                  <c:v>Development - Production Engineering &amp; Operations (Campbell Webb´s Org)</c:v>
                </c:pt>
                <c:pt idx="8">
                  <c:v>Development - People Soft Development (Abrejuan´s Org)</c:v>
                </c:pt>
                <c:pt idx="9">
                  <c:v>Development Sustaining - (Eleonor Meritt´s Org)</c:v>
                </c:pt>
                <c:pt idx="10">
                  <c:v>Development - All Others</c:v>
                </c:pt>
                <c:pt idx="11">
                  <c:v>Development - Cloud Development (Don Johnson´s Org)</c:v>
                </c:pt>
                <c:pt idx="12">
                  <c:v>Development - Product Development (Jennifer Briscoe´s Org)</c:v>
                </c:pt>
                <c:pt idx="13">
                  <c:v>LAD Architecture</c:v>
                </c:pt>
                <c:pt idx="14">
                  <c:v>LAD Customer Programs</c:v>
                </c:pt>
                <c:pt idx="15">
                  <c:v>LAD Customer Success</c:v>
                </c:pt>
                <c:pt idx="16">
                  <c:v>LAD Localizations</c:v>
                </c:pt>
                <c:pt idx="17">
                  <c:v>LAD Pre-Sales Apps</c:v>
                </c:pt>
                <c:pt idx="18">
                  <c:v>Coverage Infraestructure (Donatelli´s Org)</c:v>
                </c:pt>
                <c:pt idx="19">
                  <c:v>GBU-All Others</c:v>
                </c:pt>
                <c:pt idx="20">
                  <c:v>GBU-Mike Webster´s Org</c:v>
                </c:pt>
                <c:pt idx="21">
                  <c:v>GBU-Singh Sonny´s Org</c:v>
                </c:pt>
                <c:pt idx="22">
                  <c:v>GBU-Suriano Douglas´s Org</c:v>
                </c:pt>
                <c:pt idx="23">
                  <c:v>Finance - Controller Group (Augusto Serrano Villate´s Org)</c:v>
                </c:pt>
                <c:pt idx="24">
                  <c:v>Safra Catz Org-All Others</c:v>
                </c:pt>
                <c:pt idx="25">
                  <c:v>SSC All Others</c:v>
                </c:pt>
                <c:pt idx="26">
                  <c:v>SSC-Credit &amp; Collections (Bonnie Barger´s Org)</c:v>
                </c:pt>
                <c:pt idx="27">
                  <c:v>SSC-Payroll (Bustamante´s Org)</c:v>
                </c:pt>
                <c:pt idx="28">
                  <c:v>Wolrdwide System Operations-(Karl Braitberg´s Org)</c:v>
                </c:pt>
                <c:pt idx="29">
                  <c:v>IT - McParland´s org</c:v>
                </c:pt>
                <c:pt idx="30">
                  <c:v>IT - O´Shea´s org</c:v>
                </c:pt>
                <c:pt idx="31">
                  <c:v>IT - All Others</c:v>
                </c:pt>
                <c:pt idx="32">
                  <c:v>Worldwide Alliances &amp; Channel (Penny Philpot´s Org)</c:v>
                </c:pt>
                <c:pt idx="33">
                  <c:v>Worldwide Operations (Jennifer Birk´s Org)</c:v>
                </c:pt>
                <c:pt idx="34">
                  <c:v>Consulting All Others</c:v>
                </c:pt>
                <c:pt idx="35">
                  <c:v>Consulting-Delivery</c:v>
                </c:pt>
                <c:pt idx="36">
                  <c:v>Consulting-Sales</c:v>
                </c:pt>
                <c:pt idx="37">
                  <c:v>Customer Services-ACS Sales</c:v>
                </c:pt>
                <c:pt idx="38">
                  <c:v>Customer Services-All Others</c:v>
                </c:pt>
                <c:pt idx="39">
                  <c:v>Customer Services-Services Sales (Iacoviello´s Org)</c:v>
                </c:pt>
                <c:pt idx="40">
                  <c:v>Customer Services-Martinez´s Org</c:v>
                </c:pt>
                <c:pt idx="41">
                  <c:v>Customer Services-Operations</c:v>
                </c:pt>
                <c:pt idx="42">
                  <c:v>Customer Services-Services Sales</c:v>
                </c:pt>
                <c:pt idx="43">
                  <c:v>Deal Management-(Rafael Lara´Org)</c:v>
                </c:pt>
                <c:pt idx="44">
                  <c:v>Education - Oracle University</c:v>
                </c:pt>
                <c:pt idx="45">
                  <c:v>Facilities</c:v>
                </c:pt>
                <c:pt idx="46">
                  <c:v>Finance - McDowell´s org</c:v>
                </c:pt>
                <c:pt idx="47">
                  <c:v>LAD HR - All Others</c:v>
                </c:pt>
                <c:pt idx="48">
                  <c:v>LAD HR - Carolina Florez´s Org</c:v>
                </c:pt>
                <c:pt idx="49">
                  <c:v>Legal</c:v>
                </c:pt>
                <c:pt idx="50">
                  <c:v>LAD Systems Pre-Sales</c:v>
                </c:pt>
                <c:pt idx="51">
                  <c:v>LAD Systems Sales</c:v>
                </c:pt>
                <c:pt idx="52">
                  <c:v>Licenses - Tech</c:v>
                </c:pt>
                <c:pt idx="53">
                  <c:v>Licenses - IAAS y Business Analytics &amp; KAD Brasil</c:v>
                </c:pt>
                <c:pt idx="54">
                  <c:v>Licenses - LAD Alliances</c:v>
                </c:pt>
                <c:pt idx="55">
                  <c:v>Licenses - Oracle Digital</c:v>
                </c:pt>
                <c:pt idx="56">
                  <c:v>LAD Pre-Sales Tech</c:v>
                </c:pt>
                <c:pt idx="57">
                  <c:v>Licenses - Public Sector</c:v>
                </c:pt>
                <c:pt idx="58">
                  <c:v>Licenses - All Others</c:v>
                </c:pt>
                <c:pt idx="59">
                  <c:v>Licenses - Apps</c:v>
                </c:pt>
                <c:pt idx="60">
                  <c:v>LMS</c:v>
                </c:pt>
                <c:pt idx="61">
                  <c:v>Marketing - All Others</c:v>
                </c:pt>
                <c:pt idx="62">
                  <c:v>Marketing - Borst`s org</c:v>
                </c:pt>
                <c:pt idx="63">
                  <c:v>Marketing - Corporate Communications` org</c:v>
                </c:pt>
                <c:pt idx="64">
                  <c:v>LAD Recruiting - All Others</c:v>
                </c:pt>
                <c:pt idx="65">
                  <c:v>LAD Recruiting - Valeria Delgado´s Org</c:v>
                </c:pt>
                <c:pt idx="66">
                  <c:v>LAD Product Support - ACS Delivery</c:v>
                </c:pt>
                <c:pt idx="67">
                  <c:v>LAD Product Support - Systems Support</c:v>
                </c:pt>
                <c:pt idx="68">
                  <c:v>Product Support-All Others</c:v>
                </c:pt>
                <c:pt idx="69">
                  <c:v>Product Support-Delivery Operations (Jim Grieb´s Org)</c:v>
                </c:pt>
                <c:pt idx="70">
                  <c:v>GBU-Netsuite (Jim McGeever´s Org)</c:v>
                </c:pt>
                <c:pt idx="71">
                  <c:v>Consulting Service Delivery Center</c:v>
                </c:pt>
                <c:pt idx="72">
                  <c:v>Development - Times (Hugo Coyote Estrada´s Org)</c:v>
                </c:pt>
              </c:strCache>
            </c:strRef>
          </c:cat>
          <c:val>
            <c:numRef>
              <c:f>Demografía!$BX$17:$ER$17</c:f>
              <c:numCache>
                <c:formatCode>0.0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1.0416666666666665</c:v>
                </c:pt>
                <c:pt idx="3">
                  <c:v>0.41666666666666669</c:v>
                </c:pt>
                <c:pt idx="4">
                  <c:v>0.20833333333333334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1.25</c:v>
                </c:pt>
                <c:pt idx="14">
                  <c:v>0</c:v>
                </c:pt>
                <c:pt idx="15">
                  <c:v>1.0416666666666665</c:v>
                </c:pt>
                <c:pt idx="16">
                  <c:v>0</c:v>
                </c:pt>
                <c:pt idx="17">
                  <c:v>1.4583333333333333</c:v>
                </c:pt>
                <c:pt idx="18">
                  <c:v>0.41666666666666669</c:v>
                </c:pt>
                <c:pt idx="19">
                  <c:v>0.41666666666666669</c:v>
                </c:pt>
                <c:pt idx="20">
                  <c:v>6.041666666666667</c:v>
                </c:pt>
                <c:pt idx="21">
                  <c:v>0</c:v>
                </c:pt>
                <c:pt idx="22">
                  <c:v>3.125</c:v>
                </c:pt>
                <c:pt idx="23">
                  <c:v>0.20833333333333334</c:v>
                </c:pt>
                <c:pt idx="24">
                  <c:v>0.20833333333333334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0.41666666666666669</c:v>
                </c:pt>
                <c:pt idx="30">
                  <c:v>0</c:v>
                </c:pt>
                <c:pt idx="31">
                  <c:v>0.20833333333333334</c:v>
                </c:pt>
                <c:pt idx="32">
                  <c:v>6.041666666666667</c:v>
                </c:pt>
                <c:pt idx="33">
                  <c:v>0.83333333333333337</c:v>
                </c:pt>
                <c:pt idx="34">
                  <c:v>1.875</c:v>
                </c:pt>
                <c:pt idx="35">
                  <c:v>12.708333333333332</c:v>
                </c:pt>
                <c:pt idx="36">
                  <c:v>1.25</c:v>
                </c:pt>
                <c:pt idx="37">
                  <c:v>2.2916666666666665</c:v>
                </c:pt>
                <c:pt idx="38">
                  <c:v>0.625</c:v>
                </c:pt>
                <c:pt idx="39">
                  <c:v>0.83333333333333337</c:v>
                </c:pt>
                <c:pt idx="40">
                  <c:v>2.5</c:v>
                </c:pt>
                <c:pt idx="41">
                  <c:v>1.4583333333333333</c:v>
                </c:pt>
                <c:pt idx="42">
                  <c:v>0.20833333333333334</c:v>
                </c:pt>
                <c:pt idx="43">
                  <c:v>0.625</c:v>
                </c:pt>
                <c:pt idx="44">
                  <c:v>0.41666666666666669</c:v>
                </c:pt>
                <c:pt idx="45">
                  <c:v>0.83333333333333337</c:v>
                </c:pt>
                <c:pt idx="46">
                  <c:v>3.125</c:v>
                </c:pt>
                <c:pt idx="47">
                  <c:v>0</c:v>
                </c:pt>
                <c:pt idx="48">
                  <c:v>1.0416666666666665</c:v>
                </c:pt>
                <c:pt idx="49">
                  <c:v>0.41666666666666669</c:v>
                </c:pt>
                <c:pt idx="50">
                  <c:v>0.83333333333333337</c:v>
                </c:pt>
                <c:pt idx="51">
                  <c:v>1.0416666666666665</c:v>
                </c:pt>
                <c:pt idx="52">
                  <c:v>2.2916666666666665</c:v>
                </c:pt>
                <c:pt idx="53">
                  <c:v>0.41666666666666669</c:v>
                </c:pt>
                <c:pt idx="54">
                  <c:v>1.4583333333333333</c:v>
                </c:pt>
                <c:pt idx="55">
                  <c:v>2.7083333333333335</c:v>
                </c:pt>
                <c:pt idx="56">
                  <c:v>2.083333333333333</c:v>
                </c:pt>
                <c:pt idx="57">
                  <c:v>1.25</c:v>
                </c:pt>
                <c:pt idx="58">
                  <c:v>0.83333333333333337</c:v>
                </c:pt>
                <c:pt idx="59">
                  <c:v>4.375</c:v>
                </c:pt>
                <c:pt idx="60">
                  <c:v>0.625</c:v>
                </c:pt>
                <c:pt idx="61">
                  <c:v>1.25</c:v>
                </c:pt>
                <c:pt idx="62">
                  <c:v>0.625</c:v>
                </c:pt>
                <c:pt idx="63">
                  <c:v>0.20833333333333334</c:v>
                </c:pt>
                <c:pt idx="64">
                  <c:v>0.20833333333333334</c:v>
                </c:pt>
                <c:pt idx="65">
                  <c:v>0.625</c:v>
                </c:pt>
                <c:pt idx="66">
                  <c:v>3.125</c:v>
                </c:pt>
                <c:pt idx="67">
                  <c:v>5</c:v>
                </c:pt>
                <c:pt idx="68">
                  <c:v>0.20833333333333334</c:v>
                </c:pt>
                <c:pt idx="69">
                  <c:v>0</c:v>
                </c:pt>
                <c:pt idx="70">
                  <c:v>0</c:v>
                </c:pt>
                <c:pt idx="71">
                  <c:v>17.291666666666668</c:v>
                </c:pt>
                <c:pt idx="72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997326400"/>
        <c:axId val="71111744"/>
      </c:barChart>
      <c:catAx>
        <c:axId val="19973264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71111744"/>
        <c:crosses val="autoZero"/>
        <c:auto val="1"/>
        <c:lblAlgn val="ctr"/>
        <c:lblOffset val="100"/>
        <c:noMultiLvlLbl val="0"/>
      </c:catAx>
      <c:valAx>
        <c:axId val="71111744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99732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Demografías'!$D$933:$J$933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Demografías'!$D$935:$J$935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50.06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7325216"/>
        <c:axId val="711062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Demografías'!$D$938:$J$938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Demografías'!$D$939:$J$939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25216"/>
        <c:axId val="71106272"/>
      </c:lineChart>
      <c:catAx>
        <c:axId val="1997325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106272"/>
        <c:crosses val="autoZero"/>
        <c:auto val="1"/>
        <c:lblAlgn val="ctr"/>
        <c:lblOffset val="100"/>
        <c:noMultiLvlLbl val="0"/>
      </c:catAx>
      <c:valAx>
        <c:axId val="711062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9732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Demografías'!$D$964:$J$964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76.150000000000006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Demografías'!$D$966:$J$966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7331728"/>
        <c:axId val="711129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Demografías'!$D$969:$J$969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Demografías'!$D$970:$J$970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83.33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31728"/>
        <c:axId val="71112960"/>
      </c:lineChart>
      <c:catAx>
        <c:axId val="1997331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71112960"/>
        <c:crosses val="autoZero"/>
        <c:auto val="1"/>
        <c:lblAlgn val="ctr"/>
        <c:lblOffset val="100"/>
        <c:noMultiLvlLbl val="0"/>
      </c:catAx>
      <c:valAx>
        <c:axId val="711129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9733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Demografías'!$D$995:$J$995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">
                  <c:v>73.150000000000006</c:v>
                </c:pt>
                <c:pt idx="4">
                  <c:v>0</c:v>
                </c:pt>
                <c:pt idx="5">
                  <c:v>0</c:v>
                </c:pt>
                <c:pt idx="6" formatCode="0">
                  <c:v>54.71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Demografías'!$D$997:$J$997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82.6</c:v>
                </c:pt>
                <c:pt idx="4">
                  <c:v>0</c:v>
                </c:pt>
                <c:pt idx="5">
                  <c:v>0</c:v>
                </c:pt>
                <c:pt idx="6">
                  <c:v>54.29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7327584"/>
        <c:axId val="711135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Demografías'!$D$1000:$J$1000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Demografías'!$D$1001:$J$1001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85.71</c:v>
                </c:pt>
                <c:pt idx="4">
                  <c:v>0</c:v>
                </c:pt>
                <c:pt idx="5">
                  <c:v>0</c:v>
                </c:pt>
                <c:pt idx="6">
                  <c:v>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27584"/>
        <c:axId val="71113568"/>
      </c:lineChart>
      <c:catAx>
        <c:axId val="1997327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71113568"/>
        <c:crosses val="autoZero"/>
        <c:auto val="1"/>
        <c:lblAlgn val="ctr"/>
        <c:lblOffset val="100"/>
        <c:noMultiLvlLbl val="0"/>
      </c:catAx>
      <c:valAx>
        <c:axId val="711135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9732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Demografías'!$D$1026:$J$1026</c:f>
              <c:numCache>
                <c:formatCode>0</c:formatCode>
                <c:ptCount val="7"/>
                <c:pt idx="0" formatCode="General">
                  <c:v>0</c:v>
                </c:pt>
                <c:pt idx="1">
                  <c:v>57.13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Demografías'!$D$1028:$J$1028</c:f>
              <c:numCache>
                <c:formatCode>0</c:formatCode>
                <c:ptCount val="7"/>
                <c:pt idx="0">
                  <c:v>0</c:v>
                </c:pt>
                <c:pt idx="1">
                  <c:v>43.81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7330544"/>
        <c:axId val="711160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Demografías'!$D$1031:$J$1031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Demografías'!$D$1032:$J$1032</c:f>
              <c:numCache>
                <c:formatCode>0</c:formatCode>
                <c:ptCount val="7"/>
                <c:pt idx="0">
                  <c:v>0</c:v>
                </c:pt>
                <c:pt idx="1">
                  <c:v>40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30544"/>
        <c:axId val="71116000"/>
      </c:lineChart>
      <c:catAx>
        <c:axId val="1997330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71116000"/>
        <c:crosses val="autoZero"/>
        <c:auto val="1"/>
        <c:lblAlgn val="ctr"/>
        <c:lblOffset val="100"/>
        <c:noMultiLvlLbl val="0"/>
      </c:catAx>
      <c:valAx>
        <c:axId val="711160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9733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Demografías'!$D$1057:$J$1057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73.91</c:v>
                </c:pt>
                <c:pt idx="5">
                  <c:v>0</c:v>
                </c:pt>
                <c:pt idx="6" formatCode="0">
                  <c:v>70.88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Demografías'!$D$1059:$J$1059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47.95</c:v>
                </c:pt>
                <c:pt idx="5">
                  <c:v>61.01</c:v>
                </c:pt>
                <c:pt idx="6">
                  <c:v>89.87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7321664"/>
        <c:axId val="711087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Demografías'!$D$1062:$J$1062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Demografías'!$D$1063:$J$1063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75.86</c:v>
                </c:pt>
                <c:pt idx="5">
                  <c:v>0</c:v>
                </c:pt>
                <c:pt idx="6">
                  <c:v>44.44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21664"/>
        <c:axId val="71108704"/>
      </c:lineChart>
      <c:catAx>
        <c:axId val="1997321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71108704"/>
        <c:crosses val="autoZero"/>
        <c:auto val="1"/>
        <c:lblAlgn val="ctr"/>
        <c:lblOffset val="100"/>
        <c:noMultiLvlLbl val="0"/>
      </c:catAx>
      <c:valAx>
        <c:axId val="711087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9732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Demografías'!$D$1088:$J$1088</c:f>
              <c:numCache>
                <c:formatCode>0</c:formatCode>
                <c:ptCount val="7"/>
                <c:pt idx="0">
                  <c:v>84.34</c:v>
                </c:pt>
                <c:pt idx="1">
                  <c:v>73.56</c:v>
                </c:pt>
                <c:pt idx="2">
                  <c:v>79.53</c:v>
                </c:pt>
                <c:pt idx="3" formatCode="General">
                  <c:v>0</c:v>
                </c:pt>
                <c:pt idx="4" formatCode="General">
                  <c:v>0</c:v>
                </c:pt>
                <c:pt idx="5">
                  <c:v>82.35</c:v>
                </c:pt>
                <c:pt idx="6">
                  <c:v>67.489999999999995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Demografías'!$D$1090:$J$1090</c:f>
              <c:numCache>
                <c:formatCode>0</c:formatCode>
                <c:ptCount val="7"/>
                <c:pt idx="0">
                  <c:v>71.58</c:v>
                </c:pt>
                <c:pt idx="1">
                  <c:v>74.31</c:v>
                </c:pt>
                <c:pt idx="2">
                  <c:v>79.06</c:v>
                </c:pt>
                <c:pt idx="3">
                  <c:v>0</c:v>
                </c:pt>
                <c:pt idx="4">
                  <c:v>87.44</c:v>
                </c:pt>
                <c:pt idx="5">
                  <c:v>85.46</c:v>
                </c:pt>
                <c:pt idx="6">
                  <c:v>56.9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7332320"/>
        <c:axId val="711196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Demografías'!$D$1093:$J$1093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Demografías'!$D$1094:$J$1094</c:f>
              <c:numCache>
                <c:formatCode>0</c:formatCode>
                <c:ptCount val="7"/>
                <c:pt idx="0">
                  <c:v>81.97</c:v>
                </c:pt>
                <c:pt idx="1">
                  <c:v>66.67</c:v>
                </c:pt>
                <c:pt idx="2">
                  <c:v>70</c:v>
                </c:pt>
                <c:pt idx="3">
                  <c:v>0</c:v>
                </c:pt>
                <c:pt idx="4">
                  <c:v>0</c:v>
                </c:pt>
                <c:pt idx="5">
                  <c:v>90.91</c:v>
                </c:pt>
                <c:pt idx="6">
                  <c:v>71.430000000000007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32320"/>
        <c:axId val="71119648"/>
      </c:lineChart>
      <c:catAx>
        <c:axId val="1997332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71119648"/>
        <c:crosses val="autoZero"/>
        <c:auto val="1"/>
        <c:lblAlgn val="ctr"/>
        <c:lblOffset val="100"/>
        <c:noMultiLvlLbl val="0"/>
      </c:catAx>
      <c:valAx>
        <c:axId val="711196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733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Demografías'!$D$1119:$J$1119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75.290000000000006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Demografías'!$D$1121:$J$1121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80.58</c:v>
                </c:pt>
                <c:pt idx="4">
                  <c:v>59.53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7329360"/>
        <c:axId val="19970039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Demografías'!$D$1124:$J$1124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Demografías'!$D$1125:$J$1125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73.33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29360"/>
        <c:axId val="1997003920"/>
      </c:lineChart>
      <c:catAx>
        <c:axId val="1997329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997003920"/>
        <c:crosses val="autoZero"/>
        <c:auto val="1"/>
        <c:lblAlgn val="ctr"/>
        <c:lblOffset val="100"/>
        <c:noMultiLvlLbl val="0"/>
      </c:catAx>
      <c:valAx>
        <c:axId val="19970039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9732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Demografías'!$D$1150:$J$1150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">
                  <c:v>77.08</c:v>
                </c:pt>
                <c:pt idx="4">
                  <c:v>0</c:v>
                </c:pt>
                <c:pt idx="5" formatCode="0">
                  <c:v>82.27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Demografías'!$D$1152:$J$1152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64.510000000000005</c:v>
                </c:pt>
                <c:pt idx="3">
                  <c:v>73.099999999999994</c:v>
                </c:pt>
                <c:pt idx="4">
                  <c:v>0</c:v>
                </c:pt>
                <c:pt idx="5">
                  <c:v>81.3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7325808"/>
        <c:axId val="19970008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Demografías'!$D$1155:$J$1155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Demografías'!$D$1156:$J$1156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70</c:v>
                </c:pt>
                <c:pt idx="4">
                  <c:v>0</c:v>
                </c:pt>
                <c:pt idx="5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25808"/>
        <c:axId val="1997000880"/>
      </c:lineChart>
      <c:catAx>
        <c:axId val="1997325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997000880"/>
        <c:crosses val="autoZero"/>
        <c:auto val="1"/>
        <c:lblAlgn val="ctr"/>
        <c:lblOffset val="100"/>
        <c:noMultiLvlLbl val="0"/>
      </c:catAx>
      <c:valAx>
        <c:axId val="19970008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9732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Demografías'!$D$1181:$J$1181</c:f>
              <c:numCache>
                <c:formatCode>0</c:formatCode>
                <c:ptCount val="7"/>
                <c:pt idx="0">
                  <c:v>63.53</c:v>
                </c:pt>
                <c:pt idx="1">
                  <c:v>71.819999999999993</c:v>
                </c:pt>
                <c:pt idx="2">
                  <c:v>41.67</c:v>
                </c:pt>
                <c:pt idx="3" formatCode="General">
                  <c:v>0</c:v>
                </c:pt>
                <c:pt idx="4">
                  <c:v>80.78</c:v>
                </c:pt>
                <c:pt idx="5" formatCode="General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Demografías'!$D$1183:$J$1183</c:f>
              <c:numCache>
                <c:formatCode>0</c:formatCode>
                <c:ptCount val="7"/>
                <c:pt idx="0">
                  <c:v>62.41</c:v>
                </c:pt>
                <c:pt idx="1">
                  <c:v>74.92</c:v>
                </c:pt>
                <c:pt idx="2">
                  <c:v>85.99</c:v>
                </c:pt>
                <c:pt idx="3">
                  <c:v>0</c:v>
                </c:pt>
                <c:pt idx="4">
                  <c:v>93.6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7326992"/>
        <c:axId val="19970033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Demografías'!$D$1186:$J$1186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Demografías'!$D$1187:$J$1187</c:f>
              <c:numCache>
                <c:formatCode>0</c:formatCode>
                <c:ptCount val="7"/>
                <c:pt idx="0">
                  <c:v>53.85</c:v>
                </c:pt>
                <c:pt idx="1">
                  <c:v>80</c:v>
                </c:pt>
                <c:pt idx="2">
                  <c:v>33.33</c:v>
                </c:pt>
                <c:pt idx="3">
                  <c:v>0</c:v>
                </c:pt>
                <c:pt idx="4">
                  <c:v>78.95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26992"/>
        <c:axId val="1997003312"/>
      </c:lineChart>
      <c:catAx>
        <c:axId val="1997326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997003312"/>
        <c:crosses val="autoZero"/>
        <c:auto val="1"/>
        <c:lblAlgn val="ctr"/>
        <c:lblOffset val="100"/>
        <c:noMultiLvlLbl val="0"/>
      </c:catAx>
      <c:valAx>
        <c:axId val="1997003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732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Demografías'!$D$1212:$J$1212</c:f>
              <c:numCache>
                <c:formatCode>General</c:formatCode>
                <c:ptCount val="7"/>
                <c:pt idx="0" formatCode="0">
                  <c:v>66.38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">
                  <c:v>66.98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Demografías'!$D$1214:$J$1214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59.75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7328768"/>
        <c:axId val="1652540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Demografías'!$D$1217:$J$1217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Demografías'!$D$1218:$J$1218</c:f>
              <c:numCache>
                <c:formatCode>0</c:formatCode>
                <c:ptCount val="7"/>
                <c:pt idx="0">
                  <c:v>66.67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66.67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28768"/>
        <c:axId val="165254064"/>
      </c:lineChart>
      <c:catAx>
        <c:axId val="1997328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65254064"/>
        <c:crosses val="autoZero"/>
        <c:auto val="1"/>
        <c:lblAlgn val="ctr"/>
        <c:lblOffset val="100"/>
        <c:noMultiLvlLbl val="0"/>
      </c:catAx>
      <c:valAx>
        <c:axId val="165254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732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Demografías'!$D$1243:$J$1243</c:f>
              <c:numCache>
                <c:formatCode>General</c:formatCode>
                <c:ptCount val="7"/>
                <c:pt idx="0" formatCode="0">
                  <c:v>63.31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66.89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Demografías'!$D$1245:$J$1245</c:f>
              <c:numCache>
                <c:formatCode>0</c:formatCode>
                <c:ptCount val="7"/>
                <c:pt idx="0">
                  <c:v>62.03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7328176"/>
        <c:axId val="1652528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Demografías'!$D$1248:$J$1248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Demografías'!$D$1249:$J$1249</c:f>
              <c:numCache>
                <c:formatCode>0</c:formatCode>
                <c:ptCount val="7"/>
                <c:pt idx="0">
                  <c:v>60.87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53.01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28176"/>
        <c:axId val="165252848"/>
      </c:lineChart>
      <c:catAx>
        <c:axId val="1997328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5252848"/>
        <c:crosses val="autoZero"/>
        <c:auto val="1"/>
        <c:lblAlgn val="ctr"/>
        <c:lblOffset val="100"/>
        <c:noMultiLvlLbl val="0"/>
      </c:catAx>
      <c:valAx>
        <c:axId val="1652528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732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Demografías'!$D$1334:$J$1334</c:f>
              <c:numCache>
                <c:formatCode>0</c:formatCode>
                <c:ptCount val="7"/>
                <c:pt idx="0">
                  <c:v>61.49</c:v>
                </c:pt>
                <c:pt idx="1">
                  <c:v>74.069999999999993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Demografías'!$D$1336:$J$1336</c:f>
              <c:numCache>
                <c:formatCode>0</c:formatCode>
                <c:ptCount val="7"/>
                <c:pt idx="0">
                  <c:v>53.28</c:v>
                </c:pt>
                <c:pt idx="1">
                  <c:v>72.95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7329952"/>
        <c:axId val="1652552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Demografías'!$D$1339:$J$1339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Demografías'!$D$1340:$J$1340</c:f>
              <c:numCache>
                <c:formatCode>0</c:formatCode>
                <c:ptCount val="7"/>
                <c:pt idx="0">
                  <c:v>56.38</c:v>
                </c:pt>
                <c:pt idx="1">
                  <c:v>70.98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29952"/>
        <c:axId val="165255280"/>
      </c:lineChart>
      <c:catAx>
        <c:axId val="1997329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5255280"/>
        <c:crosses val="autoZero"/>
        <c:auto val="1"/>
        <c:lblAlgn val="ctr"/>
        <c:lblOffset val="100"/>
        <c:noMultiLvlLbl val="0"/>
      </c:catAx>
      <c:valAx>
        <c:axId val="165255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732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22.5</c:v>
                </c:pt>
                <c:pt idx="1">
                  <c:v>6.25</c:v>
                </c:pt>
                <c:pt idx="2">
                  <c:v>1.4583333333333333</c:v>
                </c:pt>
                <c:pt idx="3">
                  <c:v>48.958333333333329</c:v>
                </c:pt>
                <c:pt idx="4">
                  <c:v>9.375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22.5</c:v>
                </c:pt>
                <c:pt idx="1">
                  <c:v>6.25</c:v>
                </c:pt>
                <c:pt idx="2">
                  <c:v>1.4583333333333333</c:v>
                </c:pt>
                <c:pt idx="3">
                  <c:v>48.958333333333329</c:v>
                </c:pt>
                <c:pt idx="4">
                  <c:v>9.375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Demografías'!$D$1425:$J$1425</c:f>
              <c:numCache>
                <c:formatCode>0</c:formatCode>
                <c:ptCount val="7"/>
                <c:pt idx="0">
                  <c:v>71.61</c:v>
                </c:pt>
                <c:pt idx="1">
                  <c:v>66.58</c:v>
                </c:pt>
                <c:pt idx="2">
                  <c:v>59.36</c:v>
                </c:pt>
                <c:pt idx="3">
                  <c:v>78.94</c:v>
                </c:pt>
                <c:pt idx="4">
                  <c:v>49.89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Demografías'!$D$1427:$J$1427</c:f>
              <c:numCache>
                <c:formatCode>0</c:formatCode>
                <c:ptCount val="7"/>
                <c:pt idx="0">
                  <c:v>65.959999999999994</c:v>
                </c:pt>
                <c:pt idx="1">
                  <c:v>64.59</c:v>
                </c:pt>
                <c:pt idx="2">
                  <c:v>37.590000000000003</c:v>
                </c:pt>
                <c:pt idx="3">
                  <c:v>78.489999999999995</c:v>
                </c:pt>
                <c:pt idx="4">
                  <c:v>41.06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7323440"/>
        <c:axId val="165258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Demografías'!$D$1430:$J$1430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Demografías'!$D$1431:$J$1431</c:f>
              <c:numCache>
                <c:formatCode>0</c:formatCode>
                <c:ptCount val="7"/>
                <c:pt idx="0">
                  <c:v>62.96</c:v>
                </c:pt>
                <c:pt idx="1">
                  <c:v>63.33</c:v>
                </c:pt>
                <c:pt idx="2">
                  <c:v>42.86</c:v>
                </c:pt>
                <c:pt idx="3">
                  <c:v>80.77</c:v>
                </c:pt>
                <c:pt idx="4">
                  <c:v>26.67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23440"/>
        <c:axId val="165258320"/>
      </c:lineChart>
      <c:catAx>
        <c:axId val="1997323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65258320"/>
        <c:crosses val="autoZero"/>
        <c:auto val="1"/>
        <c:lblAlgn val="ctr"/>
        <c:lblOffset val="100"/>
        <c:noMultiLvlLbl val="0"/>
      </c:catAx>
      <c:valAx>
        <c:axId val="165258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732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75.416666666666671</c:v>
                </c:pt>
                <c:pt idx="1">
                  <c:v>15.625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75.416666666666671</c:v>
                </c:pt>
                <c:pt idx="1">
                  <c:v>15.625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Demografías'!$D$1516:$J$1516</c:f>
              <c:numCache>
                <c:formatCode>0</c:formatCode>
                <c:ptCount val="7"/>
                <c:pt idx="0">
                  <c:v>74.89</c:v>
                </c:pt>
                <c:pt idx="1">
                  <c:v>59.76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Demografías'!$D$1518:$J$1518</c:f>
              <c:numCache>
                <c:formatCode>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7332912"/>
        <c:axId val="1652492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Demografías'!$D$1521:$J$1521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Demografías'!$D$1522:$J$1522</c:f>
              <c:numCache>
                <c:formatCode>0</c:formatCode>
                <c:ptCount val="7"/>
                <c:pt idx="0">
                  <c:v>71.819999999999993</c:v>
                </c:pt>
                <c:pt idx="1">
                  <c:v>51.35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32912"/>
        <c:axId val="165249200"/>
      </c:lineChart>
      <c:catAx>
        <c:axId val="1997332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5249200"/>
        <c:crosses val="autoZero"/>
        <c:auto val="1"/>
        <c:lblAlgn val="ctr"/>
        <c:lblOffset val="100"/>
        <c:noMultiLvlLbl val="0"/>
      </c:catAx>
      <c:valAx>
        <c:axId val="1652492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733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59.166666666666664</c:v>
                </c:pt>
                <c:pt idx="1">
                  <c:v>28.958333333333336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59.166666666666664</c:v>
                </c:pt>
                <c:pt idx="1">
                  <c:v>28.958333333333336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Demografías'!$D$1607:$J$1607</c:f>
              <c:numCache>
                <c:formatCode>0</c:formatCode>
                <c:ptCount val="7"/>
                <c:pt idx="0">
                  <c:v>80.37</c:v>
                </c:pt>
                <c:pt idx="1">
                  <c:v>56.53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Demografías'!$D$1609:$J$1609</c:f>
              <c:numCache>
                <c:formatCode>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7317520"/>
        <c:axId val="1570022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Demografías'!$D$1612:$J$1612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Demografías'!$D$1613:$J$1613</c:f>
              <c:numCache>
                <c:formatCode>0</c:formatCode>
                <c:ptCount val="7"/>
                <c:pt idx="0">
                  <c:v>80.28</c:v>
                </c:pt>
                <c:pt idx="1">
                  <c:v>43.88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17520"/>
        <c:axId val="157002224"/>
      </c:lineChart>
      <c:catAx>
        <c:axId val="1997317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57002224"/>
        <c:crosses val="autoZero"/>
        <c:auto val="1"/>
        <c:lblAlgn val="ctr"/>
        <c:lblOffset val="100"/>
        <c:noMultiLvlLbl val="0"/>
      </c:catAx>
      <c:valAx>
        <c:axId val="1570022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731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29.375</c:v>
                </c:pt>
                <c:pt idx="1">
                  <c:v>18.958333333333332</c:v>
                </c:pt>
                <c:pt idx="2">
                  <c:v>33.541666666666664</c:v>
                </c:pt>
                <c:pt idx="3">
                  <c:v>10.208333333333334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29.375</c:v>
                </c:pt>
                <c:pt idx="1">
                  <c:v>18.958333333333332</c:v>
                </c:pt>
                <c:pt idx="2">
                  <c:v>33.541666666666664</c:v>
                </c:pt>
                <c:pt idx="3">
                  <c:v>10.208333333333334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Demografías'!$D$1698:$J$1698</c:f>
              <c:numCache>
                <c:formatCode>0</c:formatCode>
                <c:ptCount val="7"/>
                <c:pt idx="0">
                  <c:v>84.26</c:v>
                </c:pt>
                <c:pt idx="1">
                  <c:v>61.09</c:v>
                </c:pt>
                <c:pt idx="2">
                  <c:v>71.290000000000006</c:v>
                </c:pt>
                <c:pt idx="3">
                  <c:v>58.57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Demografías'!$D$1700:$J$1700</c:f>
              <c:numCache>
                <c:formatCode>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7318112"/>
        <c:axId val="1570046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Demografías'!$D$1703:$J$1703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Demografías'!$D$1704:$J$1704</c:f>
              <c:numCache>
                <c:formatCode>0</c:formatCode>
                <c:ptCount val="7"/>
                <c:pt idx="0">
                  <c:v>82.27</c:v>
                </c:pt>
                <c:pt idx="1">
                  <c:v>47.25</c:v>
                </c:pt>
                <c:pt idx="2">
                  <c:v>71.430000000000007</c:v>
                </c:pt>
                <c:pt idx="3">
                  <c:v>51.02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18112"/>
        <c:axId val="157004656"/>
      </c:lineChart>
      <c:catAx>
        <c:axId val="1997318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57004656"/>
        <c:crosses val="autoZero"/>
        <c:auto val="1"/>
        <c:lblAlgn val="ctr"/>
        <c:lblOffset val="100"/>
        <c:noMultiLvlLbl val="0"/>
      </c:catAx>
      <c:valAx>
        <c:axId val="1570046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731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69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72</c:v>
              </c:pt>
              <c:pt idx="2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997322848"/>
        <c:axId val="17484756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75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22848"/>
        <c:axId val="174847568"/>
      </c:lineChart>
      <c:catAx>
        <c:axId val="1997322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847568"/>
        <c:crosses val="autoZero"/>
        <c:auto val="1"/>
        <c:lblAlgn val="ctr"/>
        <c:lblOffset val="100"/>
        <c:noMultiLvlLbl val="0"/>
      </c:catAx>
      <c:valAx>
        <c:axId val="1748475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97322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97318704"/>
        <c:axId val="174822640"/>
      </c:lineChart>
      <c:catAx>
        <c:axId val="199731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74822640"/>
        <c:crosses val="autoZero"/>
        <c:auto val="1"/>
        <c:lblAlgn val="ctr"/>
        <c:lblOffset val="100"/>
        <c:noMultiLvlLbl val="0"/>
      </c:catAx>
      <c:valAx>
        <c:axId val="174822640"/>
        <c:scaling>
          <c:orientation val="minMax"/>
          <c:min val="67.08"/>
        </c:scaling>
        <c:delete val="1"/>
        <c:axPos val="l"/>
        <c:numFmt formatCode="General" sourceLinked="1"/>
        <c:majorTickMark val="none"/>
        <c:minorTickMark val="none"/>
        <c:tickLblPos val="nextTo"/>
        <c:crossAx val="199731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Indicadores!$O$80:$O$84</c:f>
              <c:numCache>
                <c:formatCode>0</c:formatCode>
                <c:ptCount val="5"/>
                <c:pt idx="0">
                  <c:v>70</c:v>
                </c:pt>
                <c:pt idx="1">
                  <c:v>70.69</c:v>
                </c:pt>
                <c:pt idx="2">
                  <c:v>66.069999999999993</c:v>
                </c:pt>
                <c:pt idx="3">
                  <c:v>67.180000000000007</c:v>
                </c:pt>
                <c:pt idx="4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Indicadores!$N$80:$N$84</c:f>
              <c:numCache>
                <c:formatCode>0</c:formatCode>
                <c:ptCount val="5"/>
                <c:pt idx="0">
                  <c:v>72.45</c:v>
                </c:pt>
                <c:pt idx="1">
                  <c:v>73.41</c:v>
                </c:pt>
                <c:pt idx="2">
                  <c:v>67.709999999999994</c:v>
                </c:pt>
                <c:pt idx="3">
                  <c:v>70.150000000000006</c:v>
                </c:pt>
                <c:pt idx="4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997331136"/>
        <c:axId val="17781097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Indicadores!$P$80:$P$84</c:f>
              <c:numCache>
                <c:formatCode>0</c:formatCode>
                <c:ptCount val="5"/>
                <c:pt idx="0">
                  <c:v>79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Indicadores!$Q$80:$Q$84</c:f>
              <c:numCache>
                <c:formatCode>0</c:formatCode>
                <c:ptCount val="5"/>
                <c:pt idx="0">
                  <c:v>74</c:v>
                </c:pt>
                <c:pt idx="1">
                  <c:v>76.150000000000006</c:v>
                </c:pt>
                <c:pt idx="2">
                  <c:v>73.47</c:v>
                </c:pt>
                <c:pt idx="3">
                  <c:v>78.510000000000005</c:v>
                </c:pt>
                <c:pt idx="4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31136"/>
        <c:axId val="177810976"/>
      </c:lineChart>
      <c:catAx>
        <c:axId val="1997331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810976"/>
        <c:crosses val="autoZero"/>
        <c:auto val="1"/>
        <c:lblAlgn val="ctr"/>
        <c:lblOffset val="100"/>
        <c:noMultiLvlLbl val="0"/>
      </c:catAx>
      <c:valAx>
        <c:axId val="177810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733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97322256"/>
        <c:axId val="177798816"/>
      </c:lineChart>
      <c:catAx>
        <c:axId val="199732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77798816"/>
        <c:crosses val="autoZero"/>
        <c:auto val="1"/>
        <c:lblAlgn val="ctr"/>
        <c:lblOffset val="100"/>
        <c:noMultiLvlLbl val="0"/>
      </c:catAx>
      <c:valAx>
        <c:axId val="177798816"/>
        <c:scaling>
          <c:orientation val="minMax"/>
          <c:min val="66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199732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70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72.45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997320480"/>
        <c:axId val="1748232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</c:f>
              <c:numCache>
                <c:formatCode>0</c:formatCode>
                <c:ptCount val="1"/>
                <c:pt idx="0">
                  <c:v>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20480"/>
        <c:axId val="174823248"/>
      </c:lineChart>
      <c:catAx>
        <c:axId val="1997320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823248"/>
        <c:crosses val="autoZero"/>
        <c:auto val="1"/>
        <c:lblAlgn val="ctr"/>
        <c:lblOffset val="100"/>
        <c:noMultiLvlLbl val="0"/>
      </c:catAx>
      <c:valAx>
        <c:axId val="17482324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99732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69.040000000000006</c:v>
                </c:pt>
                <c:pt idx="1">
                  <c:v>70.680000000000007</c:v>
                </c:pt>
                <c:pt idx="2">
                  <c:v>68.489999999999995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72.86</c:v>
                </c:pt>
                <c:pt idx="1">
                  <c:v>74.16</c:v>
                </c:pt>
                <c:pt idx="2">
                  <c:v>69.47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6544704"/>
        <c:axId val="17780793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74.09</c:v>
                </c:pt>
                <c:pt idx="1">
                  <c:v>76.3</c:v>
                </c:pt>
                <c:pt idx="2">
                  <c:v>72.11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544704"/>
        <c:axId val="177807936"/>
      </c:lineChart>
      <c:catAx>
        <c:axId val="176544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807936"/>
        <c:crosses val="autoZero"/>
        <c:auto val="1"/>
        <c:lblAlgn val="ctr"/>
        <c:lblOffset val="100"/>
        <c:noMultiLvlLbl val="0"/>
      </c:catAx>
      <c:valAx>
        <c:axId val="17780793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654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70.69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73.41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997048352"/>
        <c:axId val="17485182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Indicadores!$Q$81</c:f>
              <c:numCache>
                <c:formatCode>0</c:formatCode>
                <c:ptCount val="1"/>
                <c:pt idx="0">
                  <c:v>76.150000000000006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048352"/>
        <c:axId val="174851824"/>
      </c:lineChart>
      <c:catAx>
        <c:axId val="1997048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851824"/>
        <c:crosses val="autoZero"/>
        <c:auto val="1"/>
        <c:lblAlgn val="ctr"/>
        <c:lblOffset val="100"/>
        <c:noMultiLvlLbl val="0"/>
      </c:catAx>
      <c:valAx>
        <c:axId val="17485182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99704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72.3</c:v>
                </c:pt>
                <c:pt idx="1">
                  <c:v>64.569999999999993</c:v>
                </c:pt>
                <c:pt idx="2">
                  <c:v>71.52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74.599999999999994</c:v>
                </c:pt>
                <c:pt idx="1">
                  <c:v>68.69</c:v>
                </c:pt>
                <c:pt idx="2">
                  <c:v>74.069999999999993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6548256"/>
        <c:axId val="1777903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76.430000000000007</c:v>
                </c:pt>
                <c:pt idx="1">
                  <c:v>69.81</c:v>
                </c:pt>
                <c:pt idx="2">
                  <c:v>77.8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548256"/>
        <c:axId val="177790304"/>
      </c:lineChart>
      <c:catAx>
        <c:axId val="176548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790304"/>
        <c:crosses val="autoZero"/>
        <c:auto val="1"/>
        <c:lblAlgn val="ctr"/>
        <c:lblOffset val="100"/>
        <c:noMultiLvlLbl val="0"/>
      </c:catAx>
      <c:valAx>
        <c:axId val="17779030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65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66.069999999999993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67.709999999999994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997308224"/>
        <c:axId val="17484513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Indicadores!$Q$82</c:f>
              <c:numCache>
                <c:formatCode>0</c:formatCode>
                <c:ptCount val="1"/>
                <c:pt idx="0">
                  <c:v>73.47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08224"/>
        <c:axId val="174845136"/>
      </c:lineChart>
      <c:catAx>
        <c:axId val="1997308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845136"/>
        <c:crosses val="autoZero"/>
        <c:auto val="1"/>
        <c:lblAlgn val="ctr"/>
        <c:lblOffset val="100"/>
        <c:noMultiLvlLbl val="0"/>
      </c:catAx>
      <c:valAx>
        <c:axId val="17484513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99730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48.03</c:v>
                </c:pt>
                <c:pt idx="1">
                  <c:v>55.21</c:v>
                </c:pt>
                <c:pt idx="2">
                  <c:v>87.02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50.01</c:v>
                </c:pt>
                <c:pt idx="1">
                  <c:v>55.52</c:v>
                </c:pt>
                <c:pt idx="2">
                  <c:v>89.2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6545888"/>
        <c:axId val="1748256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65.86</c:v>
                </c:pt>
                <c:pt idx="1">
                  <c:v>57.91</c:v>
                </c:pt>
                <c:pt idx="2">
                  <c:v>88.89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545888"/>
        <c:axId val="174825680"/>
      </c:lineChart>
      <c:catAx>
        <c:axId val="176545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825680"/>
        <c:crosses val="autoZero"/>
        <c:auto val="1"/>
        <c:lblAlgn val="ctr"/>
        <c:lblOffset val="100"/>
        <c:noMultiLvlLbl val="0"/>
      </c:catAx>
      <c:valAx>
        <c:axId val="17482568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654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Indicadores!$O$83</c:f>
              <c:numCache>
                <c:formatCode>0</c:formatCode>
                <c:ptCount val="1"/>
                <c:pt idx="0">
                  <c:v>67.180000000000007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Indicadores!$N$83</c:f>
              <c:numCache>
                <c:formatCode>0</c:formatCode>
                <c:ptCount val="1"/>
                <c:pt idx="0">
                  <c:v>70.150000000000006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997319888"/>
        <c:axId val="1728169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Indicadores!$Q$83</c:f>
              <c:numCache>
                <c:formatCode>0</c:formatCode>
                <c:ptCount val="1"/>
                <c:pt idx="0">
                  <c:v>78.510000000000005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19888"/>
        <c:axId val="172816928"/>
      </c:lineChart>
      <c:catAx>
        <c:axId val="1997319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816928"/>
        <c:crosses val="autoZero"/>
        <c:auto val="1"/>
        <c:lblAlgn val="ctr"/>
        <c:lblOffset val="100"/>
        <c:noMultiLvlLbl val="0"/>
      </c:catAx>
      <c:valAx>
        <c:axId val="17281692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99731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66.150000000000006</c:v>
                </c:pt>
                <c:pt idx="1">
                  <c:v>71.45</c:v>
                </c:pt>
                <c:pt idx="2">
                  <c:v>65.569999999999993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67.88</c:v>
                </c:pt>
                <c:pt idx="1">
                  <c:v>73.3</c:v>
                </c:pt>
                <c:pt idx="2">
                  <c:v>69.709999999999994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997050720"/>
        <c:axId val="17281267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77.37</c:v>
                </c:pt>
                <c:pt idx="1">
                  <c:v>79.19</c:v>
                </c:pt>
                <c:pt idx="2">
                  <c:v>78.72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050720"/>
        <c:axId val="172812672"/>
      </c:lineChart>
      <c:catAx>
        <c:axId val="1997050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812672"/>
        <c:crosses val="autoZero"/>
        <c:auto val="1"/>
        <c:lblAlgn val="ctr"/>
        <c:lblOffset val="100"/>
        <c:noMultiLvlLbl val="0"/>
      </c:catAx>
      <c:valAx>
        <c:axId val="17281267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99705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Indicadores!$O$84</c:f>
              <c:numCache>
                <c:formatCode>0</c:formatCode>
                <c:ptCount val="1"/>
                <c:pt idx="0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Indicadores!$N$84</c:f>
              <c:numCache>
                <c:formatCode>0</c:formatCode>
                <c:ptCount val="1"/>
                <c:pt idx="0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996248896"/>
        <c:axId val="17485243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Indicadores!$Q$84</c:f>
              <c:numCache>
                <c:formatCode>0</c:formatCode>
                <c:ptCount val="1"/>
                <c:pt idx="0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248896"/>
        <c:axId val="174852432"/>
      </c:lineChart>
      <c:catAx>
        <c:axId val="1996248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852432"/>
        <c:crosses val="autoZero"/>
        <c:auto val="1"/>
        <c:lblAlgn val="ctr"/>
        <c:lblOffset val="100"/>
        <c:noMultiLvlLbl val="0"/>
      </c:catAx>
      <c:valAx>
        <c:axId val="17485243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99624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71.319999999999993</c:v>
                </c:pt>
                <c:pt idx="1">
                  <c:v>72.92</c:v>
                </c:pt>
                <c:pt idx="2">
                  <c:v>62.42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78</c:v>
                </c:pt>
                <c:pt idx="1">
                  <c:v>76.86</c:v>
                </c:pt>
                <c:pt idx="2">
                  <c:v>66.47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6552400"/>
        <c:axId val="1728163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74.98</c:v>
                </c:pt>
                <c:pt idx="1">
                  <c:v>77.89</c:v>
                </c:pt>
                <c:pt idx="2">
                  <c:v>70.53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552400"/>
        <c:axId val="172816320"/>
      </c:lineChart>
      <c:catAx>
        <c:axId val="1765524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816320"/>
        <c:crosses val="autoZero"/>
        <c:auto val="1"/>
        <c:lblAlgn val="ctr"/>
        <c:lblOffset val="100"/>
        <c:noMultiLvlLbl val="0"/>
      </c:catAx>
      <c:valAx>
        <c:axId val="17281632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655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66.47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76.86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69.709999999999994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73.3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67.88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89.2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55.52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50.01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74.069999999999993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68.69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74.599999999999994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69.47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74.16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72.86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997311776"/>
        <c:axId val="174846352"/>
      </c:barChart>
      <c:catAx>
        <c:axId val="1997311776"/>
        <c:scaling>
          <c:orientation val="minMax"/>
        </c:scaling>
        <c:delete val="1"/>
        <c:axPos val="l"/>
        <c:majorTickMark val="none"/>
        <c:minorTickMark val="none"/>
        <c:tickLblPos val="nextTo"/>
        <c:crossAx val="174846352"/>
        <c:crosses val="autoZero"/>
        <c:auto val="1"/>
        <c:lblAlgn val="ctr"/>
        <c:lblOffset val="100"/>
        <c:noMultiLvlLbl val="0"/>
      </c:catAx>
      <c:valAx>
        <c:axId val="17484635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99731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2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sel="2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Drop" dropStyle="combo" dx="16" fmlaLink="I27" noThreeD="1" val="0">
  <itemLst>
    <item val="Anillos"/>
    <item val="Barras"/>
    <item val="Barras + Base"/>
    <item val="Anillos Dobles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16" fmlaLink="I28" noThreeD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16" fmlaLink="I29" noThreeD="1" sel="4" val="0">
  <itemLst>
    <item val="Anillos"/>
    <item val="Barras"/>
    <item val="Barras + Base"/>
    <item val="Anillos Dobles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16" fmlaLink="I30" noThreeD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16" fmlaLink="I31" noThreeD="1" val="0">
  <itemLst>
    <item val="Anillos"/>
    <item val="Barras"/>
    <item val="Barras + Base"/>
    <item val="Anillos Dobles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16" fmlaLink="I32" noThreeD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Drop" dropStyle="combo" dx="16" fmlaLink="I33" noThreeD="1" val="0">
  <itemLst>
    <item val="Anillos"/>
    <item val="Barras"/>
    <item val="Barras + Base"/>
    <item val="Anillos Dobles"/>
  </itemLst>
</formControlPr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Drop" dropStyle="combo" dx="16" fmlaLink="I34" noThreeD="1" val="0">
  <itemLst>
    <item val="Hist. + Tabla"/>
  </itemLst>
</formControlPr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Drop" dropStyle="combo" dx="16" fmlaLink="I35" noThreeD="1" val="0">
  <itemLst>
    <item val="Anillos"/>
    <item val="Barras"/>
    <item val="Barras + Base"/>
    <item val="Anillos Dobles"/>
  </itemLst>
</formControlPr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Drop" dropStyle="combo" dx="16" fmlaLink="I36" noThreeD="1" val="0">
  <itemLst>
    <item val="Hist. + Tabla"/>
  </itemLst>
</formControlPr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4.xml"/><Relationship Id="rId13" Type="http://schemas.openxmlformats.org/officeDocument/2006/relationships/chart" Target="../charts/chart69.xml"/><Relationship Id="rId3" Type="http://schemas.openxmlformats.org/officeDocument/2006/relationships/chart" Target="../charts/chart59.xml"/><Relationship Id="rId7" Type="http://schemas.openxmlformats.org/officeDocument/2006/relationships/chart" Target="../charts/chart63.xml"/><Relationship Id="rId12" Type="http://schemas.openxmlformats.org/officeDocument/2006/relationships/chart" Target="../charts/chart68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6" Type="http://schemas.openxmlformats.org/officeDocument/2006/relationships/chart" Target="../charts/chart62.xml"/><Relationship Id="rId11" Type="http://schemas.openxmlformats.org/officeDocument/2006/relationships/chart" Target="../charts/chart67.xml"/><Relationship Id="rId5" Type="http://schemas.openxmlformats.org/officeDocument/2006/relationships/chart" Target="../charts/chart61.xml"/><Relationship Id="rId15" Type="http://schemas.openxmlformats.org/officeDocument/2006/relationships/chart" Target="../charts/chart71.xml"/><Relationship Id="rId10" Type="http://schemas.openxmlformats.org/officeDocument/2006/relationships/chart" Target="../charts/chart66.xml"/><Relationship Id="rId4" Type="http://schemas.openxmlformats.org/officeDocument/2006/relationships/chart" Target="../charts/chart60.xml"/><Relationship Id="rId9" Type="http://schemas.openxmlformats.org/officeDocument/2006/relationships/chart" Target="../charts/chart65.xml"/><Relationship Id="rId14" Type="http://schemas.openxmlformats.org/officeDocument/2006/relationships/chart" Target="../charts/chart7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82625" name="DropDowns_Demo1" hidden="1">
              <a:extLst>
                <a:ext uri="{63B3BB69-23CF-44E3-9099-C40C66FF867C}">
                  <a14:compatExt spid="_x0000_s28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82626" name="CheckBox_Demo1" hidden="1">
              <a:extLst>
                <a:ext uri="{63B3BB69-23CF-44E3-9099-C40C66FF867C}">
                  <a14:compatExt spid="_x0000_s28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82627" name="DropDowns_Demo_Bis1" hidden="1">
              <a:extLst>
                <a:ext uri="{63B3BB69-23CF-44E3-9099-C40C66FF867C}">
                  <a14:compatExt spid="_x0000_s28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82628" name="CheckBox_Demo_Bis1" hidden="1">
              <a:extLst>
                <a:ext uri="{63B3BB69-23CF-44E3-9099-C40C66FF867C}">
                  <a14:compatExt spid="_x0000_s28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82629" name="DropDowns_Demo2" hidden="1">
              <a:extLst>
                <a:ext uri="{63B3BB69-23CF-44E3-9099-C40C66FF867C}">
                  <a14:compatExt spid="_x0000_s28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82630" name="CheckBox_Demo2" hidden="1">
              <a:extLst>
                <a:ext uri="{63B3BB69-23CF-44E3-9099-C40C66FF867C}">
                  <a14:compatExt spid="_x0000_s28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82631" name="DropDowns_Demo_Bis2" hidden="1">
              <a:extLst>
                <a:ext uri="{63B3BB69-23CF-44E3-9099-C40C66FF867C}">
                  <a14:compatExt spid="_x0000_s28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82632" name="CheckBox_Demo_Bis2" hidden="1">
              <a:extLst>
                <a:ext uri="{63B3BB69-23CF-44E3-9099-C40C66FF867C}">
                  <a14:compatExt spid="_x0000_s28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82633" name="DropDowns_Demo3" hidden="1">
              <a:extLst>
                <a:ext uri="{63B3BB69-23CF-44E3-9099-C40C66FF867C}">
                  <a14:compatExt spid="_x0000_s28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82634" name="CheckBox_Demo3" hidden="1">
              <a:extLst>
                <a:ext uri="{63B3BB69-23CF-44E3-9099-C40C66FF867C}">
                  <a14:compatExt spid="_x0000_s28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82635" name="DropDowns_Demo_Bis3" hidden="1">
              <a:extLst>
                <a:ext uri="{63B3BB69-23CF-44E3-9099-C40C66FF867C}">
                  <a14:compatExt spid="_x0000_s28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82636" name="CheckBox_Demo_Bis3" hidden="1">
              <a:extLst>
                <a:ext uri="{63B3BB69-23CF-44E3-9099-C40C66FF867C}">
                  <a14:compatExt spid="_x0000_s28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82637" name="DropDowns_Demo4" hidden="1">
              <a:extLst>
                <a:ext uri="{63B3BB69-23CF-44E3-9099-C40C66FF867C}">
                  <a14:compatExt spid="_x0000_s28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82638" name="CheckBox_Demo4" hidden="1">
              <a:extLst>
                <a:ext uri="{63B3BB69-23CF-44E3-9099-C40C66FF867C}">
                  <a14:compatExt spid="_x0000_s28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82639" name="DropDowns_Demo_Bis4" hidden="1">
              <a:extLst>
                <a:ext uri="{63B3BB69-23CF-44E3-9099-C40C66FF867C}">
                  <a14:compatExt spid="_x0000_s282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82640" name="CheckBox_Demo_Bis4" hidden="1">
              <a:extLst>
                <a:ext uri="{63B3BB69-23CF-44E3-9099-C40C66FF867C}">
                  <a14:compatExt spid="_x0000_s28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82641" name="DropDowns_Demo5" hidden="1">
              <a:extLst>
                <a:ext uri="{63B3BB69-23CF-44E3-9099-C40C66FF867C}">
                  <a14:compatExt spid="_x0000_s28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82642" name="CheckBox_Demo5" hidden="1">
              <a:extLst>
                <a:ext uri="{63B3BB69-23CF-44E3-9099-C40C66FF867C}">
                  <a14:compatExt spid="_x0000_s28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82643" name="DropDowns_Demo_Bis5" hidden="1">
              <a:extLst>
                <a:ext uri="{63B3BB69-23CF-44E3-9099-C40C66FF867C}">
                  <a14:compatExt spid="_x0000_s28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82644" name="CheckBox_Demo_Bis5" hidden="1">
              <a:extLst>
                <a:ext uri="{63B3BB69-23CF-44E3-9099-C40C66FF867C}">
                  <a14:compatExt spid="_x0000_s28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82645" name="DropDowns_Demo6" hidden="1">
              <a:extLst>
                <a:ext uri="{63B3BB69-23CF-44E3-9099-C40C66FF867C}">
                  <a14:compatExt spid="_x0000_s28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82646" name="CheckBox_Demo6" hidden="1">
              <a:extLst>
                <a:ext uri="{63B3BB69-23CF-44E3-9099-C40C66FF867C}">
                  <a14:compatExt spid="_x0000_s28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82647" name="DropDowns_Demo_Bis6" hidden="1">
              <a:extLst>
                <a:ext uri="{63B3BB69-23CF-44E3-9099-C40C66FF867C}">
                  <a14:compatExt spid="_x0000_s28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82648" name="CheckBox_Demo_Bis6" hidden="1">
              <a:extLst>
                <a:ext uri="{63B3BB69-23CF-44E3-9099-C40C66FF867C}">
                  <a14:compatExt spid="_x0000_s28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82649" name="DropDowns_Demo7" hidden="1">
              <a:extLst>
                <a:ext uri="{63B3BB69-23CF-44E3-9099-C40C66FF867C}">
                  <a14:compatExt spid="_x0000_s28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82650" name="CheckBox_Demo7" hidden="1">
              <a:extLst>
                <a:ext uri="{63B3BB69-23CF-44E3-9099-C40C66FF867C}">
                  <a14:compatExt spid="_x0000_s28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82651" name="DropDowns_Demo_Bis7" hidden="1">
              <a:extLst>
                <a:ext uri="{63B3BB69-23CF-44E3-9099-C40C66FF867C}">
                  <a14:compatExt spid="_x0000_s28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82652" name="CheckBox_Demo_Bis7" hidden="1">
              <a:extLst>
                <a:ext uri="{63B3BB69-23CF-44E3-9099-C40C66FF867C}">
                  <a14:compatExt spid="_x0000_s28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82653" name="DropDowns_Demo8" hidden="1">
              <a:extLst>
                <a:ext uri="{63B3BB69-23CF-44E3-9099-C40C66FF867C}">
                  <a14:compatExt spid="_x0000_s28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82654" name="CheckBox_Demo8" hidden="1">
              <a:extLst>
                <a:ext uri="{63B3BB69-23CF-44E3-9099-C40C66FF867C}">
                  <a14:compatExt spid="_x0000_s28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82655" name="DropDowns_Demo_Bis8" hidden="1">
              <a:extLst>
                <a:ext uri="{63B3BB69-23CF-44E3-9099-C40C66FF867C}">
                  <a14:compatExt spid="_x0000_s28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82656" name="CheckBox_Demo_Bis8" hidden="1">
              <a:extLst>
                <a:ext uri="{63B3BB69-23CF-44E3-9099-C40C66FF867C}">
                  <a14:compatExt spid="_x0000_s28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82657" name="DropDowns_Demo9" hidden="1">
              <a:extLst>
                <a:ext uri="{63B3BB69-23CF-44E3-9099-C40C66FF867C}">
                  <a14:compatExt spid="_x0000_s2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82658" name="CheckBox_Demo9" hidden="1">
              <a:extLst>
                <a:ext uri="{63B3BB69-23CF-44E3-9099-C40C66FF867C}">
                  <a14:compatExt spid="_x0000_s28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82659" name="DropDowns_Demo_Bis9" hidden="1">
              <a:extLst>
                <a:ext uri="{63B3BB69-23CF-44E3-9099-C40C66FF867C}">
                  <a14:compatExt spid="_x0000_s28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82660" name="CheckBox_Demo_Bis9" hidden="1">
              <a:extLst>
                <a:ext uri="{63B3BB69-23CF-44E3-9099-C40C66FF867C}">
                  <a14:compatExt spid="_x0000_s28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282661" name="DropDowns_Demo10" hidden="1">
              <a:extLst>
                <a:ext uri="{63B3BB69-23CF-44E3-9099-C40C66FF867C}">
                  <a14:compatExt spid="_x0000_s28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282662" name="CheckBox_Demo10" hidden="1">
              <a:extLst>
                <a:ext uri="{63B3BB69-23CF-44E3-9099-C40C66FF867C}">
                  <a14:compatExt spid="_x0000_s28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82663" name="DropDowns_Demo_Bis10" hidden="1">
              <a:extLst>
                <a:ext uri="{63B3BB69-23CF-44E3-9099-C40C66FF867C}">
                  <a14:compatExt spid="_x0000_s28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282664" name="CheckBox_Demo_Bis10" hidden="1">
              <a:extLst>
                <a:ext uri="{63B3BB69-23CF-44E3-9099-C40C66FF867C}">
                  <a14:compatExt spid="_x0000_s28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282665" name="DropDowns_Demo11" hidden="1">
              <a:extLst>
                <a:ext uri="{63B3BB69-23CF-44E3-9099-C40C66FF867C}">
                  <a14:compatExt spid="_x0000_s28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282666" name="CheckBox_Demo11" hidden="1">
              <a:extLst>
                <a:ext uri="{63B3BB69-23CF-44E3-9099-C40C66FF867C}">
                  <a14:compatExt spid="_x0000_s28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282667" name="DropDowns_Demo_Bis11" hidden="1">
              <a:extLst>
                <a:ext uri="{63B3BB69-23CF-44E3-9099-C40C66FF867C}">
                  <a14:compatExt spid="_x0000_s28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282668" name="CheckBox_Demo_Bis11" hidden="1">
              <a:extLst>
                <a:ext uri="{63B3BB69-23CF-44E3-9099-C40C66FF867C}">
                  <a14:compatExt spid="_x0000_s28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282669" name="DropDowns_Demo12" hidden="1">
              <a:extLst>
                <a:ext uri="{63B3BB69-23CF-44E3-9099-C40C66FF867C}">
                  <a14:compatExt spid="_x0000_s28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282670" name="CheckBox_Demo12" hidden="1">
              <a:extLst>
                <a:ext uri="{63B3BB69-23CF-44E3-9099-C40C66FF867C}">
                  <a14:compatExt spid="_x0000_s28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282671" name="DropDowns_Demo_Bis12" hidden="1">
              <a:extLst>
                <a:ext uri="{63B3BB69-23CF-44E3-9099-C40C66FF867C}">
                  <a14:compatExt spid="_x0000_s28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282672" name="CheckBox_Demo_Bis12" hidden="1">
              <a:extLst>
                <a:ext uri="{63B3BB69-23CF-44E3-9099-C40C66FF867C}">
                  <a14:compatExt spid="_x0000_s28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282673" name="DropDowns_Demo13" hidden="1">
              <a:extLst>
                <a:ext uri="{63B3BB69-23CF-44E3-9099-C40C66FF867C}">
                  <a14:compatExt spid="_x0000_s28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282674" name="CheckBox_Demo13" hidden="1">
              <a:extLst>
                <a:ext uri="{63B3BB69-23CF-44E3-9099-C40C66FF867C}">
                  <a14:compatExt spid="_x0000_s28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282675" name="DropDowns_Demo_Bis13" hidden="1">
              <a:extLst>
                <a:ext uri="{63B3BB69-23CF-44E3-9099-C40C66FF867C}">
                  <a14:compatExt spid="_x0000_s28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31</xdr:row>
          <xdr:rowOff>0</xdr:rowOff>
        </xdr:from>
        <xdr:to>
          <xdr:col>9</xdr:col>
          <xdr:colOff>638175</xdr:colOff>
          <xdr:row>32</xdr:row>
          <xdr:rowOff>19050</xdr:rowOff>
        </xdr:to>
        <xdr:sp macro="" textlink="">
          <xdr:nvSpPr>
            <xdr:cNvPr id="282676" name="CheckBox_Demo_Bis13" hidden="1">
              <a:extLst>
                <a:ext uri="{63B3BB69-23CF-44E3-9099-C40C66FF867C}">
                  <a14:compatExt spid="_x0000_s28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282677" name="DropDowns_Demo14" hidden="1">
              <a:extLst>
                <a:ext uri="{63B3BB69-23CF-44E3-9099-C40C66FF867C}">
                  <a14:compatExt spid="_x0000_s28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32</xdr:row>
          <xdr:rowOff>0</xdr:rowOff>
        </xdr:from>
        <xdr:to>
          <xdr:col>9</xdr:col>
          <xdr:colOff>638175</xdr:colOff>
          <xdr:row>33</xdr:row>
          <xdr:rowOff>19050</xdr:rowOff>
        </xdr:to>
        <xdr:sp macro="" textlink="">
          <xdr:nvSpPr>
            <xdr:cNvPr id="282678" name="CheckBox_Demo14" hidden="1">
              <a:extLst>
                <a:ext uri="{63B3BB69-23CF-44E3-9099-C40C66FF867C}">
                  <a14:compatExt spid="_x0000_s28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282679" name="DropDowns_Demo_Bis14" hidden="1">
              <a:extLst>
                <a:ext uri="{63B3BB69-23CF-44E3-9099-C40C66FF867C}">
                  <a14:compatExt spid="_x0000_s28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33</xdr:row>
          <xdr:rowOff>0</xdr:rowOff>
        </xdr:from>
        <xdr:to>
          <xdr:col>9</xdr:col>
          <xdr:colOff>638175</xdr:colOff>
          <xdr:row>34</xdr:row>
          <xdr:rowOff>19050</xdr:rowOff>
        </xdr:to>
        <xdr:sp macro="" textlink="">
          <xdr:nvSpPr>
            <xdr:cNvPr id="282680" name="CheckBox_Demo_Bis14" hidden="1">
              <a:extLst>
                <a:ext uri="{63B3BB69-23CF-44E3-9099-C40C66FF867C}">
                  <a14:compatExt spid="_x0000_s282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282681" name="DropDowns_Demo15" hidden="1">
              <a:extLst>
                <a:ext uri="{63B3BB69-23CF-44E3-9099-C40C66FF867C}">
                  <a14:compatExt spid="_x0000_s28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34</xdr:row>
          <xdr:rowOff>0</xdr:rowOff>
        </xdr:from>
        <xdr:to>
          <xdr:col>9</xdr:col>
          <xdr:colOff>638175</xdr:colOff>
          <xdr:row>35</xdr:row>
          <xdr:rowOff>19050</xdr:rowOff>
        </xdr:to>
        <xdr:sp macro="" textlink="">
          <xdr:nvSpPr>
            <xdr:cNvPr id="282682" name="CheckBox_Demo15" hidden="1">
              <a:extLst>
                <a:ext uri="{63B3BB69-23CF-44E3-9099-C40C66FF867C}">
                  <a14:compatExt spid="_x0000_s282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282683" name="DropDowns_Demo_Bis15" hidden="1">
              <a:extLst>
                <a:ext uri="{63B3BB69-23CF-44E3-9099-C40C66FF867C}">
                  <a14:compatExt spid="_x0000_s282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35</xdr:row>
          <xdr:rowOff>0</xdr:rowOff>
        </xdr:from>
        <xdr:to>
          <xdr:col>9</xdr:col>
          <xdr:colOff>638175</xdr:colOff>
          <xdr:row>36</xdr:row>
          <xdr:rowOff>19050</xdr:rowOff>
        </xdr:to>
        <xdr:sp macro="" textlink="">
          <xdr:nvSpPr>
            <xdr:cNvPr id="282684" name="CheckBox_Demo_Bis15" hidden="1">
              <a:extLst>
                <a:ext uri="{63B3BB69-23CF-44E3-9099-C40C66FF867C}">
                  <a14:compatExt spid="_x0000_s282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282685" name="Button 61" hidden="1">
              <a:extLst>
                <a:ext uri="{63B3BB69-23CF-44E3-9099-C40C66FF867C}">
                  <a14:compatExt spid="_x0000_s282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282686" name="Button 62" hidden="1">
              <a:extLst>
                <a:ext uri="{63B3BB69-23CF-44E3-9099-C40C66FF867C}">
                  <a14:compatExt spid="_x0000_s282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282687" name="Button 63" hidden="1">
              <a:extLst>
                <a:ext uri="{63B3BB69-23CF-44E3-9099-C40C66FF867C}">
                  <a14:compatExt spid="_x0000_s282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124</xdr:row>
          <xdr:rowOff>0</xdr:rowOff>
        </xdr:from>
        <xdr:to>
          <xdr:col>10</xdr:col>
          <xdr:colOff>0</xdr:colOff>
          <xdr:row>126</xdr:row>
          <xdr:rowOff>0</xdr:rowOff>
        </xdr:to>
        <xdr:sp macro="" textlink="">
          <xdr:nvSpPr>
            <xdr:cNvPr id="267370" name="Button 106" hidden="1">
              <a:extLst>
                <a:ext uri="{63B3BB69-23CF-44E3-9099-C40C66FF867C}">
                  <a14:compatExt spid="_x0000_s267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1"/>
        <xdr:cNvGrpSpPr/>
      </xdr:nvGrpSpPr>
      <xdr:grpSpPr>
        <a:xfrm>
          <a:off x="2405063" y="0"/>
          <a:ext cx="11136312" cy="4953000"/>
          <a:chOff x="1524000" y="0"/>
          <a:chExt cx="6350000" cy="4953000"/>
        </a:xfrm>
      </xdr:grpSpPr>
      <xdr:graphicFrame macro="">
        <xdr:nvGraphicFramePr>
          <xdr:cNvPr id="2" name="GrafDemo1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1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2</xdr:col>
      <xdr:colOff>127000</xdr:colOff>
      <xdr:row>64</xdr:row>
      <xdr:rowOff>130408</xdr:rowOff>
    </xdr:from>
    <xdr:to>
      <xdr:col>2</xdr:col>
      <xdr:colOff>2024012</xdr:colOff>
      <xdr:row>71</xdr:row>
      <xdr:rowOff>55492</xdr:rowOff>
    </xdr:to>
    <xdr:grpSp>
      <xdr:nvGrpSpPr>
        <xdr:cNvPr id="14" name="GrafDemo_Bis1_leyenda"/>
        <xdr:cNvGrpSpPr/>
      </xdr:nvGrpSpPr>
      <xdr:grpSpPr>
        <a:xfrm>
          <a:off x="2532063" y="12322408"/>
          <a:ext cx="1897012" cy="1258584"/>
          <a:chOff x="1651000" y="12322408"/>
          <a:chExt cx="1897012" cy="1258584"/>
        </a:xfrm>
      </xdr:grpSpPr>
      <xdr:cxnSp macro="">
        <xdr:nvCxnSpPr>
          <xdr:cNvPr id="10" name="GrafDemo_Bis1_barra_percepcion_general"/>
          <xdr:cNvCxnSpPr/>
        </xdr:nvCxnSpPr>
        <xdr:spPr>
          <a:xfrm>
            <a:off x="1651000" y="13139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GrafDemo_Bis1_anio1"/>
          <xdr:cNvSpPr/>
        </xdr:nvSpPr>
        <xdr:spPr>
          <a:xfrm>
            <a:off x="1651000" y="12382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" name="GrafDemo_Bis1_textbox_anio1"/>
          <xdr:cNvSpPr txBox="1"/>
        </xdr:nvSpPr>
        <xdr:spPr>
          <a:xfrm>
            <a:off x="2286000" y="1232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" name="GrafDemo_Bis1_anio2"/>
          <xdr:cNvSpPr/>
        </xdr:nvSpPr>
        <xdr:spPr>
          <a:xfrm>
            <a:off x="1651000" y="12700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" name="GrafDemo_Bis1_textbox_anio2"/>
          <xdr:cNvSpPr txBox="1"/>
        </xdr:nvSpPr>
        <xdr:spPr>
          <a:xfrm>
            <a:off x="2286000" y="1263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" name="GrafDemo_Bis1_circulo_percepcion_general"/>
          <xdr:cNvSpPr/>
        </xdr:nvSpPr>
        <xdr:spPr>
          <a:xfrm>
            <a:off x="1760800" y="130175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" name="GrafDemo_Bis1_textbox_percepcion_general"/>
          <xdr:cNvSpPr txBox="1"/>
        </xdr:nvSpPr>
        <xdr:spPr>
          <a:xfrm>
            <a:off x="2286000" y="13016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" name="GrafDemo_Bis1_barra_promedio_general"/>
          <xdr:cNvCxnSpPr/>
        </xdr:nvCxnSpPr>
        <xdr:spPr>
          <a:xfrm>
            <a:off x="1651000" y="13457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GrafDemo_Bis1_textbox_promedio_general"/>
          <xdr:cNvSpPr txBox="1"/>
        </xdr:nvSpPr>
        <xdr:spPr>
          <a:xfrm>
            <a:off x="2286000" y="13333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15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18" name="GrafDemo2"/>
        <xdr:cNvGrpSpPr/>
      </xdr:nvGrpSpPr>
      <xdr:grpSpPr>
        <a:xfrm>
          <a:off x="2405063" y="18395156"/>
          <a:ext cx="11136312" cy="4953000"/>
          <a:chOff x="1524000" y="18697575"/>
          <a:chExt cx="6350000" cy="4953000"/>
        </a:xfrm>
      </xdr:grpSpPr>
      <xdr:graphicFrame macro="">
        <xdr:nvGraphicFramePr>
          <xdr:cNvPr id="16" name="GrafDemo2"/>
          <xdr:cNvGraphicFramePr/>
        </xdr:nvGraphicFramePr>
        <xdr:xfrm>
          <a:off x="1524000" y="1869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7" name="GrafDemo2_fondo"/>
          <xdr:cNvGraphicFramePr/>
        </xdr:nvGraphicFramePr>
        <xdr:xfrm>
          <a:off x="1524000" y="1869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2</xdr:col>
      <xdr:colOff>127000</xdr:colOff>
      <xdr:row>155</xdr:row>
      <xdr:rowOff>130408</xdr:rowOff>
    </xdr:from>
    <xdr:to>
      <xdr:col>2</xdr:col>
      <xdr:colOff>2024012</xdr:colOff>
      <xdr:row>162</xdr:row>
      <xdr:rowOff>55491</xdr:rowOff>
    </xdr:to>
    <xdr:grpSp>
      <xdr:nvGrpSpPr>
        <xdr:cNvPr id="28" name="GrafDemo_Bis2_leyenda"/>
        <xdr:cNvGrpSpPr/>
      </xdr:nvGrpSpPr>
      <xdr:grpSpPr>
        <a:xfrm>
          <a:off x="2532063" y="30717564"/>
          <a:ext cx="1897012" cy="1258583"/>
          <a:chOff x="1651000" y="31019983"/>
          <a:chExt cx="1897012" cy="1258583"/>
        </a:xfrm>
      </xdr:grpSpPr>
      <xdr:cxnSp macro="">
        <xdr:nvCxnSpPr>
          <xdr:cNvPr id="24" name="GrafDemo_Bis2_barra_percepcion_general"/>
          <xdr:cNvCxnSpPr/>
        </xdr:nvCxnSpPr>
        <xdr:spPr>
          <a:xfrm>
            <a:off x="1651000" y="31837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GrafDemo_Bis2_anio1"/>
          <xdr:cNvSpPr/>
        </xdr:nvSpPr>
        <xdr:spPr>
          <a:xfrm>
            <a:off x="1651000" y="310800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" name="GrafDemo_Bis2_textbox_anio1"/>
          <xdr:cNvSpPr txBox="1"/>
        </xdr:nvSpPr>
        <xdr:spPr>
          <a:xfrm>
            <a:off x="2286000" y="3101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" name="GrafDemo_Bis2_anio2"/>
          <xdr:cNvSpPr/>
        </xdr:nvSpPr>
        <xdr:spPr>
          <a:xfrm>
            <a:off x="1651000" y="3139757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" name="GrafDemo_Bis2_textbox_anio2"/>
          <xdr:cNvSpPr txBox="1"/>
        </xdr:nvSpPr>
        <xdr:spPr>
          <a:xfrm>
            <a:off x="2286000" y="3133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" name="GrafDemo_Bis2_circulo_percepcion_general"/>
          <xdr:cNvSpPr/>
        </xdr:nvSpPr>
        <xdr:spPr>
          <a:xfrm>
            <a:off x="1760800" y="317150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" name="GrafDemo_Bis2_textbox_percepcion_general"/>
          <xdr:cNvSpPr txBox="1"/>
        </xdr:nvSpPr>
        <xdr:spPr>
          <a:xfrm>
            <a:off x="2286000" y="317138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" name="GrafDemo_Bis2_barra_promedio_general"/>
          <xdr:cNvCxnSpPr/>
        </xdr:nvCxnSpPr>
        <xdr:spPr>
          <a:xfrm>
            <a:off x="1651000" y="32154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2_textbox_promedio_general"/>
          <xdr:cNvSpPr txBox="1"/>
        </xdr:nvSpPr>
        <xdr:spPr>
          <a:xfrm>
            <a:off x="2286000" y="320313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29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32" name="GrafDemo3"/>
        <xdr:cNvGrpSpPr/>
      </xdr:nvGrpSpPr>
      <xdr:grpSpPr>
        <a:xfrm>
          <a:off x="2405063" y="36695063"/>
          <a:ext cx="11136312" cy="4953000"/>
          <a:chOff x="1524000" y="37109400"/>
          <a:chExt cx="6350000" cy="4953000"/>
        </a:xfrm>
      </xdr:grpSpPr>
      <xdr:graphicFrame macro="">
        <xdr:nvGraphicFramePr>
          <xdr:cNvPr id="30" name="GrafDemo3"/>
          <xdr:cNvGraphicFramePr/>
        </xdr:nvGraphicFramePr>
        <xdr:xfrm>
          <a:off x="1524000" y="37109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1" name="GrafDemo3_fondo"/>
          <xdr:cNvGraphicFramePr/>
        </xdr:nvGraphicFramePr>
        <xdr:xfrm>
          <a:off x="1524000" y="37109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2</xdr:col>
      <xdr:colOff>127000</xdr:colOff>
      <xdr:row>246</xdr:row>
      <xdr:rowOff>130408</xdr:rowOff>
    </xdr:from>
    <xdr:to>
      <xdr:col>2</xdr:col>
      <xdr:colOff>2024012</xdr:colOff>
      <xdr:row>253</xdr:row>
      <xdr:rowOff>55491</xdr:rowOff>
    </xdr:to>
    <xdr:grpSp>
      <xdr:nvGrpSpPr>
        <xdr:cNvPr id="42" name="GrafDemo_Bis3_leyenda"/>
        <xdr:cNvGrpSpPr/>
      </xdr:nvGrpSpPr>
      <xdr:grpSpPr>
        <a:xfrm>
          <a:off x="2532063" y="49017471"/>
          <a:ext cx="1897012" cy="1258583"/>
          <a:chOff x="1651000" y="49431808"/>
          <a:chExt cx="1897012" cy="1258583"/>
        </a:xfrm>
      </xdr:grpSpPr>
      <xdr:cxnSp macro="">
        <xdr:nvCxnSpPr>
          <xdr:cNvPr id="38" name="GrafDemo_Bis3_barra_percepcion_general"/>
          <xdr:cNvCxnSpPr/>
        </xdr:nvCxnSpPr>
        <xdr:spPr>
          <a:xfrm>
            <a:off x="1651000" y="50249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GrafDemo_Bis3_anio1"/>
          <xdr:cNvSpPr/>
        </xdr:nvSpPr>
        <xdr:spPr>
          <a:xfrm>
            <a:off x="1651000" y="49491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4" name="GrafDemo_Bis3_textbox_anio1"/>
          <xdr:cNvSpPr txBox="1"/>
        </xdr:nvSpPr>
        <xdr:spPr>
          <a:xfrm>
            <a:off x="2286000" y="49431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5" name="GrafDemo_Bis3_anio2"/>
          <xdr:cNvSpPr/>
        </xdr:nvSpPr>
        <xdr:spPr>
          <a:xfrm>
            <a:off x="1651000" y="49809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6" name="GrafDemo_Bis3_textbox_anio2"/>
          <xdr:cNvSpPr txBox="1"/>
        </xdr:nvSpPr>
        <xdr:spPr>
          <a:xfrm>
            <a:off x="2286000" y="49749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7" name="GrafDemo_Bis3_circulo_percepcion_general"/>
          <xdr:cNvSpPr/>
        </xdr:nvSpPr>
        <xdr:spPr>
          <a:xfrm>
            <a:off x="1760800" y="50126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9" name="GrafDemo_Bis3_textbox_percepcion_general"/>
          <xdr:cNvSpPr txBox="1"/>
        </xdr:nvSpPr>
        <xdr:spPr>
          <a:xfrm>
            <a:off x="2286000" y="50125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0" name="GrafDemo_Bis3_barra_promedio_general"/>
          <xdr:cNvCxnSpPr/>
        </xdr:nvCxnSpPr>
        <xdr:spPr>
          <a:xfrm>
            <a:off x="1651000" y="50566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GrafDemo_Bis3_textbox_promedio_general"/>
          <xdr:cNvSpPr txBox="1"/>
        </xdr:nvSpPr>
        <xdr:spPr>
          <a:xfrm>
            <a:off x="2286000" y="50443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43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pSp>
      <xdr:nvGrpSpPr>
        <xdr:cNvPr id="46" name="GrafDemo4"/>
        <xdr:cNvGrpSpPr/>
      </xdr:nvGrpSpPr>
      <xdr:grpSpPr>
        <a:xfrm>
          <a:off x="2405063" y="54994969"/>
          <a:ext cx="11136312" cy="4953000"/>
          <a:chOff x="1524000" y="55425975"/>
          <a:chExt cx="6350000" cy="4953000"/>
        </a:xfrm>
      </xdr:grpSpPr>
      <xdr:graphicFrame macro="">
        <xdr:nvGraphicFramePr>
          <xdr:cNvPr id="44" name="GrafDemo4"/>
          <xdr:cNvGraphicFramePr/>
        </xdr:nvGraphicFramePr>
        <xdr:xfrm>
          <a:off x="1524000" y="55425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45" name="GrafDemo4_fondo"/>
          <xdr:cNvGraphicFramePr/>
        </xdr:nvGraphicFramePr>
        <xdr:xfrm>
          <a:off x="1524000" y="55425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  <xdr:twoCellAnchor editAs="oneCell">
    <xdr:from>
      <xdr:col>2</xdr:col>
      <xdr:colOff>127000</xdr:colOff>
      <xdr:row>337</xdr:row>
      <xdr:rowOff>130408</xdr:rowOff>
    </xdr:from>
    <xdr:to>
      <xdr:col>2</xdr:col>
      <xdr:colOff>2024012</xdr:colOff>
      <xdr:row>344</xdr:row>
      <xdr:rowOff>55491</xdr:rowOff>
    </xdr:to>
    <xdr:grpSp>
      <xdr:nvGrpSpPr>
        <xdr:cNvPr id="56" name="GrafDemo_Bis4_leyenda"/>
        <xdr:cNvGrpSpPr/>
      </xdr:nvGrpSpPr>
      <xdr:grpSpPr>
        <a:xfrm>
          <a:off x="2532063" y="67317377"/>
          <a:ext cx="1897012" cy="1258583"/>
          <a:chOff x="1651000" y="67748383"/>
          <a:chExt cx="1897012" cy="1258583"/>
        </a:xfrm>
      </xdr:grpSpPr>
      <xdr:cxnSp macro="">
        <xdr:nvCxnSpPr>
          <xdr:cNvPr id="52" name="GrafDemo_Bis4_barra_percepcion_general"/>
          <xdr:cNvCxnSpPr/>
        </xdr:nvCxnSpPr>
        <xdr:spPr>
          <a:xfrm>
            <a:off x="1651000" y="68565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GrafDemo_Bis4_anio1"/>
          <xdr:cNvSpPr/>
        </xdr:nvSpPr>
        <xdr:spPr>
          <a:xfrm>
            <a:off x="1651000" y="67808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8" name="GrafDemo_Bis4_textbox_anio1"/>
          <xdr:cNvSpPr txBox="1"/>
        </xdr:nvSpPr>
        <xdr:spPr>
          <a:xfrm>
            <a:off x="2286000" y="67748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9" name="GrafDemo_Bis4_anio2"/>
          <xdr:cNvSpPr/>
        </xdr:nvSpPr>
        <xdr:spPr>
          <a:xfrm>
            <a:off x="1651000" y="681259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0" name="GrafDemo_Bis4_textbox_anio2"/>
          <xdr:cNvSpPr txBox="1"/>
        </xdr:nvSpPr>
        <xdr:spPr>
          <a:xfrm>
            <a:off x="2286000" y="68065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51" name="GrafDemo_Bis4_circulo_percepcion_general"/>
          <xdr:cNvSpPr/>
        </xdr:nvSpPr>
        <xdr:spPr>
          <a:xfrm>
            <a:off x="1760800" y="684434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3" name="GrafDemo_Bis4_textbox_percepcion_general"/>
          <xdr:cNvSpPr txBox="1"/>
        </xdr:nvSpPr>
        <xdr:spPr>
          <a:xfrm>
            <a:off x="2286000" y="68442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4" name="GrafDemo_Bis4_barra_promedio_general"/>
          <xdr:cNvCxnSpPr/>
        </xdr:nvCxnSpPr>
        <xdr:spPr>
          <a:xfrm>
            <a:off x="1651000" y="68883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5" name="GrafDemo_Bis4_textbox_promedio_general"/>
          <xdr:cNvSpPr txBox="1"/>
        </xdr:nvSpPr>
        <xdr:spPr>
          <a:xfrm>
            <a:off x="2286000" y="68759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333</xdr:row>
      <xdr:rowOff>0</xdr:rowOff>
    </xdr:from>
    <xdr:to>
      <xdr:col>9</xdr:col>
      <xdr:colOff>1193800</xdr:colOff>
      <xdr:row>346</xdr:row>
      <xdr:rowOff>63500</xdr:rowOff>
    </xdr:to>
    <xdr:graphicFrame macro="">
      <xdr:nvGraphicFramePr>
        <xdr:cNvPr id="57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364</xdr:row>
      <xdr:rowOff>0</xdr:rowOff>
    </xdr:from>
    <xdr:to>
      <xdr:col>10</xdr:col>
      <xdr:colOff>254000</xdr:colOff>
      <xdr:row>390</xdr:row>
      <xdr:rowOff>0</xdr:rowOff>
    </xdr:to>
    <xdr:grpSp>
      <xdr:nvGrpSpPr>
        <xdr:cNvPr id="60" name="GrafDemo5"/>
        <xdr:cNvGrpSpPr/>
      </xdr:nvGrpSpPr>
      <xdr:grpSpPr>
        <a:xfrm>
          <a:off x="2405063" y="73294875"/>
          <a:ext cx="11136312" cy="4953000"/>
          <a:chOff x="1524000" y="73837800"/>
          <a:chExt cx="6350000" cy="4953000"/>
        </a:xfrm>
      </xdr:grpSpPr>
      <xdr:graphicFrame macro="">
        <xdr:nvGraphicFramePr>
          <xdr:cNvPr id="58" name="GrafDemo5"/>
          <xdr:cNvGraphicFramePr/>
        </xdr:nvGraphicFramePr>
        <xdr:xfrm>
          <a:off x="1524000" y="73837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59" name="GrafDemo5_fondo"/>
          <xdr:cNvGraphicFramePr/>
        </xdr:nvGraphicFramePr>
        <xdr:xfrm>
          <a:off x="1524000" y="73837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2</xdr:col>
      <xdr:colOff>127000</xdr:colOff>
      <xdr:row>428</xdr:row>
      <xdr:rowOff>130408</xdr:rowOff>
    </xdr:from>
    <xdr:to>
      <xdr:col>2</xdr:col>
      <xdr:colOff>2024012</xdr:colOff>
      <xdr:row>435</xdr:row>
      <xdr:rowOff>55491</xdr:rowOff>
    </xdr:to>
    <xdr:grpSp>
      <xdr:nvGrpSpPr>
        <xdr:cNvPr id="70" name="GrafDemo_Bis5_leyenda"/>
        <xdr:cNvGrpSpPr/>
      </xdr:nvGrpSpPr>
      <xdr:grpSpPr>
        <a:xfrm>
          <a:off x="2532063" y="85617283"/>
          <a:ext cx="1897012" cy="1258583"/>
          <a:chOff x="1651000" y="86160208"/>
          <a:chExt cx="1897012" cy="1258583"/>
        </a:xfrm>
      </xdr:grpSpPr>
      <xdr:cxnSp macro="">
        <xdr:nvCxnSpPr>
          <xdr:cNvPr id="66" name="GrafDemo_Bis5_barra_percepcion_general"/>
          <xdr:cNvCxnSpPr/>
        </xdr:nvCxnSpPr>
        <xdr:spPr>
          <a:xfrm>
            <a:off x="1651000" y="86977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1" name="GrafDemo_Bis5_anio1"/>
          <xdr:cNvSpPr/>
        </xdr:nvSpPr>
        <xdr:spPr>
          <a:xfrm>
            <a:off x="1651000" y="86220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2" name="GrafDemo_Bis5_textbox_anio1"/>
          <xdr:cNvSpPr txBox="1"/>
        </xdr:nvSpPr>
        <xdr:spPr>
          <a:xfrm>
            <a:off x="2286000" y="86160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63" name="GrafDemo_Bis5_anio2"/>
          <xdr:cNvSpPr/>
        </xdr:nvSpPr>
        <xdr:spPr>
          <a:xfrm>
            <a:off x="1651000" y="86537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4" name="GrafDemo_Bis5_textbox_anio2"/>
          <xdr:cNvSpPr txBox="1"/>
        </xdr:nvSpPr>
        <xdr:spPr>
          <a:xfrm>
            <a:off x="2286000" y="86477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5" name="GrafDemo_Bis5_circulo_percepcion_general"/>
          <xdr:cNvSpPr/>
        </xdr:nvSpPr>
        <xdr:spPr>
          <a:xfrm>
            <a:off x="1760800" y="86855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7" name="GrafDemo_Bis5_textbox_percepcion_general"/>
          <xdr:cNvSpPr txBox="1"/>
        </xdr:nvSpPr>
        <xdr:spPr>
          <a:xfrm>
            <a:off x="2286000" y="86854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68" name="GrafDemo_Bis5_barra_promedio_general"/>
          <xdr:cNvCxnSpPr/>
        </xdr:nvCxnSpPr>
        <xdr:spPr>
          <a:xfrm>
            <a:off x="1651000" y="87295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9" name="GrafDemo_Bis5_textbox_promedio_general"/>
          <xdr:cNvSpPr txBox="1"/>
        </xdr:nvSpPr>
        <xdr:spPr>
          <a:xfrm>
            <a:off x="2286000" y="87171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424</xdr:row>
      <xdr:rowOff>0</xdr:rowOff>
    </xdr:from>
    <xdr:to>
      <xdr:col>9</xdr:col>
      <xdr:colOff>1193800</xdr:colOff>
      <xdr:row>437</xdr:row>
      <xdr:rowOff>63500</xdr:rowOff>
    </xdr:to>
    <xdr:graphicFrame macro="">
      <xdr:nvGraphicFramePr>
        <xdr:cNvPr id="71" name="GrafDemo_Bis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455</xdr:row>
      <xdr:rowOff>0</xdr:rowOff>
    </xdr:from>
    <xdr:to>
      <xdr:col>10</xdr:col>
      <xdr:colOff>254000</xdr:colOff>
      <xdr:row>481</xdr:row>
      <xdr:rowOff>0</xdr:rowOff>
    </xdr:to>
    <xdr:grpSp>
      <xdr:nvGrpSpPr>
        <xdr:cNvPr id="74" name="GrafDemo6"/>
        <xdr:cNvGrpSpPr/>
      </xdr:nvGrpSpPr>
      <xdr:grpSpPr>
        <a:xfrm>
          <a:off x="2405063" y="91594781"/>
          <a:ext cx="11136312" cy="4953000"/>
          <a:chOff x="1524000" y="92249625"/>
          <a:chExt cx="6350000" cy="4953000"/>
        </a:xfrm>
      </xdr:grpSpPr>
      <xdr:graphicFrame macro="">
        <xdr:nvGraphicFramePr>
          <xdr:cNvPr id="72" name="GrafDemo6"/>
          <xdr:cNvGraphicFramePr/>
        </xdr:nvGraphicFramePr>
        <xdr:xfrm>
          <a:off x="1524000" y="922496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73" name="GrafDemo6_fondo"/>
          <xdr:cNvGraphicFramePr/>
        </xdr:nvGraphicFramePr>
        <xdr:xfrm>
          <a:off x="1524000" y="922496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</xdr:grpSp>
    <xdr:clientData/>
  </xdr:twoCellAnchor>
  <xdr:twoCellAnchor editAs="oneCell">
    <xdr:from>
      <xdr:col>2</xdr:col>
      <xdr:colOff>127000</xdr:colOff>
      <xdr:row>519</xdr:row>
      <xdr:rowOff>130408</xdr:rowOff>
    </xdr:from>
    <xdr:to>
      <xdr:col>2</xdr:col>
      <xdr:colOff>2024012</xdr:colOff>
      <xdr:row>526</xdr:row>
      <xdr:rowOff>55491</xdr:rowOff>
    </xdr:to>
    <xdr:grpSp>
      <xdr:nvGrpSpPr>
        <xdr:cNvPr id="84" name="GrafDemo_Bis6_leyenda"/>
        <xdr:cNvGrpSpPr/>
      </xdr:nvGrpSpPr>
      <xdr:grpSpPr>
        <a:xfrm>
          <a:off x="2532063" y="103917189"/>
          <a:ext cx="1897012" cy="1258583"/>
          <a:chOff x="1651000" y="104572033"/>
          <a:chExt cx="1897012" cy="1258583"/>
        </a:xfrm>
      </xdr:grpSpPr>
      <xdr:cxnSp macro="">
        <xdr:nvCxnSpPr>
          <xdr:cNvPr id="80" name="GrafDemo_Bis6_barra_percepcion_general"/>
          <xdr:cNvCxnSpPr/>
        </xdr:nvCxnSpPr>
        <xdr:spPr>
          <a:xfrm>
            <a:off x="1651000" y="105389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" name="GrafDemo_Bis6_anio1"/>
          <xdr:cNvSpPr/>
        </xdr:nvSpPr>
        <xdr:spPr>
          <a:xfrm>
            <a:off x="1651000" y="1046321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6" name="GrafDemo_Bis6_textbox_anio1"/>
          <xdr:cNvSpPr txBox="1"/>
        </xdr:nvSpPr>
        <xdr:spPr>
          <a:xfrm>
            <a:off x="2286000" y="104572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7" name="GrafDemo_Bis6_anio2"/>
          <xdr:cNvSpPr/>
        </xdr:nvSpPr>
        <xdr:spPr>
          <a:xfrm>
            <a:off x="1651000" y="1049496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8" name="GrafDemo_Bis6_textbox_anio2"/>
          <xdr:cNvSpPr txBox="1"/>
        </xdr:nvSpPr>
        <xdr:spPr>
          <a:xfrm>
            <a:off x="2286000" y="104889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9" name="GrafDemo_Bis6_circulo_percepcion_general"/>
          <xdr:cNvSpPr/>
        </xdr:nvSpPr>
        <xdr:spPr>
          <a:xfrm>
            <a:off x="1760800" y="1052671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1" name="GrafDemo_Bis6_textbox_percepcion_general"/>
          <xdr:cNvSpPr txBox="1"/>
        </xdr:nvSpPr>
        <xdr:spPr>
          <a:xfrm>
            <a:off x="2286000" y="1052659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2" name="GrafDemo_Bis6_barra_promedio_general"/>
          <xdr:cNvCxnSpPr/>
        </xdr:nvCxnSpPr>
        <xdr:spPr>
          <a:xfrm>
            <a:off x="1651000" y="105707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" name="GrafDemo_Bis6_textbox_promedio_general"/>
          <xdr:cNvSpPr txBox="1"/>
        </xdr:nvSpPr>
        <xdr:spPr>
          <a:xfrm>
            <a:off x="2286000" y="1055834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515</xdr:row>
      <xdr:rowOff>0</xdr:rowOff>
    </xdr:from>
    <xdr:to>
      <xdr:col>9</xdr:col>
      <xdr:colOff>1193800</xdr:colOff>
      <xdr:row>528</xdr:row>
      <xdr:rowOff>63500</xdr:rowOff>
    </xdr:to>
    <xdr:graphicFrame macro="">
      <xdr:nvGraphicFramePr>
        <xdr:cNvPr id="85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546</xdr:row>
      <xdr:rowOff>0</xdr:rowOff>
    </xdr:from>
    <xdr:to>
      <xdr:col>10</xdr:col>
      <xdr:colOff>254000</xdr:colOff>
      <xdr:row>572</xdr:row>
      <xdr:rowOff>0</xdr:rowOff>
    </xdr:to>
    <xdr:grpSp>
      <xdr:nvGrpSpPr>
        <xdr:cNvPr id="88" name="GrafDemo7"/>
        <xdr:cNvGrpSpPr/>
      </xdr:nvGrpSpPr>
      <xdr:grpSpPr>
        <a:xfrm>
          <a:off x="2405063" y="109894688"/>
          <a:ext cx="11136312" cy="4953000"/>
          <a:chOff x="1524000" y="110661450"/>
          <a:chExt cx="6350000" cy="4953000"/>
        </a:xfrm>
      </xdr:grpSpPr>
      <xdr:graphicFrame macro="">
        <xdr:nvGraphicFramePr>
          <xdr:cNvPr id="86" name="GrafDemo7"/>
          <xdr:cNvGraphicFramePr/>
        </xdr:nvGraphicFramePr>
        <xdr:xfrm>
          <a:off x="1524000" y="1106614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87" name="GrafDemo7_fondo"/>
          <xdr:cNvGraphicFramePr/>
        </xdr:nvGraphicFramePr>
        <xdr:xfrm>
          <a:off x="1524000" y="1106614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2</xdr:col>
      <xdr:colOff>127000</xdr:colOff>
      <xdr:row>610</xdr:row>
      <xdr:rowOff>130408</xdr:rowOff>
    </xdr:from>
    <xdr:to>
      <xdr:col>2</xdr:col>
      <xdr:colOff>2024012</xdr:colOff>
      <xdr:row>617</xdr:row>
      <xdr:rowOff>55491</xdr:rowOff>
    </xdr:to>
    <xdr:grpSp>
      <xdr:nvGrpSpPr>
        <xdr:cNvPr id="98" name="GrafDemo_Bis7_leyenda"/>
        <xdr:cNvGrpSpPr/>
      </xdr:nvGrpSpPr>
      <xdr:grpSpPr>
        <a:xfrm>
          <a:off x="2532063" y="122217096"/>
          <a:ext cx="1897012" cy="1258583"/>
          <a:chOff x="1651000" y="122983858"/>
          <a:chExt cx="1897012" cy="1258583"/>
        </a:xfrm>
      </xdr:grpSpPr>
      <xdr:cxnSp macro="">
        <xdr:nvCxnSpPr>
          <xdr:cNvPr id="94" name="GrafDemo_Bis7_barra_percepcion_general"/>
          <xdr:cNvCxnSpPr/>
        </xdr:nvCxnSpPr>
        <xdr:spPr>
          <a:xfrm>
            <a:off x="1651000" y="123801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9" name="GrafDemo_Bis7_anio1"/>
          <xdr:cNvSpPr/>
        </xdr:nvSpPr>
        <xdr:spPr>
          <a:xfrm>
            <a:off x="1651000" y="1230439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0" name="GrafDemo_Bis7_textbox_anio1"/>
          <xdr:cNvSpPr txBox="1"/>
        </xdr:nvSpPr>
        <xdr:spPr>
          <a:xfrm>
            <a:off x="2286000" y="122983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91" name="GrafDemo_Bis7_anio2"/>
          <xdr:cNvSpPr/>
        </xdr:nvSpPr>
        <xdr:spPr>
          <a:xfrm>
            <a:off x="1651000" y="123361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2" name="GrafDemo_Bis7_textbox_anio2"/>
          <xdr:cNvSpPr txBox="1"/>
        </xdr:nvSpPr>
        <xdr:spPr>
          <a:xfrm>
            <a:off x="2286000" y="123301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3" name="GrafDemo_Bis7_circulo_percepcion_general"/>
          <xdr:cNvSpPr/>
        </xdr:nvSpPr>
        <xdr:spPr>
          <a:xfrm>
            <a:off x="1760800" y="123678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5" name="GrafDemo_Bis7_textbox_percepcion_general"/>
          <xdr:cNvSpPr txBox="1"/>
        </xdr:nvSpPr>
        <xdr:spPr>
          <a:xfrm>
            <a:off x="2286000" y="123677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96" name="GrafDemo_Bis7_barra_promedio_general"/>
          <xdr:cNvCxnSpPr/>
        </xdr:nvCxnSpPr>
        <xdr:spPr>
          <a:xfrm>
            <a:off x="1651000" y="124118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7" name="GrafDemo_Bis7_textbox_promedio_general"/>
          <xdr:cNvSpPr txBox="1"/>
        </xdr:nvSpPr>
        <xdr:spPr>
          <a:xfrm>
            <a:off x="2286000" y="123995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606</xdr:row>
      <xdr:rowOff>0</xdr:rowOff>
    </xdr:from>
    <xdr:to>
      <xdr:col>9</xdr:col>
      <xdr:colOff>1193800</xdr:colOff>
      <xdr:row>619</xdr:row>
      <xdr:rowOff>63500</xdr:rowOff>
    </xdr:to>
    <xdr:graphicFrame macro="">
      <xdr:nvGraphicFramePr>
        <xdr:cNvPr id="99" name="GrafDemo_Bis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637</xdr:row>
      <xdr:rowOff>0</xdr:rowOff>
    </xdr:from>
    <xdr:to>
      <xdr:col>10</xdr:col>
      <xdr:colOff>254000</xdr:colOff>
      <xdr:row>663</xdr:row>
      <xdr:rowOff>0</xdr:rowOff>
    </xdr:to>
    <xdr:grpSp>
      <xdr:nvGrpSpPr>
        <xdr:cNvPr id="102" name="GrafDemo8"/>
        <xdr:cNvGrpSpPr/>
      </xdr:nvGrpSpPr>
      <xdr:grpSpPr>
        <a:xfrm>
          <a:off x="2405063" y="128194594"/>
          <a:ext cx="11136312" cy="4953000"/>
          <a:chOff x="1524000" y="128978025"/>
          <a:chExt cx="6350000" cy="4953000"/>
        </a:xfrm>
      </xdr:grpSpPr>
      <xdr:graphicFrame macro="">
        <xdr:nvGraphicFramePr>
          <xdr:cNvPr id="100" name="GrafDemo8"/>
          <xdr:cNvGraphicFramePr/>
        </xdr:nvGraphicFramePr>
        <xdr:xfrm>
          <a:off x="1524000" y="1289780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101" name="GrafDemo8_fondo"/>
          <xdr:cNvGraphicFramePr/>
        </xdr:nvGraphicFramePr>
        <xdr:xfrm>
          <a:off x="1524000" y="1289780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2</xdr:col>
      <xdr:colOff>127000</xdr:colOff>
      <xdr:row>701</xdr:row>
      <xdr:rowOff>130408</xdr:rowOff>
    </xdr:from>
    <xdr:to>
      <xdr:col>2</xdr:col>
      <xdr:colOff>2024012</xdr:colOff>
      <xdr:row>708</xdr:row>
      <xdr:rowOff>55491</xdr:rowOff>
    </xdr:to>
    <xdr:grpSp>
      <xdr:nvGrpSpPr>
        <xdr:cNvPr id="112" name="GrafDemo_Bis8_0_leyenda"/>
        <xdr:cNvGrpSpPr/>
      </xdr:nvGrpSpPr>
      <xdr:grpSpPr>
        <a:xfrm>
          <a:off x="2532063" y="140517002"/>
          <a:ext cx="1897012" cy="1258583"/>
          <a:chOff x="1651000" y="141300433"/>
          <a:chExt cx="1897012" cy="1258583"/>
        </a:xfrm>
      </xdr:grpSpPr>
      <xdr:cxnSp macro="">
        <xdr:nvCxnSpPr>
          <xdr:cNvPr id="108" name="GrafDemo_Bis8_0_barra_percepcion_general"/>
          <xdr:cNvCxnSpPr/>
        </xdr:nvCxnSpPr>
        <xdr:spPr>
          <a:xfrm>
            <a:off x="1651000" y="142117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3" name="GrafDemo_Bis8_0_anio1"/>
          <xdr:cNvSpPr/>
        </xdr:nvSpPr>
        <xdr:spPr>
          <a:xfrm>
            <a:off x="1651000" y="1413605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4" name="GrafDemo_Bis8_0_textbox_anio1"/>
          <xdr:cNvSpPr txBox="1"/>
        </xdr:nvSpPr>
        <xdr:spPr>
          <a:xfrm>
            <a:off x="2286000" y="141300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5" name="GrafDemo_Bis8_0_anio2"/>
          <xdr:cNvSpPr/>
        </xdr:nvSpPr>
        <xdr:spPr>
          <a:xfrm>
            <a:off x="1651000" y="141678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6" name="GrafDemo_Bis8_0_textbox_anio2"/>
          <xdr:cNvSpPr txBox="1"/>
        </xdr:nvSpPr>
        <xdr:spPr>
          <a:xfrm>
            <a:off x="2286000" y="141617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07" name="GrafDemo_Bis8_0_circulo_percepcion_general"/>
          <xdr:cNvSpPr/>
        </xdr:nvSpPr>
        <xdr:spPr>
          <a:xfrm>
            <a:off x="1760800" y="141995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9" name="GrafDemo_Bis8_0_textbox_percepcion_general"/>
          <xdr:cNvSpPr txBox="1"/>
        </xdr:nvSpPr>
        <xdr:spPr>
          <a:xfrm>
            <a:off x="2286000" y="141994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0" name="GrafDemo_Bis8_0_barra_promedio_general"/>
          <xdr:cNvCxnSpPr/>
        </xdr:nvCxnSpPr>
        <xdr:spPr>
          <a:xfrm>
            <a:off x="1651000" y="142435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1" name="GrafDemo_Bis8_0_textbox_promedio_general"/>
          <xdr:cNvSpPr txBox="1"/>
        </xdr:nvSpPr>
        <xdr:spPr>
          <a:xfrm>
            <a:off x="2286000" y="142311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697</xdr:row>
      <xdr:rowOff>0</xdr:rowOff>
    </xdr:from>
    <xdr:to>
      <xdr:col>9</xdr:col>
      <xdr:colOff>1193800</xdr:colOff>
      <xdr:row>710</xdr:row>
      <xdr:rowOff>63500</xdr:rowOff>
    </xdr:to>
    <xdr:graphicFrame macro="">
      <xdr:nvGraphicFramePr>
        <xdr:cNvPr id="113" name="GrafDemo_Bis8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2</xdr:col>
      <xdr:colOff>127000</xdr:colOff>
      <xdr:row>732</xdr:row>
      <xdr:rowOff>130408</xdr:rowOff>
    </xdr:from>
    <xdr:to>
      <xdr:col>2</xdr:col>
      <xdr:colOff>2024012</xdr:colOff>
      <xdr:row>739</xdr:row>
      <xdr:rowOff>55491</xdr:rowOff>
    </xdr:to>
    <xdr:grpSp>
      <xdr:nvGrpSpPr>
        <xdr:cNvPr id="123" name="GrafDemo_Bis8_1_leyenda"/>
        <xdr:cNvGrpSpPr/>
      </xdr:nvGrpSpPr>
      <xdr:grpSpPr>
        <a:xfrm>
          <a:off x="2532063" y="147386908"/>
          <a:ext cx="1897012" cy="1258583"/>
          <a:chOff x="1651000" y="148282258"/>
          <a:chExt cx="1897012" cy="1258583"/>
        </a:xfrm>
      </xdr:grpSpPr>
      <xdr:cxnSp macro="">
        <xdr:nvCxnSpPr>
          <xdr:cNvPr id="119" name="GrafDemo_Bis8_1_barra_percepcion_general"/>
          <xdr:cNvCxnSpPr/>
        </xdr:nvCxnSpPr>
        <xdr:spPr>
          <a:xfrm>
            <a:off x="1651000" y="149099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4" name="GrafDemo_Bis8_1_anio1"/>
          <xdr:cNvSpPr/>
        </xdr:nvSpPr>
        <xdr:spPr>
          <a:xfrm>
            <a:off x="1651000" y="148342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5" name="GrafDemo_Bis8_1_textbox_anio1"/>
          <xdr:cNvSpPr txBox="1"/>
        </xdr:nvSpPr>
        <xdr:spPr>
          <a:xfrm>
            <a:off x="2286000" y="148282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16" name="GrafDemo_Bis8_1_anio2"/>
          <xdr:cNvSpPr/>
        </xdr:nvSpPr>
        <xdr:spPr>
          <a:xfrm>
            <a:off x="1651000" y="148659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7" name="GrafDemo_Bis8_1_textbox_anio2"/>
          <xdr:cNvSpPr txBox="1"/>
        </xdr:nvSpPr>
        <xdr:spPr>
          <a:xfrm>
            <a:off x="2286000" y="148599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8" name="GrafDemo_Bis8_1_circulo_percepcion_general"/>
          <xdr:cNvSpPr/>
        </xdr:nvSpPr>
        <xdr:spPr>
          <a:xfrm>
            <a:off x="1760800" y="148977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0" name="GrafDemo_Bis8_1_textbox_percepcion_general"/>
          <xdr:cNvSpPr txBox="1"/>
        </xdr:nvSpPr>
        <xdr:spPr>
          <a:xfrm>
            <a:off x="2286000" y="148976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1" name="GrafDemo_Bis8_1_barra_promedio_general"/>
          <xdr:cNvCxnSpPr/>
        </xdr:nvCxnSpPr>
        <xdr:spPr>
          <a:xfrm>
            <a:off x="1651000" y="149417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2" name="GrafDemo_Bis8_1_textbox_promedio_general"/>
          <xdr:cNvSpPr txBox="1"/>
        </xdr:nvSpPr>
        <xdr:spPr>
          <a:xfrm>
            <a:off x="2286000" y="149293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728</xdr:row>
      <xdr:rowOff>0</xdr:rowOff>
    </xdr:from>
    <xdr:to>
      <xdr:col>9</xdr:col>
      <xdr:colOff>1193800</xdr:colOff>
      <xdr:row>741</xdr:row>
      <xdr:rowOff>63500</xdr:rowOff>
    </xdr:to>
    <xdr:graphicFrame macro="">
      <xdr:nvGraphicFramePr>
        <xdr:cNvPr id="124" name="GrafDemo_Bis8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0</xdr:colOff>
      <xdr:row>759</xdr:row>
      <xdr:rowOff>0</xdr:rowOff>
    </xdr:from>
    <xdr:to>
      <xdr:col>10</xdr:col>
      <xdr:colOff>254000</xdr:colOff>
      <xdr:row>785</xdr:row>
      <xdr:rowOff>0</xdr:rowOff>
    </xdr:to>
    <xdr:graphicFrame macro="">
      <xdr:nvGraphicFramePr>
        <xdr:cNvPr id="125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127000</xdr:colOff>
      <xdr:row>793</xdr:row>
      <xdr:rowOff>130408</xdr:rowOff>
    </xdr:from>
    <xdr:to>
      <xdr:col>2</xdr:col>
      <xdr:colOff>2024012</xdr:colOff>
      <xdr:row>800</xdr:row>
      <xdr:rowOff>55491</xdr:rowOff>
    </xdr:to>
    <xdr:grpSp>
      <xdr:nvGrpSpPr>
        <xdr:cNvPr id="135" name="GrafDemo_Bis9_0_leyenda"/>
        <xdr:cNvGrpSpPr/>
      </xdr:nvGrpSpPr>
      <xdr:grpSpPr>
        <a:xfrm>
          <a:off x="2532063" y="160067064"/>
          <a:ext cx="1897012" cy="1258583"/>
          <a:chOff x="1651000" y="161121958"/>
          <a:chExt cx="1897012" cy="1258583"/>
        </a:xfrm>
      </xdr:grpSpPr>
      <xdr:cxnSp macro="">
        <xdr:nvCxnSpPr>
          <xdr:cNvPr id="131" name="GrafDemo_Bis9_0_barra_percepcion_general"/>
          <xdr:cNvCxnSpPr/>
        </xdr:nvCxnSpPr>
        <xdr:spPr>
          <a:xfrm>
            <a:off x="1651000" y="1619394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6" name="GrafDemo_Bis9_0_anio1"/>
          <xdr:cNvSpPr/>
        </xdr:nvSpPr>
        <xdr:spPr>
          <a:xfrm>
            <a:off x="1651000" y="1611820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7" name="GrafDemo_Bis9_0_textbox_anio1"/>
          <xdr:cNvSpPr txBox="1"/>
        </xdr:nvSpPr>
        <xdr:spPr>
          <a:xfrm>
            <a:off x="2286000" y="1611219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8" name="GrafDemo_Bis9_0_anio2"/>
          <xdr:cNvSpPr/>
        </xdr:nvSpPr>
        <xdr:spPr>
          <a:xfrm>
            <a:off x="1651000" y="1614995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9" name="GrafDemo_Bis9_0_textbox_anio2"/>
          <xdr:cNvSpPr txBox="1"/>
        </xdr:nvSpPr>
        <xdr:spPr>
          <a:xfrm>
            <a:off x="2286000" y="1614394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0" name="GrafDemo_Bis9_0_circulo_percepcion_general"/>
          <xdr:cNvSpPr/>
        </xdr:nvSpPr>
        <xdr:spPr>
          <a:xfrm>
            <a:off x="1760800" y="1618170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2" name="GrafDemo_Bis9_0_textbox_percepcion_general"/>
          <xdr:cNvSpPr txBox="1"/>
        </xdr:nvSpPr>
        <xdr:spPr>
          <a:xfrm>
            <a:off x="2286000" y="1618158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33" name="GrafDemo_Bis9_0_barra_promedio_general"/>
          <xdr:cNvCxnSpPr/>
        </xdr:nvCxnSpPr>
        <xdr:spPr>
          <a:xfrm>
            <a:off x="1651000" y="1622569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4" name="GrafDemo_Bis9_0_textbox_promedio_general"/>
          <xdr:cNvSpPr txBox="1"/>
        </xdr:nvSpPr>
        <xdr:spPr>
          <a:xfrm>
            <a:off x="2286000" y="1621333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789</xdr:row>
      <xdr:rowOff>0</xdr:rowOff>
    </xdr:from>
    <xdr:to>
      <xdr:col>9</xdr:col>
      <xdr:colOff>1193800</xdr:colOff>
      <xdr:row>802</xdr:row>
      <xdr:rowOff>63500</xdr:rowOff>
    </xdr:to>
    <xdr:graphicFrame macro="">
      <xdr:nvGraphicFramePr>
        <xdr:cNvPr id="136" name="GrafDemo_Bis9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2</xdr:col>
      <xdr:colOff>127000</xdr:colOff>
      <xdr:row>824</xdr:row>
      <xdr:rowOff>130408</xdr:rowOff>
    </xdr:from>
    <xdr:to>
      <xdr:col>2</xdr:col>
      <xdr:colOff>2024012</xdr:colOff>
      <xdr:row>831</xdr:row>
      <xdr:rowOff>55491</xdr:rowOff>
    </xdr:to>
    <xdr:grpSp>
      <xdr:nvGrpSpPr>
        <xdr:cNvPr id="146" name="GrafDemo_Bis9_1_leyenda"/>
        <xdr:cNvGrpSpPr/>
      </xdr:nvGrpSpPr>
      <xdr:grpSpPr>
        <a:xfrm>
          <a:off x="2532063" y="167175096"/>
          <a:ext cx="1897012" cy="1258583"/>
          <a:chOff x="1651000" y="168532408"/>
          <a:chExt cx="1897012" cy="1258583"/>
        </a:xfrm>
      </xdr:grpSpPr>
      <xdr:cxnSp macro="">
        <xdr:nvCxnSpPr>
          <xdr:cNvPr id="142" name="GrafDemo_Bis9_1_barra_percepcion_general"/>
          <xdr:cNvCxnSpPr/>
        </xdr:nvCxnSpPr>
        <xdr:spPr>
          <a:xfrm>
            <a:off x="1651000" y="169349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7" name="GrafDemo_Bis9_1_anio1"/>
          <xdr:cNvSpPr/>
        </xdr:nvSpPr>
        <xdr:spPr>
          <a:xfrm>
            <a:off x="1651000" y="168592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8" name="GrafDemo_Bis9_1_textbox_anio1"/>
          <xdr:cNvSpPr txBox="1"/>
        </xdr:nvSpPr>
        <xdr:spPr>
          <a:xfrm>
            <a:off x="2286000" y="16853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9" name="GrafDemo_Bis9_1_anio2"/>
          <xdr:cNvSpPr/>
        </xdr:nvSpPr>
        <xdr:spPr>
          <a:xfrm>
            <a:off x="1651000" y="168910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0" name="GrafDemo_Bis9_1_textbox_anio2"/>
          <xdr:cNvSpPr txBox="1"/>
        </xdr:nvSpPr>
        <xdr:spPr>
          <a:xfrm>
            <a:off x="2286000" y="16884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41" name="GrafDemo_Bis9_1_circulo_percepcion_general"/>
          <xdr:cNvSpPr/>
        </xdr:nvSpPr>
        <xdr:spPr>
          <a:xfrm>
            <a:off x="1760800" y="169227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3" name="GrafDemo_Bis9_1_textbox_percepcion_general"/>
          <xdr:cNvSpPr txBox="1"/>
        </xdr:nvSpPr>
        <xdr:spPr>
          <a:xfrm>
            <a:off x="2286000" y="169226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44" name="GrafDemo_Bis9_1_barra_promedio_general"/>
          <xdr:cNvCxnSpPr/>
        </xdr:nvCxnSpPr>
        <xdr:spPr>
          <a:xfrm>
            <a:off x="1651000" y="169667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5" name="GrafDemo_Bis9_1_textbox_promedio_general"/>
          <xdr:cNvSpPr txBox="1"/>
        </xdr:nvSpPr>
        <xdr:spPr>
          <a:xfrm>
            <a:off x="2286000" y="169543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820</xdr:row>
      <xdr:rowOff>0</xdr:rowOff>
    </xdr:from>
    <xdr:to>
      <xdr:col>9</xdr:col>
      <xdr:colOff>1193800</xdr:colOff>
      <xdr:row>833</xdr:row>
      <xdr:rowOff>63500</xdr:rowOff>
    </xdr:to>
    <xdr:graphicFrame macro="">
      <xdr:nvGraphicFramePr>
        <xdr:cNvPr id="147" name="GrafDemo_Bis9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2</xdr:col>
      <xdr:colOff>127000</xdr:colOff>
      <xdr:row>855</xdr:row>
      <xdr:rowOff>130408</xdr:rowOff>
    </xdr:from>
    <xdr:to>
      <xdr:col>2</xdr:col>
      <xdr:colOff>2024012</xdr:colOff>
      <xdr:row>862</xdr:row>
      <xdr:rowOff>55491</xdr:rowOff>
    </xdr:to>
    <xdr:grpSp>
      <xdr:nvGrpSpPr>
        <xdr:cNvPr id="157" name="GrafDemo_Bis9_2_leyenda"/>
        <xdr:cNvGrpSpPr/>
      </xdr:nvGrpSpPr>
      <xdr:grpSpPr>
        <a:xfrm>
          <a:off x="2532063" y="174283127"/>
          <a:ext cx="1897012" cy="1258583"/>
          <a:chOff x="1651000" y="175799983"/>
          <a:chExt cx="1897012" cy="1258583"/>
        </a:xfrm>
      </xdr:grpSpPr>
      <xdr:cxnSp macro="">
        <xdr:nvCxnSpPr>
          <xdr:cNvPr id="153" name="GrafDemo_Bis9_2_barra_percepcion_general"/>
          <xdr:cNvCxnSpPr/>
        </xdr:nvCxnSpPr>
        <xdr:spPr>
          <a:xfrm>
            <a:off x="1651000" y="176617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8" name="GrafDemo_Bis9_2_anio1"/>
          <xdr:cNvSpPr/>
        </xdr:nvSpPr>
        <xdr:spPr>
          <a:xfrm>
            <a:off x="1651000" y="1758600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9" name="GrafDemo_Bis9_2_textbox_anio1"/>
          <xdr:cNvSpPr txBox="1"/>
        </xdr:nvSpPr>
        <xdr:spPr>
          <a:xfrm>
            <a:off x="2286000" y="17579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50" name="GrafDemo_Bis9_2_anio2"/>
          <xdr:cNvSpPr/>
        </xdr:nvSpPr>
        <xdr:spPr>
          <a:xfrm>
            <a:off x="1651000" y="1761775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1" name="GrafDemo_Bis9_2_textbox_anio2"/>
          <xdr:cNvSpPr txBox="1"/>
        </xdr:nvSpPr>
        <xdr:spPr>
          <a:xfrm>
            <a:off x="2286000" y="17611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52" name="GrafDemo_Bis9_2_circulo_percepcion_general"/>
          <xdr:cNvSpPr/>
        </xdr:nvSpPr>
        <xdr:spPr>
          <a:xfrm>
            <a:off x="1760800" y="1764950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4" name="GrafDemo_Bis9_2_textbox_percepcion_general"/>
          <xdr:cNvSpPr txBox="1"/>
        </xdr:nvSpPr>
        <xdr:spPr>
          <a:xfrm>
            <a:off x="2286000" y="1764938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55" name="GrafDemo_Bis9_2_barra_promedio_general"/>
          <xdr:cNvCxnSpPr/>
        </xdr:nvCxnSpPr>
        <xdr:spPr>
          <a:xfrm>
            <a:off x="1651000" y="176934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6" name="GrafDemo_Bis9_2_textbox_promedio_general"/>
          <xdr:cNvSpPr txBox="1"/>
        </xdr:nvSpPr>
        <xdr:spPr>
          <a:xfrm>
            <a:off x="2286000" y="1768113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851</xdr:row>
      <xdr:rowOff>0</xdr:rowOff>
    </xdr:from>
    <xdr:to>
      <xdr:col>9</xdr:col>
      <xdr:colOff>1193800</xdr:colOff>
      <xdr:row>864</xdr:row>
      <xdr:rowOff>63500</xdr:rowOff>
    </xdr:to>
    <xdr:graphicFrame macro="">
      <xdr:nvGraphicFramePr>
        <xdr:cNvPr id="158" name="GrafDemo_Bis9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</xdr:col>
      <xdr:colOff>0</xdr:colOff>
      <xdr:row>882</xdr:row>
      <xdr:rowOff>0</xdr:rowOff>
    </xdr:from>
    <xdr:to>
      <xdr:col>10</xdr:col>
      <xdr:colOff>254000</xdr:colOff>
      <xdr:row>908</xdr:row>
      <xdr:rowOff>0</xdr:rowOff>
    </xdr:to>
    <xdr:graphicFrame macro="">
      <xdr:nvGraphicFramePr>
        <xdr:cNvPr id="159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2</xdr:col>
      <xdr:colOff>127000</xdr:colOff>
      <xdr:row>916</xdr:row>
      <xdr:rowOff>130408</xdr:rowOff>
    </xdr:from>
    <xdr:to>
      <xdr:col>2</xdr:col>
      <xdr:colOff>2024012</xdr:colOff>
      <xdr:row>923</xdr:row>
      <xdr:rowOff>55491</xdr:rowOff>
    </xdr:to>
    <xdr:grpSp>
      <xdr:nvGrpSpPr>
        <xdr:cNvPr id="169" name="GrafDemo_Bis10_0_leyenda"/>
        <xdr:cNvGrpSpPr/>
      </xdr:nvGrpSpPr>
      <xdr:grpSpPr>
        <a:xfrm>
          <a:off x="2532063" y="186963283"/>
          <a:ext cx="1897012" cy="1258583"/>
          <a:chOff x="1651000" y="188496808"/>
          <a:chExt cx="1897012" cy="1258583"/>
        </a:xfrm>
      </xdr:grpSpPr>
      <xdr:cxnSp macro="">
        <xdr:nvCxnSpPr>
          <xdr:cNvPr id="165" name="GrafDemo_Bis10_0_barra_percepcion_general"/>
          <xdr:cNvCxnSpPr/>
        </xdr:nvCxnSpPr>
        <xdr:spPr>
          <a:xfrm>
            <a:off x="1651000" y="18931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0" name="GrafDemo_Bis10_0_anio1"/>
          <xdr:cNvSpPr/>
        </xdr:nvSpPr>
        <xdr:spPr>
          <a:xfrm>
            <a:off x="1651000" y="188556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1" name="GrafDemo_Bis10_0_textbox_anio1"/>
          <xdr:cNvSpPr txBox="1"/>
        </xdr:nvSpPr>
        <xdr:spPr>
          <a:xfrm>
            <a:off x="2286000" y="18849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62" name="GrafDemo_Bis10_0_anio2"/>
          <xdr:cNvSpPr/>
        </xdr:nvSpPr>
        <xdr:spPr>
          <a:xfrm>
            <a:off x="1651000" y="188874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3" name="GrafDemo_Bis10_0_textbox_anio2"/>
          <xdr:cNvSpPr txBox="1"/>
        </xdr:nvSpPr>
        <xdr:spPr>
          <a:xfrm>
            <a:off x="2286000" y="18881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64" name="GrafDemo_Bis10_0_circulo_percepcion_general"/>
          <xdr:cNvSpPr/>
        </xdr:nvSpPr>
        <xdr:spPr>
          <a:xfrm>
            <a:off x="1760800" y="189191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6" name="GrafDemo_Bis10_0_textbox_percepcion_general"/>
          <xdr:cNvSpPr txBox="1"/>
        </xdr:nvSpPr>
        <xdr:spPr>
          <a:xfrm>
            <a:off x="2286000" y="18919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67" name="GrafDemo_Bis10_0_barra_promedio_general"/>
          <xdr:cNvCxnSpPr/>
        </xdr:nvCxnSpPr>
        <xdr:spPr>
          <a:xfrm>
            <a:off x="1651000" y="18963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8" name="GrafDemo_Bis10_0_textbox_promedio_general"/>
          <xdr:cNvSpPr txBox="1"/>
        </xdr:nvSpPr>
        <xdr:spPr>
          <a:xfrm>
            <a:off x="2286000" y="18950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912</xdr:row>
      <xdr:rowOff>0</xdr:rowOff>
    </xdr:from>
    <xdr:to>
      <xdr:col>9</xdr:col>
      <xdr:colOff>1193800</xdr:colOff>
      <xdr:row>925</xdr:row>
      <xdr:rowOff>63500</xdr:rowOff>
    </xdr:to>
    <xdr:graphicFrame macro="">
      <xdr:nvGraphicFramePr>
        <xdr:cNvPr id="170" name="GrafDemo_Bis10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2</xdr:col>
      <xdr:colOff>127000</xdr:colOff>
      <xdr:row>947</xdr:row>
      <xdr:rowOff>130408</xdr:rowOff>
    </xdr:from>
    <xdr:to>
      <xdr:col>2</xdr:col>
      <xdr:colOff>2024012</xdr:colOff>
      <xdr:row>954</xdr:row>
      <xdr:rowOff>55491</xdr:rowOff>
    </xdr:to>
    <xdr:grpSp>
      <xdr:nvGrpSpPr>
        <xdr:cNvPr id="180" name="GrafDemo_Bis10_1_leyenda"/>
        <xdr:cNvGrpSpPr/>
      </xdr:nvGrpSpPr>
      <xdr:grpSpPr>
        <a:xfrm>
          <a:off x="2532063" y="194214189"/>
          <a:ext cx="1897012" cy="1258583"/>
          <a:chOff x="1651000" y="195907258"/>
          <a:chExt cx="1897012" cy="1258583"/>
        </a:xfrm>
      </xdr:grpSpPr>
      <xdr:cxnSp macro="">
        <xdr:nvCxnSpPr>
          <xdr:cNvPr id="176" name="GrafDemo_Bis10_1_barra_percepcion_general"/>
          <xdr:cNvCxnSpPr/>
        </xdr:nvCxnSpPr>
        <xdr:spPr>
          <a:xfrm>
            <a:off x="1651000" y="196724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1" name="GrafDemo_Bis10_1_anio1"/>
          <xdr:cNvSpPr/>
        </xdr:nvSpPr>
        <xdr:spPr>
          <a:xfrm>
            <a:off x="1651000" y="195967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2" name="GrafDemo_Bis10_1_textbox_anio1"/>
          <xdr:cNvSpPr txBox="1"/>
        </xdr:nvSpPr>
        <xdr:spPr>
          <a:xfrm>
            <a:off x="2286000" y="195907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3" name="GrafDemo_Bis10_1_anio2"/>
          <xdr:cNvSpPr/>
        </xdr:nvSpPr>
        <xdr:spPr>
          <a:xfrm>
            <a:off x="1651000" y="196284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4" name="GrafDemo_Bis10_1_textbox_anio2"/>
          <xdr:cNvSpPr txBox="1"/>
        </xdr:nvSpPr>
        <xdr:spPr>
          <a:xfrm>
            <a:off x="2286000" y="196224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75" name="GrafDemo_Bis10_1_circulo_percepcion_general"/>
          <xdr:cNvSpPr/>
        </xdr:nvSpPr>
        <xdr:spPr>
          <a:xfrm>
            <a:off x="1760800" y="196602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7" name="GrafDemo_Bis10_1_textbox_percepcion_general"/>
          <xdr:cNvSpPr txBox="1"/>
        </xdr:nvSpPr>
        <xdr:spPr>
          <a:xfrm>
            <a:off x="2286000" y="196601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78" name="GrafDemo_Bis10_1_barra_promedio_general"/>
          <xdr:cNvCxnSpPr/>
        </xdr:nvCxnSpPr>
        <xdr:spPr>
          <a:xfrm>
            <a:off x="1651000" y="197042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9" name="GrafDemo_Bis10_1_textbox_promedio_general"/>
          <xdr:cNvSpPr txBox="1"/>
        </xdr:nvSpPr>
        <xdr:spPr>
          <a:xfrm>
            <a:off x="2286000" y="196918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943</xdr:row>
      <xdr:rowOff>0</xdr:rowOff>
    </xdr:from>
    <xdr:to>
      <xdr:col>9</xdr:col>
      <xdr:colOff>1193800</xdr:colOff>
      <xdr:row>956</xdr:row>
      <xdr:rowOff>63500</xdr:rowOff>
    </xdr:to>
    <xdr:graphicFrame macro="">
      <xdr:nvGraphicFramePr>
        <xdr:cNvPr id="181" name="GrafDemo_Bis10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2</xdr:col>
      <xdr:colOff>127000</xdr:colOff>
      <xdr:row>978</xdr:row>
      <xdr:rowOff>130408</xdr:rowOff>
    </xdr:from>
    <xdr:to>
      <xdr:col>2</xdr:col>
      <xdr:colOff>2024012</xdr:colOff>
      <xdr:row>985</xdr:row>
      <xdr:rowOff>55491</xdr:rowOff>
    </xdr:to>
    <xdr:grpSp>
      <xdr:nvGrpSpPr>
        <xdr:cNvPr id="191" name="GrafDemo_Bis10_2_leyenda"/>
        <xdr:cNvGrpSpPr/>
      </xdr:nvGrpSpPr>
      <xdr:grpSpPr>
        <a:xfrm>
          <a:off x="2532063" y="201465096"/>
          <a:ext cx="1897012" cy="1258583"/>
          <a:chOff x="1651000" y="203460583"/>
          <a:chExt cx="1897012" cy="1258583"/>
        </a:xfrm>
      </xdr:grpSpPr>
      <xdr:cxnSp macro="">
        <xdr:nvCxnSpPr>
          <xdr:cNvPr id="187" name="GrafDemo_Bis10_2_barra_percepcion_general"/>
          <xdr:cNvCxnSpPr/>
        </xdr:nvCxnSpPr>
        <xdr:spPr>
          <a:xfrm>
            <a:off x="1651000" y="204278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2" name="GrafDemo_Bis10_2_anio1"/>
          <xdr:cNvSpPr/>
        </xdr:nvSpPr>
        <xdr:spPr>
          <a:xfrm>
            <a:off x="1651000" y="203520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3" name="GrafDemo_Bis10_2_textbox_anio1"/>
          <xdr:cNvSpPr txBox="1"/>
        </xdr:nvSpPr>
        <xdr:spPr>
          <a:xfrm>
            <a:off x="2286000" y="203460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84" name="GrafDemo_Bis10_2_anio2"/>
          <xdr:cNvSpPr/>
        </xdr:nvSpPr>
        <xdr:spPr>
          <a:xfrm>
            <a:off x="1651000" y="203838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5" name="GrafDemo_Bis10_2_textbox_anio2"/>
          <xdr:cNvSpPr txBox="1"/>
        </xdr:nvSpPr>
        <xdr:spPr>
          <a:xfrm>
            <a:off x="2286000" y="203778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86" name="GrafDemo_Bis10_2_circulo_percepcion_general"/>
          <xdr:cNvSpPr/>
        </xdr:nvSpPr>
        <xdr:spPr>
          <a:xfrm>
            <a:off x="1760800" y="204155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8" name="GrafDemo_Bis10_2_textbox_percepcion_general"/>
          <xdr:cNvSpPr txBox="1"/>
        </xdr:nvSpPr>
        <xdr:spPr>
          <a:xfrm>
            <a:off x="2286000" y="2041544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89" name="GrafDemo_Bis10_2_barra_promedio_general"/>
          <xdr:cNvCxnSpPr/>
        </xdr:nvCxnSpPr>
        <xdr:spPr>
          <a:xfrm>
            <a:off x="1651000" y="204595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0" name="GrafDemo_Bis10_2_textbox_promedio_general"/>
          <xdr:cNvSpPr txBox="1"/>
        </xdr:nvSpPr>
        <xdr:spPr>
          <a:xfrm>
            <a:off x="2286000" y="2044719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974</xdr:row>
      <xdr:rowOff>0</xdr:rowOff>
    </xdr:from>
    <xdr:to>
      <xdr:col>9</xdr:col>
      <xdr:colOff>1193800</xdr:colOff>
      <xdr:row>987</xdr:row>
      <xdr:rowOff>63500</xdr:rowOff>
    </xdr:to>
    <xdr:graphicFrame macro="">
      <xdr:nvGraphicFramePr>
        <xdr:cNvPr id="192" name="GrafDemo_Bis10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2</xdr:col>
      <xdr:colOff>127000</xdr:colOff>
      <xdr:row>1009</xdr:row>
      <xdr:rowOff>130408</xdr:rowOff>
    </xdr:from>
    <xdr:to>
      <xdr:col>2</xdr:col>
      <xdr:colOff>2024012</xdr:colOff>
      <xdr:row>1016</xdr:row>
      <xdr:rowOff>55503</xdr:rowOff>
    </xdr:to>
    <xdr:grpSp>
      <xdr:nvGrpSpPr>
        <xdr:cNvPr id="202" name="GrafDemo_Bis10_3_leyenda"/>
        <xdr:cNvGrpSpPr/>
      </xdr:nvGrpSpPr>
      <xdr:grpSpPr>
        <a:xfrm>
          <a:off x="2532063" y="208573127"/>
          <a:ext cx="1897012" cy="1258595"/>
          <a:chOff x="1651000" y="210728158"/>
          <a:chExt cx="1897012" cy="1258595"/>
        </a:xfrm>
      </xdr:grpSpPr>
      <xdr:cxnSp macro="">
        <xdr:nvCxnSpPr>
          <xdr:cNvPr id="198" name="GrafDemo_Bis10_3_barra_percepcion_general"/>
          <xdr:cNvCxnSpPr/>
        </xdr:nvCxnSpPr>
        <xdr:spPr>
          <a:xfrm>
            <a:off x="1651000" y="2115456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3" name="GrafDemo_Bis10_3_anio1"/>
          <xdr:cNvSpPr/>
        </xdr:nvSpPr>
        <xdr:spPr>
          <a:xfrm>
            <a:off x="1651000" y="2107882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4" name="GrafDemo_Bis10_3_textbox_anio1"/>
          <xdr:cNvSpPr txBox="1"/>
        </xdr:nvSpPr>
        <xdr:spPr>
          <a:xfrm>
            <a:off x="2286000" y="2107281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95" name="GrafDemo_Bis10_3_anio2"/>
          <xdr:cNvSpPr/>
        </xdr:nvSpPr>
        <xdr:spPr>
          <a:xfrm>
            <a:off x="1651000" y="2111057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6" name="GrafDemo_Bis10_3_textbox_anio2"/>
          <xdr:cNvSpPr txBox="1"/>
        </xdr:nvSpPr>
        <xdr:spPr>
          <a:xfrm>
            <a:off x="2286000" y="2110456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7" name="GrafDemo_Bis10_3_circulo_percepcion_general"/>
          <xdr:cNvSpPr/>
        </xdr:nvSpPr>
        <xdr:spPr>
          <a:xfrm>
            <a:off x="1760800" y="2114232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9" name="GrafDemo_Bis10_3_textbox_percepcion_general"/>
          <xdr:cNvSpPr txBox="1"/>
        </xdr:nvSpPr>
        <xdr:spPr>
          <a:xfrm>
            <a:off x="2286000" y="21142206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00" name="GrafDemo_Bis10_3_barra_promedio_general"/>
          <xdr:cNvCxnSpPr/>
        </xdr:nvCxnSpPr>
        <xdr:spPr>
          <a:xfrm>
            <a:off x="1651000" y="2118631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1" name="GrafDemo_Bis10_3_textbox_promedio_general"/>
          <xdr:cNvSpPr txBox="1"/>
        </xdr:nvSpPr>
        <xdr:spPr>
          <a:xfrm>
            <a:off x="2286000" y="21173956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1005</xdr:row>
      <xdr:rowOff>0</xdr:rowOff>
    </xdr:from>
    <xdr:to>
      <xdr:col>9</xdr:col>
      <xdr:colOff>1193800</xdr:colOff>
      <xdr:row>1018</xdr:row>
      <xdr:rowOff>63500</xdr:rowOff>
    </xdr:to>
    <xdr:graphicFrame macro="">
      <xdr:nvGraphicFramePr>
        <xdr:cNvPr id="203" name="GrafDemo_Bis10_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oneCell">
    <xdr:from>
      <xdr:col>2</xdr:col>
      <xdr:colOff>127000</xdr:colOff>
      <xdr:row>1040</xdr:row>
      <xdr:rowOff>130408</xdr:rowOff>
    </xdr:from>
    <xdr:to>
      <xdr:col>2</xdr:col>
      <xdr:colOff>2024012</xdr:colOff>
      <xdr:row>1047</xdr:row>
      <xdr:rowOff>55503</xdr:rowOff>
    </xdr:to>
    <xdr:grpSp>
      <xdr:nvGrpSpPr>
        <xdr:cNvPr id="213" name="GrafDemo_Bis10_4_leyenda"/>
        <xdr:cNvGrpSpPr/>
      </xdr:nvGrpSpPr>
      <xdr:grpSpPr>
        <a:xfrm>
          <a:off x="2532063" y="215681158"/>
          <a:ext cx="1897012" cy="1258595"/>
          <a:chOff x="1651000" y="218281483"/>
          <a:chExt cx="1897012" cy="1258595"/>
        </a:xfrm>
      </xdr:grpSpPr>
      <xdr:cxnSp macro="">
        <xdr:nvCxnSpPr>
          <xdr:cNvPr id="209" name="GrafDemo_Bis10_4_barra_percepcion_general"/>
          <xdr:cNvCxnSpPr/>
        </xdr:nvCxnSpPr>
        <xdr:spPr>
          <a:xfrm>
            <a:off x="1651000" y="2190989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4" name="GrafDemo_Bis10_4_anio1"/>
          <xdr:cNvSpPr/>
        </xdr:nvSpPr>
        <xdr:spPr>
          <a:xfrm>
            <a:off x="1651000" y="218341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5" name="GrafDemo_Bis10_4_textbox_anio1"/>
          <xdr:cNvSpPr txBox="1"/>
        </xdr:nvSpPr>
        <xdr:spPr>
          <a:xfrm>
            <a:off x="2286000" y="218281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06" name="GrafDemo_Bis10_4_anio2"/>
          <xdr:cNvSpPr/>
        </xdr:nvSpPr>
        <xdr:spPr>
          <a:xfrm>
            <a:off x="1651000" y="218659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7" name="GrafDemo_Bis10_4_textbox_anio2"/>
          <xdr:cNvSpPr txBox="1"/>
        </xdr:nvSpPr>
        <xdr:spPr>
          <a:xfrm>
            <a:off x="2286000" y="218598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08" name="GrafDemo_Bis10_4_circulo_percepcion_general"/>
          <xdr:cNvSpPr/>
        </xdr:nvSpPr>
        <xdr:spPr>
          <a:xfrm>
            <a:off x="1760800" y="218976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0" name="GrafDemo_Bis10_4_textbox_percepcion_general"/>
          <xdr:cNvSpPr txBox="1"/>
        </xdr:nvSpPr>
        <xdr:spPr>
          <a:xfrm>
            <a:off x="2286000" y="2189753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11" name="GrafDemo_Bis10_4_barra_promedio_general"/>
          <xdr:cNvCxnSpPr/>
        </xdr:nvCxnSpPr>
        <xdr:spPr>
          <a:xfrm>
            <a:off x="1651000" y="2194164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2" name="GrafDemo_Bis10_4_textbox_promedio_general"/>
          <xdr:cNvSpPr txBox="1"/>
        </xdr:nvSpPr>
        <xdr:spPr>
          <a:xfrm>
            <a:off x="2286000" y="2192928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1036</xdr:row>
      <xdr:rowOff>0</xdr:rowOff>
    </xdr:from>
    <xdr:to>
      <xdr:col>9</xdr:col>
      <xdr:colOff>1193800</xdr:colOff>
      <xdr:row>1049</xdr:row>
      <xdr:rowOff>63500</xdr:rowOff>
    </xdr:to>
    <xdr:graphicFrame macro="">
      <xdr:nvGraphicFramePr>
        <xdr:cNvPr id="214" name="GrafDemo_Bis10_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oneCell">
    <xdr:from>
      <xdr:col>2</xdr:col>
      <xdr:colOff>127000</xdr:colOff>
      <xdr:row>1071</xdr:row>
      <xdr:rowOff>130408</xdr:rowOff>
    </xdr:from>
    <xdr:to>
      <xdr:col>2</xdr:col>
      <xdr:colOff>2024012</xdr:colOff>
      <xdr:row>1078</xdr:row>
      <xdr:rowOff>55503</xdr:rowOff>
    </xdr:to>
    <xdr:grpSp>
      <xdr:nvGrpSpPr>
        <xdr:cNvPr id="224" name="GrafDemo_Bis10_5_leyenda"/>
        <xdr:cNvGrpSpPr/>
      </xdr:nvGrpSpPr>
      <xdr:grpSpPr>
        <a:xfrm>
          <a:off x="2532063" y="222789189"/>
          <a:ext cx="1897012" cy="1258595"/>
          <a:chOff x="1651000" y="225834808"/>
          <a:chExt cx="1897012" cy="1258595"/>
        </a:xfrm>
      </xdr:grpSpPr>
      <xdr:cxnSp macro="">
        <xdr:nvCxnSpPr>
          <xdr:cNvPr id="220" name="GrafDemo_Bis10_5_barra_percepcion_general"/>
          <xdr:cNvCxnSpPr/>
        </xdr:nvCxnSpPr>
        <xdr:spPr>
          <a:xfrm>
            <a:off x="1651000" y="2266523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5" name="GrafDemo_Bis10_5_anio1"/>
          <xdr:cNvSpPr/>
        </xdr:nvSpPr>
        <xdr:spPr>
          <a:xfrm>
            <a:off x="1651000" y="225894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6" name="GrafDemo_Bis10_5_textbox_anio1"/>
          <xdr:cNvSpPr txBox="1"/>
        </xdr:nvSpPr>
        <xdr:spPr>
          <a:xfrm>
            <a:off x="2286000" y="225834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7" name="GrafDemo_Bis10_5_anio2"/>
          <xdr:cNvSpPr/>
        </xdr:nvSpPr>
        <xdr:spPr>
          <a:xfrm>
            <a:off x="1651000" y="226212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8" name="GrafDemo_Bis10_5_textbox_anio2"/>
          <xdr:cNvSpPr txBox="1"/>
        </xdr:nvSpPr>
        <xdr:spPr>
          <a:xfrm>
            <a:off x="2286000" y="226152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19" name="GrafDemo_Bis10_5_circulo_percepcion_general"/>
          <xdr:cNvSpPr/>
        </xdr:nvSpPr>
        <xdr:spPr>
          <a:xfrm>
            <a:off x="1760800" y="226529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1" name="GrafDemo_Bis10_5_textbox_percepcion_general"/>
          <xdr:cNvSpPr txBox="1"/>
        </xdr:nvSpPr>
        <xdr:spPr>
          <a:xfrm>
            <a:off x="2286000" y="2265287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2" name="GrafDemo_Bis10_5_barra_promedio_general"/>
          <xdr:cNvCxnSpPr/>
        </xdr:nvCxnSpPr>
        <xdr:spPr>
          <a:xfrm>
            <a:off x="1651000" y="2269698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3" name="GrafDemo_Bis10_5_textbox_promedio_general"/>
          <xdr:cNvSpPr txBox="1"/>
        </xdr:nvSpPr>
        <xdr:spPr>
          <a:xfrm>
            <a:off x="2286000" y="2268462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1067</xdr:row>
      <xdr:rowOff>0</xdr:rowOff>
    </xdr:from>
    <xdr:to>
      <xdr:col>9</xdr:col>
      <xdr:colOff>1193800</xdr:colOff>
      <xdr:row>1080</xdr:row>
      <xdr:rowOff>63500</xdr:rowOff>
    </xdr:to>
    <xdr:graphicFrame macro="">
      <xdr:nvGraphicFramePr>
        <xdr:cNvPr id="225" name="GrafDemo_Bis10_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 editAs="oneCell">
    <xdr:from>
      <xdr:col>2</xdr:col>
      <xdr:colOff>127000</xdr:colOff>
      <xdr:row>1102</xdr:row>
      <xdr:rowOff>130408</xdr:rowOff>
    </xdr:from>
    <xdr:to>
      <xdr:col>2</xdr:col>
      <xdr:colOff>2024012</xdr:colOff>
      <xdr:row>1109</xdr:row>
      <xdr:rowOff>55503</xdr:rowOff>
    </xdr:to>
    <xdr:grpSp>
      <xdr:nvGrpSpPr>
        <xdr:cNvPr id="235" name="GrafDemo_Bis10_6_leyenda"/>
        <xdr:cNvGrpSpPr/>
      </xdr:nvGrpSpPr>
      <xdr:grpSpPr>
        <a:xfrm>
          <a:off x="2532063" y="229897221"/>
          <a:ext cx="1897012" cy="1258595"/>
          <a:chOff x="1651000" y="233245258"/>
          <a:chExt cx="1897012" cy="1258595"/>
        </a:xfrm>
      </xdr:grpSpPr>
      <xdr:cxnSp macro="">
        <xdr:nvCxnSpPr>
          <xdr:cNvPr id="231" name="GrafDemo_Bis10_6_barra_percepcion_general"/>
          <xdr:cNvCxnSpPr/>
        </xdr:nvCxnSpPr>
        <xdr:spPr>
          <a:xfrm>
            <a:off x="1651000" y="2340627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6" name="GrafDemo_Bis10_6_anio1"/>
          <xdr:cNvSpPr/>
        </xdr:nvSpPr>
        <xdr:spPr>
          <a:xfrm>
            <a:off x="1651000" y="233305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7" name="GrafDemo_Bis10_6_textbox_anio1"/>
          <xdr:cNvSpPr txBox="1"/>
        </xdr:nvSpPr>
        <xdr:spPr>
          <a:xfrm>
            <a:off x="2286000" y="233245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28" name="GrafDemo_Bis10_6_anio2"/>
          <xdr:cNvSpPr/>
        </xdr:nvSpPr>
        <xdr:spPr>
          <a:xfrm>
            <a:off x="1651000" y="233622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9" name="GrafDemo_Bis10_6_textbox_anio2"/>
          <xdr:cNvSpPr txBox="1"/>
        </xdr:nvSpPr>
        <xdr:spPr>
          <a:xfrm>
            <a:off x="2286000" y="233562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0" name="GrafDemo_Bis10_6_circulo_percepcion_general"/>
          <xdr:cNvSpPr/>
        </xdr:nvSpPr>
        <xdr:spPr>
          <a:xfrm>
            <a:off x="1760800" y="233940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2" name="GrafDemo_Bis10_6_textbox_percepcion_general"/>
          <xdr:cNvSpPr txBox="1"/>
        </xdr:nvSpPr>
        <xdr:spPr>
          <a:xfrm>
            <a:off x="2286000" y="23393916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33" name="GrafDemo_Bis10_6_barra_promedio_general"/>
          <xdr:cNvCxnSpPr/>
        </xdr:nvCxnSpPr>
        <xdr:spPr>
          <a:xfrm>
            <a:off x="1651000" y="2343802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4" name="GrafDemo_Bis10_6_textbox_promedio_general"/>
          <xdr:cNvSpPr txBox="1"/>
        </xdr:nvSpPr>
        <xdr:spPr>
          <a:xfrm>
            <a:off x="2286000" y="23425666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1098</xdr:row>
      <xdr:rowOff>0</xdr:rowOff>
    </xdr:from>
    <xdr:to>
      <xdr:col>9</xdr:col>
      <xdr:colOff>1193800</xdr:colOff>
      <xdr:row>1111</xdr:row>
      <xdr:rowOff>63500</xdr:rowOff>
    </xdr:to>
    <xdr:graphicFrame macro="">
      <xdr:nvGraphicFramePr>
        <xdr:cNvPr id="236" name="GrafDemo_Bis10_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 editAs="oneCell">
    <xdr:from>
      <xdr:col>2</xdr:col>
      <xdr:colOff>127000</xdr:colOff>
      <xdr:row>1133</xdr:row>
      <xdr:rowOff>130408</xdr:rowOff>
    </xdr:from>
    <xdr:to>
      <xdr:col>2</xdr:col>
      <xdr:colOff>2024012</xdr:colOff>
      <xdr:row>1140</xdr:row>
      <xdr:rowOff>55503</xdr:rowOff>
    </xdr:to>
    <xdr:grpSp>
      <xdr:nvGrpSpPr>
        <xdr:cNvPr id="246" name="GrafDemo_Bis10_7_leyenda"/>
        <xdr:cNvGrpSpPr/>
      </xdr:nvGrpSpPr>
      <xdr:grpSpPr>
        <a:xfrm>
          <a:off x="2532063" y="236862377"/>
          <a:ext cx="1897012" cy="1258595"/>
          <a:chOff x="1651000" y="240512833"/>
          <a:chExt cx="1897012" cy="1258595"/>
        </a:xfrm>
      </xdr:grpSpPr>
      <xdr:cxnSp macro="">
        <xdr:nvCxnSpPr>
          <xdr:cNvPr id="242" name="GrafDemo_Bis10_7_barra_percepcion_general"/>
          <xdr:cNvCxnSpPr/>
        </xdr:nvCxnSpPr>
        <xdr:spPr>
          <a:xfrm>
            <a:off x="1651000" y="24133033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7" name="GrafDemo_Bis10_7_anio1"/>
          <xdr:cNvSpPr/>
        </xdr:nvSpPr>
        <xdr:spPr>
          <a:xfrm>
            <a:off x="1651000" y="2405729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8" name="GrafDemo_Bis10_7_textbox_anio1"/>
          <xdr:cNvSpPr txBox="1"/>
        </xdr:nvSpPr>
        <xdr:spPr>
          <a:xfrm>
            <a:off x="2286000" y="2405128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39" name="GrafDemo_Bis10_7_anio2"/>
          <xdr:cNvSpPr/>
        </xdr:nvSpPr>
        <xdr:spPr>
          <a:xfrm>
            <a:off x="1651000" y="2408904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0" name="GrafDemo_Bis10_7_textbox_anio2"/>
          <xdr:cNvSpPr txBox="1"/>
        </xdr:nvSpPr>
        <xdr:spPr>
          <a:xfrm>
            <a:off x="2286000" y="2408303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41" name="GrafDemo_Bis10_7_circulo_percepcion_general"/>
          <xdr:cNvSpPr/>
        </xdr:nvSpPr>
        <xdr:spPr>
          <a:xfrm>
            <a:off x="1760800" y="2412079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3" name="GrafDemo_Bis10_7_textbox_percepcion_general"/>
          <xdr:cNvSpPr txBox="1"/>
        </xdr:nvSpPr>
        <xdr:spPr>
          <a:xfrm>
            <a:off x="2286000" y="24120674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44" name="GrafDemo_Bis10_7_barra_promedio_general"/>
          <xdr:cNvCxnSpPr/>
        </xdr:nvCxnSpPr>
        <xdr:spPr>
          <a:xfrm>
            <a:off x="1651000" y="24164783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5" name="GrafDemo_Bis10_7_textbox_promedio_general"/>
          <xdr:cNvSpPr txBox="1"/>
        </xdr:nvSpPr>
        <xdr:spPr>
          <a:xfrm>
            <a:off x="2286000" y="24152424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1129</xdr:row>
      <xdr:rowOff>0</xdr:rowOff>
    </xdr:from>
    <xdr:to>
      <xdr:col>9</xdr:col>
      <xdr:colOff>1193800</xdr:colOff>
      <xdr:row>1142</xdr:row>
      <xdr:rowOff>63500</xdr:rowOff>
    </xdr:to>
    <xdr:graphicFrame macro="">
      <xdr:nvGraphicFramePr>
        <xdr:cNvPr id="247" name="GrafDemo_Bis10_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 editAs="oneCell">
    <xdr:from>
      <xdr:col>2</xdr:col>
      <xdr:colOff>127000</xdr:colOff>
      <xdr:row>1164</xdr:row>
      <xdr:rowOff>130408</xdr:rowOff>
    </xdr:from>
    <xdr:to>
      <xdr:col>2</xdr:col>
      <xdr:colOff>2024012</xdr:colOff>
      <xdr:row>1171</xdr:row>
      <xdr:rowOff>55503</xdr:rowOff>
    </xdr:to>
    <xdr:grpSp>
      <xdr:nvGrpSpPr>
        <xdr:cNvPr id="257" name="GrafDemo_Bis10_8_leyenda"/>
        <xdr:cNvGrpSpPr/>
      </xdr:nvGrpSpPr>
      <xdr:grpSpPr>
        <a:xfrm>
          <a:off x="2532063" y="243970408"/>
          <a:ext cx="1897012" cy="1258595"/>
          <a:chOff x="1651000" y="247923283"/>
          <a:chExt cx="1897012" cy="1258595"/>
        </a:xfrm>
      </xdr:grpSpPr>
      <xdr:cxnSp macro="">
        <xdr:nvCxnSpPr>
          <xdr:cNvPr id="253" name="GrafDemo_Bis10_8_barra_percepcion_general"/>
          <xdr:cNvCxnSpPr/>
        </xdr:nvCxnSpPr>
        <xdr:spPr>
          <a:xfrm>
            <a:off x="1651000" y="2487407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8" name="GrafDemo_Bis10_8_anio1"/>
          <xdr:cNvSpPr/>
        </xdr:nvSpPr>
        <xdr:spPr>
          <a:xfrm>
            <a:off x="1651000" y="2479833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9" name="GrafDemo_Bis10_8_textbox_anio1"/>
          <xdr:cNvSpPr txBox="1"/>
        </xdr:nvSpPr>
        <xdr:spPr>
          <a:xfrm>
            <a:off x="2286000" y="247923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50" name="GrafDemo_Bis10_8_anio2"/>
          <xdr:cNvSpPr/>
        </xdr:nvSpPr>
        <xdr:spPr>
          <a:xfrm>
            <a:off x="1651000" y="248300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1" name="GrafDemo_Bis10_8_textbox_anio2"/>
          <xdr:cNvSpPr txBox="1"/>
        </xdr:nvSpPr>
        <xdr:spPr>
          <a:xfrm>
            <a:off x="2286000" y="248240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52" name="GrafDemo_Bis10_8_circulo_percepcion_general"/>
          <xdr:cNvSpPr/>
        </xdr:nvSpPr>
        <xdr:spPr>
          <a:xfrm>
            <a:off x="1760800" y="248618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4" name="GrafDemo_Bis10_8_textbox_percepcion_general"/>
          <xdr:cNvSpPr txBox="1"/>
        </xdr:nvSpPr>
        <xdr:spPr>
          <a:xfrm>
            <a:off x="2286000" y="2486171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55" name="GrafDemo_Bis10_8_barra_promedio_general"/>
          <xdr:cNvCxnSpPr/>
        </xdr:nvCxnSpPr>
        <xdr:spPr>
          <a:xfrm>
            <a:off x="1651000" y="2490582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6" name="GrafDemo_Bis10_8_textbox_promedio_general"/>
          <xdr:cNvSpPr txBox="1"/>
        </xdr:nvSpPr>
        <xdr:spPr>
          <a:xfrm>
            <a:off x="2286000" y="2489346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1160</xdr:row>
      <xdr:rowOff>0</xdr:rowOff>
    </xdr:from>
    <xdr:to>
      <xdr:col>9</xdr:col>
      <xdr:colOff>1193800</xdr:colOff>
      <xdr:row>1173</xdr:row>
      <xdr:rowOff>63500</xdr:rowOff>
    </xdr:to>
    <xdr:graphicFrame macro="">
      <xdr:nvGraphicFramePr>
        <xdr:cNvPr id="258" name="GrafDemo_Bis10_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 editAs="oneCell">
    <xdr:from>
      <xdr:col>2</xdr:col>
      <xdr:colOff>127000</xdr:colOff>
      <xdr:row>1195</xdr:row>
      <xdr:rowOff>130408</xdr:rowOff>
    </xdr:from>
    <xdr:to>
      <xdr:col>2</xdr:col>
      <xdr:colOff>2024012</xdr:colOff>
      <xdr:row>1202</xdr:row>
      <xdr:rowOff>55503</xdr:rowOff>
    </xdr:to>
    <xdr:grpSp>
      <xdr:nvGrpSpPr>
        <xdr:cNvPr id="268" name="GrafDemo_Bis10_9_leyenda"/>
        <xdr:cNvGrpSpPr/>
      </xdr:nvGrpSpPr>
      <xdr:grpSpPr>
        <a:xfrm>
          <a:off x="2532063" y="250840314"/>
          <a:ext cx="1897012" cy="1258595"/>
          <a:chOff x="1651000" y="254905108"/>
          <a:chExt cx="1897012" cy="1258595"/>
        </a:xfrm>
      </xdr:grpSpPr>
      <xdr:cxnSp macro="">
        <xdr:nvCxnSpPr>
          <xdr:cNvPr id="264" name="GrafDemo_Bis10_9_barra_percepcion_general"/>
          <xdr:cNvCxnSpPr/>
        </xdr:nvCxnSpPr>
        <xdr:spPr>
          <a:xfrm>
            <a:off x="1651000" y="2557226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9" name="GrafDemo_Bis10_9_anio1"/>
          <xdr:cNvSpPr/>
        </xdr:nvSpPr>
        <xdr:spPr>
          <a:xfrm>
            <a:off x="1651000" y="2549652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0" name="GrafDemo_Bis10_9_textbox_anio1"/>
          <xdr:cNvSpPr txBox="1"/>
        </xdr:nvSpPr>
        <xdr:spPr>
          <a:xfrm>
            <a:off x="2286000" y="254905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61" name="GrafDemo_Bis10_9_anio2"/>
          <xdr:cNvSpPr/>
        </xdr:nvSpPr>
        <xdr:spPr>
          <a:xfrm>
            <a:off x="1651000" y="255282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2" name="GrafDemo_Bis10_9_textbox_anio2"/>
          <xdr:cNvSpPr txBox="1"/>
        </xdr:nvSpPr>
        <xdr:spPr>
          <a:xfrm>
            <a:off x="2286000" y="255222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63" name="GrafDemo_Bis10_9_circulo_percepcion_general"/>
          <xdr:cNvSpPr/>
        </xdr:nvSpPr>
        <xdr:spPr>
          <a:xfrm>
            <a:off x="1760800" y="255600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5" name="GrafDemo_Bis10_9_textbox_percepcion_general"/>
          <xdr:cNvSpPr txBox="1"/>
        </xdr:nvSpPr>
        <xdr:spPr>
          <a:xfrm>
            <a:off x="2286000" y="2555990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6" name="GrafDemo_Bis10_9_barra_promedio_general"/>
          <xdr:cNvCxnSpPr/>
        </xdr:nvCxnSpPr>
        <xdr:spPr>
          <a:xfrm>
            <a:off x="1651000" y="2560401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7" name="GrafDemo_Bis10_9_textbox_promedio_general"/>
          <xdr:cNvSpPr txBox="1"/>
        </xdr:nvSpPr>
        <xdr:spPr>
          <a:xfrm>
            <a:off x="2286000" y="2559165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1191</xdr:row>
      <xdr:rowOff>0</xdr:rowOff>
    </xdr:from>
    <xdr:to>
      <xdr:col>9</xdr:col>
      <xdr:colOff>1193800</xdr:colOff>
      <xdr:row>1204</xdr:row>
      <xdr:rowOff>63500</xdr:rowOff>
    </xdr:to>
    <xdr:graphicFrame macro="">
      <xdr:nvGraphicFramePr>
        <xdr:cNvPr id="269" name="GrafDemo_Bis10_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 editAs="oneCell">
    <xdr:from>
      <xdr:col>2</xdr:col>
      <xdr:colOff>127000</xdr:colOff>
      <xdr:row>1226</xdr:row>
      <xdr:rowOff>130408</xdr:rowOff>
    </xdr:from>
    <xdr:to>
      <xdr:col>2</xdr:col>
      <xdr:colOff>2024012</xdr:colOff>
      <xdr:row>1233</xdr:row>
      <xdr:rowOff>55503</xdr:rowOff>
    </xdr:to>
    <xdr:grpSp>
      <xdr:nvGrpSpPr>
        <xdr:cNvPr id="279" name="GrafDemo_Bis10_10_leyenda"/>
        <xdr:cNvGrpSpPr/>
      </xdr:nvGrpSpPr>
      <xdr:grpSpPr>
        <a:xfrm>
          <a:off x="2532063" y="257805471"/>
          <a:ext cx="1897012" cy="1258595"/>
          <a:chOff x="1651000" y="262172683"/>
          <a:chExt cx="1897012" cy="1258595"/>
        </a:xfrm>
      </xdr:grpSpPr>
      <xdr:cxnSp macro="">
        <xdr:nvCxnSpPr>
          <xdr:cNvPr id="275" name="GrafDemo_Bis10_10_barra_percepcion_general"/>
          <xdr:cNvCxnSpPr/>
        </xdr:nvCxnSpPr>
        <xdr:spPr>
          <a:xfrm>
            <a:off x="1651000" y="2629901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0" name="GrafDemo_Bis10_10_anio1"/>
          <xdr:cNvSpPr/>
        </xdr:nvSpPr>
        <xdr:spPr>
          <a:xfrm>
            <a:off x="1651000" y="2622327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1" name="GrafDemo_Bis10_10_textbox_anio1"/>
          <xdr:cNvSpPr txBox="1"/>
        </xdr:nvSpPr>
        <xdr:spPr>
          <a:xfrm>
            <a:off x="2286000" y="2621726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72" name="GrafDemo_Bis10_10_anio2"/>
          <xdr:cNvSpPr/>
        </xdr:nvSpPr>
        <xdr:spPr>
          <a:xfrm>
            <a:off x="1651000" y="2625502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3" name="GrafDemo_Bis10_10_textbox_anio2"/>
          <xdr:cNvSpPr txBox="1"/>
        </xdr:nvSpPr>
        <xdr:spPr>
          <a:xfrm>
            <a:off x="2286000" y="2624901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74" name="GrafDemo_Bis10_10_circulo_percepcion_general"/>
          <xdr:cNvSpPr/>
        </xdr:nvSpPr>
        <xdr:spPr>
          <a:xfrm>
            <a:off x="1760800" y="2628677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6" name="GrafDemo_Bis10_10_textbox_percepcion_general"/>
          <xdr:cNvSpPr txBox="1"/>
        </xdr:nvSpPr>
        <xdr:spPr>
          <a:xfrm>
            <a:off x="2286000" y="2628665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77" name="GrafDemo_Bis10_10_barra_promedio_general"/>
          <xdr:cNvCxnSpPr/>
        </xdr:nvCxnSpPr>
        <xdr:spPr>
          <a:xfrm>
            <a:off x="1651000" y="2633076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8" name="GrafDemo_Bis10_10_textbox_promedio_general"/>
          <xdr:cNvSpPr txBox="1"/>
        </xdr:nvSpPr>
        <xdr:spPr>
          <a:xfrm>
            <a:off x="2286000" y="2631840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1222</xdr:row>
      <xdr:rowOff>0</xdr:rowOff>
    </xdr:from>
    <xdr:to>
      <xdr:col>9</xdr:col>
      <xdr:colOff>1193800</xdr:colOff>
      <xdr:row>1235</xdr:row>
      <xdr:rowOff>63500</xdr:rowOff>
    </xdr:to>
    <xdr:graphicFrame macro="">
      <xdr:nvGraphicFramePr>
        <xdr:cNvPr id="280" name="GrafDemo_Bis10_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0</xdr:colOff>
      <xdr:row>1253</xdr:row>
      <xdr:rowOff>0</xdr:rowOff>
    </xdr:from>
    <xdr:to>
      <xdr:col>10</xdr:col>
      <xdr:colOff>254000</xdr:colOff>
      <xdr:row>1279</xdr:row>
      <xdr:rowOff>0</xdr:rowOff>
    </xdr:to>
    <xdr:grpSp>
      <xdr:nvGrpSpPr>
        <xdr:cNvPr id="283" name="GrafDemo11"/>
        <xdr:cNvGrpSpPr/>
      </xdr:nvGrpSpPr>
      <xdr:grpSpPr>
        <a:xfrm>
          <a:off x="2405063" y="264021094"/>
          <a:ext cx="11136312" cy="4953000"/>
          <a:chOff x="1524000" y="268833600"/>
          <a:chExt cx="6350000" cy="4953000"/>
        </a:xfrm>
      </xdr:grpSpPr>
      <xdr:graphicFrame macro="">
        <xdr:nvGraphicFramePr>
          <xdr:cNvPr id="281" name="GrafDemo11"/>
          <xdr:cNvGraphicFramePr/>
        </xdr:nvGraphicFramePr>
        <xdr:xfrm>
          <a:off x="1524000" y="26883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2"/>
          </a:graphicData>
        </a:graphic>
      </xdr:graphicFrame>
      <xdr:graphicFrame macro="">
        <xdr:nvGraphicFramePr>
          <xdr:cNvPr id="282" name="GrafDemo11_fondo"/>
          <xdr:cNvGraphicFramePr/>
        </xdr:nvGraphicFramePr>
        <xdr:xfrm>
          <a:off x="1524000" y="26883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3"/>
          </a:graphicData>
        </a:graphic>
      </xdr:graphicFrame>
    </xdr:grpSp>
    <xdr:clientData/>
  </xdr:twoCellAnchor>
  <xdr:twoCellAnchor editAs="oneCell">
    <xdr:from>
      <xdr:col>2</xdr:col>
      <xdr:colOff>127000</xdr:colOff>
      <xdr:row>1317</xdr:row>
      <xdr:rowOff>130408</xdr:rowOff>
    </xdr:from>
    <xdr:to>
      <xdr:col>2</xdr:col>
      <xdr:colOff>2024012</xdr:colOff>
      <xdr:row>1324</xdr:row>
      <xdr:rowOff>55503</xdr:rowOff>
    </xdr:to>
    <xdr:grpSp>
      <xdr:nvGrpSpPr>
        <xdr:cNvPr id="293" name="GrafDemo_Bis11_leyenda"/>
        <xdr:cNvGrpSpPr/>
      </xdr:nvGrpSpPr>
      <xdr:grpSpPr>
        <a:xfrm>
          <a:off x="2532063" y="276343502"/>
          <a:ext cx="1897012" cy="1258595"/>
          <a:chOff x="1651000" y="281156008"/>
          <a:chExt cx="1897012" cy="1258595"/>
        </a:xfrm>
      </xdr:grpSpPr>
      <xdr:cxnSp macro="">
        <xdr:nvCxnSpPr>
          <xdr:cNvPr id="289" name="GrafDemo_Bis11_barra_percepcion_general"/>
          <xdr:cNvCxnSpPr/>
        </xdr:nvCxnSpPr>
        <xdr:spPr>
          <a:xfrm>
            <a:off x="1651000" y="2819735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4" name="GrafDemo_Bis11_anio1"/>
          <xdr:cNvSpPr/>
        </xdr:nvSpPr>
        <xdr:spPr>
          <a:xfrm>
            <a:off x="1651000" y="2812161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5" name="GrafDemo_Bis11_textbox_anio1"/>
          <xdr:cNvSpPr txBox="1"/>
        </xdr:nvSpPr>
        <xdr:spPr>
          <a:xfrm>
            <a:off x="2286000" y="281156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86" name="GrafDemo_Bis11_anio2"/>
          <xdr:cNvSpPr/>
        </xdr:nvSpPr>
        <xdr:spPr>
          <a:xfrm>
            <a:off x="1651000" y="2815336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7" name="GrafDemo_Bis11_textbox_anio2"/>
          <xdr:cNvSpPr txBox="1"/>
        </xdr:nvSpPr>
        <xdr:spPr>
          <a:xfrm>
            <a:off x="2286000" y="28147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88" name="GrafDemo_Bis11_circulo_percepcion_general"/>
          <xdr:cNvSpPr/>
        </xdr:nvSpPr>
        <xdr:spPr>
          <a:xfrm>
            <a:off x="1760800" y="2818511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0" name="GrafDemo_Bis11_textbox_percepcion_general"/>
          <xdr:cNvSpPr txBox="1"/>
        </xdr:nvSpPr>
        <xdr:spPr>
          <a:xfrm>
            <a:off x="2286000" y="2818499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91" name="GrafDemo_Bis11_barra_promedio_general"/>
          <xdr:cNvCxnSpPr/>
        </xdr:nvCxnSpPr>
        <xdr:spPr>
          <a:xfrm>
            <a:off x="1651000" y="2822910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2" name="GrafDemo_Bis11_textbox_promedio_general"/>
          <xdr:cNvSpPr txBox="1"/>
        </xdr:nvSpPr>
        <xdr:spPr>
          <a:xfrm>
            <a:off x="2286000" y="2821674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1313</xdr:row>
      <xdr:rowOff>0</xdr:rowOff>
    </xdr:from>
    <xdr:to>
      <xdr:col>9</xdr:col>
      <xdr:colOff>1193800</xdr:colOff>
      <xdr:row>1326</xdr:row>
      <xdr:rowOff>63500</xdr:rowOff>
    </xdr:to>
    <xdr:graphicFrame macro="">
      <xdr:nvGraphicFramePr>
        <xdr:cNvPr id="294" name="GrafDemo_Bis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2</xdr:col>
      <xdr:colOff>0</xdr:colOff>
      <xdr:row>1344</xdr:row>
      <xdr:rowOff>0</xdr:rowOff>
    </xdr:from>
    <xdr:to>
      <xdr:col>10</xdr:col>
      <xdr:colOff>254000</xdr:colOff>
      <xdr:row>1370</xdr:row>
      <xdr:rowOff>0</xdr:rowOff>
    </xdr:to>
    <xdr:grpSp>
      <xdr:nvGrpSpPr>
        <xdr:cNvPr id="297" name="GrafDemo12"/>
        <xdr:cNvGrpSpPr/>
      </xdr:nvGrpSpPr>
      <xdr:grpSpPr>
        <a:xfrm>
          <a:off x="2405063" y="282321000"/>
          <a:ext cx="11136312" cy="4953000"/>
          <a:chOff x="1524000" y="287150175"/>
          <a:chExt cx="6350000" cy="4953000"/>
        </a:xfrm>
      </xdr:grpSpPr>
      <xdr:graphicFrame macro="">
        <xdr:nvGraphicFramePr>
          <xdr:cNvPr id="295" name="GrafDemo12"/>
          <xdr:cNvGraphicFramePr/>
        </xdr:nvGraphicFramePr>
        <xdr:xfrm>
          <a:off x="1524000" y="28715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296" name="GrafDemo12_fondo"/>
          <xdr:cNvGraphicFramePr/>
        </xdr:nvGraphicFramePr>
        <xdr:xfrm>
          <a:off x="1524000" y="28715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</xdr:grpSp>
    <xdr:clientData/>
  </xdr:twoCellAnchor>
  <xdr:twoCellAnchor editAs="oneCell">
    <xdr:from>
      <xdr:col>2</xdr:col>
      <xdr:colOff>127000</xdr:colOff>
      <xdr:row>1408</xdr:row>
      <xdr:rowOff>130408</xdr:rowOff>
    </xdr:from>
    <xdr:to>
      <xdr:col>2</xdr:col>
      <xdr:colOff>2024012</xdr:colOff>
      <xdr:row>1415</xdr:row>
      <xdr:rowOff>55503</xdr:rowOff>
    </xdr:to>
    <xdr:grpSp>
      <xdr:nvGrpSpPr>
        <xdr:cNvPr id="307" name="GrafDemo_Bis12_leyenda"/>
        <xdr:cNvGrpSpPr/>
      </xdr:nvGrpSpPr>
      <xdr:grpSpPr>
        <a:xfrm>
          <a:off x="2532063" y="294643408"/>
          <a:ext cx="1897012" cy="1258595"/>
          <a:chOff x="1651000" y="299472583"/>
          <a:chExt cx="1897012" cy="1258595"/>
        </a:xfrm>
      </xdr:grpSpPr>
      <xdr:cxnSp macro="">
        <xdr:nvCxnSpPr>
          <xdr:cNvPr id="303" name="GrafDemo_Bis12_barra_percepcion_general"/>
          <xdr:cNvCxnSpPr/>
        </xdr:nvCxnSpPr>
        <xdr:spPr>
          <a:xfrm>
            <a:off x="1651000" y="3002900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8" name="GrafDemo_Bis12_anio1"/>
          <xdr:cNvSpPr/>
        </xdr:nvSpPr>
        <xdr:spPr>
          <a:xfrm>
            <a:off x="1651000" y="299532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9" name="GrafDemo_Bis12_textbox_anio1"/>
          <xdr:cNvSpPr txBox="1"/>
        </xdr:nvSpPr>
        <xdr:spPr>
          <a:xfrm>
            <a:off x="2286000" y="299472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00" name="GrafDemo_Bis12_anio2"/>
          <xdr:cNvSpPr/>
        </xdr:nvSpPr>
        <xdr:spPr>
          <a:xfrm>
            <a:off x="1651000" y="299850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1" name="GrafDemo_Bis12_textbox_anio2"/>
          <xdr:cNvSpPr txBox="1"/>
        </xdr:nvSpPr>
        <xdr:spPr>
          <a:xfrm>
            <a:off x="2286000" y="29979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02" name="GrafDemo_Bis12_circulo_percepcion_general"/>
          <xdr:cNvSpPr/>
        </xdr:nvSpPr>
        <xdr:spPr>
          <a:xfrm>
            <a:off x="1760800" y="300167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4" name="GrafDemo_Bis12_textbox_percepcion_general"/>
          <xdr:cNvSpPr txBox="1"/>
        </xdr:nvSpPr>
        <xdr:spPr>
          <a:xfrm>
            <a:off x="2286000" y="3001664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05" name="GrafDemo_Bis12_barra_promedio_general"/>
          <xdr:cNvCxnSpPr/>
        </xdr:nvCxnSpPr>
        <xdr:spPr>
          <a:xfrm>
            <a:off x="1651000" y="3006075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6" name="GrafDemo_Bis12_textbox_promedio_general"/>
          <xdr:cNvSpPr txBox="1"/>
        </xdr:nvSpPr>
        <xdr:spPr>
          <a:xfrm>
            <a:off x="2286000" y="3004839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1404</xdr:row>
      <xdr:rowOff>0</xdr:rowOff>
    </xdr:from>
    <xdr:to>
      <xdr:col>9</xdr:col>
      <xdr:colOff>1193800</xdr:colOff>
      <xdr:row>1417</xdr:row>
      <xdr:rowOff>63500</xdr:rowOff>
    </xdr:to>
    <xdr:graphicFrame macro="">
      <xdr:nvGraphicFramePr>
        <xdr:cNvPr id="308" name="GrafDemo_Bis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2</xdr:col>
      <xdr:colOff>0</xdr:colOff>
      <xdr:row>1435</xdr:row>
      <xdr:rowOff>0</xdr:rowOff>
    </xdr:from>
    <xdr:to>
      <xdr:col>10</xdr:col>
      <xdr:colOff>254000</xdr:colOff>
      <xdr:row>1461</xdr:row>
      <xdr:rowOff>0</xdr:rowOff>
    </xdr:to>
    <xdr:grpSp>
      <xdr:nvGrpSpPr>
        <xdr:cNvPr id="311" name="GrafDemo13"/>
        <xdr:cNvGrpSpPr/>
      </xdr:nvGrpSpPr>
      <xdr:grpSpPr>
        <a:xfrm>
          <a:off x="2405063" y="300859031"/>
          <a:ext cx="11136312" cy="4953000"/>
          <a:chOff x="1524000" y="306133500"/>
          <a:chExt cx="6350000" cy="4953000"/>
        </a:xfrm>
      </xdr:grpSpPr>
      <xdr:graphicFrame macro="">
        <xdr:nvGraphicFramePr>
          <xdr:cNvPr id="309" name="GrafDemo13"/>
          <xdr:cNvGraphicFramePr/>
        </xdr:nvGraphicFramePr>
        <xdr:xfrm>
          <a:off x="1524000" y="3061335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8"/>
          </a:graphicData>
        </a:graphic>
      </xdr:graphicFrame>
      <xdr:graphicFrame macro="">
        <xdr:nvGraphicFramePr>
          <xdr:cNvPr id="310" name="GrafDemo13_fondo"/>
          <xdr:cNvGraphicFramePr/>
        </xdr:nvGraphicFramePr>
        <xdr:xfrm>
          <a:off x="1524000" y="3061335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9"/>
          </a:graphicData>
        </a:graphic>
      </xdr:graphicFrame>
    </xdr:grpSp>
    <xdr:clientData/>
  </xdr:twoCellAnchor>
  <xdr:twoCellAnchor editAs="oneCell">
    <xdr:from>
      <xdr:col>2</xdr:col>
      <xdr:colOff>127000</xdr:colOff>
      <xdr:row>1499</xdr:row>
      <xdr:rowOff>130408</xdr:rowOff>
    </xdr:from>
    <xdr:to>
      <xdr:col>2</xdr:col>
      <xdr:colOff>2024012</xdr:colOff>
      <xdr:row>1506</xdr:row>
      <xdr:rowOff>55503</xdr:rowOff>
    </xdr:to>
    <xdr:grpSp>
      <xdr:nvGrpSpPr>
        <xdr:cNvPr id="321" name="GrafDemo_Bis13_leyenda"/>
        <xdr:cNvGrpSpPr/>
      </xdr:nvGrpSpPr>
      <xdr:grpSpPr>
        <a:xfrm>
          <a:off x="2532063" y="313181439"/>
          <a:ext cx="1897012" cy="1258595"/>
          <a:chOff x="1651000" y="318455908"/>
          <a:chExt cx="1897012" cy="1258595"/>
        </a:xfrm>
      </xdr:grpSpPr>
      <xdr:cxnSp macro="">
        <xdr:nvCxnSpPr>
          <xdr:cNvPr id="317" name="GrafDemo_Bis13_barra_percepcion_general"/>
          <xdr:cNvCxnSpPr/>
        </xdr:nvCxnSpPr>
        <xdr:spPr>
          <a:xfrm>
            <a:off x="1651000" y="3192734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2" name="GrafDemo_Bis13_anio1"/>
          <xdr:cNvSpPr/>
        </xdr:nvSpPr>
        <xdr:spPr>
          <a:xfrm>
            <a:off x="1651000" y="3185160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3" name="GrafDemo_Bis13_textbox_anio1"/>
          <xdr:cNvSpPr txBox="1"/>
        </xdr:nvSpPr>
        <xdr:spPr>
          <a:xfrm>
            <a:off x="2286000" y="318455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14" name="GrafDemo_Bis13_anio2"/>
          <xdr:cNvSpPr/>
        </xdr:nvSpPr>
        <xdr:spPr>
          <a:xfrm>
            <a:off x="1651000" y="3188335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5" name="GrafDemo_Bis13_textbox_anio2"/>
          <xdr:cNvSpPr txBox="1"/>
        </xdr:nvSpPr>
        <xdr:spPr>
          <a:xfrm>
            <a:off x="2286000" y="318773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6" name="GrafDemo_Bis13_circulo_percepcion_general"/>
          <xdr:cNvSpPr/>
        </xdr:nvSpPr>
        <xdr:spPr>
          <a:xfrm>
            <a:off x="1760800" y="3191510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8" name="GrafDemo_Bis13_textbox_percepcion_general"/>
          <xdr:cNvSpPr txBox="1"/>
        </xdr:nvSpPr>
        <xdr:spPr>
          <a:xfrm>
            <a:off x="2286000" y="3191498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19" name="GrafDemo_Bis13_barra_promedio_general"/>
          <xdr:cNvCxnSpPr/>
        </xdr:nvCxnSpPr>
        <xdr:spPr>
          <a:xfrm>
            <a:off x="1651000" y="3195909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0" name="GrafDemo_Bis13_textbox_promedio_general"/>
          <xdr:cNvSpPr txBox="1"/>
        </xdr:nvSpPr>
        <xdr:spPr>
          <a:xfrm>
            <a:off x="2286000" y="3194673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1495</xdr:row>
      <xdr:rowOff>0</xdr:rowOff>
    </xdr:from>
    <xdr:to>
      <xdr:col>9</xdr:col>
      <xdr:colOff>1193800</xdr:colOff>
      <xdr:row>1508</xdr:row>
      <xdr:rowOff>63500</xdr:rowOff>
    </xdr:to>
    <xdr:graphicFrame macro="">
      <xdr:nvGraphicFramePr>
        <xdr:cNvPr id="322" name="GrafDemo_Bis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</xdr:col>
      <xdr:colOff>0</xdr:colOff>
      <xdr:row>1526</xdr:row>
      <xdr:rowOff>0</xdr:rowOff>
    </xdr:from>
    <xdr:to>
      <xdr:col>10</xdr:col>
      <xdr:colOff>254000</xdr:colOff>
      <xdr:row>1552</xdr:row>
      <xdr:rowOff>0</xdr:rowOff>
    </xdr:to>
    <xdr:grpSp>
      <xdr:nvGrpSpPr>
        <xdr:cNvPr id="325" name="GrafDemo14"/>
        <xdr:cNvGrpSpPr/>
      </xdr:nvGrpSpPr>
      <xdr:grpSpPr>
        <a:xfrm>
          <a:off x="2405063" y="319158938"/>
          <a:ext cx="11136312" cy="4953000"/>
          <a:chOff x="1524000" y="324450075"/>
          <a:chExt cx="6350000" cy="4953000"/>
        </a:xfrm>
      </xdr:grpSpPr>
      <xdr:graphicFrame macro="">
        <xdr:nvGraphicFramePr>
          <xdr:cNvPr id="323" name="GrafDemo14"/>
          <xdr:cNvGraphicFramePr/>
        </xdr:nvGraphicFramePr>
        <xdr:xfrm>
          <a:off x="1524000" y="3244500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1"/>
          </a:graphicData>
        </a:graphic>
      </xdr:graphicFrame>
      <xdr:graphicFrame macro="">
        <xdr:nvGraphicFramePr>
          <xdr:cNvPr id="324" name="GrafDemo14_fondo"/>
          <xdr:cNvGraphicFramePr/>
        </xdr:nvGraphicFramePr>
        <xdr:xfrm>
          <a:off x="1524000" y="3244500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2"/>
          </a:graphicData>
        </a:graphic>
      </xdr:graphicFrame>
    </xdr:grpSp>
    <xdr:clientData/>
  </xdr:twoCellAnchor>
  <xdr:twoCellAnchor editAs="oneCell">
    <xdr:from>
      <xdr:col>2</xdr:col>
      <xdr:colOff>127000</xdr:colOff>
      <xdr:row>1590</xdr:row>
      <xdr:rowOff>130408</xdr:rowOff>
    </xdr:from>
    <xdr:to>
      <xdr:col>2</xdr:col>
      <xdr:colOff>2024012</xdr:colOff>
      <xdr:row>1597</xdr:row>
      <xdr:rowOff>55503</xdr:rowOff>
    </xdr:to>
    <xdr:grpSp>
      <xdr:nvGrpSpPr>
        <xdr:cNvPr id="335" name="GrafDemo_Bis14_leyenda"/>
        <xdr:cNvGrpSpPr/>
      </xdr:nvGrpSpPr>
      <xdr:grpSpPr>
        <a:xfrm>
          <a:off x="2532063" y="331481346"/>
          <a:ext cx="1897012" cy="1258595"/>
          <a:chOff x="1651000" y="336772483"/>
          <a:chExt cx="1897012" cy="1258595"/>
        </a:xfrm>
      </xdr:grpSpPr>
      <xdr:cxnSp macro="">
        <xdr:nvCxnSpPr>
          <xdr:cNvPr id="331" name="GrafDemo_Bis14_barra_percepcion_general"/>
          <xdr:cNvCxnSpPr/>
        </xdr:nvCxnSpPr>
        <xdr:spPr>
          <a:xfrm>
            <a:off x="1651000" y="3375899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6" name="GrafDemo_Bis14_anio1"/>
          <xdr:cNvSpPr/>
        </xdr:nvSpPr>
        <xdr:spPr>
          <a:xfrm>
            <a:off x="1651000" y="336832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7" name="GrafDemo_Bis14_textbox_anio1"/>
          <xdr:cNvSpPr txBox="1"/>
        </xdr:nvSpPr>
        <xdr:spPr>
          <a:xfrm>
            <a:off x="2286000" y="336772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28" name="GrafDemo_Bis14_anio2"/>
          <xdr:cNvSpPr/>
        </xdr:nvSpPr>
        <xdr:spPr>
          <a:xfrm>
            <a:off x="1651000" y="337150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9" name="GrafDemo_Bis14_textbox_anio2"/>
          <xdr:cNvSpPr txBox="1"/>
        </xdr:nvSpPr>
        <xdr:spPr>
          <a:xfrm>
            <a:off x="2286000" y="33708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30" name="GrafDemo_Bis14_circulo_percepcion_general"/>
          <xdr:cNvSpPr/>
        </xdr:nvSpPr>
        <xdr:spPr>
          <a:xfrm>
            <a:off x="1760800" y="337467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32" name="GrafDemo_Bis14_textbox_percepcion_general"/>
          <xdr:cNvSpPr txBox="1"/>
        </xdr:nvSpPr>
        <xdr:spPr>
          <a:xfrm>
            <a:off x="2286000" y="3374663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33" name="GrafDemo_Bis14_barra_promedio_general"/>
          <xdr:cNvCxnSpPr/>
        </xdr:nvCxnSpPr>
        <xdr:spPr>
          <a:xfrm>
            <a:off x="1651000" y="3379074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4" name="GrafDemo_Bis14_textbox_promedio_general"/>
          <xdr:cNvSpPr txBox="1"/>
        </xdr:nvSpPr>
        <xdr:spPr>
          <a:xfrm>
            <a:off x="2286000" y="3377838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1586</xdr:row>
      <xdr:rowOff>0</xdr:rowOff>
    </xdr:from>
    <xdr:to>
      <xdr:col>9</xdr:col>
      <xdr:colOff>1193800</xdr:colOff>
      <xdr:row>1599</xdr:row>
      <xdr:rowOff>63500</xdr:rowOff>
    </xdr:to>
    <xdr:graphicFrame macro="">
      <xdr:nvGraphicFramePr>
        <xdr:cNvPr id="336" name="GrafDemo_Bis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2</xdr:col>
      <xdr:colOff>0</xdr:colOff>
      <xdr:row>1617</xdr:row>
      <xdr:rowOff>0</xdr:rowOff>
    </xdr:from>
    <xdr:to>
      <xdr:col>10</xdr:col>
      <xdr:colOff>254000</xdr:colOff>
      <xdr:row>1643</xdr:row>
      <xdr:rowOff>0</xdr:rowOff>
    </xdr:to>
    <xdr:grpSp>
      <xdr:nvGrpSpPr>
        <xdr:cNvPr id="339" name="GrafDemo15"/>
        <xdr:cNvGrpSpPr/>
      </xdr:nvGrpSpPr>
      <xdr:grpSpPr>
        <a:xfrm>
          <a:off x="2405063" y="337458844"/>
          <a:ext cx="11136312" cy="4953000"/>
          <a:chOff x="1524000" y="342766650"/>
          <a:chExt cx="6350000" cy="4953000"/>
        </a:xfrm>
      </xdr:grpSpPr>
      <xdr:graphicFrame macro="">
        <xdr:nvGraphicFramePr>
          <xdr:cNvPr id="337" name="GrafDemo15"/>
          <xdr:cNvGraphicFramePr/>
        </xdr:nvGraphicFramePr>
        <xdr:xfrm>
          <a:off x="1524000" y="3427666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4"/>
          </a:graphicData>
        </a:graphic>
      </xdr:graphicFrame>
      <xdr:graphicFrame macro="">
        <xdr:nvGraphicFramePr>
          <xdr:cNvPr id="338" name="GrafDemo15_fondo"/>
          <xdr:cNvGraphicFramePr/>
        </xdr:nvGraphicFramePr>
        <xdr:xfrm>
          <a:off x="1524000" y="3427666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5"/>
          </a:graphicData>
        </a:graphic>
      </xdr:graphicFrame>
    </xdr:grpSp>
    <xdr:clientData/>
  </xdr:twoCellAnchor>
  <xdr:twoCellAnchor editAs="oneCell">
    <xdr:from>
      <xdr:col>2</xdr:col>
      <xdr:colOff>127000</xdr:colOff>
      <xdr:row>1681</xdr:row>
      <xdr:rowOff>130408</xdr:rowOff>
    </xdr:from>
    <xdr:to>
      <xdr:col>2</xdr:col>
      <xdr:colOff>2024012</xdr:colOff>
      <xdr:row>1688</xdr:row>
      <xdr:rowOff>55503</xdr:rowOff>
    </xdr:to>
    <xdr:grpSp>
      <xdr:nvGrpSpPr>
        <xdr:cNvPr id="349" name="GrafDemo_Bis15_leyenda"/>
        <xdr:cNvGrpSpPr/>
      </xdr:nvGrpSpPr>
      <xdr:grpSpPr>
        <a:xfrm>
          <a:off x="2532063" y="349781252"/>
          <a:ext cx="1897012" cy="1258595"/>
          <a:chOff x="1651000" y="355089058"/>
          <a:chExt cx="1897012" cy="1258595"/>
        </a:xfrm>
      </xdr:grpSpPr>
      <xdr:cxnSp macro="">
        <xdr:nvCxnSpPr>
          <xdr:cNvPr id="345" name="GrafDemo_Bis15_barra_percepcion_general"/>
          <xdr:cNvCxnSpPr/>
        </xdr:nvCxnSpPr>
        <xdr:spPr>
          <a:xfrm>
            <a:off x="1651000" y="3559065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40" name="GrafDemo_Bis15_anio1"/>
          <xdr:cNvSpPr/>
        </xdr:nvSpPr>
        <xdr:spPr>
          <a:xfrm>
            <a:off x="1651000" y="3551491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41" name="GrafDemo_Bis15_textbox_anio1"/>
          <xdr:cNvSpPr txBox="1"/>
        </xdr:nvSpPr>
        <xdr:spPr>
          <a:xfrm>
            <a:off x="2286000" y="3550890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42" name="GrafDemo_Bis15_anio2"/>
          <xdr:cNvSpPr/>
        </xdr:nvSpPr>
        <xdr:spPr>
          <a:xfrm>
            <a:off x="1651000" y="3554666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43" name="GrafDemo_Bis15_textbox_anio2"/>
          <xdr:cNvSpPr txBox="1"/>
        </xdr:nvSpPr>
        <xdr:spPr>
          <a:xfrm>
            <a:off x="2286000" y="3554065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44" name="GrafDemo_Bis15_circulo_percepcion_general"/>
          <xdr:cNvSpPr/>
        </xdr:nvSpPr>
        <xdr:spPr>
          <a:xfrm>
            <a:off x="1760800" y="3557841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46" name="GrafDemo_Bis15_textbox_percepcion_general"/>
          <xdr:cNvSpPr txBox="1"/>
        </xdr:nvSpPr>
        <xdr:spPr>
          <a:xfrm>
            <a:off x="2286000" y="35578296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47" name="GrafDemo_Bis15_barra_promedio_general"/>
          <xdr:cNvCxnSpPr/>
        </xdr:nvCxnSpPr>
        <xdr:spPr>
          <a:xfrm>
            <a:off x="1651000" y="3562240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48" name="GrafDemo_Bis15_textbox_promedio_general"/>
          <xdr:cNvSpPr txBox="1"/>
        </xdr:nvSpPr>
        <xdr:spPr>
          <a:xfrm>
            <a:off x="2286000" y="35610046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1677</xdr:row>
      <xdr:rowOff>0</xdr:rowOff>
    </xdr:from>
    <xdr:to>
      <xdr:col>9</xdr:col>
      <xdr:colOff>1193800</xdr:colOff>
      <xdr:row>1690</xdr:row>
      <xdr:rowOff>63500</xdr:rowOff>
    </xdr:to>
    <xdr:graphicFrame macro="">
      <xdr:nvGraphicFramePr>
        <xdr:cNvPr id="350" name="GrafDemo_Bis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1026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0.25638</cdr:y>
    </cdr:from>
    <cdr:to>
      <cdr:x>0.05075</cdr:x>
      <cdr:y>0.35638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5120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0.39805</cdr:y>
    </cdr:from>
    <cdr:to>
      <cdr:x>0.05075</cdr:x>
      <cdr:y>0.49805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11036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(409)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0.19006</cdr:y>
    </cdr:from>
    <cdr:to>
      <cdr:x>0.05075</cdr:x>
      <cdr:y>0.29006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48274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(162)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0.32828</cdr:y>
    </cdr:from>
    <cdr:to>
      <cdr:x>0.05075</cdr:x>
      <cdr:y>0.42828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3381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(526)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454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(92)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(39)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3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0.29666</cdr:y>
    </cdr:from>
    <cdr:to>
      <cdr:x>0.05075</cdr:x>
      <cdr:y>0.39666</cdr:y>
    </cdr:to>
    <cdr:sp macro="" textlink="">
      <cdr:nvSpPr>
        <cdr:cNvPr id="2" name="TextBox_3_4"/>
        <cdr:cNvSpPr txBox="1"/>
      </cdr:nvSpPr>
      <cdr:spPr>
        <a:xfrm xmlns:a="http://schemas.openxmlformats.org/drawingml/2006/main">
          <a:off x="50800" y="753504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0.29666</cdr:y>
    </cdr:from>
    <cdr:to>
      <cdr:x>0.05075</cdr:x>
      <cdr:y>0.39666</cdr:y>
    </cdr:to>
    <cdr:sp macro="" textlink="">
      <cdr:nvSpPr>
        <cdr:cNvPr id="2" name="TextBox_3_5"/>
        <cdr:cNvSpPr txBox="1"/>
      </cdr:nvSpPr>
      <cdr:spPr>
        <a:xfrm xmlns:a="http://schemas.openxmlformats.org/drawingml/2006/main">
          <a:off x="50800" y="753504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6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0.39805</cdr:y>
    </cdr:from>
    <cdr:to>
      <cdr:x>0.05075</cdr:x>
      <cdr:y>0.49805</cdr:y>
    </cdr:to>
    <cdr:sp macro="" textlink="">
      <cdr:nvSpPr>
        <cdr:cNvPr id="2" name="TextBox_3_7"/>
        <cdr:cNvSpPr txBox="1"/>
      </cdr:nvSpPr>
      <cdr:spPr>
        <a:xfrm xmlns:a="http://schemas.openxmlformats.org/drawingml/2006/main">
          <a:off x="50800" y="1011036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0.29666</cdr:y>
    </cdr:from>
    <cdr:to>
      <cdr:x>0.05075</cdr:x>
      <cdr:y>0.39666</cdr:y>
    </cdr:to>
    <cdr:sp macro="" textlink="">
      <cdr:nvSpPr>
        <cdr:cNvPr id="2" name="TextBox_3_8"/>
        <cdr:cNvSpPr txBox="1"/>
      </cdr:nvSpPr>
      <cdr:spPr>
        <a:xfrm xmlns:a="http://schemas.openxmlformats.org/drawingml/2006/main">
          <a:off x="50800" y="753504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9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1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(385)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12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12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0.238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0.238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0.8984</cdr:y>
    </cdr:from>
    <cdr:to>
      <cdr:x>0.558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425</a:t>
          </a:r>
        </a:p>
      </cdr:txBody>
    </cdr:sp>
  </cdr:relSizeAnchor>
  <cdr:relSizeAnchor xmlns:cdr="http://schemas.openxmlformats.org/drawingml/2006/chartDrawing">
    <cdr:from>
      <cdr:x>0.258</cdr:x>
      <cdr:y>0.94968</cdr:y>
    </cdr:from>
    <cdr:to>
      <cdr:x>0.558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513</a:t>
          </a:r>
        </a:p>
      </cdr:txBody>
    </cdr:sp>
  </cdr:relSizeAnchor>
  <cdr:relSizeAnchor xmlns:cdr="http://schemas.openxmlformats.org/drawingml/2006/chartDrawing">
    <cdr:from>
      <cdr:x>0.428</cdr:x>
      <cdr:y>0.34071</cdr:y>
    </cdr:from>
    <cdr:to>
      <cdr:x>0.598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17800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(266)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(45)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437</a:t>
          </a: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(75)</a:t>
          </a: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423</a:t>
          </a: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442</a:t>
          </a: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(49)</a:t>
          </a: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131219" y="25416669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131219" y="30496669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131219" y="35576669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131219" y="40656669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131219" y="45736669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30</xdr:col>
      <xdr:colOff>142875</xdr:colOff>
      <xdr:row>300</xdr:row>
      <xdr:rowOff>0</xdr:rowOff>
    </xdr:from>
    <xdr:to>
      <xdr:col>30</xdr:col>
      <xdr:colOff>428625</xdr:colOff>
      <xdr:row>301</xdr:row>
      <xdr:rowOff>0</xdr:rowOff>
    </xdr:to>
    <xdr:sp macro="" textlink="">
      <xdr:nvSpPr>
        <xdr:cNvPr id="21" name="Elipse 20"/>
        <xdr:cNvSpPr/>
      </xdr:nvSpPr>
      <xdr:spPr>
        <a:xfrm>
          <a:off x="29298900" y="621506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304</xdr:row>
      <xdr:rowOff>0</xdr:rowOff>
    </xdr:from>
    <xdr:to>
      <xdr:col>30</xdr:col>
      <xdr:colOff>428625</xdr:colOff>
      <xdr:row>305</xdr:row>
      <xdr:rowOff>0</xdr:rowOff>
    </xdr:to>
    <xdr:sp macro="" textlink="">
      <xdr:nvSpPr>
        <xdr:cNvPr id="22" name="Elipse 21"/>
        <xdr:cNvSpPr/>
      </xdr:nvSpPr>
      <xdr:spPr>
        <a:xfrm>
          <a:off x="29298900" y="635222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323</xdr:row>
      <xdr:rowOff>0</xdr:rowOff>
    </xdr:from>
    <xdr:to>
      <xdr:col>30</xdr:col>
      <xdr:colOff>428625</xdr:colOff>
      <xdr:row>324</xdr:row>
      <xdr:rowOff>0</xdr:rowOff>
    </xdr:to>
    <xdr:sp macro="" textlink="">
      <xdr:nvSpPr>
        <xdr:cNvPr id="23" name="Elipse 22"/>
        <xdr:cNvSpPr/>
      </xdr:nvSpPr>
      <xdr:spPr>
        <a:xfrm>
          <a:off x="29298900" y="6819900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354</xdr:row>
      <xdr:rowOff>0</xdr:rowOff>
    </xdr:from>
    <xdr:to>
      <xdr:col>30</xdr:col>
      <xdr:colOff>428625</xdr:colOff>
      <xdr:row>355</xdr:row>
      <xdr:rowOff>0</xdr:rowOff>
    </xdr:to>
    <xdr:sp macro="" textlink="">
      <xdr:nvSpPr>
        <xdr:cNvPr id="24" name="Elipse 23"/>
        <xdr:cNvSpPr/>
      </xdr:nvSpPr>
      <xdr:spPr>
        <a:xfrm>
          <a:off x="29298900" y="7683817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374</xdr:row>
      <xdr:rowOff>0</xdr:rowOff>
    </xdr:from>
    <xdr:to>
      <xdr:col>30</xdr:col>
      <xdr:colOff>428625</xdr:colOff>
      <xdr:row>375</xdr:row>
      <xdr:rowOff>0</xdr:rowOff>
    </xdr:to>
    <xdr:sp macro="" textlink="">
      <xdr:nvSpPr>
        <xdr:cNvPr id="25" name="Elipse 24"/>
        <xdr:cNvSpPr/>
      </xdr:nvSpPr>
      <xdr:spPr>
        <a:xfrm>
          <a:off x="29298900" y="81248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376</xdr:row>
      <xdr:rowOff>0</xdr:rowOff>
    </xdr:from>
    <xdr:to>
      <xdr:col>30</xdr:col>
      <xdr:colOff>428625</xdr:colOff>
      <xdr:row>377</xdr:row>
      <xdr:rowOff>0</xdr:rowOff>
    </xdr:to>
    <xdr:sp macro="" textlink="">
      <xdr:nvSpPr>
        <xdr:cNvPr id="26" name="Elipse 25"/>
        <xdr:cNvSpPr/>
      </xdr:nvSpPr>
      <xdr:spPr>
        <a:xfrm>
          <a:off x="29298900" y="81934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379</xdr:row>
      <xdr:rowOff>0</xdr:rowOff>
    </xdr:from>
    <xdr:to>
      <xdr:col>30</xdr:col>
      <xdr:colOff>428625</xdr:colOff>
      <xdr:row>380</xdr:row>
      <xdr:rowOff>0</xdr:rowOff>
    </xdr:to>
    <xdr:sp macro="" textlink="">
      <xdr:nvSpPr>
        <xdr:cNvPr id="27" name="Elipse 26"/>
        <xdr:cNvSpPr/>
      </xdr:nvSpPr>
      <xdr:spPr>
        <a:xfrm>
          <a:off x="29298900" y="829627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380</xdr:row>
      <xdr:rowOff>0</xdr:rowOff>
    </xdr:from>
    <xdr:to>
      <xdr:col>30</xdr:col>
      <xdr:colOff>428625</xdr:colOff>
      <xdr:row>381</xdr:row>
      <xdr:rowOff>0</xdr:rowOff>
    </xdr:to>
    <xdr:sp macro="" textlink="">
      <xdr:nvSpPr>
        <xdr:cNvPr id="28" name="Elipse 27"/>
        <xdr:cNvSpPr/>
      </xdr:nvSpPr>
      <xdr:spPr>
        <a:xfrm>
          <a:off x="29298900" y="833056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63" name="GraficoSintesis1"/>
        <xdr:cNvGrpSpPr/>
      </xdr:nvGrpSpPr>
      <xdr:grpSpPr>
        <a:xfrm>
          <a:off x="1877219" y="87546656"/>
          <a:ext cx="11366500" cy="4954588"/>
          <a:chOff x="1270000" y="87382350"/>
          <a:chExt cx="11366500" cy="5016500"/>
        </a:xfrm>
      </xdr:grpSpPr>
      <xdr:sp macro="" textlink="">
        <xdr:nvSpPr>
          <xdr:cNvPr id="56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55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9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30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31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32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33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34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35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36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37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8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9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40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41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42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43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44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45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46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47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8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9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50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72</a:t>
              </a:r>
            </a:p>
          </xdr:txBody>
        </xdr:sp>
        <xdr:sp macro="" textlink="">
          <xdr:nvSpPr>
            <xdr:cNvPr id="51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73</a:t>
              </a:r>
            </a:p>
          </xdr:txBody>
        </xdr:sp>
        <xdr:sp macro="" textlink="">
          <xdr:nvSpPr>
            <xdr:cNvPr id="52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68</a:t>
              </a:r>
            </a:p>
          </xdr:txBody>
        </xdr:sp>
        <xdr:sp macro="" textlink="">
          <xdr:nvSpPr>
            <xdr:cNvPr id="53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70</a:t>
              </a:r>
            </a:p>
          </xdr:txBody>
        </xdr:sp>
        <xdr:sp macro="" textlink="">
          <xdr:nvSpPr>
            <xdr:cNvPr id="54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74</a:t>
              </a:r>
            </a:p>
          </xdr:txBody>
        </xdr:sp>
      </xdr:grpSp>
      <xdr:cxnSp macro="">
        <xdr:nvCxnSpPr>
          <xdr:cNvPr id="57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63" Type="http://schemas.openxmlformats.org/officeDocument/2006/relationships/ctrlProp" Target="../ctrlProps/ctrlProp6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5" Type="http://schemas.openxmlformats.org/officeDocument/2006/relationships/ctrlProp" Target="../ctrlProps/ctrlProp7.xml"/><Relationship Id="rId61" Type="http://schemas.openxmlformats.org/officeDocument/2006/relationships/ctrlProp" Target="../ctrlProps/ctrlProp63.xml"/><Relationship Id="rId19" Type="http://schemas.openxmlformats.org/officeDocument/2006/relationships/ctrlProp" Target="../ctrlProps/ctrlProp2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64" Type="http://schemas.openxmlformats.org/officeDocument/2006/relationships/ctrlProp" Target="../ctrlProps/ctrlProp66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62" Type="http://schemas.openxmlformats.org/officeDocument/2006/relationships/ctrlProp" Target="../ctrlProps/ctrlProp6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10" Type="http://schemas.openxmlformats.org/officeDocument/2006/relationships/ctrlProp" Target="../ctrlProps/ctrlProp12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65" Type="http://schemas.openxmlformats.org/officeDocument/2006/relationships/ctrlProp" Target="../ctrlProps/ctrlProp6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9" Type="http://schemas.openxmlformats.org/officeDocument/2006/relationships/ctrlProp" Target="../ctrlProps/ctrlProp4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I11" sqref="I11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56" t="s">
        <v>6</v>
      </c>
      <c r="G2" s="156"/>
      <c r="H2" s="156"/>
      <c r="J2" s="156" t="s">
        <v>7</v>
      </c>
      <c r="K2" s="156"/>
      <c r="L2" s="156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372</v>
      </c>
      <c r="J4" s="9" t="s">
        <v>141</v>
      </c>
      <c r="K4" s="27" t="s">
        <v>8</v>
      </c>
      <c r="L4" s="27" t="s">
        <v>372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565</v>
      </c>
      <c r="G6" s="28" t="s">
        <v>8</v>
      </c>
      <c r="H6" s="28" t="s">
        <v>566</v>
      </c>
      <c r="J6" s="5" t="s">
        <v>9</v>
      </c>
      <c r="K6" s="28" t="s">
        <v>8</v>
      </c>
      <c r="L6" s="28" t="s">
        <v>566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L20"/>
  <sheetViews>
    <sheetView topLeftCell="EJ1" zoomScaleNormal="100" workbookViewId="0">
      <selection sqref="A1:B1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73.7109375" customWidth="1"/>
    <col min="4" max="10" width="7.140625" customWidth="1"/>
    <col min="11" max="11" width="0.7109375" customWidth="1"/>
    <col min="12" max="16" width="7.140625" customWidth="1"/>
    <col min="17" max="17" width="0.7109375" customWidth="1"/>
    <col min="18" max="19" width="7.140625" customWidth="1"/>
    <col min="20" max="20" width="0.7109375" customWidth="1"/>
    <col min="21" max="25" width="7.140625" customWidth="1"/>
    <col min="26" max="26" width="0.7109375" customWidth="1"/>
    <col min="27" max="31" width="7.140625" customWidth="1"/>
    <col min="32" max="32" width="0.7109375" customWidth="1"/>
    <col min="33" max="34" width="7.140625" customWidth="1"/>
    <col min="35" max="35" width="0.7109375" customWidth="1"/>
    <col min="36" max="39" width="7.140625" customWidth="1"/>
    <col min="40" max="40" width="0.7109375" customWidth="1"/>
    <col min="41" max="52" width="7.140625" customWidth="1"/>
    <col min="53" max="53" width="0.7109375" customWidth="1"/>
    <col min="54" max="74" width="7.140625" customWidth="1"/>
    <col min="75" max="75" width="0.7109375" customWidth="1"/>
    <col min="76" max="148" width="7.140625" customWidth="1"/>
    <col min="149" max="149" width="0.7109375" customWidth="1"/>
    <col min="150" max="151" width="7.140625" customWidth="1"/>
    <col min="152" max="152" width="0.7109375" customWidth="1"/>
    <col min="153" max="157" width="7.140625" customWidth="1"/>
    <col min="158" max="158" width="0.7109375" customWidth="1"/>
    <col min="159" max="160" width="7.140625" customWidth="1"/>
    <col min="161" max="161" width="0.7109375" customWidth="1"/>
    <col min="162" max="163" width="7.140625" customWidth="1"/>
    <col min="164" max="164" width="0.7109375" customWidth="1"/>
    <col min="165" max="168" width="7.140625" customWidth="1"/>
  </cols>
  <sheetData>
    <row r="1" spans="1:168" ht="22.5" customHeight="1" x14ac:dyDescent="0.25">
      <c r="A1" s="162" t="s">
        <v>373</v>
      </c>
      <c r="B1" s="162"/>
      <c r="C1" s="32"/>
      <c r="D1" s="157" t="s">
        <v>142</v>
      </c>
      <c r="E1" s="158"/>
      <c r="F1" s="158"/>
      <c r="G1" s="158"/>
      <c r="H1" s="158"/>
      <c r="I1" s="158"/>
      <c r="J1" s="159"/>
      <c r="K1" s="100"/>
      <c r="L1" s="157" t="s">
        <v>374</v>
      </c>
      <c r="M1" s="158"/>
      <c r="N1" s="158"/>
      <c r="O1" s="158"/>
      <c r="P1" s="159"/>
      <c r="Q1" s="100"/>
      <c r="R1" s="157" t="s">
        <v>28</v>
      </c>
      <c r="S1" s="159"/>
      <c r="T1" s="100"/>
      <c r="U1" s="157" t="s">
        <v>27</v>
      </c>
      <c r="V1" s="158"/>
      <c r="W1" s="158"/>
      <c r="X1" s="158"/>
      <c r="Y1" s="159"/>
      <c r="Z1" s="100"/>
      <c r="AA1" s="157" t="s">
        <v>375</v>
      </c>
      <c r="AB1" s="158"/>
      <c r="AC1" s="158"/>
      <c r="AD1" s="158"/>
      <c r="AE1" s="159"/>
      <c r="AF1" s="100"/>
      <c r="AG1" s="157" t="s">
        <v>376</v>
      </c>
      <c r="AH1" s="159"/>
      <c r="AI1" s="100"/>
      <c r="AJ1" s="157" t="s">
        <v>377</v>
      </c>
      <c r="AK1" s="158"/>
      <c r="AL1" s="158"/>
      <c r="AM1" s="159"/>
      <c r="AN1" s="100"/>
      <c r="AO1" s="157" t="s">
        <v>378</v>
      </c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9"/>
      <c r="BA1" s="100"/>
      <c r="BB1" s="157" t="s">
        <v>379</v>
      </c>
      <c r="BC1" s="158"/>
      <c r="BD1" s="158"/>
      <c r="BE1" s="158"/>
      <c r="BF1" s="158"/>
      <c r="BG1" s="158"/>
      <c r="BH1" s="158"/>
      <c r="BI1" s="158"/>
      <c r="BJ1" s="158"/>
      <c r="BK1" s="158"/>
      <c r="BL1" s="158"/>
      <c r="BM1" s="158"/>
      <c r="BN1" s="158"/>
      <c r="BO1" s="158"/>
      <c r="BP1" s="158"/>
      <c r="BQ1" s="158"/>
      <c r="BR1" s="158"/>
      <c r="BS1" s="158"/>
      <c r="BT1" s="158"/>
      <c r="BU1" s="158"/>
      <c r="BV1" s="159"/>
      <c r="BW1" s="100"/>
      <c r="BX1" s="157" t="s">
        <v>380</v>
      </c>
      <c r="BY1" s="158"/>
      <c r="BZ1" s="158"/>
      <c r="CA1" s="158"/>
      <c r="CB1" s="158"/>
      <c r="CC1" s="158"/>
      <c r="CD1" s="158"/>
      <c r="CE1" s="158"/>
      <c r="CF1" s="158"/>
      <c r="CG1" s="158"/>
      <c r="CH1" s="158"/>
      <c r="CI1" s="158"/>
      <c r="CJ1" s="158"/>
      <c r="CK1" s="158"/>
      <c r="CL1" s="158"/>
      <c r="CM1" s="158"/>
      <c r="CN1" s="158"/>
      <c r="CO1" s="158"/>
      <c r="CP1" s="158"/>
      <c r="CQ1" s="158"/>
      <c r="CR1" s="158"/>
      <c r="CS1" s="158"/>
      <c r="CT1" s="158"/>
      <c r="CU1" s="158"/>
      <c r="CV1" s="158"/>
      <c r="CW1" s="158"/>
      <c r="CX1" s="158"/>
      <c r="CY1" s="158"/>
      <c r="CZ1" s="158"/>
      <c r="DA1" s="158"/>
      <c r="DB1" s="158"/>
      <c r="DC1" s="158"/>
      <c r="DD1" s="158"/>
      <c r="DE1" s="158"/>
      <c r="DF1" s="158"/>
      <c r="DG1" s="158"/>
      <c r="DH1" s="158"/>
      <c r="DI1" s="158"/>
      <c r="DJ1" s="158"/>
      <c r="DK1" s="158"/>
      <c r="DL1" s="158"/>
      <c r="DM1" s="158"/>
      <c r="DN1" s="158"/>
      <c r="DO1" s="158"/>
      <c r="DP1" s="158"/>
      <c r="DQ1" s="158"/>
      <c r="DR1" s="158"/>
      <c r="DS1" s="158"/>
      <c r="DT1" s="158"/>
      <c r="DU1" s="158"/>
      <c r="DV1" s="158"/>
      <c r="DW1" s="158"/>
      <c r="DX1" s="158"/>
      <c r="DY1" s="158"/>
      <c r="DZ1" s="158"/>
      <c r="EA1" s="158"/>
      <c r="EB1" s="158"/>
      <c r="EC1" s="158"/>
      <c r="ED1" s="158"/>
      <c r="EE1" s="158"/>
      <c r="EF1" s="158"/>
      <c r="EG1" s="158"/>
      <c r="EH1" s="158"/>
      <c r="EI1" s="158"/>
      <c r="EJ1" s="158"/>
      <c r="EK1" s="158"/>
      <c r="EL1" s="158"/>
      <c r="EM1" s="158"/>
      <c r="EN1" s="158"/>
      <c r="EO1" s="158"/>
      <c r="EP1" s="158"/>
      <c r="EQ1" s="158"/>
      <c r="ER1" s="159"/>
      <c r="ES1" s="100"/>
      <c r="ET1" s="157" t="s">
        <v>381</v>
      </c>
      <c r="EU1" s="159"/>
      <c r="EV1" s="100"/>
      <c r="EW1" s="157" t="s">
        <v>96</v>
      </c>
      <c r="EX1" s="158"/>
      <c r="EY1" s="158"/>
      <c r="EZ1" s="158"/>
      <c r="FA1" s="159"/>
      <c r="FB1" s="100"/>
      <c r="FC1" s="157" t="s">
        <v>382</v>
      </c>
      <c r="FD1" s="159"/>
      <c r="FE1" s="100"/>
      <c r="FF1" s="157" t="s">
        <v>383</v>
      </c>
      <c r="FG1" s="159"/>
      <c r="FH1" s="100"/>
      <c r="FI1" s="157" t="s">
        <v>384</v>
      </c>
      <c r="FJ1" s="158"/>
      <c r="FK1" s="158"/>
      <c r="FL1" s="159"/>
    </row>
    <row r="2" spans="1:168" ht="112.5" customHeight="1" x14ac:dyDescent="0.25">
      <c r="A2" s="160" t="s">
        <v>385</v>
      </c>
      <c r="B2" s="160"/>
      <c r="C2" s="161"/>
      <c r="D2" s="33">
        <v>2017</v>
      </c>
      <c r="E2" s="33">
        <v>2016</v>
      </c>
      <c r="F2" s="33" t="s">
        <v>237</v>
      </c>
      <c r="G2" s="33" t="s">
        <v>386</v>
      </c>
      <c r="H2" s="33" t="s">
        <v>387</v>
      </c>
      <c r="I2" s="33" t="s">
        <v>388</v>
      </c>
      <c r="J2" s="33" t="s">
        <v>389</v>
      </c>
      <c r="K2" s="100"/>
      <c r="L2" s="33" t="s">
        <v>390</v>
      </c>
      <c r="M2" s="33" t="s">
        <v>391</v>
      </c>
      <c r="N2" s="33" t="s">
        <v>392</v>
      </c>
      <c r="O2" s="33" t="s">
        <v>393</v>
      </c>
      <c r="P2" s="33" t="s">
        <v>394</v>
      </c>
      <c r="Q2" s="100"/>
      <c r="R2" s="33" t="s">
        <v>215</v>
      </c>
      <c r="S2" s="33" t="s">
        <v>216</v>
      </c>
      <c r="T2" s="100"/>
      <c r="U2" s="33" t="s">
        <v>210</v>
      </c>
      <c r="V2" s="33" t="s">
        <v>211</v>
      </c>
      <c r="W2" s="33" t="s">
        <v>212</v>
      </c>
      <c r="X2" s="33" t="s">
        <v>213</v>
      </c>
      <c r="Y2" s="33" t="s">
        <v>214</v>
      </c>
      <c r="Z2" s="100"/>
      <c r="AA2" s="33" t="s">
        <v>395</v>
      </c>
      <c r="AB2" s="33" t="s">
        <v>396</v>
      </c>
      <c r="AC2" s="33" t="s">
        <v>397</v>
      </c>
      <c r="AD2" s="33" t="s">
        <v>398</v>
      </c>
      <c r="AE2" s="33" t="s">
        <v>399</v>
      </c>
      <c r="AF2" s="100"/>
      <c r="AG2" s="33" t="s">
        <v>400</v>
      </c>
      <c r="AH2" s="33" t="s">
        <v>401</v>
      </c>
      <c r="AI2" s="100"/>
      <c r="AJ2" s="33" t="s">
        <v>217</v>
      </c>
      <c r="AK2" s="33" t="s">
        <v>218</v>
      </c>
      <c r="AL2" s="33" t="s">
        <v>219</v>
      </c>
      <c r="AM2" s="33" t="s">
        <v>220</v>
      </c>
      <c r="AN2" s="100"/>
      <c r="AO2" s="33" t="s">
        <v>402</v>
      </c>
      <c r="AP2" s="33" t="s">
        <v>403</v>
      </c>
      <c r="AQ2" s="33" t="s">
        <v>404</v>
      </c>
      <c r="AR2" s="33" t="s">
        <v>405</v>
      </c>
      <c r="AS2" s="33" t="s">
        <v>406</v>
      </c>
      <c r="AT2" s="33" t="s">
        <v>407</v>
      </c>
      <c r="AU2" s="33" t="s">
        <v>408</v>
      </c>
      <c r="AV2" s="33" t="s">
        <v>409</v>
      </c>
      <c r="AW2" s="33" t="s">
        <v>410</v>
      </c>
      <c r="AX2" s="33" t="s">
        <v>411</v>
      </c>
      <c r="AY2" s="33" t="s">
        <v>412</v>
      </c>
      <c r="AZ2" s="33" t="s">
        <v>413</v>
      </c>
      <c r="BA2" s="100"/>
      <c r="BB2" s="33" t="s">
        <v>414</v>
      </c>
      <c r="BC2" s="33" t="s">
        <v>415</v>
      </c>
      <c r="BD2" s="33" t="s">
        <v>416</v>
      </c>
      <c r="BE2" s="33" t="s">
        <v>417</v>
      </c>
      <c r="BF2" s="33" t="s">
        <v>418</v>
      </c>
      <c r="BG2" s="33" t="s">
        <v>419</v>
      </c>
      <c r="BH2" s="33" t="s">
        <v>420</v>
      </c>
      <c r="BI2" s="33" t="s">
        <v>421</v>
      </c>
      <c r="BJ2" s="33" t="s">
        <v>422</v>
      </c>
      <c r="BK2" s="33" t="s">
        <v>423</v>
      </c>
      <c r="BL2" s="33" t="s">
        <v>424</v>
      </c>
      <c r="BM2" s="33" t="s">
        <v>425</v>
      </c>
      <c r="BN2" s="33" t="s">
        <v>426</v>
      </c>
      <c r="BO2" s="33" t="s">
        <v>427</v>
      </c>
      <c r="BP2" s="33" t="s">
        <v>428</v>
      </c>
      <c r="BQ2" s="33" t="s">
        <v>429</v>
      </c>
      <c r="BR2" s="33" t="s">
        <v>430</v>
      </c>
      <c r="BS2" s="33" t="s">
        <v>431</v>
      </c>
      <c r="BT2" s="33" t="s">
        <v>432</v>
      </c>
      <c r="BU2" s="33" t="s">
        <v>433</v>
      </c>
      <c r="BV2" s="33" t="s">
        <v>434</v>
      </c>
      <c r="BW2" s="100"/>
      <c r="BX2" s="33" t="s">
        <v>435</v>
      </c>
      <c r="BY2" s="33" t="s">
        <v>436</v>
      </c>
      <c r="BZ2" s="33" t="s">
        <v>437</v>
      </c>
      <c r="CA2" s="33" t="s">
        <v>438</v>
      </c>
      <c r="CB2" s="33" t="s">
        <v>439</v>
      </c>
      <c r="CC2" s="33" t="s">
        <v>440</v>
      </c>
      <c r="CD2" s="33" t="s">
        <v>441</v>
      </c>
      <c r="CE2" s="33" t="s">
        <v>442</v>
      </c>
      <c r="CF2" s="33" t="s">
        <v>443</v>
      </c>
      <c r="CG2" s="33" t="s">
        <v>444</v>
      </c>
      <c r="CH2" s="33" t="s">
        <v>445</v>
      </c>
      <c r="CI2" s="33" t="s">
        <v>446</v>
      </c>
      <c r="CJ2" s="33" t="s">
        <v>447</v>
      </c>
      <c r="CK2" s="33" t="s">
        <v>448</v>
      </c>
      <c r="CL2" s="33" t="s">
        <v>449</v>
      </c>
      <c r="CM2" s="33" t="s">
        <v>450</v>
      </c>
      <c r="CN2" s="33" t="s">
        <v>451</v>
      </c>
      <c r="CO2" s="33" t="s">
        <v>452</v>
      </c>
      <c r="CP2" s="33" t="s">
        <v>453</v>
      </c>
      <c r="CQ2" s="33" t="s">
        <v>454</v>
      </c>
      <c r="CR2" s="33" t="s">
        <v>455</v>
      </c>
      <c r="CS2" s="33" t="s">
        <v>456</v>
      </c>
      <c r="CT2" s="33" t="s">
        <v>457</v>
      </c>
      <c r="CU2" s="33" t="s">
        <v>458</v>
      </c>
      <c r="CV2" s="33" t="s">
        <v>459</v>
      </c>
      <c r="CW2" s="33" t="s">
        <v>460</v>
      </c>
      <c r="CX2" s="33" t="s">
        <v>461</v>
      </c>
      <c r="CY2" s="33" t="s">
        <v>462</v>
      </c>
      <c r="CZ2" s="33" t="s">
        <v>463</v>
      </c>
      <c r="DA2" s="33" t="s">
        <v>464</v>
      </c>
      <c r="DB2" s="33" t="s">
        <v>465</v>
      </c>
      <c r="DC2" s="33" t="s">
        <v>466</v>
      </c>
      <c r="DD2" s="33" t="s">
        <v>467</v>
      </c>
      <c r="DE2" s="33" t="s">
        <v>468</v>
      </c>
      <c r="DF2" s="33" t="s">
        <v>469</v>
      </c>
      <c r="DG2" s="33" t="s">
        <v>470</v>
      </c>
      <c r="DH2" s="33" t="s">
        <v>471</v>
      </c>
      <c r="DI2" s="33" t="s">
        <v>472</v>
      </c>
      <c r="DJ2" s="33" t="s">
        <v>473</v>
      </c>
      <c r="DK2" s="33" t="s">
        <v>474</v>
      </c>
      <c r="DL2" s="33" t="s">
        <v>475</v>
      </c>
      <c r="DM2" s="33" t="s">
        <v>476</v>
      </c>
      <c r="DN2" s="33" t="s">
        <v>477</v>
      </c>
      <c r="DO2" s="33" t="s">
        <v>478</v>
      </c>
      <c r="DP2" s="33" t="s">
        <v>479</v>
      </c>
      <c r="DQ2" s="33" t="s">
        <v>480</v>
      </c>
      <c r="DR2" s="33" t="s">
        <v>481</v>
      </c>
      <c r="DS2" s="33" t="s">
        <v>482</v>
      </c>
      <c r="DT2" s="33" t="s">
        <v>483</v>
      </c>
      <c r="DU2" s="33" t="s">
        <v>484</v>
      </c>
      <c r="DV2" s="33" t="s">
        <v>485</v>
      </c>
      <c r="DW2" s="33" t="s">
        <v>486</v>
      </c>
      <c r="DX2" s="33" t="s">
        <v>487</v>
      </c>
      <c r="DY2" s="33" t="s">
        <v>488</v>
      </c>
      <c r="DZ2" s="33" t="s">
        <v>489</v>
      </c>
      <c r="EA2" s="33" t="s">
        <v>490</v>
      </c>
      <c r="EB2" s="33" t="s">
        <v>491</v>
      </c>
      <c r="EC2" s="33" t="s">
        <v>492</v>
      </c>
      <c r="ED2" s="33" t="s">
        <v>493</v>
      </c>
      <c r="EE2" s="33" t="s">
        <v>494</v>
      </c>
      <c r="EF2" s="33" t="s">
        <v>495</v>
      </c>
      <c r="EG2" s="33" t="s">
        <v>496</v>
      </c>
      <c r="EH2" s="33" t="s">
        <v>497</v>
      </c>
      <c r="EI2" s="33" t="s">
        <v>498</v>
      </c>
      <c r="EJ2" s="33" t="s">
        <v>499</v>
      </c>
      <c r="EK2" s="33" t="s">
        <v>500</v>
      </c>
      <c r="EL2" s="33" t="s">
        <v>501</v>
      </c>
      <c r="EM2" s="33" t="s">
        <v>502</v>
      </c>
      <c r="EN2" s="33" t="s">
        <v>503</v>
      </c>
      <c r="EO2" s="33" t="s">
        <v>504</v>
      </c>
      <c r="EP2" s="33" t="s">
        <v>505</v>
      </c>
      <c r="EQ2" s="33" t="s">
        <v>506</v>
      </c>
      <c r="ER2" s="33" t="s">
        <v>507</v>
      </c>
      <c r="ES2" s="100"/>
      <c r="ET2" s="33" t="s">
        <v>508</v>
      </c>
      <c r="EU2" s="33" t="s">
        <v>509</v>
      </c>
      <c r="EV2" s="100"/>
      <c r="EW2" s="33" t="s">
        <v>221</v>
      </c>
      <c r="EX2" s="33" t="s">
        <v>222</v>
      </c>
      <c r="EY2" s="33" t="s">
        <v>223</v>
      </c>
      <c r="EZ2" s="33" t="s">
        <v>224</v>
      </c>
      <c r="FA2" s="33" t="s">
        <v>225</v>
      </c>
      <c r="FB2" s="100"/>
      <c r="FC2" s="33" t="s">
        <v>510</v>
      </c>
      <c r="FD2" s="33" t="s">
        <v>511</v>
      </c>
      <c r="FE2" s="100"/>
      <c r="FF2" s="33" t="s">
        <v>510</v>
      </c>
      <c r="FG2" s="33" t="s">
        <v>511</v>
      </c>
      <c r="FH2" s="100"/>
      <c r="FI2" s="33" t="s">
        <v>512</v>
      </c>
      <c r="FJ2" s="33" t="s">
        <v>513</v>
      </c>
      <c r="FK2" s="33" t="s">
        <v>514</v>
      </c>
      <c r="FL2" s="33" t="s">
        <v>515</v>
      </c>
    </row>
    <row r="3" spans="1:168" ht="15" customHeight="1" x14ac:dyDescent="0.25">
      <c r="A3" s="34"/>
      <c r="B3" s="34"/>
      <c r="C3" s="35" t="s">
        <v>143</v>
      </c>
      <c r="D3" s="36">
        <v>480</v>
      </c>
      <c r="E3" s="36">
        <v>546</v>
      </c>
      <c r="F3" s="36"/>
      <c r="G3" s="36"/>
      <c r="H3" s="36"/>
      <c r="I3" s="36"/>
      <c r="J3" s="36"/>
      <c r="K3" s="100"/>
      <c r="L3" s="36">
        <v>5</v>
      </c>
      <c r="M3" s="36">
        <v>26</v>
      </c>
      <c r="N3" s="36">
        <v>67</v>
      </c>
      <c r="O3" s="36">
        <v>381</v>
      </c>
      <c r="P3" s="36">
        <v>1</v>
      </c>
      <c r="Q3" s="100"/>
      <c r="R3" s="36">
        <v>318</v>
      </c>
      <c r="S3" s="36">
        <v>162</v>
      </c>
      <c r="T3" s="100"/>
      <c r="U3" s="36">
        <v>16</v>
      </c>
      <c r="V3" s="36">
        <v>144</v>
      </c>
      <c r="W3" s="36">
        <v>177</v>
      </c>
      <c r="X3" s="36">
        <v>123</v>
      </c>
      <c r="Y3" s="36">
        <v>20</v>
      </c>
      <c r="Z3" s="100"/>
      <c r="AA3" s="36">
        <v>72</v>
      </c>
      <c r="AB3" s="36">
        <v>125</v>
      </c>
      <c r="AC3" s="36">
        <v>122</v>
      </c>
      <c r="AD3" s="36">
        <v>59</v>
      </c>
      <c r="AE3" s="36">
        <v>102</v>
      </c>
      <c r="AF3" s="100"/>
      <c r="AG3" s="36">
        <v>479</v>
      </c>
      <c r="AH3" s="36">
        <v>1</v>
      </c>
      <c r="AI3" s="100"/>
      <c r="AJ3" s="36">
        <v>165</v>
      </c>
      <c r="AK3" s="36">
        <v>81</v>
      </c>
      <c r="AL3" s="36">
        <v>116</v>
      </c>
      <c r="AM3" s="36">
        <v>92</v>
      </c>
      <c r="AN3" s="100"/>
      <c r="AO3" s="36">
        <v>480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100"/>
      <c r="BB3" s="36">
        <v>5</v>
      </c>
      <c r="BC3" s="36">
        <v>3</v>
      </c>
      <c r="BD3" s="36">
        <v>48</v>
      </c>
      <c r="BE3" s="36">
        <v>2</v>
      </c>
      <c r="BF3" s="36">
        <v>3</v>
      </c>
      <c r="BG3" s="36">
        <v>33</v>
      </c>
      <c r="BH3" s="36">
        <v>1</v>
      </c>
      <c r="BI3" s="36">
        <v>28</v>
      </c>
      <c r="BJ3" s="36">
        <v>159</v>
      </c>
      <c r="BK3" s="36">
        <v>38</v>
      </c>
      <c r="BL3" s="36">
        <v>3</v>
      </c>
      <c r="BM3" s="36">
        <v>2</v>
      </c>
      <c r="BN3" s="36">
        <v>4</v>
      </c>
      <c r="BO3" s="36">
        <v>15</v>
      </c>
      <c r="BP3" s="36">
        <v>5</v>
      </c>
      <c r="BQ3" s="36">
        <v>2</v>
      </c>
      <c r="BR3" s="36">
        <v>73</v>
      </c>
      <c r="BS3" s="36">
        <v>3</v>
      </c>
      <c r="BT3" s="36">
        <v>10</v>
      </c>
      <c r="BU3" s="36">
        <v>4</v>
      </c>
      <c r="BV3" s="36">
        <v>39</v>
      </c>
      <c r="BW3" s="100"/>
      <c r="BX3" s="36">
        <v>0</v>
      </c>
      <c r="BY3" s="36">
        <v>0</v>
      </c>
      <c r="BZ3" s="36">
        <v>5</v>
      </c>
      <c r="CA3" s="36">
        <v>2</v>
      </c>
      <c r="CB3" s="36">
        <v>1</v>
      </c>
      <c r="CC3" s="36">
        <v>0</v>
      </c>
      <c r="CD3" s="36">
        <v>0</v>
      </c>
      <c r="CE3" s="36">
        <v>0</v>
      </c>
      <c r="CF3" s="36">
        <v>0</v>
      </c>
      <c r="CG3" s="36">
        <v>0</v>
      </c>
      <c r="CH3" s="36">
        <v>0</v>
      </c>
      <c r="CI3" s="36">
        <v>0</v>
      </c>
      <c r="CJ3" s="36">
        <v>0</v>
      </c>
      <c r="CK3" s="36">
        <v>6</v>
      </c>
      <c r="CL3" s="36">
        <v>0</v>
      </c>
      <c r="CM3" s="36">
        <v>5</v>
      </c>
      <c r="CN3" s="36">
        <v>0</v>
      </c>
      <c r="CO3" s="36">
        <v>7</v>
      </c>
      <c r="CP3" s="36">
        <v>2</v>
      </c>
      <c r="CQ3" s="36">
        <v>2</v>
      </c>
      <c r="CR3" s="36">
        <v>29</v>
      </c>
      <c r="CS3" s="36">
        <v>0</v>
      </c>
      <c r="CT3" s="36">
        <v>15</v>
      </c>
      <c r="CU3" s="36">
        <v>1</v>
      </c>
      <c r="CV3" s="36">
        <v>1</v>
      </c>
      <c r="CW3" s="36">
        <v>0</v>
      </c>
      <c r="CX3" s="36">
        <v>0</v>
      </c>
      <c r="CY3" s="36">
        <v>0</v>
      </c>
      <c r="CZ3" s="36">
        <v>0</v>
      </c>
      <c r="DA3" s="36">
        <v>2</v>
      </c>
      <c r="DB3" s="36">
        <v>0</v>
      </c>
      <c r="DC3" s="36">
        <v>1</v>
      </c>
      <c r="DD3" s="36">
        <v>29</v>
      </c>
      <c r="DE3" s="36">
        <v>4</v>
      </c>
      <c r="DF3" s="36">
        <v>9</v>
      </c>
      <c r="DG3" s="36">
        <v>61</v>
      </c>
      <c r="DH3" s="36">
        <v>6</v>
      </c>
      <c r="DI3" s="36">
        <v>11</v>
      </c>
      <c r="DJ3" s="36">
        <v>3</v>
      </c>
      <c r="DK3" s="36">
        <v>4</v>
      </c>
      <c r="DL3" s="36">
        <v>12</v>
      </c>
      <c r="DM3" s="36">
        <v>7</v>
      </c>
      <c r="DN3" s="36">
        <v>1</v>
      </c>
      <c r="DO3" s="36">
        <v>3</v>
      </c>
      <c r="DP3" s="36">
        <v>2</v>
      </c>
      <c r="DQ3" s="36">
        <v>4</v>
      </c>
      <c r="DR3" s="36">
        <v>15</v>
      </c>
      <c r="DS3" s="36">
        <v>0</v>
      </c>
      <c r="DT3" s="36">
        <v>5</v>
      </c>
      <c r="DU3" s="36">
        <v>2</v>
      </c>
      <c r="DV3" s="36">
        <v>4</v>
      </c>
      <c r="DW3" s="36">
        <v>5</v>
      </c>
      <c r="DX3" s="36">
        <v>11</v>
      </c>
      <c r="DY3" s="36">
        <v>2</v>
      </c>
      <c r="DZ3" s="36">
        <v>7</v>
      </c>
      <c r="EA3" s="36">
        <v>13</v>
      </c>
      <c r="EB3" s="36">
        <v>10</v>
      </c>
      <c r="EC3" s="36">
        <v>6</v>
      </c>
      <c r="ED3" s="36">
        <v>4</v>
      </c>
      <c r="EE3" s="36">
        <v>21</v>
      </c>
      <c r="EF3" s="36">
        <v>3</v>
      </c>
      <c r="EG3" s="36">
        <v>6</v>
      </c>
      <c r="EH3" s="36">
        <v>3</v>
      </c>
      <c r="EI3" s="36">
        <v>1</v>
      </c>
      <c r="EJ3" s="36">
        <v>1</v>
      </c>
      <c r="EK3" s="36">
        <v>3</v>
      </c>
      <c r="EL3" s="36">
        <v>15</v>
      </c>
      <c r="EM3" s="36">
        <v>24</v>
      </c>
      <c r="EN3" s="36">
        <v>1</v>
      </c>
      <c r="EO3" s="36">
        <v>0</v>
      </c>
      <c r="EP3" s="36">
        <v>0</v>
      </c>
      <c r="EQ3" s="36">
        <v>83</v>
      </c>
      <c r="ER3" s="36">
        <v>0</v>
      </c>
      <c r="ES3" s="100"/>
      <c r="ET3" s="36">
        <v>95</v>
      </c>
      <c r="EU3" s="36">
        <v>385</v>
      </c>
      <c r="EV3" s="100"/>
      <c r="EW3" s="36">
        <v>108</v>
      </c>
      <c r="EX3" s="36">
        <v>30</v>
      </c>
      <c r="EY3" s="36">
        <v>7</v>
      </c>
      <c r="EZ3" s="36">
        <v>235</v>
      </c>
      <c r="FA3" s="36">
        <v>45</v>
      </c>
      <c r="FB3" s="100"/>
      <c r="FC3" s="36">
        <v>362</v>
      </c>
      <c r="FD3" s="36">
        <v>75</v>
      </c>
      <c r="FE3" s="100"/>
      <c r="FF3" s="36">
        <v>284</v>
      </c>
      <c r="FG3" s="36">
        <v>139</v>
      </c>
      <c r="FH3" s="100"/>
      <c r="FI3" s="36">
        <v>141</v>
      </c>
      <c r="FJ3" s="36">
        <v>91</v>
      </c>
      <c r="FK3" s="36">
        <v>161</v>
      </c>
      <c r="FL3" s="36">
        <v>49</v>
      </c>
    </row>
    <row r="4" spans="1:168" ht="15" customHeight="1" x14ac:dyDescent="0.25">
      <c r="A4" s="101"/>
      <c r="B4" s="101"/>
      <c r="C4" s="102" t="s">
        <v>163</v>
      </c>
      <c r="D4" s="103"/>
      <c r="E4" s="103"/>
      <c r="F4" s="103"/>
      <c r="G4" s="103"/>
      <c r="H4" s="103"/>
      <c r="I4" s="103"/>
      <c r="J4" s="103"/>
      <c r="K4" s="100"/>
      <c r="L4" s="103"/>
      <c r="M4" s="103"/>
      <c r="N4" s="103"/>
      <c r="O4" s="103"/>
      <c r="P4" s="103"/>
      <c r="Q4" s="100"/>
      <c r="R4" s="103"/>
      <c r="S4" s="103"/>
      <c r="T4" s="100"/>
      <c r="U4" s="103"/>
      <c r="V4" s="103"/>
      <c r="W4" s="103"/>
      <c r="X4" s="103"/>
      <c r="Y4" s="103"/>
      <c r="Z4" s="100"/>
      <c r="AA4" s="103"/>
      <c r="AB4" s="103"/>
      <c r="AC4" s="103"/>
      <c r="AD4" s="103"/>
      <c r="AE4" s="103"/>
      <c r="AF4" s="100"/>
      <c r="AG4" s="103"/>
      <c r="AH4" s="103"/>
      <c r="AI4" s="100"/>
      <c r="AJ4" s="103"/>
      <c r="AK4" s="103"/>
      <c r="AL4" s="103"/>
      <c r="AM4" s="103"/>
      <c r="AN4" s="100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0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  <c r="BM4" s="103"/>
      <c r="BN4" s="103"/>
      <c r="BO4" s="103"/>
      <c r="BP4" s="103"/>
      <c r="BQ4" s="103"/>
      <c r="BR4" s="103"/>
      <c r="BS4" s="103"/>
      <c r="BT4" s="103"/>
      <c r="BU4" s="103"/>
      <c r="BV4" s="103"/>
      <c r="BW4" s="100"/>
      <c r="BX4" s="103"/>
      <c r="BY4" s="103"/>
      <c r="BZ4" s="103"/>
      <c r="CA4" s="103"/>
      <c r="CB4" s="103"/>
      <c r="CC4" s="103"/>
      <c r="CD4" s="103"/>
      <c r="CE4" s="103"/>
      <c r="CF4" s="103"/>
      <c r="CG4" s="103"/>
      <c r="CH4" s="103"/>
      <c r="CI4" s="103"/>
      <c r="CJ4" s="103"/>
      <c r="CK4" s="103"/>
      <c r="CL4" s="103"/>
      <c r="CM4" s="103"/>
      <c r="CN4" s="103"/>
      <c r="CO4" s="103"/>
      <c r="CP4" s="103"/>
      <c r="CQ4" s="103"/>
      <c r="CR4" s="103"/>
      <c r="CS4" s="103"/>
      <c r="CT4" s="103"/>
      <c r="CU4" s="103"/>
      <c r="CV4" s="103"/>
      <c r="CW4" s="103"/>
      <c r="CX4" s="103"/>
      <c r="CY4" s="103"/>
      <c r="CZ4" s="103"/>
      <c r="DA4" s="103"/>
      <c r="DB4" s="103"/>
      <c r="DC4" s="103"/>
      <c r="DD4" s="103"/>
      <c r="DE4" s="103"/>
      <c r="DF4" s="103"/>
      <c r="DG4" s="103"/>
      <c r="DH4" s="103"/>
      <c r="DI4" s="103"/>
      <c r="DJ4" s="103"/>
      <c r="DK4" s="103"/>
      <c r="DL4" s="103"/>
      <c r="DM4" s="103"/>
      <c r="DN4" s="103"/>
      <c r="DO4" s="103"/>
      <c r="DP4" s="103"/>
      <c r="DQ4" s="103"/>
      <c r="DR4" s="103"/>
      <c r="DS4" s="103"/>
      <c r="DT4" s="103"/>
      <c r="DU4" s="103"/>
      <c r="DV4" s="103"/>
      <c r="DW4" s="103"/>
      <c r="DX4" s="103"/>
      <c r="DY4" s="103"/>
      <c r="DZ4" s="103"/>
      <c r="EA4" s="103"/>
      <c r="EB4" s="103"/>
      <c r="EC4" s="103"/>
      <c r="ED4" s="103"/>
      <c r="EE4" s="103"/>
      <c r="EF4" s="103"/>
      <c r="EG4" s="103"/>
      <c r="EH4" s="103"/>
      <c r="EI4" s="103"/>
      <c r="EJ4" s="103"/>
      <c r="EK4" s="103"/>
      <c r="EL4" s="103"/>
      <c r="EM4" s="103"/>
      <c r="EN4" s="103"/>
      <c r="EO4" s="103"/>
      <c r="EP4" s="103"/>
      <c r="EQ4" s="103"/>
      <c r="ER4" s="103"/>
      <c r="ES4" s="100"/>
      <c r="ET4" s="103"/>
      <c r="EU4" s="103"/>
      <c r="EV4" s="100"/>
      <c r="EW4" s="103"/>
      <c r="EX4" s="103"/>
      <c r="EY4" s="103"/>
      <c r="EZ4" s="103"/>
      <c r="FA4" s="103"/>
      <c r="FB4" s="100"/>
      <c r="FC4" s="103"/>
      <c r="FD4" s="103"/>
      <c r="FE4" s="100"/>
      <c r="FF4" s="103"/>
      <c r="FG4" s="103"/>
      <c r="FH4" s="100"/>
      <c r="FI4" s="103"/>
      <c r="FJ4" s="103"/>
      <c r="FK4" s="103"/>
      <c r="FL4" s="103"/>
    </row>
    <row r="5" spans="1:168" ht="15" customHeight="1" x14ac:dyDescent="0.25">
      <c r="A5" s="104"/>
      <c r="B5" s="104"/>
      <c r="C5" s="105" t="s">
        <v>164</v>
      </c>
      <c r="D5" s="106">
        <v>546</v>
      </c>
      <c r="E5" s="106"/>
      <c r="F5" s="106"/>
      <c r="G5" s="106"/>
      <c r="H5" s="106"/>
      <c r="I5" s="106"/>
      <c r="J5" s="106"/>
      <c r="K5" s="100"/>
      <c r="L5" s="106">
        <v>5</v>
      </c>
      <c r="M5" s="106">
        <v>34</v>
      </c>
      <c r="N5" s="106">
        <v>79</v>
      </c>
      <c r="O5" s="106">
        <v>409</v>
      </c>
      <c r="P5" s="106">
        <v>19</v>
      </c>
      <c r="Q5" s="100"/>
      <c r="R5" s="106">
        <v>346</v>
      </c>
      <c r="S5" s="106">
        <v>200</v>
      </c>
      <c r="T5" s="100"/>
      <c r="U5" s="106">
        <v>25</v>
      </c>
      <c r="V5" s="106">
        <v>163</v>
      </c>
      <c r="W5" s="106">
        <v>209</v>
      </c>
      <c r="X5" s="106">
        <v>128</v>
      </c>
      <c r="Y5" s="106">
        <v>21</v>
      </c>
      <c r="Z5" s="100"/>
      <c r="AA5" s="106">
        <v>77</v>
      </c>
      <c r="AB5" s="106">
        <v>214</v>
      </c>
      <c r="AC5" s="106">
        <v>115</v>
      </c>
      <c r="AD5" s="106">
        <v>61</v>
      </c>
      <c r="AE5" s="106">
        <v>79</v>
      </c>
      <c r="AF5" s="100"/>
      <c r="AG5" s="106">
        <v>526</v>
      </c>
      <c r="AH5" s="106">
        <v>20</v>
      </c>
      <c r="AI5" s="100"/>
      <c r="AJ5" s="106">
        <v>187</v>
      </c>
      <c r="AK5" s="106">
        <v>105</v>
      </c>
      <c r="AL5" s="106">
        <v>137</v>
      </c>
      <c r="AM5" s="106">
        <v>83</v>
      </c>
      <c r="AN5" s="100"/>
      <c r="AO5" s="106">
        <v>546</v>
      </c>
      <c r="AP5" s="106">
        <v>0</v>
      </c>
      <c r="AQ5" s="106">
        <v>0</v>
      </c>
      <c r="AR5" s="106">
        <v>0</v>
      </c>
      <c r="AS5" s="106">
        <v>0</v>
      </c>
      <c r="AT5" s="106">
        <v>0</v>
      </c>
      <c r="AU5" s="106">
        <v>0</v>
      </c>
      <c r="AV5" s="106">
        <v>0</v>
      </c>
      <c r="AW5" s="106">
        <v>0</v>
      </c>
      <c r="AX5" s="106"/>
      <c r="AY5" s="106">
        <v>0</v>
      </c>
      <c r="AZ5" s="106">
        <v>0</v>
      </c>
      <c r="BA5" s="100"/>
      <c r="BB5" s="106">
        <v>7</v>
      </c>
      <c r="BC5" s="106">
        <v>6</v>
      </c>
      <c r="BD5" s="106">
        <v>54</v>
      </c>
      <c r="BE5" s="106">
        <v>5</v>
      </c>
      <c r="BF5" s="106">
        <v>5</v>
      </c>
      <c r="BG5" s="106">
        <v>41</v>
      </c>
      <c r="BH5" s="106">
        <v>3</v>
      </c>
      <c r="BI5" s="106">
        <v>22</v>
      </c>
      <c r="BJ5" s="106">
        <v>157</v>
      </c>
      <c r="BK5" s="106">
        <v>41</v>
      </c>
      <c r="BL5" s="106">
        <v>5</v>
      </c>
      <c r="BM5" s="106">
        <v>4</v>
      </c>
      <c r="BN5" s="106">
        <v>7</v>
      </c>
      <c r="BO5" s="106">
        <v>17</v>
      </c>
      <c r="BP5" s="106">
        <v>5</v>
      </c>
      <c r="BQ5" s="106">
        <v>2</v>
      </c>
      <c r="BR5" s="106">
        <v>110</v>
      </c>
      <c r="BS5" s="106">
        <v>2</v>
      </c>
      <c r="BT5" s="106">
        <v>9</v>
      </c>
      <c r="BU5" s="106">
        <v>6</v>
      </c>
      <c r="BV5" s="106">
        <v>38</v>
      </c>
      <c r="BW5" s="100"/>
      <c r="BX5" s="106">
        <v>0</v>
      </c>
      <c r="BY5" s="106">
        <v>1</v>
      </c>
      <c r="BZ5" s="106">
        <v>6</v>
      </c>
      <c r="CA5" s="106">
        <v>1</v>
      </c>
      <c r="CB5" s="106">
        <v>1</v>
      </c>
      <c r="CC5" s="106">
        <v>0</v>
      </c>
      <c r="CD5" s="106">
        <v>0</v>
      </c>
      <c r="CE5" s="106">
        <v>0</v>
      </c>
      <c r="CF5" s="106">
        <v>0</v>
      </c>
      <c r="CG5" s="106">
        <v>0</v>
      </c>
      <c r="CH5" s="106">
        <v>4</v>
      </c>
      <c r="CI5" s="106"/>
      <c r="CJ5" s="106">
        <v>0</v>
      </c>
      <c r="CK5" s="106">
        <v>5</v>
      </c>
      <c r="CL5" s="106">
        <v>2</v>
      </c>
      <c r="CM5" s="106">
        <v>4</v>
      </c>
      <c r="CN5" s="106">
        <v>0</v>
      </c>
      <c r="CO5" s="106">
        <v>11</v>
      </c>
      <c r="CP5" s="106">
        <v>1</v>
      </c>
      <c r="CQ5" s="106">
        <v>1</v>
      </c>
      <c r="CR5" s="106">
        <v>35</v>
      </c>
      <c r="CS5" s="106">
        <v>0</v>
      </c>
      <c r="CT5" s="106">
        <v>17</v>
      </c>
      <c r="CU5" s="106">
        <v>4</v>
      </c>
      <c r="CV5" s="106">
        <v>1</v>
      </c>
      <c r="CW5" s="106">
        <v>0</v>
      </c>
      <c r="CX5" s="106">
        <v>0</v>
      </c>
      <c r="CY5" s="106">
        <v>0</v>
      </c>
      <c r="CZ5" s="106">
        <v>0</v>
      </c>
      <c r="DA5" s="106">
        <v>0</v>
      </c>
      <c r="DB5" s="106">
        <v>1</v>
      </c>
      <c r="DC5" s="106">
        <v>4</v>
      </c>
      <c r="DD5" s="106">
        <v>28</v>
      </c>
      <c r="DE5" s="106">
        <v>13</v>
      </c>
      <c r="DF5" s="106">
        <v>8</v>
      </c>
      <c r="DG5" s="106">
        <v>139</v>
      </c>
      <c r="DH5" s="106">
        <v>10</v>
      </c>
      <c r="DI5" s="106">
        <v>7</v>
      </c>
      <c r="DJ5" s="106">
        <v>5</v>
      </c>
      <c r="DK5" s="106">
        <v>7</v>
      </c>
      <c r="DL5" s="106">
        <v>14</v>
      </c>
      <c r="DM5" s="106">
        <v>6</v>
      </c>
      <c r="DN5" s="106">
        <v>2</v>
      </c>
      <c r="DO5" s="106">
        <v>5</v>
      </c>
      <c r="DP5" s="106">
        <v>4</v>
      </c>
      <c r="DQ5" s="106">
        <v>7</v>
      </c>
      <c r="DR5" s="106">
        <v>17</v>
      </c>
      <c r="DS5" s="106">
        <v>0</v>
      </c>
      <c r="DT5" s="106">
        <v>5</v>
      </c>
      <c r="DU5" s="106">
        <v>2</v>
      </c>
      <c r="DV5" s="106">
        <v>4</v>
      </c>
      <c r="DW5" s="106">
        <v>8</v>
      </c>
      <c r="DX5" s="106">
        <v>17</v>
      </c>
      <c r="DY5" s="106">
        <v>1</v>
      </c>
      <c r="DZ5" s="106">
        <v>9</v>
      </c>
      <c r="EA5" s="106">
        <v>30</v>
      </c>
      <c r="EB5" s="106">
        <v>13</v>
      </c>
      <c r="EC5" s="106">
        <v>8</v>
      </c>
      <c r="ED5" s="106">
        <v>2</v>
      </c>
      <c r="EE5" s="106">
        <v>7</v>
      </c>
      <c r="EF5" s="106">
        <v>2</v>
      </c>
      <c r="EG5" s="106">
        <v>5</v>
      </c>
      <c r="EH5" s="106">
        <v>3</v>
      </c>
      <c r="EI5" s="106">
        <v>1</v>
      </c>
      <c r="EJ5" s="106">
        <v>2</v>
      </c>
      <c r="EK5" s="106">
        <v>4</v>
      </c>
      <c r="EL5" s="106">
        <v>19</v>
      </c>
      <c r="EM5" s="106">
        <v>19</v>
      </c>
      <c r="EN5" s="106">
        <v>3</v>
      </c>
      <c r="EO5" s="106">
        <v>0</v>
      </c>
      <c r="EP5" s="106"/>
      <c r="EQ5" s="106"/>
      <c r="ER5" s="106"/>
      <c r="ES5" s="100"/>
      <c r="ET5" s="106">
        <v>121</v>
      </c>
      <c r="EU5" s="106">
        <v>425</v>
      </c>
      <c r="EV5" s="100"/>
      <c r="EW5" s="106">
        <v>138</v>
      </c>
      <c r="EX5" s="106">
        <v>43</v>
      </c>
      <c r="EY5" s="106">
        <v>10</v>
      </c>
      <c r="EZ5" s="106">
        <v>266</v>
      </c>
      <c r="FA5" s="106">
        <v>56</v>
      </c>
      <c r="FB5" s="100"/>
      <c r="FC5" s="106"/>
      <c r="FD5" s="106"/>
      <c r="FE5" s="100"/>
      <c r="FF5" s="106"/>
      <c r="FG5" s="106"/>
      <c r="FH5" s="100"/>
      <c r="FI5" s="106"/>
      <c r="FJ5" s="106"/>
      <c r="FK5" s="106"/>
      <c r="FL5" s="106"/>
    </row>
    <row r="6" spans="1:168" ht="4.5" customHeight="1" x14ac:dyDescent="0.25">
      <c r="A6" s="107"/>
      <c r="B6" s="37"/>
      <c r="C6" s="37"/>
      <c r="D6" s="37"/>
      <c r="E6" s="37"/>
      <c r="F6" s="37"/>
      <c r="G6" s="37"/>
      <c r="H6" s="37"/>
      <c r="I6" s="37"/>
      <c r="J6" s="37"/>
      <c r="K6" s="100"/>
      <c r="L6" s="37"/>
      <c r="M6" s="37"/>
      <c r="N6" s="37"/>
      <c r="O6" s="37"/>
      <c r="P6" s="37"/>
      <c r="Q6" s="100"/>
      <c r="R6" s="37"/>
      <c r="S6" s="37"/>
      <c r="T6" s="100"/>
      <c r="U6" s="37"/>
      <c r="V6" s="37"/>
      <c r="W6" s="37"/>
      <c r="X6" s="37"/>
      <c r="Y6" s="37"/>
      <c r="Z6" s="100"/>
      <c r="AA6" s="37"/>
      <c r="AB6" s="37"/>
      <c r="AC6" s="37"/>
      <c r="AD6" s="37"/>
      <c r="AE6" s="37"/>
      <c r="AF6" s="100"/>
      <c r="AG6" s="37"/>
      <c r="AH6" s="37"/>
      <c r="AI6" s="100"/>
      <c r="AJ6" s="37"/>
      <c r="AK6" s="37"/>
      <c r="AL6" s="37"/>
      <c r="AM6" s="37"/>
      <c r="AN6" s="100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100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100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100"/>
      <c r="ET6" s="37"/>
      <c r="EU6" s="37"/>
      <c r="EV6" s="100"/>
      <c r="EW6" s="37"/>
      <c r="EX6" s="37"/>
      <c r="EY6" s="37"/>
      <c r="EZ6" s="37"/>
      <c r="FA6" s="37"/>
      <c r="FB6" s="100"/>
      <c r="FC6" s="37"/>
      <c r="FD6" s="37"/>
      <c r="FE6" s="100"/>
      <c r="FF6" s="37"/>
      <c r="FG6" s="37"/>
      <c r="FH6" s="100"/>
      <c r="FI6" s="37"/>
      <c r="FJ6" s="37"/>
      <c r="FK6" s="37"/>
      <c r="FL6" s="37"/>
    </row>
    <row r="7" spans="1:168" ht="15" customHeight="1" x14ac:dyDescent="0.25">
      <c r="A7" s="108"/>
      <c r="B7" s="108"/>
      <c r="C7" s="109" t="s">
        <v>144</v>
      </c>
      <c r="D7" s="110">
        <v>72.45</v>
      </c>
      <c r="E7" s="110">
        <v>69.59</v>
      </c>
      <c r="F7" s="110">
        <v>78.73</v>
      </c>
      <c r="G7" s="110">
        <v>74.47</v>
      </c>
      <c r="H7" s="110">
        <v>2.86</v>
      </c>
      <c r="I7" s="110">
        <v>-6.28</v>
      </c>
      <c r="J7" s="110">
        <v>-2.02</v>
      </c>
      <c r="K7" s="100"/>
      <c r="L7" s="110" t="s">
        <v>145</v>
      </c>
      <c r="M7" s="111">
        <v>94.23</v>
      </c>
      <c r="N7" s="110">
        <v>76.41</v>
      </c>
      <c r="O7" s="110">
        <v>69.819999999999993</v>
      </c>
      <c r="P7" s="110" t="s">
        <v>145</v>
      </c>
      <c r="Q7" s="100"/>
      <c r="R7" s="110">
        <v>72.86</v>
      </c>
      <c r="S7" s="110">
        <v>71.63</v>
      </c>
      <c r="T7" s="100"/>
      <c r="U7" s="110">
        <v>67.95</v>
      </c>
      <c r="V7" s="110">
        <v>64.709999999999994</v>
      </c>
      <c r="W7" s="110">
        <v>76.11</v>
      </c>
      <c r="X7" s="110">
        <v>76.599999999999994</v>
      </c>
      <c r="Y7" s="110">
        <v>73.25</v>
      </c>
      <c r="Z7" s="100"/>
      <c r="AA7" s="110">
        <v>71.73</v>
      </c>
      <c r="AB7" s="110">
        <v>70.52</v>
      </c>
      <c r="AC7" s="110">
        <v>68.319999999999993</v>
      </c>
      <c r="AD7" s="110">
        <v>74.41</v>
      </c>
      <c r="AE7" s="110">
        <v>79.08</v>
      </c>
      <c r="AF7" s="100"/>
      <c r="AG7" s="110">
        <v>72.42</v>
      </c>
      <c r="AH7" s="110" t="s">
        <v>145</v>
      </c>
      <c r="AI7" s="100"/>
      <c r="AJ7" s="110">
        <v>84.02</v>
      </c>
      <c r="AK7" s="110">
        <v>77.55</v>
      </c>
      <c r="AL7" s="110">
        <v>73.33</v>
      </c>
      <c r="AM7" s="112">
        <v>51.28</v>
      </c>
      <c r="AN7" s="100"/>
      <c r="AO7" s="110">
        <v>72.45</v>
      </c>
      <c r="AP7" s="110" t="s">
        <v>145</v>
      </c>
      <c r="AQ7" s="110" t="s">
        <v>145</v>
      </c>
      <c r="AR7" s="110" t="s">
        <v>145</v>
      </c>
      <c r="AS7" s="110" t="s">
        <v>145</v>
      </c>
      <c r="AT7" s="110" t="s">
        <v>145</v>
      </c>
      <c r="AU7" s="110" t="s">
        <v>145</v>
      </c>
      <c r="AV7" s="110" t="s">
        <v>145</v>
      </c>
      <c r="AW7" s="110" t="s">
        <v>145</v>
      </c>
      <c r="AX7" s="110" t="s">
        <v>145</v>
      </c>
      <c r="AY7" s="110" t="s">
        <v>145</v>
      </c>
      <c r="AZ7" s="110" t="s">
        <v>145</v>
      </c>
      <c r="BA7" s="100"/>
      <c r="BB7" s="110" t="s">
        <v>145</v>
      </c>
      <c r="BC7" s="110" t="s">
        <v>145</v>
      </c>
      <c r="BD7" s="112">
        <v>56.15</v>
      </c>
      <c r="BE7" s="110" t="s">
        <v>145</v>
      </c>
      <c r="BF7" s="110" t="s">
        <v>145</v>
      </c>
      <c r="BG7" s="110">
        <v>73.59</v>
      </c>
      <c r="BH7" s="110" t="s">
        <v>145</v>
      </c>
      <c r="BI7" s="110">
        <v>75.77</v>
      </c>
      <c r="BJ7" s="110">
        <v>75.290000000000006</v>
      </c>
      <c r="BK7" s="110">
        <v>82.03</v>
      </c>
      <c r="BL7" s="110" t="s">
        <v>145</v>
      </c>
      <c r="BM7" s="110" t="s">
        <v>145</v>
      </c>
      <c r="BN7" s="110" t="s">
        <v>145</v>
      </c>
      <c r="BO7" s="110">
        <v>76.19</v>
      </c>
      <c r="BP7" s="110" t="s">
        <v>145</v>
      </c>
      <c r="BQ7" s="110" t="s">
        <v>145</v>
      </c>
      <c r="BR7" s="110">
        <v>72.959999999999994</v>
      </c>
      <c r="BS7" s="110" t="s">
        <v>145</v>
      </c>
      <c r="BT7" s="110">
        <v>75</v>
      </c>
      <c r="BU7" s="110" t="s">
        <v>145</v>
      </c>
      <c r="BV7" s="110">
        <v>66.58</v>
      </c>
      <c r="BW7" s="100"/>
      <c r="BX7" s="110" t="s">
        <v>145</v>
      </c>
      <c r="BY7" s="110" t="s">
        <v>145</v>
      </c>
      <c r="BZ7" s="110" t="s">
        <v>145</v>
      </c>
      <c r="CA7" s="110" t="s">
        <v>145</v>
      </c>
      <c r="CB7" s="110" t="s">
        <v>145</v>
      </c>
      <c r="CC7" s="110" t="s">
        <v>145</v>
      </c>
      <c r="CD7" s="110" t="s">
        <v>145</v>
      </c>
      <c r="CE7" s="110" t="s">
        <v>145</v>
      </c>
      <c r="CF7" s="110" t="s">
        <v>145</v>
      </c>
      <c r="CG7" s="110" t="s">
        <v>145</v>
      </c>
      <c r="CH7" s="110" t="s">
        <v>145</v>
      </c>
      <c r="CI7" s="110" t="s">
        <v>145</v>
      </c>
      <c r="CJ7" s="110" t="s">
        <v>145</v>
      </c>
      <c r="CK7" s="110">
        <v>75</v>
      </c>
      <c r="CL7" s="110" t="s">
        <v>145</v>
      </c>
      <c r="CM7" s="110" t="s">
        <v>145</v>
      </c>
      <c r="CN7" s="110" t="s">
        <v>145</v>
      </c>
      <c r="CO7" s="110">
        <v>72.45</v>
      </c>
      <c r="CP7" s="110" t="s">
        <v>145</v>
      </c>
      <c r="CQ7" s="110" t="s">
        <v>145</v>
      </c>
      <c r="CR7" s="112">
        <v>53.16</v>
      </c>
      <c r="CS7" s="110" t="s">
        <v>145</v>
      </c>
      <c r="CT7" s="112">
        <v>60</v>
      </c>
      <c r="CU7" s="110" t="s">
        <v>145</v>
      </c>
      <c r="CV7" s="110" t="s">
        <v>145</v>
      </c>
      <c r="CW7" s="110" t="s">
        <v>145</v>
      </c>
      <c r="CX7" s="110" t="s">
        <v>145</v>
      </c>
      <c r="CY7" s="110" t="s">
        <v>145</v>
      </c>
      <c r="CZ7" s="110" t="s">
        <v>145</v>
      </c>
      <c r="DA7" s="110" t="s">
        <v>145</v>
      </c>
      <c r="DB7" s="110" t="s">
        <v>145</v>
      </c>
      <c r="DC7" s="110" t="s">
        <v>145</v>
      </c>
      <c r="DD7" s="110">
        <v>74.88</v>
      </c>
      <c r="DE7" s="110" t="s">
        <v>145</v>
      </c>
      <c r="DF7" s="110">
        <v>72.12</v>
      </c>
      <c r="DG7" s="111">
        <v>88.06</v>
      </c>
      <c r="DH7" s="110">
        <v>75</v>
      </c>
      <c r="DI7" s="110">
        <v>80.84</v>
      </c>
      <c r="DJ7" s="110" t="s">
        <v>145</v>
      </c>
      <c r="DK7" s="110" t="s">
        <v>145</v>
      </c>
      <c r="DL7" s="110">
        <v>84.42</v>
      </c>
      <c r="DM7" s="110">
        <v>73.47</v>
      </c>
      <c r="DN7" s="110" t="s">
        <v>145</v>
      </c>
      <c r="DO7" s="110" t="s">
        <v>145</v>
      </c>
      <c r="DP7" s="110" t="s">
        <v>145</v>
      </c>
      <c r="DQ7" s="110" t="s">
        <v>145</v>
      </c>
      <c r="DR7" s="110">
        <v>76.19</v>
      </c>
      <c r="DS7" s="110" t="s">
        <v>145</v>
      </c>
      <c r="DT7" s="110" t="s">
        <v>145</v>
      </c>
      <c r="DU7" s="110" t="s">
        <v>145</v>
      </c>
      <c r="DV7" s="110" t="s">
        <v>145</v>
      </c>
      <c r="DW7" s="110" t="s">
        <v>145</v>
      </c>
      <c r="DX7" s="110">
        <v>78.900000000000006</v>
      </c>
      <c r="DY7" s="110" t="s">
        <v>145</v>
      </c>
      <c r="DZ7" s="110">
        <v>81.63</v>
      </c>
      <c r="EA7" s="112">
        <v>56.59</v>
      </c>
      <c r="EB7" s="110">
        <v>69.290000000000006</v>
      </c>
      <c r="EC7" s="113">
        <v>39.29</v>
      </c>
      <c r="ED7" s="110" t="s">
        <v>145</v>
      </c>
      <c r="EE7" s="110">
        <v>81.099999999999994</v>
      </c>
      <c r="EF7" s="110" t="s">
        <v>145</v>
      </c>
      <c r="EG7" s="110">
        <v>65.48</v>
      </c>
      <c r="EH7" s="110" t="s">
        <v>145</v>
      </c>
      <c r="EI7" s="110" t="s">
        <v>145</v>
      </c>
      <c r="EJ7" s="110" t="s">
        <v>145</v>
      </c>
      <c r="EK7" s="110" t="s">
        <v>145</v>
      </c>
      <c r="EL7" s="110">
        <v>66.900000000000006</v>
      </c>
      <c r="EM7" s="110">
        <v>66.37</v>
      </c>
      <c r="EN7" s="110" t="s">
        <v>145</v>
      </c>
      <c r="EO7" s="110" t="s">
        <v>145</v>
      </c>
      <c r="EP7" s="110" t="s">
        <v>145</v>
      </c>
      <c r="EQ7" s="110">
        <v>66.180000000000007</v>
      </c>
      <c r="ER7" s="110" t="s">
        <v>145</v>
      </c>
      <c r="ES7" s="100"/>
      <c r="ET7" s="110">
        <v>61.96</v>
      </c>
      <c r="EU7" s="110">
        <v>75.040000000000006</v>
      </c>
      <c r="EV7" s="100"/>
      <c r="EW7" s="110">
        <v>72.55</v>
      </c>
      <c r="EX7" s="110">
        <v>66.12</v>
      </c>
      <c r="EY7" s="112">
        <v>60.2</v>
      </c>
      <c r="EZ7" s="110">
        <v>80.61</v>
      </c>
      <c r="FA7" s="112">
        <v>49.37</v>
      </c>
      <c r="FB7" s="100"/>
      <c r="FC7" s="110">
        <v>75.44</v>
      </c>
      <c r="FD7" s="110">
        <v>61.39</v>
      </c>
      <c r="FE7" s="100"/>
      <c r="FF7" s="110">
        <v>81.99</v>
      </c>
      <c r="FG7" s="112">
        <v>55.3</v>
      </c>
      <c r="FH7" s="100"/>
      <c r="FI7" s="111">
        <v>87.43</v>
      </c>
      <c r="FJ7" s="110">
        <v>61.7</v>
      </c>
      <c r="FK7" s="110">
        <v>71.650000000000006</v>
      </c>
      <c r="FL7" s="112">
        <v>53.27</v>
      </c>
    </row>
    <row r="8" spans="1:168" ht="15" customHeight="1" x14ac:dyDescent="0.25">
      <c r="A8" s="114"/>
      <c r="B8" s="114"/>
      <c r="C8" s="115" t="s">
        <v>146</v>
      </c>
      <c r="D8" s="110">
        <v>73.41</v>
      </c>
      <c r="E8" s="110">
        <v>70.69</v>
      </c>
      <c r="F8" s="110">
        <v>77.39</v>
      </c>
      <c r="G8" s="110">
        <v>76.150000000000006</v>
      </c>
      <c r="H8" s="110">
        <v>2.72</v>
      </c>
      <c r="I8" s="110">
        <v>-3.98</v>
      </c>
      <c r="J8" s="110">
        <v>-2.74</v>
      </c>
      <c r="K8" s="100"/>
      <c r="L8" s="110" t="s">
        <v>145</v>
      </c>
      <c r="M8" s="111">
        <v>91.42</v>
      </c>
      <c r="N8" s="110">
        <v>73.94</v>
      </c>
      <c r="O8" s="110">
        <v>71.77</v>
      </c>
      <c r="P8" s="110" t="s">
        <v>145</v>
      </c>
      <c r="Q8" s="100"/>
      <c r="R8" s="110">
        <v>73.260000000000005</v>
      </c>
      <c r="S8" s="110">
        <v>73.69</v>
      </c>
      <c r="T8" s="100"/>
      <c r="U8" s="110">
        <v>65.52</v>
      </c>
      <c r="V8" s="110">
        <v>69.069999999999993</v>
      </c>
      <c r="W8" s="110">
        <v>77.239999999999995</v>
      </c>
      <c r="X8" s="110">
        <v>73.67</v>
      </c>
      <c r="Y8" s="110">
        <v>75.22</v>
      </c>
      <c r="Z8" s="100"/>
      <c r="AA8" s="110">
        <v>73.59</v>
      </c>
      <c r="AB8" s="110">
        <v>72.33</v>
      </c>
      <c r="AC8" s="110">
        <v>70.41</v>
      </c>
      <c r="AD8" s="110">
        <v>73.489999999999995</v>
      </c>
      <c r="AE8" s="110">
        <v>78.12</v>
      </c>
      <c r="AF8" s="100"/>
      <c r="AG8" s="110">
        <v>73.38</v>
      </c>
      <c r="AH8" s="110" t="s">
        <v>145</v>
      </c>
      <c r="AI8" s="100"/>
      <c r="AJ8" s="110">
        <v>83.82</v>
      </c>
      <c r="AK8" s="110">
        <v>76.39</v>
      </c>
      <c r="AL8" s="110">
        <v>73.41</v>
      </c>
      <c r="AM8" s="112">
        <v>57.66</v>
      </c>
      <c r="AN8" s="100"/>
      <c r="AO8" s="110">
        <v>73.41</v>
      </c>
      <c r="AP8" s="110" t="s">
        <v>145</v>
      </c>
      <c r="AQ8" s="110" t="s">
        <v>145</v>
      </c>
      <c r="AR8" s="110" t="s">
        <v>145</v>
      </c>
      <c r="AS8" s="110" t="s">
        <v>145</v>
      </c>
      <c r="AT8" s="110" t="s">
        <v>145</v>
      </c>
      <c r="AU8" s="110" t="s">
        <v>145</v>
      </c>
      <c r="AV8" s="110" t="s">
        <v>145</v>
      </c>
      <c r="AW8" s="110" t="s">
        <v>145</v>
      </c>
      <c r="AX8" s="110" t="s">
        <v>145</v>
      </c>
      <c r="AY8" s="110" t="s">
        <v>145</v>
      </c>
      <c r="AZ8" s="110" t="s">
        <v>145</v>
      </c>
      <c r="BA8" s="100"/>
      <c r="BB8" s="110" t="s">
        <v>145</v>
      </c>
      <c r="BC8" s="110" t="s">
        <v>145</v>
      </c>
      <c r="BD8" s="110">
        <v>62.54</v>
      </c>
      <c r="BE8" s="110" t="s">
        <v>145</v>
      </c>
      <c r="BF8" s="110" t="s">
        <v>145</v>
      </c>
      <c r="BG8" s="110">
        <v>77.62</v>
      </c>
      <c r="BH8" s="110" t="s">
        <v>145</v>
      </c>
      <c r="BI8" s="110">
        <v>78.849999999999994</v>
      </c>
      <c r="BJ8" s="110">
        <v>74.760000000000005</v>
      </c>
      <c r="BK8" s="110">
        <v>81.39</v>
      </c>
      <c r="BL8" s="110" t="s">
        <v>145</v>
      </c>
      <c r="BM8" s="110" t="s">
        <v>145</v>
      </c>
      <c r="BN8" s="110" t="s">
        <v>145</v>
      </c>
      <c r="BO8" s="110">
        <v>71.28</v>
      </c>
      <c r="BP8" s="110" t="s">
        <v>145</v>
      </c>
      <c r="BQ8" s="110" t="s">
        <v>145</v>
      </c>
      <c r="BR8" s="110">
        <v>72.180000000000007</v>
      </c>
      <c r="BS8" s="110" t="s">
        <v>145</v>
      </c>
      <c r="BT8" s="110">
        <v>79.23</v>
      </c>
      <c r="BU8" s="110" t="s">
        <v>145</v>
      </c>
      <c r="BV8" s="110">
        <v>64.540000000000006</v>
      </c>
      <c r="BW8" s="100"/>
      <c r="BX8" s="110" t="s">
        <v>145</v>
      </c>
      <c r="BY8" s="110" t="s">
        <v>145</v>
      </c>
      <c r="BZ8" s="110" t="s">
        <v>145</v>
      </c>
      <c r="CA8" s="110" t="s">
        <v>145</v>
      </c>
      <c r="CB8" s="110" t="s">
        <v>145</v>
      </c>
      <c r="CC8" s="110" t="s">
        <v>145</v>
      </c>
      <c r="CD8" s="110" t="s">
        <v>145</v>
      </c>
      <c r="CE8" s="110" t="s">
        <v>145</v>
      </c>
      <c r="CF8" s="110" t="s">
        <v>145</v>
      </c>
      <c r="CG8" s="110" t="s">
        <v>145</v>
      </c>
      <c r="CH8" s="110" t="s">
        <v>145</v>
      </c>
      <c r="CI8" s="110" t="s">
        <v>145</v>
      </c>
      <c r="CJ8" s="110" t="s">
        <v>145</v>
      </c>
      <c r="CK8" s="110">
        <v>80.77</v>
      </c>
      <c r="CL8" s="110" t="s">
        <v>145</v>
      </c>
      <c r="CM8" s="110" t="s">
        <v>145</v>
      </c>
      <c r="CN8" s="110" t="s">
        <v>145</v>
      </c>
      <c r="CO8" s="110">
        <v>75.819999999999993</v>
      </c>
      <c r="CP8" s="110" t="s">
        <v>145</v>
      </c>
      <c r="CQ8" s="110" t="s">
        <v>145</v>
      </c>
      <c r="CR8" s="110">
        <v>63.22</v>
      </c>
      <c r="CS8" s="110" t="s">
        <v>145</v>
      </c>
      <c r="CT8" s="112">
        <v>60</v>
      </c>
      <c r="CU8" s="110" t="s">
        <v>145</v>
      </c>
      <c r="CV8" s="110" t="s">
        <v>145</v>
      </c>
      <c r="CW8" s="110" t="s">
        <v>145</v>
      </c>
      <c r="CX8" s="110" t="s">
        <v>145</v>
      </c>
      <c r="CY8" s="110" t="s">
        <v>145</v>
      </c>
      <c r="CZ8" s="110" t="s">
        <v>145</v>
      </c>
      <c r="DA8" s="110" t="s">
        <v>145</v>
      </c>
      <c r="DB8" s="110" t="s">
        <v>145</v>
      </c>
      <c r="DC8" s="110" t="s">
        <v>145</v>
      </c>
      <c r="DD8" s="110">
        <v>79.05</v>
      </c>
      <c r="DE8" s="110" t="s">
        <v>145</v>
      </c>
      <c r="DF8" s="110">
        <v>72.650000000000006</v>
      </c>
      <c r="DG8" s="110">
        <v>82.72</v>
      </c>
      <c r="DH8" s="110">
        <v>73.08</v>
      </c>
      <c r="DI8" s="110">
        <v>77.48</v>
      </c>
      <c r="DJ8" s="110" t="s">
        <v>145</v>
      </c>
      <c r="DK8" s="110" t="s">
        <v>145</v>
      </c>
      <c r="DL8" s="110">
        <v>84.21</v>
      </c>
      <c r="DM8" s="110">
        <v>72.53</v>
      </c>
      <c r="DN8" s="110" t="s">
        <v>145</v>
      </c>
      <c r="DO8" s="110" t="s">
        <v>145</v>
      </c>
      <c r="DP8" s="110" t="s">
        <v>145</v>
      </c>
      <c r="DQ8" s="110" t="s">
        <v>145</v>
      </c>
      <c r="DR8" s="110">
        <v>71.28</v>
      </c>
      <c r="DS8" s="110" t="s">
        <v>145</v>
      </c>
      <c r="DT8" s="110" t="s">
        <v>145</v>
      </c>
      <c r="DU8" s="110" t="s">
        <v>145</v>
      </c>
      <c r="DV8" s="110" t="s">
        <v>145</v>
      </c>
      <c r="DW8" s="110" t="s">
        <v>145</v>
      </c>
      <c r="DX8" s="110">
        <v>78.11</v>
      </c>
      <c r="DY8" s="110" t="s">
        <v>145</v>
      </c>
      <c r="DZ8" s="110">
        <v>79.12</v>
      </c>
      <c r="EA8" s="110">
        <v>60.95</v>
      </c>
      <c r="EB8" s="110">
        <v>75.38</v>
      </c>
      <c r="EC8" s="113">
        <v>38.46</v>
      </c>
      <c r="ED8" s="110" t="s">
        <v>145</v>
      </c>
      <c r="EE8" s="110">
        <v>79.010000000000005</v>
      </c>
      <c r="EF8" s="110" t="s">
        <v>145</v>
      </c>
      <c r="EG8" s="110">
        <v>74.36</v>
      </c>
      <c r="EH8" s="110" t="s">
        <v>145</v>
      </c>
      <c r="EI8" s="110" t="s">
        <v>145</v>
      </c>
      <c r="EJ8" s="110" t="s">
        <v>145</v>
      </c>
      <c r="EK8" s="110" t="s">
        <v>145</v>
      </c>
      <c r="EL8" s="110">
        <v>64.62</v>
      </c>
      <c r="EM8" s="110">
        <v>64.48</v>
      </c>
      <c r="EN8" s="110" t="s">
        <v>145</v>
      </c>
      <c r="EO8" s="110" t="s">
        <v>145</v>
      </c>
      <c r="EP8" s="110" t="s">
        <v>145</v>
      </c>
      <c r="EQ8" s="110">
        <v>69.239999999999995</v>
      </c>
      <c r="ER8" s="110" t="s">
        <v>145</v>
      </c>
      <c r="ES8" s="100"/>
      <c r="ET8" s="110">
        <v>67.599999999999994</v>
      </c>
      <c r="EU8" s="110">
        <v>74.84</v>
      </c>
      <c r="EV8" s="100"/>
      <c r="EW8" s="110">
        <v>76.319999999999993</v>
      </c>
      <c r="EX8" s="110">
        <v>69.97</v>
      </c>
      <c r="EY8" s="110">
        <v>63.74</v>
      </c>
      <c r="EZ8" s="110">
        <v>78.709999999999994</v>
      </c>
      <c r="FA8" s="112">
        <v>53.16</v>
      </c>
      <c r="FB8" s="100"/>
      <c r="FC8" s="110">
        <v>76.28</v>
      </c>
      <c r="FD8" s="110">
        <v>64.17</v>
      </c>
      <c r="FE8" s="100"/>
      <c r="FF8" s="110">
        <v>81.459999999999994</v>
      </c>
      <c r="FG8" s="112">
        <v>60.27</v>
      </c>
      <c r="FH8" s="100"/>
      <c r="FI8" s="111">
        <v>85.97</v>
      </c>
      <c r="FJ8" s="110">
        <v>61.45</v>
      </c>
      <c r="FK8" s="110">
        <v>73.97</v>
      </c>
      <c r="FL8" s="110">
        <v>61.22</v>
      </c>
    </row>
    <row r="9" spans="1:168" ht="15" customHeight="1" x14ac:dyDescent="0.25">
      <c r="A9" s="116"/>
      <c r="B9" s="116"/>
      <c r="C9" s="117" t="s">
        <v>147</v>
      </c>
      <c r="D9" s="110">
        <v>67.709999999999994</v>
      </c>
      <c r="E9" s="110">
        <v>66.069999999999993</v>
      </c>
      <c r="F9" s="110">
        <v>74.680000000000007</v>
      </c>
      <c r="G9" s="110">
        <v>73.47</v>
      </c>
      <c r="H9" s="110">
        <v>1.64</v>
      </c>
      <c r="I9" s="110">
        <v>-6.97</v>
      </c>
      <c r="J9" s="110">
        <v>-5.76</v>
      </c>
      <c r="K9" s="100"/>
      <c r="L9" s="110" t="s">
        <v>145</v>
      </c>
      <c r="M9" s="110">
        <v>83.01</v>
      </c>
      <c r="N9" s="110">
        <v>68.430000000000007</v>
      </c>
      <c r="O9" s="110">
        <v>66.2</v>
      </c>
      <c r="P9" s="110" t="s">
        <v>145</v>
      </c>
      <c r="Q9" s="100"/>
      <c r="R9" s="110">
        <v>67.510000000000005</v>
      </c>
      <c r="S9" s="110">
        <v>68.12</v>
      </c>
      <c r="T9" s="100"/>
      <c r="U9" s="110">
        <v>66.84</v>
      </c>
      <c r="V9" s="110">
        <v>62.42</v>
      </c>
      <c r="W9" s="110">
        <v>70.23</v>
      </c>
      <c r="X9" s="110">
        <v>70.099999999999994</v>
      </c>
      <c r="Y9" s="110">
        <v>69.28</v>
      </c>
      <c r="Z9" s="100"/>
      <c r="AA9" s="110">
        <v>68.48</v>
      </c>
      <c r="AB9" s="110">
        <v>66.95</v>
      </c>
      <c r="AC9" s="110">
        <v>64.349999999999994</v>
      </c>
      <c r="AD9" s="110">
        <v>70.48</v>
      </c>
      <c r="AE9" s="110">
        <v>70.540000000000006</v>
      </c>
      <c r="AF9" s="100"/>
      <c r="AG9" s="110">
        <v>67.73</v>
      </c>
      <c r="AH9" s="110" t="s">
        <v>145</v>
      </c>
      <c r="AI9" s="100"/>
      <c r="AJ9" s="110">
        <v>76.38</v>
      </c>
      <c r="AK9" s="110">
        <v>69.790000000000006</v>
      </c>
      <c r="AL9" s="110">
        <v>67.14</v>
      </c>
      <c r="AM9" s="112">
        <v>54.84</v>
      </c>
      <c r="AN9" s="100"/>
      <c r="AO9" s="110">
        <v>67.709999999999994</v>
      </c>
      <c r="AP9" s="110" t="s">
        <v>145</v>
      </c>
      <c r="AQ9" s="110" t="s">
        <v>145</v>
      </c>
      <c r="AR9" s="110" t="s">
        <v>145</v>
      </c>
      <c r="AS9" s="110" t="s">
        <v>145</v>
      </c>
      <c r="AT9" s="110" t="s">
        <v>145</v>
      </c>
      <c r="AU9" s="110" t="s">
        <v>145</v>
      </c>
      <c r="AV9" s="110" t="s">
        <v>145</v>
      </c>
      <c r="AW9" s="110" t="s">
        <v>145</v>
      </c>
      <c r="AX9" s="110" t="s">
        <v>145</v>
      </c>
      <c r="AY9" s="110" t="s">
        <v>145</v>
      </c>
      <c r="AZ9" s="110" t="s">
        <v>145</v>
      </c>
      <c r="BA9" s="100"/>
      <c r="BB9" s="110" t="s">
        <v>145</v>
      </c>
      <c r="BC9" s="110" t="s">
        <v>145</v>
      </c>
      <c r="BD9" s="112">
        <v>54.22</v>
      </c>
      <c r="BE9" s="110" t="s">
        <v>145</v>
      </c>
      <c r="BF9" s="110" t="s">
        <v>145</v>
      </c>
      <c r="BG9" s="110">
        <v>66.260000000000005</v>
      </c>
      <c r="BH9" s="110" t="s">
        <v>145</v>
      </c>
      <c r="BI9" s="110">
        <v>72.92</v>
      </c>
      <c r="BJ9" s="110">
        <v>69.14</v>
      </c>
      <c r="BK9" s="110">
        <v>78.510000000000005</v>
      </c>
      <c r="BL9" s="110" t="s">
        <v>145</v>
      </c>
      <c r="BM9" s="110" t="s">
        <v>145</v>
      </c>
      <c r="BN9" s="110" t="s">
        <v>145</v>
      </c>
      <c r="BO9" s="110">
        <v>73.33</v>
      </c>
      <c r="BP9" s="110" t="s">
        <v>145</v>
      </c>
      <c r="BQ9" s="110" t="s">
        <v>145</v>
      </c>
      <c r="BR9" s="110">
        <v>71.31</v>
      </c>
      <c r="BS9" s="110" t="s">
        <v>145</v>
      </c>
      <c r="BT9" s="110">
        <v>64.17</v>
      </c>
      <c r="BU9" s="110" t="s">
        <v>145</v>
      </c>
      <c r="BV9" s="112">
        <v>59.3</v>
      </c>
      <c r="BW9" s="100"/>
      <c r="BX9" s="110" t="s">
        <v>145</v>
      </c>
      <c r="BY9" s="110" t="s">
        <v>145</v>
      </c>
      <c r="BZ9" s="110" t="s">
        <v>145</v>
      </c>
      <c r="CA9" s="110" t="s">
        <v>145</v>
      </c>
      <c r="CB9" s="110" t="s">
        <v>145</v>
      </c>
      <c r="CC9" s="110" t="s">
        <v>145</v>
      </c>
      <c r="CD9" s="110" t="s">
        <v>145</v>
      </c>
      <c r="CE9" s="110" t="s">
        <v>145</v>
      </c>
      <c r="CF9" s="110" t="s">
        <v>145</v>
      </c>
      <c r="CG9" s="110" t="s">
        <v>145</v>
      </c>
      <c r="CH9" s="110" t="s">
        <v>145</v>
      </c>
      <c r="CI9" s="110" t="s">
        <v>145</v>
      </c>
      <c r="CJ9" s="110" t="s">
        <v>145</v>
      </c>
      <c r="CK9" s="110">
        <v>73.61</v>
      </c>
      <c r="CL9" s="110" t="s">
        <v>145</v>
      </c>
      <c r="CM9" s="110" t="s">
        <v>145</v>
      </c>
      <c r="CN9" s="110" t="s">
        <v>145</v>
      </c>
      <c r="CO9" s="110">
        <v>70.239999999999995</v>
      </c>
      <c r="CP9" s="110" t="s">
        <v>145</v>
      </c>
      <c r="CQ9" s="110" t="s">
        <v>145</v>
      </c>
      <c r="CR9" s="112">
        <v>52.6</v>
      </c>
      <c r="CS9" s="110" t="s">
        <v>145</v>
      </c>
      <c r="CT9" s="112">
        <v>57.22</v>
      </c>
      <c r="CU9" s="110" t="s">
        <v>145</v>
      </c>
      <c r="CV9" s="110" t="s">
        <v>145</v>
      </c>
      <c r="CW9" s="110" t="s">
        <v>145</v>
      </c>
      <c r="CX9" s="110" t="s">
        <v>145</v>
      </c>
      <c r="CY9" s="110" t="s">
        <v>145</v>
      </c>
      <c r="CZ9" s="110" t="s">
        <v>145</v>
      </c>
      <c r="DA9" s="110" t="s">
        <v>145</v>
      </c>
      <c r="DB9" s="110" t="s">
        <v>145</v>
      </c>
      <c r="DC9" s="110" t="s">
        <v>145</v>
      </c>
      <c r="DD9" s="110">
        <v>68.510000000000005</v>
      </c>
      <c r="DE9" s="110" t="s">
        <v>145</v>
      </c>
      <c r="DF9" s="110">
        <v>68.87</v>
      </c>
      <c r="DG9" s="110">
        <v>78.55</v>
      </c>
      <c r="DH9" s="110">
        <v>72.22</v>
      </c>
      <c r="DI9" s="110">
        <v>79.92</v>
      </c>
      <c r="DJ9" s="110" t="s">
        <v>145</v>
      </c>
      <c r="DK9" s="110" t="s">
        <v>145</v>
      </c>
      <c r="DL9" s="110">
        <v>81</v>
      </c>
      <c r="DM9" s="110">
        <v>61.9</v>
      </c>
      <c r="DN9" s="110" t="s">
        <v>145</v>
      </c>
      <c r="DO9" s="110" t="s">
        <v>145</v>
      </c>
      <c r="DP9" s="110" t="s">
        <v>145</v>
      </c>
      <c r="DQ9" s="110" t="s">
        <v>145</v>
      </c>
      <c r="DR9" s="110">
        <v>73.33</v>
      </c>
      <c r="DS9" s="110" t="s">
        <v>145</v>
      </c>
      <c r="DT9" s="110" t="s">
        <v>145</v>
      </c>
      <c r="DU9" s="110" t="s">
        <v>145</v>
      </c>
      <c r="DV9" s="110" t="s">
        <v>145</v>
      </c>
      <c r="DW9" s="110" t="s">
        <v>145</v>
      </c>
      <c r="DX9" s="110">
        <v>76.739999999999995</v>
      </c>
      <c r="DY9" s="110" t="s">
        <v>145</v>
      </c>
      <c r="DZ9" s="110">
        <v>77.38</v>
      </c>
      <c r="EA9" s="110">
        <v>61.54</v>
      </c>
      <c r="EB9" s="110">
        <v>67.510000000000005</v>
      </c>
      <c r="EC9" s="112">
        <v>50</v>
      </c>
      <c r="ED9" s="110" t="s">
        <v>145</v>
      </c>
      <c r="EE9" s="110">
        <v>79.39</v>
      </c>
      <c r="EF9" s="110" t="s">
        <v>145</v>
      </c>
      <c r="EG9" s="112">
        <v>58.33</v>
      </c>
      <c r="EH9" s="110" t="s">
        <v>145</v>
      </c>
      <c r="EI9" s="110" t="s">
        <v>145</v>
      </c>
      <c r="EJ9" s="110" t="s">
        <v>145</v>
      </c>
      <c r="EK9" s="110" t="s">
        <v>145</v>
      </c>
      <c r="EL9" s="112">
        <v>60.32</v>
      </c>
      <c r="EM9" s="112">
        <v>58.64</v>
      </c>
      <c r="EN9" s="110" t="s">
        <v>145</v>
      </c>
      <c r="EO9" s="110" t="s">
        <v>145</v>
      </c>
      <c r="EP9" s="110" t="s">
        <v>145</v>
      </c>
      <c r="EQ9" s="110">
        <v>62</v>
      </c>
      <c r="ER9" s="110" t="s">
        <v>145</v>
      </c>
      <c r="ES9" s="100"/>
      <c r="ET9" s="112">
        <v>58.07</v>
      </c>
      <c r="EU9" s="110">
        <v>70.099999999999994</v>
      </c>
      <c r="EV9" s="100"/>
      <c r="EW9" s="110">
        <v>67.31</v>
      </c>
      <c r="EX9" s="110">
        <v>65.39</v>
      </c>
      <c r="EY9" s="110">
        <v>60.71</v>
      </c>
      <c r="EZ9" s="110">
        <v>73.14</v>
      </c>
      <c r="FA9" s="112">
        <v>52.04</v>
      </c>
      <c r="FB9" s="100"/>
      <c r="FC9" s="110">
        <v>70.72</v>
      </c>
      <c r="FD9" s="112">
        <v>57.31</v>
      </c>
      <c r="FE9" s="100"/>
      <c r="FF9" s="110">
        <v>75.13</v>
      </c>
      <c r="FG9" s="112">
        <v>54.75</v>
      </c>
      <c r="FH9" s="100"/>
      <c r="FI9" s="110">
        <v>77.86</v>
      </c>
      <c r="FJ9" s="112">
        <v>60.44</v>
      </c>
      <c r="FK9" s="110">
        <v>67.44</v>
      </c>
      <c r="FL9" s="112">
        <v>55.63</v>
      </c>
    </row>
    <row r="10" spans="1:168" ht="15" customHeight="1" x14ac:dyDescent="0.25">
      <c r="A10" s="118"/>
      <c r="B10" s="118"/>
      <c r="C10" s="119" t="s">
        <v>148</v>
      </c>
      <c r="D10" s="110">
        <v>70.150000000000006</v>
      </c>
      <c r="E10" s="110">
        <v>67.180000000000007</v>
      </c>
      <c r="F10" s="110">
        <v>79.47</v>
      </c>
      <c r="G10" s="110">
        <v>78.510000000000005</v>
      </c>
      <c r="H10" s="110">
        <v>2.97</v>
      </c>
      <c r="I10" s="110">
        <v>-9.32</v>
      </c>
      <c r="J10" s="110">
        <v>-8.36</v>
      </c>
      <c r="K10" s="100"/>
      <c r="L10" s="110" t="s">
        <v>145</v>
      </c>
      <c r="M10" s="111">
        <v>94.23</v>
      </c>
      <c r="N10" s="110">
        <v>73.760000000000005</v>
      </c>
      <c r="O10" s="110">
        <v>67.56</v>
      </c>
      <c r="P10" s="110" t="s">
        <v>145</v>
      </c>
      <c r="Q10" s="100"/>
      <c r="R10" s="110">
        <v>69.22</v>
      </c>
      <c r="S10" s="110">
        <v>71.95</v>
      </c>
      <c r="T10" s="100"/>
      <c r="U10" s="110">
        <v>67.19</v>
      </c>
      <c r="V10" s="110">
        <v>63.36</v>
      </c>
      <c r="W10" s="110">
        <v>71.94</v>
      </c>
      <c r="X10" s="110">
        <v>74.44</v>
      </c>
      <c r="Y10" s="110">
        <v>78.650000000000006</v>
      </c>
      <c r="Z10" s="100"/>
      <c r="AA10" s="110">
        <v>69.75</v>
      </c>
      <c r="AB10" s="110">
        <v>68.819999999999993</v>
      </c>
      <c r="AC10" s="110">
        <v>65.22</v>
      </c>
      <c r="AD10" s="110">
        <v>73.97</v>
      </c>
      <c r="AE10" s="110">
        <v>75.760000000000005</v>
      </c>
      <c r="AF10" s="100"/>
      <c r="AG10" s="110">
        <v>70.19</v>
      </c>
      <c r="AH10" s="110" t="s">
        <v>145</v>
      </c>
      <c r="AI10" s="100"/>
      <c r="AJ10" s="110">
        <v>80.19</v>
      </c>
      <c r="AK10" s="110">
        <v>74.489999999999995</v>
      </c>
      <c r="AL10" s="110">
        <v>66.62</v>
      </c>
      <c r="AM10" s="112">
        <v>55.36</v>
      </c>
      <c r="AN10" s="100"/>
      <c r="AO10" s="110">
        <v>70.150000000000006</v>
      </c>
      <c r="AP10" s="110" t="s">
        <v>145</v>
      </c>
      <c r="AQ10" s="110" t="s">
        <v>145</v>
      </c>
      <c r="AR10" s="110" t="s">
        <v>145</v>
      </c>
      <c r="AS10" s="110" t="s">
        <v>145</v>
      </c>
      <c r="AT10" s="110" t="s">
        <v>145</v>
      </c>
      <c r="AU10" s="110" t="s">
        <v>145</v>
      </c>
      <c r="AV10" s="110" t="s">
        <v>145</v>
      </c>
      <c r="AW10" s="110" t="s">
        <v>145</v>
      </c>
      <c r="AX10" s="110" t="s">
        <v>145</v>
      </c>
      <c r="AY10" s="110" t="s">
        <v>145</v>
      </c>
      <c r="AZ10" s="110" t="s">
        <v>145</v>
      </c>
      <c r="BA10" s="100"/>
      <c r="BB10" s="110" t="s">
        <v>145</v>
      </c>
      <c r="BC10" s="110" t="s">
        <v>145</v>
      </c>
      <c r="BD10" s="112">
        <v>48.54</v>
      </c>
      <c r="BE10" s="110" t="s">
        <v>145</v>
      </c>
      <c r="BF10" s="110" t="s">
        <v>145</v>
      </c>
      <c r="BG10" s="110">
        <v>70.45</v>
      </c>
      <c r="BH10" s="110" t="s">
        <v>145</v>
      </c>
      <c r="BI10" s="110">
        <v>74.44</v>
      </c>
      <c r="BJ10" s="110">
        <v>71.599999999999994</v>
      </c>
      <c r="BK10" s="110">
        <v>77.739999999999995</v>
      </c>
      <c r="BL10" s="110" t="s">
        <v>145</v>
      </c>
      <c r="BM10" s="110" t="s">
        <v>145</v>
      </c>
      <c r="BN10" s="110" t="s">
        <v>145</v>
      </c>
      <c r="BO10" s="110">
        <v>78.33</v>
      </c>
      <c r="BP10" s="110" t="s">
        <v>145</v>
      </c>
      <c r="BQ10" s="110" t="s">
        <v>145</v>
      </c>
      <c r="BR10" s="110">
        <v>76.38</v>
      </c>
      <c r="BS10" s="110" t="s">
        <v>145</v>
      </c>
      <c r="BT10" s="110">
        <v>72.510000000000005</v>
      </c>
      <c r="BU10" s="110" t="s">
        <v>145</v>
      </c>
      <c r="BV10" s="110">
        <v>65.52</v>
      </c>
      <c r="BW10" s="100"/>
      <c r="BX10" s="110" t="s">
        <v>145</v>
      </c>
      <c r="BY10" s="110" t="s">
        <v>145</v>
      </c>
      <c r="BZ10" s="110" t="s">
        <v>145</v>
      </c>
      <c r="CA10" s="110" t="s">
        <v>145</v>
      </c>
      <c r="CB10" s="110" t="s">
        <v>145</v>
      </c>
      <c r="CC10" s="110" t="s">
        <v>145</v>
      </c>
      <c r="CD10" s="110" t="s">
        <v>145</v>
      </c>
      <c r="CE10" s="110" t="s">
        <v>145</v>
      </c>
      <c r="CF10" s="110" t="s">
        <v>145</v>
      </c>
      <c r="CG10" s="110" t="s">
        <v>145</v>
      </c>
      <c r="CH10" s="110" t="s">
        <v>145</v>
      </c>
      <c r="CI10" s="110" t="s">
        <v>145</v>
      </c>
      <c r="CJ10" s="110" t="s">
        <v>145</v>
      </c>
      <c r="CK10" s="110">
        <v>75</v>
      </c>
      <c r="CL10" s="110" t="s">
        <v>145</v>
      </c>
      <c r="CM10" s="110" t="s">
        <v>145</v>
      </c>
      <c r="CN10" s="110" t="s">
        <v>145</v>
      </c>
      <c r="CO10" s="110">
        <v>73.209999999999994</v>
      </c>
      <c r="CP10" s="110" t="s">
        <v>145</v>
      </c>
      <c r="CQ10" s="110" t="s">
        <v>145</v>
      </c>
      <c r="CR10" s="112">
        <v>50.23</v>
      </c>
      <c r="CS10" s="110" t="s">
        <v>145</v>
      </c>
      <c r="CT10" s="112">
        <v>45</v>
      </c>
      <c r="CU10" s="110" t="s">
        <v>145</v>
      </c>
      <c r="CV10" s="110" t="s">
        <v>145</v>
      </c>
      <c r="CW10" s="110" t="s">
        <v>145</v>
      </c>
      <c r="CX10" s="110" t="s">
        <v>145</v>
      </c>
      <c r="CY10" s="110" t="s">
        <v>145</v>
      </c>
      <c r="CZ10" s="110" t="s">
        <v>145</v>
      </c>
      <c r="DA10" s="110" t="s">
        <v>145</v>
      </c>
      <c r="DB10" s="110" t="s">
        <v>145</v>
      </c>
      <c r="DC10" s="110" t="s">
        <v>145</v>
      </c>
      <c r="DD10" s="110">
        <v>69.83</v>
      </c>
      <c r="DE10" s="110" t="s">
        <v>145</v>
      </c>
      <c r="DF10" s="110">
        <v>68.400000000000006</v>
      </c>
      <c r="DG10" s="110">
        <v>84.22</v>
      </c>
      <c r="DH10" s="110">
        <v>79.17</v>
      </c>
      <c r="DI10" s="110">
        <v>81.14</v>
      </c>
      <c r="DJ10" s="110" t="s">
        <v>145</v>
      </c>
      <c r="DK10" s="110" t="s">
        <v>145</v>
      </c>
      <c r="DL10" s="110">
        <v>80.02</v>
      </c>
      <c r="DM10" s="110">
        <v>60.71</v>
      </c>
      <c r="DN10" s="110" t="s">
        <v>145</v>
      </c>
      <c r="DO10" s="110" t="s">
        <v>145</v>
      </c>
      <c r="DP10" s="110" t="s">
        <v>145</v>
      </c>
      <c r="DQ10" s="110" t="s">
        <v>145</v>
      </c>
      <c r="DR10" s="110">
        <v>78.33</v>
      </c>
      <c r="DS10" s="110" t="s">
        <v>145</v>
      </c>
      <c r="DT10" s="110" t="s">
        <v>145</v>
      </c>
      <c r="DU10" s="110" t="s">
        <v>145</v>
      </c>
      <c r="DV10" s="110" t="s">
        <v>145</v>
      </c>
      <c r="DW10" s="110" t="s">
        <v>145</v>
      </c>
      <c r="DX10" s="110">
        <v>79.319999999999993</v>
      </c>
      <c r="DY10" s="110" t="s">
        <v>145</v>
      </c>
      <c r="DZ10" s="111">
        <v>85.71</v>
      </c>
      <c r="EA10" s="110">
        <v>72.12</v>
      </c>
      <c r="EB10" s="110">
        <v>68.19</v>
      </c>
      <c r="EC10" s="113">
        <v>39.58</v>
      </c>
      <c r="ED10" s="110" t="s">
        <v>145</v>
      </c>
      <c r="EE10" s="111">
        <v>87.41</v>
      </c>
      <c r="EF10" s="110" t="s">
        <v>145</v>
      </c>
      <c r="EG10" s="110">
        <v>64.58</v>
      </c>
      <c r="EH10" s="110" t="s">
        <v>145</v>
      </c>
      <c r="EI10" s="110" t="s">
        <v>145</v>
      </c>
      <c r="EJ10" s="110" t="s">
        <v>145</v>
      </c>
      <c r="EK10" s="110" t="s">
        <v>145</v>
      </c>
      <c r="EL10" s="110">
        <v>74.7</v>
      </c>
      <c r="EM10" s="112">
        <v>59.65</v>
      </c>
      <c r="EN10" s="110" t="s">
        <v>145</v>
      </c>
      <c r="EO10" s="110" t="s">
        <v>145</v>
      </c>
      <c r="EP10" s="110" t="s">
        <v>145</v>
      </c>
      <c r="EQ10" s="110">
        <v>62.05</v>
      </c>
      <c r="ER10" s="110" t="s">
        <v>145</v>
      </c>
      <c r="ES10" s="100"/>
      <c r="ET10" s="112">
        <v>56.05</v>
      </c>
      <c r="EU10" s="110">
        <v>73.63</v>
      </c>
      <c r="EV10" s="100"/>
      <c r="EW10" s="110">
        <v>63.91</v>
      </c>
      <c r="EX10" s="110">
        <v>64.23</v>
      </c>
      <c r="EY10" s="110">
        <v>60.71</v>
      </c>
      <c r="EZ10" s="110">
        <v>80.98</v>
      </c>
      <c r="FA10" s="113">
        <v>43.61</v>
      </c>
      <c r="FB10" s="100"/>
      <c r="FC10" s="110">
        <v>74.53</v>
      </c>
      <c r="FD10" s="112">
        <v>52.64</v>
      </c>
      <c r="FE10" s="100"/>
      <c r="FF10" s="110">
        <v>81.040000000000006</v>
      </c>
      <c r="FG10" s="112">
        <v>49.98</v>
      </c>
      <c r="FH10" s="100"/>
      <c r="FI10" s="110">
        <v>84.36</v>
      </c>
      <c r="FJ10" s="112">
        <v>56.25</v>
      </c>
      <c r="FK10" s="110">
        <v>69.260000000000005</v>
      </c>
      <c r="FL10" s="112">
        <v>60.34</v>
      </c>
    </row>
    <row r="11" spans="1:168" ht="15" customHeight="1" x14ac:dyDescent="0.25">
      <c r="A11" s="120"/>
      <c r="B11" s="120"/>
      <c r="C11" s="121" t="s">
        <v>149</v>
      </c>
      <c r="D11" s="110">
        <v>74.08</v>
      </c>
      <c r="E11" s="110">
        <v>69.290000000000006</v>
      </c>
      <c r="F11" s="110">
        <v>83.49</v>
      </c>
      <c r="G11" s="110">
        <v>74.81</v>
      </c>
      <c r="H11" s="110">
        <v>4.79</v>
      </c>
      <c r="I11" s="110">
        <v>-9.41</v>
      </c>
      <c r="J11" s="110">
        <v>-0.73</v>
      </c>
      <c r="K11" s="100"/>
      <c r="L11" s="110" t="s">
        <v>145</v>
      </c>
      <c r="M11" s="111">
        <v>86.54</v>
      </c>
      <c r="N11" s="110">
        <v>74.27</v>
      </c>
      <c r="O11" s="110">
        <v>72.91</v>
      </c>
      <c r="P11" s="110" t="s">
        <v>145</v>
      </c>
      <c r="Q11" s="100"/>
      <c r="R11" s="110">
        <v>72.819999999999993</v>
      </c>
      <c r="S11" s="110">
        <v>76.55</v>
      </c>
      <c r="T11" s="100"/>
      <c r="U11" s="110">
        <v>73.75</v>
      </c>
      <c r="V11" s="110">
        <v>70.58</v>
      </c>
      <c r="W11" s="110">
        <v>77.37</v>
      </c>
      <c r="X11" s="110">
        <v>74.3</v>
      </c>
      <c r="Y11" s="110">
        <v>69.010000000000005</v>
      </c>
      <c r="Z11" s="100"/>
      <c r="AA11" s="110">
        <v>75.09</v>
      </c>
      <c r="AB11" s="110">
        <v>71.819999999999993</v>
      </c>
      <c r="AC11" s="110">
        <v>71.22</v>
      </c>
      <c r="AD11" s="110">
        <v>78.03</v>
      </c>
      <c r="AE11" s="110">
        <v>77.3</v>
      </c>
      <c r="AF11" s="100"/>
      <c r="AG11" s="110">
        <v>74.13</v>
      </c>
      <c r="AH11" s="110" t="s">
        <v>145</v>
      </c>
      <c r="AI11" s="100"/>
      <c r="AJ11" s="110">
        <v>80.89</v>
      </c>
      <c r="AK11" s="110">
        <v>78.98</v>
      </c>
      <c r="AL11" s="110">
        <v>73.709999999999994</v>
      </c>
      <c r="AM11" s="110">
        <v>62.78</v>
      </c>
      <c r="AN11" s="100"/>
      <c r="AO11" s="110">
        <v>74.08</v>
      </c>
      <c r="AP11" s="110" t="s">
        <v>145</v>
      </c>
      <c r="AQ11" s="110" t="s">
        <v>145</v>
      </c>
      <c r="AR11" s="110" t="s">
        <v>145</v>
      </c>
      <c r="AS11" s="110" t="s">
        <v>145</v>
      </c>
      <c r="AT11" s="110" t="s">
        <v>145</v>
      </c>
      <c r="AU11" s="110" t="s">
        <v>145</v>
      </c>
      <c r="AV11" s="110" t="s">
        <v>145</v>
      </c>
      <c r="AW11" s="110" t="s">
        <v>145</v>
      </c>
      <c r="AX11" s="110" t="s">
        <v>145</v>
      </c>
      <c r="AY11" s="110" t="s">
        <v>145</v>
      </c>
      <c r="AZ11" s="110" t="s">
        <v>145</v>
      </c>
      <c r="BA11" s="100"/>
      <c r="BB11" s="110" t="s">
        <v>145</v>
      </c>
      <c r="BC11" s="110" t="s">
        <v>145</v>
      </c>
      <c r="BD11" s="112">
        <v>55.27</v>
      </c>
      <c r="BE11" s="110" t="s">
        <v>145</v>
      </c>
      <c r="BF11" s="110" t="s">
        <v>145</v>
      </c>
      <c r="BG11" s="110">
        <v>74.77</v>
      </c>
      <c r="BH11" s="110" t="s">
        <v>145</v>
      </c>
      <c r="BI11" s="110">
        <v>77.510000000000005</v>
      </c>
      <c r="BJ11" s="110">
        <v>80.45</v>
      </c>
      <c r="BK11" s="110">
        <v>76.48</v>
      </c>
      <c r="BL11" s="110" t="s">
        <v>145</v>
      </c>
      <c r="BM11" s="110" t="s">
        <v>145</v>
      </c>
      <c r="BN11" s="110" t="s">
        <v>145</v>
      </c>
      <c r="BO11" s="110">
        <v>79.33</v>
      </c>
      <c r="BP11" s="110" t="s">
        <v>145</v>
      </c>
      <c r="BQ11" s="110" t="s">
        <v>145</v>
      </c>
      <c r="BR11" s="110">
        <v>72.319999999999993</v>
      </c>
      <c r="BS11" s="110" t="s">
        <v>145</v>
      </c>
      <c r="BT11" s="110">
        <v>79</v>
      </c>
      <c r="BU11" s="110" t="s">
        <v>145</v>
      </c>
      <c r="BV11" s="110">
        <v>68.540000000000006</v>
      </c>
      <c r="BW11" s="100"/>
      <c r="BX11" s="110" t="s">
        <v>145</v>
      </c>
      <c r="BY11" s="110" t="s">
        <v>145</v>
      </c>
      <c r="BZ11" s="110" t="s">
        <v>145</v>
      </c>
      <c r="CA11" s="110" t="s">
        <v>145</v>
      </c>
      <c r="CB11" s="110" t="s">
        <v>145</v>
      </c>
      <c r="CC11" s="110" t="s">
        <v>145</v>
      </c>
      <c r="CD11" s="110" t="s">
        <v>145</v>
      </c>
      <c r="CE11" s="110" t="s">
        <v>145</v>
      </c>
      <c r="CF11" s="110" t="s">
        <v>145</v>
      </c>
      <c r="CG11" s="110" t="s">
        <v>145</v>
      </c>
      <c r="CH11" s="110" t="s">
        <v>145</v>
      </c>
      <c r="CI11" s="110" t="s">
        <v>145</v>
      </c>
      <c r="CJ11" s="110" t="s">
        <v>145</v>
      </c>
      <c r="CK11" s="110">
        <v>75</v>
      </c>
      <c r="CL11" s="110" t="s">
        <v>145</v>
      </c>
      <c r="CM11" s="110" t="s">
        <v>145</v>
      </c>
      <c r="CN11" s="110" t="s">
        <v>145</v>
      </c>
      <c r="CO11" s="110">
        <v>72.86</v>
      </c>
      <c r="CP11" s="110" t="s">
        <v>145</v>
      </c>
      <c r="CQ11" s="110" t="s">
        <v>145</v>
      </c>
      <c r="CR11" s="112">
        <v>52.41</v>
      </c>
      <c r="CS11" s="110" t="s">
        <v>145</v>
      </c>
      <c r="CT11" s="110">
        <v>60.67</v>
      </c>
      <c r="CU11" s="110" t="s">
        <v>145</v>
      </c>
      <c r="CV11" s="110" t="s">
        <v>145</v>
      </c>
      <c r="CW11" s="110" t="s">
        <v>145</v>
      </c>
      <c r="CX11" s="110" t="s">
        <v>145</v>
      </c>
      <c r="CY11" s="110" t="s">
        <v>145</v>
      </c>
      <c r="CZ11" s="110" t="s">
        <v>145</v>
      </c>
      <c r="DA11" s="110" t="s">
        <v>145</v>
      </c>
      <c r="DB11" s="110" t="s">
        <v>145</v>
      </c>
      <c r="DC11" s="110" t="s">
        <v>145</v>
      </c>
      <c r="DD11" s="110">
        <v>75.430000000000007</v>
      </c>
      <c r="DE11" s="110" t="s">
        <v>145</v>
      </c>
      <c r="DF11" s="110">
        <v>73.89</v>
      </c>
      <c r="DG11" s="111">
        <v>88.52</v>
      </c>
      <c r="DH11" s="110">
        <v>70</v>
      </c>
      <c r="DI11" s="110">
        <v>79.55</v>
      </c>
      <c r="DJ11" s="110" t="s">
        <v>145</v>
      </c>
      <c r="DK11" s="110" t="s">
        <v>145</v>
      </c>
      <c r="DL11" s="110">
        <v>79.7</v>
      </c>
      <c r="DM11" s="110">
        <v>64.290000000000006</v>
      </c>
      <c r="DN11" s="110" t="s">
        <v>145</v>
      </c>
      <c r="DO11" s="110" t="s">
        <v>145</v>
      </c>
      <c r="DP11" s="110" t="s">
        <v>145</v>
      </c>
      <c r="DQ11" s="110" t="s">
        <v>145</v>
      </c>
      <c r="DR11" s="110">
        <v>79.33</v>
      </c>
      <c r="DS11" s="110" t="s">
        <v>145</v>
      </c>
      <c r="DT11" s="110" t="s">
        <v>145</v>
      </c>
      <c r="DU11" s="110" t="s">
        <v>145</v>
      </c>
      <c r="DV11" s="110" t="s">
        <v>145</v>
      </c>
      <c r="DW11" s="110" t="s">
        <v>145</v>
      </c>
      <c r="DX11" s="110">
        <v>72.55</v>
      </c>
      <c r="DY11" s="110" t="s">
        <v>145</v>
      </c>
      <c r="DZ11" s="111">
        <v>88.57</v>
      </c>
      <c r="EA11" s="110">
        <v>73.08</v>
      </c>
      <c r="EB11" s="110">
        <v>78</v>
      </c>
      <c r="EC11" s="113">
        <v>41.67</v>
      </c>
      <c r="ED11" s="110" t="s">
        <v>145</v>
      </c>
      <c r="EE11" s="110">
        <v>79.22</v>
      </c>
      <c r="EF11" s="110" t="s">
        <v>145</v>
      </c>
      <c r="EG11" s="110">
        <v>68.33</v>
      </c>
      <c r="EH11" s="110" t="s">
        <v>145</v>
      </c>
      <c r="EI11" s="110" t="s">
        <v>145</v>
      </c>
      <c r="EJ11" s="110" t="s">
        <v>145</v>
      </c>
      <c r="EK11" s="110" t="s">
        <v>145</v>
      </c>
      <c r="EL11" s="110">
        <v>72</v>
      </c>
      <c r="EM11" s="110">
        <v>66.3</v>
      </c>
      <c r="EN11" s="110" t="s">
        <v>145</v>
      </c>
      <c r="EO11" s="110" t="s">
        <v>145</v>
      </c>
      <c r="EP11" s="110" t="s">
        <v>145</v>
      </c>
      <c r="EQ11" s="110">
        <v>75.95</v>
      </c>
      <c r="ER11" s="110" t="s">
        <v>145</v>
      </c>
      <c r="ES11" s="100"/>
      <c r="ET11" s="110">
        <v>61.83</v>
      </c>
      <c r="EU11" s="110">
        <v>77.11</v>
      </c>
      <c r="EV11" s="100"/>
      <c r="EW11" s="110">
        <v>76.36</v>
      </c>
      <c r="EX11" s="110">
        <v>66.430000000000007</v>
      </c>
      <c r="EY11" s="112">
        <v>51.43</v>
      </c>
      <c r="EZ11" s="110">
        <v>82.06</v>
      </c>
      <c r="FA11" s="112">
        <v>51.11</v>
      </c>
      <c r="FB11" s="100"/>
      <c r="FC11" s="110">
        <v>77.900000000000006</v>
      </c>
      <c r="FD11" s="110">
        <v>61.21</v>
      </c>
      <c r="FE11" s="100"/>
      <c r="FF11" s="110">
        <v>82.46</v>
      </c>
      <c r="FG11" s="110">
        <v>62.06</v>
      </c>
      <c r="FH11" s="100"/>
      <c r="FI11" s="110">
        <v>85.38</v>
      </c>
      <c r="FJ11" s="110">
        <v>65.78</v>
      </c>
      <c r="FK11" s="110">
        <v>73.510000000000005</v>
      </c>
      <c r="FL11" s="110">
        <v>65.41</v>
      </c>
    </row>
    <row r="12" spans="1:168" ht="13.5" customHeight="1" x14ac:dyDescent="0.25">
      <c r="A12" s="122" t="s">
        <v>165</v>
      </c>
      <c r="B12" s="38">
        <v>58</v>
      </c>
      <c r="C12" s="39" t="s">
        <v>150</v>
      </c>
      <c r="D12" s="110">
        <v>68.08</v>
      </c>
      <c r="E12" s="110">
        <v>66.099999999999994</v>
      </c>
      <c r="F12" s="110">
        <v>81.900000000000006</v>
      </c>
      <c r="G12" s="110">
        <v>78.42</v>
      </c>
      <c r="H12" s="110">
        <v>1.98</v>
      </c>
      <c r="I12" s="110">
        <v>-13.82</v>
      </c>
      <c r="J12" s="110">
        <v>-10.34</v>
      </c>
      <c r="K12" s="100"/>
      <c r="L12" s="110" t="s">
        <v>145</v>
      </c>
      <c r="M12" s="111">
        <v>96.15</v>
      </c>
      <c r="N12" s="110">
        <v>70.150000000000006</v>
      </c>
      <c r="O12" s="110">
        <v>65.239999999999995</v>
      </c>
      <c r="P12" s="110" t="s">
        <v>145</v>
      </c>
      <c r="Q12" s="100"/>
      <c r="R12" s="110">
        <v>66.77</v>
      </c>
      <c r="S12" s="110">
        <v>70.63</v>
      </c>
      <c r="T12" s="100"/>
      <c r="U12" s="110">
        <v>62.51</v>
      </c>
      <c r="V12" s="110">
        <v>63.12</v>
      </c>
      <c r="W12" s="110">
        <v>72.41</v>
      </c>
      <c r="X12" s="110">
        <v>66.39</v>
      </c>
      <c r="Y12" s="110">
        <v>80</v>
      </c>
      <c r="Z12" s="100"/>
      <c r="AA12" s="110">
        <v>65.709999999999994</v>
      </c>
      <c r="AB12" s="110">
        <v>67.48</v>
      </c>
      <c r="AC12" s="110">
        <v>64.459999999999994</v>
      </c>
      <c r="AD12" s="110">
        <v>75.86</v>
      </c>
      <c r="AE12" s="110">
        <v>70.3</v>
      </c>
      <c r="AF12" s="100"/>
      <c r="AG12" s="110">
        <v>68.010000000000005</v>
      </c>
      <c r="AH12" s="110" t="s">
        <v>145</v>
      </c>
      <c r="AI12" s="100"/>
      <c r="AJ12" s="110">
        <v>82.42</v>
      </c>
      <c r="AK12" s="110">
        <v>70.37</v>
      </c>
      <c r="AL12" s="110">
        <v>67.83</v>
      </c>
      <c r="AM12" s="112">
        <v>44.57</v>
      </c>
      <c r="AN12" s="100"/>
      <c r="AO12" s="110">
        <v>68.08</v>
      </c>
      <c r="AP12" s="110" t="s">
        <v>145</v>
      </c>
      <c r="AQ12" s="110" t="s">
        <v>145</v>
      </c>
      <c r="AR12" s="110" t="s">
        <v>145</v>
      </c>
      <c r="AS12" s="110" t="s">
        <v>145</v>
      </c>
      <c r="AT12" s="110" t="s">
        <v>145</v>
      </c>
      <c r="AU12" s="110" t="s">
        <v>145</v>
      </c>
      <c r="AV12" s="110" t="s">
        <v>145</v>
      </c>
      <c r="AW12" s="110" t="s">
        <v>145</v>
      </c>
      <c r="AX12" s="110" t="s">
        <v>145</v>
      </c>
      <c r="AY12" s="110" t="s">
        <v>145</v>
      </c>
      <c r="AZ12" s="110" t="s">
        <v>145</v>
      </c>
      <c r="BA12" s="100"/>
      <c r="BB12" s="110" t="s">
        <v>145</v>
      </c>
      <c r="BC12" s="110" t="s">
        <v>145</v>
      </c>
      <c r="BD12" s="112">
        <v>46.81</v>
      </c>
      <c r="BE12" s="110" t="s">
        <v>145</v>
      </c>
      <c r="BF12" s="110" t="s">
        <v>145</v>
      </c>
      <c r="BG12" s="110">
        <v>72.73</v>
      </c>
      <c r="BH12" s="110" t="s">
        <v>145</v>
      </c>
      <c r="BI12" s="111">
        <v>85.71</v>
      </c>
      <c r="BJ12" s="110">
        <v>64.150000000000006</v>
      </c>
      <c r="BK12" s="110">
        <v>83.33</v>
      </c>
      <c r="BL12" s="110" t="s">
        <v>145</v>
      </c>
      <c r="BM12" s="110" t="s">
        <v>145</v>
      </c>
      <c r="BN12" s="110" t="s">
        <v>145</v>
      </c>
      <c r="BO12" s="110">
        <v>73.33</v>
      </c>
      <c r="BP12" s="110" t="s">
        <v>145</v>
      </c>
      <c r="BQ12" s="110" t="s">
        <v>145</v>
      </c>
      <c r="BR12" s="110">
        <v>72.86</v>
      </c>
      <c r="BS12" s="110" t="s">
        <v>145</v>
      </c>
      <c r="BT12" s="110">
        <v>70</v>
      </c>
      <c r="BU12" s="110" t="s">
        <v>145</v>
      </c>
      <c r="BV12" s="110">
        <v>63.16</v>
      </c>
      <c r="BW12" s="100"/>
      <c r="BX12" s="110" t="s">
        <v>145</v>
      </c>
      <c r="BY12" s="110" t="s">
        <v>145</v>
      </c>
      <c r="BZ12" s="110" t="s">
        <v>145</v>
      </c>
      <c r="CA12" s="110" t="s">
        <v>145</v>
      </c>
      <c r="CB12" s="110" t="s">
        <v>145</v>
      </c>
      <c r="CC12" s="110" t="s">
        <v>145</v>
      </c>
      <c r="CD12" s="110" t="s">
        <v>145</v>
      </c>
      <c r="CE12" s="110" t="s">
        <v>145</v>
      </c>
      <c r="CF12" s="110" t="s">
        <v>145</v>
      </c>
      <c r="CG12" s="110" t="s">
        <v>145</v>
      </c>
      <c r="CH12" s="110" t="s">
        <v>145</v>
      </c>
      <c r="CI12" s="110" t="s">
        <v>145</v>
      </c>
      <c r="CJ12" s="110" t="s">
        <v>145</v>
      </c>
      <c r="CK12" s="110">
        <v>83.33</v>
      </c>
      <c r="CL12" s="110" t="s">
        <v>145</v>
      </c>
      <c r="CM12" s="110" t="s">
        <v>145</v>
      </c>
      <c r="CN12" s="110" t="s">
        <v>145</v>
      </c>
      <c r="CO12" s="111">
        <v>85.71</v>
      </c>
      <c r="CP12" s="110" t="s">
        <v>145</v>
      </c>
      <c r="CQ12" s="110" t="s">
        <v>145</v>
      </c>
      <c r="CR12" s="112">
        <v>50</v>
      </c>
      <c r="CS12" s="110" t="s">
        <v>145</v>
      </c>
      <c r="CT12" s="113">
        <v>40</v>
      </c>
      <c r="CU12" s="110" t="s">
        <v>145</v>
      </c>
      <c r="CV12" s="110" t="s">
        <v>145</v>
      </c>
      <c r="CW12" s="110" t="s">
        <v>145</v>
      </c>
      <c r="CX12" s="110" t="s">
        <v>145</v>
      </c>
      <c r="CY12" s="110" t="s">
        <v>145</v>
      </c>
      <c r="CZ12" s="110" t="s">
        <v>145</v>
      </c>
      <c r="DA12" s="110" t="s">
        <v>145</v>
      </c>
      <c r="DB12" s="110" t="s">
        <v>145</v>
      </c>
      <c r="DC12" s="110" t="s">
        <v>145</v>
      </c>
      <c r="DD12" s="110">
        <v>75.86</v>
      </c>
      <c r="DE12" s="110" t="s">
        <v>145</v>
      </c>
      <c r="DF12" s="113">
        <v>44.44</v>
      </c>
      <c r="DG12" s="110">
        <v>81.97</v>
      </c>
      <c r="DH12" s="110">
        <v>66.67</v>
      </c>
      <c r="DI12" s="110">
        <v>70</v>
      </c>
      <c r="DJ12" s="110" t="s">
        <v>145</v>
      </c>
      <c r="DK12" s="110" t="s">
        <v>145</v>
      </c>
      <c r="DL12" s="111">
        <v>90.91</v>
      </c>
      <c r="DM12" s="110">
        <v>71.430000000000007</v>
      </c>
      <c r="DN12" s="110" t="s">
        <v>145</v>
      </c>
      <c r="DO12" s="110" t="s">
        <v>145</v>
      </c>
      <c r="DP12" s="110" t="s">
        <v>145</v>
      </c>
      <c r="DQ12" s="110" t="s">
        <v>145</v>
      </c>
      <c r="DR12" s="110">
        <v>73.33</v>
      </c>
      <c r="DS12" s="110" t="s">
        <v>145</v>
      </c>
      <c r="DT12" s="110" t="s">
        <v>145</v>
      </c>
      <c r="DU12" s="110" t="s">
        <v>145</v>
      </c>
      <c r="DV12" s="110" t="s">
        <v>145</v>
      </c>
      <c r="DW12" s="110" t="s">
        <v>145</v>
      </c>
      <c r="DX12" s="110">
        <v>70</v>
      </c>
      <c r="DY12" s="110" t="s">
        <v>145</v>
      </c>
      <c r="DZ12" s="111">
        <v>100</v>
      </c>
      <c r="EA12" s="112">
        <v>53.85</v>
      </c>
      <c r="EB12" s="110">
        <v>80</v>
      </c>
      <c r="EC12" s="113">
        <v>33.33</v>
      </c>
      <c r="ED12" s="110" t="s">
        <v>145</v>
      </c>
      <c r="EE12" s="110">
        <v>78.95</v>
      </c>
      <c r="EF12" s="110" t="s">
        <v>145</v>
      </c>
      <c r="EG12" s="110">
        <v>66.67</v>
      </c>
      <c r="EH12" s="110" t="s">
        <v>145</v>
      </c>
      <c r="EI12" s="110" t="s">
        <v>145</v>
      </c>
      <c r="EJ12" s="110" t="s">
        <v>145</v>
      </c>
      <c r="EK12" s="110" t="s">
        <v>145</v>
      </c>
      <c r="EL12" s="110">
        <v>66.67</v>
      </c>
      <c r="EM12" s="110">
        <v>60.87</v>
      </c>
      <c r="EN12" s="110" t="s">
        <v>145</v>
      </c>
      <c r="EO12" s="110" t="s">
        <v>145</v>
      </c>
      <c r="EP12" s="110" t="s">
        <v>145</v>
      </c>
      <c r="EQ12" s="112">
        <v>53.01</v>
      </c>
      <c r="ER12" s="110" t="s">
        <v>145</v>
      </c>
      <c r="ES12" s="100"/>
      <c r="ET12" s="112">
        <v>56.38</v>
      </c>
      <c r="EU12" s="110">
        <v>70.98</v>
      </c>
      <c r="EV12" s="100"/>
      <c r="EW12" s="110">
        <v>62.96</v>
      </c>
      <c r="EX12" s="110">
        <v>63.33</v>
      </c>
      <c r="EY12" s="113">
        <v>42.86</v>
      </c>
      <c r="EZ12" s="110">
        <v>80.77</v>
      </c>
      <c r="FA12" s="113">
        <v>26.67</v>
      </c>
      <c r="FB12" s="100"/>
      <c r="FC12" s="110">
        <v>71.819999999999993</v>
      </c>
      <c r="FD12" s="112">
        <v>51.35</v>
      </c>
      <c r="FE12" s="100"/>
      <c r="FF12" s="110">
        <v>80.28</v>
      </c>
      <c r="FG12" s="113">
        <v>43.88</v>
      </c>
      <c r="FH12" s="100"/>
      <c r="FI12" s="110">
        <v>82.27</v>
      </c>
      <c r="FJ12" s="112">
        <v>47.25</v>
      </c>
      <c r="FK12" s="110">
        <v>71.430000000000007</v>
      </c>
      <c r="FL12" s="112">
        <v>51.02</v>
      </c>
    </row>
    <row r="13" spans="1:168" ht="15" customHeight="1" x14ac:dyDescent="0.25">
      <c r="A13" s="123"/>
      <c r="B13" s="123"/>
      <c r="C13" s="124" t="s">
        <v>151</v>
      </c>
      <c r="D13" s="26">
        <v>71.569999999999993</v>
      </c>
      <c r="E13" s="26">
        <v>68.66</v>
      </c>
      <c r="F13" s="26">
        <v>78.569999999999993</v>
      </c>
      <c r="G13" s="26">
        <v>75.319999999999993</v>
      </c>
      <c r="H13" s="26">
        <v>2.91</v>
      </c>
      <c r="I13" s="26">
        <v>-7</v>
      </c>
      <c r="J13" s="26">
        <v>-3.75</v>
      </c>
      <c r="K13" s="100"/>
      <c r="L13" s="125" t="s">
        <v>145</v>
      </c>
      <c r="M13" s="26">
        <v>89.99</v>
      </c>
      <c r="N13" s="26">
        <v>73.36</v>
      </c>
      <c r="O13" s="26">
        <v>69.650000000000006</v>
      </c>
      <c r="P13" s="125" t="s">
        <v>145</v>
      </c>
      <c r="Q13" s="100"/>
      <c r="R13" s="26">
        <v>71.23</v>
      </c>
      <c r="S13" s="26">
        <v>72.239999999999995</v>
      </c>
      <c r="T13" s="100"/>
      <c r="U13" s="26">
        <v>67.98</v>
      </c>
      <c r="V13" s="26">
        <v>66.010000000000005</v>
      </c>
      <c r="W13" s="26">
        <v>74.72</v>
      </c>
      <c r="X13" s="26">
        <v>73.73</v>
      </c>
      <c r="Y13" s="26">
        <v>73</v>
      </c>
      <c r="Z13" s="100"/>
      <c r="AA13" s="26">
        <v>71.680000000000007</v>
      </c>
      <c r="AB13" s="26">
        <v>70.13</v>
      </c>
      <c r="AC13" s="26">
        <v>67.97</v>
      </c>
      <c r="AD13" s="26">
        <v>73.98</v>
      </c>
      <c r="AE13" s="26">
        <v>76.180000000000007</v>
      </c>
      <c r="AF13" s="100"/>
      <c r="AG13" s="26">
        <v>71.58</v>
      </c>
      <c r="AH13" s="125" t="s">
        <v>145</v>
      </c>
      <c r="AI13" s="100"/>
      <c r="AJ13" s="26">
        <v>81.3</v>
      </c>
      <c r="AK13" s="26">
        <v>75.39</v>
      </c>
      <c r="AL13" s="26">
        <v>71.11</v>
      </c>
      <c r="AM13" s="26">
        <v>55.88</v>
      </c>
      <c r="AN13" s="100"/>
      <c r="AO13" s="26">
        <v>71.569999999999993</v>
      </c>
      <c r="AP13" s="125" t="s">
        <v>145</v>
      </c>
      <c r="AQ13" s="125" t="s">
        <v>145</v>
      </c>
      <c r="AR13" s="125" t="s">
        <v>145</v>
      </c>
      <c r="AS13" s="125" t="s">
        <v>145</v>
      </c>
      <c r="AT13" s="125" t="s">
        <v>145</v>
      </c>
      <c r="AU13" s="125" t="s">
        <v>145</v>
      </c>
      <c r="AV13" s="125" t="s">
        <v>145</v>
      </c>
      <c r="AW13" s="125" t="s">
        <v>145</v>
      </c>
      <c r="AX13" s="125" t="s">
        <v>145</v>
      </c>
      <c r="AY13" s="125" t="s">
        <v>145</v>
      </c>
      <c r="AZ13" s="125" t="s">
        <v>145</v>
      </c>
      <c r="BA13" s="100"/>
      <c r="BB13" s="125" t="s">
        <v>145</v>
      </c>
      <c r="BC13" s="125" t="s">
        <v>145</v>
      </c>
      <c r="BD13" s="26">
        <v>55.82</v>
      </c>
      <c r="BE13" s="125" t="s">
        <v>145</v>
      </c>
      <c r="BF13" s="125" t="s">
        <v>145</v>
      </c>
      <c r="BG13" s="26">
        <v>72.739999999999995</v>
      </c>
      <c r="BH13" s="125" t="s">
        <v>145</v>
      </c>
      <c r="BI13" s="26">
        <v>76.150000000000006</v>
      </c>
      <c r="BJ13" s="26">
        <v>74.09</v>
      </c>
      <c r="BK13" s="26">
        <v>79.63</v>
      </c>
      <c r="BL13" s="125" t="s">
        <v>145</v>
      </c>
      <c r="BM13" s="125" t="s">
        <v>145</v>
      </c>
      <c r="BN13" s="125" t="s">
        <v>145</v>
      </c>
      <c r="BO13" s="26">
        <v>75.290000000000006</v>
      </c>
      <c r="BP13" s="125" t="s">
        <v>145</v>
      </c>
      <c r="BQ13" s="125" t="s">
        <v>145</v>
      </c>
      <c r="BR13" s="26">
        <v>72.8</v>
      </c>
      <c r="BS13" s="125" t="s">
        <v>145</v>
      </c>
      <c r="BT13" s="26">
        <v>73.97</v>
      </c>
      <c r="BU13" s="125" t="s">
        <v>145</v>
      </c>
      <c r="BV13" s="26">
        <v>64.75</v>
      </c>
      <c r="BW13" s="100"/>
      <c r="BX13" s="125" t="s">
        <v>145</v>
      </c>
      <c r="BY13" s="125" t="s">
        <v>145</v>
      </c>
      <c r="BZ13" s="125" t="s">
        <v>145</v>
      </c>
      <c r="CA13" s="125" t="s">
        <v>145</v>
      </c>
      <c r="CB13" s="125" t="s">
        <v>145</v>
      </c>
      <c r="CC13" s="125" t="s">
        <v>145</v>
      </c>
      <c r="CD13" s="125" t="s">
        <v>145</v>
      </c>
      <c r="CE13" s="125" t="s">
        <v>145</v>
      </c>
      <c r="CF13" s="125" t="s">
        <v>145</v>
      </c>
      <c r="CG13" s="125" t="s">
        <v>145</v>
      </c>
      <c r="CH13" s="125" t="s">
        <v>145</v>
      </c>
      <c r="CI13" s="125" t="s">
        <v>145</v>
      </c>
      <c r="CJ13" s="125" t="s">
        <v>145</v>
      </c>
      <c r="CK13" s="26">
        <v>76.150000000000006</v>
      </c>
      <c r="CL13" s="125" t="s">
        <v>145</v>
      </c>
      <c r="CM13" s="125" t="s">
        <v>145</v>
      </c>
      <c r="CN13" s="125" t="s">
        <v>145</v>
      </c>
      <c r="CO13" s="26">
        <v>73.150000000000006</v>
      </c>
      <c r="CP13" s="125" t="s">
        <v>145</v>
      </c>
      <c r="CQ13" s="125" t="s">
        <v>145</v>
      </c>
      <c r="CR13" s="26">
        <v>54.71</v>
      </c>
      <c r="CS13" s="125" t="s">
        <v>145</v>
      </c>
      <c r="CT13" s="26">
        <v>57.13</v>
      </c>
      <c r="CU13" s="125" t="s">
        <v>145</v>
      </c>
      <c r="CV13" s="125" t="s">
        <v>145</v>
      </c>
      <c r="CW13" s="125" t="s">
        <v>145</v>
      </c>
      <c r="CX13" s="125" t="s">
        <v>145</v>
      </c>
      <c r="CY13" s="125" t="s">
        <v>145</v>
      </c>
      <c r="CZ13" s="125" t="s">
        <v>145</v>
      </c>
      <c r="DA13" s="125" t="s">
        <v>145</v>
      </c>
      <c r="DB13" s="125" t="s">
        <v>145</v>
      </c>
      <c r="DC13" s="125" t="s">
        <v>145</v>
      </c>
      <c r="DD13" s="26">
        <v>73.91</v>
      </c>
      <c r="DE13" s="125" t="s">
        <v>145</v>
      </c>
      <c r="DF13" s="26">
        <v>70.88</v>
      </c>
      <c r="DG13" s="26">
        <v>84.34</v>
      </c>
      <c r="DH13" s="26">
        <v>73.56</v>
      </c>
      <c r="DI13" s="26">
        <v>79.53</v>
      </c>
      <c r="DJ13" s="125" t="s">
        <v>145</v>
      </c>
      <c r="DK13" s="125" t="s">
        <v>145</v>
      </c>
      <c r="DL13" s="26">
        <v>82.35</v>
      </c>
      <c r="DM13" s="26">
        <v>67.489999999999995</v>
      </c>
      <c r="DN13" s="125" t="s">
        <v>145</v>
      </c>
      <c r="DO13" s="125" t="s">
        <v>145</v>
      </c>
      <c r="DP13" s="125" t="s">
        <v>145</v>
      </c>
      <c r="DQ13" s="125" t="s">
        <v>145</v>
      </c>
      <c r="DR13" s="26">
        <v>75.290000000000006</v>
      </c>
      <c r="DS13" s="125" t="s">
        <v>145</v>
      </c>
      <c r="DT13" s="125" t="s">
        <v>145</v>
      </c>
      <c r="DU13" s="125" t="s">
        <v>145</v>
      </c>
      <c r="DV13" s="125" t="s">
        <v>145</v>
      </c>
      <c r="DW13" s="125" t="s">
        <v>145</v>
      </c>
      <c r="DX13" s="26">
        <v>77.08</v>
      </c>
      <c r="DY13" s="125" t="s">
        <v>145</v>
      </c>
      <c r="DZ13" s="26">
        <v>82.27</v>
      </c>
      <c r="EA13" s="26">
        <v>63.53</v>
      </c>
      <c r="EB13" s="26">
        <v>71.819999999999993</v>
      </c>
      <c r="EC13" s="26">
        <v>41.67</v>
      </c>
      <c r="ED13" s="125" t="s">
        <v>145</v>
      </c>
      <c r="EE13" s="26">
        <v>80.78</v>
      </c>
      <c r="EF13" s="125" t="s">
        <v>145</v>
      </c>
      <c r="EG13" s="26">
        <v>66.38</v>
      </c>
      <c r="EH13" s="125" t="s">
        <v>145</v>
      </c>
      <c r="EI13" s="125" t="s">
        <v>145</v>
      </c>
      <c r="EJ13" s="125" t="s">
        <v>145</v>
      </c>
      <c r="EK13" s="125" t="s">
        <v>145</v>
      </c>
      <c r="EL13" s="26">
        <v>66.98</v>
      </c>
      <c r="EM13" s="26">
        <v>63.31</v>
      </c>
      <c r="EN13" s="125" t="s">
        <v>145</v>
      </c>
      <c r="EO13" s="125" t="s">
        <v>145</v>
      </c>
      <c r="EP13" s="125" t="s">
        <v>145</v>
      </c>
      <c r="EQ13" s="26">
        <v>66.89</v>
      </c>
      <c r="ER13" s="125" t="s">
        <v>145</v>
      </c>
      <c r="ES13" s="100"/>
      <c r="ET13" s="26">
        <v>61.49</v>
      </c>
      <c r="EU13" s="26">
        <v>74.069999999999993</v>
      </c>
      <c r="EV13" s="100"/>
      <c r="EW13" s="26">
        <v>71.61</v>
      </c>
      <c r="EX13" s="26">
        <v>66.58</v>
      </c>
      <c r="EY13" s="26">
        <v>59.36</v>
      </c>
      <c r="EZ13" s="26">
        <v>78.94</v>
      </c>
      <c r="FA13" s="26">
        <v>49.89</v>
      </c>
      <c r="FB13" s="100"/>
      <c r="FC13" s="26">
        <v>74.89</v>
      </c>
      <c r="FD13" s="26">
        <v>59.76</v>
      </c>
      <c r="FE13" s="100"/>
      <c r="FF13" s="26">
        <v>80.37</v>
      </c>
      <c r="FG13" s="26">
        <v>56.53</v>
      </c>
      <c r="FH13" s="100"/>
      <c r="FI13" s="26">
        <v>84.26</v>
      </c>
      <c r="FJ13" s="26">
        <v>61.09</v>
      </c>
      <c r="FK13" s="26">
        <v>71.290000000000006</v>
      </c>
      <c r="FL13" s="26">
        <v>58.57</v>
      </c>
    </row>
    <row r="14" spans="1:168" ht="15" customHeight="1" x14ac:dyDescent="0.25">
      <c r="A14" s="104"/>
      <c r="B14" s="104"/>
      <c r="C14" s="105" t="s">
        <v>166</v>
      </c>
      <c r="D14" s="106">
        <v>68.66</v>
      </c>
      <c r="E14" s="106"/>
      <c r="F14" s="106"/>
      <c r="G14" s="106"/>
      <c r="H14" s="106"/>
      <c r="I14" s="106"/>
      <c r="J14" s="106"/>
      <c r="K14" s="100"/>
      <c r="L14" s="126" t="s">
        <v>145</v>
      </c>
      <c r="M14" s="106">
        <v>81.95</v>
      </c>
      <c r="N14" s="106">
        <v>73.63</v>
      </c>
      <c r="O14" s="106">
        <v>65.900000000000006</v>
      </c>
      <c r="P14" s="106">
        <v>77.260000000000005</v>
      </c>
      <c r="Q14" s="100"/>
      <c r="R14" s="106">
        <v>67.92</v>
      </c>
      <c r="S14" s="106">
        <v>69.959999999999994</v>
      </c>
      <c r="T14" s="100"/>
      <c r="U14" s="106">
        <v>73.83</v>
      </c>
      <c r="V14" s="106">
        <v>59.53</v>
      </c>
      <c r="W14" s="106">
        <v>72.44</v>
      </c>
      <c r="X14" s="106">
        <v>72.56</v>
      </c>
      <c r="Y14" s="106">
        <v>71.7</v>
      </c>
      <c r="Z14" s="100"/>
      <c r="AA14" s="106">
        <v>71.45</v>
      </c>
      <c r="AB14" s="106">
        <v>66.28</v>
      </c>
      <c r="AC14" s="106">
        <v>65.08</v>
      </c>
      <c r="AD14" s="106">
        <v>70.23</v>
      </c>
      <c r="AE14" s="106">
        <v>76.27</v>
      </c>
      <c r="AF14" s="100"/>
      <c r="AG14" s="106">
        <v>68.42</v>
      </c>
      <c r="AH14" s="106">
        <v>75.09</v>
      </c>
      <c r="AI14" s="100"/>
      <c r="AJ14" s="106">
        <v>82.22</v>
      </c>
      <c r="AK14" s="106">
        <v>72.290000000000006</v>
      </c>
      <c r="AL14" s="106">
        <v>60.39</v>
      </c>
      <c r="AM14" s="106">
        <v>48.85</v>
      </c>
      <c r="AN14" s="100"/>
      <c r="AO14" s="106">
        <v>68.66</v>
      </c>
      <c r="AP14" s="126" t="s">
        <v>145</v>
      </c>
      <c r="AQ14" s="126" t="s">
        <v>145</v>
      </c>
      <c r="AR14" s="126" t="s">
        <v>145</v>
      </c>
      <c r="AS14" s="126" t="s">
        <v>145</v>
      </c>
      <c r="AT14" s="126" t="s">
        <v>145</v>
      </c>
      <c r="AU14" s="126" t="s">
        <v>145</v>
      </c>
      <c r="AV14" s="126" t="s">
        <v>145</v>
      </c>
      <c r="AW14" s="126" t="s">
        <v>145</v>
      </c>
      <c r="AX14" s="106"/>
      <c r="AY14" s="126" t="s">
        <v>145</v>
      </c>
      <c r="AZ14" s="126" t="s">
        <v>145</v>
      </c>
      <c r="BA14" s="100"/>
      <c r="BB14" s="106">
        <v>53.78</v>
      </c>
      <c r="BC14" s="106">
        <v>69.599999999999994</v>
      </c>
      <c r="BD14" s="106">
        <v>51.49</v>
      </c>
      <c r="BE14" s="126" t="s">
        <v>145</v>
      </c>
      <c r="BF14" s="126" t="s">
        <v>145</v>
      </c>
      <c r="BG14" s="106">
        <v>52.19</v>
      </c>
      <c r="BH14" s="126" t="s">
        <v>145</v>
      </c>
      <c r="BI14" s="106">
        <v>82.58</v>
      </c>
      <c r="BJ14" s="106">
        <v>72.69</v>
      </c>
      <c r="BK14" s="106">
        <v>79.94</v>
      </c>
      <c r="BL14" s="126" t="s">
        <v>145</v>
      </c>
      <c r="BM14" s="126" t="s">
        <v>145</v>
      </c>
      <c r="BN14" s="106">
        <v>80.58</v>
      </c>
      <c r="BO14" s="106">
        <v>59.53</v>
      </c>
      <c r="BP14" s="126" t="s">
        <v>145</v>
      </c>
      <c r="BQ14" s="126" t="s">
        <v>145</v>
      </c>
      <c r="BR14" s="106">
        <v>73.709999999999994</v>
      </c>
      <c r="BS14" s="126" t="s">
        <v>145</v>
      </c>
      <c r="BT14" s="106">
        <v>76.13</v>
      </c>
      <c r="BU14" s="106">
        <v>72.13</v>
      </c>
      <c r="BV14" s="106">
        <v>60.86</v>
      </c>
      <c r="BW14" s="100"/>
      <c r="BX14" s="126" t="s">
        <v>145</v>
      </c>
      <c r="BY14" s="126" t="s">
        <v>145</v>
      </c>
      <c r="BZ14" s="106">
        <v>50.06</v>
      </c>
      <c r="CA14" s="126" t="s">
        <v>145</v>
      </c>
      <c r="CB14" s="126" t="s">
        <v>145</v>
      </c>
      <c r="CC14" s="126" t="s">
        <v>145</v>
      </c>
      <c r="CD14" s="126" t="s">
        <v>145</v>
      </c>
      <c r="CE14" s="126" t="s">
        <v>145</v>
      </c>
      <c r="CF14" s="126" t="s">
        <v>145</v>
      </c>
      <c r="CG14" s="126" t="s">
        <v>145</v>
      </c>
      <c r="CH14" s="126" t="s">
        <v>145</v>
      </c>
      <c r="CI14" s="106"/>
      <c r="CJ14" s="126" t="s">
        <v>145</v>
      </c>
      <c r="CK14" s="126" t="s">
        <v>145</v>
      </c>
      <c r="CL14" s="126" t="s">
        <v>145</v>
      </c>
      <c r="CM14" s="126" t="s">
        <v>145</v>
      </c>
      <c r="CN14" s="126" t="s">
        <v>145</v>
      </c>
      <c r="CO14" s="106">
        <v>82.6</v>
      </c>
      <c r="CP14" s="126" t="s">
        <v>145</v>
      </c>
      <c r="CQ14" s="126" t="s">
        <v>145</v>
      </c>
      <c r="CR14" s="106">
        <v>54.29</v>
      </c>
      <c r="CS14" s="126" t="s">
        <v>145</v>
      </c>
      <c r="CT14" s="106">
        <v>43.81</v>
      </c>
      <c r="CU14" s="126" t="s">
        <v>145</v>
      </c>
      <c r="CV14" s="126" t="s">
        <v>145</v>
      </c>
      <c r="CW14" s="126" t="s">
        <v>145</v>
      </c>
      <c r="CX14" s="126" t="s">
        <v>145</v>
      </c>
      <c r="CY14" s="126" t="s">
        <v>145</v>
      </c>
      <c r="CZ14" s="126" t="s">
        <v>145</v>
      </c>
      <c r="DA14" s="126" t="s">
        <v>145</v>
      </c>
      <c r="DB14" s="126" t="s">
        <v>145</v>
      </c>
      <c r="DC14" s="126" t="s">
        <v>145</v>
      </c>
      <c r="DD14" s="106">
        <v>47.95</v>
      </c>
      <c r="DE14" s="106">
        <v>61.01</v>
      </c>
      <c r="DF14" s="106">
        <v>89.87</v>
      </c>
      <c r="DG14" s="106">
        <v>71.58</v>
      </c>
      <c r="DH14" s="106">
        <v>74.31</v>
      </c>
      <c r="DI14" s="106">
        <v>79.06</v>
      </c>
      <c r="DJ14" s="126" t="s">
        <v>145</v>
      </c>
      <c r="DK14" s="106">
        <v>87.44</v>
      </c>
      <c r="DL14" s="106">
        <v>85.46</v>
      </c>
      <c r="DM14" s="106">
        <v>56.9</v>
      </c>
      <c r="DN14" s="126" t="s">
        <v>145</v>
      </c>
      <c r="DO14" s="126" t="s">
        <v>145</v>
      </c>
      <c r="DP14" s="126" t="s">
        <v>145</v>
      </c>
      <c r="DQ14" s="106">
        <v>80.58</v>
      </c>
      <c r="DR14" s="106">
        <v>59.53</v>
      </c>
      <c r="DS14" s="126" t="s">
        <v>145</v>
      </c>
      <c r="DT14" s="126" t="s">
        <v>145</v>
      </c>
      <c r="DU14" s="126" t="s">
        <v>145</v>
      </c>
      <c r="DV14" s="126" t="s">
        <v>145</v>
      </c>
      <c r="DW14" s="106">
        <v>64.510000000000005</v>
      </c>
      <c r="DX14" s="106">
        <v>73.099999999999994</v>
      </c>
      <c r="DY14" s="126" t="s">
        <v>145</v>
      </c>
      <c r="DZ14" s="106">
        <v>81.3</v>
      </c>
      <c r="EA14" s="106">
        <v>62.41</v>
      </c>
      <c r="EB14" s="106">
        <v>74.92</v>
      </c>
      <c r="EC14" s="106">
        <v>85.99</v>
      </c>
      <c r="ED14" s="126" t="s">
        <v>145</v>
      </c>
      <c r="EE14" s="106">
        <v>93.6</v>
      </c>
      <c r="EF14" s="126" t="s">
        <v>145</v>
      </c>
      <c r="EG14" s="126" t="s">
        <v>145</v>
      </c>
      <c r="EH14" s="126" t="s">
        <v>145</v>
      </c>
      <c r="EI14" s="126" t="s">
        <v>145</v>
      </c>
      <c r="EJ14" s="126" t="s">
        <v>145</v>
      </c>
      <c r="EK14" s="126" t="s">
        <v>145</v>
      </c>
      <c r="EL14" s="106">
        <v>59.75</v>
      </c>
      <c r="EM14" s="106">
        <v>62.03</v>
      </c>
      <c r="EN14" s="126" t="s">
        <v>145</v>
      </c>
      <c r="EO14" s="126" t="s">
        <v>145</v>
      </c>
      <c r="EP14" s="106"/>
      <c r="EQ14" s="106"/>
      <c r="ER14" s="106"/>
      <c r="ES14" s="100"/>
      <c r="ET14" s="106">
        <v>53.28</v>
      </c>
      <c r="EU14" s="106">
        <v>72.95</v>
      </c>
      <c r="EV14" s="100"/>
      <c r="EW14" s="106">
        <v>65.959999999999994</v>
      </c>
      <c r="EX14" s="106">
        <v>64.59</v>
      </c>
      <c r="EY14" s="106">
        <v>37.590000000000003</v>
      </c>
      <c r="EZ14" s="106">
        <v>78.489999999999995</v>
      </c>
      <c r="FA14" s="106">
        <v>41.06</v>
      </c>
      <c r="FB14" s="100"/>
      <c r="FC14" s="106"/>
      <c r="FD14" s="106"/>
      <c r="FE14" s="100"/>
      <c r="FF14" s="106"/>
      <c r="FG14" s="106"/>
      <c r="FH14" s="100"/>
      <c r="FI14" s="106"/>
      <c r="FJ14" s="106"/>
      <c r="FK14" s="106"/>
      <c r="FL14" s="106"/>
    </row>
    <row r="15" spans="1:168" ht="4.5" customHeight="1" x14ac:dyDescent="0.25">
      <c r="A15" s="107"/>
      <c r="B15" s="37"/>
      <c r="C15" s="37"/>
      <c r="D15" s="37"/>
      <c r="E15" s="37"/>
      <c r="F15" s="37"/>
      <c r="G15" s="37"/>
      <c r="H15" s="37"/>
      <c r="I15" s="37"/>
      <c r="J15" s="37"/>
      <c r="K15" s="100"/>
      <c r="L15" s="37"/>
      <c r="M15" s="37"/>
      <c r="N15" s="37"/>
      <c r="O15" s="37"/>
      <c r="P15" s="37"/>
      <c r="Q15" s="100"/>
      <c r="R15" s="37"/>
      <c r="S15" s="37"/>
      <c r="T15" s="100"/>
      <c r="U15" s="37"/>
      <c r="V15" s="37"/>
      <c r="W15" s="37"/>
      <c r="X15" s="37"/>
      <c r="Y15" s="37"/>
      <c r="Z15" s="100"/>
      <c r="AA15" s="37"/>
      <c r="AB15" s="37"/>
      <c r="AC15" s="37"/>
      <c r="AD15" s="37"/>
      <c r="AE15" s="37"/>
      <c r="AF15" s="100"/>
      <c r="AG15" s="37"/>
      <c r="AH15" s="37"/>
      <c r="AI15" s="100"/>
      <c r="AJ15" s="37"/>
      <c r="AK15" s="37"/>
      <c r="AL15" s="37"/>
      <c r="AM15" s="37"/>
      <c r="AN15" s="100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100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100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100"/>
      <c r="ET15" s="37"/>
      <c r="EU15" s="37"/>
      <c r="EV15" s="100"/>
      <c r="EW15" s="37"/>
      <c r="EX15" s="37"/>
      <c r="EY15" s="37"/>
      <c r="EZ15" s="37"/>
      <c r="FA15" s="37"/>
      <c r="FB15" s="100"/>
      <c r="FC15" s="37"/>
      <c r="FD15" s="37"/>
      <c r="FE15" s="100"/>
      <c r="FF15" s="37"/>
      <c r="FG15" s="37"/>
      <c r="FH15" s="100"/>
      <c r="FI15" s="37"/>
      <c r="FJ15" s="37"/>
      <c r="FK15" s="37"/>
      <c r="FL15" s="37"/>
    </row>
    <row r="16" spans="1:168" ht="15" customHeight="1" x14ac:dyDescent="0.25">
      <c r="A16" s="34"/>
      <c r="B16" s="34"/>
      <c r="C16" s="35" t="s">
        <v>167</v>
      </c>
      <c r="D16" s="36"/>
      <c r="E16" s="36"/>
      <c r="F16" s="36"/>
      <c r="G16" s="36"/>
      <c r="H16" s="36"/>
      <c r="I16" s="36"/>
      <c r="J16" s="36"/>
      <c r="K16" s="100"/>
      <c r="L16" s="166">
        <v>480</v>
      </c>
      <c r="M16" s="167"/>
      <c r="N16" s="167"/>
      <c r="O16" s="167"/>
      <c r="P16" s="168"/>
      <c r="Q16" s="100"/>
      <c r="R16" s="166">
        <v>480</v>
      </c>
      <c r="S16" s="168"/>
      <c r="T16" s="100"/>
      <c r="U16" s="166">
        <v>480</v>
      </c>
      <c r="V16" s="167"/>
      <c r="W16" s="167"/>
      <c r="X16" s="167"/>
      <c r="Y16" s="168"/>
      <c r="Z16" s="100"/>
      <c r="AA16" s="166">
        <v>480</v>
      </c>
      <c r="AB16" s="167"/>
      <c r="AC16" s="167"/>
      <c r="AD16" s="167"/>
      <c r="AE16" s="168"/>
      <c r="AF16" s="100"/>
      <c r="AG16" s="166">
        <v>480</v>
      </c>
      <c r="AH16" s="168"/>
      <c r="AI16" s="100"/>
      <c r="AJ16" s="166">
        <v>454</v>
      </c>
      <c r="AK16" s="167"/>
      <c r="AL16" s="167"/>
      <c r="AM16" s="168"/>
      <c r="AN16" s="100"/>
      <c r="AO16" s="166">
        <v>480</v>
      </c>
      <c r="AP16" s="167"/>
      <c r="AQ16" s="167"/>
      <c r="AR16" s="167"/>
      <c r="AS16" s="167"/>
      <c r="AT16" s="167"/>
      <c r="AU16" s="167"/>
      <c r="AV16" s="167"/>
      <c r="AW16" s="167"/>
      <c r="AX16" s="167"/>
      <c r="AY16" s="167"/>
      <c r="AZ16" s="168"/>
      <c r="BA16" s="100"/>
      <c r="BB16" s="166">
        <v>480</v>
      </c>
      <c r="BC16" s="167"/>
      <c r="BD16" s="167"/>
      <c r="BE16" s="167"/>
      <c r="BF16" s="167"/>
      <c r="BG16" s="167"/>
      <c r="BH16" s="167"/>
      <c r="BI16" s="167"/>
      <c r="BJ16" s="167"/>
      <c r="BK16" s="167"/>
      <c r="BL16" s="167"/>
      <c r="BM16" s="167"/>
      <c r="BN16" s="167"/>
      <c r="BO16" s="167"/>
      <c r="BP16" s="167"/>
      <c r="BQ16" s="167"/>
      <c r="BR16" s="167"/>
      <c r="BS16" s="167"/>
      <c r="BT16" s="167"/>
      <c r="BU16" s="167"/>
      <c r="BV16" s="168"/>
      <c r="BW16" s="100"/>
      <c r="BX16" s="166">
        <v>480</v>
      </c>
      <c r="BY16" s="167"/>
      <c r="BZ16" s="167"/>
      <c r="CA16" s="167"/>
      <c r="CB16" s="167"/>
      <c r="CC16" s="167"/>
      <c r="CD16" s="167"/>
      <c r="CE16" s="167"/>
      <c r="CF16" s="167"/>
      <c r="CG16" s="167"/>
      <c r="CH16" s="167"/>
      <c r="CI16" s="167"/>
      <c r="CJ16" s="167"/>
      <c r="CK16" s="167"/>
      <c r="CL16" s="167"/>
      <c r="CM16" s="167"/>
      <c r="CN16" s="167"/>
      <c r="CO16" s="167"/>
      <c r="CP16" s="167"/>
      <c r="CQ16" s="167"/>
      <c r="CR16" s="167"/>
      <c r="CS16" s="167"/>
      <c r="CT16" s="167"/>
      <c r="CU16" s="167"/>
      <c r="CV16" s="167"/>
      <c r="CW16" s="167"/>
      <c r="CX16" s="167"/>
      <c r="CY16" s="167"/>
      <c r="CZ16" s="167"/>
      <c r="DA16" s="167"/>
      <c r="DB16" s="167"/>
      <c r="DC16" s="167"/>
      <c r="DD16" s="167"/>
      <c r="DE16" s="167"/>
      <c r="DF16" s="167"/>
      <c r="DG16" s="167"/>
      <c r="DH16" s="167"/>
      <c r="DI16" s="167"/>
      <c r="DJ16" s="167"/>
      <c r="DK16" s="167"/>
      <c r="DL16" s="167"/>
      <c r="DM16" s="167"/>
      <c r="DN16" s="167"/>
      <c r="DO16" s="167"/>
      <c r="DP16" s="167"/>
      <c r="DQ16" s="167"/>
      <c r="DR16" s="167"/>
      <c r="DS16" s="167"/>
      <c r="DT16" s="167"/>
      <c r="DU16" s="167"/>
      <c r="DV16" s="167"/>
      <c r="DW16" s="167"/>
      <c r="DX16" s="167"/>
      <c r="DY16" s="167"/>
      <c r="DZ16" s="167"/>
      <c r="EA16" s="167"/>
      <c r="EB16" s="167"/>
      <c r="EC16" s="167"/>
      <c r="ED16" s="167"/>
      <c r="EE16" s="167"/>
      <c r="EF16" s="167"/>
      <c r="EG16" s="167"/>
      <c r="EH16" s="167"/>
      <c r="EI16" s="167"/>
      <c r="EJ16" s="167"/>
      <c r="EK16" s="167"/>
      <c r="EL16" s="167"/>
      <c r="EM16" s="167"/>
      <c r="EN16" s="167"/>
      <c r="EO16" s="167"/>
      <c r="EP16" s="167"/>
      <c r="EQ16" s="167"/>
      <c r="ER16" s="168"/>
      <c r="ES16" s="100"/>
      <c r="ET16" s="166">
        <v>480</v>
      </c>
      <c r="EU16" s="168"/>
      <c r="EV16" s="100"/>
      <c r="EW16" s="166">
        <v>425</v>
      </c>
      <c r="EX16" s="167"/>
      <c r="EY16" s="167"/>
      <c r="EZ16" s="167"/>
      <c r="FA16" s="168"/>
      <c r="FB16" s="100"/>
      <c r="FC16" s="166">
        <v>437</v>
      </c>
      <c r="FD16" s="168"/>
      <c r="FE16" s="100"/>
      <c r="FF16" s="166">
        <v>423</v>
      </c>
      <c r="FG16" s="168"/>
      <c r="FH16" s="100"/>
      <c r="FI16" s="166">
        <v>442</v>
      </c>
      <c r="FJ16" s="167"/>
      <c r="FK16" s="167"/>
      <c r="FL16" s="168"/>
    </row>
    <row r="17" spans="1:168" ht="15" customHeight="1" x14ac:dyDescent="0.25">
      <c r="A17" s="101"/>
      <c r="B17" s="101"/>
      <c r="C17" s="102" t="s">
        <v>168</v>
      </c>
      <c r="D17" s="128"/>
      <c r="E17" s="128"/>
      <c r="F17" s="128"/>
      <c r="G17" s="128"/>
      <c r="H17" s="128"/>
      <c r="I17" s="128"/>
      <c r="J17" s="128"/>
      <c r="K17" s="100"/>
      <c r="L17" s="128">
        <f>+L3/$L$16*100</f>
        <v>1.0416666666666665</v>
      </c>
      <c r="M17" s="128">
        <f>+M3/$L$16*100</f>
        <v>5.416666666666667</v>
      </c>
      <c r="N17" s="128">
        <f>+N3/$L$16*100</f>
        <v>13.958333333333334</v>
      </c>
      <c r="O17" s="128">
        <f>+O3/$L$16*100</f>
        <v>79.375</v>
      </c>
      <c r="P17" s="128">
        <f>+P3/$L$16*100</f>
        <v>0.20833333333333334</v>
      </c>
      <c r="Q17" s="100"/>
      <c r="R17" s="128">
        <f>+R3/$L$16*100</f>
        <v>66.25</v>
      </c>
      <c r="S17" s="128">
        <f>+S3/$L$16*100</f>
        <v>33.75</v>
      </c>
      <c r="T17" s="100"/>
      <c r="U17" s="128">
        <f>+U3/$L$16*100</f>
        <v>3.3333333333333335</v>
      </c>
      <c r="V17" s="128">
        <f>+V3/$L$16*100</f>
        <v>30</v>
      </c>
      <c r="W17" s="128">
        <f>+W3/$L$16*100</f>
        <v>36.875</v>
      </c>
      <c r="X17" s="128">
        <f>+X3/$L$16*100</f>
        <v>25.624999999999996</v>
      </c>
      <c r="Y17" s="128">
        <f>+Y3/$L$16*100</f>
        <v>4.1666666666666661</v>
      </c>
      <c r="Z17" s="100"/>
      <c r="AA17" s="128">
        <f>+AA3/$L$16*100</f>
        <v>15</v>
      </c>
      <c r="AB17" s="128">
        <f>+AB3/$L$16*100</f>
        <v>26.041666666666668</v>
      </c>
      <c r="AC17" s="128">
        <f>+AC3/$L$16*100</f>
        <v>25.416666666666664</v>
      </c>
      <c r="AD17" s="128">
        <f>+AD3/$L$16*100</f>
        <v>12.291666666666666</v>
      </c>
      <c r="AE17" s="128">
        <f>+AE3/$L$16*100</f>
        <v>21.25</v>
      </c>
      <c r="AF17" s="100"/>
      <c r="AG17" s="128">
        <f>+AG3/$L$16*100</f>
        <v>99.791666666666671</v>
      </c>
      <c r="AH17" s="128">
        <f>+AH3/$L$16*100</f>
        <v>0.20833333333333334</v>
      </c>
      <c r="AI17" s="100"/>
      <c r="AJ17" s="128">
        <f>+AJ3/$L$16*100</f>
        <v>34.375</v>
      </c>
      <c r="AK17" s="128">
        <f>+AK3/$L$16*100</f>
        <v>16.875</v>
      </c>
      <c r="AL17" s="128">
        <f>+AL3/$L$16*100</f>
        <v>24.166666666666668</v>
      </c>
      <c r="AM17" s="128">
        <f>+AM3/$L$16*100</f>
        <v>19.166666666666668</v>
      </c>
      <c r="AN17" s="100"/>
      <c r="AO17" s="128">
        <f t="shared" ref="AO17:AZ17" si="0">+AO3/$L$16*100</f>
        <v>100</v>
      </c>
      <c r="AP17" s="128">
        <f t="shared" si="0"/>
        <v>0</v>
      </c>
      <c r="AQ17" s="128">
        <f t="shared" si="0"/>
        <v>0</v>
      </c>
      <c r="AR17" s="128">
        <f t="shared" si="0"/>
        <v>0</v>
      </c>
      <c r="AS17" s="128">
        <f t="shared" si="0"/>
        <v>0</v>
      </c>
      <c r="AT17" s="128">
        <f t="shared" si="0"/>
        <v>0</v>
      </c>
      <c r="AU17" s="128">
        <f t="shared" si="0"/>
        <v>0</v>
      </c>
      <c r="AV17" s="128">
        <f t="shared" si="0"/>
        <v>0</v>
      </c>
      <c r="AW17" s="128">
        <f t="shared" si="0"/>
        <v>0</v>
      </c>
      <c r="AX17" s="128">
        <f t="shared" si="0"/>
        <v>0</v>
      </c>
      <c r="AY17" s="128">
        <f t="shared" si="0"/>
        <v>0</v>
      </c>
      <c r="AZ17" s="128">
        <f t="shared" si="0"/>
        <v>0</v>
      </c>
      <c r="BA17" s="100"/>
      <c r="BB17" s="128">
        <f t="shared" ref="BB17:BV17" si="1">+BB3/$L$16*100</f>
        <v>1.0416666666666665</v>
      </c>
      <c r="BC17" s="128">
        <f t="shared" si="1"/>
        <v>0.625</v>
      </c>
      <c r="BD17" s="128">
        <f t="shared" si="1"/>
        <v>10</v>
      </c>
      <c r="BE17" s="128">
        <f t="shared" si="1"/>
        <v>0.41666666666666669</v>
      </c>
      <c r="BF17" s="128">
        <f t="shared" si="1"/>
        <v>0.625</v>
      </c>
      <c r="BG17" s="128">
        <f t="shared" si="1"/>
        <v>6.8750000000000009</v>
      </c>
      <c r="BH17" s="128">
        <f t="shared" si="1"/>
        <v>0.20833333333333334</v>
      </c>
      <c r="BI17" s="128">
        <f t="shared" si="1"/>
        <v>5.833333333333333</v>
      </c>
      <c r="BJ17" s="128">
        <f t="shared" si="1"/>
        <v>33.125</v>
      </c>
      <c r="BK17" s="128">
        <f t="shared" si="1"/>
        <v>7.9166666666666661</v>
      </c>
      <c r="BL17" s="128">
        <f t="shared" si="1"/>
        <v>0.625</v>
      </c>
      <c r="BM17" s="128">
        <f t="shared" si="1"/>
        <v>0.41666666666666669</v>
      </c>
      <c r="BN17" s="128">
        <f t="shared" si="1"/>
        <v>0.83333333333333337</v>
      </c>
      <c r="BO17" s="128">
        <f t="shared" si="1"/>
        <v>3.125</v>
      </c>
      <c r="BP17" s="128">
        <f t="shared" si="1"/>
        <v>1.0416666666666665</v>
      </c>
      <c r="BQ17" s="128">
        <f t="shared" si="1"/>
        <v>0.41666666666666669</v>
      </c>
      <c r="BR17" s="128">
        <f t="shared" si="1"/>
        <v>15.208333333333332</v>
      </c>
      <c r="BS17" s="128">
        <f t="shared" si="1"/>
        <v>0.625</v>
      </c>
      <c r="BT17" s="128">
        <f t="shared" si="1"/>
        <v>2.083333333333333</v>
      </c>
      <c r="BU17" s="128">
        <f t="shared" si="1"/>
        <v>0.83333333333333337</v>
      </c>
      <c r="BV17" s="128">
        <f t="shared" si="1"/>
        <v>8.125</v>
      </c>
      <c r="BW17" s="100"/>
      <c r="BX17" s="128">
        <f t="shared" ref="BX17:DC17" si="2">+BX3/$L$16*100</f>
        <v>0</v>
      </c>
      <c r="BY17" s="128">
        <f t="shared" si="2"/>
        <v>0</v>
      </c>
      <c r="BZ17" s="128">
        <f t="shared" si="2"/>
        <v>1.0416666666666665</v>
      </c>
      <c r="CA17" s="128">
        <f t="shared" si="2"/>
        <v>0.41666666666666669</v>
      </c>
      <c r="CB17" s="128">
        <f t="shared" si="2"/>
        <v>0.20833333333333334</v>
      </c>
      <c r="CC17" s="128">
        <f t="shared" si="2"/>
        <v>0</v>
      </c>
      <c r="CD17" s="128">
        <f t="shared" si="2"/>
        <v>0</v>
      </c>
      <c r="CE17" s="128">
        <f t="shared" si="2"/>
        <v>0</v>
      </c>
      <c r="CF17" s="128">
        <f t="shared" si="2"/>
        <v>0</v>
      </c>
      <c r="CG17" s="128">
        <f t="shared" si="2"/>
        <v>0</v>
      </c>
      <c r="CH17" s="128">
        <f t="shared" si="2"/>
        <v>0</v>
      </c>
      <c r="CI17" s="128">
        <f t="shared" si="2"/>
        <v>0</v>
      </c>
      <c r="CJ17" s="128">
        <f t="shared" si="2"/>
        <v>0</v>
      </c>
      <c r="CK17" s="128">
        <f t="shared" si="2"/>
        <v>1.25</v>
      </c>
      <c r="CL17" s="128">
        <f t="shared" si="2"/>
        <v>0</v>
      </c>
      <c r="CM17" s="128">
        <f t="shared" si="2"/>
        <v>1.0416666666666665</v>
      </c>
      <c r="CN17" s="128">
        <f t="shared" si="2"/>
        <v>0</v>
      </c>
      <c r="CO17" s="128">
        <f t="shared" si="2"/>
        <v>1.4583333333333333</v>
      </c>
      <c r="CP17" s="128">
        <f t="shared" si="2"/>
        <v>0.41666666666666669</v>
      </c>
      <c r="CQ17" s="128">
        <f t="shared" si="2"/>
        <v>0.41666666666666669</v>
      </c>
      <c r="CR17" s="128">
        <f t="shared" si="2"/>
        <v>6.041666666666667</v>
      </c>
      <c r="CS17" s="128">
        <f t="shared" si="2"/>
        <v>0</v>
      </c>
      <c r="CT17" s="128">
        <f t="shared" si="2"/>
        <v>3.125</v>
      </c>
      <c r="CU17" s="128">
        <f t="shared" si="2"/>
        <v>0.20833333333333334</v>
      </c>
      <c r="CV17" s="128">
        <f t="shared" si="2"/>
        <v>0.20833333333333334</v>
      </c>
      <c r="CW17" s="128">
        <f t="shared" si="2"/>
        <v>0</v>
      </c>
      <c r="CX17" s="128">
        <f t="shared" si="2"/>
        <v>0</v>
      </c>
      <c r="CY17" s="128">
        <f t="shared" si="2"/>
        <v>0</v>
      </c>
      <c r="CZ17" s="128">
        <f t="shared" si="2"/>
        <v>0</v>
      </c>
      <c r="DA17" s="128">
        <f t="shared" si="2"/>
        <v>0.41666666666666669</v>
      </c>
      <c r="DB17" s="128">
        <f t="shared" si="2"/>
        <v>0</v>
      </c>
      <c r="DC17" s="128">
        <f t="shared" si="2"/>
        <v>0.20833333333333334</v>
      </c>
      <c r="DD17" s="128">
        <f t="shared" ref="DD17:EI17" si="3">+DD3/$L$16*100</f>
        <v>6.041666666666667</v>
      </c>
      <c r="DE17" s="128">
        <f t="shared" si="3"/>
        <v>0.83333333333333337</v>
      </c>
      <c r="DF17" s="128">
        <f t="shared" si="3"/>
        <v>1.875</v>
      </c>
      <c r="DG17" s="128">
        <f t="shared" si="3"/>
        <v>12.708333333333332</v>
      </c>
      <c r="DH17" s="128">
        <f t="shared" si="3"/>
        <v>1.25</v>
      </c>
      <c r="DI17" s="128">
        <f t="shared" si="3"/>
        <v>2.2916666666666665</v>
      </c>
      <c r="DJ17" s="128">
        <f t="shared" si="3"/>
        <v>0.625</v>
      </c>
      <c r="DK17" s="128">
        <f t="shared" si="3"/>
        <v>0.83333333333333337</v>
      </c>
      <c r="DL17" s="128">
        <f t="shared" si="3"/>
        <v>2.5</v>
      </c>
      <c r="DM17" s="128">
        <f t="shared" si="3"/>
        <v>1.4583333333333333</v>
      </c>
      <c r="DN17" s="128">
        <f t="shared" si="3"/>
        <v>0.20833333333333334</v>
      </c>
      <c r="DO17" s="128">
        <f t="shared" si="3"/>
        <v>0.625</v>
      </c>
      <c r="DP17" s="128">
        <f t="shared" si="3"/>
        <v>0.41666666666666669</v>
      </c>
      <c r="DQ17" s="128">
        <f t="shared" si="3"/>
        <v>0.83333333333333337</v>
      </c>
      <c r="DR17" s="128">
        <f t="shared" si="3"/>
        <v>3.125</v>
      </c>
      <c r="DS17" s="128">
        <f t="shared" si="3"/>
        <v>0</v>
      </c>
      <c r="DT17" s="128">
        <f t="shared" si="3"/>
        <v>1.0416666666666665</v>
      </c>
      <c r="DU17" s="128">
        <f t="shared" si="3"/>
        <v>0.41666666666666669</v>
      </c>
      <c r="DV17" s="128">
        <f t="shared" si="3"/>
        <v>0.83333333333333337</v>
      </c>
      <c r="DW17" s="128">
        <f t="shared" si="3"/>
        <v>1.0416666666666665</v>
      </c>
      <c r="DX17" s="128">
        <f t="shared" si="3"/>
        <v>2.2916666666666665</v>
      </c>
      <c r="DY17" s="128">
        <f t="shared" si="3"/>
        <v>0.41666666666666669</v>
      </c>
      <c r="DZ17" s="128">
        <f t="shared" si="3"/>
        <v>1.4583333333333333</v>
      </c>
      <c r="EA17" s="128">
        <f t="shared" si="3"/>
        <v>2.7083333333333335</v>
      </c>
      <c r="EB17" s="128">
        <f t="shared" si="3"/>
        <v>2.083333333333333</v>
      </c>
      <c r="EC17" s="128">
        <f t="shared" si="3"/>
        <v>1.25</v>
      </c>
      <c r="ED17" s="128">
        <f t="shared" si="3"/>
        <v>0.83333333333333337</v>
      </c>
      <c r="EE17" s="128">
        <f t="shared" si="3"/>
        <v>4.375</v>
      </c>
      <c r="EF17" s="128">
        <f t="shared" si="3"/>
        <v>0.625</v>
      </c>
      <c r="EG17" s="128">
        <f t="shared" si="3"/>
        <v>1.25</v>
      </c>
      <c r="EH17" s="128">
        <f t="shared" si="3"/>
        <v>0.625</v>
      </c>
      <c r="EI17" s="128">
        <f t="shared" si="3"/>
        <v>0.20833333333333334</v>
      </c>
      <c r="EJ17" s="128">
        <f t="shared" ref="EJ17:ER17" si="4">+EJ3/$L$16*100</f>
        <v>0.20833333333333334</v>
      </c>
      <c r="EK17" s="128">
        <f t="shared" si="4"/>
        <v>0.625</v>
      </c>
      <c r="EL17" s="128">
        <f t="shared" si="4"/>
        <v>3.125</v>
      </c>
      <c r="EM17" s="128">
        <f t="shared" si="4"/>
        <v>5</v>
      </c>
      <c r="EN17" s="128">
        <f t="shared" si="4"/>
        <v>0.20833333333333334</v>
      </c>
      <c r="EO17" s="128">
        <f t="shared" si="4"/>
        <v>0</v>
      </c>
      <c r="EP17" s="128">
        <f t="shared" si="4"/>
        <v>0</v>
      </c>
      <c r="EQ17" s="128">
        <f t="shared" si="4"/>
        <v>17.291666666666668</v>
      </c>
      <c r="ER17" s="128">
        <f t="shared" si="4"/>
        <v>0</v>
      </c>
      <c r="ES17" s="100"/>
      <c r="ET17" s="128">
        <f>+ET3/$L$16*100</f>
        <v>19.791666666666664</v>
      </c>
      <c r="EU17" s="128">
        <f>+EU3/$L$16*100</f>
        <v>80.208333333333343</v>
      </c>
      <c r="EV17" s="100"/>
      <c r="EW17" s="128">
        <f>+EW3/$L$16*100</f>
        <v>22.5</v>
      </c>
      <c r="EX17" s="128">
        <f>+EX3/$L$16*100</f>
        <v>6.25</v>
      </c>
      <c r="EY17" s="128">
        <f>+EY3/$L$16*100</f>
        <v>1.4583333333333333</v>
      </c>
      <c r="EZ17" s="128">
        <f>+EZ3/$L$16*100</f>
        <v>48.958333333333329</v>
      </c>
      <c r="FA17" s="128">
        <f>+FA3/$L$16*100</f>
        <v>9.375</v>
      </c>
      <c r="FB17" s="100"/>
      <c r="FC17" s="128">
        <f>+FC3/$L$16*100</f>
        <v>75.416666666666671</v>
      </c>
      <c r="FD17" s="128">
        <f>+FD3/$L$16*100</f>
        <v>15.625</v>
      </c>
      <c r="FE17" s="100"/>
      <c r="FF17" s="128">
        <f>+FF3/$L$16*100</f>
        <v>59.166666666666664</v>
      </c>
      <c r="FG17" s="128">
        <f>+FG3/$L$16*100</f>
        <v>28.958333333333336</v>
      </c>
      <c r="FH17" s="100"/>
      <c r="FI17" s="128">
        <f>+FI3/$L$16*100</f>
        <v>29.375</v>
      </c>
      <c r="FJ17" s="128">
        <f>+FJ3/$L$16*100</f>
        <v>18.958333333333332</v>
      </c>
      <c r="FK17" s="128">
        <f>+FK3/$L$16*100</f>
        <v>33.541666666666664</v>
      </c>
      <c r="FL17" s="128">
        <f>+FL3/$L$16*100</f>
        <v>10.208333333333334</v>
      </c>
    </row>
    <row r="18" spans="1:168" ht="15" customHeight="1" x14ac:dyDescent="0.25">
      <c r="A18" s="101"/>
      <c r="B18" s="101"/>
      <c r="C18" s="102" t="s">
        <v>171</v>
      </c>
      <c r="D18" s="103"/>
      <c r="E18" s="103"/>
      <c r="F18" s="103"/>
      <c r="G18" s="103"/>
      <c r="H18" s="103"/>
      <c r="I18" s="103"/>
      <c r="J18" s="103"/>
      <c r="K18" s="100"/>
      <c r="L18" s="103"/>
      <c r="M18" s="103"/>
      <c r="N18" s="103"/>
      <c r="O18" s="103"/>
      <c r="P18" s="103"/>
      <c r="Q18" s="100"/>
      <c r="R18" s="103"/>
      <c r="S18" s="103"/>
      <c r="T18" s="100"/>
      <c r="U18" s="103"/>
      <c r="V18" s="103"/>
      <c r="W18" s="103"/>
      <c r="X18" s="103"/>
      <c r="Y18" s="103"/>
      <c r="Z18" s="100"/>
      <c r="AA18" s="103"/>
      <c r="AB18" s="103"/>
      <c r="AC18" s="103"/>
      <c r="AD18" s="103"/>
      <c r="AE18" s="103"/>
      <c r="AF18" s="100"/>
      <c r="AG18" s="103"/>
      <c r="AH18" s="103"/>
      <c r="AI18" s="100"/>
      <c r="AJ18" s="103"/>
      <c r="AK18" s="103"/>
      <c r="AL18" s="103"/>
      <c r="AM18" s="103"/>
      <c r="AN18" s="100"/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0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  <c r="BM18" s="103"/>
      <c r="BN18" s="103"/>
      <c r="BO18" s="103"/>
      <c r="BP18" s="103"/>
      <c r="BQ18" s="103"/>
      <c r="BR18" s="103"/>
      <c r="BS18" s="103"/>
      <c r="BT18" s="103"/>
      <c r="BU18" s="103"/>
      <c r="BV18" s="103"/>
      <c r="BW18" s="100"/>
      <c r="BX18" s="103"/>
      <c r="BY18" s="103"/>
      <c r="BZ18" s="103"/>
      <c r="CA18" s="103"/>
      <c r="CB18" s="103"/>
      <c r="CC18" s="103"/>
      <c r="CD18" s="103"/>
      <c r="CE18" s="103"/>
      <c r="CF18" s="103"/>
      <c r="CG18" s="103"/>
      <c r="CH18" s="103"/>
      <c r="CI18" s="103"/>
      <c r="CJ18" s="103"/>
      <c r="CK18" s="103"/>
      <c r="CL18" s="103"/>
      <c r="CM18" s="103"/>
      <c r="CN18" s="103"/>
      <c r="CO18" s="103"/>
      <c r="CP18" s="103"/>
      <c r="CQ18" s="103"/>
      <c r="CR18" s="103"/>
      <c r="CS18" s="103"/>
      <c r="CT18" s="103"/>
      <c r="CU18" s="103"/>
      <c r="CV18" s="103"/>
      <c r="CW18" s="103"/>
      <c r="CX18" s="103"/>
      <c r="CY18" s="103"/>
      <c r="CZ18" s="103"/>
      <c r="DA18" s="103"/>
      <c r="DB18" s="103"/>
      <c r="DC18" s="103"/>
      <c r="DD18" s="103"/>
      <c r="DE18" s="103"/>
      <c r="DF18" s="103"/>
      <c r="DG18" s="103"/>
      <c r="DH18" s="103"/>
      <c r="DI18" s="103"/>
      <c r="DJ18" s="103"/>
      <c r="DK18" s="103"/>
      <c r="DL18" s="103"/>
      <c r="DM18" s="103"/>
      <c r="DN18" s="103"/>
      <c r="DO18" s="103"/>
      <c r="DP18" s="103"/>
      <c r="DQ18" s="103"/>
      <c r="DR18" s="103"/>
      <c r="DS18" s="103"/>
      <c r="DT18" s="103"/>
      <c r="DU18" s="103"/>
      <c r="DV18" s="103"/>
      <c r="DW18" s="103"/>
      <c r="DX18" s="103"/>
      <c r="DY18" s="103"/>
      <c r="DZ18" s="103"/>
      <c r="EA18" s="103"/>
      <c r="EB18" s="103"/>
      <c r="EC18" s="103"/>
      <c r="ED18" s="103"/>
      <c r="EE18" s="103"/>
      <c r="EF18" s="103"/>
      <c r="EG18" s="103"/>
      <c r="EH18" s="103"/>
      <c r="EI18" s="103"/>
      <c r="EJ18" s="103"/>
      <c r="EK18" s="103"/>
      <c r="EL18" s="103"/>
      <c r="EM18" s="103"/>
      <c r="EN18" s="103"/>
      <c r="EO18" s="103"/>
      <c r="EP18" s="103"/>
      <c r="EQ18" s="103"/>
      <c r="ER18" s="103"/>
      <c r="ES18" s="100"/>
      <c r="ET18" s="103"/>
      <c r="EU18" s="103"/>
      <c r="EV18" s="100"/>
      <c r="EW18" s="103"/>
      <c r="EX18" s="103"/>
      <c r="EY18" s="103"/>
      <c r="EZ18" s="103"/>
      <c r="FA18" s="103"/>
      <c r="FB18" s="100"/>
      <c r="FC18" s="103"/>
      <c r="FD18" s="103"/>
      <c r="FE18" s="100"/>
      <c r="FF18" s="103"/>
      <c r="FG18" s="103"/>
      <c r="FH18" s="100"/>
      <c r="FI18" s="103"/>
      <c r="FJ18" s="103"/>
      <c r="FK18" s="103"/>
      <c r="FL18" s="103"/>
    </row>
    <row r="19" spans="1:168" ht="15" customHeight="1" x14ac:dyDescent="0.25">
      <c r="A19" s="104"/>
      <c r="B19" s="104"/>
      <c r="C19" s="105" t="s">
        <v>516</v>
      </c>
      <c r="D19" s="106"/>
      <c r="E19" s="106"/>
      <c r="F19" s="106"/>
      <c r="G19" s="106"/>
      <c r="H19" s="106"/>
      <c r="I19" s="106"/>
      <c r="J19" s="106"/>
      <c r="K19" s="100"/>
      <c r="L19" s="163">
        <v>546</v>
      </c>
      <c r="M19" s="164"/>
      <c r="N19" s="164"/>
      <c r="O19" s="164"/>
      <c r="P19" s="165"/>
      <c r="Q19" s="100"/>
      <c r="R19" s="163">
        <v>546</v>
      </c>
      <c r="S19" s="165"/>
      <c r="T19" s="100"/>
      <c r="U19" s="163">
        <v>546</v>
      </c>
      <c r="V19" s="164"/>
      <c r="W19" s="164"/>
      <c r="X19" s="164"/>
      <c r="Y19" s="165"/>
      <c r="Z19" s="100"/>
      <c r="AA19" s="163">
        <v>546</v>
      </c>
      <c r="AB19" s="164"/>
      <c r="AC19" s="164"/>
      <c r="AD19" s="164"/>
      <c r="AE19" s="165"/>
      <c r="AF19" s="100"/>
      <c r="AG19" s="163">
        <v>546</v>
      </c>
      <c r="AH19" s="165"/>
      <c r="AI19" s="100"/>
      <c r="AJ19" s="163">
        <v>512</v>
      </c>
      <c r="AK19" s="164"/>
      <c r="AL19" s="164"/>
      <c r="AM19" s="165"/>
      <c r="AN19" s="100"/>
      <c r="AO19" s="163">
        <v>546</v>
      </c>
      <c r="AP19" s="164"/>
      <c r="AQ19" s="164"/>
      <c r="AR19" s="164"/>
      <c r="AS19" s="164"/>
      <c r="AT19" s="164"/>
      <c r="AU19" s="164"/>
      <c r="AV19" s="164"/>
      <c r="AW19" s="164"/>
      <c r="AX19" s="164"/>
      <c r="AY19" s="164"/>
      <c r="AZ19" s="165"/>
      <c r="BA19" s="100"/>
      <c r="BB19" s="163">
        <v>546</v>
      </c>
      <c r="BC19" s="164"/>
      <c r="BD19" s="164"/>
      <c r="BE19" s="164"/>
      <c r="BF19" s="164"/>
      <c r="BG19" s="164"/>
      <c r="BH19" s="164"/>
      <c r="BI19" s="164"/>
      <c r="BJ19" s="164"/>
      <c r="BK19" s="164"/>
      <c r="BL19" s="164"/>
      <c r="BM19" s="164"/>
      <c r="BN19" s="164"/>
      <c r="BO19" s="164"/>
      <c r="BP19" s="164"/>
      <c r="BQ19" s="164"/>
      <c r="BR19" s="164"/>
      <c r="BS19" s="164"/>
      <c r="BT19" s="164"/>
      <c r="BU19" s="164"/>
      <c r="BV19" s="165"/>
      <c r="BW19" s="100"/>
      <c r="BX19" s="163">
        <v>535</v>
      </c>
      <c r="BY19" s="164"/>
      <c r="BZ19" s="164"/>
      <c r="CA19" s="164"/>
      <c r="CB19" s="164"/>
      <c r="CC19" s="164"/>
      <c r="CD19" s="164"/>
      <c r="CE19" s="164"/>
      <c r="CF19" s="164"/>
      <c r="CG19" s="164"/>
      <c r="CH19" s="164"/>
      <c r="CI19" s="164"/>
      <c r="CJ19" s="164"/>
      <c r="CK19" s="164"/>
      <c r="CL19" s="164"/>
      <c r="CM19" s="164"/>
      <c r="CN19" s="164"/>
      <c r="CO19" s="164"/>
      <c r="CP19" s="164"/>
      <c r="CQ19" s="164"/>
      <c r="CR19" s="164"/>
      <c r="CS19" s="164"/>
      <c r="CT19" s="164"/>
      <c r="CU19" s="164"/>
      <c r="CV19" s="164"/>
      <c r="CW19" s="164"/>
      <c r="CX19" s="164"/>
      <c r="CY19" s="164"/>
      <c r="CZ19" s="164"/>
      <c r="DA19" s="164"/>
      <c r="DB19" s="164"/>
      <c r="DC19" s="164"/>
      <c r="DD19" s="164"/>
      <c r="DE19" s="164"/>
      <c r="DF19" s="164"/>
      <c r="DG19" s="164"/>
      <c r="DH19" s="164"/>
      <c r="DI19" s="164"/>
      <c r="DJ19" s="164"/>
      <c r="DK19" s="164"/>
      <c r="DL19" s="164"/>
      <c r="DM19" s="164"/>
      <c r="DN19" s="164"/>
      <c r="DO19" s="164"/>
      <c r="DP19" s="164"/>
      <c r="DQ19" s="164"/>
      <c r="DR19" s="164"/>
      <c r="DS19" s="164"/>
      <c r="DT19" s="164"/>
      <c r="DU19" s="164"/>
      <c r="DV19" s="164"/>
      <c r="DW19" s="164"/>
      <c r="DX19" s="164"/>
      <c r="DY19" s="164"/>
      <c r="DZ19" s="164"/>
      <c r="EA19" s="164"/>
      <c r="EB19" s="164"/>
      <c r="EC19" s="164"/>
      <c r="ED19" s="164"/>
      <c r="EE19" s="164"/>
      <c r="EF19" s="164"/>
      <c r="EG19" s="164"/>
      <c r="EH19" s="164"/>
      <c r="EI19" s="164"/>
      <c r="EJ19" s="164"/>
      <c r="EK19" s="164"/>
      <c r="EL19" s="164"/>
      <c r="EM19" s="164"/>
      <c r="EN19" s="164"/>
      <c r="EO19" s="164"/>
      <c r="EP19" s="164"/>
      <c r="EQ19" s="164"/>
      <c r="ER19" s="165"/>
      <c r="ES19" s="100"/>
      <c r="ET19" s="163">
        <v>546</v>
      </c>
      <c r="EU19" s="165"/>
      <c r="EV19" s="100"/>
      <c r="EW19" s="163">
        <v>513</v>
      </c>
      <c r="EX19" s="164"/>
      <c r="EY19" s="164"/>
      <c r="EZ19" s="164"/>
      <c r="FA19" s="165"/>
      <c r="FB19" s="100"/>
      <c r="FC19" s="106"/>
      <c r="FD19" s="106"/>
      <c r="FE19" s="100"/>
      <c r="FF19" s="106"/>
      <c r="FG19" s="106"/>
      <c r="FH19" s="100"/>
      <c r="FI19" s="106"/>
      <c r="FJ19" s="106"/>
      <c r="FK19" s="106"/>
      <c r="FL19" s="106"/>
    </row>
    <row r="20" spans="1:168" ht="15" customHeight="1" x14ac:dyDescent="0.25">
      <c r="A20" s="104"/>
      <c r="B20" s="104"/>
      <c r="C20" s="105" t="s">
        <v>172</v>
      </c>
      <c r="D20" s="106"/>
      <c r="E20" s="106"/>
      <c r="F20" s="106"/>
      <c r="G20" s="106"/>
      <c r="H20" s="106"/>
      <c r="I20" s="106"/>
      <c r="J20" s="106"/>
      <c r="K20" s="100"/>
      <c r="L20" s="127">
        <v>9.1999999999999998E-3</v>
      </c>
      <c r="M20" s="127">
        <v>6.2300000000000001E-2</v>
      </c>
      <c r="N20" s="127">
        <v>0.1447</v>
      </c>
      <c r="O20" s="127">
        <v>0.74909999999999999</v>
      </c>
      <c r="P20" s="127">
        <v>3.4799999999999998E-2</v>
      </c>
      <c r="Q20" s="100"/>
      <c r="R20" s="127">
        <v>0.63370000000000004</v>
      </c>
      <c r="S20" s="127">
        <v>0.36630000000000001</v>
      </c>
      <c r="T20" s="100"/>
      <c r="U20" s="127">
        <v>4.58E-2</v>
      </c>
      <c r="V20" s="127">
        <v>0.29849999999999999</v>
      </c>
      <c r="W20" s="127">
        <v>0.38279999999999997</v>
      </c>
      <c r="X20" s="127">
        <v>0.2344</v>
      </c>
      <c r="Y20" s="127">
        <v>3.85E-2</v>
      </c>
      <c r="Z20" s="100"/>
      <c r="AA20" s="127">
        <v>0.14099999999999999</v>
      </c>
      <c r="AB20" s="127">
        <v>0.39190000000000003</v>
      </c>
      <c r="AC20" s="127">
        <v>0.21060000000000001</v>
      </c>
      <c r="AD20" s="127">
        <v>0.11169999999999999</v>
      </c>
      <c r="AE20" s="127">
        <v>0.1447</v>
      </c>
      <c r="AF20" s="100"/>
      <c r="AG20" s="127">
        <v>0.96340000000000003</v>
      </c>
      <c r="AH20" s="127">
        <v>3.6600000000000001E-2</v>
      </c>
      <c r="AI20" s="100"/>
      <c r="AJ20" s="127">
        <v>0.36520000000000002</v>
      </c>
      <c r="AK20" s="127">
        <v>0.2051</v>
      </c>
      <c r="AL20" s="127">
        <v>0.2676</v>
      </c>
      <c r="AM20" s="127">
        <v>0.16209999999999999</v>
      </c>
      <c r="AN20" s="100"/>
      <c r="AO20" s="127">
        <v>1</v>
      </c>
      <c r="AP20" s="127">
        <v>0</v>
      </c>
      <c r="AQ20" s="127">
        <v>0</v>
      </c>
      <c r="AR20" s="127">
        <v>0</v>
      </c>
      <c r="AS20" s="127">
        <v>0</v>
      </c>
      <c r="AT20" s="127">
        <v>0</v>
      </c>
      <c r="AU20" s="127">
        <v>0</v>
      </c>
      <c r="AV20" s="127">
        <v>0</v>
      </c>
      <c r="AW20" s="127">
        <v>0</v>
      </c>
      <c r="AX20" s="127">
        <v>0</v>
      </c>
      <c r="AY20" s="127">
        <v>0</v>
      </c>
      <c r="AZ20" s="127">
        <v>0</v>
      </c>
      <c r="BA20" s="100"/>
      <c r="BB20" s="127">
        <v>1.2800000000000001E-2</v>
      </c>
      <c r="BC20" s="127">
        <v>1.0999999999999999E-2</v>
      </c>
      <c r="BD20" s="127">
        <v>9.8900000000000002E-2</v>
      </c>
      <c r="BE20" s="127">
        <v>9.1999999999999998E-3</v>
      </c>
      <c r="BF20" s="127">
        <v>9.1999999999999998E-3</v>
      </c>
      <c r="BG20" s="127">
        <v>7.51E-2</v>
      </c>
      <c r="BH20" s="127">
        <v>5.4999999999999997E-3</v>
      </c>
      <c r="BI20" s="127">
        <v>4.0300000000000002E-2</v>
      </c>
      <c r="BJ20" s="127">
        <v>0.28749999999999998</v>
      </c>
      <c r="BK20" s="127">
        <v>7.51E-2</v>
      </c>
      <c r="BL20" s="127">
        <v>9.1999999999999998E-3</v>
      </c>
      <c r="BM20" s="127">
        <v>7.3000000000000001E-3</v>
      </c>
      <c r="BN20" s="127">
        <v>1.2800000000000001E-2</v>
      </c>
      <c r="BO20" s="127">
        <v>3.1099999999999999E-2</v>
      </c>
      <c r="BP20" s="127">
        <v>9.1999999999999998E-3</v>
      </c>
      <c r="BQ20" s="127">
        <v>3.7000000000000002E-3</v>
      </c>
      <c r="BR20" s="127">
        <v>0.20150000000000001</v>
      </c>
      <c r="BS20" s="127">
        <v>3.7000000000000002E-3</v>
      </c>
      <c r="BT20" s="127">
        <v>1.6500000000000001E-2</v>
      </c>
      <c r="BU20" s="127">
        <v>1.0999999999999999E-2</v>
      </c>
      <c r="BV20" s="127">
        <v>6.9599999999999995E-2</v>
      </c>
      <c r="BW20" s="100"/>
      <c r="BX20" s="127">
        <v>0</v>
      </c>
      <c r="BY20" s="127">
        <v>1.9E-3</v>
      </c>
      <c r="BZ20" s="127">
        <v>1.12E-2</v>
      </c>
      <c r="CA20" s="127">
        <v>1.9E-3</v>
      </c>
      <c r="CB20" s="127">
        <v>1.9E-3</v>
      </c>
      <c r="CC20" s="127">
        <v>0</v>
      </c>
      <c r="CD20" s="127">
        <v>0</v>
      </c>
      <c r="CE20" s="127">
        <v>0</v>
      </c>
      <c r="CF20" s="127">
        <v>0</v>
      </c>
      <c r="CG20" s="127">
        <v>0</v>
      </c>
      <c r="CH20" s="127">
        <v>7.4999999999999997E-3</v>
      </c>
      <c r="CI20" s="127">
        <v>0</v>
      </c>
      <c r="CJ20" s="127">
        <v>0</v>
      </c>
      <c r="CK20" s="127">
        <v>9.2999999999999992E-3</v>
      </c>
      <c r="CL20" s="127">
        <v>3.7000000000000002E-3</v>
      </c>
      <c r="CM20" s="127">
        <v>7.4999999999999997E-3</v>
      </c>
      <c r="CN20" s="127">
        <v>0</v>
      </c>
      <c r="CO20" s="127">
        <v>2.06E-2</v>
      </c>
      <c r="CP20" s="127">
        <v>1.9E-3</v>
      </c>
      <c r="CQ20" s="127">
        <v>1.9E-3</v>
      </c>
      <c r="CR20" s="127">
        <v>6.54E-2</v>
      </c>
      <c r="CS20" s="127">
        <v>0</v>
      </c>
      <c r="CT20" s="127">
        <v>3.1800000000000002E-2</v>
      </c>
      <c r="CU20" s="127">
        <v>7.4999999999999997E-3</v>
      </c>
      <c r="CV20" s="127">
        <v>1.9E-3</v>
      </c>
      <c r="CW20" s="127">
        <v>0</v>
      </c>
      <c r="CX20" s="127">
        <v>0</v>
      </c>
      <c r="CY20" s="127">
        <v>0</v>
      </c>
      <c r="CZ20" s="127">
        <v>0</v>
      </c>
      <c r="DA20" s="127">
        <v>0</v>
      </c>
      <c r="DB20" s="127">
        <v>1.9E-3</v>
      </c>
      <c r="DC20" s="127">
        <v>7.4999999999999997E-3</v>
      </c>
      <c r="DD20" s="127">
        <v>5.2299999999999999E-2</v>
      </c>
      <c r="DE20" s="127">
        <v>2.4299999999999999E-2</v>
      </c>
      <c r="DF20" s="127">
        <v>1.4999999999999999E-2</v>
      </c>
      <c r="DG20" s="127">
        <v>0.25979999999999998</v>
      </c>
      <c r="DH20" s="127">
        <v>1.8700000000000001E-2</v>
      </c>
      <c r="DI20" s="127">
        <v>1.3100000000000001E-2</v>
      </c>
      <c r="DJ20" s="127">
        <v>9.2999999999999992E-3</v>
      </c>
      <c r="DK20" s="127">
        <v>1.3100000000000001E-2</v>
      </c>
      <c r="DL20" s="127">
        <v>2.6200000000000001E-2</v>
      </c>
      <c r="DM20" s="127">
        <v>1.12E-2</v>
      </c>
      <c r="DN20" s="127">
        <v>3.7000000000000002E-3</v>
      </c>
      <c r="DO20" s="127">
        <v>9.2999999999999992E-3</v>
      </c>
      <c r="DP20" s="127">
        <v>7.4999999999999997E-3</v>
      </c>
      <c r="DQ20" s="127">
        <v>1.3100000000000001E-2</v>
      </c>
      <c r="DR20" s="127">
        <v>3.1800000000000002E-2</v>
      </c>
      <c r="DS20" s="127">
        <v>0</v>
      </c>
      <c r="DT20" s="127">
        <v>9.2999999999999992E-3</v>
      </c>
      <c r="DU20" s="127">
        <v>3.7000000000000002E-3</v>
      </c>
      <c r="DV20" s="127">
        <v>7.4999999999999997E-3</v>
      </c>
      <c r="DW20" s="127">
        <v>1.4999999999999999E-2</v>
      </c>
      <c r="DX20" s="127">
        <v>3.1800000000000002E-2</v>
      </c>
      <c r="DY20" s="127">
        <v>1.9E-3</v>
      </c>
      <c r="DZ20" s="127">
        <v>1.6799999999999999E-2</v>
      </c>
      <c r="EA20" s="127">
        <v>5.6099999999999997E-2</v>
      </c>
      <c r="EB20" s="127">
        <v>2.4299999999999999E-2</v>
      </c>
      <c r="EC20" s="127">
        <v>1.4999999999999999E-2</v>
      </c>
      <c r="ED20" s="127">
        <v>3.7000000000000002E-3</v>
      </c>
      <c r="EE20" s="127">
        <v>1.3100000000000001E-2</v>
      </c>
      <c r="EF20" s="127">
        <v>3.7000000000000002E-3</v>
      </c>
      <c r="EG20" s="127">
        <v>9.2999999999999992E-3</v>
      </c>
      <c r="EH20" s="127">
        <v>5.5999999999999999E-3</v>
      </c>
      <c r="EI20" s="127">
        <v>1.9E-3</v>
      </c>
      <c r="EJ20" s="127">
        <v>3.7000000000000002E-3</v>
      </c>
      <c r="EK20" s="127">
        <v>7.4999999999999997E-3</v>
      </c>
      <c r="EL20" s="127">
        <v>3.5499999999999997E-2</v>
      </c>
      <c r="EM20" s="127">
        <v>3.5499999999999997E-2</v>
      </c>
      <c r="EN20" s="127">
        <v>5.5999999999999999E-3</v>
      </c>
      <c r="EO20" s="127">
        <v>0</v>
      </c>
      <c r="EP20" s="127">
        <v>0</v>
      </c>
      <c r="EQ20" s="127">
        <v>0</v>
      </c>
      <c r="ER20" s="127">
        <v>0</v>
      </c>
      <c r="ES20" s="100"/>
      <c r="ET20" s="127">
        <v>0.22159999999999999</v>
      </c>
      <c r="EU20" s="127">
        <v>0.77839999999999998</v>
      </c>
      <c r="EV20" s="100"/>
      <c r="EW20" s="153" t="e">
        <f>+EW5/$BM$19*100</f>
        <v>#DIV/0!</v>
      </c>
      <c r="EX20" s="153" t="e">
        <f>+EX5/$BM$19*100</f>
        <v>#DIV/0!</v>
      </c>
      <c r="EY20" s="153" t="e">
        <f>+EY5/$BM$19*100</f>
        <v>#DIV/0!</v>
      </c>
      <c r="EZ20" s="153" t="e">
        <f>+EZ5/$BM$19*100</f>
        <v>#DIV/0!</v>
      </c>
      <c r="FA20" s="153" t="e">
        <f>+FA5/$BM$19*100</f>
        <v>#DIV/0!</v>
      </c>
      <c r="FB20" s="100"/>
      <c r="FC20" s="106"/>
      <c r="FD20" s="106"/>
      <c r="FE20" s="100"/>
      <c r="FF20" s="106"/>
      <c r="FG20" s="106"/>
      <c r="FH20" s="100"/>
      <c r="FI20" s="106"/>
      <c r="FJ20" s="106"/>
      <c r="FK20" s="106"/>
      <c r="FL20" s="106"/>
    </row>
  </sheetData>
  <mergeCells count="42">
    <mergeCell ref="BX19:ER19"/>
    <mergeCell ref="ET19:EU19"/>
    <mergeCell ref="EW19:FA19"/>
    <mergeCell ref="FI1:FL1"/>
    <mergeCell ref="AA16:AE16"/>
    <mergeCell ref="AG16:AH16"/>
    <mergeCell ref="AJ16:AM16"/>
    <mergeCell ref="AO16:AZ16"/>
    <mergeCell ref="BB16:BV16"/>
    <mergeCell ref="BX16:ER16"/>
    <mergeCell ref="ET16:EU16"/>
    <mergeCell ref="EW16:FA16"/>
    <mergeCell ref="FC16:FD16"/>
    <mergeCell ref="FF16:FG16"/>
    <mergeCell ref="FI16:FL16"/>
    <mergeCell ref="BX1:ER1"/>
    <mergeCell ref="ET1:EU1"/>
    <mergeCell ref="EW1:FA1"/>
    <mergeCell ref="FC1:FD1"/>
    <mergeCell ref="FF1:FG1"/>
    <mergeCell ref="AA1:AE1"/>
    <mergeCell ref="AG1:AH1"/>
    <mergeCell ref="AJ1:AM1"/>
    <mergeCell ref="AO1:AZ1"/>
    <mergeCell ref="BB1:BV1"/>
    <mergeCell ref="L16:P16"/>
    <mergeCell ref="R16:S16"/>
    <mergeCell ref="U16:Y16"/>
    <mergeCell ref="L19:P19"/>
    <mergeCell ref="R19:S19"/>
    <mergeCell ref="U19:Y19"/>
    <mergeCell ref="AA19:AE19"/>
    <mergeCell ref="AG19:AH19"/>
    <mergeCell ref="AJ19:AM19"/>
    <mergeCell ref="AO19:AZ19"/>
    <mergeCell ref="BB19:BV19"/>
    <mergeCell ref="D1:J1"/>
    <mergeCell ref="L1:P1"/>
    <mergeCell ref="R1:S1"/>
    <mergeCell ref="U1:Y1"/>
    <mergeCell ref="A2:C2"/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109"/>
  <sheetViews>
    <sheetView topLeftCell="I70" zoomScale="80" zoomScaleNormal="80" workbookViewId="0">
      <selection activeCell="P81" sqref="P81"/>
    </sheetView>
  </sheetViews>
  <sheetFormatPr baseColWidth="10" defaultRowHeight="15" x14ac:dyDescent="0.25"/>
  <cols>
    <col min="1" max="1" width="6.5703125" customWidth="1"/>
    <col min="2" max="2" width="28.5703125" bestFit="1" customWidth="1"/>
    <col min="3" max="9" width="8" customWidth="1"/>
    <col min="10" max="10" width="9.28515625" customWidth="1"/>
    <col min="11" max="11" width="29.285156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21" max="21" width="8" customWidth="1"/>
    <col min="22" max="29" width="11.42578125" customWidth="1"/>
    <col min="31" max="31" width="27.28515625" bestFit="1" customWidth="1"/>
  </cols>
  <sheetData>
    <row r="1" spans="1:31" ht="37.5" customHeight="1" thickBot="1" x14ac:dyDescent="0.3">
      <c r="A1" s="95" t="s">
        <v>235</v>
      </c>
      <c r="B1" s="95" t="s">
        <v>236</v>
      </c>
      <c r="C1" s="95">
        <v>2017</v>
      </c>
      <c r="D1" s="95">
        <v>2016</v>
      </c>
      <c r="E1" s="95" t="s">
        <v>237</v>
      </c>
      <c r="F1" s="95" t="s">
        <v>386</v>
      </c>
      <c r="G1" s="95" t="s">
        <v>567</v>
      </c>
      <c r="H1" s="95" t="s">
        <v>568</v>
      </c>
      <c r="I1" s="95" t="s">
        <v>569</v>
      </c>
      <c r="J1" s="181" t="s">
        <v>236</v>
      </c>
      <c r="K1" s="181"/>
      <c r="L1" s="95" t="s">
        <v>238</v>
      </c>
      <c r="M1" s="95" t="s">
        <v>239</v>
      </c>
      <c r="N1" s="95">
        <v>2017</v>
      </c>
      <c r="O1" s="95">
        <v>2016</v>
      </c>
      <c r="P1" s="95" t="s">
        <v>237</v>
      </c>
      <c r="Q1" s="95" t="s">
        <v>386</v>
      </c>
      <c r="R1" s="37"/>
      <c r="S1" s="37"/>
      <c r="T1" s="37"/>
      <c r="U1" s="98" t="s">
        <v>240</v>
      </c>
      <c r="V1" s="48" t="s">
        <v>241</v>
      </c>
      <c r="W1" s="49" t="s">
        <v>242</v>
      </c>
      <c r="X1" s="50" t="s">
        <v>243</v>
      </c>
      <c r="Y1" s="51" t="s">
        <v>244</v>
      </c>
      <c r="Z1" s="71" t="s">
        <v>245</v>
      </c>
      <c r="AA1" s="52" t="s">
        <v>10</v>
      </c>
      <c r="AB1" s="52" t="s">
        <v>246</v>
      </c>
      <c r="AC1" s="52" t="s">
        <v>247</v>
      </c>
      <c r="AD1" s="37"/>
      <c r="AE1" s="53" t="s">
        <v>248</v>
      </c>
    </row>
    <row r="2" spans="1:31" ht="27" customHeight="1" thickBot="1" x14ac:dyDescent="0.3">
      <c r="A2" s="205" t="s">
        <v>249</v>
      </c>
      <c r="B2" s="189" t="s">
        <v>11</v>
      </c>
      <c r="C2" s="191">
        <v>72.86</v>
      </c>
      <c r="D2" s="191">
        <v>69.040000000000006</v>
      </c>
      <c r="E2" s="191">
        <v>77.650000000000006</v>
      </c>
      <c r="F2" s="191">
        <v>74.09</v>
      </c>
      <c r="G2" s="194">
        <v>3.82</v>
      </c>
      <c r="H2" s="194">
        <v>-4.79</v>
      </c>
      <c r="I2" s="194">
        <v>-1.23</v>
      </c>
      <c r="J2" s="211" t="s">
        <v>11</v>
      </c>
      <c r="K2" s="214" t="s">
        <v>250</v>
      </c>
      <c r="L2" s="54">
        <v>1</v>
      </c>
      <c r="M2" s="55" t="s">
        <v>570</v>
      </c>
      <c r="N2" s="56">
        <v>66.319999999999993</v>
      </c>
      <c r="O2" s="56">
        <v>61.58</v>
      </c>
      <c r="P2" s="56">
        <v>71.930000000000007</v>
      </c>
      <c r="Q2" s="56">
        <v>68.7</v>
      </c>
      <c r="R2" s="59">
        <v>4.74</v>
      </c>
      <c r="S2" s="37"/>
      <c r="T2" s="37"/>
      <c r="U2" s="73">
        <v>2017</v>
      </c>
      <c r="V2" s="73">
        <v>72.45</v>
      </c>
      <c r="W2" s="73">
        <v>73.41</v>
      </c>
      <c r="X2" s="73">
        <v>67.709999999999994</v>
      </c>
      <c r="Y2" s="73">
        <v>70.150000000000006</v>
      </c>
      <c r="Z2" s="73">
        <v>74.08</v>
      </c>
      <c r="AA2" s="73">
        <v>71.31</v>
      </c>
      <c r="AB2" s="73">
        <v>71.569999999999993</v>
      </c>
      <c r="AC2" s="73">
        <v>68.08</v>
      </c>
      <c r="AD2" s="37"/>
      <c r="AE2" s="58" t="s">
        <v>251</v>
      </c>
    </row>
    <row r="3" spans="1:31" ht="27" customHeight="1" thickTop="1" thickBot="1" x14ac:dyDescent="0.3">
      <c r="A3" s="206"/>
      <c r="B3" s="190"/>
      <c r="C3" s="192"/>
      <c r="D3" s="192"/>
      <c r="E3" s="192"/>
      <c r="F3" s="192"/>
      <c r="G3" s="170"/>
      <c r="H3" s="170"/>
      <c r="I3" s="170"/>
      <c r="J3" s="212"/>
      <c r="K3" s="215"/>
      <c r="L3" s="54">
        <v>2</v>
      </c>
      <c r="M3" s="55" t="s">
        <v>252</v>
      </c>
      <c r="N3" s="56">
        <v>66.88</v>
      </c>
      <c r="O3" s="56">
        <v>64.290000000000006</v>
      </c>
      <c r="P3" s="56">
        <v>72.400000000000006</v>
      </c>
      <c r="Q3" s="56">
        <v>69.17</v>
      </c>
      <c r="R3" s="59">
        <v>2.59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58" t="s">
        <v>143</v>
      </c>
    </row>
    <row r="4" spans="1:31" ht="27" customHeight="1" thickTop="1" thickBot="1" x14ac:dyDescent="0.3">
      <c r="A4" s="206"/>
      <c r="B4" s="190"/>
      <c r="C4" s="192"/>
      <c r="D4" s="192"/>
      <c r="E4" s="192"/>
      <c r="F4" s="192"/>
      <c r="G4" s="170"/>
      <c r="H4" s="170"/>
      <c r="I4" s="170"/>
      <c r="J4" s="212"/>
      <c r="K4" s="216" t="s">
        <v>253</v>
      </c>
      <c r="L4" s="54">
        <v>3</v>
      </c>
      <c r="M4" s="55" t="s">
        <v>254</v>
      </c>
      <c r="N4" s="56">
        <v>78.540000000000006</v>
      </c>
      <c r="O4" s="56">
        <v>72.34</v>
      </c>
      <c r="P4" s="56">
        <v>81.36</v>
      </c>
      <c r="Q4" s="56">
        <v>77.56</v>
      </c>
      <c r="R4" s="72">
        <v>6.2</v>
      </c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58" t="s">
        <v>255</v>
      </c>
    </row>
    <row r="5" spans="1:31" ht="27" customHeight="1" thickTop="1" thickBot="1" x14ac:dyDescent="0.3">
      <c r="A5" s="206"/>
      <c r="B5" s="190"/>
      <c r="C5" s="193"/>
      <c r="D5" s="193"/>
      <c r="E5" s="193"/>
      <c r="F5" s="193"/>
      <c r="G5" s="195"/>
      <c r="H5" s="195"/>
      <c r="I5" s="195"/>
      <c r="J5" s="213"/>
      <c r="K5" s="215"/>
      <c r="L5" s="54">
        <v>4</v>
      </c>
      <c r="M5" s="55" t="s">
        <v>256</v>
      </c>
      <c r="N5" s="56">
        <v>79.709999999999994</v>
      </c>
      <c r="O5" s="56">
        <v>77.94</v>
      </c>
      <c r="P5" s="56">
        <v>84.9</v>
      </c>
      <c r="Q5" s="56">
        <v>80.92</v>
      </c>
      <c r="R5" s="59">
        <v>1.77</v>
      </c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58" t="s">
        <v>257</v>
      </c>
    </row>
    <row r="6" spans="1:31" ht="27" customHeight="1" thickTop="1" thickBot="1" x14ac:dyDescent="0.3">
      <c r="A6" s="206"/>
      <c r="B6" s="190" t="s">
        <v>12</v>
      </c>
      <c r="C6" s="196">
        <v>74.16</v>
      </c>
      <c r="D6" s="196">
        <v>70.680000000000007</v>
      </c>
      <c r="E6" s="196">
        <v>79.209999999999994</v>
      </c>
      <c r="F6" s="196">
        <v>76.3</v>
      </c>
      <c r="G6" s="169">
        <v>3.48</v>
      </c>
      <c r="H6" s="169">
        <v>-5.05</v>
      </c>
      <c r="I6" s="169">
        <v>-2.14</v>
      </c>
      <c r="J6" s="217" t="s">
        <v>12</v>
      </c>
      <c r="K6" s="216" t="s">
        <v>258</v>
      </c>
      <c r="L6" s="54">
        <v>5</v>
      </c>
      <c r="M6" s="55" t="s">
        <v>259</v>
      </c>
      <c r="N6" s="56">
        <v>76.650000000000006</v>
      </c>
      <c r="O6" s="56">
        <v>71.540000000000006</v>
      </c>
      <c r="P6" s="56">
        <v>82.09</v>
      </c>
      <c r="Q6" s="56">
        <v>78.34</v>
      </c>
      <c r="R6" s="72">
        <v>5.1100000000000003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58" t="s">
        <v>260</v>
      </c>
    </row>
    <row r="7" spans="1:31" ht="27" customHeight="1" thickTop="1" thickBot="1" x14ac:dyDescent="0.3">
      <c r="A7" s="206"/>
      <c r="B7" s="190"/>
      <c r="C7" s="192"/>
      <c r="D7" s="192"/>
      <c r="E7" s="192"/>
      <c r="F7" s="192"/>
      <c r="G7" s="170"/>
      <c r="H7" s="170"/>
      <c r="I7" s="170"/>
      <c r="J7" s="212"/>
      <c r="K7" s="218"/>
      <c r="L7" s="54">
        <v>6</v>
      </c>
      <c r="M7" s="55" t="s">
        <v>261</v>
      </c>
      <c r="N7" s="56">
        <v>66.599999999999994</v>
      </c>
      <c r="O7" s="56">
        <v>67.489999999999995</v>
      </c>
      <c r="P7" s="56">
        <v>78.010000000000005</v>
      </c>
      <c r="Q7" s="56">
        <v>74.22</v>
      </c>
      <c r="R7" s="59">
        <v>-0.89</v>
      </c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58" t="s">
        <v>262</v>
      </c>
    </row>
    <row r="8" spans="1:31" ht="27" customHeight="1" thickTop="1" x14ac:dyDescent="0.25">
      <c r="A8" s="206"/>
      <c r="B8" s="190"/>
      <c r="C8" s="192"/>
      <c r="D8" s="192"/>
      <c r="E8" s="192"/>
      <c r="F8" s="192"/>
      <c r="G8" s="170"/>
      <c r="H8" s="170"/>
      <c r="I8" s="170"/>
      <c r="J8" s="212"/>
      <c r="K8" s="215"/>
      <c r="L8" s="54">
        <v>7</v>
      </c>
      <c r="M8" s="55" t="s">
        <v>263</v>
      </c>
      <c r="N8" s="56">
        <v>66.459999999999994</v>
      </c>
      <c r="O8" s="60">
        <v>59.33</v>
      </c>
      <c r="P8" s="56">
        <v>68.849999999999994</v>
      </c>
      <c r="Q8" s="56">
        <v>68.069999999999993</v>
      </c>
      <c r="R8" s="72">
        <v>7.13</v>
      </c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</row>
    <row r="9" spans="1:31" ht="27" customHeight="1" x14ac:dyDescent="0.25">
      <c r="A9" s="206"/>
      <c r="B9" s="190"/>
      <c r="C9" s="192"/>
      <c r="D9" s="192"/>
      <c r="E9" s="192"/>
      <c r="F9" s="192"/>
      <c r="G9" s="170"/>
      <c r="H9" s="170"/>
      <c r="I9" s="170"/>
      <c r="J9" s="212"/>
      <c r="K9" s="216" t="s">
        <v>264</v>
      </c>
      <c r="L9" s="54">
        <v>8</v>
      </c>
      <c r="M9" s="55" t="s">
        <v>265</v>
      </c>
      <c r="N9" s="56">
        <v>77.94</v>
      </c>
      <c r="O9" s="56">
        <v>76.31</v>
      </c>
      <c r="P9" s="56">
        <v>82.88</v>
      </c>
      <c r="Q9" s="56">
        <v>80.41</v>
      </c>
      <c r="R9" s="59">
        <v>1.63</v>
      </c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27" customHeight="1" x14ac:dyDescent="0.25">
      <c r="A10" s="206"/>
      <c r="B10" s="190"/>
      <c r="C10" s="192"/>
      <c r="D10" s="192"/>
      <c r="E10" s="192"/>
      <c r="F10" s="192"/>
      <c r="G10" s="170"/>
      <c r="H10" s="170"/>
      <c r="I10" s="170"/>
      <c r="J10" s="212"/>
      <c r="K10" s="215"/>
      <c r="L10" s="54">
        <v>9</v>
      </c>
      <c r="M10" s="55" t="s">
        <v>571</v>
      </c>
      <c r="N10" s="57">
        <v>85.71</v>
      </c>
      <c r="O10" s="56">
        <v>84.7</v>
      </c>
      <c r="P10" s="57">
        <v>86.01</v>
      </c>
      <c r="Q10" s="56">
        <v>85.47</v>
      </c>
      <c r="R10" s="59">
        <v>1.01</v>
      </c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</row>
    <row r="11" spans="1:31" ht="27" customHeight="1" x14ac:dyDescent="0.25">
      <c r="A11" s="206"/>
      <c r="B11" s="190"/>
      <c r="C11" s="193"/>
      <c r="D11" s="193"/>
      <c r="E11" s="193"/>
      <c r="F11" s="193"/>
      <c r="G11" s="195"/>
      <c r="H11" s="195"/>
      <c r="I11" s="195"/>
      <c r="J11" s="213"/>
      <c r="K11" s="96" t="s">
        <v>266</v>
      </c>
      <c r="L11" s="54">
        <v>10</v>
      </c>
      <c r="M11" s="55" t="s">
        <v>267</v>
      </c>
      <c r="N11" s="56">
        <v>71.58</v>
      </c>
      <c r="O11" s="56">
        <v>64.709999999999994</v>
      </c>
      <c r="P11" s="56">
        <v>77.41</v>
      </c>
      <c r="Q11" s="56">
        <v>71.28</v>
      </c>
      <c r="R11" s="72">
        <v>6.87</v>
      </c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27" customHeight="1" x14ac:dyDescent="0.25">
      <c r="A12" s="206"/>
      <c r="B12" s="190" t="s">
        <v>13</v>
      </c>
      <c r="C12" s="196">
        <v>69.47</v>
      </c>
      <c r="D12" s="196">
        <v>68.489999999999995</v>
      </c>
      <c r="E12" s="196">
        <v>79.099999999999994</v>
      </c>
      <c r="F12" s="196">
        <v>72.11</v>
      </c>
      <c r="G12" s="169">
        <v>0.98</v>
      </c>
      <c r="H12" s="169">
        <v>-9.6300000000000008</v>
      </c>
      <c r="I12" s="169">
        <v>-2.64</v>
      </c>
      <c r="J12" s="217" t="s">
        <v>13</v>
      </c>
      <c r="K12" s="216" t="s">
        <v>268</v>
      </c>
      <c r="L12" s="54">
        <v>11</v>
      </c>
      <c r="M12" s="55" t="s">
        <v>269</v>
      </c>
      <c r="N12" s="56">
        <v>66.739999999999995</v>
      </c>
      <c r="O12" s="56">
        <v>66.67</v>
      </c>
      <c r="P12" s="56">
        <v>74.319999999999993</v>
      </c>
      <c r="Q12" s="56">
        <v>69.52</v>
      </c>
      <c r="R12" s="59">
        <v>7.0000000000000007E-2</v>
      </c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27" customHeight="1" x14ac:dyDescent="0.25">
      <c r="A13" s="206"/>
      <c r="B13" s="190"/>
      <c r="C13" s="192"/>
      <c r="D13" s="192"/>
      <c r="E13" s="192"/>
      <c r="F13" s="192"/>
      <c r="G13" s="170"/>
      <c r="H13" s="170"/>
      <c r="I13" s="170"/>
      <c r="J13" s="212"/>
      <c r="K13" s="218"/>
      <c r="L13" s="54">
        <v>12</v>
      </c>
      <c r="M13" s="55" t="s">
        <v>270</v>
      </c>
      <c r="N13" s="56">
        <v>70.400000000000006</v>
      </c>
      <c r="O13" s="56">
        <v>68.41</v>
      </c>
      <c r="P13" s="56">
        <v>74.2</v>
      </c>
      <c r="Q13" s="56">
        <v>72.569999999999993</v>
      </c>
      <c r="R13" s="59">
        <v>1.99</v>
      </c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27" customHeight="1" x14ac:dyDescent="0.25">
      <c r="A14" s="206"/>
      <c r="B14" s="190"/>
      <c r="C14" s="192"/>
      <c r="D14" s="192"/>
      <c r="E14" s="192"/>
      <c r="F14" s="192"/>
      <c r="G14" s="170"/>
      <c r="H14" s="170"/>
      <c r="I14" s="170"/>
      <c r="J14" s="212"/>
      <c r="K14" s="215"/>
      <c r="L14" s="54">
        <v>13</v>
      </c>
      <c r="M14" s="55" t="s">
        <v>271</v>
      </c>
      <c r="N14" s="60">
        <v>58</v>
      </c>
      <c r="O14" s="60">
        <v>58.57</v>
      </c>
      <c r="P14" s="56">
        <v>81.02</v>
      </c>
      <c r="Q14" s="56">
        <v>61.39</v>
      </c>
      <c r="R14" s="59">
        <v>-0.56999999999999995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</row>
    <row r="15" spans="1:31" ht="27" customHeight="1" thickBot="1" x14ac:dyDescent="0.3">
      <c r="A15" s="207"/>
      <c r="B15" s="201"/>
      <c r="C15" s="197"/>
      <c r="D15" s="197"/>
      <c r="E15" s="197"/>
      <c r="F15" s="197"/>
      <c r="G15" s="171"/>
      <c r="H15" s="171"/>
      <c r="I15" s="171"/>
      <c r="J15" s="219"/>
      <c r="K15" s="96" t="s">
        <v>272</v>
      </c>
      <c r="L15" s="54">
        <v>14</v>
      </c>
      <c r="M15" s="55" t="s">
        <v>273</v>
      </c>
      <c r="N15" s="56">
        <v>82.73</v>
      </c>
      <c r="O15" s="56">
        <v>80.34</v>
      </c>
      <c r="P15" s="57">
        <v>86.87</v>
      </c>
      <c r="Q15" s="56">
        <v>84.98</v>
      </c>
      <c r="R15" s="59">
        <v>2.39</v>
      </c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37.5" customHeight="1" thickBot="1" x14ac:dyDescent="0.3">
      <c r="A16" s="95" t="s">
        <v>235</v>
      </c>
      <c r="B16" s="95" t="s">
        <v>236</v>
      </c>
      <c r="C16" s="95">
        <v>2017</v>
      </c>
      <c r="D16" s="95">
        <v>2016</v>
      </c>
      <c r="E16" s="95" t="s">
        <v>237</v>
      </c>
      <c r="F16" s="95" t="s">
        <v>386</v>
      </c>
      <c r="G16" s="95" t="s">
        <v>567</v>
      </c>
      <c r="H16" s="95" t="s">
        <v>568</v>
      </c>
      <c r="I16" s="95" t="s">
        <v>569</v>
      </c>
      <c r="J16" s="181" t="s">
        <v>236</v>
      </c>
      <c r="K16" s="181"/>
      <c r="L16" s="95" t="s">
        <v>238</v>
      </c>
      <c r="M16" s="95" t="s">
        <v>239</v>
      </c>
      <c r="N16" s="95">
        <v>2017</v>
      </c>
      <c r="O16" s="95">
        <v>2016</v>
      </c>
      <c r="P16" s="95" t="s">
        <v>237</v>
      </c>
      <c r="Q16" s="95" t="s">
        <v>386</v>
      </c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27" customHeight="1" x14ac:dyDescent="0.25">
      <c r="A17" s="208" t="s">
        <v>274</v>
      </c>
      <c r="B17" s="189" t="s">
        <v>14</v>
      </c>
      <c r="C17" s="191">
        <v>74.599999999999994</v>
      </c>
      <c r="D17" s="191">
        <v>72.3</v>
      </c>
      <c r="E17" s="191">
        <v>76.66</v>
      </c>
      <c r="F17" s="191">
        <v>76.430000000000007</v>
      </c>
      <c r="G17" s="194">
        <v>2.2999999999999998</v>
      </c>
      <c r="H17" s="194">
        <v>-2.06</v>
      </c>
      <c r="I17" s="194">
        <v>-1.83</v>
      </c>
      <c r="J17" s="220" t="s">
        <v>14</v>
      </c>
      <c r="K17" s="223" t="s">
        <v>275</v>
      </c>
      <c r="L17" s="54">
        <v>15</v>
      </c>
      <c r="M17" s="55" t="s">
        <v>276</v>
      </c>
      <c r="N17" s="56">
        <v>69.17</v>
      </c>
      <c r="O17" s="56">
        <v>69.599999999999994</v>
      </c>
      <c r="P17" s="56">
        <v>73.25</v>
      </c>
      <c r="Q17" s="56">
        <v>73.319999999999993</v>
      </c>
      <c r="R17" s="59">
        <v>-0.43</v>
      </c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1:31" ht="27" customHeight="1" x14ac:dyDescent="0.25">
      <c r="A18" s="209"/>
      <c r="B18" s="190"/>
      <c r="C18" s="192"/>
      <c r="D18" s="192"/>
      <c r="E18" s="192"/>
      <c r="F18" s="192"/>
      <c r="G18" s="170"/>
      <c r="H18" s="170"/>
      <c r="I18" s="170"/>
      <c r="J18" s="221"/>
      <c r="K18" s="224"/>
      <c r="L18" s="54">
        <v>16</v>
      </c>
      <c r="M18" s="55" t="s">
        <v>277</v>
      </c>
      <c r="N18" s="57">
        <v>86.25</v>
      </c>
      <c r="O18" s="56">
        <v>82.6</v>
      </c>
      <c r="P18" s="56">
        <v>82.08</v>
      </c>
      <c r="Q18" s="57">
        <v>90.32</v>
      </c>
      <c r="R18" s="59">
        <v>3.65</v>
      </c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ht="27" customHeight="1" x14ac:dyDescent="0.25">
      <c r="A19" s="209"/>
      <c r="B19" s="190"/>
      <c r="C19" s="192"/>
      <c r="D19" s="192"/>
      <c r="E19" s="192"/>
      <c r="F19" s="192"/>
      <c r="G19" s="170"/>
      <c r="H19" s="170"/>
      <c r="I19" s="170"/>
      <c r="J19" s="221"/>
      <c r="K19" s="225" t="s">
        <v>278</v>
      </c>
      <c r="L19" s="54">
        <v>17</v>
      </c>
      <c r="M19" s="55" t="s">
        <v>279</v>
      </c>
      <c r="N19" s="56">
        <v>65.209999999999994</v>
      </c>
      <c r="O19" s="56">
        <v>62.27</v>
      </c>
      <c r="P19" s="56">
        <v>70.37</v>
      </c>
      <c r="Q19" s="56">
        <v>67.760000000000005</v>
      </c>
      <c r="R19" s="59">
        <v>2.94</v>
      </c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ht="27" customHeight="1" x14ac:dyDescent="0.25">
      <c r="A20" s="209"/>
      <c r="B20" s="190"/>
      <c r="C20" s="193"/>
      <c r="D20" s="193"/>
      <c r="E20" s="193"/>
      <c r="F20" s="193"/>
      <c r="G20" s="195"/>
      <c r="H20" s="195"/>
      <c r="I20" s="195"/>
      <c r="J20" s="222"/>
      <c r="K20" s="224"/>
      <c r="L20" s="54">
        <v>18</v>
      </c>
      <c r="M20" s="55" t="s">
        <v>280</v>
      </c>
      <c r="N20" s="56">
        <v>77.78</v>
      </c>
      <c r="O20" s="56">
        <v>74.72</v>
      </c>
      <c r="P20" s="56">
        <v>80.94</v>
      </c>
      <c r="Q20" s="56">
        <v>74.31</v>
      </c>
      <c r="R20" s="59">
        <v>3.06</v>
      </c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ht="27" customHeight="1" x14ac:dyDescent="0.25">
      <c r="A21" s="209"/>
      <c r="B21" s="190" t="s">
        <v>15</v>
      </c>
      <c r="C21" s="196">
        <v>68.69</v>
      </c>
      <c r="D21" s="196">
        <v>64.569999999999993</v>
      </c>
      <c r="E21" s="196">
        <v>73.13</v>
      </c>
      <c r="F21" s="196">
        <v>69.81</v>
      </c>
      <c r="G21" s="169">
        <v>4.12</v>
      </c>
      <c r="H21" s="169">
        <v>-4.4400000000000004</v>
      </c>
      <c r="I21" s="169">
        <v>-1.1200000000000001</v>
      </c>
      <c r="J21" s="226" t="s">
        <v>15</v>
      </c>
      <c r="K21" s="225" t="s">
        <v>572</v>
      </c>
      <c r="L21" s="54">
        <v>19</v>
      </c>
      <c r="M21" s="55" t="s">
        <v>281</v>
      </c>
      <c r="N21" s="56">
        <v>72.12</v>
      </c>
      <c r="O21" s="56">
        <v>68.319999999999993</v>
      </c>
      <c r="P21" s="56">
        <v>76.94</v>
      </c>
      <c r="Q21" s="56">
        <v>73.540000000000006</v>
      </c>
      <c r="R21" s="59">
        <v>3.8</v>
      </c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ht="27" customHeight="1" x14ac:dyDescent="0.25">
      <c r="A22" s="209"/>
      <c r="B22" s="190"/>
      <c r="C22" s="193"/>
      <c r="D22" s="193"/>
      <c r="E22" s="193"/>
      <c r="F22" s="193"/>
      <c r="G22" s="195"/>
      <c r="H22" s="195"/>
      <c r="I22" s="195"/>
      <c r="J22" s="222"/>
      <c r="K22" s="224"/>
      <c r="L22" s="54">
        <v>20</v>
      </c>
      <c r="M22" s="55" t="s">
        <v>282</v>
      </c>
      <c r="N22" s="56">
        <v>65.25</v>
      </c>
      <c r="O22" s="56">
        <v>60.82</v>
      </c>
      <c r="P22" s="56">
        <v>69.31</v>
      </c>
      <c r="Q22" s="56">
        <v>66.069999999999993</v>
      </c>
      <c r="R22" s="59">
        <v>4.43</v>
      </c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ht="27" customHeight="1" x14ac:dyDescent="0.25">
      <c r="A23" s="209"/>
      <c r="B23" s="190" t="s">
        <v>16</v>
      </c>
      <c r="C23" s="196">
        <v>74.069999999999993</v>
      </c>
      <c r="D23" s="196">
        <v>71.52</v>
      </c>
      <c r="E23" s="196">
        <v>79.02</v>
      </c>
      <c r="F23" s="196">
        <v>77.8</v>
      </c>
      <c r="G23" s="169">
        <v>2.5499999999999998</v>
      </c>
      <c r="H23" s="169">
        <v>-4.95</v>
      </c>
      <c r="I23" s="169">
        <v>-3.73</v>
      </c>
      <c r="J23" s="226" t="s">
        <v>16</v>
      </c>
      <c r="K23" s="225" t="s">
        <v>283</v>
      </c>
      <c r="L23" s="54">
        <v>21</v>
      </c>
      <c r="M23" s="55" t="s">
        <v>284</v>
      </c>
      <c r="N23" s="57">
        <v>96.25</v>
      </c>
      <c r="O23" s="57">
        <v>95.04</v>
      </c>
      <c r="P23" s="57">
        <v>89.53</v>
      </c>
      <c r="Q23" s="57">
        <v>96.25</v>
      </c>
      <c r="R23" s="59">
        <v>1.21</v>
      </c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27" customHeight="1" x14ac:dyDescent="0.25">
      <c r="A24" s="209"/>
      <c r="B24" s="190"/>
      <c r="C24" s="192"/>
      <c r="D24" s="192"/>
      <c r="E24" s="192"/>
      <c r="F24" s="192"/>
      <c r="G24" s="170"/>
      <c r="H24" s="170"/>
      <c r="I24" s="170"/>
      <c r="J24" s="221"/>
      <c r="K24" s="228"/>
      <c r="L24" s="54">
        <v>22</v>
      </c>
      <c r="M24" s="55" t="s">
        <v>285</v>
      </c>
      <c r="N24" s="56">
        <v>66.599999999999994</v>
      </c>
      <c r="O24" s="60">
        <v>58.21</v>
      </c>
      <c r="P24" s="56">
        <v>76.599999999999994</v>
      </c>
      <c r="Q24" s="56">
        <v>66.41</v>
      </c>
      <c r="R24" s="72">
        <v>8.39</v>
      </c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ht="27" customHeight="1" x14ac:dyDescent="0.25">
      <c r="A25" s="209"/>
      <c r="B25" s="190"/>
      <c r="C25" s="192"/>
      <c r="D25" s="192"/>
      <c r="E25" s="192"/>
      <c r="F25" s="192"/>
      <c r="G25" s="170"/>
      <c r="H25" s="170"/>
      <c r="I25" s="170"/>
      <c r="J25" s="221"/>
      <c r="K25" s="224"/>
      <c r="L25" s="54">
        <v>23</v>
      </c>
      <c r="M25" s="55" t="s">
        <v>286</v>
      </c>
      <c r="N25" s="57">
        <v>89.26</v>
      </c>
      <c r="O25" s="57">
        <v>90.24</v>
      </c>
      <c r="P25" s="56">
        <v>80.63</v>
      </c>
      <c r="Q25" s="57">
        <v>89.46</v>
      </c>
      <c r="R25" s="59">
        <v>-0.98</v>
      </c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ht="27" customHeight="1" x14ac:dyDescent="0.25">
      <c r="A26" s="209"/>
      <c r="B26" s="190"/>
      <c r="C26" s="192"/>
      <c r="D26" s="192"/>
      <c r="E26" s="192"/>
      <c r="F26" s="192"/>
      <c r="G26" s="170"/>
      <c r="H26" s="170"/>
      <c r="I26" s="170"/>
      <c r="J26" s="221"/>
      <c r="K26" s="225" t="s">
        <v>287</v>
      </c>
      <c r="L26" s="54">
        <v>24</v>
      </c>
      <c r="M26" s="55" t="s">
        <v>288</v>
      </c>
      <c r="N26" s="56">
        <v>83.76</v>
      </c>
      <c r="O26" s="56">
        <v>83.52</v>
      </c>
      <c r="P26" s="56">
        <v>84.95</v>
      </c>
      <c r="Q26" s="56">
        <v>84.92</v>
      </c>
      <c r="R26" s="59">
        <v>0.24</v>
      </c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ht="27" customHeight="1" x14ac:dyDescent="0.25">
      <c r="A27" s="209"/>
      <c r="B27" s="190"/>
      <c r="C27" s="192"/>
      <c r="D27" s="192"/>
      <c r="E27" s="192"/>
      <c r="F27" s="192"/>
      <c r="G27" s="170"/>
      <c r="H27" s="170"/>
      <c r="I27" s="170"/>
      <c r="J27" s="221"/>
      <c r="K27" s="228"/>
      <c r="L27" s="54">
        <v>25</v>
      </c>
      <c r="M27" s="55" t="s">
        <v>289</v>
      </c>
      <c r="N27" s="60">
        <v>56.36</v>
      </c>
      <c r="O27" s="60">
        <v>56.82</v>
      </c>
      <c r="P27" s="56">
        <v>70.97</v>
      </c>
      <c r="Q27" s="56">
        <v>60.94</v>
      </c>
      <c r="R27" s="59">
        <v>-0.46</v>
      </c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1:31" ht="27" customHeight="1" x14ac:dyDescent="0.25">
      <c r="A28" s="209"/>
      <c r="B28" s="190"/>
      <c r="C28" s="192"/>
      <c r="D28" s="192"/>
      <c r="E28" s="192"/>
      <c r="F28" s="192"/>
      <c r="G28" s="170"/>
      <c r="H28" s="170"/>
      <c r="I28" s="170"/>
      <c r="J28" s="221"/>
      <c r="K28" s="228"/>
      <c r="L28" s="54">
        <v>26</v>
      </c>
      <c r="M28" s="55" t="s">
        <v>290</v>
      </c>
      <c r="N28" s="56">
        <v>73.209999999999994</v>
      </c>
      <c r="O28" s="56">
        <v>68.22</v>
      </c>
      <c r="P28" s="56">
        <v>78.45</v>
      </c>
      <c r="Q28" s="56">
        <v>71.95</v>
      </c>
      <c r="R28" s="59">
        <v>4.99</v>
      </c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1:31" ht="27" customHeight="1" thickBot="1" x14ac:dyDescent="0.3">
      <c r="A29" s="210"/>
      <c r="B29" s="201"/>
      <c r="C29" s="197"/>
      <c r="D29" s="197"/>
      <c r="E29" s="197"/>
      <c r="F29" s="197"/>
      <c r="G29" s="171"/>
      <c r="H29" s="171"/>
      <c r="I29" s="171"/>
      <c r="J29" s="227"/>
      <c r="K29" s="229"/>
      <c r="L29" s="54">
        <v>27</v>
      </c>
      <c r="M29" s="55" t="s">
        <v>291</v>
      </c>
      <c r="N29" s="60">
        <v>53.07</v>
      </c>
      <c r="O29" s="60">
        <v>48.6</v>
      </c>
      <c r="P29" s="56">
        <v>72.040000000000006</v>
      </c>
      <c r="Q29" s="56">
        <v>74.650000000000006</v>
      </c>
      <c r="R29" s="59">
        <v>4.47</v>
      </c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1:31" ht="37.5" customHeight="1" thickBot="1" x14ac:dyDescent="0.3">
      <c r="A30" s="95" t="s">
        <v>235</v>
      </c>
      <c r="B30" s="95" t="s">
        <v>236</v>
      </c>
      <c r="C30" s="95">
        <v>2017</v>
      </c>
      <c r="D30" s="95">
        <v>2016</v>
      </c>
      <c r="E30" s="95" t="s">
        <v>237</v>
      </c>
      <c r="F30" s="95" t="s">
        <v>386</v>
      </c>
      <c r="G30" s="95" t="s">
        <v>567</v>
      </c>
      <c r="H30" s="95" t="s">
        <v>568</v>
      </c>
      <c r="I30" s="95" t="s">
        <v>569</v>
      </c>
      <c r="J30" s="181" t="s">
        <v>236</v>
      </c>
      <c r="K30" s="181"/>
      <c r="L30" s="95" t="s">
        <v>238</v>
      </c>
      <c r="M30" s="95" t="s">
        <v>239</v>
      </c>
      <c r="N30" s="95">
        <v>2017</v>
      </c>
      <c r="O30" s="95">
        <v>2016</v>
      </c>
      <c r="P30" s="95" t="s">
        <v>237</v>
      </c>
      <c r="Q30" s="95" t="s">
        <v>386</v>
      </c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1:31" ht="27" customHeight="1" x14ac:dyDescent="0.25">
      <c r="A31" s="202" t="s">
        <v>292</v>
      </c>
      <c r="B31" s="189" t="s">
        <v>17</v>
      </c>
      <c r="C31" s="191">
        <v>50.01</v>
      </c>
      <c r="D31" s="191">
        <v>48.03</v>
      </c>
      <c r="E31" s="191">
        <v>63.26</v>
      </c>
      <c r="F31" s="191">
        <v>65.86</v>
      </c>
      <c r="G31" s="194">
        <v>1.98</v>
      </c>
      <c r="H31" s="194">
        <v>-13.25</v>
      </c>
      <c r="I31" s="194">
        <v>-15.85</v>
      </c>
      <c r="J31" s="230" t="s">
        <v>17</v>
      </c>
      <c r="K31" s="233" t="s">
        <v>293</v>
      </c>
      <c r="L31" s="54">
        <v>28</v>
      </c>
      <c r="M31" s="55" t="s">
        <v>294</v>
      </c>
      <c r="N31" s="61">
        <v>30.96</v>
      </c>
      <c r="O31" s="61">
        <v>31.49</v>
      </c>
      <c r="P31" s="60">
        <v>51.79</v>
      </c>
      <c r="Q31" s="56">
        <v>61.71</v>
      </c>
      <c r="R31" s="59">
        <v>-0.53</v>
      </c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1:31" ht="27" customHeight="1" x14ac:dyDescent="0.25">
      <c r="A32" s="203"/>
      <c r="B32" s="190"/>
      <c r="C32" s="192"/>
      <c r="D32" s="192"/>
      <c r="E32" s="192"/>
      <c r="F32" s="192"/>
      <c r="G32" s="170"/>
      <c r="H32" s="170"/>
      <c r="I32" s="170"/>
      <c r="J32" s="231"/>
      <c r="K32" s="234"/>
      <c r="L32" s="54">
        <v>29</v>
      </c>
      <c r="M32" s="55" t="s">
        <v>573</v>
      </c>
      <c r="N32" s="61">
        <v>25.58</v>
      </c>
      <c r="O32" s="61">
        <v>26.1</v>
      </c>
      <c r="P32" s="60">
        <v>44.68</v>
      </c>
      <c r="Q32" s="60">
        <v>55.84</v>
      </c>
      <c r="R32" s="59">
        <v>-0.52</v>
      </c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1:31" ht="27" customHeight="1" x14ac:dyDescent="0.25">
      <c r="A33" s="203"/>
      <c r="B33" s="190"/>
      <c r="C33" s="192"/>
      <c r="D33" s="192"/>
      <c r="E33" s="192"/>
      <c r="F33" s="192"/>
      <c r="G33" s="170"/>
      <c r="H33" s="170"/>
      <c r="I33" s="170"/>
      <c r="J33" s="231"/>
      <c r="K33" s="235" t="s">
        <v>295</v>
      </c>
      <c r="L33" s="54">
        <v>30</v>
      </c>
      <c r="M33" s="55" t="s">
        <v>296</v>
      </c>
      <c r="N33" s="60">
        <v>57.41</v>
      </c>
      <c r="O33" s="60">
        <v>54.95</v>
      </c>
      <c r="P33" s="56">
        <v>65.959999999999994</v>
      </c>
      <c r="Q33" s="56">
        <v>62.59</v>
      </c>
      <c r="R33" s="59">
        <v>2.46</v>
      </c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1:31" ht="27" customHeight="1" x14ac:dyDescent="0.25">
      <c r="A34" s="203"/>
      <c r="B34" s="190"/>
      <c r="C34" s="193"/>
      <c r="D34" s="193"/>
      <c r="E34" s="193"/>
      <c r="F34" s="193"/>
      <c r="G34" s="195"/>
      <c r="H34" s="195"/>
      <c r="I34" s="195"/>
      <c r="J34" s="232"/>
      <c r="K34" s="234"/>
      <c r="L34" s="54">
        <v>31</v>
      </c>
      <c r="M34" s="55" t="s">
        <v>297</v>
      </c>
      <c r="N34" s="57">
        <v>86.08</v>
      </c>
      <c r="O34" s="56">
        <v>79.59</v>
      </c>
      <c r="P34" s="57">
        <v>90.62</v>
      </c>
      <c r="Q34" s="56">
        <v>83.28</v>
      </c>
      <c r="R34" s="72">
        <v>6.49</v>
      </c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1" ht="27" customHeight="1" x14ac:dyDescent="0.25">
      <c r="A35" s="203"/>
      <c r="B35" s="190" t="s">
        <v>18</v>
      </c>
      <c r="C35" s="196">
        <v>55.52</v>
      </c>
      <c r="D35" s="196">
        <v>55.21</v>
      </c>
      <c r="E35" s="196">
        <v>64.150000000000006</v>
      </c>
      <c r="F35" s="196">
        <v>57.91</v>
      </c>
      <c r="G35" s="169">
        <v>0.31</v>
      </c>
      <c r="H35" s="169">
        <v>-8.6300000000000008</v>
      </c>
      <c r="I35" s="169">
        <v>-2.39</v>
      </c>
      <c r="J35" s="236" t="s">
        <v>18</v>
      </c>
      <c r="K35" s="237"/>
      <c r="L35" s="54">
        <v>32</v>
      </c>
      <c r="M35" s="55" t="s">
        <v>298</v>
      </c>
      <c r="N35" s="60">
        <v>49.04</v>
      </c>
      <c r="O35" s="60">
        <v>48.96</v>
      </c>
      <c r="P35" s="60">
        <v>59.33</v>
      </c>
      <c r="Q35" s="60">
        <v>53.9</v>
      </c>
      <c r="R35" s="59">
        <v>0.08</v>
      </c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1" ht="27" customHeight="1" x14ac:dyDescent="0.25">
      <c r="A36" s="203"/>
      <c r="B36" s="190"/>
      <c r="C36" s="192"/>
      <c r="D36" s="192"/>
      <c r="E36" s="192"/>
      <c r="F36" s="192"/>
      <c r="G36" s="170"/>
      <c r="H36" s="170"/>
      <c r="I36" s="170"/>
      <c r="J36" s="236"/>
      <c r="K36" s="237"/>
      <c r="L36" s="54">
        <v>33</v>
      </c>
      <c r="M36" s="55" t="s">
        <v>299</v>
      </c>
      <c r="N36" s="56">
        <v>61.95</v>
      </c>
      <c r="O36" s="56">
        <v>63.36</v>
      </c>
      <c r="P36" s="56">
        <v>64.44</v>
      </c>
      <c r="Q36" s="56">
        <v>63.38</v>
      </c>
      <c r="R36" s="59">
        <v>-1.41</v>
      </c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1:31" ht="27" customHeight="1" x14ac:dyDescent="0.25">
      <c r="A37" s="203"/>
      <c r="B37" s="190"/>
      <c r="C37" s="193"/>
      <c r="D37" s="193"/>
      <c r="E37" s="193"/>
      <c r="F37" s="193"/>
      <c r="G37" s="195"/>
      <c r="H37" s="195"/>
      <c r="I37" s="195"/>
      <c r="J37" s="238"/>
      <c r="K37" s="239"/>
      <c r="L37" s="54">
        <v>34</v>
      </c>
      <c r="M37" s="55" t="s">
        <v>300</v>
      </c>
      <c r="N37" s="60">
        <v>55.56</v>
      </c>
      <c r="O37" s="60">
        <v>53.31</v>
      </c>
      <c r="P37" s="56">
        <v>68.69</v>
      </c>
      <c r="Q37" s="60">
        <v>56.45</v>
      </c>
      <c r="R37" s="59">
        <v>2.25</v>
      </c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ht="27" customHeight="1" x14ac:dyDescent="0.25">
      <c r="A38" s="203"/>
      <c r="B38" s="190" t="s">
        <v>19</v>
      </c>
      <c r="C38" s="196">
        <v>89.2</v>
      </c>
      <c r="D38" s="196">
        <v>87.02</v>
      </c>
      <c r="E38" s="196">
        <v>90.14</v>
      </c>
      <c r="F38" s="196">
        <v>88.89</v>
      </c>
      <c r="G38" s="169">
        <v>2.1800000000000002</v>
      </c>
      <c r="H38" s="169">
        <v>-0.94</v>
      </c>
      <c r="I38" s="169">
        <v>0.31</v>
      </c>
      <c r="J38" s="240" t="s">
        <v>19</v>
      </c>
      <c r="K38" s="242" t="s">
        <v>301</v>
      </c>
      <c r="L38" s="54">
        <v>35</v>
      </c>
      <c r="M38" s="55" t="s">
        <v>302</v>
      </c>
      <c r="N38" s="56">
        <v>85.47</v>
      </c>
      <c r="O38" s="57">
        <v>86.17</v>
      </c>
      <c r="P38" s="57">
        <v>88.19</v>
      </c>
      <c r="Q38" s="57">
        <v>88.38</v>
      </c>
      <c r="R38" s="59">
        <v>-0.7</v>
      </c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ht="27" customHeight="1" x14ac:dyDescent="0.25">
      <c r="A39" s="203"/>
      <c r="B39" s="190"/>
      <c r="C39" s="192"/>
      <c r="D39" s="192"/>
      <c r="E39" s="192"/>
      <c r="F39" s="192"/>
      <c r="G39" s="170"/>
      <c r="H39" s="170"/>
      <c r="I39" s="170"/>
      <c r="J39" s="231"/>
      <c r="K39" s="243"/>
      <c r="L39" s="54">
        <v>36</v>
      </c>
      <c r="M39" s="55" t="s">
        <v>303</v>
      </c>
      <c r="N39" s="57">
        <v>96.19</v>
      </c>
      <c r="O39" s="57">
        <v>93.62</v>
      </c>
      <c r="P39" s="57">
        <v>94.83</v>
      </c>
      <c r="Q39" s="57">
        <v>94.83</v>
      </c>
      <c r="R39" s="59">
        <v>2.57</v>
      </c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1" ht="27" customHeight="1" x14ac:dyDescent="0.25">
      <c r="A40" s="203"/>
      <c r="B40" s="190"/>
      <c r="C40" s="192"/>
      <c r="D40" s="192"/>
      <c r="E40" s="192"/>
      <c r="F40" s="192"/>
      <c r="G40" s="170"/>
      <c r="H40" s="170"/>
      <c r="I40" s="170"/>
      <c r="J40" s="231"/>
      <c r="K40" s="243"/>
      <c r="L40" s="54">
        <v>37</v>
      </c>
      <c r="M40" s="55" t="s">
        <v>304</v>
      </c>
      <c r="N40" s="57">
        <v>95.53</v>
      </c>
      <c r="O40" s="57">
        <v>93.41</v>
      </c>
      <c r="P40" s="57">
        <v>93.52</v>
      </c>
      <c r="Q40" s="57">
        <v>93.79</v>
      </c>
      <c r="R40" s="59">
        <v>2.12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1" ht="27" customHeight="1" x14ac:dyDescent="0.25">
      <c r="A41" s="203"/>
      <c r="B41" s="190"/>
      <c r="C41" s="192"/>
      <c r="D41" s="192"/>
      <c r="E41" s="192"/>
      <c r="F41" s="192"/>
      <c r="G41" s="170"/>
      <c r="H41" s="170"/>
      <c r="I41" s="170"/>
      <c r="J41" s="231"/>
      <c r="K41" s="234"/>
      <c r="L41" s="54">
        <v>38</v>
      </c>
      <c r="M41" s="55" t="s">
        <v>305</v>
      </c>
      <c r="N41" s="57">
        <v>94.08</v>
      </c>
      <c r="O41" s="57">
        <v>90.26</v>
      </c>
      <c r="P41" s="57">
        <v>92.24</v>
      </c>
      <c r="Q41" s="57">
        <v>92.49</v>
      </c>
      <c r="R41" s="59">
        <v>3.82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1" ht="27" customHeight="1" thickBot="1" x14ac:dyDescent="0.3">
      <c r="A42" s="204"/>
      <c r="B42" s="201"/>
      <c r="C42" s="197"/>
      <c r="D42" s="197"/>
      <c r="E42" s="197"/>
      <c r="F42" s="197"/>
      <c r="G42" s="171"/>
      <c r="H42" s="171"/>
      <c r="I42" s="171"/>
      <c r="J42" s="241"/>
      <c r="K42" s="97" t="s">
        <v>306</v>
      </c>
      <c r="L42" s="54">
        <v>39</v>
      </c>
      <c r="M42" s="55" t="s">
        <v>331</v>
      </c>
      <c r="N42" s="56">
        <v>74.73</v>
      </c>
      <c r="O42" s="56">
        <v>71.62</v>
      </c>
      <c r="P42" s="56">
        <v>81.91</v>
      </c>
      <c r="Q42" s="56">
        <v>74.92</v>
      </c>
      <c r="R42" s="59">
        <v>3.11</v>
      </c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</row>
    <row r="43" spans="1:31" ht="37.5" customHeight="1" thickBot="1" x14ac:dyDescent="0.3">
      <c r="A43" s="95" t="s">
        <v>235</v>
      </c>
      <c r="B43" s="95" t="s">
        <v>236</v>
      </c>
      <c r="C43" s="95">
        <v>2017</v>
      </c>
      <c r="D43" s="95">
        <v>2016</v>
      </c>
      <c r="E43" s="95" t="s">
        <v>237</v>
      </c>
      <c r="F43" s="95" t="s">
        <v>386</v>
      </c>
      <c r="G43" s="95" t="s">
        <v>567</v>
      </c>
      <c r="H43" s="95" t="s">
        <v>568</v>
      </c>
      <c r="I43" s="95" t="s">
        <v>569</v>
      </c>
      <c r="J43" s="181" t="s">
        <v>236</v>
      </c>
      <c r="K43" s="181"/>
      <c r="L43" s="95" t="s">
        <v>238</v>
      </c>
      <c r="M43" s="95" t="s">
        <v>239</v>
      </c>
      <c r="N43" s="95">
        <v>2017</v>
      </c>
      <c r="O43" s="95">
        <v>2016</v>
      </c>
      <c r="P43" s="95" t="s">
        <v>237</v>
      </c>
      <c r="Q43" s="95" t="s">
        <v>386</v>
      </c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</row>
    <row r="44" spans="1:31" ht="27" customHeight="1" x14ac:dyDescent="0.25">
      <c r="A44" s="198" t="s">
        <v>307</v>
      </c>
      <c r="B44" s="189" t="s">
        <v>20</v>
      </c>
      <c r="C44" s="191">
        <v>67.88</v>
      </c>
      <c r="D44" s="191">
        <v>66.150000000000006</v>
      </c>
      <c r="E44" s="191">
        <v>76.319999999999993</v>
      </c>
      <c r="F44" s="191">
        <v>77.37</v>
      </c>
      <c r="G44" s="194">
        <v>1.73</v>
      </c>
      <c r="H44" s="194">
        <v>-8.44</v>
      </c>
      <c r="I44" s="194">
        <v>-9.49</v>
      </c>
      <c r="J44" s="244" t="s">
        <v>20</v>
      </c>
      <c r="K44" s="245"/>
      <c r="L44" s="54">
        <v>40</v>
      </c>
      <c r="M44" s="55" t="s">
        <v>308</v>
      </c>
      <c r="N44" s="56">
        <v>73</v>
      </c>
      <c r="O44" s="56">
        <v>70.790000000000006</v>
      </c>
      <c r="P44" s="56">
        <v>77.8</v>
      </c>
      <c r="Q44" s="56">
        <v>79.180000000000007</v>
      </c>
      <c r="R44" s="59">
        <v>2.21</v>
      </c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</row>
    <row r="45" spans="1:31" ht="27" customHeight="1" x14ac:dyDescent="0.25">
      <c r="A45" s="199"/>
      <c r="B45" s="190"/>
      <c r="C45" s="193"/>
      <c r="D45" s="193"/>
      <c r="E45" s="193"/>
      <c r="F45" s="193"/>
      <c r="G45" s="195"/>
      <c r="H45" s="195"/>
      <c r="I45" s="195"/>
      <c r="J45" s="246"/>
      <c r="K45" s="247"/>
      <c r="L45" s="54">
        <v>41</v>
      </c>
      <c r="M45" s="55" t="s">
        <v>309</v>
      </c>
      <c r="N45" s="56">
        <v>62.76</v>
      </c>
      <c r="O45" s="56">
        <v>61.51</v>
      </c>
      <c r="P45" s="56">
        <v>74.849999999999994</v>
      </c>
      <c r="Q45" s="56">
        <v>75.55</v>
      </c>
      <c r="R45" s="59">
        <v>1.25</v>
      </c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</row>
    <row r="46" spans="1:31" ht="27" customHeight="1" x14ac:dyDescent="0.25">
      <c r="A46" s="199"/>
      <c r="B46" s="190" t="s">
        <v>21</v>
      </c>
      <c r="C46" s="196">
        <v>73.3</v>
      </c>
      <c r="D46" s="196">
        <v>71.45</v>
      </c>
      <c r="E46" s="196">
        <v>80.14</v>
      </c>
      <c r="F46" s="196">
        <v>79.19</v>
      </c>
      <c r="G46" s="169">
        <v>1.85</v>
      </c>
      <c r="H46" s="169">
        <v>-6.84</v>
      </c>
      <c r="I46" s="169">
        <v>-5.89</v>
      </c>
      <c r="J46" s="248" t="s">
        <v>21</v>
      </c>
      <c r="K46" s="249"/>
      <c r="L46" s="54">
        <v>42</v>
      </c>
      <c r="M46" s="55" t="s">
        <v>310</v>
      </c>
      <c r="N46" s="56">
        <v>79.37</v>
      </c>
      <c r="O46" s="56">
        <v>76.47</v>
      </c>
      <c r="P46" s="57">
        <v>87.31</v>
      </c>
      <c r="Q46" s="56">
        <v>84.17</v>
      </c>
      <c r="R46" s="59">
        <v>2.9</v>
      </c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</row>
    <row r="47" spans="1:31" ht="27" customHeight="1" x14ac:dyDescent="0.25">
      <c r="A47" s="199"/>
      <c r="B47" s="190"/>
      <c r="C47" s="193"/>
      <c r="D47" s="193"/>
      <c r="E47" s="193"/>
      <c r="F47" s="193"/>
      <c r="G47" s="195"/>
      <c r="H47" s="195"/>
      <c r="I47" s="195"/>
      <c r="J47" s="246"/>
      <c r="K47" s="247"/>
      <c r="L47" s="54">
        <v>43</v>
      </c>
      <c r="M47" s="55" t="s">
        <v>311</v>
      </c>
      <c r="N47" s="56">
        <v>67.22</v>
      </c>
      <c r="O47" s="56">
        <v>66.42</v>
      </c>
      <c r="P47" s="56">
        <v>72.97</v>
      </c>
      <c r="Q47" s="56">
        <v>74.2</v>
      </c>
      <c r="R47" s="59">
        <v>0.8</v>
      </c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</row>
    <row r="48" spans="1:31" ht="27" customHeight="1" x14ac:dyDescent="0.25">
      <c r="A48" s="199"/>
      <c r="B48" s="190" t="s">
        <v>22</v>
      </c>
      <c r="C48" s="196">
        <v>69.709999999999994</v>
      </c>
      <c r="D48" s="196">
        <v>65.569999999999993</v>
      </c>
      <c r="E48" s="196">
        <v>80.72</v>
      </c>
      <c r="F48" s="196">
        <v>78.72</v>
      </c>
      <c r="G48" s="169">
        <v>4.1399999999999997</v>
      </c>
      <c r="H48" s="169">
        <v>-11.01</v>
      </c>
      <c r="I48" s="169">
        <v>-9.01</v>
      </c>
      <c r="J48" s="248" t="s">
        <v>22</v>
      </c>
      <c r="K48" s="249"/>
      <c r="L48" s="54">
        <v>44</v>
      </c>
      <c r="M48" s="55" t="s">
        <v>312</v>
      </c>
      <c r="N48" s="56">
        <v>68.86</v>
      </c>
      <c r="O48" s="56">
        <v>64.790000000000006</v>
      </c>
      <c r="P48" s="56">
        <v>79.09</v>
      </c>
      <c r="Q48" s="56">
        <v>78.23</v>
      </c>
      <c r="R48" s="59">
        <v>4.07</v>
      </c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</row>
    <row r="49" spans="1:31" ht="27" customHeight="1" x14ac:dyDescent="0.25">
      <c r="A49" s="199"/>
      <c r="B49" s="190"/>
      <c r="C49" s="192"/>
      <c r="D49" s="192"/>
      <c r="E49" s="192"/>
      <c r="F49" s="192"/>
      <c r="G49" s="170"/>
      <c r="H49" s="170"/>
      <c r="I49" s="170"/>
      <c r="J49" s="250"/>
      <c r="K49" s="251"/>
      <c r="L49" s="54">
        <v>45</v>
      </c>
      <c r="M49" s="55" t="s">
        <v>313</v>
      </c>
      <c r="N49" s="56">
        <v>80.17</v>
      </c>
      <c r="O49" s="56">
        <v>76.819999999999993</v>
      </c>
      <c r="P49" s="57">
        <v>85.6</v>
      </c>
      <c r="Q49" s="57">
        <v>88.42</v>
      </c>
      <c r="R49" s="59">
        <v>3.35</v>
      </c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</row>
    <row r="50" spans="1:31" ht="27" customHeight="1" x14ac:dyDescent="0.25">
      <c r="A50" s="199"/>
      <c r="B50" s="190"/>
      <c r="C50" s="192"/>
      <c r="D50" s="192"/>
      <c r="E50" s="192"/>
      <c r="F50" s="192"/>
      <c r="G50" s="170"/>
      <c r="H50" s="170"/>
      <c r="I50" s="170"/>
      <c r="J50" s="250"/>
      <c r="K50" s="251"/>
      <c r="L50" s="54">
        <v>46</v>
      </c>
      <c r="M50" s="55" t="s">
        <v>314</v>
      </c>
      <c r="N50" s="56">
        <v>64.84</v>
      </c>
      <c r="O50" s="56">
        <v>62.87</v>
      </c>
      <c r="P50" s="56">
        <v>78.81</v>
      </c>
      <c r="Q50" s="56">
        <v>73.88</v>
      </c>
      <c r="R50" s="59">
        <v>1.97</v>
      </c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</row>
    <row r="51" spans="1:31" ht="27" customHeight="1" thickBot="1" x14ac:dyDescent="0.3">
      <c r="A51" s="200"/>
      <c r="B51" s="201"/>
      <c r="C51" s="197"/>
      <c r="D51" s="197"/>
      <c r="E51" s="197"/>
      <c r="F51" s="197"/>
      <c r="G51" s="171"/>
      <c r="H51" s="171"/>
      <c r="I51" s="171"/>
      <c r="J51" s="252"/>
      <c r="K51" s="253"/>
      <c r="L51" s="54">
        <v>47</v>
      </c>
      <c r="M51" s="55" t="s">
        <v>315</v>
      </c>
      <c r="N51" s="56">
        <v>64.959999999999994</v>
      </c>
      <c r="O51" s="60">
        <v>57.79</v>
      </c>
      <c r="P51" s="56">
        <v>79.37</v>
      </c>
      <c r="Q51" s="56">
        <v>74.37</v>
      </c>
      <c r="R51" s="72">
        <v>7.17</v>
      </c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</row>
    <row r="52" spans="1:31" ht="37.5" customHeight="1" thickBot="1" x14ac:dyDescent="0.3">
      <c r="A52" s="95" t="s">
        <v>235</v>
      </c>
      <c r="B52" s="95" t="s">
        <v>236</v>
      </c>
      <c r="C52" s="95">
        <v>2017</v>
      </c>
      <c r="D52" s="95">
        <v>2016</v>
      </c>
      <c r="E52" s="95" t="s">
        <v>237</v>
      </c>
      <c r="F52" s="95" t="s">
        <v>386</v>
      </c>
      <c r="G52" s="95" t="s">
        <v>567</v>
      </c>
      <c r="H52" s="95" t="s">
        <v>568</v>
      </c>
      <c r="I52" s="95" t="s">
        <v>569</v>
      </c>
      <c r="J52" s="181" t="s">
        <v>236</v>
      </c>
      <c r="K52" s="181"/>
      <c r="L52" s="95" t="s">
        <v>238</v>
      </c>
      <c r="M52" s="95" t="s">
        <v>239</v>
      </c>
      <c r="N52" s="95">
        <v>2017</v>
      </c>
      <c r="O52" s="95">
        <v>2016</v>
      </c>
      <c r="P52" s="95" t="s">
        <v>237</v>
      </c>
      <c r="Q52" s="95" t="s">
        <v>386</v>
      </c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ht="27" customHeight="1" x14ac:dyDescent="0.25">
      <c r="A53" s="186" t="s">
        <v>316</v>
      </c>
      <c r="B53" s="189" t="s">
        <v>23</v>
      </c>
      <c r="C53" s="191">
        <v>78</v>
      </c>
      <c r="D53" s="191">
        <v>71.319999999999993</v>
      </c>
      <c r="E53" s="191">
        <v>84.71</v>
      </c>
      <c r="F53" s="191">
        <v>74.98</v>
      </c>
      <c r="G53" s="194">
        <v>6.68</v>
      </c>
      <c r="H53" s="194">
        <v>-6.71</v>
      </c>
      <c r="I53" s="194">
        <v>3.02</v>
      </c>
      <c r="J53" s="254" t="s">
        <v>23</v>
      </c>
      <c r="K53" s="255"/>
      <c r="L53" s="54">
        <v>48</v>
      </c>
      <c r="M53" s="55" t="s">
        <v>317</v>
      </c>
      <c r="N53" s="56">
        <v>83.79</v>
      </c>
      <c r="O53" s="56">
        <v>80.19</v>
      </c>
      <c r="P53" s="57">
        <v>87.45</v>
      </c>
      <c r="Q53" s="56">
        <v>85.11</v>
      </c>
      <c r="R53" s="59">
        <v>3.6</v>
      </c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</row>
    <row r="54" spans="1:31" ht="27" customHeight="1" x14ac:dyDescent="0.25">
      <c r="A54" s="187"/>
      <c r="B54" s="190"/>
      <c r="C54" s="192"/>
      <c r="D54" s="192"/>
      <c r="E54" s="192"/>
      <c r="F54" s="192"/>
      <c r="G54" s="170"/>
      <c r="H54" s="170"/>
      <c r="I54" s="170"/>
      <c r="J54" s="177"/>
      <c r="K54" s="178"/>
      <c r="L54" s="54">
        <v>49</v>
      </c>
      <c r="M54" s="55" t="s">
        <v>318</v>
      </c>
      <c r="N54" s="56">
        <v>82.91</v>
      </c>
      <c r="O54" s="56">
        <v>67.98</v>
      </c>
      <c r="P54" s="56">
        <v>85.47</v>
      </c>
      <c r="Q54" s="56">
        <v>71.53</v>
      </c>
      <c r="R54" s="72">
        <v>14.93</v>
      </c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</row>
    <row r="55" spans="1:31" ht="27" customHeight="1" x14ac:dyDescent="0.25">
      <c r="A55" s="187"/>
      <c r="B55" s="190"/>
      <c r="C55" s="193"/>
      <c r="D55" s="193"/>
      <c r="E55" s="193"/>
      <c r="F55" s="193"/>
      <c r="G55" s="195"/>
      <c r="H55" s="195"/>
      <c r="I55" s="195"/>
      <c r="J55" s="256"/>
      <c r="K55" s="257"/>
      <c r="L55" s="54">
        <v>50</v>
      </c>
      <c r="M55" s="55" t="s">
        <v>319</v>
      </c>
      <c r="N55" s="56">
        <v>67.3</v>
      </c>
      <c r="O55" s="56">
        <v>65.790000000000006</v>
      </c>
      <c r="P55" s="56">
        <v>81.22</v>
      </c>
      <c r="Q55" s="56">
        <v>68.31</v>
      </c>
      <c r="R55" s="59">
        <v>1.51</v>
      </c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</row>
    <row r="56" spans="1:31" ht="27" customHeight="1" x14ac:dyDescent="0.25">
      <c r="A56" s="187"/>
      <c r="B56" s="190" t="s">
        <v>24</v>
      </c>
      <c r="C56" s="196">
        <v>76.86</v>
      </c>
      <c r="D56" s="196">
        <v>72.92</v>
      </c>
      <c r="E56" s="196">
        <v>86.6</v>
      </c>
      <c r="F56" s="196">
        <v>77.89</v>
      </c>
      <c r="G56" s="169">
        <v>3.94</v>
      </c>
      <c r="H56" s="169">
        <v>-9.74</v>
      </c>
      <c r="I56" s="169">
        <v>-1.03</v>
      </c>
      <c r="J56" s="258" t="s">
        <v>24</v>
      </c>
      <c r="K56" s="261" t="s">
        <v>320</v>
      </c>
      <c r="L56" s="54">
        <v>51</v>
      </c>
      <c r="M56" s="55" t="s">
        <v>321</v>
      </c>
      <c r="N56" s="56">
        <v>82.71</v>
      </c>
      <c r="O56" s="56">
        <v>77.84</v>
      </c>
      <c r="P56" s="57">
        <v>89.51</v>
      </c>
      <c r="Q56" s="56">
        <v>80.28</v>
      </c>
      <c r="R56" s="59">
        <v>4.87</v>
      </c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</row>
    <row r="57" spans="1:31" ht="27" customHeight="1" x14ac:dyDescent="0.25">
      <c r="A57" s="187"/>
      <c r="B57" s="190"/>
      <c r="C57" s="192"/>
      <c r="D57" s="192"/>
      <c r="E57" s="192"/>
      <c r="F57" s="192"/>
      <c r="G57" s="170"/>
      <c r="H57" s="170"/>
      <c r="I57" s="170"/>
      <c r="J57" s="259"/>
      <c r="K57" s="262"/>
      <c r="L57" s="54">
        <v>52</v>
      </c>
      <c r="M57" s="55" t="s">
        <v>322</v>
      </c>
      <c r="N57" s="56">
        <v>73.63</v>
      </c>
      <c r="O57" s="56">
        <v>71.72</v>
      </c>
      <c r="P57" s="56">
        <v>82.63</v>
      </c>
      <c r="Q57" s="56">
        <v>78.89</v>
      </c>
      <c r="R57" s="59">
        <v>1.91</v>
      </c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</row>
    <row r="58" spans="1:31" ht="27" customHeight="1" x14ac:dyDescent="0.25">
      <c r="A58" s="187"/>
      <c r="B58" s="190"/>
      <c r="C58" s="192"/>
      <c r="D58" s="192"/>
      <c r="E58" s="192"/>
      <c r="F58" s="192"/>
      <c r="G58" s="170"/>
      <c r="H58" s="170"/>
      <c r="I58" s="170"/>
      <c r="J58" s="259"/>
      <c r="K58" s="263" t="s">
        <v>323</v>
      </c>
      <c r="L58" s="54">
        <v>53</v>
      </c>
      <c r="M58" s="55" t="s">
        <v>324</v>
      </c>
      <c r="N58" s="56">
        <v>79.540000000000006</v>
      </c>
      <c r="O58" s="56">
        <v>76.92</v>
      </c>
      <c r="P58" s="57">
        <v>91.37</v>
      </c>
      <c r="Q58" s="56">
        <v>80.2</v>
      </c>
      <c r="R58" s="59">
        <v>2.62</v>
      </c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</row>
    <row r="59" spans="1:31" ht="27" customHeight="1" x14ac:dyDescent="0.25">
      <c r="A59" s="187"/>
      <c r="B59" s="190"/>
      <c r="C59" s="193"/>
      <c r="D59" s="193"/>
      <c r="E59" s="193"/>
      <c r="F59" s="193"/>
      <c r="G59" s="195"/>
      <c r="H59" s="195"/>
      <c r="I59" s="195"/>
      <c r="J59" s="260"/>
      <c r="K59" s="262"/>
      <c r="L59" s="54">
        <v>54</v>
      </c>
      <c r="M59" s="55" t="s">
        <v>325</v>
      </c>
      <c r="N59" s="56">
        <v>71.55</v>
      </c>
      <c r="O59" s="56">
        <v>65.180000000000007</v>
      </c>
      <c r="P59" s="56">
        <v>82.91</v>
      </c>
      <c r="Q59" s="56">
        <v>72.17</v>
      </c>
      <c r="R59" s="72">
        <v>6.37</v>
      </c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1:31" ht="27" customHeight="1" x14ac:dyDescent="0.25">
      <c r="A60" s="187"/>
      <c r="B60" s="190" t="s">
        <v>25</v>
      </c>
      <c r="C60" s="196">
        <v>66.47</v>
      </c>
      <c r="D60" s="196">
        <v>62.42</v>
      </c>
      <c r="E60" s="196">
        <v>78.11</v>
      </c>
      <c r="F60" s="196">
        <v>70.53</v>
      </c>
      <c r="G60" s="169">
        <v>4.05</v>
      </c>
      <c r="H60" s="169">
        <v>-11.64</v>
      </c>
      <c r="I60" s="169">
        <v>-4.0599999999999996</v>
      </c>
      <c r="J60" s="177" t="s">
        <v>25</v>
      </c>
      <c r="K60" s="178"/>
      <c r="L60" s="54">
        <v>55</v>
      </c>
      <c r="M60" s="55" t="s">
        <v>326</v>
      </c>
      <c r="N60" s="56">
        <v>63.08</v>
      </c>
      <c r="O60" s="60">
        <v>57.49</v>
      </c>
      <c r="P60" s="56">
        <v>77.45</v>
      </c>
      <c r="Q60" s="56">
        <v>67.37</v>
      </c>
      <c r="R60" s="72">
        <v>5.59</v>
      </c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</row>
    <row r="61" spans="1:31" ht="27" customHeight="1" x14ac:dyDescent="0.25">
      <c r="A61" s="187"/>
      <c r="B61" s="190"/>
      <c r="C61" s="192"/>
      <c r="D61" s="192"/>
      <c r="E61" s="192"/>
      <c r="F61" s="192"/>
      <c r="G61" s="170"/>
      <c r="H61" s="170"/>
      <c r="I61" s="170"/>
      <c r="J61" s="177"/>
      <c r="K61" s="178"/>
      <c r="L61" s="54">
        <v>56</v>
      </c>
      <c r="M61" s="55" t="s">
        <v>327</v>
      </c>
      <c r="N61" s="56">
        <v>62.58</v>
      </c>
      <c r="O61" s="60">
        <v>58.54</v>
      </c>
      <c r="P61" s="56">
        <v>75.42</v>
      </c>
      <c r="Q61" s="56">
        <v>70.14</v>
      </c>
      <c r="R61" s="59">
        <v>4.04</v>
      </c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ht="27" customHeight="1" thickBot="1" x14ac:dyDescent="0.3">
      <c r="A62" s="188"/>
      <c r="B62" s="201"/>
      <c r="C62" s="197"/>
      <c r="D62" s="197"/>
      <c r="E62" s="197"/>
      <c r="F62" s="197"/>
      <c r="G62" s="171"/>
      <c r="H62" s="171"/>
      <c r="I62" s="171"/>
      <c r="J62" s="179"/>
      <c r="K62" s="180"/>
      <c r="L62" s="54">
        <v>57</v>
      </c>
      <c r="M62" s="55" t="s">
        <v>328</v>
      </c>
      <c r="N62" s="56">
        <v>73.75</v>
      </c>
      <c r="O62" s="56">
        <v>71.25</v>
      </c>
      <c r="P62" s="56">
        <v>81.459999999999994</v>
      </c>
      <c r="Q62" s="56">
        <v>74.08</v>
      </c>
      <c r="R62" s="59">
        <v>2.5099999999999998</v>
      </c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</row>
    <row r="63" spans="1:31" ht="37.5" customHeight="1" thickBot="1" x14ac:dyDescent="0.3">
      <c r="A63" s="95" t="s">
        <v>235</v>
      </c>
      <c r="B63" s="95" t="s">
        <v>236</v>
      </c>
      <c r="C63" s="95">
        <v>2017</v>
      </c>
      <c r="D63" s="95">
        <v>2016</v>
      </c>
      <c r="E63" s="95" t="s">
        <v>237</v>
      </c>
      <c r="F63" s="95" t="s">
        <v>386</v>
      </c>
      <c r="G63" s="95" t="s">
        <v>567</v>
      </c>
      <c r="H63" s="95" t="s">
        <v>568</v>
      </c>
      <c r="I63" s="95" t="s">
        <v>569</v>
      </c>
      <c r="J63" s="181" t="s">
        <v>236</v>
      </c>
      <c r="K63" s="181"/>
      <c r="L63" s="95" t="s">
        <v>238</v>
      </c>
      <c r="M63" s="95" t="s">
        <v>239</v>
      </c>
      <c r="N63" s="95">
        <v>2017</v>
      </c>
      <c r="O63" s="95">
        <v>2016</v>
      </c>
      <c r="P63" s="95" t="s">
        <v>237</v>
      </c>
      <c r="Q63" s="95" t="s">
        <v>386</v>
      </c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</row>
    <row r="64" spans="1:31" ht="27" customHeight="1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182" t="s">
        <v>574</v>
      </c>
      <c r="L64" s="54">
        <v>59</v>
      </c>
      <c r="M64" s="55" t="s">
        <v>575</v>
      </c>
      <c r="N64" s="56">
        <v>85.11</v>
      </c>
      <c r="O64" s="56">
        <v>76.97</v>
      </c>
      <c r="P64" s="61">
        <v>0</v>
      </c>
      <c r="Q64" s="57">
        <v>87.79</v>
      </c>
      <c r="R64" s="59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</row>
    <row r="65" spans="1:31" ht="27" customHeight="1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183"/>
      <c r="L65" s="54">
        <v>60</v>
      </c>
      <c r="M65" s="55" t="s">
        <v>576</v>
      </c>
      <c r="N65" s="60">
        <v>53.22</v>
      </c>
      <c r="O65" s="56">
        <v>80.900000000000006</v>
      </c>
      <c r="P65" s="61">
        <v>0</v>
      </c>
      <c r="Q65" s="56">
        <v>69</v>
      </c>
      <c r="R65" s="59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</row>
    <row r="66" spans="1:31" ht="27" customHeight="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183"/>
      <c r="L66" s="54">
        <v>61</v>
      </c>
      <c r="M66" s="55" t="s">
        <v>577</v>
      </c>
      <c r="N66" s="56">
        <v>83.19</v>
      </c>
      <c r="O66" s="56">
        <v>67.290000000000006</v>
      </c>
      <c r="P66" s="61">
        <v>0</v>
      </c>
      <c r="Q66" s="57">
        <v>87.77</v>
      </c>
      <c r="R66" s="59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ht="27" customHeight="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183"/>
      <c r="L67" s="54">
        <v>62</v>
      </c>
      <c r="M67" s="55" t="s">
        <v>578</v>
      </c>
      <c r="N67" s="56">
        <v>64.900000000000006</v>
      </c>
      <c r="O67" s="56">
        <v>69.62</v>
      </c>
      <c r="P67" s="61">
        <v>0</v>
      </c>
      <c r="Q67" s="56">
        <v>70.349999999999994</v>
      </c>
      <c r="R67" s="59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ht="27" customHeight="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183"/>
      <c r="L68" s="54">
        <v>63</v>
      </c>
      <c r="M68" s="55" t="s">
        <v>579</v>
      </c>
      <c r="N68" s="56">
        <v>69.7</v>
      </c>
      <c r="O68" s="56">
        <v>84.05</v>
      </c>
      <c r="P68" s="61">
        <v>0</v>
      </c>
      <c r="Q68" s="56">
        <v>72.599999999999994</v>
      </c>
      <c r="R68" s="59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ht="27" customHeight="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183"/>
      <c r="L69" s="54">
        <v>64</v>
      </c>
      <c r="M69" s="55" t="s">
        <v>580</v>
      </c>
      <c r="N69" s="56">
        <v>63.49</v>
      </c>
      <c r="O69" s="56">
        <v>82.2</v>
      </c>
      <c r="P69" s="56"/>
      <c r="Q69" s="56">
        <v>69.28</v>
      </c>
      <c r="R69" s="59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ht="27" customHeight="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183"/>
      <c r="L70" s="54">
        <v>65</v>
      </c>
      <c r="M70" s="55" t="s">
        <v>581</v>
      </c>
      <c r="N70" s="56">
        <v>81.06</v>
      </c>
      <c r="O70" s="56">
        <v>61.81</v>
      </c>
      <c r="P70" s="56"/>
      <c r="Q70" s="56">
        <v>81.430000000000007</v>
      </c>
      <c r="R70" s="59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ht="27" customHeight="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183"/>
      <c r="L71" s="54">
        <v>66</v>
      </c>
      <c r="M71" s="55" t="s">
        <v>582</v>
      </c>
      <c r="N71" s="56">
        <v>75.97</v>
      </c>
      <c r="O71" s="56">
        <v>62.17</v>
      </c>
      <c r="P71" s="56"/>
      <c r="Q71" s="56">
        <v>76.680000000000007</v>
      </c>
      <c r="R71" s="59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ht="27" customHeight="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183"/>
      <c r="L72" s="54">
        <v>67</v>
      </c>
      <c r="M72" s="55" t="s">
        <v>583</v>
      </c>
      <c r="N72" s="60">
        <v>53.38</v>
      </c>
      <c r="O72" s="56">
        <v>70.38</v>
      </c>
      <c r="P72" s="56"/>
      <c r="Q72" s="60">
        <v>60.35</v>
      </c>
      <c r="R72" s="59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ht="15.75" customHeight="1" thickBot="1" x14ac:dyDescent="0.3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ht="35.25" customHeight="1" thickBot="1" x14ac:dyDescent="0.3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184" t="s">
        <v>329</v>
      </c>
      <c r="L74" s="95" t="s">
        <v>238</v>
      </c>
      <c r="M74" s="95" t="s">
        <v>239</v>
      </c>
      <c r="N74" s="95">
        <v>2017</v>
      </c>
      <c r="O74" s="95">
        <v>2016</v>
      </c>
      <c r="P74" s="95" t="s">
        <v>237</v>
      </c>
      <c r="Q74" s="95" t="s">
        <v>386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ht="27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184"/>
      <c r="L75" s="54">
        <v>58</v>
      </c>
      <c r="M75" s="55" t="s">
        <v>150</v>
      </c>
      <c r="N75" s="56">
        <v>68.08</v>
      </c>
      <c r="O75" s="56">
        <v>66.099999999999994</v>
      </c>
      <c r="P75" s="56">
        <v>81.900000000000006</v>
      </c>
      <c r="Q75" s="56">
        <v>78.42</v>
      </c>
      <c r="R75" s="59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ht="16.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184"/>
      <c r="L76" s="62"/>
      <c r="M76" s="62" t="s">
        <v>151</v>
      </c>
      <c r="N76" s="63">
        <v>71.569999999999993</v>
      </c>
      <c r="O76" s="63">
        <v>68.66</v>
      </c>
      <c r="P76" s="63">
        <v>78.569999999999993</v>
      </c>
      <c r="Q76" s="63">
        <v>75.319999999999993</v>
      </c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ht="15" customHeight="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184"/>
      <c r="L77" s="64"/>
      <c r="M77" s="64" t="s">
        <v>161</v>
      </c>
      <c r="N77" s="65">
        <v>71.31</v>
      </c>
      <c r="O77" s="65">
        <v>68.87</v>
      </c>
      <c r="P77" s="65">
        <v>77</v>
      </c>
      <c r="Q77" s="65">
        <v>75</v>
      </c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ht="15.75" customHeight="1" thickBot="1" x14ac:dyDescent="0.3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ht="35.25" customHeight="1" thickBot="1" x14ac:dyDescent="0.3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95">
        <v>2017</v>
      </c>
      <c r="O79" s="95">
        <v>2016</v>
      </c>
      <c r="P79" s="95" t="s">
        <v>237</v>
      </c>
      <c r="Q79" s="95" t="s">
        <v>386</v>
      </c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ht="14.25" customHeight="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185" t="s">
        <v>26</v>
      </c>
      <c r="L80" s="264" t="s">
        <v>144</v>
      </c>
      <c r="M80" s="265"/>
      <c r="N80" s="66">
        <v>72.45</v>
      </c>
      <c r="O80" s="66">
        <v>70</v>
      </c>
      <c r="P80" s="66">
        <v>79</v>
      </c>
      <c r="Q80" s="66">
        <v>74</v>
      </c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ht="14.25" customHeight="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185"/>
      <c r="L81" s="264" t="s">
        <v>146</v>
      </c>
      <c r="M81" s="265"/>
      <c r="N81" s="67">
        <v>73.41</v>
      </c>
      <c r="O81" s="67">
        <v>70.69</v>
      </c>
      <c r="P81" s="67">
        <v>77.39</v>
      </c>
      <c r="Q81" s="67">
        <v>76.150000000000006</v>
      </c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ht="14.25" customHeight="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185"/>
      <c r="L82" s="264" t="s">
        <v>147</v>
      </c>
      <c r="M82" s="265"/>
      <c r="N82" s="68">
        <v>67.709999999999994</v>
      </c>
      <c r="O82" s="68">
        <v>66.069999999999993</v>
      </c>
      <c r="P82" s="68">
        <v>74.680000000000007</v>
      </c>
      <c r="Q82" s="68">
        <v>73.47</v>
      </c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ht="14.25" customHeight="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185"/>
      <c r="L83" s="264" t="s">
        <v>148</v>
      </c>
      <c r="M83" s="265"/>
      <c r="N83" s="69">
        <v>70.150000000000006</v>
      </c>
      <c r="O83" s="69">
        <v>67.180000000000007</v>
      </c>
      <c r="P83" s="69">
        <v>79.47</v>
      </c>
      <c r="Q83" s="69">
        <v>78.510000000000005</v>
      </c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ht="14.25" customHeight="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185"/>
      <c r="L84" s="264" t="s">
        <v>149</v>
      </c>
      <c r="M84" s="265"/>
      <c r="N84" s="70">
        <v>74.08</v>
      </c>
      <c r="O84" s="70">
        <v>69.290000000000006</v>
      </c>
      <c r="P84" s="70">
        <v>83.49</v>
      </c>
      <c r="Q84" s="70">
        <v>74.81</v>
      </c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ht="15" customHeight="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ht="15" customHeight="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ht="24.75" customHeight="1" x14ac:dyDescent="0.25">
      <c r="A87" s="37"/>
      <c r="B87" s="37"/>
      <c r="C87" s="37"/>
      <c r="D87" s="37"/>
      <c r="E87" s="37"/>
      <c r="F87" s="37"/>
      <c r="G87" s="37"/>
      <c r="H87" s="37"/>
      <c r="I87" s="172" t="s">
        <v>129</v>
      </c>
      <c r="J87" s="172"/>
      <c r="K87" s="74" t="s">
        <v>236</v>
      </c>
      <c r="L87" s="74" t="s">
        <v>238</v>
      </c>
      <c r="M87" s="74" t="s">
        <v>239</v>
      </c>
      <c r="N87" s="74">
        <v>2017</v>
      </c>
      <c r="O87" s="74" t="s">
        <v>584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ht="24.75" customHeight="1" x14ac:dyDescent="0.25">
      <c r="A88" s="37"/>
      <c r="B88" s="37"/>
      <c r="C88" s="37"/>
      <c r="D88" s="37"/>
      <c r="E88" s="37"/>
      <c r="F88" s="37"/>
      <c r="G88" s="37"/>
      <c r="H88" s="75">
        <v>1</v>
      </c>
      <c r="I88" s="173" t="s">
        <v>132</v>
      </c>
      <c r="J88" s="173"/>
      <c r="K88" s="85" t="s">
        <v>283</v>
      </c>
      <c r="L88" s="86">
        <v>21</v>
      </c>
      <c r="M88" s="86" t="s">
        <v>284</v>
      </c>
      <c r="N88" s="87">
        <v>96.25</v>
      </c>
      <c r="O88" s="87">
        <v>24.68</v>
      </c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ht="24.75" customHeight="1" x14ac:dyDescent="0.25">
      <c r="A89" s="37"/>
      <c r="B89" s="37"/>
      <c r="C89" s="37"/>
      <c r="D89" s="37"/>
      <c r="E89" s="37"/>
      <c r="F89" s="37"/>
      <c r="G89" s="37"/>
      <c r="H89" s="75">
        <v>2</v>
      </c>
      <c r="I89" s="174" t="s">
        <v>130</v>
      </c>
      <c r="J89" s="174"/>
      <c r="K89" s="76" t="s">
        <v>301</v>
      </c>
      <c r="L89" s="77">
        <v>36</v>
      </c>
      <c r="M89" s="77" t="s">
        <v>303</v>
      </c>
      <c r="N89" s="78">
        <v>96.19</v>
      </c>
      <c r="O89" s="78">
        <v>24.61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ht="24.75" customHeight="1" x14ac:dyDescent="0.25">
      <c r="A90" s="37"/>
      <c r="B90" s="37"/>
      <c r="C90" s="37"/>
      <c r="D90" s="37"/>
      <c r="E90" s="37"/>
      <c r="F90" s="37"/>
      <c r="G90" s="37"/>
      <c r="H90" s="75">
        <v>3</v>
      </c>
      <c r="I90" s="174" t="s">
        <v>130</v>
      </c>
      <c r="J90" s="174"/>
      <c r="K90" s="76" t="s">
        <v>301</v>
      </c>
      <c r="L90" s="77">
        <v>37</v>
      </c>
      <c r="M90" s="77" t="s">
        <v>304</v>
      </c>
      <c r="N90" s="78">
        <v>95.53</v>
      </c>
      <c r="O90" s="78">
        <v>23.96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ht="24.75" customHeight="1" x14ac:dyDescent="0.25">
      <c r="A91" s="37"/>
      <c r="B91" s="37"/>
      <c r="C91" s="37"/>
      <c r="D91" s="37"/>
      <c r="E91" s="37"/>
      <c r="F91" s="37"/>
      <c r="G91" s="37"/>
      <c r="H91" s="75">
        <v>4</v>
      </c>
      <c r="I91" s="175" t="s">
        <v>130</v>
      </c>
      <c r="J91" s="175"/>
      <c r="K91" s="76" t="s">
        <v>301</v>
      </c>
      <c r="L91" s="77">
        <v>38</v>
      </c>
      <c r="M91" s="77" t="s">
        <v>305</v>
      </c>
      <c r="N91" s="78">
        <v>94.08</v>
      </c>
      <c r="O91" s="78">
        <v>22.51</v>
      </c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ht="24.75" customHeight="1" x14ac:dyDescent="0.25">
      <c r="A92" s="37"/>
      <c r="B92" s="37"/>
      <c r="C92" s="37"/>
      <c r="D92" s="37"/>
      <c r="E92" s="37"/>
      <c r="F92" s="37"/>
      <c r="G92" s="37"/>
      <c r="H92" s="75">
        <v>5</v>
      </c>
      <c r="I92" s="176" t="s">
        <v>132</v>
      </c>
      <c r="J92" s="176"/>
      <c r="K92" s="85" t="s">
        <v>283</v>
      </c>
      <c r="L92" s="86">
        <v>23</v>
      </c>
      <c r="M92" s="86" t="s">
        <v>286</v>
      </c>
      <c r="N92" s="87">
        <v>89.26</v>
      </c>
      <c r="O92" s="87">
        <v>17.690000000000001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ht="24.75" customHeight="1" x14ac:dyDescent="0.25">
      <c r="A93" s="37"/>
      <c r="B93" s="37"/>
      <c r="C93" s="37"/>
      <c r="D93" s="37"/>
      <c r="E93" s="37"/>
      <c r="F93" s="37"/>
      <c r="G93" s="37"/>
      <c r="H93" s="75">
        <v>6</v>
      </c>
      <c r="I93" s="173" t="s">
        <v>132</v>
      </c>
      <c r="J93" s="173"/>
      <c r="K93" s="85" t="s">
        <v>275</v>
      </c>
      <c r="L93" s="86">
        <v>16</v>
      </c>
      <c r="M93" s="86" t="s">
        <v>277</v>
      </c>
      <c r="N93" s="87">
        <v>86.25</v>
      </c>
      <c r="O93" s="87">
        <v>14.68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ht="24.75" customHeight="1" x14ac:dyDescent="0.25">
      <c r="A94" s="37"/>
      <c r="B94" s="37"/>
      <c r="C94" s="37"/>
      <c r="D94" s="37"/>
      <c r="E94" s="37"/>
      <c r="F94" s="37"/>
      <c r="G94" s="37"/>
      <c r="H94" s="75">
        <v>7</v>
      </c>
      <c r="I94" s="266" t="s">
        <v>130</v>
      </c>
      <c r="J94" s="266"/>
      <c r="K94" s="76" t="s">
        <v>295</v>
      </c>
      <c r="L94" s="77">
        <v>31</v>
      </c>
      <c r="M94" s="77" t="s">
        <v>297</v>
      </c>
      <c r="N94" s="78">
        <v>86.08</v>
      </c>
      <c r="O94" s="78">
        <v>14.5</v>
      </c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ht="24.75" customHeight="1" x14ac:dyDescent="0.25">
      <c r="A95" s="37"/>
      <c r="B95" s="37"/>
      <c r="C95" s="37"/>
      <c r="D95" s="37"/>
      <c r="E95" s="37"/>
      <c r="F95" s="37"/>
      <c r="G95" s="37"/>
      <c r="H95" s="75">
        <v>8</v>
      </c>
      <c r="I95" s="267" t="s">
        <v>131</v>
      </c>
      <c r="J95" s="267"/>
      <c r="K95" s="82" t="s">
        <v>264</v>
      </c>
      <c r="L95" s="83">
        <v>9</v>
      </c>
      <c r="M95" s="83" t="s">
        <v>571</v>
      </c>
      <c r="N95" s="84">
        <v>85.71</v>
      </c>
      <c r="O95" s="84">
        <v>14.14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ht="24.75" customHeight="1" x14ac:dyDescent="0.25">
      <c r="A96" s="37"/>
      <c r="B96" s="37"/>
      <c r="C96" s="37"/>
      <c r="D96" s="37"/>
      <c r="E96" s="37"/>
      <c r="F96" s="37"/>
      <c r="G96" s="37"/>
      <c r="H96" s="75">
        <v>9</v>
      </c>
      <c r="I96" s="268" t="s">
        <v>130</v>
      </c>
      <c r="J96" s="268"/>
      <c r="K96" s="76" t="s">
        <v>301</v>
      </c>
      <c r="L96" s="77">
        <v>35</v>
      </c>
      <c r="M96" s="77" t="s">
        <v>302</v>
      </c>
      <c r="N96" s="78">
        <v>85.47</v>
      </c>
      <c r="O96" s="78">
        <v>13.9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ht="24.75" customHeight="1" x14ac:dyDescent="0.25">
      <c r="A97" s="37"/>
      <c r="B97" s="37"/>
      <c r="C97" s="37"/>
      <c r="D97" s="37"/>
      <c r="E97" s="37"/>
      <c r="F97" s="37"/>
      <c r="G97" s="37"/>
      <c r="H97" s="75">
        <v>10</v>
      </c>
      <c r="I97" s="269" t="s">
        <v>330</v>
      </c>
      <c r="J97" s="269"/>
      <c r="K97" s="79" t="s">
        <v>23</v>
      </c>
      <c r="L97" s="80">
        <v>48</v>
      </c>
      <c r="M97" s="80" t="s">
        <v>317</v>
      </c>
      <c r="N97" s="81">
        <v>83.79</v>
      </c>
      <c r="O97" s="81">
        <v>12.22</v>
      </c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ht="15" customHeight="1" x14ac:dyDescent="0.25">
      <c r="A98" s="37"/>
      <c r="B98" s="37"/>
      <c r="C98" s="37"/>
      <c r="D98" s="37"/>
      <c r="E98" s="37"/>
      <c r="F98" s="37"/>
      <c r="G98" s="37"/>
      <c r="H98" s="37"/>
      <c r="I98" s="88"/>
      <c r="J98" s="88"/>
      <c r="K98" s="88"/>
      <c r="L98" s="88"/>
      <c r="M98" s="88"/>
      <c r="N98" s="88"/>
      <c r="O98" s="88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ht="24.75" customHeight="1" x14ac:dyDescent="0.25">
      <c r="A99" s="37"/>
      <c r="B99" s="37"/>
      <c r="C99" s="37"/>
      <c r="D99" s="37"/>
      <c r="E99" s="37"/>
      <c r="F99" s="37"/>
      <c r="G99" s="37"/>
      <c r="H99" s="37"/>
      <c r="I99" s="270" t="s">
        <v>129</v>
      </c>
      <c r="J99" s="270"/>
      <c r="K99" s="74" t="s">
        <v>236</v>
      </c>
      <c r="L99" s="74" t="s">
        <v>238</v>
      </c>
      <c r="M99" s="74" t="s">
        <v>239</v>
      </c>
      <c r="N99" s="74">
        <v>2017</v>
      </c>
      <c r="O99" s="74" t="s">
        <v>584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ht="24.75" customHeight="1" x14ac:dyDescent="0.25">
      <c r="A100" s="37"/>
      <c r="B100" s="37"/>
      <c r="C100" s="37"/>
      <c r="D100" s="37"/>
      <c r="E100" s="37"/>
      <c r="F100" s="37"/>
      <c r="G100" s="37"/>
      <c r="H100" s="75">
        <v>1</v>
      </c>
      <c r="I100" s="174" t="s">
        <v>130</v>
      </c>
      <c r="J100" s="174"/>
      <c r="K100" s="76" t="s">
        <v>293</v>
      </c>
      <c r="L100" s="77">
        <v>29</v>
      </c>
      <c r="M100" s="77" t="s">
        <v>573</v>
      </c>
      <c r="N100" s="78">
        <v>25.58</v>
      </c>
      <c r="O100" s="78">
        <v>-46</v>
      </c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ht="24.75" customHeight="1" x14ac:dyDescent="0.25">
      <c r="A101" s="37"/>
      <c r="B101" s="37"/>
      <c r="C101" s="37"/>
      <c r="D101" s="37"/>
      <c r="E101" s="37"/>
      <c r="F101" s="37"/>
      <c r="G101" s="37"/>
      <c r="H101" s="75">
        <v>2</v>
      </c>
      <c r="I101" s="174" t="s">
        <v>130</v>
      </c>
      <c r="J101" s="174"/>
      <c r="K101" s="76" t="s">
        <v>293</v>
      </c>
      <c r="L101" s="77">
        <v>28</v>
      </c>
      <c r="M101" s="77" t="s">
        <v>294</v>
      </c>
      <c r="N101" s="78">
        <v>30.96</v>
      </c>
      <c r="O101" s="78">
        <v>-40.61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ht="24.75" customHeight="1" x14ac:dyDescent="0.25">
      <c r="A102" s="37"/>
      <c r="B102" s="37"/>
      <c r="C102" s="37"/>
      <c r="D102" s="37"/>
      <c r="E102" s="37"/>
      <c r="F102" s="37"/>
      <c r="G102" s="37"/>
      <c r="H102" s="75">
        <v>3</v>
      </c>
      <c r="I102" s="175" t="s">
        <v>130</v>
      </c>
      <c r="J102" s="175"/>
      <c r="K102" s="76" t="s">
        <v>18</v>
      </c>
      <c r="L102" s="77">
        <v>32</v>
      </c>
      <c r="M102" s="77" t="s">
        <v>298</v>
      </c>
      <c r="N102" s="78">
        <v>49.04</v>
      </c>
      <c r="O102" s="78">
        <v>-22.53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ht="24.75" customHeight="1" x14ac:dyDescent="0.25">
      <c r="A103" s="37"/>
      <c r="B103" s="37"/>
      <c r="C103" s="37"/>
      <c r="D103" s="37"/>
      <c r="E103" s="37"/>
      <c r="F103" s="37"/>
      <c r="G103" s="37"/>
      <c r="H103" s="75">
        <v>4</v>
      </c>
      <c r="I103" s="173" t="s">
        <v>132</v>
      </c>
      <c r="J103" s="173"/>
      <c r="K103" s="85" t="s">
        <v>287</v>
      </c>
      <c r="L103" s="86">
        <v>27</v>
      </c>
      <c r="M103" s="86" t="s">
        <v>291</v>
      </c>
      <c r="N103" s="87">
        <v>53.07</v>
      </c>
      <c r="O103" s="87">
        <v>-18.510000000000002</v>
      </c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ht="24.75" customHeight="1" x14ac:dyDescent="0.25">
      <c r="A104" s="37"/>
      <c r="B104" s="37"/>
      <c r="C104" s="37"/>
      <c r="D104" s="37"/>
      <c r="E104" s="37"/>
      <c r="F104" s="37"/>
      <c r="G104" s="37"/>
      <c r="H104" s="75">
        <v>5</v>
      </c>
      <c r="I104" s="175" t="s">
        <v>130</v>
      </c>
      <c r="J104" s="175"/>
      <c r="K104" s="76" t="s">
        <v>18</v>
      </c>
      <c r="L104" s="77">
        <v>34</v>
      </c>
      <c r="M104" s="77" t="s">
        <v>300</v>
      </c>
      <c r="N104" s="78">
        <v>55.56</v>
      </c>
      <c r="O104" s="78">
        <v>-16.02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ht="24.75" customHeight="1" x14ac:dyDescent="0.25">
      <c r="A105" s="37"/>
      <c r="B105" s="37"/>
      <c r="C105" s="37"/>
      <c r="D105" s="37"/>
      <c r="E105" s="37"/>
      <c r="F105" s="37"/>
      <c r="G105" s="37"/>
      <c r="H105" s="75">
        <v>6</v>
      </c>
      <c r="I105" s="173" t="s">
        <v>132</v>
      </c>
      <c r="J105" s="173"/>
      <c r="K105" s="85" t="s">
        <v>287</v>
      </c>
      <c r="L105" s="86">
        <v>25</v>
      </c>
      <c r="M105" s="86" t="s">
        <v>289</v>
      </c>
      <c r="N105" s="87">
        <v>56.36</v>
      </c>
      <c r="O105" s="87">
        <v>-15.22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ht="24.75" customHeight="1" x14ac:dyDescent="0.25">
      <c r="A106" s="37"/>
      <c r="B106" s="37"/>
      <c r="C106" s="37"/>
      <c r="D106" s="37"/>
      <c r="E106" s="37"/>
      <c r="F106" s="37"/>
      <c r="G106" s="37"/>
      <c r="H106" s="75">
        <v>7</v>
      </c>
      <c r="I106" s="266" t="s">
        <v>130</v>
      </c>
      <c r="J106" s="266"/>
      <c r="K106" s="76" t="s">
        <v>295</v>
      </c>
      <c r="L106" s="77">
        <v>30</v>
      </c>
      <c r="M106" s="77" t="s">
        <v>296</v>
      </c>
      <c r="N106" s="78">
        <v>57.41</v>
      </c>
      <c r="O106" s="78">
        <v>-14.16</v>
      </c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ht="24.75" customHeight="1" x14ac:dyDescent="0.25">
      <c r="A107" s="37"/>
      <c r="B107" s="37"/>
      <c r="C107" s="37"/>
      <c r="D107" s="37"/>
      <c r="E107" s="37"/>
      <c r="F107" s="37"/>
      <c r="G107" s="37"/>
      <c r="H107" s="75">
        <v>8</v>
      </c>
      <c r="I107" s="267" t="s">
        <v>131</v>
      </c>
      <c r="J107" s="267"/>
      <c r="K107" s="82" t="s">
        <v>268</v>
      </c>
      <c r="L107" s="83">
        <v>13</v>
      </c>
      <c r="M107" s="83" t="s">
        <v>271</v>
      </c>
      <c r="N107" s="84">
        <v>58</v>
      </c>
      <c r="O107" s="84">
        <v>-13.58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ht="24.75" customHeight="1" x14ac:dyDescent="0.25">
      <c r="A108" s="37"/>
      <c r="B108" s="37"/>
      <c r="C108" s="37"/>
      <c r="D108" s="37"/>
      <c r="E108" s="37"/>
      <c r="F108" s="37"/>
      <c r="G108" s="37"/>
      <c r="H108" s="75">
        <v>9</v>
      </c>
      <c r="I108" s="268" t="s">
        <v>130</v>
      </c>
      <c r="J108" s="268"/>
      <c r="K108" s="76" t="s">
        <v>18</v>
      </c>
      <c r="L108" s="77">
        <v>33</v>
      </c>
      <c r="M108" s="77" t="s">
        <v>299</v>
      </c>
      <c r="N108" s="78">
        <v>61.95</v>
      </c>
      <c r="O108" s="78">
        <v>-9.6300000000000008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ht="24.75" customHeight="1" x14ac:dyDescent="0.25">
      <c r="A109" s="37"/>
      <c r="B109" s="37"/>
      <c r="C109" s="37"/>
      <c r="D109" s="37"/>
      <c r="E109" s="37"/>
      <c r="F109" s="37"/>
      <c r="G109" s="37"/>
      <c r="H109" s="75">
        <v>10</v>
      </c>
      <c r="I109" s="269" t="s">
        <v>330</v>
      </c>
      <c r="J109" s="269"/>
      <c r="K109" s="79" t="s">
        <v>25</v>
      </c>
      <c r="L109" s="80">
        <v>56</v>
      </c>
      <c r="M109" s="80" t="s">
        <v>327</v>
      </c>
      <c r="N109" s="81">
        <v>62.58</v>
      </c>
      <c r="O109" s="81">
        <v>-8.99</v>
      </c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</sheetData>
  <mergeCells count="191">
    <mergeCell ref="L80:M80"/>
    <mergeCell ref="L81:M81"/>
    <mergeCell ref="L82:M82"/>
    <mergeCell ref="L83:M83"/>
    <mergeCell ref="L84:M84"/>
    <mergeCell ref="I106:J106"/>
    <mergeCell ref="I107:J107"/>
    <mergeCell ref="I108:J108"/>
    <mergeCell ref="I109:J109"/>
    <mergeCell ref="I96:J96"/>
    <mergeCell ref="I97:J97"/>
    <mergeCell ref="I99:J99"/>
    <mergeCell ref="I100:J100"/>
    <mergeCell ref="I101:J101"/>
    <mergeCell ref="I102:J102"/>
    <mergeCell ref="I103:J103"/>
    <mergeCell ref="I104:J104"/>
    <mergeCell ref="I105:J105"/>
    <mergeCell ref="I94:J94"/>
    <mergeCell ref="I95:J95"/>
    <mergeCell ref="J48:K51"/>
    <mergeCell ref="J52:K52"/>
    <mergeCell ref="H53:H55"/>
    <mergeCell ref="I53:I55"/>
    <mergeCell ref="J53:K55"/>
    <mergeCell ref="I56:I59"/>
    <mergeCell ref="J56:J59"/>
    <mergeCell ref="K56:K57"/>
    <mergeCell ref="K58:K59"/>
    <mergeCell ref="H48:H51"/>
    <mergeCell ref="I48:I51"/>
    <mergeCell ref="J38:J42"/>
    <mergeCell ref="K38:K41"/>
    <mergeCell ref="J43:K43"/>
    <mergeCell ref="H44:H45"/>
    <mergeCell ref="I44:I45"/>
    <mergeCell ref="J44:K45"/>
    <mergeCell ref="H46:H47"/>
    <mergeCell ref="I46:I47"/>
    <mergeCell ref="J46:K47"/>
    <mergeCell ref="J23:J29"/>
    <mergeCell ref="K23:K25"/>
    <mergeCell ref="K26:K29"/>
    <mergeCell ref="J30:K30"/>
    <mergeCell ref="I31:I34"/>
    <mergeCell ref="J31:J34"/>
    <mergeCell ref="K31:K32"/>
    <mergeCell ref="K33:K34"/>
    <mergeCell ref="H35:H37"/>
    <mergeCell ref="I35:I37"/>
    <mergeCell ref="J35:K37"/>
    <mergeCell ref="J12:J15"/>
    <mergeCell ref="K12:K14"/>
    <mergeCell ref="J16:K16"/>
    <mergeCell ref="I17:I20"/>
    <mergeCell ref="J17:J20"/>
    <mergeCell ref="K17:K18"/>
    <mergeCell ref="K19:K20"/>
    <mergeCell ref="J21:J22"/>
    <mergeCell ref="K21:K22"/>
    <mergeCell ref="I12:I15"/>
    <mergeCell ref="J1:K1"/>
    <mergeCell ref="I2:I5"/>
    <mergeCell ref="J2:J5"/>
    <mergeCell ref="K2:K3"/>
    <mergeCell ref="K4:K5"/>
    <mergeCell ref="I6:I11"/>
    <mergeCell ref="J6:J11"/>
    <mergeCell ref="K6:K8"/>
    <mergeCell ref="K9:K10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F23:F29"/>
    <mergeCell ref="G23:G29"/>
    <mergeCell ref="F21:F22"/>
    <mergeCell ref="G21:G22"/>
    <mergeCell ref="I23:I29"/>
    <mergeCell ref="I38:I4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H60:H62"/>
    <mergeCell ref="I60:I62"/>
    <mergeCell ref="I87:J87"/>
    <mergeCell ref="I88:J88"/>
    <mergeCell ref="I89:J89"/>
    <mergeCell ref="I90:J90"/>
    <mergeCell ref="I91:J91"/>
    <mergeCell ref="I92:J92"/>
    <mergeCell ref="I93:J93"/>
    <mergeCell ref="J60:K62"/>
    <mergeCell ref="J63:K63"/>
    <mergeCell ref="K64:K72"/>
    <mergeCell ref="K74:K77"/>
    <mergeCell ref="K80:K8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36"/>
  <sheetViews>
    <sheetView topLeftCell="C10" workbookViewId="0">
      <selection activeCell="C23" sqref="C23"/>
    </sheetView>
  </sheetViews>
  <sheetFormatPr baseColWidth="10" defaultRowHeight="15" x14ac:dyDescent="0.2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99" t="s">
        <v>358</v>
      </c>
      <c r="C2" s="99">
        <v>2016</v>
      </c>
    </row>
    <row r="3" spans="2:10" ht="18.75" customHeight="1" x14ac:dyDescent="0.25">
      <c r="B3" s="94" t="s">
        <v>359</v>
      </c>
      <c r="C3" s="94">
        <v>2017</v>
      </c>
    </row>
    <row r="5" spans="2:10" ht="18.75" customHeight="1" x14ac:dyDescent="0.25">
      <c r="B5" s="271" t="s">
        <v>152</v>
      </c>
      <c r="C5" s="271"/>
      <c r="D5" s="271"/>
      <c r="E5" s="271"/>
      <c r="F5" s="271"/>
      <c r="G5" s="271"/>
      <c r="H5" s="271"/>
      <c r="I5" s="271"/>
      <c r="J5" s="271"/>
    </row>
    <row r="6" spans="2:10" ht="20.100000000000001" customHeight="1" x14ac:dyDescent="0.25">
      <c r="B6" s="90" t="s">
        <v>29</v>
      </c>
      <c r="C6" s="90" t="s">
        <v>153</v>
      </c>
      <c r="D6" s="90" t="s">
        <v>154</v>
      </c>
      <c r="E6" s="90" t="s">
        <v>155</v>
      </c>
      <c r="F6" s="90" t="s">
        <v>156</v>
      </c>
      <c r="G6" s="90" t="s">
        <v>157</v>
      </c>
      <c r="H6" s="90" t="s">
        <v>158</v>
      </c>
      <c r="I6" s="90" t="s">
        <v>159</v>
      </c>
      <c r="J6" s="90" t="s">
        <v>160</v>
      </c>
    </row>
    <row r="7" spans="2:10" x14ac:dyDescent="0.25">
      <c r="B7" s="89" t="s">
        <v>334</v>
      </c>
      <c r="C7" s="89" t="s">
        <v>142</v>
      </c>
      <c r="D7" s="89" t="s">
        <v>141</v>
      </c>
      <c r="E7" s="89" t="s">
        <v>335</v>
      </c>
      <c r="F7" s="89" t="s">
        <v>336</v>
      </c>
      <c r="G7" s="89" t="s">
        <v>337</v>
      </c>
      <c r="H7" s="89" t="s">
        <v>338</v>
      </c>
      <c r="I7" s="89">
        <v>1</v>
      </c>
      <c r="J7" s="93"/>
    </row>
    <row r="8" spans="2:10" x14ac:dyDescent="0.25">
      <c r="B8" s="89" t="s">
        <v>339</v>
      </c>
      <c r="C8" s="89" t="s">
        <v>142</v>
      </c>
      <c r="D8" s="89" t="s">
        <v>141</v>
      </c>
      <c r="E8" s="89" t="s">
        <v>335</v>
      </c>
      <c r="F8" s="89" t="s">
        <v>336</v>
      </c>
      <c r="G8" s="89"/>
      <c r="H8" s="89"/>
      <c r="I8" s="89">
        <v>1</v>
      </c>
      <c r="J8" s="93"/>
    </row>
    <row r="9" spans="2:10" x14ac:dyDescent="0.25">
      <c r="B9" s="89" t="s">
        <v>97</v>
      </c>
      <c r="C9" s="89" t="s">
        <v>374</v>
      </c>
      <c r="D9" s="89" t="s">
        <v>141</v>
      </c>
      <c r="E9" s="89" t="s">
        <v>340</v>
      </c>
      <c r="F9" s="89" t="s">
        <v>341</v>
      </c>
      <c r="G9" s="89" t="s">
        <v>342</v>
      </c>
      <c r="H9" s="89" t="s">
        <v>343</v>
      </c>
      <c r="I9" s="89">
        <v>1</v>
      </c>
      <c r="J9" s="93"/>
    </row>
    <row r="10" spans="2:10" x14ac:dyDescent="0.25">
      <c r="B10" s="89" t="s">
        <v>98</v>
      </c>
      <c r="C10" s="89" t="s">
        <v>374</v>
      </c>
      <c r="D10" s="89" t="s">
        <v>141</v>
      </c>
      <c r="E10" s="89" t="s">
        <v>340</v>
      </c>
      <c r="F10" s="89" t="s">
        <v>341</v>
      </c>
      <c r="G10" s="89"/>
      <c r="H10" s="89"/>
      <c r="I10" s="89">
        <v>1</v>
      </c>
      <c r="J10" s="93"/>
    </row>
    <row r="11" spans="2:10" x14ac:dyDescent="0.25">
      <c r="B11" s="89" t="s">
        <v>99</v>
      </c>
      <c r="C11" s="89" t="s">
        <v>28</v>
      </c>
      <c r="D11" s="89" t="s">
        <v>141</v>
      </c>
      <c r="E11" s="89" t="s">
        <v>162</v>
      </c>
      <c r="F11" s="89" t="s">
        <v>173</v>
      </c>
      <c r="G11" s="89" t="s">
        <v>344</v>
      </c>
      <c r="H11" s="89" t="s">
        <v>345</v>
      </c>
      <c r="I11" s="89">
        <v>1</v>
      </c>
      <c r="J11" s="93"/>
    </row>
    <row r="12" spans="2:10" x14ac:dyDescent="0.25">
      <c r="B12" s="89" t="s">
        <v>100</v>
      </c>
      <c r="C12" s="89" t="s">
        <v>28</v>
      </c>
      <c r="D12" s="89" t="s">
        <v>141</v>
      </c>
      <c r="E12" s="89" t="s">
        <v>162</v>
      </c>
      <c r="F12" s="89" t="s">
        <v>173</v>
      </c>
      <c r="G12" s="89"/>
      <c r="H12" s="89"/>
      <c r="I12" s="89">
        <v>1</v>
      </c>
      <c r="J12" s="93"/>
    </row>
    <row r="13" spans="2:10" x14ac:dyDescent="0.25">
      <c r="B13" s="89" t="s">
        <v>101</v>
      </c>
      <c r="C13" s="89" t="s">
        <v>27</v>
      </c>
      <c r="D13" s="89" t="s">
        <v>141</v>
      </c>
      <c r="E13" s="89" t="s">
        <v>346</v>
      </c>
      <c r="F13" s="89" t="s">
        <v>347</v>
      </c>
      <c r="G13" s="89" t="s">
        <v>348</v>
      </c>
      <c r="H13" s="89" t="s">
        <v>349</v>
      </c>
      <c r="I13" s="89">
        <v>1</v>
      </c>
      <c r="J13" s="93"/>
    </row>
    <row r="14" spans="2:10" x14ac:dyDescent="0.25">
      <c r="B14" s="89" t="s">
        <v>102</v>
      </c>
      <c r="C14" s="89" t="s">
        <v>27</v>
      </c>
      <c r="D14" s="89" t="s">
        <v>141</v>
      </c>
      <c r="E14" s="89" t="s">
        <v>346</v>
      </c>
      <c r="F14" s="89" t="s">
        <v>347</v>
      </c>
      <c r="G14" s="89"/>
      <c r="H14" s="89"/>
      <c r="I14" s="89">
        <v>1</v>
      </c>
      <c r="J14" s="93"/>
    </row>
    <row r="15" spans="2:10" x14ac:dyDescent="0.25">
      <c r="B15" s="89" t="s">
        <v>103</v>
      </c>
      <c r="C15" s="89" t="s">
        <v>375</v>
      </c>
      <c r="D15" s="89" t="s">
        <v>141</v>
      </c>
      <c r="E15" s="89" t="s">
        <v>350</v>
      </c>
      <c r="F15" s="89" t="s">
        <v>517</v>
      </c>
      <c r="G15" s="89" t="s">
        <v>352</v>
      </c>
      <c r="H15" s="89" t="s">
        <v>518</v>
      </c>
      <c r="I15" s="89">
        <v>1</v>
      </c>
      <c r="J15" s="93"/>
    </row>
    <row r="16" spans="2:10" x14ac:dyDescent="0.25">
      <c r="B16" s="89" t="s">
        <v>354</v>
      </c>
      <c r="C16" s="89" t="s">
        <v>375</v>
      </c>
      <c r="D16" s="89" t="s">
        <v>141</v>
      </c>
      <c r="E16" s="89" t="s">
        <v>350</v>
      </c>
      <c r="F16" s="89" t="s">
        <v>517</v>
      </c>
      <c r="G16" s="89"/>
      <c r="H16" s="89"/>
      <c r="I16" s="89">
        <v>1</v>
      </c>
      <c r="J16" s="93"/>
    </row>
    <row r="17" spans="2:10" x14ac:dyDescent="0.25">
      <c r="B17" s="89" t="s">
        <v>104</v>
      </c>
      <c r="C17" s="89" t="s">
        <v>376</v>
      </c>
      <c r="D17" s="89" t="s">
        <v>141</v>
      </c>
      <c r="E17" s="89" t="s">
        <v>519</v>
      </c>
      <c r="F17" s="89" t="s">
        <v>520</v>
      </c>
      <c r="G17" s="89" t="s">
        <v>521</v>
      </c>
      <c r="H17" s="89" t="s">
        <v>522</v>
      </c>
      <c r="I17" s="89">
        <v>1</v>
      </c>
      <c r="J17" s="93"/>
    </row>
    <row r="18" spans="2:10" x14ac:dyDescent="0.25">
      <c r="B18" s="89" t="s">
        <v>105</v>
      </c>
      <c r="C18" s="89" t="s">
        <v>376</v>
      </c>
      <c r="D18" s="89" t="s">
        <v>141</v>
      </c>
      <c r="E18" s="89" t="s">
        <v>519</v>
      </c>
      <c r="F18" s="89" t="s">
        <v>520</v>
      </c>
      <c r="G18" s="89"/>
      <c r="H18" s="89"/>
      <c r="I18" s="89">
        <v>1</v>
      </c>
      <c r="J18" s="93"/>
    </row>
    <row r="19" spans="2:10" x14ac:dyDescent="0.25">
      <c r="B19" s="89" t="s">
        <v>106</v>
      </c>
      <c r="C19" s="89" t="s">
        <v>377</v>
      </c>
      <c r="D19" s="89" t="s">
        <v>141</v>
      </c>
      <c r="E19" s="89" t="s">
        <v>351</v>
      </c>
      <c r="F19" s="89" t="s">
        <v>523</v>
      </c>
      <c r="G19" s="89" t="s">
        <v>353</v>
      </c>
      <c r="H19" s="89" t="s">
        <v>524</v>
      </c>
      <c r="I19" s="89">
        <v>1</v>
      </c>
      <c r="J19" s="93"/>
    </row>
    <row r="20" spans="2:10" x14ac:dyDescent="0.25">
      <c r="B20" s="89" t="s">
        <v>355</v>
      </c>
      <c r="C20" s="89" t="s">
        <v>377</v>
      </c>
      <c r="D20" s="89" t="s">
        <v>141</v>
      </c>
      <c r="E20" s="89" t="s">
        <v>351</v>
      </c>
      <c r="F20" s="89" t="s">
        <v>523</v>
      </c>
      <c r="G20" s="89"/>
      <c r="H20" s="89"/>
      <c r="I20" s="89">
        <v>1</v>
      </c>
      <c r="J20" s="93"/>
    </row>
    <row r="21" spans="2:10" x14ac:dyDescent="0.25">
      <c r="B21" s="89" t="s">
        <v>107</v>
      </c>
      <c r="C21" s="89" t="s">
        <v>378</v>
      </c>
      <c r="D21" s="89" t="s">
        <v>141</v>
      </c>
      <c r="E21" s="89" t="s">
        <v>525</v>
      </c>
      <c r="F21" s="89" t="s">
        <v>526</v>
      </c>
      <c r="G21" s="89" t="s">
        <v>527</v>
      </c>
      <c r="H21" s="89" t="s">
        <v>528</v>
      </c>
      <c r="I21" s="89">
        <v>1</v>
      </c>
      <c r="J21" s="93"/>
    </row>
    <row r="22" spans="2:10" x14ac:dyDescent="0.25">
      <c r="B22" s="89" t="s">
        <v>108</v>
      </c>
      <c r="C22" s="89" t="s">
        <v>378</v>
      </c>
      <c r="D22" s="89" t="s">
        <v>141</v>
      </c>
      <c r="E22" s="89" t="s">
        <v>525</v>
      </c>
      <c r="F22" s="89" t="s">
        <v>526</v>
      </c>
      <c r="G22" s="89"/>
      <c r="H22" s="89"/>
      <c r="I22" s="89">
        <v>1</v>
      </c>
      <c r="J22" s="93"/>
    </row>
    <row r="23" spans="2:10" x14ac:dyDescent="0.25">
      <c r="B23" s="89" t="s">
        <v>109</v>
      </c>
      <c r="C23" s="89" t="s">
        <v>379</v>
      </c>
      <c r="D23" s="89" t="s">
        <v>141</v>
      </c>
      <c r="E23" s="89" t="s">
        <v>529</v>
      </c>
      <c r="F23" s="89" t="s">
        <v>356</v>
      </c>
      <c r="G23" s="89" t="s">
        <v>530</v>
      </c>
      <c r="H23" s="89" t="s">
        <v>357</v>
      </c>
      <c r="I23" s="89">
        <v>2</v>
      </c>
      <c r="J23" s="93"/>
    </row>
    <row r="24" spans="2:10" x14ac:dyDescent="0.25">
      <c r="B24" s="89" t="s">
        <v>110</v>
      </c>
      <c r="C24" s="89" t="s">
        <v>379</v>
      </c>
      <c r="D24" s="89" t="s">
        <v>141</v>
      </c>
      <c r="E24" s="89" t="s">
        <v>529</v>
      </c>
      <c r="F24" s="89" t="s">
        <v>356</v>
      </c>
      <c r="G24" s="89"/>
      <c r="H24" s="89"/>
      <c r="I24" s="89">
        <v>1</v>
      </c>
      <c r="J24" s="93"/>
    </row>
    <row r="25" spans="2:10" x14ac:dyDescent="0.25">
      <c r="B25" s="89" t="s">
        <v>111</v>
      </c>
      <c r="C25" s="89" t="s">
        <v>380</v>
      </c>
      <c r="D25" s="89" t="s">
        <v>141</v>
      </c>
      <c r="E25" s="89" t="s">
        <v>531</v>
      </c>
      <c r="F25" s="89" t="s">
        <v>532</v>
      </c>
      <c r="G25" s="89" t="s">
        <v>533</v>
      </c>
      <c r="H25" s="89" t="s">
        <v>534</v>
      </c>
      <c r="I25" s="89">
        <v>2</v>
      </c>
      <c r="J25" s="93"/>
    </row>
    <row r="26" spans="2:10" x14ac:dyDescent="0.25">
      <c r="B26" s="89" t="s">
        <v>112</v>
      </c>
      <c r="C26" s="89" t="s">
        <v>380</v>
      </c>
      <c r="D26" s="89" t="s">
        <v>141</v>
      </c>
      <c r="E26" s="89" t="s">
        <v>531</v>
      </c>
      <c r="F26" s="89" t="s">
        <v>532</v>
      </c>
      <c r="G26" s="89"/>
      <c r="H26" s="89"/>
      <c r="I26" s="89">
        <v>1</v>
      </c>
      <c r="J26" s="93"/>
    </row>
    <row r="27" spans="2:10" x14ac:dyDescent="0.25">
      <c r="B27" s="89" t="s">
        <v>535</v>
      </c>
      <c r="C27" s="89" t="s">
        <v>381</v>
      </c>
      <c r="D27" s="89" t="s">
        <v>141</v>
      </c>
      <c r="E27" s="89" t="s">
        <v>536</v>
      </c>
      <c r="F27" s="89" t="s">
        <v>537</v>
      </c>
      <c r="G27" s="89" t="s">
        <v>538</v>
      </c>
      <c r="H27" s="89" t="s">
        <v>539</v>
      </c>
      <c r="I27" s="89">
        <v>1</v>
      </c>
      <c r="J27" s="93"/>
    </row>
    <row r="28" spans="2:10" x14ac:dyDescent="0.25">
      <c r="B28" s="89" t="s">
        <v>540</v>
      </c>
      <c r="C28" s="89" t="s">
        <v>381</v>
      </c>
      <c r="D28" s="89" t="s">
        <v>141</v>
      </c>
      <c r="E28" s="89" t="s">
        <v>536</v>
      </c>
      <c r="F28" s="89" t="s">
        <v>537</v>
      </c>
      <c r="G28" s="89"/>
      <c r="H28" s="89"/>
      <c r="I28" s="89">
        <v>1</v>
      </c>
      <c r="J28" s="93"/>
    </row>
    <row r="29" spans="2:10" x14ac:dyDescent="0.25">
      <c r="B29" s="89" t="s">
        <v>541</v>
      </c>
      <c r="C29" s="89" t="s">
        <v>96</v>
      </c>
      <c r="D29" s="89" t="s">
        <v>141</v>
      </c>
      <c r="E29" s="89" t="s">
        <v>542</v>
      </c>
      <c r="F29" s="89" t="s">
        <v>543</v>
      </c>
      <c r="G29" s="89" t="s">
        <v>544</v>
      </c>
      <c r="H29" s="89" t="s">
        <v>545</v>
      </c>
      <c r="I29" s="89">
        <v>4</v>
      </c>
      <c r="J29" s="93"/>
    </row>
    <row r="30" spans="2:10" x14ac:dyDescent="0.25">
      <c r="B30" s="89" t="s">
        <v>546</v>
      </c>
      <c r="C30" s="89" t="s">
        <v>96</v>
      </c>
      <c r="D30" s="89" t="s">
        <v>141</v>
      </c>
      <c r="E30" s="89" t="s">
        <v>542</v>
      </c>
      <c r="F30" s="89" t="s">
        <v>543</v>
      </c>
      <c r="G30" s="89"/>
      <c r="H30" s="89"/>
      <c r="I30" s="89">
        <v>1</v>
      </c>
      <c r="J30" s="93"/>
    </row>
    <row r="31" spans="2:10" x14ac:dyDescent="0.25">
      <c r="B31" s="89" t="s">
        <v>547</v>
      </c>
      <c r="C31" s="89" t="s">
        <v>382</v>
      </c>
      <c r="D31" s="89" t="s">
        <v>141</v>
      </c>
      <c r="E31" s="89" t="s">
        <v>548</v>
      </c>
      <c r="F31" s="89" t="s">
        <v>549</v>
      </c>
      <c r="G31" s="89" t="s">
        <v>550</v>
      </c>
      <c r="H31" s="89" t="s">
        <v>551</v>
      </c>
      <c r="I31" s="89">
        <v>1</v>
      </c>
      <c r="J31" s="93"/>
    </row>
    <row r="32" spans="2:10" x14ac:dyDescent="0.25">
      <c r="B32" s="89" t="s">
        <v>552</v>
      </c>
      <c r="C32" s="89" t="s">
        <v>382</v>
      </c>
      <c r="D32" s="89" t="s">
        <v>141</v>
      </c>
      <c r="E32" s="89" t="s">
        <v>548</v>
      </c>
      <c r="F32" s="89" t="s">
        <v>549</v>
      </c>
      <c r="G32" s="89"/>
      <c r="H32" s="89"/>
      <c r="I32" s="89">
        <v>1</v>
      </c>
      <c r="J32" s="93"/>
    </row>
    <row r="33" spans="2:10" x14ac:dyDescent="0.25">
      <c r="B33" s="89" t="s">
        <v>553</v>
      </c>
      <c r="C33" s="89" t="s">
        <v>383</v>
      </c>
      <c r="D33" s="89" t="s">
        <v>141</v>
      </c>
      <c r="E33" s="89" t="s">
        <v>554</v>
      </c>
      <c r="F33" s="89" t="s">
        <v>555</v>
      </c>
      <c r="G33" s="89" t="s">
        <v>556</v>
      </c>
      <c r="H33" s="89" t="s">
        <v>557</v>
      </c>
      <c r="I33" s="89">
        <v>1</v>
      </c>
      <c r="J33" s="93"/>
    </row>
    <row r="34" spans="2:10" x14ac:dyDescent="0.25">
      <c r="B34" s="89" t="s">
        <v>558</v>
      </c>
      <c r="C34" s="89" t="s">
        <v>383</v>
      </c>
      <c r="D34" s="89" t="s">
        <v>141</v>
      </c>
      <c r="E34" s="89" t="s">
        <v>554</v>
      </c>
      <c r="F34" s="89" t="s">
        <v>555</v>
      </c>
      <c r="G34" s="89"/>
      <c r="H34" s="89"/>
      <c r="I34" s="89">
        <v>1</v>
      </c>
      <c r="J34" s="93"/>
    </row>
    <row r="35" spans="2:10" x14ac:dyDescent="0.25">
      <c r="B35" s="89" t="s">
        <v>559</v>
      </c>
      <c r="C35" s="89" t="s">
        <v>384</v>
      </c>
      <c r="D35" s="89" t="s">
        <v>141</v>
      </c>
      <c r="E35" s="89" t="s">
        <v>560</v>
      </c>
      <c r="F35" s="89" t="s">
        <v>561</v>
      </c>
      <c r="G35" s="89" t="s">
        <v>562</v>
      </c>
      <c r="H35" s="89" t="s">
        <v>563</v>
      </c>
      <c r="I35" s="89">
        <v>1</v>
      </c>
      <c r="J35" s="93"/>
    </row>
    <row r="36" spans="2:10" x14ac:dyDescent="0.25">
      <c r="B36" s="91" t="s">
        <v>564</v>
      </c>
      <c r="C36" s="91" t="s">
        <v>384</v>
      </c>
      <c r="D36" s="91" t="s">
        <v>141</v>
      </c>
      <c r="E36" s="91" t="s">
        <v>560</v>
      </c>
      <c r="F36" s="91" t="s">
        <v>561</v>
      </c>
      <c r="G36" s="91"/>
      <c r="H36" s="91"/>
      <c r="I36" s="91">
        <v>1</v>
      </c>
      <c r="J36" s="92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6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5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6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7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8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9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0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1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2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3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4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5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6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31</xdr:row>
                    <xdr:rowOff>0</xdr:rowOff>
                  </from>
                  <to>
                    <xdr:col>9</xdr:col>
                    <xdr:colOff>638175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7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8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32</xdr:row>
                    <xdr:rowOff>0</xdr:rowOff>
                  </from>
                  <to>
                    <xdr:col>9</xdr:col>
                    <xdr:colOff>638175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9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0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33</xdr:row>
                    <xdr:rowOff>0</xdr:rowOff>
                  </from>
                  <to>
                    <xdr:col>9</xdr:col>
                    <xdr:colOff>638175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1" r:id="rId59" name="DropDowns_Demo15">
              <controlPr defaultSize="0" autoFill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2" r:id="rId60" name="CheckBox_Demo15">
              <controlPr defaultSize="0" autoFill="0" autoLine="0" autoPict="0">
                <anchor moveWithCells="1">
                  <from>
                    <xdr:col>9</xdr:col>
                    <xdr:colOff>342900</xdr:colOff>
                    <xdr:row>34</xdr:row>
                    <xdr:rowOff>0</xdr:rowOff>
                  </from>
                  <to>
                    <xdr:col>9</xdr:col>
                    <xdr:colOff>638175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3" r:id="rId61" name="DropDowns_Demo_Bis15">
              <controlPr defaultSize="0" autoFill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4" r:id="rId62" name="CheckBox_Demo_Bis15">
              <controlPr defaultSize="0" autoFill="0" autoLine="0" autoPict="0">
                <anchor moveWithCells="1">
                  <from>
                    <xdr:col>9</xdr:col>
                    <xdr:colOff>342900</xdr:colOff>
                    <xdr:row>35</xdr:row>
                    <xdr:rowOff>0</xdr:rowOff>
                  </from>
                  <to>
                    <xdr:col>9</xdr:col>
                    <xdr:colOff>638175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5" r:id="rId63" name="Button 6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6" r:id="rId64" name="Button 6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7" r:id="rId65" name="Button 6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zoomScaleNormal="100" workbookViewId="0">
      <selection activeCell="C3" sqref="C3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2</v>
      </c>
    </row>
    <row r="4" spans="2:8" x14ac:dyDescent="0.25">
      <c r="C4" s="12"/>
    </row>
    <row r="5" spans="2:8" x14ac:dyDescent="0.25">
      <c r="B5" s="16" t="s">
        <v>29</v>
      </c>
      <c r="C5" s="272" t="s">
        <v>133</v>
      </c>
      <c r="D5" s="273"/>
      <c r="E5" s="25" t="s">
        <v>31</v>
      </c>
      <c r="F5" s="25" t="s">
        <v>32</v>
      </c>
      <c r="G5" s="25" t="s">
        <v>139</v>
      </c>
      <c r="H5" s="25" t="s">
        <v>140</v>
      </c>
    </row>
    <row r="6" spans="2:8" x14ac:dyDescent="0.25">
      <c r="B6" s="17" t="s">
        <v>117</v>
      </c>
      <c r="C6" s="22" t="s">
        <v>133</v>
      </c>
      <c r="D6" s="18"/>
      <c r="E6" s="30" t="s">
        <v>633</v>
      </c>
      <c r="F6" s="30" t="s">
        <v>634</v>
      </c>
      <c r="G6" s="30"/>
      <c r="H6" s="30"/>
    </row>
    <row r="7" spans="2:8" ht="15" customHeight="1" x14ac:dyDescent="0.25">
      <c r="B7" s="16" t="s">
        <v>29</v>
      </c>
      <c r="C7" s="278" t="s">
        <v>55</v>
      </c>
      <c r="D7" s="279"/>
      <c r="E7" s="20" t="s">
        <v>31</v>
      </c>
      <c r="F7" s="20" t="s">
        <v>32</v>
      </c>
      <c r="G7" s="20" t="s">
        <v>139</v>
      </c>
      <c r="H7" s="20" t="s">
        <v>140</v>
      </c>
    </row>
    <row r="8" spans="2:8" ht="30" x14ac:dyDescent="0.25">
      <c r="B8" s="17" t="s">
        <v>59</v>
      </c>
      <c r="C8" s="14" t="s">
        <v>56</v>
      </c>
      <c r="D8" s="18"/>
      <c r="E8" s="30" t="s">
        <v>332</v>
      </c>
      <c r="F8" s="30" t="s">
        <v>635</v>
      </c>
      <c r="G8" s="30"/>
      <c r="H8" s="30"/>
    </row>
    <row r="9" spans="2:8" ht="30" x14ac:dyDescent="0.25">
      <c r="B9" s="17" t="s">
        <v>73</v>
      </c>
      <c r="C9" s="14" t="s">
        <v>135</v>
      </c>
      <c r="D9" s="18"/>
      <c r="E9" s="30" t="s">
        <v>350</v>
      </c>
      <c r="F9" s="30" t="s">
        <v>636</v>
      </c>
      <c r="G9" s="30" t="s">
        <v>346</v>
      </c>
      <c r="H9" s="30" t="s">
        <v>346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637</v>
      </c>
      <c r="F10" s="30" t="s">
        <v>638</v>
      </c>
      <c r="G10" s="30"/>
      <c r="H10" s="30"/>
    </row>
    <row r="11" spans="2:8" ht="45" x14ac:dyDescent="0.25">
      <c r="B11" s="17" t="s">
        <v>74</v>
      </c>
      <c r="C11" s="14" t="s">
        <v>136</v>
      </c>
      <c r="D11" s="18"/>
      <c r="E11" s="30" t="s">
        <v>639</v>
      </c>
      <c r="F11" s="30" t="s">
        <v>333</v>
      </c>
      <c r="G11" s="30" t="s">
        <v>346</v>
      </c>
      <c r="H11" s="30" t="s">
        <v>346</v>
      </c>
    </row>
    <row r="12" spans="2:8" x14ac:dyDescent="0.25">
      <c r="B12" s="24" t="s">
        <v>29</v>
      </c>
      <c r="C12" s="278" t="s">
        <v>26</v>
      </c>
      <c r="D12" s="279"/>
      <c r="E12" s="20" t="s">
        <v>31</v>
      </c>
      <c r="F12" s="20" t="s">
        <v>32</v>
      </c>
      <c r="G12" s="20" t="s">
        <v>139</v>
      </c>
      <c r="H12" s="20" t="s">
        <v>140</v>
      </c>
    </row>
    <row r="13" spans="2:8" x14ac:dyDescent="0.25">
      <c r="B13" s="274" t="s">
        <v>61</v>
      </c>
      <c r="C13" s="14" t="s">
        <v>129</v>
      </c>
      <c r="D13" s="10" t="s">
        <v>33</v>
      </c>
      <c r="E13" s="31" t="s">
        <v>640</v>
      </c>
      <c r="F13" s="31" t="s">
        <v>641</v>
      </c>
      <c r="G13" s="30"/>
      <c r="H13" s="30"/>
    </row>
    <row r="14" spans="2:8" x14ac:dyDescent="0.25">
      <c r="B14" s="275"/>
      <c r="C14" s="282" t="s">
        <v>33</v>
      </c>
      <c r="D14" s="10" t="s">
        <v>11</v>
      </c>
      <c r="E14" s="31" t="s">
        <v>34</v>
      </c>
      <c r="F14" s="31" t="s">
        <v>642</v>
      </c>
      <c r="G14" s="30"/>
      <c r="H14" s="30"/>
    </row>
    <row r="15" spans="2:8" x14ac:dyDescent="0.25">
      <c r="B15" s="275"/>
      <c r="C15" s="282"/>
      <c r="D15" s="10" t="s">
        <v>12</v>
      </c>
      <c r="E15" s="31" t="s">
        <v>35</v>
      </c>
      <c r="F15" s="31" t="s">
        <v>643</v>
      </c>
      <c r="G15" s="30"/>
      <c r="H15" s="30"/>
    </row>
    <row r="16" spans="2:8" x14ac:dyDescent="0.25">
      <c r="B16" s="276"/>
      <c r="C16" s="282"/>
      <c r="D16" s="10" t="s">
        <v>13</v>
      </c>
      <c r="E16" s="31" t="s">
        <v>36</v>
      </c>
      <c r="F16" s="31" t="s">
        <v>644</v>
      </c>
      <c r="G16" s="30"/>
      <c r="H16" s="30"/>
    </row>
    <row r="17" spans="2:8" x14ac:dyDescent="0.25">
      <c r="B17" s="274" t="s">
        <v>62</v>
      </c>
      <c r="C17" s="14" t="s">
        <v>129</v>
      </c>
      <c r="D17" s="10" t="s">
        <v>37</v>
      </c>
      <c r="E17" s="31" t="s">
        <v>645</v>
      </c>
      <c r="F17" s="31" t="s">
        <v>646</v>
      </c>
      <c r="G17" s="30"/>
      <c r="H17" s="30"/>
    </row>
    <row r="18" spans="2:8" x14ac:dyDescent="0.25">
      <c r="B18" s="275"/>
      <c r="C18" s="277" t="s">
        <v>37</v>
      </c>
      <c r="D18" s="10" t="s">
        <v>14</v>
      </c>
      <c r="E18" s="31" t="s">
        <v>38</v>
      </c>
      <c r="F18" s="31" t="s">
        <v>647</v>
      </c>
      <c r="G18" s="30"/>
      <c r="H18" s="30"/>
    </row>
    <row r="19" spans="2:8" x14ac:dyDescent="0.25">
      <c r="B19" s="275"/>
      <c r="C19" s="283"/>
      <c r="D19" s="18" t="s">
        <v>15</v>
      </c>
      <c r="E19" s="30" t="s">
        <v>39</v>
      </c>
      <c r="F19" s="30" t="s">
        <v>648</v>
      </c>
      <c r="G19" s="30"/>
      <c r="H19" s="30"/>
    </row>
    <row r="20" spans="2:8" x14ac:dyDescent="0.25">
      <c r="B20" s="276"/>
      <c r="C20" s="283"/>
      <c r="D20" s="10" t="s">
        <v>16</v>
      </c>
      <c r="E20" s="31" t="s">
        <v>40</v>
      </c>
      <c r="F20" s="31" t="s">
        <v>649</v>
      </c>
      <c r="G20" s="30"/>
      <c r="H20" s="30"/>
    </row>
    <row r="21" spans="2:8" x14ac:dyDescent="0.25">
      <c r="B21" s="274" t="s">
        <v>63</v>
      </c>
      <c r="C21" s="23" t="s">
        <v>129</v>
      </c>
      <c r="D21" s="10" t="s">
        <v>41</v>
      </c>
      <c r="E21" s="31" t="s">
        <v>650</v>
      </c>
      <c r="F21" s="31" t="s">
        <v>651</v>
      </c>
      <c r="G21" s="30"/>
      <c r="H21" s="30"/>
    </row>
    <row r="22" spans="2:8" x14ac:dyDescent="0.25">
      <c r="B22" s="275"/>
      <c r="C22" s="277" t="s">
        <v>41</v>
      </c>
      <c r="D22" s="10" t="s">
        <v>17</v>
      </c>
      <c r="E22" s="31" t="s">
        <v>42</v>
      </c>
      <c r="F22" s="31" t="s">
        <v>652</v>
      </c>
      <c r="G22" s="30"/>
      <c r="H22" s="30"/>
    </row>
    <row r="23" spans="2:8" x14ac:dyDescent="0.25">
      <c r="B23" s="275"/>
      <c r="C23" s="283"/>
      <c r="D23" s="18" t="s">
        <v>18</v>
      </c>
      <c r="E23" s="30" t="s">
        <v>43</v>
      </c>
      <c r="F23" s="30" t="s">
        <v>653</v>
      </c>
      <c r="G23" s="30"/>
      <c r="H23" s="30"/>
    </row>
    <row r="24" spans="2:8" x14ac:dyDescent="0.25">
      <c r="B24" s="276"/>
      <c r="C24" s="283"/>
      <c r="D24" s="10" t="s">
        <v>19</v>
      </c>
      <c r="E24" s="31" t="s">
        <v>44</v>
      </c>
      <c r="F24" s="31" t="s">
        <v>654</v>
      </c>
      <c r="G24" s="30"/>
      <c r="H24" s="30"/>
    </row>
    <row r="25" spans="2:8" ht="15" customHeight="1" x14ac:dyDescent="0.25">
      <c r="B25" s="274" t="s">
        <v>64</v>
      </c>
      <c r="C25" s="23" t="s">
        <v>129</v>
      </c>
      <c r="D25" s="10" t="s">
        <v>45</v>
      </c>
      <c r="E25" s="31" t="s">
        <v>655</v>
      </c>
      <c r="F25" s="31" t="s">
        <v>656</v>
      </c>
      <c r="G25" s="30"/>
      <c r="H25" s="30"/>
    </row>
    <row r="26" spans="2:8" x14ac:dyDescent="0.25">
      <c r="B26" s="275"/>
      <c r="C26" s="282" t="s">
        <v>45</v>
      </c>
      <c r="D26" s="18" t="s">
        <v>20</v>
      </c>
      <c r="E26" s="30" t="s">
        <v>46</v>
      </c>
      <c r="F26" s="30" t="s">
        <v>657</v>
      </c>
      <c r="G26" s="30"/>
      <c r="H26" s="30"/>
    </row>
    <row r="27" spans="2:8" x14ac:dyDescent="0.25">
      <c r="B27" s="275"/>
      <c r="C27" s="282"/>
      <c r="D27" s="18" t="s">
        <v>21</v>
      </c>
      <c r="E27" s="30" t="s">
        <v>47</v>
      </c>
      <c r="F27" s="30" t="s">
        <v>658</v>
      </c>
      <c r="G27" s="30"/>
      <c r="H27" s="30"/>
    </row>
    <row r="28" spans="2:8" x14ac:dyDescent="0.25">
      <c r="B28" s="276"/>
      <c r="C28" s="282"/>
      <c r="D28" s="18" t="s">
        <v>22</v>
      </c>
      <c r="E28" s="30" t="s">
        <v>48</v>
      </c>
      <c r="F28" s="30" t="s">
        <v>659</v>
      </c>
      <c r="G28" s="30"/>
      <c r="H28" s="30"/>
    </row>
    <row r="29" spans="2:8" x14ac:dyDescent="0.25">
      <c r="B29" s="274" t="s">
        <v>65</v>
      </c>
      <c r="C29" s="23" t="s">
        <v>129</v>
      </c>
      <c r="D29" s="10" t="s">
        <v>137</v>
      </c>
      <c r="E29" s="31" t="s">
        <v>660</v>
      </c>
      <c r="F29" s="31" t="s">
        <v>638</v>
      </c>
      <c r="G29" s="30"/>
      <c r="H29" s="30"/>
    </row>
    <row r="30" spans="2:8" x14ac:dyDescent="0.25">
      <c r="B30" s="275"/>
      <c r="C30" s="282" t="s">
        <v>137</v>
      </c>
      <c r="D30" s="18" t="s">
        <v>23</v>
      </c>
      <c r="E30" s="30" t="s">
        <v>49</v>
      </c>
      <c r="F30" s="30" t="s">
        <v>661</v>
      </c>
      <c r="G30" s="30"/>
      <c r="H30" s="30"/>
    </row>
    <row r="31" spans="2:8" x14ac:dyDescent="0.25">
      <c r="B31" s="275"/>
      <c r="C31" s="282"/>
      <c r="D31" s="10" t="s">
        <v>24</v>
      </c>
      <c r="E31" s="31" t="s">
        <v>50</v>
      </c>
      <c r="F31" s="31" t="s">
        <v>662</v>
      </c>
      <c r="G31" s="30"/>
      <c r="H31" s="30"/>
    </row>
    <row r="32" spans="2:8" x14ac:dyDescent="0.25">
      <c r="B32" s="276"/>
      <c r="C32" s="282"/>
      <c r="D32" s="18" t="s">
        <v>25</v>
      </c>
      <c r="E32" s="30" t="s">
        <v>51</v>
      </c>
      <c r="F32" s="30" t="s">
        <v>663</v>
      </c>
      <c r="G32" s="30"/>
      <c r="H32" s="30"/>
    </row>
    <row r="33" spans="2:8" x14ac:dyDescent="0.25">
      <c r="B33" s="24" t="s">
        <v>29</v>
      </c>
      <c r="C33" s="278" t="s">
        <v>57</v>
      </c>
      <c r="D33" s="279"/>
      <c r="E33" s="20" t="s">
        <v>31</v>
      </c>
      <c r="F33" s="20" t="s">
        <v>32</v>
      </c>
      <c r="G33" s="20" t="s">
        <v>139</v>
      </c>
      <c r="H33" s="20" t="s">
        <v>140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664</v>
      </c>
      <c r="F34" s="30" t="s">
        <v>665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666</v>
      </c>
      <c r="F35" s="30" t="s">
        <v>667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668</v>
      </c>
      <c r="F36" s="30" t="s">
        <v>669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670</v>
      </c>
      <c r="F37" s="30" t="s">
        <v>671</v>
      </c>
      <c r="G37" s="30"/>
      <c r="H37" s="30"/>
    </row>
    <row r="38" spans="2:8" x14ac:dyDescent="0.25">
      <c r="B38" s="17" t="s">
        <v>69</v>
      </c>
      <c r="C38" s="14" t="s">
        <v>137</v>
      </c>
      <c r="D38" s="18" t="s">
        <v>58</v>
      </c>
      <c r="E38" s="30" t="s">
        <v>672</v>
      </c>
      <c r="F38" s="30" t="s">
        <v>673</v>
      </c>
      <c r="G38" s="30"/>
      <c r="H38" s="30"/>
    </row>
    <row r="39" spans="2:8" x14ac:dyDescent="0.25">
      <c r="B39" s="24" t="s">
        <v>29</v>
      </c>
      <c r="C39" s="278" t="s">
        <v>134</v>
      </c>
      <c r="D39" s="279"/>
      <c r="E39" s="20" t="s">
        <v>31</v>
      </c>
      <c r="F39" s="20" t="s">
        <v>32</v>
      </c>
      <c r="G39" s="20" t="s">
        <v>139</v>
      </c>
      <c r="H39" s="20" t="s">
        <v>140</v>
      </c>
    </row>
    <row r="40" spans="2:8" x14ac:dyDescent="0.25">
      <c r="B40" s="274" t="s">
        <v>92</v>
      </c>
      <c r="C40" s="277" t="s">
        <v>134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275"/>
      <c r="C41" s="275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275"/>
      <c r="C42" s="275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275"/>
      <c r="C43" s="275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275"/>
      <c r="C44" s="275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275"/>
      <c r="C45" s="275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275"/>
      <c r="C46" s="275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275"/>
      <c r="C47" s="275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275"/>
      <c r="C48" s="275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275"/>
      <c r="C49" s="275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275"/>
      <c r="C50" s="275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275"/>
      <c r="C51" s="275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275"/>
      <c r="C52" s="275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275"/>
      <c r="C53" s="275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276"/>
      <c r="C54" s="276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274" t="s">
        <v>75</v>
      </c>
      <c r="C55" s="277" t="s">
        <v>134</v>
      </c>
      <c r="D55" s="10" t="s">
        <v>94</v>
      </c>
      <c r="E55" s="31" t="s">
        <v>95</v>
      </c>
      <c r="F55" s="31" t="s">
        <v>674</v>
      </c>
      <c r="G55" s="30"/>
      <c r="H55" s="30"/>
    </row>
    <row r="56" spans="2:8" ht="15" customHeight="1" x14ac:dyDescent="0.25">
      <c r="B56" s="275"/>
      <c r="C56" s="275"/>
      <c r="D56" s="10" t="s">
        <v>11</v>
      </c>
      <c r="E56" s="31" t="s">
        <v>34</v>
      </c>
      <c r="F56" s="31" t="s">
        <v>642</v>
      </c>
      <c r="G56" s="30"/>
      <c r="H56" s="30"/>
    </row>
    <row r="57" spans="2:8" x14ac:dyDescent="0.25">
      <c r="B57" s="275"/>
      <c r="C57" s="275"/>
      <c r="D57" s="10" t="s">
        <v>12</v>
      </c>
      <c r="E57" s="31" t="s">
        <v>35</v>
      </c>
      <c r="F57" s="31" t="s">
        <v>643</v>
      </c>
      <c r="G57" s="30"/>
      <c r="H57" s="30"/>
    </row>
    <row r="58" spans="2:8" x14ac:dyDescent="0.25">
      <c r="B58" s="275"/>
      <c r="C58" s="275"/>
      <c r="D58" s="10" t="s">
        <v>13</v>
      </c>
      <c r="E58" s="31" t="s">
        <v>36</v>
      </c>
      <c r="F58" s="31" t="s">
        <v>649</v>
      </c>
      <c r="G58" s="30"/>
      <c r="H58" s="30"/>
    </row>
    <row r="59" spans="2:8" x14ac:dyDescent="0.25">
      <c r="B59" s="275"/>
      <c r="C59" s="275"/>
      <c r="D59" s="10" t="s">
        <v>14</v>
      </c>
      <c r="E59" s="31" t="s">
        <v>38</v>
      </c>
      <c r="F59" s="31" t="s">
        <v>647</v>
      </c>
      <c r="G59" s="30"/>
      <c r="H59" s="30"/>
    </row>
    <row r="60" spans="2:8" x14ac:dyDescent="0.25">
      <c r="B60" s="275"/>
      <c r="C60" s="275"/>
      <c r="D60" s="18" t="s">
        <v>15</v>
      </c>
      <c r="E60" s="30" t="s">
        <v>39</v>
      </c>
      <c r="F60" s="30" t="s">
        <v>648</v>
      </c>
      <c r="G60" s="30"/>
      <c r="H60" s="30"/>
    </row>
    <row r="61" spans="2:8" x14ac:dyDescent="0.25">
      <c r="B61" s="275"/>
      <c r="C61" s="275"/>
      <c r="D61" s="10" t="s">
        <v>16</v>
      </c>
      <c r="E61" s="31" t="s">
        <v>40</v>
      </c>
      <c r="F61" s="31" t="s">
        <v>649</v>
      </c>
      <c r="G61" s="30"/>
      <c r="H61" s="30"/>
    </row>
    <row r="62" spans="2:8" x14ac:dyDescent="0.25">
      <c r="B62" s="275"/>
      <c r="C62" s="275"/>
      <c r="D62" s="10" t="s">
        <v>17</v>
      </c>
      <c r="E62" s="31" t="s">
        <v>42</v>
      </c>
      <c r="F62" s="31" t="s">
        <v>652</v>
      </c>
      <c r="G62" s="30"/>
      <c r="H62" s="30"/>
    </row>
    <row r="63" spans="2:8" x14ac:dyDescent="0.25">
      <c r="B63" s="275"/>
      <c r="C63" s="275"/>
      <c r="D63" s="18" t="s">
        <v>18</v>
      </c>
      <c r="E63" s="30" t="s">
        <v>43</v>
      </c>
      <c r="F63" s="30" t="s">
        <v>653</v>
      </c>
      <c r="G63" s="30"/>
      <c r="H63" s="30"/>
    </row>
    <row r="64" spans="2:8" x14ac:dyDescent="0.25">
      <c r="B64" s="275"/>
      <c r="C64" s="275"/>
      <c r="D64" s="10" t="s">
        <v>19</v>
      </c>
      <c r="E64" s="31" t="s">
        <v>44</v>
      </c>
      <c r="F64" s="31" t="s">
        <v>654</v>
      </c>
      <c r="G64" s="30"/>
      <c r="H64" s="30"/>
    </row>
    <row r="65" spans="2:8" x14ac:dyDescent="0.25">
      <c r="B65" s="275"/>
      <c r="C65" s="275"/>
      <c r="D65" s="18" t="s">
        <v>20</v>
      </c>
      <c r="E65" s="30" t="s">
        <v>46</v>
      </c>
      <c r="F65" s="30" t="s">
        <v>657</v>
      </c>
      <c r="G65" s="30"/>
      <c r="H65" s="30"/>
    </row>
    <row r="66" spans="2:8" ht="15" customHeight="1" x14ac:dyDescent="0.25">
      <c r="B66" s="275"/>
      <c r="C66" s="275"/>
      <c r="D66" s="18" t="s">
        <v>21</v>
      </c>
      <c r="E66" s="30" t="s">
        <v>47</v>
      </c>
      <c r="F66" s="30" t="s">
        <v>658</v>
      </c>
      <c r="G66" s="30"/>
      <c r="H66" s="30"/>
    </row>
    <row r="67" spans="2:8" x14ac:dyDescent="0.25">
      <c r="B67" s="275"/>
      <c r="C67" s="275"/>
      <c r="D67" s="18" t="s">
        <v>22</v>
      </c>
      <c r="E67" s="30" t="s">
        <v>48</v>
      </c>
      <c r="F67" s="30" t="s">
        <v>659</v>
      </c>
      <c r="G67" s="30"/>
      <c r="H67" s="30"/>
    </row>
    <row r="68" spans="2:8" x14ac:dyDescent="0.25">
      <c r="B68" s="275"/>
      <c r="C68" s="275"/>
      <c r="D68" s="18" t="s">
        <v>23</v>
      </c>
      <c r="E68" s="30" t="s">
        <v>49</v>
      </c>
      <c r="F68" s="30" t="s">
        <v>661</v>
      </c>
      <c r="G68" s="30"/>
      <c r="H68" s="30"/>
    </row>
    <row r="69" spans="2:8" x14ac:dyDescent="0.25">
      <c r="B69" s="275"/>
      <c r="C69" s="275"/>
      <c r="D69" s="10" t="s">
        <v>24</v>
      </c>
      <c r="E69" s="31" t="s">
        <v>50</v>
      </c>
      <c r="F69" s="31" t="s">
        <v>662</v>
      </c>
      <c r="G69" s="30"/>
      <c r="H69" s="30"/>
    </row>
    <row r="70" spans="2:8" x14ac:dyDescent="0.25">
      <c r="B70" s="276"/>
      <c r="C70" s="276"/>
      <c r="D70" s="18" t="s">
        <v>25</v>
      </c>
      <c r="E70" s="30" t="s">
        <v>51</v>
      </c>
      <c r="F70" s="30" t="s">
        <v>663</v>
      </c>
      <c r="G70" s="30"/>
      <c r="H70" s="30"/>
    </row>
    <row r="71" spans="2:8" ht="15" customHeight="1" x14ac:dyDescent="0.25">
      <c r="B71" s="24" t="s">
        <v>29</v>
      </c>
      <c r="C71" s="278" t="s">
        <v>52</v>
      </c>
      <c r="D71" s="280"/>
      <c r="E71" s="20" t="s">
        <v>31</v>
      </c>
      <c r="F71" s="20" t="s">
        <v>32</v>
      </c>
      <c r="G71" s="20" t="s">
        <v>139</v>
      </c>
      <c r="H71" s="20" t="s">
        <v>140</v>
      </c>
    </row>
    <row r="72" spans="2:8" x14ac:dyDescent="0.25">
      <c r="B72" s="17" t="s">
        <v>76</v>
      </c>
      <c r="C72" s="21" t="s">
        <v>138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272" t="s">
        <v>10</v>
      </c>
      <c r="D73" s="281"/>
      <c r="E73" s="20" t="s">
        <v>31</v>
      </c>
      <c r="F73" s="20" t="s">
        <v>32</v>
      </c>
      <c r="G73" s="20" t="s">
        <v>139</v>
      </c>
      <c r="H73" s="20" t="s">
        <v>140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675</v>
      </c>
      <c r="F74" s="30" t="s">
        <v>676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677</v>
      </c>
      <c r="F75" s="30" t="s">
        <v>678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3"/>
  <sheetViews>
    <sheetView topLeftCell="E10" workbookViewId="0">
      <selection activeCell="L111" sqref="L111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118.4257812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284" t="s">
        <v>174</v>
      </c>
      <c r="C2" s="285"/>
      <c r="D2" s="285"/>
      <c r="E2" s="286"/>
      <c r="F2" s="286"/>
    </row>
    <row r="3" spans="2:10" ht="20.100000000000001" customHeight="1" x14ac:dyDescent="0.25">
      <c r="B3" s="46" t="s">
        <v>193</v>
      </c>
      <c r="C3" s="46" t="s">
        <v>181</v>
      </c>
      <c r="D3" s="46" t="s">
        <v>175</v>
      </c>
      <c r="E3" s="46" t="s">
        <v>176</v>
      </c>
      <c r="F3" s="46" t="s">
        <v>177</v>
      </c>
    </row>
    <row r="4" spans="2:10" x14ac:dyDescent="0.25">
      <c r="B4" s="41">
        <v>1</v>
      </c>
      <c r="C4" s="41" t="s">
        <v>182</v>
      </c>
      <c r="D4" s="41" t="s">
        <v>192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178</v>
      </c>
      <c r="E5" s="41">
        <v>18</v>
      </c>
      <c r="F5" s="41"/>
    </row>
    <row r="6" spans="2:10" s="44" customFormat="1" x14ac:dyDescent="0.25">
      <c r="B6" s="45">
        <v>3</v>
      </c>
      <c r="C6" s="45" t="s">
        <v>0</v>
      </c>
      <c r="D6" s="45" t="s">
        <v>186</v>
      </c>
      <c r="E6" s="45">
        <v>19</v>
      </c>
      <c r="F6" s="45"/>
      <c r="G6" s="43"/>
      <c r="H6" s="43"/>
      <c r="I6" s="43"/>
      <c r="J6" s="43"/>
    </row>
    <row r="7" spans="2:10" s="44" customFormat="1" x14ac:dyDescent="0.25">
      <c r="B7" s="45">
        <v>4</v>
      </c>
      <c r="C7" s="45" t="s">
        <v>0</v>
      </c>
      <c r="D7" s="45" t="s">
        <v>194</v>
      </c>
      <c r="E7" s="45">
        <v>19</v>
      </c>
      <c r="F7" s="45"/>
      <c r="G7" s="43"/>
      <c r="H7" s="43"/>
      <c r="I7" s="43"/>
      <c r="J7" s="43"/>
    </row>
    <row r="8" spans="2:10" s="44" customFormat="1" x14ac:dyDescent="0.25">
      <c r="B8" s="45">
        <v>5</v>
      </c>
      <c r="C8" s="45" t="s">
        <v>182</v>
      </c>
      <c r="D8" s="45" t="s">
        <v>179</v>
      </c>
      <c r="E8" s="45">
        <v>20</v>
      </c>
      <c r="F8" s="45"/>
      <c r="G8" s="43"/>
      <c r="H8" s="43"/>
      <c r="I8" s="43"/>
      <c r="J8" s="43"/>
    </row>
    <row r="9" spans="2:10" s="44" customFormat="1" x14ac:dyDescent="0.25">
      <c r="B9" s="45">
        <v>6</v>
      </c>
      <c r="C9" s="45" t="s">
        <v>1</v>
      </c>
      <c r="D9" s="45" t="s">
        <v>183</v>
      </c>
      <c r="E9" s="45">
        <v>21</v>
      </c>
      <c r="F9" s="45">
        <v>24</v>
      </c>
      <c r="G9" s="43"/>
      <c r="H9" s="43"/>
      <c r="I9" s="43"/>
      <c r="J9" s="43"/>
    </row>
    <row r="10" spans="2:10" s="44" customFormat="1" x14ac:dyDescent="0.25">
      <c r="B10" s="45">
        <v>7</v>
      </c>
      <c r="C10" s="45" t="s">
        <v>182</v>
      </c>
      <c r="D10" s="45" t="s">
        <v>180</v>
      </c>
      <c r="E10" s="45">
        <v>25</v>
      </c>
      <c r="F10" s="45">
        <v>27</v>
      </c>
      <c r="G10" s="43"/>
      <c r="H10" s="43"/>
      <c r="I10" s="43"/>
      <c r="J10" s="43"/>
    </row>
    <row r="11" spans="2:10" s="44" customFormat="1" x14ac:dyDescent="0.25">
      <c r="B11" s="45">
        <v>8</v>
      </c>
      <c r="C11" s="45" t="s">
        <v>1</v>
      </c>
      <c r="D11" s="45" t="s">
        <v>187</v>
      </c>
      <c r="E11" s="45">
        <v>28</v>
      </c>
      <c r="F11" s="45">
        <v>37</v>
      </c>
      <c r="G11" s="43"/>
      <c r="H11" s="43"/>
      <c r="I11" s="43"/>
      <c r="J11" s="43"/>
    </row>
    <row r="12" spans="2:10" s="44" customFormat="1" x14ac:dyDescent="0.25">
      <c r="B12" s="45">
        <v>9</v>
      </c>
      <c r="C12" s="45" t="s">
        <v>1</v>
      </c>
      <c r="D12" s="45" t="s">
        <v>188</v>
      </c>
      <c r="E12" s="45">
        <v>38</v>
      </c>
      <c r="F12" s="45">
        <v>39</v>
      </c>
      <c r="G12" s="43"/>
      <c r="H12" s="43"/>
      <c r="I12" s="43"/>
      <c r="J12" s="43"/>
    </row>
    <row r="13" spans="2:10" s="44" customFormat="1" x14ac:dyDescent="0.25">
      <c r="B13" s="45">
        <v>10</v>
      </c>
      <c r="C13" s="45" t="s">
        <v>1</v>
      </c>
      <c r="D13" s="45" t="s">
        <v>199</v>
      </c>
      <c r="E13" s="45"/>
      <c r="F13" s="45"/>
      <c r="G13" s="43"/>
      <c r="H13" s="43"/>
      <c r="I13" s="43"/>
      <c r="J13" s="43"/>
    </row>
    <row r="14" spans="2:10" s="44" customFormat="1" x14ac:dyDescent="0.25">
      <c r="B14" s="45">
        <v>11</v>
      </c>
      <c r="C14" s="45" t="s">
        <v>182</v>
      </c>
      <c r="D14" s="45" t="s">
        <v>161</v>
      </c>
      <c r="E14" s="45">
        <v>40</v>
      </c>
      <c r="F14" s="45"/>
      <c r="G14" s="43"/>
      <c r="H14" s="43"/>
      <c r="I14" s="43"/>
      <c r="J14" s="43"/>
    </row>
    <row r="15" spans="2:10" s="44" customFormat="1" x14ac:dyDescent="0.25">
      <c r="B15" s="45">
        <v>12</v>
      </c>
      <c r="C15" s="45" t="s">
        <v>1</v>
      </c>
      <c r="D15" s="45" t="s">
        <v>184</v>
      </c>
      <c r="E15" s="45">
        <v>41</v>
      </c>
      <c r="F15" s="45">
        <v>42</v>
      </c>
      <c r="G15" s="43"/>
      <c r="H15" s="43"/>
      <c r="I15" s="43"/>
      <c r="J15" s="43"/>
    </row>
    <row r="16" spans="2:10" s="44" customFormat="1" x14ac:dyDescent="0.25">
      <c r="B16" s="45">
        <v>13</v>
      </c>
      <c r="C16" s="45" t="s">
        <v>182</v>
      </c>
      <c r="D16" s="45" t="s">
        <v>189</v>
      </c>
      <c r="E16" s="45">
        <v>43</v>
      </c>
      <c r="F16" s="45"/>
      <c r="G16" s="43"/>
      <c r="H16" s="43"/>
      <c r="I16" s="43"/>
      <c r="J16" s="43"/>
    </row>
    <row r="17" spans="2:10" s="44" customFormat="1" x14ac:dyDescent="0.25">
      <c r="B17" s="45">
        <v>14</v>
      </c>
      <c r="C17" s="45" t="s">
        <v>0</v>
      </c>
      <c r="D17" s="45" t="s">
        <v>190</v>
      </c>
      <c r="E17" s="45">
        <v>44</v>
      </c>
      <c r="F17" s="45"/>
      <c r="G17" s="43"/>
      <c r="H17" s="43"/>
      <c r="I17" s="43"/>
      <c r="J17" s="43"/>
    </row>
    <row r="18" spans="2:10" s="44" customFormat="1" x14ac:dyDescent="0.25">
      <c r="B18" s="45">
        <v>15</v>
      </c>
      <c r="C18" s="45" t="s">
        <v>182</v>
      </c>
      <c r="D18" s="45" t="s">
        <v>191</v>
      </c>
      <c r="E18" s="45">
        <v>45</v>
      </c>
      <c r="F18" s="45">
        <v>51</v>
      </c>
      <c r="G18" s="43"/>
      <c r="H18" s="43"/>
      <c r="I18" s="43"/>
      <c r="J18" s="43"/>
    </row>
    <row r="19" spans="2:10" s="44" customFormat="1" x14ac:dyDescent="0.25">
      <c r="B19" s="45">
        <v>16</v>
      </c>
      <c r="C19" s="45" t="s">
        <v>182</v>
      </c>
      <c r="D19" s="45" t="s">
        <v>185</v>
      </c>
      <c r="E19" s="45">
        <v>52</v>
      </c>
      <c r="F19" s="45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287" t="s">
        <v>200</v>
      </c>
      <c r="C27" s="288"/>
      <c r="D27" s="288"/>
      <c r="E27" s="288"/>
      <c r="F27" s="288"/>
      <c r="G27" s="288"/>
      <c r="H27" s="288"/>
      <c r="I27" s="288"/>
      <c r="J27" s="288"/>
    </row>
    <row r="28" spans="2:10" ht="18.75" x14ac:dyDescent="0.25">
      <c r="B28" s="47" t="s">
        <v>201</v>
      </c>
      <c r="C28" s="47" t="s">
        <v>202</v>
      </c>
      <c r="D28" s="47" t="s">
        <v>203</v>
      </c>
      <c r="E28" s="47" t="s">
        <v>204</v>
      </c>
      <c r="F28" s="47" t="s">
        <v>205</v>
      </c>
      <c r="G28" s="47" t="s">
        <v>206</v>
      </c>
      <c r="H28" s="47" t="s">
        <v>207</v>
      </c>
      <c r="I28" s="47" t="s">
        <v>208</v>
      </c>
      <c r="J28" s="47" t="s">
        <v>209</v>
      </c>
    </row>
    <row r="29" spans="2:10" x14ac:dyDescent="0.25">
      <c r="B29" s="41">
        <v>1</v>
      </c>
      <c r="C29" s="41">
        <v>1</v>
      </c>
      <c r="D29" s="41"/>
      <c r="E29" s="41" t="s">
        <v>182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182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182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182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182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182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182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182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182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182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182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182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182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182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182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182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182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133</v>
      </c>
      <c r="E46" s="41" t="s">
        <v>1</v>
      </c>
      <c r="F46" s="41" t="s">
        <v>117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27</v>
      </c>
      <c r="E47" s="41" t="s">
        <v>0</v>
      </c>
      <c r="F47" s="41" t="s">
        <v>97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28</v>
      </c>
      <c r="E48" s="41" t="s">
        <v>0</v>
      </c>
      <c r="F48" s="41" t="s">
        <v>99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113</v>
      </c>
      <c r="E49" s="41" t="s">
        <v>0</v>
      </c>
      <c r="F49" s="41" t="s">
        <v>101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169</v>
      </c>
      <c r="E50" s="41" t="s">
        <v>0</v>
      </c>
      <c r="F50" s="41" t="s">
        <v>103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114</v>
      </c>
      <c r="E51" s="41" t="s">
        <v>0</v>
      </c>
      <c r="F51" s="41" t="s">
        <v>104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170</v>
      </c>
      <c r="E52" s="41" t="s">
        <v>0</v>
      </c>
      <c r="F52" s="41" t="s">
        <v>106</v>
      </c>
      <c r="G52" s="41">
        <v>95</v>
      </c>
      <c r="H52" s="41">
        <v>250</v>
      </c>
      <c r="I52" s="41"/>
      <c r="J52" s="41"/>
    </row>
    <row r="53" spans="2:10" x14ac:dyDescent="0.25">
      <c r="B53" s="41">
        <v>25</v>
      </c>
      <c r="C53" s="41">
        <v>19</v>
      </c>
      <c r="D53" s="41" t="s">
        <v>115</v>
      </c>
      <c r="E53" s="41" t="s">
        <v>0</v>
      </c>
      <c r="F53" s="41" t="s">
        <v>107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96</v>
      </c>
      <c r="E54" s="41" t="s">
        <v>0</v>
      </c>
      <c r="F54" s="41" t="s">
        <v>109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116</v>
      </c>
      <c r="E55" s="41" t="s">
        <v>0</v>
      </c>
      <c r="F55" s="41" t="s">
        <v>111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20</v>
      </c>
      <c r="D56" s="41"/>
      <c r="E56" s="41" t="s">
        <v>182</v>
      </c>
      <c r="F56" s="41"/>
      <c r="G56" s="41"/>
      <c r="H56" s="41"/>
      <c r="I56" s="41"/>
      <c r="J56" s="41"/>
    </row>
    <row r="57" spans="2:10" x14ac:dyDescent="0.25">
      <c r="B57" s="41">
        <v>29</v>
      </c>
      <c r="C57" s="41">
        <v>21</v>
      </c>
      <c r="D57" s="41"/>
      <c r="E57" s="41" t="s">
        <v>1</v>
      </c>
      <c r="F57" s="41" t="s">
        <v>59</v>
      </c>
      <c r="G57" s="41">
        <v>95</v>
      </c>
      <c r="H57" s="41">
        <v>129</v>
      </c>
      <c r="I57" s="41"/>
      <c r="J57" s="41"/>
    </row>
    <row r="58" spans="2:10" x14ac:dyDescent="0.25">
      <c r="B58" s="41">
        <v>30</v>
      </c>
      <c r="C58" s="41">
        <v>22</v>
      </c>
      <c r="D58" s="41" t="s">
        <v>371</v>
      </c>
      <c r="E58" s="41" t="s">
        <v>1</v>
      </c>
      <c r="F58" s="41" t="s">
        <v>73</v>
      </c>
      <c r="G58" s="41">
        <v>220</v>
      </c>
      <c r="H58" s="41"/>
      <c r="I58" s="41"/>
      <c r="J58" s="41"/>
    </row>
    <row r="59" spans="2:10" x14ac:dyDescent="0.25">
      <c r="B59" s="41">
        <v>31</v>
      </c>
      <c r="C59" s="41">
        <v>23</v>
      </c>
      <c r="D59" s="41"/>
      <c r="E59" s="41" t="s">
        <v>1</v>
      </c>
      <c r="F59" s="41" t="s">
        <v>60</v>
      </c>
      <c r="G59" s="41">
        <v>125</v>
      </c>
      <c r="H59" s="41">
        <v>144</v>
      </c>
      <c r="I59" s="41">
        <v>360</v>
      </c>
      <c r="J59" s="41">
        <v>614</v>
      </c>
    </row>
    <row r="60" spans="2:10" x14ac:dyDescent="0.25">
      <c r="B60" s="41">
        <v>32</v>
      </c>
      <c r="C60" s="41">
        <v>24</v>
      </c>
      <c r="D60" s="41" t="s">
        <v>371</v>
      </c>
      <c r="E60" s="41" t="s">
        <v>1</v>
      </c>
      <c r="F60" s="41" t="s">
        <v>74</v>
      </c>
      <c r="G60" s="41">
        <v>180</v>
      </c>
      <c r="H60" s="41"/>
      <c r="I60" s="41"/>
      <c r="J60" s="41"/>
    </row>
    <row r="61" spans="2:10" x14ac:dyDescent="0.25">
      <c r="B61" s="41">
        <v>33</v>
      </c>
      <c r="C61" s="41">
        <v>25</v>
      </c>
      <c r="D61" s="41"/>
      <c r="E61" s="41" t="s">
        <v>182</v>
      </c>
      <c r="F61" s="41"/>
      <c r="G61" s="41"/>
      <c r="H61" s="41"/>
      <c r="I61" s="41"/>
      <c r="J61" s="41"/>
    </row>
    <row r="62" spans="2:10" x14ac:dyDescent="0.25">
      <c r="B62" s="41">
        <v>34</v>
      </c>
      <c r="C62" s="41">
        <v>26</v>
      </c>
      <c r="D62" s="41"/>
      <c r="E62" s="41" t="s">
        <v>182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27</v>
      </c>
      <c r="D63" s="41"/>
      <c r="E63" s="41" t="s">
        <v>182</v>
      </c>
      <c r="F63" s="41"/>
      <c r="G63" s="41"/>
      <c r="H63" s="41"/>
      <c r="I63" s="41"/>
      <c r="J63" s="41"/>
    </row>
    <row r="64" spans="2:10" x14ac:dyDescent="0.25">
      <c r="B64" s="41">
        <v>36</v>
      </c>
      <c r="C64" s="41">
        <v>28</v>
      </c>
      <c r="D64" s="41"/>
      <c r="E64" s="41" t="s">
        <v>1</v>
      </c>
      <c r="F64" s="41" t="s">
        <v>61</v>
      </c>
      <c r="G64" s="41">
        <v>210</v>
      </c>
      <c r="H64" s="41">
        <v>10</v>
      </c>
      <c r="I64" s="41"/>
      <c r="J64" s="41"/>
    </row>
    <row r="65" spans="2:10" x14ac:dyDescent="0.25">
      <c r="B65" s="41">
        <v>37</v>
      </c>
      <c r="C65" s="41">
        <v>29</v>
      </c>
      <c r="D65" s="41"/>
      <c r="E65" s="41" t="s">
        <v>1</v>
      </c>
      <c r="F65" s="41" t="s">
        <v>66</v>
      </c>
      <c r="G65" s="41">
        <v>90</v>
      </c>
      <c r="H65" s="41">
        <v>1</v>
      </c>
      <c r="I65" s="41"/>
      <c r="J65" s="41">
        <v>955</v>
      </c>
    </row>
    <row r="66" spans="2:10" x14ac:dyDescent="0.25">
      <c r="B66" s="41">
        <v>38</v>
      </c>
      <c r="C66" s="41">
        <v>30</v>
      </c>
      <c r="D66" s="41"/>
      <c r="E66" s="41" t="s">
        <v>1</v>
      </c>
      <c r="F66" s="41" t="s">
        <v>62</v>
      </c>
      <c r="G66" s="41">
        <v>210</v>
      </c>
      <c r="H66" s="41">
        <v>10</v>
      </c>
      <c r="I66" s="41"/>
      <c r="J66" s="41"/>
    </row>
    <row r="67" spans="2:10" x14ac:dyDescent="0.25">
      <c r="B67" s="41">
        <v>39</v>
      </c>
      <c r="C67" s="41">
        <v>31</v>
      </c>
      <c r="D67" s="41"/>
      <c r="E67" s="41" t="s">
        <v>1</v>
      </c>
      <c r="F67" s="41" t="s">
        <v>67</v>
      </c>
      <c r="G67" s="41">
        <v>90</v>
      </c>
      <c r="H67" s="41">
        <v>1</v>
      </c>
      <c r="I67" s="41"/>
      <c r="J67" s="41">
        <v>955</v>
      </c>
    </row>
    <row r="68" spans="2:10" x14ac:dyDescent="0.25">
      <c r="B68" s="41">
        <v>40</v>
      </c>
      <c r="C68" s="41">
        <v>32</v>
      </c>
      <c r="D68" s="41"/>
      <c r="E68" s="41" t="s">
        <v>1</v>
      </c>
      <c r="F68" s="41" t="s">
        <v>63</v>
      </c>
      <c r="G68" s="41">
        <v>210</v>
      </c>
      <c r="H68" s="41">
        <v>10</v>
      </c>
      <c r="I68" s="41"/>
      <c r="J68" s="41"/>
    </row>
    <row r="69" spans="2:10" x14ac:dyDescent="0.25">
      <c r="B69" s="41">
        <v>41</v>
      </c>
      <c r="C69" s="41">
        <v>33</v>
      </c>
      <c r="D69" s="41"/>
      <c r="E69" s="41" t="s">
        <v>1</v>
      </c>
      <c r="F69" s="41" t="s">
        <v>70</v>
      </c>
      <c r="G69" s="41">
        <v>90</v>
      </c>
      <c r="H69" s="41">
        <v>1</v>
      </c>
      <c r="I69" s="41"/>
      <c r="J69" s="41">
        <v>955</v>
      </c>
    </row>
    <row r="70" spans="2:10" x14ac:dyDescent="0.25">
      <c r="B70" s="41">
        <v>42</v>
      </c>
      <c r="C70" s="41">
        <v>34</v>
      </c>
      <c r="D70" s="41"/>
      <c r="E70" s="41" t="s">
        <v>1</v>
      </c>
      <c r="F70" s="41" t="s">
        <v>64</v>
      </c>
      <c r="G70" s="41">
        <v>210</v>
      </c>
      <c r="H70" s="41">
        <v>10</v>
      </c>
      <c r="I70" s="41"/>
      <c r="J70" s="41"/>
    </row>
    <row r="71" spans="2:10" x14ac:dyDescent="0.25">
      <c r="B71" s="41">
        <v>43</v>
      </c>
      <c r="C71" s="41">
        <v>35</v>
      </c>
      <c r="D71" s="41"/>
      <c r="E71" s="41" t="s">
        <v>1</v>
      </c>
      <c r="F71" s="41" t="s">
        <v>68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36</v>
      </c>
      <c r="D72" s="41"/>
      <c r="E72" s="41" t="s">
        <v>1</v>
      </c>
      <c r="F72" s="41" t="s">
        <v>65</v>
      </c>
      <c r="G72" s="41">
        <v>210</v>
      </c>
      <c r="H72" s="41">
        <v>10</v>
      </c>
      <c r="I72" s="41"/>
      <c r="J72" s="41"/>
    </row>
    <row r="73" spans="2:10" x14ac:dyDescent="0.25">
      <c r="B73" s="41">
        <v>45</v>
      </c>
      <c r="C73" s="41">
        <v>37</v>
      </c>
      <c r="D73" s="41"/>
      <c r="E73" s="41" t="s">
        <v>1</v>
      </c>
      <c r="F73" s="41" t="s">
        <v>69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38</v>
      </c>
      <c r="D74" s="41"/>
      <c r="E74" s="41" t="s">
        <v>1</v>
      </c>
      <c r="F74" s="41" t="s">
        <v>92</v>
      </c>
      <c r="G74" s="41">
        <v>100</v>
      </c>
      <c r="H74" s="41">
        <v>1</v>
      </c>
      <c r="I74" s="41"/>
      <c r="J74" s="41">
        <v>900</v>
      </c>
    </row>
    <row r="75" spans="2:10" x14ac:dyDescent="0.25">
      <c r="B75" s="41">
        <v>47</v>
      </c>
      <c r="C75" s="41">
        <v>39</v>
      </c>
      <c r="D75" s="41"/>
      <c r="E75" s="41" t="s">
        <v>1</v>
      </c>
      <c r="F75" s="41" t="s">
        <v>75</v>
      </c>
      <c r="G75" s="41">
        <v>118</v>
      </c>
      <c r="H75" s="41">
        <v>1</v>
      </c>
      <c r="I75" s="41">
        <v>368</v>
      </c>
      <c r="J75" s="41">
        <v>847</v>
      </c>
    </row>
    <row r="76" spans="2:10" x14ac:dyDescent="0.25">
      <c r="B76" s="41">
        <v>48</v>
      </c>
      <c r="C76" s="41">
        <v>40</v>
      </c>
      <c r="D76" s="41"/>
      <c r="E76" s="41" t="s">
        <v>182</v>
      </c>
      <c r="F76" s="41"/>
      <c r="G76" s="41"/>
      <c r="H76" s="41"/>
      <c r="I76" s="41"/>
      <c r="J76" s="41"/>
    </row>
    <row r="77" spans="2:10" x14ac:dyDescent="0.25">
      <c r="B77" s="41">
        <v>49</v>
      </c>
      <c r="C77" s="41">
        <v>41</v>
      </c>
      <c r="D77" s="41"/>
      <c r="E77" s="41" t="s">
        <v>1</v>
      </c>
      <c r="F77" s="41" t="s">
        <v>71</v>
      </c>
      <c r="G77" s="41">
        <v>122</v>
      </c>
      <c r="H77" s="41">
        <v>25</v>
      </c>
      <c r="I77" s="41"/>
      <c r="J77" s="41">
        <v>772</v>
      </c>
    </row>
    <row r="78" spans="2:10" x14ac:dyDescent="0.25">
      <c r="B78" s="41">
        <v>50</v>
      </c>
      <c r="C78" s="41">
        <v>42</v>
      </c>
      <c r="D78" s="41"/>
      <c r="E78" s="41" t="s">
        <v>1</v>
      </c>
      <c r="F78" s="41" t="s">
        <v>72</v>
      </c>
      <c r="G78" s="41">
        <v>122</v>
      </c>
      <c r="H78" s="41">
        <v>25</v>
      </c>
      <c r="I78" s="41"/>
      <c r="J78" s="41">
        <v>772</v>
      </c>
    </row>
    <row r="79" spans="2:10" x14ac:dyDescent="0.25">
      <c r="B79" s="41">
        <v>51</v>
      </c>
      <c r="C79" s="41">
        <v>43</v>
      </c>
      <c r="D79" s="41"/>
      <c r="E79" s="41" t="s">
        <v>182</v>
      </c>
      <c r="F79" s="41"/>
      <c r="G79" s="41"/>
      <c r="H79" s="41"/>
      <c r="I79" s="41"/>
      <c r="J79" s="41"/>
    </row>
    <row r="80" spans="2:10" x14ac:dyDescent="0.25">
      <c r="B80" s="41">
        <v>52</v>
      </c>
      <c r="C80" s="41">
        <v>44</v>
      </c>
      <c r="D80" s="41" t="s">
        <v>226</v>
      </c>
      <c r="E80" s="41" t="s">
        <v>0</v>
      </c>
      <c r="F80" s="41" t="s">
        <v>98</v>
      </c>
      <c r="G80" s="41">
        <v>145</v>
      </c>
      <c r="H80" s="41">
        <v>220</v>
      </c>
      <c r="I80" s="41"/>
      <c r="J80" s="41"/>
    </row>
    <row r="81" spans="2:10" x14ac:dyDescent="0.25">
      <c r="B81" s="41">
        <v>52</v>
      </c>
      <c r="C81" s="41">
        <v>44</v>
      </c>
      <c r="D81" s="41" t="s">
        <v>226</v>
      </c>
      <c r="E81" s="41" t="s">
        <v>0</v>
      </c>
      <c r="F81" s="41" t="s">
        <v>360</v>
      </c>
      <c r="G81" s="41">
        <v>245</v>
      </c>
      <c r="H81" s="41">
        <v>30</v>
      </c>
      <c r="I81" s="41"/>
      <c r="J81" s="41"/>
    </row>
    <row r="82" spans="2:10" x14ac:dyDescent="0.25">
      <c r="B82" s="41">
        <v>52</v>
      </c>
      <c r="C82" s="41">
        <v>44</v>
      </c>
      <c r="D82" s="41" t="s">
        <v>226</v>
      </c>
      <c r="E82" s="41" t="s">
        <v>0</v>
      </c>
      <c r="F82" s="41" t="s">
        <v>120</v>
      </c>
      <c r="G82" s="41">
        <v>345</v>
      </c>
      <c r="H82" s="41">
        <v>43</v>
      </c>
      <c r="I82" s="41">
        <v>150</v>
      </c>
      <c r="J82" s="41"/>
    </row>
    <row r="83" spans="2:10" x14ac:dyDescent="0.25">
      <c r="B83" s="41">
        <v>53</v>
      </c>
      <c r="C83" s="41">
        <v>44</v>
      </c>
      <c r="D83" s="41" t="s">
        <v>227</v>
      </c>
      <c r="E83" s="41" t="s">
        <v>0</v>
      </c>
      <c r="F83" s="41" t="s">
        <v>100</v>
      </c>
      <c r="G83" s="41">
        <v>145</v>
      </c>
      <c r="H83" s="41">
        <v>220</v>
      </c>
      <c r="I83" s="41"/>
      <c r="J83" s="41"/>
    </row>
    <row r="84" spans="2:10" x14ac:dyDescent="0.25">
      <c r="B84" s="41">
        <v>53</v>
      </c>
      <c r="C84" s="41">
        <v>44</v>
      </c>
      <c r="D84" s="41" t="s">
        <v>227</v>
      </c>
      <c r="E84" s="41" t="s">
        <v>0</v>
      </c>
      <c r="F84" s="41" t="s">
        <v>361</v>
      </c>
      <c r="G84" s="41">
        <v>245</v>
      </c>
      <c r="H84" s="41">
        <v>30</v>
      </c>
      <c r="I84" s="41"/>
      <c r="J84" s="41"/>
    </row>
    <row r="85" spans="2:10" x14ac:dyDescent="0.25">
      <c r="B85" s="41">
        <v>53</v>
      </c>
      <c r="C85" s="41">
        <v>44</v>
      </c>
      <c r="D85" s="41" t="s">
        <v>227</v>
      </c>
      <c r="E85" s="41" t="s">
        <v>0</v>
      </c>
      <c r="F85" s="41" t="s">
        <v>119</v>
      </c>
      <c r="G85" s="41">
        <v>345</v>
      </c>
      <c r="H85" s="41">
        <v>43</v>
      </c>
      <c r="I85" s="41">
        <v>150</v>
      </c>
      <c r="J85" s="41"/>
    </row>
    <row r="86" spans="2:10" x14ac:dyDescent="0.25">
      <c r="B86" s="41">
        <v>54</v>
      </c>
      <c r="C86" s="41">
        <v>44</v>
      </c>
      <c r="D86" s="41" t="s">
        <v>228</v>
      </c>
      <c r="E86" s="41" t="s">
        <v>0</v>
      </c>
      <c r="F86" s="41" t="s">
        <v>102</v>
      </c>
      <c r="G86" s="41">
        <v>145</v>
      </c>
      <c r="H86" s="41">
        <v>220</v>
      </c>
      <c r="I86" s="41"/>
      <c r="J86" s="41"/>
    </row>
    <row r="87" spans="2:10" x14ac:dyDescent="0.25">
      <c r="B87" s="41">
        <v>54</v>
      </c>
      <c r="C87" s="41">
        <v>44</v>
      </c>
      <c r="D87" s="41" t="s">
        <v>228</v>
      </c>
      <c r="E87" s="41" t="s">
        <v>0</v>
      </c>
      <c r="F87" s="41" t="s">
        <v>362</v>
      </c>
      <c r="G87" s="41">
        <v>245</v>
      </c>
      <c r="H87" s="41">
        <v>30</v>
      </c>
      <c r="I87" s="41"/>
      <c r="J87" s="41"/>
    </row>
    <row r="88" spans="2:10" x14ac:dyDescent="0.25">
      <c r="B88" s="41">
        <v>54</v>
      </c>
      <c r="C88" s="41">
        <v>44</v>
      </c>
      <c r="D88" s="41" t="s">
        <v>228</v>
      </c>
      <c r="E88" s="41" t="s">
        <v>0</v>
      </c>
      <c r="F88" s="41" t="s">
        <v>118</v>
      </c>
      <c r="G88" s="41">
        <v>345</v>
      </c>
      <c r="H88" s="41">
        <v>43</v>
      </c>
      <c r="I88" s="41">
        <v>150</v>
      </c>
      <c r="J88" s="41"/>
    </row>
    <row r="89" spans="2:10" x14ac:dyDescent="0.25">
      <c r="B89" s="41">
        <v>55</v>
      </c>
      <c r="C89" s="41">
        <v>44</v>
      </c>
      <c r="D89" s="41" t="s">
        <v>229</v>
      </c>
      <c r="E89" s="41" t="s">
        <v>0</v>
      </c>
      <c r="F89" s="41" t="s">
        <v>125</v>
      </c>
      <c r="G89" s="41">
        <v>145</v>
      </c>
      <c r="H89" s="41">
        <v>220</v>
      </c>
      <c r="I89" s="41"/>
      <c r="J89" s="41"/>
    </row>
    <row r="90" spans="2:10" x14ac:dyDescent="0.25">
      <c r="B90" s="41">
        <v>55</v>
      </c>
      <c r="C90" s="41">
        <v>44</v>
      </c>
      <c r="D90" s="41" t="s">
        <v>229</v>
      </c>
      <c r="E90" s="41" t="s">
        <v>0</v>
      </c>
      <c r="F90" s="41" t="s">
        <v>363</v>
      </c>
      <c r="G90" s="41">
        <v>245</v>
      </c>
      <c r="H90" s="41">
        <v>30</v>
      </c>
      <c r="I90" s="41"/>
      <c r="J90" s="41"/>
    </row>
    <row r="91" spans="2:10" x14ac:dyDescent="0.25">
      <c r="B91" s="41">
        <v>55</v>
      </c>
      <c r="C91" s="41">
        <v>44</v>
      </c>
      <c r="D91" s="41" t="s">
        <v>229</v>
      </c>
      <c r="E91" s="41" t="s">
        <v>0</v>
      </c>
      <c r="F91" s="41" t="s">
        <v>195</v>
      </c>
      <c r="G91" s="41">
        <v>345</v>
      </c>
      <c r="H91" s="41">
        <v>43</v>
      </c>
      <c r="I91" s="41">
        <v>150</v>
      </c>
      <c r="J91" s="41"/>
    </row>
    <row r="92" spans="2:10" x14ac:dyDescent="0.25">
      <c r="B92" s="41">
        <v>56</v>
      </c>
      <c r="C92" s="41">
        <v>44</v>
      </c>
      <c r="D92" s="41" t="s">
        <v>229</v>
      </c>
      <c r="E92" s="41" t="s">
        <v>0</v>
      </c>
      <c r="F92" s="41" t="s">
        <v>126</v>
      </c>
      <c r="G92" s="41">
        <v>145</v>
      </c>
      <c r="H92" s="41">
        <v>220</v>
      </c>
      <c r="I92" s="41"/>
      <c r="J92" s="41"/>
    </row>
    <row r="93" spans="2:10" x14ac:dyDescent="0.25">
      <c r="B93" s="41">
        <v>56</v>
      </c>
      <c r="C93" s="41">
        <v>44</v>
      </c>
      <c r="D93" s="41" t="s">
        <v>229</v>
      </c>
      <c r="E93" s="41" t="s">
        <v>0</v>
      </c>
      <c r="F93" s="41" t="s">
        <v>364</v>
      </c>
      <c r="G93" s="41">
        <v>245</v>
      </c>
      <c r="H93" s="41">
        <v>30</v>
      </c>
      <c r="I93" s="41"/>
      <c r="J93" s="41"/>
    </row>
    <row r="94" spans="2:10" x14ac:dyDescent="0.25">
      <c r="B94" s="41">
        <v>56</v>
      </c>
      <c r="C94" s="41">
        <v>44</v>
      </c>
      <c r="D94" s="41" t="s">
        <v>229</v>
      </c>
      <c r="E94" s="41" t="s">
        <v>0</v>
      </c>
      <c r="F94" s="41" t="s">
        <v>196</v>
      </c>
      <c r="G94" s="41">
        <v>345</v>
      </c>
      <c r="H94" s="41">
        <v>43</v>
      </c>
      <c r="I94" s="41">
        <v>150</v>
      </c>
      <c r="J94" s="41"/>
    </row>
    <row r="95" spans="2:10" x14ac:dyDescent="0.25">
      <c r="B95" s="41">
        <v>57</v>
      </c>
      <c r="C95" s="41">
        <v>44</v>
      </c>
      <c r="D95" s="41" t="s">
        <v>230</v>
      </c>
      <c r="E95" s="41" t="s">
        <v>0</v>
      </c>
      <c r="F95" s="41" t="s">
        <v>105</v>
      </c>
      <c r="G95" s="41">
        <v>145</v>
      </c>
      <c r="H95" s="41">
        <v>220</v>
      </c>
      <c r="I95" s="41"/>
      <c r="J95" s="41"/>
    </row>
    <row r="96" spans="2:10" x14ac:dyDescent="0.25">
      <c r="B96" s="41">
        <v>57</v>
      </c>
      <c r="C96" s="41">
        <v>44</v>
      </c>
      <c r="D96" s="41" t="s">
        <v>230</v>
      </c>
      <c r="E96" s="41" t="s">
        <v>0</v>
      </c>
      <c r="F96" s="41" t="s">
        <v>365</v>
      </c>
      <c r="G96" s="41">
        <v>245</v>
      </c>
      <c r="H96" s="41">
        <v>30</v>
      </c>
      <c r="I96" s="41"/>
      <c r="J96" s="41"/>
    </row>
    <row r="97" spans="2:10" x14ac:dyDescent="0.25">
      <c r="B97" s="41">
        <v>57</v>
      </c>
      <c r="C97" s="41">
        <v>44</v>
      </c>
      <c r="D97" s="41" t="s">
        <v>230</v>
      </c>
      <c r="E97" s="41" t="s">
        <v>0</v>
      </c>
      <c r="F97" s="41" t="s">
        <v>121</v>
      </c>
      <c r="G97" s="41">
        <v>345</v>
      </c>
      <c r="H97" s="41">
        <v>43</v>
      </c>
      <c r="I97" s="41">
        <v>150</v>
      </c>
      <c r="J97" s="41"/>
    </row>
    <row r="98" spans="2:10" x14ac:dyDescent="0.25">
      <c r="B98" s="41">
        <v>58</v>
      </c>
      <c r="C98" s="41">
        <v>44</v>
      </c>
      <c r="D98" s="41" t="s">
        <v>231</v>
      </c>
      <c r="E98" s="41" t="s">
        <v>0</v>
      </c>
      <c r="F98" s="41" t="s">
        <v>127</v>
      </c>
      <c r="G98" s="41">
        <v>145</v>
      </c>
      <c r="H98" s="41">
        <v>220</v>
      </c>
      <c r="I98" s="41"/>
      <c r="J98" s="41"/>
    </row>
    <row r="99" spans="2:10" x14ac:dyDescent="0.25">
      <c r="B99" s="41">
        <v>58</v>
      </c>
      <c r="C99" s="41">
        <v>44</v>
      </c>
      <c r="D99" s="41" t="s">
        <v>231</v>
      </c>
      <c r="E99" s="41" t="s">
        <v>0</v>
      </c>
      <c r="F99" s="41" t="s">
        <v>366</v>
      </c>
      <c r="G99" s="41">
        <v>245</v>
      </c>
      <c r="H99" s="41">
        <v>30</v>
      </c>
      <c r="I99" s="41"/>
      <c r="J99" s="41"/>
    </row>
    <row r="100" spans="2:10" x14ac:dyDescent="0.25">
      <c r="B100" s="41">
        <v>58</v>
      </c>
      <c r="C100" s="41">
        <v>44</v>
      </c>
      <c r="D100" s="41" t="s">
        <v>231</v>
      </c>
      <c r="E100" s="41" t="s">
        <v>0</v>
      </c>
      <c r="F100" s="41" t="s">
        <v>197</v>
      </c>
      <c r="G100" s="41">
        <v>345</v>
      </c>
      <c r="H100" s="41">
        <v>43</v>
      </c>
      <c r="I100" s="41">
        <v>150</v>
      </c>
      <c r="J100" s="41"/>
    </row>
    <row r="101" spans="2:10" x14ac:dyDescent="0.25">
      <c r="B101" s="41">
        <v>59</v>
      </c>
      <c r="C101" s="41">
        <v>44</v>
      </c>
      <c r="D101" s="41" t="s">
        <v>231</v>
      </c>
      <c r="E101" s="41" t="s">
        <v>0</v>
      </c>
      <c r="F101" s="41" t="s">
        <v>128</v>
      </c>
      <c r="G101" s="41">
        <v>145</v>
      </c>
      <c r="H101" s="41">
        <v>220</v>
      </c>
      <c r="I101" s="41"/>
      <c r="J101" s="41"/>
    </row>
    <row r="102" spans="2:10" x14ac:dyDescent="0.25">
      <c r="B102" s="41">
        <v>59</v>
      </c>
      <c r="C102" s="41">
        <v>44</v>
      </c>
      <c r="D102" s="41" t="s">
        <v>231</v>
      </c>
      <c r="E102" s="41" t="s">
        <v>0</v>
      </c>
      <c r="F102" s="41" t="s">
        <v>367</v>
      </c>
      <c r="G102" s="41">
        <v>245</v>
      </c>
      <c r="H102" s="41">
        <v>30</v>
      </c>
      <c r="I102" s="41"/>
      <c r="J102" s="41"/>
    </row>
    <row r="103" spans="2:10" x14ac:dyDescent="0.25">
      <c r="B103" s="41">
        <v>59</v>
      </c>
      <c r="C103" s="41">
        <v>44</v>
      </c>
      <c r="D103" s="41" t="s">
        <v>231</v>
      </c>
      <c r="E103" s="41" t="s">
        <v>0</v>
      </c>
      <c r="F103" s="41" t="s">
        <v>198</v>
      </c>
      <c r="G103" s="41">
        <v>345</v>
      </c>
      <c r="H103" s="41">
        <v>43</v>
      </c>
      <c r="I103" s="41">
        <v>150</v>
      </c>
      <c r="J103" s="41"/>
    </row>
    <row r="104" spans="2:10" x14ac:dyDescent="0.25">
      <c r="B104" s="41">
        <v>60</v>
      </c>
      <c r="C104" s="41">
        <v>44</v>
      </c>
      <c r="D104" s="41" t="s">
        <v>232</v>
      </c>
      <c r="E104" s="41" t="s">
        <v>0</v>
      </c>
      <c r="F104" s="41" t="s">
        <v>108</v>
      </c>
      <c r="G104" s="41">
        <v>145</v>
      </c>
      <c r="H104" s="41">
        <v>220</v>
      </c>
      <c r="I104" s="41"/>
      <c r="J104" s="41"/>
    </row>
    <row r="105" spans="2:10" x14ac:dyDescent="0.25">
      <c r="B105" s="41">
        <v>60</v>
      </c>
      <c r="C105" s="41">
        <v>44</v>
      </c>
      <c r="D105" s="41" t="s">
        <v>232</v>
      </c>
      <c r="E105" s="41" t="s">
        <v>0</v>
      </c>
      <c r="F105" s="41" t="s">
        <v>368</v>
      </c>
      <c r="G105" s="41">
        <v>245</v>
      </c>
      <c r="H105" s="41">
        <v>30</v>
      </c>
      <c r="I105" s="41"/>
      <c r="J105" s="41"/>
    </row>
    <row r="106" spans="2:10" x14ac:dyDescent="0.25">
      <c r="B106" s="41">
        <v>60</v>
      </c>
      <c r="C106" s="41">
        <v>44</v>
      </c>
      <c r="D106" s="41" t="s">
        <v>232</v>
      </c>
      <c r="E106" s="41" t="s">
        <v>0</v>
      </c>
      <c r="F106" s="41" t="s">
        <v>122</v>
      </c>
      <c r="G106" s="41">
        <v>345</v>
      </c>
      <c r="H106" s="41">
        <v>43</v>
      </c>
      <c r="I106" s="41">
        <v>150</v>
      </c>
      <c r="J106" s="41"/>
    </row>
    <row r="107" spans="2:10" x14ac:dyDescent="0.25">
      <c r="B107" s="41">
        <v>61</v>
      </c>
      <c r="C107" s="41">
        <v>44</v>
      </c>
      <c r="D107" s="41" t="s">
        <v>233</v>
      </c>
      <c r="E107" s="41" t="s">
        <v>0</v>
      </c>
      <c r="F107" s="41" t="s">
        <v>110</v>
      </c>
      <c r="G107" s="41">
        <v>145</v>
      </c>
      <c r="H107" s="41">
        <v>220</v>
      </c>
      <c r="I107" s="41"/>
      <c r="J107" s="41"/>
    </row>
    <row r="108" spans="2:10" x14ac:dyDescent="0.25">
      <c r="B108" s="41">
        <v>61</v>
      </c>
      <c r="C108" s="41">
        <v>44</v>
      </c>
      <c r="D108" s="41" t="s">
        <v>233</v>
      </c>
      <c r="E108" s="41" t="s">
        <v>0</v>
      </c>
      <c r="F108" s="41" t="s">
        <v>369</v>
      </c>
      <c r="G108" s="41">
        <v>245</v>
      </c>
      <c r="H108" s="41">
        <v>30</v>
      </c>
      <c r="I108" s="41"/>
      <c r="J108" s="41"/>
    </row>
    <row r="109" spans="2:10" x14ac:dyDescent="0.25">
      <c r="B109" s="41">
        <v>61</v>
      </c>
      <c r="C109" s="41">
        <v>44</v>
      </c>
      <c r="D109" s="41" t="s">
        <v>233</v>
      </c>
      <c r="E109" s="41" t="s">
        <v>0</v>
      </c>
      <c r="F109" s="41" t="s">
        <v>123</v>
      </c>
      <c r="G109" s="41">
        <v>345</v>
      </c>
      <c r="H109" s="41">
        <v>43</v>
      </c>
      <c r="I109" s="41">
        <v>150</v>
      </c>
      <c r="J109" s="41"/>
    </row>
    <row r="110" spans="2:10" x14ac:dyDescent="0.25">
      <c r="B110" s="41">
        <v>62</v>
      </c>
      <c r="C110" s="41">
        <v>44</v>
      </c>
      <c r="D110" s="41" t="s">
        <v>234</v>
      </c>
      <c r="E110" s="41" t="s">
        <v>0</v>
      </c>
      <c r="F110" s="41" t="s">
        <v>112</v>
      </c>
      <c r="G110" s="41">
        <v>145</v>
      </c>
      <c r="H110" s="41">
        <v>220</v>
      </c>
      <c r="I110" s="41"/>
      <c r="J110" s="41"/>
    </row>
    <row r="111" spans="2:10" x14ac:dyDescent="0.25">
      <c r="B111" s="41">
        <v>62</v>
      </c>
      <c r="C111" s="41">
        <v>44</v>
      </c>
      <c r="D111" s="41" t="s">
        <v>234</v>
      </c>
      <c r="E111" s="41" t="s">
        <v>0</v>
      </c>
      <c r="F111" s="41" t="s">
        <v>370</v>
      </c>
      <c r="G111" s="41">
        <v>245</v>
      </c>
      <c r="H111" s="41">
        <v>30</v>
      </c>
      <c r="I111" s="41"/>
      <c r="J111" s="41"/>
    </row>
    <row r="112" spans="2:10" x14ac:dyDescent="0.25">
      <c r="B112" s="41">
        <v>62</v>
      </c>
      <c r="C112" s="41">
        <v>44</v>
      </c>
      <c r="D112" s="41" t="s">
        <v>234</v>
      </c>
      <c r="E112" s="41" t="s">
        <v>0</v>
      </c>
      <c r="F112" s="41" t="s">
        <v>124</v>
      </c>
      <c r="G112" s="41">
        <v>345</v>
      </c>
      <c r="H112" s="41">
        <v>43</v>
      </c>
      <c r="I112" s="41">
        <v>150</v>
      </c>
      <c r="J112" s="41"/>
    </row>
    <row r="113" spans="2:10" x14ac:dyDescent="0.25">
      <c r="B113" s="41">
        <v>63</v>
      </c>
      <c r="C113" s="41">
        <v>45</v>
      </c>
      <c r="D113" s="41"/>
      <c r="E113" s="41" t="s">
        <v>182</v>
      </c>
      <c r="F113" s="41"/>
      <c r="G113" s="41"/>
      <c r="H113" s="41"/>
      <c r="I113" s="41"/>
      <c r="J113" s="41"/>
    </row>
    <row r="114" spans="2:10" x14ac:dyDescent="0.25">
      <c r="B114" s="41">
        <v>64</v>
      </c>
      <c r="C114" s="41">
        <v>46</v>
      </c>
      <c r="D114" s="41"/>
      <c r="E114" s="41" t="s">
        <v>182</v>
      </c>
      <c r="F114" s="41"/>
      <c r="G114" s="41"/>
      <c r="H114" s="41"/>
      <c r="I114" s="41"/>
      <c r="J114" s="41"/>
    </row>
    <row r="115" spans="2:10" x14ac:dyDescent="0.25">
      <c r="B115" s="41">
        <v>65</v>
      </c>
      <c r="C115" s="41">
        <v>47</v>
      </c>
      <c r="D115" s="41"/>
      <c r="E115" s="41" t="s">
        <v>182</v>
      </c>
      <c r="F115" s="41"/>
      <c r="G115" s="41"/>
      <c r="H115" s="41"/>
      <c r="I115" s="41"/>
      <c r="J115" s="41"/>
    </row>
    <row r="116" spans="2:10" x14ac:dyDescent="0.25">
      <c r="B116" s="41">
        <v>66</v>
      </c>
      <c r="C116" s="41">
        <v>48</v>
      </c>
      <c r="D116" s="41"/>
      <c r="E116" s="41" t="s">
        <v>182</v>
      </c>
      <c r="F116" s="41"/>
      <c r="G116" s="41"/>
      <c r="H116" s="41"/>
      <c r="I116" s="41"/>
      <c r="J116" s="41"/>
    </row>
    <row r="117" spans="2:10" x14ac:dyDescent="0.25">
      <c r="B117" s="41">
        <v>67</v>
      </c>
      <c r="C117" s="41">
        <v>49</v>
      </c>
      <c r="D117" s="41"/>
      <c r="E117" s="41" t="s">
        <v>182</v>
      </c>
      <c r="F117" s="41"/>
      <c r="G117" s="41"/>
      <c r="H117" s="41"/>
      <c r="I117" s="41"/>
      <c r="J117" s="41"/>
    </row>
    <row r="118" spans="2:10" x14ac:dyDescent="0.25">
      <c r="B118" s="41">
        <v>68</v>
      </c>
      <c r="C118" s="41">
        <v>50</v>
      </c>
      <c r="D118" s="41"/>
      <c r="E118" s="41" t="s">
        <v>182</v>
      </c>
      <c r="F118" s="41"/>
      <c r="G118" s="41"/>
      <c r="H118" s="41"/>
      <c r="I118" s="41"/>
      <c r="J118" s="41"/>
    </row>
    <row r="119" spans="2:10" x14ac:dyDescent="0.25">
      <c r="B119" s="41">
        <v>69</v>
      </c>
      <c r="C119" s="41">
        <v>51</v>
      </c>
      <c r="D119" s="41"/>
      <c r="E119" s="41" t="s">
        <v>182</v>
      </c>
      <c r="F119" s="41"/>
      <c r="G119" s="41"/>
      <c r="H119" s="41"/>
      <c r="I119" s="41"/>
      <c r="J119" s="41"/>
    </row>
    <row r="120" spans="2:10" x14ac:dyDescent="0.25">
      <c r="B120" s="41">
        <v>70</v>
      </c>
      <c r="C120" s="41">
        <v>52</v>
      </c>
      <c r="D120" s="41"/>
      <c r="E120" s="41" t="s">
        <v>182</v>
      </c>
      <c r="F120" s="41"/>
      <c r="G120" s="41"/>
      <c r="H120" s="41"/>
      <c r="I120" s="41"/>
      <c r="J120" s="41"/>
    </row>
    <row r="121" spans="2:10" x14ac:dyDescent="0.25">
      <c r="B121" s="41">
        <v>71</v>
      </c>
      <c r="C121" s="41">
        <v>53</v>
      </c>
      <c r="D121" s="41"/>
      <c r="E121" s="41" t="s">
        <v>182</v>
      </c>
      <c r="F121" s="41"/>
      <c r="G121" s="41"/>
      <c r="H121" s="41"/>
      <c r="I121" s="41"/>
      <c r="J121" s="41"/>
    </row>
    <row r="122" spans="2:10" x14ac:dyDescent="0.25">
      <c r="B122" s="41">
        <v>72</v>
      </c>
      <c r="C122" s="41">
        <v>54</v>
      </c>
      <c r="D122" s="41"/>
      <c r="E122" s="41" t="s">
        <v>182</v>
      </c>
      <c r="F122" s="41"/>
      <c r="G122" s="41"/>
      <c r="H122" s="41"/>
      <c r="I122" s="41"/>
      <c r="J122" s="41"/>
    </row>
    <row r="123" spans="2:10" x14ac:dyDescent="0.25">
      <c r="B123" s="41">
        <v>73</v>
      </c>
      <c r="C123" s="41">
        <v>55</v>
      </c>
      <c r="D123" s="41"/>
      <c r="E123" s="41" t="s">
        <v>182</v>
      </c>
      <c r="F123" s="41"/>
      <c r="G123" s="41"/>
      <c r="H123" s="41"/>
      <c r="I123" s="41"/>
      <c r="J123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0" r:id="rId5" name="Button 106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10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J1704"/>
  <sheetViews>
    <sheetView showGridLines="0" topLeftCell="A15" zoomScale="80" zoomScaleNormal="80" workbookViewId="0"/>
  </sheetViews>
  <sheetFormatPr baseColWidth="10" defaultRowHeight="15" x14ac:dyDescent="0.25"/>
  <cols>
    <col min="1" max="1" width="24.7109375" bestFit="1" customWidth="1"/>
    <col min="3" max="3" width="35.7109375" customWidth="1"/>
    <col min="4" max="10" width="18.28515625" customWidth="1"/>
  </cols>
  <sheetData>
    <row r="1" spans="1:1" x14ac:dyDescent="0.25">
      <c r="A1" t="s">
        <v>334</v>
      </c>
    </row>
    <row r="61" spans="1:1" x14ac:dyDescent="0.25">
      <c r="A61" t="s">
        <v>339</v>
      </c>
    </row>
    <row r="75" spans="1:10" ht="59.1" customHeight="1" x14ac:dyDescent="0.25">
      <c r="A75" t="s">
        <v>593</v>
      </c>
      <c r="D75" s="141">
        <v>2017</v>
      </c>
      <c r="E75" s="141">
        <v>2016</v>
      </c>
      <c r="F75" s="141" t="s">
        <v>237</v>
      </c>
      <c r="G75" s="141" t="s">
        <v>386</v>
      </c>
      <c r="H75" s="141" t="s">
        <v>387</v>
      </c>
      <c r="I75" s="141" t="s">
        <v>388</v>
      </c>
      <c r="J75" s="141" t="s">
        <v>389</v>
      </c>
    </row>
    <row r="76" spans="1:10" ht="21.95" customHeight="1" x14ac:dyDescent="0.25">
      <c r="C76" s="130" t="s">
        <v>131</v>
      </c>
      <c r="D76" s="131">
        <v>72.45</v>
      </c>
      <c r="E76" s="131">
        <v>69.59</v>
      </c>
      <c r="F76" s="131">
        <v>78.73</v>
      </c>
      <c r="G76" s="131">
        <v>74.47</v>
      </c>
      <c r="H76" s="131">
        <v>2.86</v>
      </c>
      <c r="I76" s="131">
        <v>-6.28</v>
      </c>
      <c r="J76" s="131">
        <v>-2.02</v>
      </c>
    </row>
    <row r="77" spans="1:10" ht="21.95" customHeight="1" x14ac:dyDescent="0.25">
      <c r="C77" s="133" t="s">
        <v>132</v>
      </c>
      <c r="D77" s="131">
        <v>73.41</v>
      </c>
      <c r="E77" s="131">
        <v>70.69</v>
      </c>
      <c r="F77" s="131">
        <v>77.39</v>
      </c>
      <c r="G77" s="131">
        <v>76.150000000000006</v>
      </c>
      <c r="H77" s="131">
        <v>2.72</v>
      </c>
      <c r="I77" s="131">
        <v>-3.98</v>
      </c>
      <c r="J77" s="131">
        <v>-2.74</v>
      </c>
    </row>
    <row r="78" spans="1:10" ht="21.95" customHeight="1" x14ac:dyDescent="0.25">
      <c r="C78" s="134" t="s">
        <v>130</v>
      </c>
      <c r="D78" s="131">
        <v>67.709999999999994</v>
      </c>
      <c r="E78" s="131">
        <v>66.069999999999993</v>
      </c>
      <c r="F78" s="131">
        <v>74.680000000000007</v>
      </c>
      <c r="G78" s="131">
        <v>73.47</v>
      </c>
      <c r="H78" s="131">
        <v>1.64</v>
      </c>
      <c r="I78" s="131">
        <v>-6.97</v>
      </c>
      <c r="J78" s="131">
        <v>-5.76</v>
      </c>
    </row>
    <row r="79" spans="1:10" ht="21.95" customHeight="1" x14ac:dyDescent="0.25">
      <c r="C79" s="135" t="s">
        <v>585</v>
      </c>
      <c r="D79" s="131">
        <v>70.150000000000006</v>
      </c>
      <c r="E79" s="131">
        <v>67.180000000000007</v>
      </c>
      <c r="F79" s="131">
        <v>79.47</v>
      </c>
      <c r="G79" s="131">
        <v>78.510000000000005</v>
      </c>
      <c r="H79" s="131">
        <v>2.97</v>
      </c>
      <c r="I79" s="131">
        <v>-9.32</v>
      </c>
      <c r="J79" s="131">
        <v>-8.36</v>
      </c>
    </row>
    <row r="80" spans="1:10" ht="21.95" customHeight="1" x14ac:dyDescent="0.25">
      <c r="C80" s="136" t="s">
        <v>586</v>
      </c>
      <c r="D80" s="132">
        <v>74.08</v>
      </c>
      <c r="E80" s="132">
        <v>69.290000000000006</v>
      </c>
      <c r="F80" s="132">
        <v>83.49</v>
      </c>
      <c r="G80" s="132">
        <v>74.81</v>
      </c>
      <c r="H80" s="132">
        <v>4.79</v>
      </c>
      <c r="I80" s="132">
        <v>-9.41</v>
      </c>
      <c r="J80" s="132">
        <v>-0.73</v>
      </c>
    </row>
    <row r="81" spans="1:10" x14ac:dyDescent="0.25">
      <c r="C81" t="s">
        <v>587</v>
      </c>
      <c r="D81" s="137">
        <v>71.569999999999993</v>
      </c>
      <c r="E81" s="137">
        <v>68.66</v>
      </c>
      <c r="F81" s="137">
        <v>78.569999999999993</v>
      </c>
      <c r="G81" s="137">
        <v>75.319999999999993</v>
      </c>
      <c r="H81" s="137">
        <v>2.91</v>
      </c>
      <c r="I81" s="137">
        <v>-7</v>
      </c>
      <c r="J81" s="137">
        <v>-3.75</v>
      </c>
    </row>
    <row r="82" spans="1:10" x14ac:dyDescent="0.25">
      <c r="C82" t="s">
        <v>588</v>
      </c>
      <c r="D82" s="138">
        <v>480</v>
      </c>
      <c r="E82" s="138">
        <v>546</v>
      </c>
      <c r="F82" s="138"/>
      <c r="G82" s="138"/>
      <c r="H82" s="138"/>
      <c r="I82" s="138"/>
      <c r="J82" s="138"/>
    </row>
    <row r="83" spans="1:10" x14ac:dyDescent="0.25">
      <c r="C83" t="s">
        <v>589</v>
      </c>
      <c r="D83" s="139">
        <v>68.66</v>
      </c>
      <c r="E83" s="139"/>
      <c r="F83" s="139"/>
      <c r="G83" s="139"/>
      <c r="H83" s="139"/>
      <c r="I83" s="139"/>
      <c r="J83" s="139"/>
    </row>
    <row r="84" spans="1:10" x14ac:dyDescent="0.25">
      <c r="C84" t="s">
        <v>590</v>
      </c>
      <c r="D84" s="139">
        <v>546</v>
      </c>
      <c r="E84" s="139"/>
      <c r="F84" s="139"/>
      <c r="G84" s="139"/>
      <c r="H84" s="139"/>
      <c r="I84" s="139"/>
      <c r="J84" s="139"/>
    </row>
    <row r="85" spans="1:10" ht="22.5" x14ac:dyDescent="0.25">
      <c r="C85" t="s">
        <v>129</v>
      </c>
      <c r="D85" s="140">
        <v>2017</v>
      </c>
      <c r="E85" s="140">
        <v>2016</v>
      </c>
      <c r="F85" s="140" t="s">
        <v>237</v>
      </c>
      <c r="G85" s="140" t="s">
        <v>386</v>
      </c>
      <c r="H85" s="140" t="s">
        <v>387</v>
      </c>
      <c r="I85" s="140" t="s">
        <v>388</v>
      </c>
      <c r="J85" s="140" t="s">
        <v>389</v>
      </c>
    </row>
    <row r="86" spans="1:10" x14ac:dyDescent="0.25">
      <c r="C86" t="s">
        <v>591</v>
      </c>
      <c r="D86" s="137">
        <v>71.569999999999993</v>
      </c>
      <c r="E86" s="137">
        <v>71.569999999999993</v>
      </c>
      <c r="F86" s="137">
        <v>71.569999999999993</v>
      </c>
      <c r="G86" s="137">
        <v>71.569999999999993</v>
      </c>
      <c r="H86" s="137">
        <v>71.569999999999993</v>
      </c>
      <c r="I86" s="137">
        <v>71.569999999999993</v>
      </c>
      <c r="J86" s="137">
        <v>71.569999999999993</v>
      </c>
    </row>
    <row r="87" spans="1:10" x14ac:dyDescent="0.25">
      <c r="C87" t="s">
        <v>592</v>
      </c>
      <c r="D87" s="129">
        <v>68.08</v>
      </c>
      <c r="E87" s="129">
        <v>66.099999999999994</v>
      </c>
      <c r="F87" s="129">
        <v>81.900000000000006</v>
      </c>
      <c r="G87" s="129">
        <v>78.42</v>
      </c>
      <c r="H87" s="129">
        <v>1.98</v>
      </c>
      <c r="I87" s="129">
        <v>-13.82</v>
      </c>
      <c r="J87" s="129">
        <v>-10.34</v>
      </c>
    </row>
    <row r="92" spans="1:10" x14ac:dyDescent="0.25">
      <c r="A92" t="s">
        <v>97</v>
      </c>
    </row>
    <row r="152" spans="1:1" x14ac:dyDescent="0.25">
      <c r="A152" t="s">
        <v>98</v>
      </c>
    </row>
    <row r="166" spans="1:8" ht="59.1" customHeight="1" x14ac:dyDescent="0.25">
      <c r="A166" t="s">
        <v>120</v>
      </c>
      <c r="D166" s="141" t="s">
        <v>390</v>
      </c>
      <c r="E166" s="141" t="s">
        <v>391</v>
      </c>
      <c r="F166" s="141" t="s">
        <v>392</v>
      </c>
      <c r="G166" s="141" t="s">
        <v>393</v>
      </c>
      <c r="H166" s="141" t="s">
        <v>394</v>
      </c>
    </row>
    <row r="167" spans="1:8" ht="21.95" customHeight="1" x14ac:dyDescent="0.25">
      <c r="C167" s="130" t="s">
        <v>131</v>
      </c>
      <c r="D167" s="131" t="s">
        <v>145</v>
      </c>
      <c r="E167" s="143">
        <v>94.23</v>
      </c>
      <c r="F167" s="131">
        <v>76.41</v>
      </c>
      <c r="G167" s="131">
        <v>69.819999999999993</v>
      </c>
      <c r="H167" s="131" t="s">
        <v>145</v>
      </c>
    </row>
    <row r="168" spans="1:8" ht="21.95" customHeight="1" x14ac:dyDescent="0.25">
      <c r="C168" s="133" t="s">
        <v>132</v>
      </c>
      <c r="D168" s="131" t="s">
        <v>145</v>
      </c>
      <c r="E168" s="143">
        <v>91.42</v>
      </c>
      <c r="F168" s="131">
        <v>73.94</v>
      </c>
      <c r="G168" s="131">
        <v>71.77</v>
      </c>
      <c r="H168" s="131" t="s">
        <v>145</v>
      </c>
    </row>
    <row r="169" spans="1:8" ht="21.95" customHeight="1" x14ac:dyDescent="0.25">
      <c r="C169" s="134" t="s">
        <v>130</v>
      </c>
      <c r="D169" s="131" t="s">
        <v>145</v>
      </c>
      <c r="E169" s="131">
        <v>83.01</v>
      </c>
      <c r="F169" s="131">
        <v>68.430000000000007</v>
      </c>
      <c r="G169" s="131">
        <v>66.2</v>
      </c>
      <c r="H169" s="131" t="s">
        <v>145</v>
      </c>
    </row>
    <row r="170" spans="1:8" ht="21.95" customHeight="1" x14ac:dyDescent="0.25">
      <c r="C170" s="135" t="s">
        <v>585</v>
      </c>
      <c r="D170" s="131" t="s">
        <v>145</v>
      </c>
      <c r="E170" s="143">
        <v>94.23</v>
      </c>
      <c r="F170" s="131">
        <v>73.760000000000005</v>
      </c>
      <c r="G170" s="131">
        <v>67.56</v>
      </c>
      <c r="H170" s="131" t="s">
        <v>145</v>
      </c>
    </row>
    <row r="171" spans="1:8" ht="21.95" customHeight="1" x14ac:dyDescent="0.25">
      <c r="C171" s="136" t="s">
        <v>586</v>
      </c>
      <c r="D171" s="132" t="s">
        <v>145</v>
      </c>
      <c r="E171" s="144">
        <v>86.54</v>
      </c>
      <c r="F171" s="132">
        <v>74.27</v>
      </c>
      <c r="G171" s="132">
        <v>72.91</v>
      </c>
      <c r="H171" s="132" t="s">
        <v>145</v>
      </c>
    </row>
    <row r="172" spans="1:8" x14ac:dyDescent="0.25">
      <c r="C172" t="s">
        <v>587</v>
      </c>
      <c r="D172" s="145" t="s">
        <v>145</v>
      </c>
      <c r="E172" s="137">
        <v>89.99</v>
      </c>
      <c r="F172" s="137">
        <v>73.36</v>
      </c>
      <c r="G172" s="137">
        <v>69.650000000000006</v>
      </c>
      <c r="H172" s="145" t="s">
        <v>145</v>
      </c>
    </row>
    <row r="173" spans="1:8" x14ac:dyDescent="0.25">
      <c r="C173" t="s">
        <v>588</v>
      </c>
      <c r="D173" s="138">
        <v>5</v>
      </c>
      <c r="E173" s="138">
        <v>26</v>
      </c>
      <c r="F173" s="138">
        <v>67</v>
      </c>
      <c r="G173" s="138">
        <v>381</v>
      </c>
      <c r="H173" s="138">
        <v>1</v>
      </c>
    </row>
    <row r="174" spans="1:8" x14ac:dyDescent="0.25">
      <c r="C174" t="s">
        <v>589</v>
      </c>
      <c r="D174" s="146" t="s">
        <v>145</v>
      </c>
      <c r="E174" s="139">
        <v>81.95</v>
      </c>
      <c r="F174" s="139">
        <v>73.63</v>
      </c>
      <c r="G174" s="139">
        <v>65.900000000000006</v>
      </c>
      <c r="H174" s="139">
        <v>77.260000000000005</v>
      </c>
    </row>
    <row r="175" spans="1:8" x14ac:dyDescent="0.25">
      <c r="C175" t="s">
        <v>590</v>
      </c>
      <c r="D175" s="139">
        <v>5</v>
      </c>
      <c r="E175" s="139">
        <v>34</v>
      </c>
      <c r="F175" s="139">
        <v>79</v>
      </c>
      <c r="G175" s="139">
        <v>409</v>
      </c>
      <c r="H175" s="139">
        <v>19</v>
      </c>
    </row>
    <row r="176" spans="1:8" x14ac:dyDescent="0.25">
      <c r="C176" t="s">
        <v>129</v>
      </c>
      <c r="D176" s="140" t="s">
        <v>390</v>
      </c>
      <c r="E176" s="140" t="s">
        <v>391</v>
      </c>
      <c r="F176" s="140" t="s">
        <v>392</v>
      </c>
      <c r="G176" s="140" t="s">
        <v>393</v>
      </c>
      <c r="H176" s="140" t="s">
        <v>394</v>
      </c>
    </row>
    <row r="177" spans="1:8" x14ac:dyDescent="0.25">
      <c r="C177" t="s">
        <v>591</v>
      </c>
      <c r="D177" s="137">
        <v>71.569999999999993</v>
      </c>
      <c r="E177" s="137">
        <v>71.569999999999993</v>
      </c>
      <c r="F177" s="137">
        <v>71.569999999999993</v>
      </c>
      <c r="G177" s="137">
        <v>71.569999999999993</v>
      </c>
      <c r="H177" s="137">
        <v>71.569999999999993</v>
      </c>
    </row>
    <row r="178" spans="1:8" x14ac:dyDescent="0.25">
      <c r="C178" t="s">
        <v>592</v>
      </c>
      <c r="D178" s="129" t="s">
        <v>145</v>
      </c>
      <c r="E178" s="142">
        <v>96.15</v>
      </c>
      <c r="F178" s="129">
        <v>70.150000000000006</v>
      </c>
      <c r="G178" s="129">
        <v>65.239999999999995</v>
      </c>
      <c r="H178" s="129" t="s">
        <v>145</v>
      </c>
    </row>
    <row r="183" spans="1:8" x14ac:dyDescent="0.25">
      <c r="A183" t="s">
        <v>99</v>
      </c>
    </row>
    <row r="243" spans="1:1" x14ac:dyDescent="0.25">
      <c r="A243" t="s">
        <v>100</v>
      </c>
    </row>
    <row r="257" spans="1:5" ht="59.1" customHeight="1" x14ac:dyDescent="0.25">
      <c r="A257" t="s">
        <v>119</v>
      </c>
      <c r="D257" s="141" t="s">
        <v>215</v>
      </c>
      <c r="E257" s="141" t="s">
        <v>216</v>
      </c>
    </row>
    <row r="258" spans="1:5" ht="21.95" customHeight="1" x14ac:dyDescent="0.25">
      <c r="C258" s="130" t="s">
        <v>131</v>
      </c>
      <c r="D258" s="131">
        <v>72.86</v>
      </c>
      <c r="E258" s="131">
        <v>71.63</v>
      </c>
    </row>
    <row r="259" spans="1:5" ht="21.95" customHeight="1" x14ac:dyDescent="0.25">
      <c r="C259" s="133" t="s">
        <v>132</v>
      </c>
      <c r="D259" s="131">
        <v>73.260000000000005</v>
      </c>
      <c r="E259" s="131">
        <v>73.69</v>
      </c>
    </row>
    <row r="260" spans="1:5" ht="21.95" customHeight="1" x14ac:dyDescent="0.25">
      <c r="C260" s="134" t="s">
        <v>130</v>
      </c>
      <c r="D260" s="131">
        <v>67.510000000000005</v>
      </c>
      <c r="E260" s="131">
        <v>68.12</v>
      </c>
    </row>
    <row r="261" spans="1:5" ht="21.95" customHeight="1" x14ac:dyDescent="0.25">
      <c r="C261" s="135" t="s">
        <v>585</v>
      </c>
      <c r="D261" s="131">
        <v>69.22</v>
      </c>
      <c r="E261" s="131">
        <v>71.95</v>
      </c>
    </row>
    <row r="262" spans="1:5" ht="21.95" customHeight="1" x14ac:dyDescent="0.25">
      <c r="C262" s="136" t="s">
        <v>586</v>
      </c>
      <c r="D262" s="132">
        <v>72.819999999999993</v>
      </c>
      <c r="E262" s="132">
        <v>76.55</v>
      </c>
    </row>
    <row r="263" spans="1:5" x14ac:dyDescent="0.25">
      <c r="C263" t="s">
        <v>587</v>
      </c>
      <c r="D263" s="137">
        <v>71.23</v>
      </c>
      <c r="E263" s="137">
        <v>72.239999999999995</v>
      </c>
    </row>
    <row r="264" spans="1:5" x14ac:dyDescent="0.25">
      <c r="C264" t="s">
        <v>588</v>
      </c>
      <c r="D264" s="138">
        <v>318</v>
      </c>
      <c r="E264" s="138">
        <v>162</v>
      </c>
    </row>
    <row r="265" spans="1:5" x14ac:dyDescent="0.25">
      <c r="C265" t="s">
        <v>589</v>
      </c>
      <c r="D265" s="139">
        <v>67.92</v>
      </c>
      <c r="E265" s="139">
        <v>69.959999999999994</v>
      </c>
    </row>
    <row r="266" spans="1:5" x14ac:dyDescent="0.25">
      <c r="C266" t="s">
        <v>590</v>
      </c>
      <c r="D266" s="139">
        <v>346</v>
      </c>
      <c r="E266" s="139">
        <v>200</v>
      </c>
    </row>
    <row r="267" spans="1:5" x14ac:dyDescent="0.25">
      <c r="C267" t="s">
        <v>129</v>
      </c>
      <c r="D267" s="140" t="s">
        <v>215</v>
      </c>
      <c r="E267" s="140" t="s">
        <v>216</v>
      </c>
    </row>
    <row r="268" spans="1:5" x14ac:dyDescent="0.25">
      <c r="C268" t="s">
        <v>591</v>
      </c>
      <c r="D268" s="137">
        <v>71.569999999999993</v>
      </c>
      <c r="E268" s="137">
        <v>71.569999999999993</v>
      </c>
    </row>
    <row r="269" spans="1:5" x14ac:dyDescent="0.25">
      <c r="C269" t="s">
        <v>592</v>
      </c>
      <c r="D269" s="129">
        <v>66.77</v>
      </c>
      <c r="E269" s="129">
        <v>70.63</v>
      </c>
    </row>
    <row r="274" spans="1:1" x14ac:dyDescent="0.25">
      <c r="A274" t="s">
        <v>101</v>
      </c>
    </row>
    <row r="334" spans="1:1" x14ac:dyDescent="0.25">
      <c r="A334" t="s">
        <v>102</v>
      </c>
    </row>
    <row r="348" spans="1:8" ht="59.1" customHeight="1" x14ac:dyDescent="0.25">
      <c r="A348" t="s">
        <v>118</v>
      </c>
      <c r="D348" s="141" t="s">
        <v>210</v>
      </c>
      <c r="E348" s="141" t="s">
        <v>211</v>
      </c>
      <c r="F348" s="141" t="s">
        <v>212</v>
      </c>
      <c r="G348" s="141" t="s">
        <v>213</v>
      </c>
      <c r="H348" s="141" t="s">
        <v>214</v>
      </c>
    </row>
    <row r="349" spans="1:8" ht="21.95" customHeight="1" x14ac:dyDescent="0.25">
      <c r="C349" s="130" t="s">
        <v>131</v>
      </c>
      <c r="D349" s="131">
        <v>67.95</v>
      </c>
      <c r="E349" s="131">
        <v>64.709999999999994</v>
      </c>
      <c r="F349" s="131">
        <v>76.11</v>
      </c>
      <c r="G349" s="131">
        <v>76.599999999999994</v>
      </c>
      <c r="H349" s="131">
        <v>73.25</v>
      </c>
    </row>
    <row r="350" spans="1:8" ht="21.95" customHeight="1" x14ac:dyDescent="0.25">
      <c r="C350" s="133" t="s">
        <v>132</v>
      </c>
      <c r="D350" s="131">
        <v>65.52</v>
      </c>
      <c r="E350" s="131">
        <v>69.069999999999993</v>
      </c>
      <c r="F350" s="131">
        <v>77.239999999999995</v>
      </c>
      <c r="G350" s="131">
        <v>73.67</v>
      </c>
      <c r="H350" s="131">
        <v>75.22</v>
      </c>
    </row>
    <row r="351" spans="1:8" ht="21.95" customHeight="1" x14ac:dyDescent="0.25">
      <c r="C351" s="134" t="s">
        <v>130</v>
      </c>
      <c r="D351" s="131">
        <v>66.84</v>
      </c>
      <c r="E351" s="131">
        <v>62.42</v>
      </c>
      <c r="F351" s="131">
        <v>70.23</v>
      </c>
      <c r="G351" s="131">
        <v>70.099999999999994</v>
      </c>
      <c r="H351" s="131">
        <v>69.28</v>
      </c>
    </row>
    <row r="352" spans="1:8" ht="21.95" customHeight="1" x14ac:dyDescent="0.25">
      <c r="C352" s="135" t="s">
        <v>585</v>
      </c>
      <c r="D352" s="131">
        <v>67.19</v>
      </c>
      <c r="E352" s="131">
        <v>63.36</v>
      </c>
      <c r="F352" s="131">
        <v>71.94</v>
      </c>
      <c r="G352" s="131">
        <v>74.44</v>
      </c>
      <c r="H352" s="131">
        <v>78.650000000000006</v>
      </c>
    </row>
    <row r="353" spans="1:8" ht="21.95" customHeight="1" x14ac:dyDescent="0.25">
      <c r="C353" s="136" t="s">
        <v>586</v>
      </c>
      <c r="D353" s="132">
        <v>73.75</v>
      </c>
      <c r="E353" s="132">
        <v>70.58</v>
      </c>
      <c r="F353" s="132">
        <v>77.37</v>
      </c>
      <c r="G353" s="132">
        <v>74.3</v>
      </c>
      <c r="H353" s="132">
        <v>69.010000000000005</v>
      </c>
    </row>
    <row r="354" spans="1:8" x14ac:dyDescent="0.25">
      <c r="C354" t="s">
        <v>587</v>
      </c>
      <c r="D354" s="137">
        <v>67.98</v>
      </c>
      <c r="E354" s="137">
        <v>66.010000000000005</v>
      </c>
      <c r="F354" s="137">
        <v>74.72</v>
      </c>
      <c r="G354" s="137">
        <v>73.73</v>
      </c>
      <c r="H354" s="137">
        <v>73</v>
      </c>
    </row>
    <row r="355" spans="1:8" x14ac:dyDescent="0.25">
      <c r="C355" t="s">
        <v>588</v>
      </c>
      <c r="D355" s="138">
        <v>16</v>
      </c>
      <c r="E355" s="138">
        <v>144</v>
      </c>
      <c r="F355" s="138">
        <v>177</v>
      </c>
      <c r="G355" s="138">
        <v>123</v>
      </c>
      <c r="H355" s="138">
        <v>20</v>
      </c>
    </row>
    <row r="356" spans="1:8" x14ac:dyDescent="0.25">
      <c r="C356" t="s">
        <v>589</v>
      </c>
      <c r="D356" s="139">
        <v>73.83</v>
      </c>
      <c r="E356" s="139">
        <v>59.53</v>
      </c>
      <c r="F356" s="139">
        <v>72.44</v>
      </c>
      <c r="G356" s="139">
        <v>72.56</v>
      </c>
      <c r="H356" s="139">
        <v>71.7</v>
      </c>
    </row>
    <row r="357" spans="1:8" x14ac:dyDescent="0.25">
      <c r="C357" t="s">
        <v>590</v>
      </c>
      <c r="D357" s="139">
        <v>25</v>
      </c>
      <c r="E357" s="139">
        <v>163</v>
      </c>
      <c r="F357" s="139">
        <v>209</v>
      </c>
      <c r="G357" s="139">
        <v>128</v>
      </c>
      <c r="H357" s="139">
        <v>21</v>
      </c>
    </row>
    <row r="358" spans="1:8" x14ac:dyDescent="0.25">
      <c r="C358" t="s">
        <v>129</v>
      </c>
      <c r="D358" s="140" t="s">
        <v>210</v>
      </c>
      <c r="E358" s="140" t="s">
        <v>211</v>
      </c>
      <c r="F358" s="140" t="s">
        <v>212</v>
      </c>
      <c r="G358" s="140" t="s">
        <v>213</v>
      </c>
      <c r="H358" s="140" t="s">
        <v>214</v>
      </c>
    </row>
    <row r="359" spans="1:8" x14ac:dyDescent="0.25">
      <c r="C359" t="s">
        <v>591</v>
      </c>
      <c r="D359" s="137">
        <v>71.569999999999993</v>
      </c>
      <c r="E359" s="137">
        <v>71.569999999999993</v>
      </c>
      <c r="F359" s="137">
        <v>71.569999999999993</v>
      </c>
      <c r="G359" s="137">
        <v>71.569999999999993</v>
      </c>
      <c r="H359" s="137">
        <v>71.569999999999993</v>
      </c>
    </row>
    <row r="360" spans="1:8" x14ac:dyDescent="0.25">
      <c r="C360" t="s">
        <v>592</v>
      </c>
      <c r="D360" s="129">
        <v>62.51</v>
      </c>
      <c r="E360" s="129">
        <v>63.12</v>
      </c>
      <c r="F360" s="129">
        <v>72.41</v>
      </c>
      <c r="G360" s="129">
        <v>66.39</v>
      </c>
      <c r="H360" s="129">
        <v>80</v>
      </c>
    </row>
    <row r="365" spans="1:8" x14ac:dyDescent="0.25">
      <c r="A365" t="s">
        <v>103</v>
      </c>
    </row>
    <row r="425" spans="1:1" x14ac:dyDescent="0.25">
      <c r="A425" t="s">
        <v>354</v>
      </c>
    </row>
    <row r="439" spans="1:8" ht="59.1" customHeight="1" x14ac:dyDescent="0.25">
      <c r="A439" t="s">
        <v>594</v>
      </c>
      <c r="D439" s="141" t="s">
        <v>395</v>
      </c>
      <c r="E439" s="141" t="s">
        <v>396</v>
      </c>
      <c r="F439" s="141" t="s">
        <v>397</v>
      </c>
      <c r="G439" s="141" t="s">
        <v>398</v>
      </c>
      <c r="H439" s="141" t="s">
        <v>399</v>
      </c>
    </row>
    <row r="440" spans="1:8" ht="21.95" customHeight="1" x14ac:dyDescent="0.25">
      <c r="C440" s="130" t="s">
        <v>131</v>
      </c>
      <c r="D440" s="131">
        <v>71.73</v>
      </c>
      <c r="E440" s="131">
        <v>70.52</v>
      </c>
      <c r="F440" s="131">
        <v>68.319999999999993</v>
      </c>
      <c r="G440" s="131">
        <v>74.41</v>
      </c>
      <c r="H440" s="131">
        <v>79.08</v>
      </c>
    </row>
    <row r="441" spans="1:8" ht="21.95" customHeight="1" x14ac:dyDescent="0.25">
      <c r="C441" s="133" t="s">
        <v>132</v>
      </c>
      <c r="D441" s="131">
        <v>73.59</v>
      </c>
      <c r="E441" s="131">
        <v>72.33</v>
      </c>
      <c r="F441" s="131">
        <v>70.41</v>
      </c>
      <c r="G441" s="131">
        <v>73.489999999999995</v>
      </c>
      <c r="H441" s="131">
        <v>78.12</v>
      </c>
    </row>
    <row r="442" spans="1:8" ht="21.95" customHeight="1" x14ac:dyDescent="0.25">
      <c r="C442" s="134" t="s">
        <v>130</v>
      </c>
      <c r="D442" s="131">
        <v>68.48</v>
      </c>
      <c r="E442" s="131">
        <v>66.95</v>
      </c>
      <c r="F442" s="131">
        <v>64.349999999999994</v>
      </c>
      <c r="G442" s="131">
        <v>70.48</v>
      </c>
      <c r="H442" s="131">
        <v>70.540000000000006</v>
      </c>
    </row>
    <row r="443" spans="1:8" ht="21.95" customHeight="1" x14ac:dyDescent="0.25">
      <c r="C443" s="135" t="s">
        <v>585</v>
      </c>
      <c r="D443" s="131">
        <v>69.75</v>
      </c>
      <c r="E443" s="131">
        <v>68.819999999999993</v>
      </c>
      <c r="F443" s="131">
        <v>65.22</v>
      </c>
      <c r="G443" s="131">
        <v>73.97</v>
      </c>
      <c r="H443" s="131">
        <v>75.760000000000005</v>
      </c>
    </row>
    <row r="444" spans="1:8" ht="21.95" customHeight="1" x14ac:dyDescent="0.25">
      <c r="C444" s="136" t="s">
        <v>586</v>
      </c>
      <c r="D444" s="132">
        <v>75.09</v>
      </c>
      <c r="E444" s="132">
        <v>71.819999999999993</v>
      </c>
      <c r="F444" s="132">
        <v>71.22</v>
      </c>
      <c r="G444" s="132">
        <v>78.03</v>
      </c>
      <c r="H444" s="132">
        <v>77.3</v>
      </c>
    </row>
    <row r="445" spans="1:8" x14ac:dyDescent="0.25">
      <c r="C445" t="s">
        <v>587</v>
      </c>
      <c r="D445" s="137">
        <v>71.680000000000007</v>
      </c>
      <c r="E445" s="137">
        <v>70.13</v>
      </c>
      <c r="F445" s="137">
        <v>67.97</v>
      </c>
      <c r="G445" s="137">
        <v>73.98</v>
      </c>
      <c r="H445" s="137">
        <v>76.180000000000007</v>
      </c>
    </row>
    <row r="446" spans="1:8" x14ac:dyDescent="0.25">
      <c r="C446" t="s">
        <v>588</v>
      </c>
      <c r="D446" s="138">
        <v>72</v>
      </c>
      <c r="E446" s="138">
        <v>125</v>
      </c>
      <c r="F446" s="138">
        <v>122</v>
      </c>
      <c r="G446" s="138">
        <v>59</v>
      </c>
      <c r="H446" s="138">
        <v>102</v>
      </c>
    </row>
    <row r="447" spans="1:8" x14ac:dyDescent="0.25">
      <c r="C447" t="s">
        <v>589</v>
      </c>
      <c r="D447" s="139">
        <v>71.45</v>
      </c>
      <c r="E447" s="139">
        <v>66.28</v>
      </c>
      <c r="F447" s="139">
        <v>65.08</v>
      </c>
      <c r="G447" s="139">
        <v>70.23</v>
      </c>
      <c r="H447" s="139">
        <v>76.27</v>
      </c>
    </row>
    <row r="448" spans="1:8" x14ac:dyDescent="0.25">
      <c r="C448" t="s">
        <v>590</v>
      </c>
      <c r="D448" s="139">
        <v>77</v>
      </c>
      <c r="E448" s="139">
        <v>214</v>
      </c>
      <c r="F448" s="139">
        <v>115</v>
      </c>
      <c r="G448" s="139">
        <v>61</v>
      </c>
      <c r="H448" s="139">
        <v>79</v>
      </c>
    </row>
    <row r="449" spans="1:8" x14ac:dyDescent="0.25">
      <c r="C449" t="s">
        <v>129</v>
      </c>
      <c r="D449" s="140" t="s">
        <v>395</v>
      </c>
      <c r="E449" s="140" t="s">
        <v>396</v>
      </c>
      <c r="F449" s="140" t="s">
        <v>397</v>
      </c>
      <c r="G449" s="140" t="s">
        <v>398</v>
      </c>
      <c r="H449" s="140" t="s">
        <v>399</v>
      </c>
    </row>
    <row r="450" spans="1:8" x14ac:dyDescent="0.25">
      <c r="C450" t="s">
        <v>591</v>
      </c>
      <c r="D450" s="137">
        <v>71.569999999999993</v>
      </c>
      <c r="E450" s="137">
        <v>71.569999999999993</v>
      </c>
      <c r="F450" s="137">
        <v>71.569999999999993</v>
      </c>
      <c r="G450" s="137">
        <v>71.569999999999993</v>
      </c>
      <c r="H450" s="137">
        <v>71.569999999999993</v>
      </c>
    </row>
    <row r="451" spans="1:8" x14ac:dyDescent="0.25">
      <c r="C451" t="s">
        <v>592</v>
      </c>
      <c r="D451" s="129">
        <v>65.709999999999994</v>
      </c>
      <c r="E451" s="129">
        <v>67.48</v>
      </c>
      <c r="F451" s="129">
        <v>64.459999999999994</v>
      </c>
      <c r="G451" s="129">
        <v>75.86</v>
      </c>
      <c r="H451" s="129">
        <v>70.3</v>
      </c>
    </row>
    <row r="456" spans="1:8" x14ac:dyDescent="0.25">
      <c r="A456" t="s">
        <v>104</v>
      </c>
    </row>
    <row r="516" spans="1:1" x14ac:dyDescent="0.25">
      <c r="A516" t="s">
        <v>105</v>
      </c>
    </row>
    <row r="530" spans="1:5" ht="59.1" customHeight="1" x14ac:dyDescent="0.25">
      <c r="A530" t="s">
        <v>121</v>
      </c>
      <c r="D530" s="141" t="s">
        <v>400</v>
      </c>
      <c r="E530" s="141" t="s">
        <v>401</v>
      </c>
    </row>
    <row r="531" spans="1:5" ht="21.95" customHeight="1" x14ac:dyDescent="0.25">
      <c r="C531" s="130" t="s">
        <v>131</v>
      </c>
      <c r="D531" s="131">
        <v>72.42</v>
      </c>
      <c r="E531" s="131" t="s">
        <v>145</v>
      </c>
    </row>
    <row r="532" spans="1:5" ht="21.95" customHeight="1" x14ac:dyDescent="0.25">
      <c r="C532" s="133" t="s">
        <v>132</v>
      </c>
      <c r="D532" s="131">
        <v>73.38</v>
      </c>
      <c r="E532" s="131" t="s">
        <v>145</v>
      </c>
    </row>
    <row r="533" spans="1:5" ht="21.95" customHeight="1" x14ac:dyDescent="0.25">
      <c r="C533" s="134" t="s">
        <v>130</v>
      </c>
      <c r="D533" s="131">
        <v>67.73</v>
      </c>
      <c r="E533" s="131" t="s">
        <v>145</v>
      </c>
    </row>
    <row r="534" spans="1:5" ht="21.95" customHeight="1" x14ac:dyDescent="0.25">
      <c r="C534" s="135" t="s">
        <v>585</v>
      </c>
      <c r="D534" s="131">
        <v>70.19</v>
      </c>
      <c r="E534" s="131" t="s">
        <v>145</v>
      </c>
    </row>
    <row r="535" spans="1:5" ht="21.95" customHeight="1" x14ac:dyDescent="0.25">
      <c r="C535" s="136" t="s">
        <v>586</v>
      </c>
      <c r="D535" s="132">
        <v>74.13</v>
      </c>
      <c r="E535" s="132" t="s">
        <v>145</v>
      </c>
    </row>
    <row r="536" spans="1:5" x14ac:dyDescent="0.25">
      <c r="C536" t="s">
        <v>587</v>
      </c>
      <c r="D536" s="137">
        <v>71.58</v>
      </c>
      <c r="E536" s="145" t="s">
        <v>145</v>
      </c>
    </row>
    <row r="537" spans="1:5" x14ac:dyDescent="0.25">
      <c r="C537" t="s">
        <v>588</v>
      </c>
      <c r="D537" s="138">
        <v>479</v>
      </c>
      <c r="E537" s="138">
        <v>1</v>
      </c>
    </row>
    <row r="538" spans="1:5" x14ac:dyDescent="0.25">
      <c r="C538" t="s">
        <v>589</v>
      </c>
      <c r="D538" s="139">
        <v>68.42</v>
      </c>
      <c r="E538" s="139">
        <v>75.09</v>
      </c>
    </row>
    <row r="539" spans="1:5" x14ac:dyDescent="0.25">
      <c r="C539" t="s">
        <v>590</v>
      </c>
      <c r="D539" s="139">
        <v>526</v>
      </c>
      <c r="E539" s="139">
        <v>20</v>
      </c>
    </row>
    <row r="540" spans="1:5" x14ac:dyDescent="0.25">
      <c r="C540" t="s">
        <v>129</v>
      </c>
      <c r="D540" s="140" t="s">
        <v>400</v>
      </c>
      <c r="E540" s="140" t="s">
        <v>401</v>
      </c>
    </row>
    <row r="541" spans="1:5" x14ac:dyDescent="0.25">
      <c r="C541" t="s">
        <v>591</v>
      </c>
      <c r="D541" s="137">
        <v>71.569999999999993</v>
      </c>
      <c r="E541" s="137">
        <v>71.569999999999993</v>
      </c>
    </row>
    <row r="542" spans="1:5" x14ac:dyDescent="0.25">
      <c r="C542" t="s">
        <v>592</v>
      </c>
      <c r="D542" s="129">
        <v>68.010000000000005</v>
      </c>
      <c r="E542" s="129" t="s">
        <v>145</v>
      </c>
    </row>
    <row r="547" spans="1:1" x14ac:dyDescent="0.25">
      <c r="A547" t="s">
        <v>106</v>
      </c>
    </row>
    <row r="607" spans="1:1" x14ac:dyDescent="0.25">
      <c r="A607" t="s">
        <v>355</v>
      </c>
    </row>
    <row r="621" spans="1:7" ht="59.1" customHeight="1" x14ac:dyDescent="0.25">
      <c r="A621" t="s">
        <v>595</v>
      </c>
      <c r="D621" s="141" t="s">
        <v>217</v>
      </c>
      <c r="E621" s="141" t="s">
        <v>218</v>
      </c>
      <c r="F621" s="141" t="s">
        <v>219</v>
      </c>
      <c r="G621" s="141" t="s">
        <v>220</v>
      </c>
    </row>
    <row r="622" spans="1:7" ht="21.95" customHeight="1" x14ac:dyDescent="0.25">
      <c r="C622" s="130" t="s">
        <v>131</v>
      </c>
      <c r="D622" s="131">
        <v>84.02</v>
      </c>
      <c r="E622" s="131">
        <v>77.55</v>
      </c>
      <c r="F622" s="131">
        <v>73.33</v>
      </c>
      <c r="G622" s="148">
        <v>51.28</v>
      </c>
    </row>
    <row r="623" spans="1:7" ht="21.95" customHeight="1" x14ac:dyDescent="0.25">
      <c r="C623" s="133" t="s">
        <v>132</v>
      </c>
      <c r="D623" s="131">
        <v>83.82</v>
      </c>
      <c r="E623" s="131">
        <v>76.39</v>
      </c>
      <c r="F623" s="131">
        <v>73.41</v>
      </c>
      <c r="G623" s="148">
        <v>57.66</v>
      </c>
    </row>
    <row r="624" spans="1:7" ht="21.95" customHeight="1" x14ac:dyDescent="0.25">
      <c r="C624" s="134" t="s">
        <v>130</v>
      </c>
      <c r="D624" s="131">
        <v>76.38</v>
      </c>
      <c r="E624" s="131">
        <v>69.790000000000006</v>
      </c>
      <c r="F624" s="131">
        <v>67.14</v>
      </c>
      <c r="G624" s="148">
        <v>54.84</v>
      </c>
    </row>
    <row r="625" spans="1:7" ht="21.95" customHeight="1" x14ac:dyDescent="0.25">
      <c r="C625" s="135" t="s">
        <v>585</v>
      </c>
      <c r="D625" s="131">
        <v>80.19</v>
      </c>
      <c r="E625" s="131">
        <v>74.489999999999995</v>
      </c>
      <c r="F625" s="131">
        <v>66.62</v>
      </c>
      <c r="G625" s="148">
        <v>55.36</v>
      </c>
    </row>
    <row r="626" spans="1:7" ht="21.95" customHeight="1" x14ac:dyDescent="0.25">
      <c r="C626" s="136" t="s">
        <v>586</v>
      </c>
      <c r="D626" s="132">
        <v>80.89</v>
      </c>
      <c r="E626" s="132">
        <v>78.98</v>
      </c>
      <c r="F626" s="132">
        <v>73.709999999999994</v>
      </c>
      <c r="G626" s="132">
        <v>62.78</v>
      </c>
    </row>
    <row r="627" spans="1:7" x14ac:dyDescent="0.25">
      <c r="C627" t="s">
        <v>587</v>
      </c>
      <c r="D627" s="137">
        <v>81.3</v>
      </c>
      <c r="E627" s="137">
        <v>75.39</v>
      </c>
      <c r="F627" s="137">
        <v>71.11</v>
      </c>
      <c r="G627" s="137">
        <v>55.88</v>
      </c>
    </row>
    <row r="628" spans="1:7" x14ac:dyDescent="0.25">
      <c r="C628" t="s">
        <v>588</v>
      </c>
      <c r="D628" s="138">
        <v>165</v>
      </c>
      <c r="E628" s="138">
        <v>81</v>
      </c>
      <c r="F628" s="138">
        <v>116</v>
      </c>
      <c r="G628" s="138">
        <v>92</v>
      </c>
    </row>
    <row r="629" spans="1:7" x14ac:dyDescent="0.25">
      <c r="C629" t="s">
        <v>589</v>
      </c>
      <c r="D629" s="139">
        <v>82.22</v>
      </c>
      <c r="E629" s="139">
        <v>72.290000000000006</v>
      </c>
      <c r="F629" s="139">
        <v>60.39</v>
      </c>
      <c r="G629" s="139">
        <v>48.85</v>
      </c>
    </row>
    <row r="630" spans="1:7" x14ac:dyDescent="0.25">
      <c r="C630" t="s">
        <v>590</v>
      </c>
      <c r="D630" s="139">
        <v>187</v>
      </c>
      <c r="E630" s="139">
        <v>105</v>
      </c>
      <c r="F630" s="139">
        <v>137</v>
      </c>
      <c r="G630" s="139">
        <v>83</v>
      </c>
    </row>
    <row r="631" spans="1:7" x14ac:dyDescent="0.25">
      <c r="C631" t="s">
        <v>129</v>
      </c>
      <c r="D631" s="140" t="s">
        <v>217</v>
      </c>
      <c r="E631" s="140" t="s">
        <v>218</v>
      </c>
      <c r="F631" s="140" t="s">
        <v>219</v>
      </c>
      <c r="G631" s="140" t="s">
        <v>220</v>
      </c>
    </row>
    <row r="632" spans="1:7" x14ac:dyDescent="0.25">
      <c r="C632" t="s">
        <v>591</v>
      </c>
      <c r="D632" s="137">
        <v>71.569999999999993</v>
      </c>
      <c r="E632" s="137">
        <v>71.569999999999993</v>
      </c>
      <c r="F632" s="137">
        <v>71.569999999999993</v>
      </c>
      <c r="G632" s="137">
        <v>71.569999999999993</v>
      </c>
    </row>
    <row r="633" spans="1:7" x14ac:dyDescent="0.25">
      <c r="C633" t="s">
        <v>592</v>
      </c>
      <c r="D633" s="129">
        <v>82.42</v>
      </c>
      <c r="E633" s="129">
        <v>70.37</v>
      </c>
      <c r="F633" s="129">
        <v>67.83</v>
      </c>
      <c r="G633" s="147">
        <v>44.57</v>
      </c>
    </row>
    <row r="638" spans="1:7" x14ac:dyDescent="0.25">
      <c r="A638" t="s">
        <v>107</v>
      </c>
    </row>
    <row r="698" spans="1:1" x14ac:dyDescent="0.25">
      <c r="A698" t="s">
        <v>597</v>
      </c>
    </row>
    <row r="712" spans="1:9" ht="59.1" customHeight="1" x14ac:dyDescent="0.25">
      <c r="A712" t="s">
        <v>596</v>
      </c>
      <c r="D712" s="141" t="s">
        <v>402</v>
      </c>
      <c r="E712" s="141" t="s">
        <v>403</v>
      </c>
      <c r="F712" s="141" t="s">
        <v>404</v>
      </c>
      <c r="G712" s="141" t="s">
        <v>405</v>
      </c>
      <c r="H712" s="141" t="s">
        <v>406</v>
      </c>
      <c r="I712" s="141" t="s">
        <v>407</v>
      </c>
    </row>
    <row r="713" spans="1:9" ht="21.95" customHeight="1" x14ac:dyDescent="0.25">
      <c r="C713" s="130" t="s">
        <v>131</v>
      </c>
      <c r="D713" s="131">
        <v>72.45</v>
      </c>
      <c r="E713" s="131" t="s">
        <v>145</v>
      </c>
      <c r="F713" s="131" t="s">
        <v>145</v>
      </c>
      <c r="G713" s="131" t="s">
        <v>145</v>
      </c>
      <c r="H713" s="131" t="s">
        <v>145</v>
      </c>
      <c r="I713" s="131" t="s">
        <v>145</v>
      </c>
    </row>
    <row r="714" spans="1:9" ht="21.95" customHeight="1" x14ac:dyDescent="0.25">
      <c r="C714" s="133" t="s">
        <v>132</v>
      </c>
      <c r="D714" s="131">
        <v>73.41</v>
      </c>
      <c r="E714" s="131" t="s">
        <v>145</v>
      </c>
      <c r="F714" s="131" t="s">
        <v>145</v>
      </c>
      <c r="G714" s="131" t="s">
        <v>145</v>
      </c>
      <c r="H714" s="131" t="s">
        <v>145</v>
      </c>
      <c r="I714" s="131" t="s">
        <v>145</v>
      </c>
    </row>
    <row r="715" spans="1:9" ht="21.95" customHeight="1" x14ac:dyDescent="0.25">
      <c r="C715" s="134" t="s">
        <v>130</v>
      </c>
      <c r="D715" s="131">
        <v>67.709999999999994</v>
      </c>
      <c r="E715" s="131" t="s">
        <v>145</v>
      </c>
      <c r="F715" s="131" t="s">
        <v>145</v>
      </c>
      <c r="G715" s="131" t="s">
        <v>145</v>
      </c>
      <c r="H715" s="131" t="s">
        <v>145</v>
      </c>
      <c r="I715" s="131" t="s">
        <v>145</v>
      </c>
    </row>
    <row r="716" spans="1:9" ht="21.95" customHeight="1" x14ac:dyDescent="0.25">
      <c r="C716" s="135" t="s">
        <v>585</v>
      </c>
      <c r="D716" s="131">
        <v>70.150000000000006</v>
      </c>
      <c r="E716" s="131" t="s">
        <v>145</v>
      </c>
      <c r="F716" s="131" t="s">
        <v>145</v>
      </c>
      <c r="G716" s="131" t="s">
        <v>145</v>
      </c>
      <c r="H716" s="131" t="s">
        <v>145</v>
      </c>
      <c r="I716" s="131" t="s">
        <v>145</v>
      </c>
    </row>
    <row r="717" spans="1:9" ht="21.95" customHeight="1" x14ac:dyDescent="0.25">
      <c r="C717" s="136" t="s">
        <v>586</v>
      </c>
      <c r="D717" s="132">
        <v>74.08</v>
      </c>
      <c r="E717" s="132" t="s">
        <v>145</v>
      </c>
      <c r="F717" s="132" t="s">
        <v>145</v>
      </c>
      <c r="G717" s="132" t="s">
        <v>145</v>
      </c>
      <c r="H717" s="132" t="s">
        <v>145</v>
      </c>
      <c r="I717" s="132" t="s">
        <v>145</v>
      </c>
    </row>
    <row r="718" spans="1:9" x14ac:dyDescent="0.25">
      <c r="C718" t="s">
        <v>587</v>
      </c>
      <c r="D718" s="137">
        <v>71.569999999999993</v>
      </c>
      <c r="E718" s="145" t="s">
        <v>145</v>
      </c>
      <c r="F718" s="145" t="s">
        <v>145</v>
      </c>
      <c r="G718" s="145" t="s">
        <v>145</v>
      </c>
      <c r="H718" s="145" t="s">
        <v>145</v>
      </c>
      <c r="I718" s="145" t="s">
        <v>145</v>
      </c>
    </row>
    <row r="719" spans="1:9" x14ac:dyDescent="0.25">
      <c r="C719" t="s">
        <v>588</v>
      </c>
      <c r="D719" s="138">
        <v>480</v>
      </c>
      <c r="E719" s="138">
        <v>0</v>
      </c>
      <c r="F719" s="138">
        <v>0</v>
      </c>
      <c r="G719" s="138">
        <v>0</v>
      </c>
      <c r="H719" s="138">
        <v>0</v>
      </c>
      <c r="I719" s="138">
        <v>0</v>
      </c>
    </row>
    <row r="720" spans="1:9" x14ac:dyDescent="0.25">
      <c r="C720" t="s">
        <v>589</v>
      </c>
      <c r="D720" s="139">
        <v>68.66</v>
      </c>
      <c r="E720" s="146" t="s">
        <v>145</v>
      </c>
      <c r="F720" s="146" t="s">
        <v>145</v>
      </c>
      <c r="G720" s="146" t="s">
        <v>145</v>
      </c>
      <c r="H720" s="146" t="s">
        <v>145</v>
      </c>
      <c r="I720" s="146" t="s">
        <v>145</v>
      </c>
    </row>
    <row r="721" spans="1:9" x14ac:dyDescent="0.25">
      <c r="C721" t="s">
        <v>590</v>
      </c>
      <c r="D721" s="139">
        <v>546</v>
      </c>
      <c r="E721" s="139">
        <v>0</v>
      </c>
      <c r="F721" s="139">
        <v>0</v>
      </c>
      <c r="G721" s="139">
        <v>0</v>
      </c>
      <c r="H721" s="139">
        <v>0</v>
      </c>
      <c r="I721" s="139">
        <v>0</v>
      </c>
    </row>
    <row r="722" spans="1:9" x14ac:dyDescent="0.25">
      <c r="C722" t="s">
        <v>129</v>
      </c>
      <c r="D722" s="140" t="s">
        <v>402</v>
      </c>
      <c r="E722" s="140" t="s">
        <v>403</v>
      </c>
      <c r="F722" s="140" t="s">
        <v>404</v>
      </c>
      <c r="G722" s="140" t="s">
        <v>405</v>
      </c>
      <c r="H722" s="140" t="s">
        <v>406</v>
      </c>
      <c r="I722" s="140" t="s">
        <v>407</v>
      </c>
    </row>
    <row r="723" spans="1:9" x14ac:dyDescent="0.25">
      <c r="C723" t="s">
        <v>591</v>
      </c>
      <c r="D723" s="137">
        <v>71.569999999999993</v>
      </c>
      <c r="E723" s="137">
        <v>71.569999999999993</v>
      </c>
      <c r="F723" s="137">
        <v>71.569999999999993</v>
      </c>
      <c r="G723" s="137">
        <v>71.569999999999993</v>
      </c>
      <c r="H723" s="137">
        <v>71.569999999999993</v>
      </c>
      <c r="I723" s="137">
        <v>71.569999999999993</v>
      </c>
    </row>
    <row r="724" spans="1:9" x14ac:dyDescent="0.25">
      <c r="C724" t="s">
        <v>592</v>
      </c>
      <c r="D724" s="129">
        <v>68.08</v>
      </c>
      <c r="E724" s="129" t="s">
        <v>145</v>
      </c>
      <c r="F724" s="129" t="s">
        <v>145</v>
      </c>
      <c r="G724" s="129" t="s">
        <v>145</v>
      </c>
      <c r="H724" s="129" t="s">
        <v>145</v>
      </c>
      <c r="I724" s="129" t="s">
        <v>145</v>
      </c>
    </row>
    <row r="729" spans="1:9" x14ac:dyDescent="0.25">
      <c r="A729" t="s">
        <v>599</v>
      </c>
    </row>
    <row r="743" spans="1:9" ht="59.1" customHeight="1" x14ac:dyDescent="0.25">
      <c r="A743" t="s">
        <v>598</v>
      </c>
      <c r="D743" s="141" t="s">
        <v>408</v>
      </c>
      <c r="E743" s="141" t="s">
        <v>409</v>
      </c>
      <c r="F743" s="141" t="s">
        <v>410</v>
      </c>
      <c r="G743" s="141" t="s">
        <v>411</v>
      </c>
      <c r="H743" s="141" t="s">
        <v>412</v>
      </c>
      <c r="I743" s="141" t="s">
        <v>413</v>
      </c>
    </row>
    <row r="744" spans="1:9" ht="21.95" customHeight="1" x14ac:dyDescent="0.25">
      <c r="C744" s="130" t="s">
        <v>131</v>
      </c>
      <c r="D744" s="131" t="s">
        <v>145</v>
      </c>
      <c r="E744" s="131" t="s">
        <v>145</v>
      </c>
      <c r="F744" s="131" t="s">
        <v>145</v>
      </c>
      <c r="G744" s="131" t="s">
        <v>145</v>
      </c>
      <c r="H744" s="131" t="s">
        <v>145</v>
      </c>
      <c r="I744" s="131" t="s">
        <v>145</v>
      </c>
    </row>
    <row r="745" spans="1:9" ht="21.95" customHeight="1" x14ac:dyDescent="0.25">
      <c r="C745" s="133" t="s">
        <v>132</v>
      </c>
      <c r="D745" s="131" t="s">
        <v>145</v>
      </c>
      <c r="E745" s="131" t="s">
        <v>145</v>
      </c>
      <c r="F745" s="131" t="s">
        <v>145</v>
      </c>
      <c r="G745" s="131" t="s">
        <v>145</v>
      </c>
      <c r="H745" s="131" t="s">
        <v>145</v>
      </c>
      <c r="I745" s="131" t="s">
        <v>145</v>
      </c>
    </row>
    <row r="746" spans="1:9" ht="21.95" customHeight="1" x14ac:dyDescent="0.25">
      <c r="C746" s="134" t="s">
        <v>130</v>
      </c>
      <c r="D746" s="131" t="s">
        <v>145</v>
      </c>
      <c r="E746" s="131" t="s">
        <v>145</v>
      </c>
      <c r="F746" s="131" t="s">
        <v>145</v>
      </c>
      <c r="G746" s="131" t="s">
        <v>145</v>
      </c>
      <c r="H746" s="131" t="s">
        <v>145</v>
      </c>
      <c r="I746" s="131" t="s">
        <v>145</v>
      </c>
    </row>
    <row r="747" spans="1:9" ht="21.95" customHeight="1" x14ac:dyDescent="0.25">
      <c r="C747" s="135" t="s">
        <v>585</v>
      </c>
      <c r="D747" s="131" t="s">
        <v>145</v>
      </c>
      <c r="E747" s="131" t="s">
        <v>145</v>
      </c>
      <c r="F747" s="131" t="s">
        <v>145</v>
      </c>
      <c r="G747" s="131" t="s">
        <v>145</v>
      </c>
      <c r="H747" s="131" t="s">
        <v>145</v>
      </c>
      <c r="I747" s="131" t="s">
        <v>145</v>
      </c>
    </row>
    <row r="748" spans="1:9" ht="21.95" customHeight="1" x14ac:dyDescent="0.25">
      <c r="C748" s="136" t="s">
        <v>586</v>
      </c>
      <c r="D748" s="132" t="s">
        <v>145</v>
      </c>
      <c r="E748" s="132" t="s">
        <v>145</v>
      </c>
      <c r="F748" s="132" t="s">
        <v>145</v>
      </c>
      <c r="G748" s="132" t="s">
        <v>145</v>
      </c>
      <c r="H748" s="132" t="s">
        <v>145</v>
      </c>
      <c r="I748" s="132" t="s">
        <v>145</v>
      </c>
    </row>
    <row r="749" spans="1:9" x14ac:dyDescent="0.25">
      <c r="C749" t="s">
        <v>587</v>
      </c>
      <c r="D749" s="145" t="s">
        <v>145</v>
      </c>
      <c r="E749" s="145" t="s">
        <v>145</v>
      </c>
      <c r="F749" s="145" t="s">
        <v>145</v>
      </c>
      <c r="G749" s="145" t="s">
        <v>145</v>
      </c>
      <c r="H749" s="145" t="s">
        <v>145</v>
      </c>
      <c r="I749" s="145" t="s">
        <v>145</v>
      </c>
    </row>
    <row r="750" spans="1:9" x14ac:dyDescent="0.25">
      <c r="C750" t="s">
        <v>588</v>
      </c>
      <c r="D750" s="138">
        <v>0</v>
      </c>
      <c r="E750" s="138">
        <v>0</v>
      </c>
      <c r="F750" s="138">
        <v>0</v>
      </c>
      <c r="G750" s="138">
        <v>0</v>
      </c>
      <c r="H750" s="138">
        <v>0</v>
      </c>
      <c r="I750" s="138">
        <v>0</v>
      </c>
    </row>
    <row r="751" spans="1:9" x14ac:dyDescent="0.25">
      <c r="C751" t="s">
        <v>589</v>
      </c>
      <c r="D751" s="146" t="s">
        <v>145</v>
      </c>
      <c r="E751" s="146" t="s">
        <v>145</v>
      </c>
      <c r="F751" s="146" t="s">
        <v>145</v>
      </c>
      <c r="G751" s="139"/>
      <c r="H751" s="146" t="s">
        <v>145</v>
      </c>
      <c r="I751" s="146" t="s">
        <v>145</v>
      </c>
    </row>
    <row r="752" spans="1:9" x14ac:dyDescent="0.25">
      <c r="C752" t="s">
        <v>590</v>
      </c>
      <c r="D752" s="139">
        <v>0</v>
      </c>
      <c r="E752" s="139">
        <v>0</v>
      </c>
      <c r="F752" s="139">
        <v>0</v>
      </c>
      <c r="G752" s="139"/>
      <c r="H752" s="139">
        <v>0</v>
      </c>
      <c r="I752" s="139">
        <v>0</v>
      </c>
    </row>
    <row r="753" spans="1:9" ht="22.5" x14ac:dyDescent="0.25">
      <c r="C753" t="s">
        <v>129</v>
      </c>
      <c r="D753" s="140" t="s">
        <v>408</v>
      </c>
      <c r="E753" s="140" t="s">
        <v>409</v>
      </c>
      <c r="F753" s="140" t="s">
        <v>410</v>
      </c>
      <c r="G753" s="140" t="s">
        <v>411</v>
      </c>
      <c r="H753" s="140" t="s">
        <v>412</v>
      </c>
      <c r="I753" s="140" t="s">
        <v>413</v>
      </c>
    </row>
    <row r="754" spans="1:9" x14ac:dyDescent="0.25">
      <c r="C754" t="s">
        <v>591</v>
      </c>
      <c r="D754" s="137">
        <v>71.569999999999993</v>
      </c>
      <c r="E754" s="137">
        <v>71.569999999999993</v>
      </c>
      <c r="F754" s="137">
        <v>71.569999999999993</v>
      </c>
      <c r="G754" s="137">
        <v>71.569999999999993</v>
      </c>
      <c r="H754" s="137">
        <v>71.569999999999993</v>
      </c>
      <c r="I754" s="137">
        <v>71.569999999999993</v>
      </c>
    </row>
    <row r="755" spans="1:9" x14ac:dyDescent="0.25">
      <c r="C755" t="s">
        <v>592</v>
      </c>
      <c r="D755" s="129" t="s">
        <v>145</v>
      </c>
      <c r="E755" s="129" t="s">
        <v>145</v>
      </c>
      <c r="F755" s="129" t="s">
        <v>145</v>
      </c>
      <c r="G755" s="129" t="s">
        <v>145</v>
      </c>
      <c r="H755" s="129" t="s">
        <v>145</v>
      </c>
      <c r="I755" s="129" t="s">
        <v>145</v>
      </c>
    </row>
    <row r="760" spans="1:9" x14ac:dyDescent="0.25">
      <c r="A760" t="s">
        <v>109</v>
      </c>
    </row>
    <row r="790" spans="1:1" x14ac:dyDescent="0.25">
      <c r="A790" t="s">
        <v>601</v>
      </c>
    </row>
    <row r="804" spans="1:10" ht="59.1" customHeight="1" x14ac:dyDescent="0.25">
      <c r="A804" t="s">
        <v>600</v>
      </c>
      <c r="D804" s="141" t="s">
        <v>414</v>
      </c>
      <c r="E804" s="141" t="s">
        <v>415</v>
      </c>
      <c r="F804" s="141" t="s">
        <v>416</v>
      </c>
      <c r="G804" s="141" t="s">
        <v>417</v>
      </c>
      <c r="H804" s="141" t="s">
        <v>418</v>
      </c>
      <c r="I804" s="141" t="s">
        <v>419</v>
      </c>
      <c r="J804" s="141" t="s">
        <v>420</v>
      </c>
    </row>
    <row r="805" spans="1:10" ht="21.95" customHeight="1" x14ac:dyDescent="0.25">
      <c r="C805" s="130" t="s">
        <v>131</v>
      </c>
      <c r="D805" s="131" t="s">
        <v>145</v>
      </c>
      <c r="E805" s="131" t="s">
        <v>145</v>
      </c>
      <c r="F805" s="148">
        <v>56.15</v>
      </c>
      <c r="G805" s="131" t="s">
        <v>145</v>
      </c>
      <c r="H805" s="131" t="s">
        <v>145</v>
      </c>
      <c r="I805" s="131">
        <v>73.59</v>
      </c>
      <c r="J805" s="131" t="s">
        <v>145</v>
      </c>
    </row>
    <row r="806" spans="1:10" ht="21.95" customHeight="1" x14ac:dyDescent="0.25">
      <c r="C806" s="133" t="s">
        <v>132</v>
      </c>
      <c r="D806" s="131" t="s">
        <v>145</v>
      </c>
      <c r="E806" s="131" t="s">
        <v>145</v>
      </c>
      <c r="F806" s="131">
        <v>62.54</v>
      </c>
      <c r="G806" s="131" t="s">
        <v>145</v>
      </c>
      <c r="H806" s="131" t="s">
        <v>145</v>
      </c>
      <c r="I806" s="131">
        <v>77.62</v>
      </c>
      <c r="J806" s="131" t="s">
        <v>145</v>
      </c>
    </row>
    <row r="807" spans="1:10" ht="21.95" customHeight="1" x14ac:dyDescent="0.25">
      <c r="C807" s="134" t="s">
        <v>130</v>
      </c>
      <c r="D807" s="131" t="s">
        <v>145</v>
      </c>
      <c r="E807" s="131" t="s">
        <v>145</v>
      </c>
      <c r="F807" s="148">
        <v>54.22</v>
      </c>
      <c r="G807" s="131" t="s">
        <v>145</v>
      </c>
      <c r="H807" s="131" t="s">
        <v>145</v>
      </c>
      <c r="I807" s="131">
        <v>66.260000000000005</v>
      </c>
      <c r="J807" s="131" t="s">
        <v>145</v>
      </c>
    </row>
    <row r="808" spans="1:10" ht="21.95" customHeight="1" x14ac:dyDescent="0.25">
      <c r="C808" s="135" t="s">
        <v>585</v>
      </c>
      <c r="D808" s="131" t="s">
        <v>145</v>
      </c>
      <c r="E808" s="131" t="s">
        <v>145</v>
      </c>
      <c r="F808" s="148">
        <v>48.54</v>
      </c>
      <c r="G808" s="131" t="s">
        <v>145</v>
      </c>
      <c r="H808" s="131" t="s">
        <v>145</v>
      </c>
      <c r="I808" s="131">
        <v>70.45</v>
      </c>
      <c r="J808" s="131" t="s">
        <v>145</v>
      </c>
    </row>
    <row r="809" spans="1:10" ht="21.95" customHeight="1" x14ac:dyDescent="0.25">
      <c r="C809" s="136" t="s">
        <v>586</v>
      </c>
      <c r="D809" s="132" t="s">
        <v>145</v>
      </c>
      <c r="E809" s="132" t="s">
        <v>145</v>
      </c>
      <c r="F809" s="149">
        <v>55.27</v>
      </c>
      <c r="G809" s="132" t="s">
        <v>145</v>
      </c>
      <c r="H809" s="132" t="s">
        <v>145</v>
      </c>
      <c r="I809" s="132">
        <v>74.77</v>
      </c>
      <c r="J809" s="132" t="s">
        <v>145</v>
      </c>
    </row>
    <row r="810" spans="1:10" x14ac:dyDescent="0.25">
      <c r="C810" t="s">
        <v>587</v>
      </c>
      <c r="D810" s="145" t="s">
        <v>145</v>
      </c>
      <c r="E810" s="145" t="s">
        <v>145</v>
      </c>
      <c r="F810" s="137">
        <v>55.82</v>
      </c>
      <c r="G810" s="145" t="s">
        <v>145</v>
      </c>
      <c r="H810" s="145" t="s">
        <v>145</v>
      </c>
      <c r="I810" s="137">
        <v>72.739999999999995</v>
      </c>
      <c r="J810" s="145" t="s">
        <v>145</v>
      </c>
    </row>
    <row r="811" spans="1:10" x14ac:dyDescent="0.25">
      <c r="C811" t="s">
        <v>588</v>
      </c>
      <c r="D811" s="138">
        <v>5</v>
      </c>
      <c r="E811" s="138">
        <v>3</v>
      </c>
      <c r="F811" s="138">
        <v>48</v>
      </c>
      <c r="G811" s="138">
        <v>2</v>
      </c>
      <c r="H811" s="138">
        <v>3</v>
      </c>
      <c r="I811" s="138">
        <v>33</v>
      </c>
      <c r="J811" s="138">
        <v>1</v>
      </c>
    </row>
    <row r="812" spans="1:10" x14ac:dyDescent="0.25">
      <c r="C812" t="s">
        <v>589</v>
      </c>
      <c r="D812" s="139">
        <v>53.78</v>
      </c>
      <c r="E812" s="139">
        <v>69.599999999999994</v>
      </c>
      <c r="F812" s="139">
        <v>51.49</v>
      </c>
      <c r="G812" s="146" t="s">
        <v>145</v>
      </c>
      <c r="H812" s="146" t="s">
        <v>145</v>
      </c>
      <c r="I812" s="139">
        <v>52.19</v>
      </c>
      <c r="J812" s="146" t="s">
        <v>145</v>
      </c>
    </row>
    <row r="813" spans="1:10" x14ac:dyDescent="0.25">
      <c r="C813" t="s">
        <v>590</v>
      </c>
      <c r="D813" s="139">
        <v>7</v>
      </c>
      <c r="E813" s="139">
        <v>6</v>
      </c>
      <c r="F813" s="139">
        <v>54</v>
      </c>
      <c r="G813" s="139">
        <v>5</v>
      </c>
      <c r="H813" s="139">
        <v>5</v>
      </c>
      <c r="I813" s="139">
        <v>41</v>
      </c>
      <c r="J813" s="139">
        <v>3</v>
      </c>
    </row>
    <row r="814" spans="1:10" ht="33.75" x14ac:dyDescent="0.25">
      <c r="C814" t="s">
        <v>129</v>
      </c>
      <c r="D814" s="140" t="s">
        <v>414</v>
      </c>
      <c r="E814" s="140" t="s">
        <v>415</v>
      </c>
      <c r="F814" s="140" t="s">
        <v>416</v>
      </c>
      <c r="G814" s="140" t="s">
        <v>417</v>
      </c>
      <c r="H814" s="140" t="s">
        <v>418</v>
      </c>
      <c r="I814" s="140" t="s">
        <v>419</v>
      </c>
      <c r="J814" s="140" t="s">
        <v>420</v>
      </c>
    </row>
    <row r="815" spans="1:10" x14ac:dyDescent="0.25">
      <c r="C815" t="s">
        <v>591</v>
      </c>
      <c r="D815" s="137">
        <v>71.569999999999993</v>
      </c>
      <c r="E815" s="137">
        <v>71.569999999999993</v>
      </c>
      <c r="F815" s="137">
        <v>71.569999999999993</v>
      </c>
      <c r="G815" s="137">
        <v>71.569999999999993</v>
      </c>
      <c r="H815" s="137">
        <v>71.569999999999993</v>
      </c>
      <c r="I815" s="137">
        <v>71.569999999999993</v>
      </c>
      <c r="J815" s="137">
        <v>71.569999999999993</v>
      </c>
    </row>
    <row r="816" spans="1:10" x14ac:dyDescent="0.25">
      <c r="C816" t="s">
        <v>592</v>
      </c>
      <c r="D816" s="129" t="s">
        <v>145</v>
      </c>
      <c r="E816" s="129" t="s">
        <v>145</v>
      </c>
      <c r="F816" s="147">
        <v>46.81</v>
      </c>
      <c r="G816" s="129" t="s">
        <v>145</v>
      </c>
      <c r="H816" s="129" t="s">
        <v>145</v>
      </c>
      <c r="I816" s="129">
        <v>72.73</v>
      </c>
      <c r="J816" s="129" t="s">
        <v>145</v>
      </c>
    </row>
    <row r="821" spans="1:1" x14ac:dyDescent="0.25">
      <c r="A821" t="s">
        <v>603</v>
      </c>
    </row>
    <row r="835" spans="1:10" ht="59.1" customHeight="1" x14ac:dyDescent="0.25">
      <c r="A835" t="s">
        <v>602</v>
      </c>
      <c r="D835" s="141" t="s">
        <v>421</v>
      </c>
      <c r="E835" s="141" t="s">
        <v>422</v>
      </c>
      <c r="F835" s="141" t="s">
        <v>423</v>
      </c>
      <c r="G835" s="141" t="s">
        <v>424</v>
      </c>
      <c r="H835" s="141" t="s">
        <v>425</v>
      </c>
      <c r="I835" s="141" t="s">
        <v>426</v>
      </c>
      <c r="J835" s="141" t="s">
        <v>427</v>
      </c>
    </row>
    <row r="836" spans="1:10" ht="21.95" customHeight="1" x14ac:dyDescent="0.25">
      <c r="C836" s="130" t="s">
        <v>131</v>
      </c>
      <c r="D836" s="131">
        <v>75.77</v>
      </c>
      <c r="E836" s="131">
        <v>75.290000000000006</v>
      </c>
      <c r="F836" s="131">
        <v>82.03</v>
      </c>
      <c r="G836" s="131" t="s">
        <v>145</v>
      </c>
      <c r="H836" s="131" t="s">
        <v>145</v>
      </c>
      <c r="I836" s="131" t="s">
        <v>145</v>
      </c>
      <c r="J836" s="131">
        <v>76.19</v>
      </c>
    </row>
    <row r="837" spans="1:10" ht="21.95" customHeight="1" x14ac:dyDescent="0.25">
      <c r="C837" s="133" t="s">
        <v>132</v>
      </c>
      <c r="D837" s="131">
        <v>78.849999999999994</v>
      </c>
      <c r="E837" s="131">
        <v>74.760000000000005</v>
      </c>
      <c r="F837" s="131">
        <v>81.39</v>
      </c>
      <c r="G837" s="131" t="s">
        <v>145</v>
      </c>
      <c r="H837" s="131" t="s">
        <v>145</v>
      </c>
      <c r="I837" s="131" t="s">
        <v>145</v>
      </c>
      <c r="J837" s="131">
        <v>71.28</v>
      </c>
    </row>
    <row r="838" spans="1:10" ht="21.95" customHeight="1" x14ac:dyDescent="0.25">
      <c r="C838" s="134" t="s">
        <v>130</v>
      </c>
      <c r="D838" s="131">
        <v>72.92</v>
      </c>
      <c r="E838" s="131">
        <v>69.14</v>
      </c>
      <c r="F838" s="131">
        <v>78.510000000000005</v>
      </c>
      <c r="G838" s="131" t="s">
        <v>145</v>
      </c>
      <c r="H838" s="131" t="s">
        <v>145</v>
      </c>
      <c r="I838" s="131" t="s">
        <v>145</v>
      </c>
      <c r="J838" s="131">
        <v>73.33</v>
      </c>
    </row>
    <row r="839" spans="1:10" ht="21.95" customHeight="1" x14ac:dyDescent="0.25">
      <c r="C839" s="135" t="s">
        <v>585</v>
      </c>
      <c r="D839" s="131">
        <v>74.44</v>
      </c>
      <c r="E839" s="131">
        <v>71.599999999999994</v>
      </c>
      <c r="F839" s="131">
        <v>77.739999999999995</v>
      </c>
      <c r="G839" s="131" t="s">
        <v>145</v>
      </c>
      <c r="H839" s="131" t="s">
        <v>145</v>
      </c>
      <c r="I839" s="131" t="s">
        <v>145</v>
      </c>
      <c r="J839" s="131">
        <v>78.33</v>
      </c>
    </row>
    <row r="840" spans="1:10" ht="21.95" customHeight="1" x14ac:dyDescent="0.25">
      <c r="C840" s="136" t="s">
        <v>586</v>
      </c>
      <c r="D840" s="132">
        <v>77.510000000000005</v>
      </c>
      <c r="E840" s="132">
        <v>80.45</v>
      </c>
      <c r="F840" s="132">
        <v>76.48</v>
      </c>
      <c r="G840" s="132" t="s">
        <v>145</v>
      </c>
      <c r="H840" s="132" t="s">
        <v>145</v>
      </c>
      <c r="I840" s="132" t="s">
        <v>145</v>
      </c>
      <c r="J840" s="132">
        <v>79.33</v>
      </c>
    </row>
    <row r="841" spans="1:10" x14ac:dyDescent="0.25">
      <c r="C841" t="s">
        <v>587</v>
      </c>
      <c r="D841" s="137">
        <v>76.150000000000006</v>
      </c>
      <c r="E841" s="137">
        <v>74.09</v>
      </c>
      <c r="F841" s="137">
        <v>79.63</v>
      </c>
      <c r="G841" s="145" t="s">
        <v>145</v>
      </c>
      <c r="H841" s="145" t="s">
        <v>145</v>
      </c>
      <c r="I841" s="145" t="s">
        <v>145</v>
      </c>
      <c r="J841" s="137">
        <v>75.290000000000006</v>
      </c>
    </row>
    <row r="842" spans="1:10" x14ac:dyDescent="0.25">
      <c r="C842" t="s">
        <v>588</v>
      </c>
      <c r="D842" s="138">
        <v>28</v>
      </c>
      <c r="E842" s="138">
        <v>159</v>
      </c>
      <c r="F842" s="138">
        <v>38</v>
      </c>
      <c r="G842" s="138">
        <v>3</v>
      </c>
      <c r="H842" s="138">
        <v>2</v>
      </c>
      <c r="I842" s="138">
        <v>4</v>
      </c>
      <c r="J842" s="138">
        <v>15</v>
      </c>
    </row>
    <row r="843" spans="1:10" x14ac:dyDescent="0.25">
      <c r="C843" t="s">
        <v>589</v>
      </c>
      <c r="D843" s="139">
        <v>82.58</v>
      </c>
      <c r="E843" s="139">
        <v>72.69</v>
      </c>
      <c r="F843" s="139">
        <v>79.94</v>
      </c>
      <c r="G843" s="146" t="s">
        <v>145</v>
      </c>
      <c r="H843" s="146" t="s">
        <v>145</v>
      </c>
      <c r="I843" s="139">
        <v>80.58</v>
      </c>
      <c r="J843" s="139">
        <v>59.53</v>
      </c>
    </row>
    <row r="844" spans="1:10" x14ac:dyDescent="0.25">
      <c r="C844" t="s">
        <v>590</v>
      </c>
      <c r="D844" s="139">
        <v>22</v>
      </c>
      <c r="E844" s="139">
        <v>157</v>
      </c>
      <c r="F844" s="139">
        <v>41</v>
      </c>
      <c r="G844" s="139">
        <v>5</v>
      </c>
      <c r="H844" s="139">
        <v>4</v>
      </c>
      <c r="I844" s="139">
        <v>7</v>
      </c>
      <c r="J844" s="139">
        <v>17</v>
      </c>
    </row>
    <row r="845" spans="1:10" ht="33.75" x14ac:dyDescent="0.25">
      <c r="C845" t="s">
        <v>129</v>
      </c>
      <c r="D845" s="140" t="s">
        <v>421</v>
      </c>
      <c r="E845" s="140" t="s">
        <v>422</v>
      </c>
      <c r="F845" s="140" t="s">
        <v>423</v>
      </c>
      <c r="G845" s="140" t="s">
        <v>424</v>
      </c>
      <c r="H845" s="140" t="s">
        <v>425</v>
      </c>
      <c r="I845" s="140" t="s">
        <v>426</v>
      </c>
      <c r="J845" s="140" t="s">
        <v>427</v>
      </c>
    </row>
    <row r="846" spans="1:10" x14ac:dyDescent="0.25">
      <c r="C846" t="s">
        <v>591</v>
      </c>
      <c r="D846" s="137">
        <v>71.569999999999993</v>
      </c>
      <c r="E846" s="137">
        <v>71.569999999999993</v>
      </c>
      <c r="F846" s="137">
        <v>71.569999999999993</v>
      </c>
      <c r="G846" s="137">
        <v>71.569999999999993</v>
      </c>
      <c r="H846" s="137">
        <v>71.569999999999993</v>
      </c>
      <c r="I846" s="137">
        <v>71.569999999999993</v>
      </c>
      <c r="J846" s="137">
        <v>71.569999999999993</v>
      </c>
    </row>
    <row r="847" spans="1:10" x14ac:dyDescent="0.25">
      <c r="C847" t="s">
        <v>592</v>
      </c>
      <c r="D847" s="142">
        <v>85.71</v>
      </c>
      <c r="E847" s="129">
        <v>64.150000000000006</v>
      </c>
      <c r="F847" s="129">
        <v>83.33</v>
      </c>
      <c r="G847" s="129" t="s">
        <v>145</v>
      </c>
      <c r="H847" s="129" t="s">
        <v>145</v>
      </c>
      <c r="I847" s="129" t="s">
        <v>145</v>
      </c>
      <c r="J847" s="129">
        <v>73.33</v>
      </c>
    </row>
    <row r="852" spans="1:1" x14ac:dyDescent="0.25">
      <c r="A852" t="s">
        <v>605</v>
      </c>
    </row>
    <row r="866" spans="1:10" ht="59.1" customHeight="1" x14ac:dyDescent="0.25">
      <c r="A866" t="s">
        <v>604</v>
      </c>
      <c r="D866" s="141" t="s">
        <v>428</v>
      </c>
      <c r="E866" s="141" t="s">
        <v>429</v>
      </c>
      <c r="F866" s="141" t="s">
        <v>430</v>
      </c>
      <c r="G866" s="141" t="s">
        <v>431</v>
      </c>
      <c r="H866" s="141" t="s">
        <v>432</v>
      </c>
      <c r="I866" s="141" t="s">
        <v>433</v>
      </c>
      <c r="J866" s="141" t="s">
        <v>434</v>
      </c>
    </row>
    <row r="867" spans="1:10" ht="21.95" customHeight="1" x14ac:dyDescent="0.25">
      <c r="C867" s="130" t="s">
        <v>131</v>
      </c>
      <c r="D867" s="131" t="s">
        <v>145</v>
      </c>
      <c r="E867" s="131" t="s">
        <v>145</v>
      </c>
      <c r="F867" s="131">
        <v>72.959999999999994</v>
      </c>
      <c r="G867" s="131" t="s">
        <v>145</v>
      </c>
      <c r="H867" s="131">
        <v>75</v>
      </c>
      <c r="I867" s="131" t="s">
        <v>145</v>
      </c>
      <c r="J867" s="131">
        <v>66.58</v>
      </c>
    </row>
    <row r="868" spans="1:10" ht="21.95" customHeight="1" x14ac:dyDescent="0.25">
      <c r="C868" s="133" t="s">
        <v>132</v>
      </c>
      <c r="D868" s="131" t="s">
        <v>145</v>
      </c>
      <c r="E868" s="131" t="s">
        <v>145</v>
      </c>
      <c r="F868" s="131">
        <v>72.180000000000007</v>
      </c>
      <c r="G868" s="131" t="s">
        <v>145</v>
      </c>
      <c r="H868" s="131">
        <v>79.23</v>
      </c>
      <c r="I868" s="131" t="s">
        <v>145</v>
      </c>
      <c r="J868" s="131">
        <v>64.540000000000006</v>
      </c>
    </row>
    <row r="869" spans="1:10" ht="21.95" customHeight="1" x14ac:dyDescent="0.25">
      <c r="C869" s="134" t="s">
        <v>130</v>
      </c>
      <c r="D869" s="131" t="s">
        <v>145</v>
      </c>
      <c r="E869" s="131" t="s">
        <v>145</v>
      </c>
      <c r="F869" s="131">
        <v>71.31</v>
      </c>
      <c r="G869" s="131" t="s">
        <v>145</v>
      </c>
      <c r="H869" s="131">
        <v>64.17</v>
      </c>
      <c r="I869" s="131" t="s">
        <v>145</v>
      </c>
      <c r="J869" s="148">
        <v>59.3</v>
      </c>
    </row>
    <row r="870" spans="1:10" ht="21.95" customHeight="1" x14ac:dyDescent="0.25">
      <c r="C870" s="135" t="s">
        <v>585</v>
      </c>
      <c r="D870" s="131" t="s">
        <v>145</v>
      </c>
      <c r="E870" s="131" t="s">
        <v>145</v>
      </c>
      <c r="F870" s="131">
        <v>76.38</v>
      </c>
      <c r="G870" s="131" t="s">
        <v>145</v>
      </c>
      <c r="H870" s="131">
        <v>72.510000000000005</v>
      </c>
      <c r="I870" s="131" t="s">
        <v>145</v>
      </c>
      <c r="J870" s="131">
        <v>65.52</v>
      </c>
    </row>
    <row r="871" spans="1:10" ht="21.95" customHeight="1" x14ac:dyDescent="0.25">
      <c r="C871" s="136" t="s">
        <v>586</v>
      </c>
      <c r="D871" s="132" t="s">
        <v>145</v>
      </c>
      <c r="E871" s="132" t="s">
        <v>145</v>
      </c>
      <c r="F871" s="132">
        <v>72.319999999999993</v>
      </c>
      <c r="G871" s="132" t="s">
        <v>145</v>
      </c>
      <c r="H871" s="132">
        <v>79</v>
      </c>
      <c r="I871" s="132" t="s">
        <v>145</v>
      </c>
      <c r="J871" s="132">
        <v>68.540000000000006</v>
      </c>
    </row>
    <row r="872" spans="1:10" x14ac:dyDescent="0.25">
      <c r="C872" t="s">
        <v>587</v>
      </c>
      <c r="D872" s="145" t="s">
        <v>145</v>
      </c>
      <c r="E872" s="145" t="s">
        <v>145</v>
      </c>
      <c r="F872" s="137">
        <v>72.8</v>
      </c>
      <c r="G872" s="145" t="s">
        <v>145</v>
      </c>
      <c r="H872" s="137">
        <v>73.97</v>
      </c>
      <c r="I872" s="145" t="s">
        <v>145</v>
      </c>
      <c r="J872" s="137">
        <v>64.75</v>
      </c>
    </row>
    <row r="873" spans="1:10" x14ac:dyDescent="0.25">
      <c r="C873" t="s">
        <v>588</v>
      </c>
      <c r="D873" s="138">
        <v>5</v>
      </c>
      <c r="E873" s="138">
        <v>2</v>
      </c>
      <c r="F873" s="138">
        <v>73</v>
      </c>
      <c r="G873" s="138">
        <v>3</v>
      </c>
      <c r="H873" s="138">
        <v>10</v>
      </c>
      <c r="I873" s="138">
        <v>4</v>
      </c>
      <c r="J873" s="138">
        <v>39</v>
      </c>
    </row>
    <row r="874" spans="1:10" x14ac:dyDescent="0.25">
      <c r="C874" t="s">
        <v>589</v>
      </c>
      <c r="D874" s="146" t="s">
        <v>145</v>
      </c>
      <c r="E874" s="146" t="s">
        <v>145</v>
      </c>
      <c r="F874" s="139">
        <v>73.709999999999994</v>
      </c>
      <c r="G874" s="146" t="s">
        <v>145</v>
      </c>
      <c r="H874" s="139">
        <v>76.13</v>
      </c>
      <c r="I874" s="139">
        <v>72.13</v>
      </c>
      <c r="J874" s="139">
        <v>60.86</v>
      </c>
    </row>
    <row r="875" spans="1:10" x14ac:dyDescent="0.25">
      <c r="C875" t="s">
        <v>590</v>
      </c>
      <c r="D875" s="139">
        <v>5</v>
      </c>
      <c r="E875" s="139">
        <v>2</v>
      </c>
      <c r="F875" s="139">
        <v>110</v>
      </c>
      <c r="G875" s="139">
        <v>2</v>
      </c>
      <c r="H875" s="139">
        <v>9</v>
      </c>
      <c r="I875" s="139">
        <v>6</v>
      </c>
      <c r="J875" s="139">
        <v>38</v>
      </c>
    </row>
    <row r="876" spans="1:10" ht="22.5" x14ac:dyDescent="0.25">
      <c r="C876" t="s">
        <v>129</v>
      </c>
      <c r="D876" s="140" t="s">
        <v>428</v>
      </c>
      <c r="E876" s="140" t="s">
        <v>429</v>
      </c>
      <c r="F876" s="140" t="s">
        <v>430</v>
      </c>
      <c r="G876" s="140" t="s">
        <v>431</v>
      </c>
      <c r="H876" s="140" t="s">
        <v>432</v>
      </c>
      <c r="I876" s="140" t="s">
        <v>433</v>
      </c>
      <c r="J876" s="140" t="s">
        <v>434</v>
      </c>
    </row>
    <row r="877" spans="1:10" x14ac:dyDescent="0.25">
      <c r="C877" t="s">
        <v>591</v>
      </c>
      <c r="D877" s="137">
        <v>71.569999999999993</v>
      </c>
      <c r="E877" s="137">
        <v>71.569999999999993</v>
      </c>
      <c r="F877" s="137">
        <v>71.569999999999993</v>
      </c>
      <c r="G877" s="137">
        <v>71.569999999999993</v>
      </c>
      <c r="H877" s="137">
        <v>71.569999999999993</v>
      </c>
      <c r="I877" s="137">
        <v>71.569999999999993</v>
      </c>
      <c r="J877" s="137">
        <v>71.569999999999993</v>
      </c>
    </row>
    <row r="878" spans="1:10" x14ac:dyDescent="0.25">
      <c r="C878" t="s">
        <v>592</v>
      </c>
      <c r="D878" s="129" t="s">
        <v>145</v>
      </c>
      <c r="E878" s="129" t="s">
        <v>145</v>
      </c>
      <c r="F878" s="129">
        <v>72.86</v>
      </c>
      <c r="G878" s="129" t="s">
        <v>145</v>
      </c>
      <c r="H878" s="129">
        <v>70</v>
      </c>
      <c r="I878" s="129" t="s">
        <v>145</v>
      </c>
      <c r="J878" s="129">
        <v>63.16</v>
      </c>
    </row>
    <row r="883" spans="1:1" x14ac:dyDescent="0.25">
      <c r="A883" t="s">
        <v>111</v>
      </c>
    </row>
    <row r="913" spans="1:10" x14ac:dyDescent="0.25">
      <c r="A913" t="s">
        <v>607</v>
      </c>
    </row>
    <row r="927" spans="1:10" ht="59.1" customHeight="1" x14ac:dyDescent="0.25">
      <c r="A927" t="s">
        <v>606</v>
      </c>
      <c r="D927" s="141" t="s">
        <v>435</v>
      </c>
      <c r="E927" s="141" t="s">
        <v>436</v>
      </c>
      <c r="F927" s="141" t="s">
        <v>437</v>
      </c>
      <c r="G927" s="141" t="s">
        <v>438</v>
      </c>
      <c r="H927" s="141" t="s">
        <v>439</v>
      </c>
      <c r="I927" s="141" t="s">
        <v>440</v>
      </c>
      <c r="J927" s="141" t="s">
        <v>441</v>
      </c>
    </row>
    <row r="928" spans="1:10" ht="21.95" customHeight="1" x14ac:dyDescent="0.25">
      <c r="C928" s="130" t="s">
        <v>131</v>
      </c>
      <c r="D928" s="131" t="s">
        <v>145</v>
      </c>
      <c r="E928" s="131" t="s">
        <v>145</v>
      </c>
      <c r="F928" s="131" t="s">
        <v>145</v>
      </c>
      <c r="G928" s="131" t="s">
        <v>145</v>
      </c>
      <c r="H928" s="131" t="s">
        <v>145</v>
      </c>
      <c r="I928" s="131" t="s">
        <v>145</v>
      </c>
      <c r="J928" s="131" t="s">
        <v>145</v>
      </c>
    </row>
    <row r="929" spans="1:10" ht="21.95" customHeight="1" x14ac:dyDescent="0.25">
      <c r="C929" s="133" t="s">
        <v>132</v>
      </c>
      <c r="D929" s="131" t="s">
        <v>145</v>
      </c>
      <c r="E929" s="131" t="s">
        <v>145</v>
      </c>
      <c r="F929" s="131" t="s">
        <v>145</v>
      </c>
      <c r="G929" s="131" t="s">
        <v>145</v>
      </c>
      <c r="H929" s="131" t="s">
        <v>145</v>
      </c>
      <c r="I929" s="131" t="s">
        <v>145</v>
      </c>
      <c r="J929" s="131" t="s">
        <v>145</v>
      </c>
    </row>
    <row r="930" spans="1:10" ht="21.95" customHeight="1" x14ac:dyDescent="0.25">
      <c r="C930" s="134" t="s">
        <v>130</v>
      </c>
      <c r="D930" s="131" t="s">
        <v>145</v>
      </c>
      <c r="E930" s="131" t="s">
        <v>145</v>
      </c>
      <c r="F930" s="131" t="s">
        <v>145</v>
      </c>
      <c r="G930" s="131" t="s">
        <v>145</v>
      </c>
      <c r="H930" s="131" t="s">
        <v>145</v>
      </c>
      <c r="I930" s="131" t="s">
        <v>145</v>
      </c>
      <c r="J930" s="131" t="s">
        <v>145</v>
      </c>
    </row>
    <row r="931" spans="1:10" ht="21.95" customHeight="1" x14ac:dyDescent="0.25">
      <c r="C931" s="135" t="s">
        <v>585</v>
      </c>
      <c r="D931" s="131" t="s">
        <v>145</v>
      </c>
      <c r="E931" s="131" t="s">
        <v>145</v>
      </c>
      <c r="F931" s="131" t="s">
        <v>145</v>
      </c>
      <c r="G931" s="131" t="s">
        <v>145</v>
      </c>
      <c r="H931" s="131" t="s">
        <v>145</v>
      </c>
      <c r="I931" s="131" t="s">
        <v>145</v>
      </c>
      <c r="J931" s="131" t="s">
        <v>145</v>
      </c>
    </row>
    <row r="932" spans="1:10" ht="21.95" customHeight="1" x14ac:dyDescent="0.25">
      <c r="C932" s="136" t="s">
        <v>586</v>
      </c>
      <c r="D932" s="132" t="s">
        <v>145</v>
      </c>
      <c r="E932" s="132" t="s">
        <v>145</v>
      </c>
      <c r="F932" s="132" t="s">
        <v>145</v>
      </c>
      <c r="G932" s="132" t="s">
        <v>145</v>
      </c>
      <c r="H932" s="132" t="s">
        <v>145</v>
      </c>
      <c r="I932" s="132" t="s">
        <v>145</v>
      </c>
      <c r="J932" s="132" t="s">
        <v>145</v>
      </c>
    </row>
    <row r="933" spans="1:10" x14ac:dyDescent="0.25">
      <c r="C933" t="s">
        <v>587</v>
      </c>
      <c r="D933" s="145" t="s">
        <v>145</v>
      </c>
      <c r="E933" s="145" t="s">
        <v>145</v>
      </c>
      <c r="F933" s="145" t="s">
        <v>145</v>
      </c>
      <c r="G933" s="145" t="s">
        <v>145</v>
      </c>
      <c r="H933" s="145" t="s">
        <v>145</v>
      </c>
      <c r="I933" s="145" t="s">
        <v>145</v>
      </c>
      <c r="J933" s="145" t="s">
        <v>145</v>
      </c>
    </row>
    <row r="934" spans="1:10" x14ac:dyDescent="0.25">
      <c r="C934" t="s">
        <v>588</v>
      </c>
      <c r="D934" s="138">
        <v>0</v>
      </c>
      <c r="E934" s="138">
        <v>0</v>
      </c>
      <c r="F934" s="138">
        <v>5</v>
      </c>
      <c r="G934" s="138">
        <v>2</v>
      </c>
      <c r="H934" s="138">
        <v>1</v>
      </c>
      <c r="I934" s="138">
        <v>0</v>
      </c>
      <c r="J934" s="138">
        <v>0</v>
      </c>
    </row>
    <row r="935" spans="1:10" x14ac:dyDescent="0.25">
      <c r="C935" t="s">
        <v>589</v>
      </c>
      <c r="D935" s="146" t="s">
        <v>145</v>
      </c>
      <c r="E935" s="146" t="s">
        <v>145</v>
      </c>
      <c r="F935" s="139">
        <v>50.06</v>
      </c>
      <c r="G935" s="146" t="s">
        <v>145</v>
      </c>
      <c r="H935" s="146" t="s">
        <v>145</v>
      </c>
      <c r="I935" s="146" t="s">
        <v>145</v>
      </c>
      <c r="J935" s="146" t="s">
        <v>145</v>
      </c>
    </row>
    <row r="936" spans="1:10" x14ac:dyDescent="0.25">
      <c r="C936" t="s">
        <v>590</v>
      </c>
      <c r="D936" s="139">
        <v>0</v>
      </c>
      <c r="E936" s="139">
        <v>1</v>
      </c>
      <c r="F936" s="139">
        <v>6</v>
      </c>
      <c r="G936" s="139">
        <v>1</v>
      </c>
      <c r="H936" s="139">
        <v>1</v>
      </c>
      <c r="I936" s="139">
        <v>0</v>
      </c>
      <c r="J936" s="139">
        <v>0</v>
      </c>
    </row>
    <row r="937" spans="1:10" ht="45" x14ac:dyDescent="0.25">
      <c r="C937" t="s">
        <v>129</v>
      </c>
      <c r="D937" s="140" t="s">
        <v>435</v>
      </c>
      <c r="E937" s="140" t="s">
        <v>436</v>
      </c>
      <c r="F937" s="140" t="s">
        <v>437</v>
      </c>
      <c r="G937" s="140" t="s">
        <v>438</v>
      </c>
      <c r="H937" s="140" t="s">
        <v>439</v>
      </c>
      <c r="I937" s="140" t="s">
        <v>440</v>
      </c>
      <c r="J937" s="140" t="s">
        <v>441</v>
      </c>
    </row>
    <row r="938" spans="1:10" x14ac:dyDescent="0.25">
      <c r="C938" t="s">
        <v>591</v>
      </c>
      <c r="D938" s="137">
        <v>71.569999999999993</v>
      </c>
      <c r="E938" s="137">
        <v>71.569999999999993</v>
      </c>
      <c r="F938" s="137">
        <v>71.569999999999993</v>
      </c>
      <c r="G938" s="137">
        <v>71.569999999999993</v>
      </c>
      <c r="H938" s="137">
        <v>71.569999999999993</v>
      </c>
      <c r="I938" s="137">
        <v>71.569999999999993</v>
      </c>
      <c r="J938" s="137">
        <v>71.569999999999993</v>
      </c>
    </row>
    <row r="939" spans="1:10" x14ac:dyDescent="0.25">
      <c r="C939" t="s">
        <v>592</v>
      </c>
      <c r="D939" s="129" t="s">
        <v>145</v>
      </c>
      <c r="E939" s="129" t="s">
        <v>145</v>
      </c>
      <c r="F939" s="129" t="s">
        <v>145</v>
      </c>
      <c r="G939" s="129" t="s">
        <v>145</v>
      </c>
      <c r="H939" s="129" t="s">
        <v>145</v>
      </c>
      <c r="I939" s="129" t="s">
        <v>145</v>
      </c>
      <c r="J939" s="129" t="s">
        <v>145</v>
      </c>
    </row>
    <row r="944" spans="1:10" x14ac:dyDescent="0.25">
      <c r="A944" t="s">
        <v>609</v>
      </c>
    </row>
    <row r="958" spans="1:10" ht="59.1" customHeight="1" x14ac:dyDescent="0.25">
      <c r="A958" t="s">
        <v>608</v>
      </c>
      <c r="D958" s="141" t="s">
        <v>442</v>
      </c>
      <c r="E958" s="141" t="s">
        <v>443</v>
      </c>
      <c r="F958" s="141" t="s">
        <v>444</v>
      </c>
      <c r="G958" s="141" t="s">
        <v>445</v>
      </c>
      <c r="H958" s="141" t="s">
        <v>446</v>
      </c>
      <c r="I958" s="141" t="s">
        <v>447</v>
      </c>
      <c r="J958" s="141" t="s">
        <v>448</v>
      </c>
    </row>
    <row r="959" spans="1:10" ht="21.95" customHeight="1" x14ac:dyDescent="0.25">
      <c r="C959" s="130" t="s">
        <v>131</v>
      </c>
      <c r="D959" s="131" t="s">
        <v>145</v>
      </c>
      <c r="E959" s="131" t="s">
        <v>145</v>
      </c>
      <c r="F959" s="131" t="s">
        <v>145</v>
      </c>
      <c r="G959" s="131" t="s">
        <v>145</v>
      </c>
      <c r="H959" s="131" t="s">
        <v>145</v>
      </c>
      <c r="I959" s="131" t="s">
        <v>145</v>
      </c>
      <c r="J959" s="131">
        <v>75</v>
      </c>
    </row>
    <row r="960" spans="1:10" ht="21.95" customHeight="1" x14ac:dyDescent="0.25">
      <c r="C960" s="133" t="s">
        <v>132</v>
      </c>
      <c r="D960" s="131" t="s">
        <v>145</v>
      </c>
      <c r="E960" s="131" t="s">
        <v>145</v>
      </c>
      <c r="F960" s="131" t="s">
        <v>145</v>
      </c>
      <c r="G960" s="131" t="s">
        <v>145</v>
      </c>
      <c r="H960" s="131" t="s">
        <v>145</v>
      </c>
      <c r="I960" s="131" t="s">
        <v>145</v>
      </c>
      <c r="J960" s="131">
        <v>80.77</v>
      </c>
    </row>
    <row r="961" spans="1:10" ht="21.95" customHeight="1" x14ac:dyDescent="0.25">
      <c r="C961" s="134" t="s">
        <v>130</v>
      </c>
      <c r="D961" s="131" t="s">
        <v>145</v>
      </c>
      <c r="E961" s="131" t="s">
        <v>145</v>
      </c>
      <c r="F961" s="131" t="s">
        <v>145</v>
      </c>
      <c r="G961" s="131" t="s">
        <v>145</v>
      </c>
      <c r="H961" s="131" t="s">
        <v>145</v>
      </c>
      <c r="I961" s="131" t="s">
        <v>145</v>
      </c>
      <c r="J961" s="131">
        <v>73.61</v>
      </c>
    </row>
    <row r="962" spans="1:10" ht="21.95" customHeight="1" x14ac:dyDescent="0.25">
      <c r="C962" s="135" t="s">
        <v>585</v>
      </c>
      <c r="D962" s="131" t="s">
        <v>145</v>
      </c>
      <c r="E962" s="131" t="s">
        <v>145</v>
      </c>
      <c r="F962" s="131" t="s">
        <v>145</v>
      </c>
      <c r="G962" s="131" t="s">
        <v>145</v>
      </c>
      <c r="H962" s="131" t="s">
        <v>145</v>
      </c>
      <c r="I962" s="131" t="s">
        <v>145</v>
      </c>
      <c r="J962" s="131">
        <v>75</v>
      </c>
    </row>
    <row r="963" spans="1:10" ht="21.95" customHeight="1" x14ac:dyDescent="0.25">
      <c r="C963" s="136" t="s">
        <v>586</v>
      </c>
      <c r="D963" s="132" t="s">
        <v>145</v>
      </c>
      <c r="E963" s="132" t="s">
        <v>145</v>
      </c>
      <c r="F963" s="132" t="s">
        <v>145</v>
      </c>
      <c r="G963" s="132" t="s">
        <v>145</v>
      </c>
      <c r="H963" s="132" t="s">
        <v>145</v>
      </c>
      <c r="I963" s="132" t="s">
        <v>145</v>
      </c>
      <c r="J963" s="132">
        <v>75</v>
      </c>
    </row>
    <row r="964" spans="1:10" x14ac:dyDescent="0.25">
      <c r="C964" t="s">
        <v>587</v>
      </c>
      <c r="D964" s="145" t="s">
        <v>145</v>
      </c>
      <c r="E964" s="145" t="s">
        <v>145</v>
      </c>
      <c r="F964" s="145" t="s">
        <v>145</v>
      </c>
      <c r="G964" s="145" t="s">
        <v>145</v>
      </c>
      <c r="H964" s="145" t="s">
        <v>145</v>
      </c>
      <c r="I964" s="145" t="s">
        <v>145</v>
      </c>
      <c r="J964" s="137">
        <v>76.150000000000006</v>
      </c>
    </row>
    <row r="965" spans="1:10" x14ac:dyDescent="0.25">
      <c r="C965" t="s">
        <v>588</v>
      </c>
      <c r="D965" s="138">
        <v>0</v>
      </c>
      <c r="E965" s="138">
        <v>0</v>
      </c>
      <c r="F965" s="138">
        <v>0</v>
      </c>
      <c r="G965" s="138">
        <v>0</v>
      </c>
      <c r="H965" s="138">
        <v>0</v>
      </c>
      <c r="I965" s="138">
        <v>0</v>
      </c>
      <c r="J965" s="138">
        <v>6</v>
      </c>
    </row>
    <row r="966" spans="1:10" x14ac:dyDescent="0.25">
      <c r="C966" t="s">
        <v>589</v>
      </c>
      <c r="D966" s="146" t="s">
        <v>145</v>
      </c>
      <c r="E966" s="146" t="s">
        <v>145</v>
      </c>
      <c r="F966" s="146" t="s">
        <v>145</v>
      </c>
      <c r="G966" s="146" t="s">
        <v>145</v>
      </c>
      <c r="H966" s="139"/>
      <c r="I966" s="146" t="s">
        <v>145</v>
      </c>
      <c r="J966" s="146" t="s">
        <v>145</v>
      </c>
    </row>
    <row r="967" spans="1:10" x14ac:dyDescent="0.25">
      <c r="C967" t="s">
        <v>590</v>
      </c>
      <c r="D967" s="139">
        <v>0</v>
      </c>
      <c r="E967" s="139">
        <v>0</v>
      </c>
      <c r="F967" s="139">
        <v>0</v>
      </c>
      <c r="G967" s="139">
        <v>4</v>
      </c>
      <c r="H967" s="139"/>
      <c r="I967" s="139">
        <v>0</v>
      </c>
      <c r="J967" s="139">
        <v>5</v>
      </c>
    </row>
    <row r="968" spans="1:10" ht="45" x14ac:dyDescent="0.25">
      <c r="C968" t="s">
        <v>129</v>
      </c>
      <c r="D968" s="140" t="s">
        <v>442</v>
      </c>
      <c r="E968" s="140" t="s">
        <v>443</v>
      </c>
      <c r="F968" s="140" t="s">
        <v>444</v>
      </c>
      <c r="G968" s="140" t="s">
        <v>445</v>
      </c>
      <c r="H968" s="140" t="s">
        <v>446</v>
      </c>
      <c r="I968" s="140" t="s">
        <v>447</v>
      </c>
      <c r="J968" s="140" t="s">
        <v>448</v>
      </c>
    </row>
    <row r="969" spans="1:10" x14ac:dyDescent="0.25">
      <c r="C969" t="s">
        <v>591</v>
      </c>
      <c r="D969" s="137">
        <v>71.569999999999993</v>
      </c>
      <c r="E969" s="137">
        <v>71.569999999999993</v>
      </c>
      <c r="F969" s="137">
        <v>71.569999999999993</v>
      </c>
      <c r="G969" s="137">
        <v>71.569999999999993</v>
      </c>
      <c r="H969" s="137">
        <v>71.569999999999993</v>
      </c>
      <c r="I969" s="137">
        <v>71.569999999999993</v>
      </c>
      <c r="J969" s="137">
        <v>71.569999999999993</v>
      </c>
    </row>
    <row r="970" spans="1:10" x14ac:dyDescent="0.25">
      <c r="C970" t="s">
        <v>592</v>
      </c>
      <c r="D970" s="129" t="s">
        <v>145</v>
      </c>
      <c r="E970" s="129" t="s">
        <v>145</v>
      </c>
      <c r="F970" s="129" t="s">
        <v>145</v>
      </c>
      <c r="G970" s="129" t="s">
        <v>145</v>
      </c>
      <c r="H970" s="129" t="s">
        <v>145</v>
      </c>
      <c r="I970" s="129" t="s">
        <v>145</v>
      </c>
      <c r="J970" s="129">
        <v>83.33</v>
      </c>
    </row>
    <row r="975" spans="1:10" x14ac:dyDescent="0.25">
      <c r="A975" t="s">
        <v>611</v>
      </c>
    </row>
    <row r="989" spans="1:10" ht="59.1" customHeight="1" x14ac:dyDescent="0.25">
      <c r="A989" t="s">
        <v>610</v>
      </c>
      <c r="D989" s="141" t="s">
        <v>449</v>
      </c>
      <c r="E989" s="141" t="s">
        <v>450</v>
      </c>
      <c r="F989" s="141" t="s">
        <v>451</v>
      </c>
      <c r="G989" s="141" t="s">
        <v>452</v>
      </c>
      <c r="H989" s="141" t="s">
        <v>453</v>
      </c>
      <c r="I989" s="141" t="s">
        <v>454</v>
      </c>
      <c r="J989" s="141" t="s">
        <v>455</v>
      </c>
    </row>
    <row r="990" spans="1:10" ht="21.95" customHeight="1" x14ac:dyDescent="0.25">
      <c r="C990" s="130" t="s">
        <v>131</v>
      </c>
      <c r="D990" s="131" t="s">
        <v>145</v>
      </c>
      <c r="E990" s="131" t="s">
        <v>145</v>
      </c>
      <c r="F990" s="131" t="s">
        <v>145</v>
      </c>
      <c r="G990" s="131">
        <v>72.45</v>
      </c>
      <c r="H990" s="131" t="s">
        <v>145</v>
      </c>
      <c r="I990" s="131" t="s">
        <v>145</v>
      </c>
      <c r="J990" s="148">
        <v>53.16</v>
      </c>
    </row>
    <row r="991" spans="1:10" ht="21.95" customHeight="1" x14ac:dyDescent="0.25">
      <c r="C991" s="133" t="s">
        <v>132</v>
      </c>
      <c r="D991" s="131" t="s">
        <v>145</v>
      </c>
      <c r="E991" s="131" t="s">
        <v>145</v>
      </c>
      <c r="F991" s="131" t="s">
        <v>145</v>
      </c>
      <c r="G991" s="131">
        <v>75.819999999999993</v>
      </c>
      <c r="H991" s="131" t="s">
        <v>145</v>
      </c>
      <c r="I991" s="131" t="s">
        <v>145</v>
      </c>
      <c r="J991" s="131">
        <v>63.22</v>
      </c>
    </row>
    <row r="992" spans="1:10" ht="21.95" customHeight="1" x14ac:dyDescent="0.25">
      <c r="C992" s="134" t="s">
        <v>130</v>
      </c>
      <c r="D992" s="131" t="s">
        <v>145</v>
      </c>
      <c r="E992" s="131" t="s">
        <v>145</v>
      </c>
      <c r="F992" s="131" t="s">
        <v>145</v>
      </c>
      <c r="G992" s="131">
        <v>70.239999999999995</v>
      </c>
      <c r="H992" s="131" t="s">
        <v>145</v>
      </c>
      <c r="I992" s="131" t="s">
        <v>145</v>
      </c>
      <c r="J992" s="148">
        <v>52.6</v>
      </c>
    </row>
    <row r="993" spans="1:10" ht="21.95" customHeight="1" x14ac:dyDescent="0.25">
      <c r="C993" s="135" t="s">
        <v>585</v>
      </c>
      <c r="D993" s="131" t="s">
        <v>145</v>
      </c>
      <c r="E993" s="131" t="s">
        <v>145</v>
      </c>
      <c r="F993" s="131" t="s">
        <v>145</v>
      </c>
      <c r="G993" s="131">
        <v>73.209999999999994</v>
      </c>
      <c r="H993" s="131" t="s">
        <v>145</v>
      </c>
      <c r="I993" s="131" t="s">
        <v>145</v>
      </c>
      <c r="J993" s="148">
        <v>50.23</v>
      </c>
    </row>
    <row r="994" spans="1:10" ht="21.95" customHeight="1" x14ac:dyDescent="0.25">
      <c r="C994" s="136" t="s">
        <v>586</v>
      </c>
      <c r="D994" s="132" t="s">
        <v>145</v>
      </c>
      <c r="E994" s="132" t="s">
        <v>145</v>
      </c>
      <c r="F994" s="132" t="s">
        <v>145</v>
      </c>
      <c r="G994" s="132">
        <v>72.86</v>
      </c>
      <c r="H994" s="132" t="s">
        <v>145</v>
      </c>
      <c r="I994" s="132" t="s">
        <v>145</v>
      </c>
      <c r="J994" s="149">
        <v>52.41</v>
      </c>
    </row>
    <row r="995" spans="1:10" x14ac:dyDescent="0.25">
      <c r="C995" t="s">
        <v>587</v>
      </c>
      <c r="D995" s="145" t="s">
        <v>145</v>
      </c>
      <c r="E995" s="145" t="s">
        <v>145</v>
      </c>
      <c r="F995" s="145" t="s">
        <v>145</v>
      </c>
      <c r="G995" s="137">
        <v>73.150000000000006</v>
      </c>
      <c r="H995" s="145" t="s">
        <v>145</v>
      </c>
      <c r="I995" s="145" t="s">
        <v>145</v>
      </c>
      <c r="J995" s="137">
        <v>54.71</v>
      </c>
    </row>
    <row r="996" spans="1:10" x14ac:dyDescent="0.25">
      <c r="C996" t="s">
        <v>588</v>
      </c>
      <c r="D996" s="138">
        <v>0</v>
      </c>
      <c r="E996" s="138">
        <v>5</v>
      </c>
      <c r="F996" s="138">
        <v>0</v>
      </c>
      <c r="G996" s="138">
        <v>7</v>
      </c>
      <c r="H996" s="138">
        <v>2</v>
      </c>
      <c r="I996" s="138">
        <v>2</v>
      </c>
      <c r="J996" s="138">
        <v>29</v>
      </c>
    </row>
    <row r="997" spans="1:10" x14ac:dyDescent="0.25">
      <c r="C997" t="s">
        <v>589</v>
      </c>
      <c r="D997" s="146" t="s">
        <v>145</v>
      </c>
      <c r="E997" s="146" t="s">
        <v>145</v>
      </c>
      <c r="F997" s="146" t="s">
        <v>145</v>
      </c>
      <c r="G997" s="139">
        <v>82.6</v>
      </c>
      <c r="H997" s="146" t="s">
        <v>145</v>
      </c>
      <c r="I997" s="146" t="s">
        <v>145</v>
      </c>
      <c r="J997" s="139">
        <v>54.29</v>
      </c>
    </row>
    <row r="998" spans="1:10" x14ac:dyDescent="0.25">
      <c r="C998" t="s">
        <v>590</v>
      </c>
      <c r="D998" s="139">
        <v>2</v>
      </c>
      <c r="E998" s="139">
        <v>4</v>
      </c>
      <c r="F998" s="139">
        <v>0</v>
      </c>
      <c r="G998" s="139">
        <v>11</v>
      </c>
      <c r="H998" s="139">
        <v>1</v>
      </c>
      <c r="I998" s="139">
        <v>1</v>
      </c>
      <c r="J998" s="139">
        <v>35</v>
      </c>
    </row>
    <row r="999" spans="1:10" ht="33.75" x14ac:dyDescent="0.25">
      <c r="C999" t="s">
        <v>129</v>
      </c>
      <c r="D999" s="140" t="s">
        <v>449</v>
      </c>
      <c r="E999" s="140" t="s">
        <v>450</v>
      </c>
      <c r="F999" s="140" t="s">
        <v>451</v>
      </c>
      <c r="G999" s="140" t="s">
        <v>452</v>
      </c>
      <c r="H999" s="140" t="s">
        <v>453</v>
      </c>
      <c r="I999" s="140" t="s">
        <v>454</v>
      </c>
      <c r="J999" s="140" t="s">
        <v>455</v>
      </c>
    </row>
    <row r="1000" spans="1:10" x14ac:dyDescent="0.25">
      <c r="C1000" t="s">
        <v>591</v>
      </c>
      <c r="D1000" s="137">
        <v>71.569999999999993</v>
      </c>
      <c r="E1000" s="137">
        <v>71.569999999999993</v>
      </c>
      <c r="F1000" s="137">
        <v>71.569999999999993</v>
      </c>
      <c r="G1000" s="137">
        <v>71.569999999999993</v>
      </c>
      <c r="H1000" s="137">
        <v>71.569999999999993</v>
      </c>
      <c r="I1000" s="137">
        <v>71.569999999999993</v>
      </c>
      <c r="J1000" s="137">
        <v>71.569999999999993</v>
      </c>
    </row>
    <row r="1001" spans="1:10" x14ac:dyDescent="0.25">
      <c r="C1001" t="s">
        <v>592</v>
      </c>
      <c r="D1001" s="129" t="s">
        <v>145</v>
      </c>
      <c r="E1001" s="129" t="s">
        <v>145</v>
      </c>
      <c r="F1001" s="129" t="s">
        <v>145</v>
      </c>
      <c r="G1001" s="142">
        <v>85.71</v>
      </c>
      <c r="H1001" s="129" t="s">
        <v>145</v>
      </c>
      <c r="I1001" s="129" t="s">
        <v>145</v>
      </c>
      <c r="J1001" s="147">
        <v>50</v>
      </c>
    </row>
    <row r="1006" spans="1:10" x14ac:dyDescent="0.25">
      <c r="A1006" t="s">
        <v>613</v>
      </c>
    </row>
    <row r="1020" spans="1:10" ht="59.1" customHeight="1" x14ac:dyDescent="0.25">
      <c r="A1020" t="s">
        <v>612</v>
      </c>
      <c r="D1020" s="141" t="s">
        <v>456</v>
      </c>
      <c r="E1020" s="141" t="s">
        <v>457</v>
      </c>
      <c r="F1020" s="141" t="s">
        <v>458</v>
      </c>
      <c r="G1020" s="141" t="s">
        <v>459</v>
      </c>
      <c r="H1020" s="141" t="s">
        <v>460</v>
      </c>
      <c r="I1020" s="141" t="s">
        <v>461</v>
      </c>
      <c r="J1020" s="141" t="s">
        <v>462</v>
      </c>
    </row>
    <row r="1021" spans="1:10" ht="21.95" customHeight="1" x14ac:dyDescent="0.25">
      <c r="C1021" s="130" t="s">
        <v>131</v>
      </c>
      <c r="D1021" s="131" t="s">
        <v>145</v>
      </c>
      <c r="E1021" s="148">
        <v>60</v>
      </c>
      <c r="F1021" s="131" t="s">
        <v>145</v>
      </c>
      <c r="G1021" s="131" t="s">
        <v>145</v>
      </c>
      <c r="H1021" s="131" t="s">
        <v>145</v>
      </c>
      <c r="I1021" s="131" t="s">
        <v>145</v>
      </c>
      <c r="J1021" s="131" t="s">
        <v>145</v>
      </c>
    </row>
    <row r="1022" spans="1:10" ht="21.95" customHeight="1" x14ac:dyDescent="0.25">
      <c r="C1022" s="133" t="s">
        <v>132</v>
      </c>
      <c r="D1022" s="131" t="s">
        <v>145</v>
      </c>
      <c r="E1022" s="148">
        <v>60</v>
      </c>
      <c r="F1022" s="131" t="s">
        <v>145</v>
      </c>
      <c r="G1022" s="131" t="s">
        <v>145</v>
      </c>
      <c r="H1022" s="131" t="s">
        <v>145</v>
      </c>
      <c r="I1022" s="131" t="s">
        <v>145</v>
      </c>
      <c r="J1022" s="131" t="s">
        <v>145</v>
      </c>
    </row>
    <row r="1023" spans="1:10" ht="21.95" customHeight="1" x14ac:dyDescent="0.25">
      <c r="C1023" s="134" t="s">
        <v>130</v>
      </c>
      <c r="D1023" s="131" t="s">
        <v>145</v>
      </c>
      <c r="E1023" s="148">
        <v>57.22</v>
      </c>
      <c r="F1023" s="131" t="s">
        <v>145</v>
      </c>
      <c r="G1023" s="131" t="s">
        <v>145</v>
      </c>
      <c r="H1023" s="131" t="s">
        <v>145</v>
      </c>
      <c r="I1023" s="131" t="s">
        <v>145</v>
      </c>
      <c r="J1023" s="131" t="s">
        <v>145</v>
      </c>
    </row>
    <row r="1024" spans="1:10" ht="21.95" customHeight="1" x14ac:dyDescent="0.25">
      <c r="C1024" s="135" t="s">
        <v>585</v>
      </c>
      <c r="D1024" s="131" t="s">
        <v>145</v>
      </c>
      <c r="E1024" s="148">
        <v>45</v>
      </c>
      <c r="F1024" s="131" t="s">
        <v>145</v>
      </c>
      <c r="G1024" s="131" t="s">
        <v>145</v>
      </c>
      <c r="H1024" s="131" t="s">
        <v>145</v>
      </c>
      <c r="I1024" s="131" t="s">
        <v>145</v>
      </c>
      <c r="J1024" s="131" t="s">
        <v>145</v>
      </c>
    </row>
    <row r="1025" spans="1:10" ht="21.95" customHeight="1" x14ac:dyDescent="0.25">
      <c r="C1025" s="136" t="s">
        <v>586</v>
      </c>
      <c r="D1025" s="132" t="s">
        <v>145</v>
      </c>
      <c r="E1025" s="132">
        <v>60.67</v>
      </c>
      <c r="F1025" s="132" t="s">
        <v>145</v>
      </c>
      <c r="G1025" s="132" t="s">
        <v>145</v>
      </c>
      <c r="H1025" s="132" t="s">
        <v>145</v>
      </c>
      <c r="I1025" s="132" t="s">
        <v>145</v>
      </c>
      <c r="J1025" s="132" t="s">
        <v>145</v>
      </c>
    </row>
    <row r="1026" spans="1:10" x14ac:dyDescent="0.25">
      <c r="C1026" t="s">
        <v>587</v>
      </c>
      <c r="D1026" s="145" t="s">
        <v>145</v>
      </c>
      <c r="E1026" s="137">
        <v>57.13</v>
      </c>
      <c r="F1026" s="145" t="s">
        <v>145</v>
      </c>
      <c r="G1026" s="145" t="s">
        <v>145</v>
      </c>
      <c r="H1026" s="145" t="s">
        <v>145</v>
      </c>
      <c r="I1026" s="145" t="s">
        <v>145</v>
      </c>
      <c r="J1026" s="145" t="s">
        <v>145</v>
      </c>
    </row>
    <row r="1027" spans="1:10" x14ac:dyDescent="0.25">
      <c r="C1027" t="s">
        <v>588</v>
      </c>
      <c r="D1027" s="138">
        <v>0</v>
      </c>
      <c r="E1027" s="138">
        <v>15</v>
      </c>
      <c r="F1027" s="138">
        <v>1</v>
      </c>
      <c r="G1027" s="138">
        <v>1</v>
      </c>
      <c r="H1027" s="138">
        <v>0</v>
      </c>
      <c r="I1027" s="138">
        <v>0</v>
      </c>
      <c r="J1027" s="138">
        <v>0</v>
      </c>
    </row>
    <row r="1028" spans="1:10" x14ac:dyDescent="0.25">
      <c r="C1028" t="s">
        <v>589</v>
      </c>
      <c r="D1028" s="146" t="s">
        <v>145</v>
      </c>
      <c r="E1028" s="139">
        <v>43.81</v>
      </c>
      <c r="F1028" s="146" t="s">
        <v>145</v>
      </c>
      <c r="G1028" s="146" t="s">
        <v>145</v>
      </c>
      <c r="H1028" s="146" t="s">
        <v>145</v>
      </c>
      <c r="I1028" s="146" t="s">
        <v>145</v>
      </c>
      <c r="J1028" s="146" t="s">
        <v>145</v>
      </c>
    </row>
    <row r="1029" spans="1:10" x14ac:dyDescent="0.25">
      <c r="C1029" t="s">
        <v>590</v>
      </c>
      <c r="D1029" s="139">
        <v>0</v>
      </c>
      <c r="E1029" s="139">
        <v>17</v>
      </c>
      <c r="F1029" s="139">
        <v>4</v>
      </c>
      <c r="G1029" s="139">
        <v>1</v>
      </c>
      <c r="H1029" s="139">
        <v>0</v>
      </c>
      <c r="I1029" s="139">
        <v>0</v>
      </c>
      <c r="J1029" s="139">
        <v>0</v>
      </c>
    </row>
    <row r="1030" spans="1:10" ht="33.75" x14ac:dyDescent="0.25">
      <c r="C1030" t="s">
        <v>129</v>
      </c>
      <c r="D1030" s="140" t="s">
        <v>456</v>
      </c>
      <c r="E1030" s="140" t="s">
        <v>457</v>
      </c>
      <c r="F1030" s="140" t="s">
        <v>458</v>
      </c>
      <c r="G1030" s="140" t="s">
        <v>459</v>
      </c>
      <c r="H1030" s="140" t="s">
        <v>460</v>
      </c>
      <c r="I1030" s="140" t="s">
        <v>461</v>
      </c>
      <c r="J1030" s="140" t="s">
        <v>462</v>
      </c>
    </row>
    <row r="1031" spans="1:10" x14ac:dyDescent="0.25">
      <c r="C1031" t="s">
        <v>591</v>
      </c>
      <c r="D1031" s="137">
        <v>71.569999999999993</v>
      </c>
      <c r="E1031" s="137">
        <v>71.569999999999993</v>
      </c>
      <c r="F1031" s="137">
        <v>71.569999999999993</v>
      </c>
      <c r="G1031" s="137">
        <v>71.569999999999993</v>
      </c>
      <c r="H1031" s="137">
        <v>71.569999999999993</v>
      </c>
      <c r="I1031" s="137">
        <v>71.569999999999993</v>
      </c>
      <c r="J1031" s="137">
        <v>71.569999999999993</v>
      </c>
    </row>
    <row r="1032" spans="1:10" x14ac:dyDescent="0.25">
      <c r="C1032" t="s">
        <v>592</v>
      </c>
      <c r="D1032" s="129" t="s">
        <v>145</v>
      </c>
      <c r="E1032" s="150">
        <v>40</v>
      </c>
      <c r="F1032" s="129" t="s">
        <v>145</v>
      </c>
      <c r="G1032" s="129" t="s">
        <v>145</v>
      </c>
      <c r="H1032" s="129" t="s">
        <v>145</v>
      </c>
      <c r="I1032" s="129" t="s">
        <v>145</v>
      </c>
      <c r="J1032" s="129" t="s">
        <v>145</v>
      </c>
    </row>
    <row r="1037" spans="1:10" x14ac:dyDescent="0.25">
      <c r="A1037" t="s">
        <v>615</v>
      </c>
    </row>
    <row r="1051" spans="1:10" ht="59.1" customHeight="1" x14ac:dyDescent="0.25">
      <c r="A1051" t="s">
        <v>614</v>
      </c>
      <c r="D1051" s="141" t="s">
        <v>463</v>
      </c>
      <c r="E1051" s="141" t="s">
        <v>464</v>
      </c>
      <c r="F1051" s="141" t="s">
        <v>465</v>
      </c>
      <c r="G1051" s="141" t="s">
        <v>466</v>
      </c>
      <c r="H1051" s="141" t="s">
        <v>467</v>
      </c>
      <c r="I1051" s="141" t="s">
        <v>468</v>
      </c>
      <c r="J1051" s="141" t="s">
        <v>469</v>
      </c>
    </row>
    <row r="1052" spans="1:10" ht="21.95" customHeight="1" x14ac:dyDescent="0.25">
      <c r="C1052" s="130" t="s">
        <v>131</v>
      </c>
      <c r="D1052" s="131" t="s">
        <v>145</v>
      </c>
      <c r="E1052" s="131" t="s">
        <v>145</v>
      </c>
      <c r="F1052" s="131" t="s">
        <v>145</v>
      </c>
      <c r="G1052" s="131" t="s">
        <v>145</v>
      </c>
      <c r="H1052" s="131">
        <v>74.88</v>
      </c>
      <c r="I1052" s="131" t="s">
        <v>145</v>
      </c>
      <c r="J1052" s="131">
        <v>72.12</v>
      </c>
    </row>
    <row r="1053" spans="1:10" ht="21.95" customHeight="1" x14ac:dyDescent="0.25">
      <c r="C1053" s="133" t="s">
        <v>132</v>
      </c>
      <c r="D1053" s="131" t="s">
        <v>145</v>
      </c>
      <c r="E1053" s="131" t="s">
        <v>145</v>
      </c>
      <c r="F1053" s="131" t="s">
        <v>145</v>
      </c>
      <c r="G1053" s="131" t="s">
        <v>145</v>
      </c>
      <c r="H1053" s="131">
        <v>79.05</v>
      </c>
      <c r="I1053" s="131" t="s">
        <v>145</v>
      </c>
      <c r="J1053" s="131">
        <v>72.650000000000006</v>
      </c>
    </row>
    <row r="1054" spans="1:10" ht="21.95" customHeight="1" x14ac:dyDescent="0.25">
      <c r="C1054" s="134" t="s">
        <v>130</v>
      </c>
      <c r="D1054" s="131" t="s">
        <v>145</v>
      </c>
      <c r="E1054" s="131" t="s">
        <v>145</v>
      </c>
      <c r="F1054" s="131" t="s">
        <v>145</v>
      </c>
      <c r="G1054" s="131" t="s">
        <v>145</v>
      </c>
      <c r="H1054" s="131">
        <v>68.510000000000005</v>
      </c>
      <c r="I1054" s="131" t="s">
        <v>145</v>
      </c>
      <c r="J1054" s="131">
        <v>68.87</v>
      </c>
    </row>
    <row r="1055" spans="1:10" ht="21.95" customHeight="1" x14ac:dyDescent="0.25">
      <c r="C1055" s="135" t="s">
        <v>585</v>
      </c>
      <c r="D1055" s="131" t="s">
        <v>145</v>
      </c>
      <c r="E1055" s="131" t="s">
        <v>145</v>
      </c>
      <c r="F1055" s="131" t="s">
        <v>145</v>
      </c>
      <c r="G1055" s="131" t="s">
        <v>145</v>
      </c>
      <c r="H1055" s="131">
        <v>69.83</v>
      </c>
      <c r="I1055" s="131" t="s">
        <v>145</v>
      </c>
      <c r="J1055" s="131">
        <v>68.400000000000006</v>
      </c>
    </row>
    <row r="1056" spans="1:10" ht="21.95" customHeight="1" x14ac:dyDescent="0.25">
      <c r="C1056" s="136" t="s">
        <v>586</v>
      </c>
      <c r="D1056" s="132" t="s">
        <v>145</v>
      </c>
      <c r="E1056" s="132" t="s">
        <v>145</v>
      </c>
      <c r="F1056" s="132" t="s">
        <v>145</v>
      </c>
      <c r="G1056" s="132" t="s">
        <v>145</v>
      </c>
      <c r="H1056" s="132">
        <v>75.430000000000007</v>
      </c>
      <c r="I1056" s="132" t="s">
        <v>145</v>
      </c>
      <c r="J1056" s="132">
        <v>73.89</v>
      </c>
    </row>
    <row r="1057" spans="1:10" x14ac:dyDescent="0.25">
      <c r="C1057" t="s">
        <v>587</v>
      </c>
      <c r="D1057" s="145" t="s">
        <v>145</v>
      </c>
      <c r="E1057" s="145" t="s">
        <v>145</v>
      </c>
      <c r="F1057" s="145" t="s">
        <v>145</v>
      </c>
      <c r="G1057" s="145" t="s">
        <v>145</v>
      </c>
      <c r="H1057" s="137">
        <v>73.91</v>
      </c>
      <c r="I1057" s="145" t="s">
        <v>145</v>
      </c>
      <c r="J1057" s="137">
        <v>70.88</v>
      </c>
    </row>
    <row r="1058" spans="1:10" x14ac:dyDescent="0.25">
      <c r="C1058" t="s">
        <v>588</v>
      </c>
      <c r="D1058" s="138">
        <v>0</v>
      </c>
      <c r="E1058" s="138">
        <v>2</v>
      </c>
      <c r="F1058" s="138">
        <v>0</v>
      </c>
      <c r="G1058" s="138">
        <v>1</v>
      </c>
      <c r="H1058" s="138">
        <v>29</v>
      </c>
      <c r="I1058" s="138">
        <v>4</v>
      </c>
      <c r="J1058" s="138">
        <v>9</v>
      </c>
    </row>
    <row r="1059" spans="1:10" x14ac:dyDescent="0.25">
      <c r="C1059" t="s">
        <v>589</v>
      </c>
      <c r="D1059" s="146" t="s">
        <v>145</v>
      </c>
      <c r="E1059" s="146" t="s">
        <v>145</v>
      </c>
      <c r="F1059" s="146" t="s">
        <v>145</v>
      </c>
      <c r="G1059" s="146" t="s">
        <v>145</v>
      </c>
      <c r="H1059" s="139">
        <v>47.95</v>
      </c>
      <c r="I1059" s="139">
        <v>61.01</v>
      </c>
      <c r="J1059" s="139">
        <v>89.87</v>
      </c>
    </row>
    <row r="1060" spans="1:10" x14ac:dyDescent="0.25">
      <c r="C1060" t="s">
        <v>590</v>
      </c>
      <c r="D1060" s="139">
        <v>0</v>
      </c>
      <c r="E1060" s="139">
        <v>0</v>
      </c>
      <c r="F1060" s="139">
        <v>1</v>
      </c>
      <c r="G1060" s="139">
        <v>4</v>
      </c>
      <c r="H1060" s="139">
        <v>28</v>
      </c>
      <c r="I1060" s="139">
        <v>13</v>
      </c>
      <c r="J1060" s="139">
        <v>8</v>
      </c>
    </row>
    <row r="1061" spans="1:10" ht="33.75" x14ac:dyDescent="0.25">
      <c r="C1061" t="s">
        <v>129</v>
      </c>
      <c r="D1061" s="140" t="s">
        <v>463</v>
      </c>
      <c r="E1061" s="140" t="s">
        <v>464</v>
      </c>
      <c r="F1061" s="140" t="s">
        <v>465</v>
      </c>
      <c r="G1061" s="140" t="s">
        <v>466</v>
      </c>
      <c r="H1061" s="140" t="s">
        <v>467</v>
      </c>
      <c r="I1061" s="140" t="s">
        <v>468</v>
      </c>
      <c r="J1061" s="140" t="s">
        <v>469</v>
      </c>
    </row>
    <row r="1062" spans="1:10" x14ac:dyDescent="0.25">
      <c r="C1062" t="s">
        <v>591</v>
      </c>
      <c r="D1062" s="137">
        <v>71.569999999999993</v>
      </c>
      <c r="E1062" s="137">
        <v>71.569999999999993</v>
      </c>
      <c r="F1062" s="137">
        <v>71.569999999999993</v>
      </c>
      <c r="G1062" s="137">
        <v>71.569999999999993</v>
      </c>
      <c r="H1062" s="137">
        <v>71.569999999999993</v>
      </c>
      <c r="I1062" s="137">
        <v>71.569999999999993</v>
      </c>
      <c r="J1062" s="137">
        <v>71.569999999999993</v>
      </c>
    </row>
    <row r="1063" spans="1:10" x14ac:dyDescent="0.25">
      <c r="C1063" t="s">
        <v>592</v>
      </c>
      <c r="D1063" s="129" t="s">
        <v>145</v>
      </c>
      <c r="E1063" s="129" t="s">
        <v>145</v>
      </c>
      <c r="F1063" s="129" t="s">
        <v>145</v>
      </c>
      <c r="G1063" s="129" t="s">
        <v>145</v>
      </c>
      <c r="H1063" s="129">
        <v>75.86</v>
      </c>
      <c r="I1063" s="129" t="s">
        <v>145</v>
      </c>
      <c r="J1063" s="150">
        <v>44.44</v>
      </c>
    </row>
    <row r="1068" spans="1:10" x14ac:dyDescent="0.25">
      <c r="A1068" t="s">
        <v>617</v>
      </c>
    </row>
    <row r="1082" spans="1:10" ht="59.1" customHeight="1" x14ac:dyDescent="0.25">
      <c r="A1082" t="s">
        <v>616</v>
      </c>
      <c r="D1082" s="141" t="s">
        <v>470</v>
      </c>
      <c r="E1082" s="141" t="s">
        <v>471</v>
      </c>
      <c r="F1082" s="141" t="s">
        <v>472</v>
      </c>
      <c r="G1082" s="141" t="s">
        <v>473</v>
      </c>
      <c r="H1082" s="141" t="s">
        <v>474</v>
      </c>
      <c r="I1082" s="141" t="s">
        <v>475</v>
      </c>
      <c r="J1082" s="141" t="s">
        <v>476</v>
      </c>
    </row>
    <row r="1083" spans="1:10" ht="21.95" customHeight="1" x14ac:dyDescent="0.25">
      <c r="C1083" s="130" t="s">
        <v>131</v>
      </c>
      <c r="D1083" s="143">
        <v>88.06</v>
      </c>
      <c r="E1083" s="131">
        <v>75</v>
      </c>
      <c r="F1083" s="131">
        <v>80.84</v>
      </c>
      <c r="G1083" s="131" t="s">
        <v>145</v>
      </c>
      <c r="H1083" s="131" t="s">
        <v>145</v>
      </c>
      <c r="I1083" s="131">
        <v>84.42</v>
      </c>
      <c r="J1083" s="131">
        <v>73.47</v>
      </c>
    </row>
    <row r="1084" spans="1:10" ht="21.95" customHeight="1" x14ac:dyDescent="0.25">
      <c r="C1084" s="133" t="s">
        <v>132</v>
      </c>
      <c r="D1084" s="131">
        <v>82.72</v>
      </c>
      <c r="E1084" s="131">
        <v>73.08</v>
      </c>
      <c r="F1084" s="131">
        <v>77.48</v>
      </c>
      <c r="G1084" s="131" t="s">
        <v>145</v>
      </c>
      <c r="H1084" s="131" t="s">
        <v>145</v>
      </c>
      <c r="I1084" s="131">
        <v>84.21</v>
      </c>
      <c r="J1084" s="131">
        <v>72.53</v>
      </c>
    </row>
    <row r="1085" spans="1:10" ht="21.95" customHeight="1" x14ac:dyDescent="0.25">
      <c r="C1085" s="134" t="s">
        <v>130</v>
      </c>
      <c r="D1085" s="131">
        <v>78.55</v>
      </c>
      <c r="E1085" s="131">
        <v>72.22</v>
      </c>
      <c r="F1085" s="131">
        <v>79.92</v>
      </c>
      <c r="G1085" s="131" t="s">
        <v>145</v>
      </c>
      <c r="H1085" s="131" t="s">
        <v>145</v>
      </c>
      <c r="I1085" s="131">
        <v>81</v>
      </c>
      <c r="J1085" s="131">
        <v>61.9</v>
      </c>
    </row>
    <row r="1086" spans="1:10" ht="21.95" customHeight="1" x14ac:dyDescent="0.25">
      <c r="C1086" s="135" t="s">
        <v>585</v>
      </c>
      <c r="D1086" s="131">
        <v>84.22</v>
      </c>
      <c r="E1086" s="131">
        <v>79.17</v>
      </c>
      <c r="F1086" s="131">
        <v>81.14</v>
      </c>
      <c r="G1086" s="131" t="s">
        <v>145</v>
      </c>
      <c r="H1086" s="131" t="s">
        <v>145</v>
      </c>
      <c r="I1086" s="131">
        <v>80.02</v>
      </c>
      <c r="J1086" s="131">
        <v>60.71</v>
      </c>
    </row>
    <row r="1087" spans="1:10" ht="21.95" customHeight="1" x14ac:dyDescent="0.25">
      <c r="C1087" s="136" t="s">
        <v>586</v>
      </c>
      <c r="D1087" s="144">
        <v>88.52</v>
      </c>
      <c r="E1087" s="132">
        <v>70</v>
      </c>
      <c r="F1087" s="132">
        <v>79.55</v>
      </c>
      <c r="G1087" s="132" t="s">
        <v>145</v>
      </c>
      <c r="H1087" s="132" t="s">
        <v>145</v>
      </c>
      <c r="I1087" s="132">
        <v>79.7</v>
      </c>
      <c r="J1087" s="132">
        <v>64.290000000000006</v>
      </c>
    </row>
    <row r="1088" spans="1:10" x14ac:dyDescent="0.25">
      <c r="C1088" t="s">
        <v>587</v>
      </c>
      <c r="D1088" s="137">
        <v>84.34</v>
      </c>
      <c r="E1088" s="137">
        <v>73.56</v>
      </c>
      <c r="F1088" s="137">
        <v>79.53</v>
      </c>
      <c r="G1088" s="145" t="s">
        <v>145</v>
      </c>
      <c r="H1088" s="145" t="s">
        <v>145</v>
      </c>
      <c r="I1088" s="137">
        <v>82.35</v>
      </c>
      <c r="J1088" s="137">
        <v>67.489999999999995</v>
      </c>
    </row>
    <row r="1089" spans="1:10" x14ac:dyDescent="0.25">
      <c r="C1089" t="s">
        <v>588</v>
      </c>
      <c r="D1089" s="138">
        <v>61</v>
      </c>
      <c r="E1089" s="138">
        <v>6</v>
      </c>
      <c r="F1089" s="138">
        <v>11</v>
      </c>
      <c r="G1089" s="138">
        <v>3</v>
      </c>
      <c r="H1089" s="138">
        <v>4</v>
      </c>
      <c r="I1089" s="138">
        <v>12</v>
      </c>
      <c r="J1089" s="138">
        <v>7</v>
      </c>
    </row>
    <row r="1090" spans="1:10" x14ac:dyDescent="0.25">
      <c r="C1090" t="s">
        <v>589</v>
      </c>
      <c r="D1090" s="139">
        <v>71.58</v>
      </c>
      <c r="E1090" s="139">
        <v>74.31</v>
      </c>
      <c r="F1090" s="139">
        <v>79.06</v>
      </c>
      <c r="G1090" s="146" t="s">
        <v>145</v>
      </c>
      <c r="H1090" s="139">
        <v>87.44</v>
      </c>
      <c r="I1090" s="139">
        <v>85.46</v>
      </c>
      <c r="J1090" s="139">
        <v>56.9</v>
      </c>
    </row>
    <row r="1091" spans="1:10" x14ac:dyDescent="0.25">
      <c r="C1091" t="s">
        <v>590</v>
      </c>
      <c r="D1091" s="139">
        <v>139</v>
      </c>
      <c r="E1091" s="139">
        <v>10</v>
      </c>
      <c r="F1091" s="139">
        <v>7</v>
      </c>
      <c r="G1091" s="139">
        <v>5</v>
      </c>
      <c r="H1091" s="139">
        <v>7</v>
      </c>
      <c r="I1091" s="139">
        <v>14</v>
      </c>
      <c r="J1091" s="139">
        <v>6</v>
      </c>
    </row>
    <row r="1092" spans="1:10" ht="33.75" x14ac:dyDescent="0.25">
      <c r="C1092" t="s">
        <v>129</v>
      </c>
      <c r="D1092" s="140" t="s">
        <v>470</v>
      </c>
      <c r="E1092" s="140" t="s">
        <v>471</v>
      </c>
      <c r="F1092" s="140" t="s">
        <v>472</v>
      </c>
      <c r="G1092" s="140" t="s">
        <v>473</v>
      </c>
      <c r="H1092" s="140" t="s">
        <v>474</v>
      </c>
      <c r="I1092" s="140" t="s">
        <v>475</v>
      </c>
      <c r="J1092" s="140" t="s">
        <v>476</v>
      </c>
    </row>
    <row r="1093" spans="1:10" x14ac:dyDescent="0.25">
      <c r="C1093" t="s">
        <v>591</v>
      </c>
      <c r="D1093" s="137">
        <v>71.569999999999993</v>
      </c>
      <c r="E1093" s="137">
        <v>71.569999999999993</v>
      </c>
      <c r="F1093" s="137">
        <v>71.569999999999993</v>
      </c>
      <c r="G1093" s="137">
        <v>71.569999999999993</v>
      </c>
      <c r="H1093" s="137">
        <v>71.569999999999993</v>
      </c>
      <c r="I1093" s="137">
        <v>71.569999999999993</v>
      </c>
      <c r="J1093" s="137">
        <v>71.569999999999993</v>
      </c>
    </row>
    <row r="1094" spans="1:10" x14ac:dyDescent="0.25">
      <c r="C1094" t="s">
        <v>592</v>
      </c>
      <c r="D1094" s="129">
        <v>81.97</v>
      </c>
      <c r="E1094" s="129">
        <v>66.67</v>
      </c>
      <c r="F1094" s="129">
        <v>70</v>
      </c>
      <c r="G1094" s="129" t="s">
        <v>145</v>
      </c>
      <c r="H1094" s="129" t="s">
        <v>145</v>
      </c>
      <c r="I1094" s="142">
        <v>90.91</v>
      </c>
      <c r="J1094" s="129">
        <v>71.430000000000007</v>
      </c>
    </row>
    <row r="1099" spans="1:10" x14ac:dyDescent="0.25">
      <c r="A1099" t="s">
        <v>619</v>
      </c>
    </row>
    <row r="1113" spans="1:10" ht="59.1" customHeight="1" x14ac:dyDescent="0.25">
      <c r="A1113" t="s">
        <v>618</v>
      </c>
      <c r="D1113" s="141" t="s">
        <v>477</v>
      </c>
      <c r="E1113" s="141" t="s">
        <v>478</v>
      </c>
      <c r="F1113" s="141" t="s">
        <v>479</v>
      </c>
      <c r="G1113" s="141" t="s">
        <v>480</v>
      </c>
      <c r="H1113" s="141" t="s">
        <v>481</v>
      </c>
      <c r="I1113" s="141" t="s">
        <v>482</v>
      </c>
      <c r="J1113" s="141" t="s">
        <v>483</v>
      </c>
    </row>
    <row r="1114" spans="1:10" ht="21.95" customHeight="1" x14ac:dyDescent="0.25">
      <c r="C1114" s="130" t="s">
        <v>131</v>
      </c>
      <c r="D1114" s="131" t="s">
        <v>145</v>
      </c>
      <c r="E1114" s="131" t="s">
        <v>145</v>
      </c>
      <c r="F1114" s="131" t="s">
        <v>145</v>
      </c>
      <c r="G1114" s="131" t="s">
        <v>145</v>
      </c>
      <c r="H1114" s="131">
        <v>76.19</v>
      </c>
      <c r="I1114" s="131" t="s">
        <v>145</v>
      </c>
      <c r="J1114" s="131" t="s">
        <v>145</v>
      </c>
    </row>
    <row r="1115" spans="1:10" ht="21.95" customHeight="1" x14ac:dyDescent="0.25">
      <c r="C1115" s="133" t="s">
        <v>132</v>
      </c>
      <c r="D1115" s="131" t="s">
        <v>145</v>
      </c>
      <c r="E1115" s="131" t="s">
        <v>145</v>
      </c>
      <c r="F1115" s="131" t="s">
        <v>145</v>
      </c>
      <c r="G1115" s="131" t="s">
        <v>145</v>
      </c>
      <c r="H1115" s="131">
        <v>71.28</v>
      </c>
      <c r="I1115" s="131" t="s">
        <v>145</v>
      </c>
      <c r="J1115" s="131" t="s">
        <v>145</v>
      </c>
    </row>
    <row r="1116" spans="1:10" ht="21.95" customHeight="1" x14ac:dyDescent="0.25">
      <c r="C1116" s="134" t="s">
        <v>130</v>
      </c>
      <c r="D1116" s="131" t="s">
        <v>145</v>
      </c>
      <c r="E1116" s="131" t="s">
        <v>145</v>
      </c>
      <c r="F1116" s="131" t="s">
        <v>145</v>
      </c>
      <c r="G1116" s="131" t="s">
        <v>145</v>
      </c>
      <c r="H1116" s="131">
        <v>73.33</v>
      </c>
      <c r="I1116" s="131" t="s">
        <v>145</v>
      </c>
      <c r="J1116" s="131" t="s">
        <v>145</v>
      </c>
    </row>
    <row r="1117" spans="1:10" ht="21.95" customHeight="1" x14ac:dyDescent="0.25">
      <c r="C1117" s="135" t="s">
        <v>585</v>
      </c>
      <c r="D1117" s="131" t="s">
        <v>145</v>
      </c>
      <c r="E1117" s="131" t="s">
        <v>145</v>
      </c>
      <c r="F1117" s="131" t="s">
        <v>145</v>
      </c>
      <c r="G1117" s="131" t="s">
        <v>145</v>
      </c>
      <c r="H1117" s="131">
        <v>78.33</v>
      </c>
      <c r="I1117" s="131" t="s">
        <v>145</v>
      </c>
      <c r="J1117" s="131" t="s">
        <v>145</v>
      </c>
    </row>
    <row r="1118" spans="1:10" ht="21.95" customHeight="1" x14ac:dyDescent="0.25">
      <c r="C1118" s="136" t="s">
        <v>586</v>
      </c>
      <c r="D1118" s="132" t="s">
        <v>145</v>
      </c>
      <c r="E1118" s="132" t="s">
        <v>145</v>
      </c>
      <c r="F1118" s="132" t="s">
        <v>145</v>
      </c>
      <c r="G1118" s="132" t="s">
        <v>145</v>
      </c>
      <c r="H1118" s="132">
        <v>79.33</v>
      </c>
      <c r="I1118" s="132" t="s">
        <v>145</v>
      </c>
      <c r="J1118" s="132" t="s">
        <v>145</v>
      </c>
    </row>
    <row r="1119" spans="1:10" x14ac:dyDescent="0.25">
      <c r="C1119" t="s">
        <v>587</v>
      </c>
      <c r="D1119" s="145" t="s">
        <v>145</v>
      </c>
      <c r="E1119" s="145" t="s">
        <v>145</v>
      </c>
      <c r="F1119" s="145" t="s">
        <v>145</v>
      </c>
      <c r="G1119" s="145" t="s">
        <v>145</v>
      </c>
      <c r="H1119" s="137">
        <v>75.290000000000006</v>
      </c>
      <c r="I1119" s="145" t="s">
        <v>145</v>
      </c>
      <c r="J1119" s="145" t="s">
        <v>145</v>
      </c>
    </row>
    <row r="1120" spans="1:10" x14ac:dyDescent="0.25">
      <c r="C1120" t="s">
        <v>588</v>
      </c>
      <c r="D1120" s="138">
        <v>1</v>
      </c>
      <c r="E1120" s="138">
        <v>3</v>
      </c>
      <c r="F1120" s="138">
        <v>2</v>
      </c>
      <c r="G1120" s="138">
        <v>4</v>
      </c>
      <c r="H1120" s="138">
        <v>15</v>
      </c>
      <c r="I1120" s="138">
        <v>0</v>
      </c>
      <c r="J1120" s="138">
        <v>5</v>
      </c>
    </row>
    <row r="1121" spans="1:10" x14ac:dyDescent="0.25">
      <c r="C1121" t="s">
        <v>589</v>
      </c>
      <c r="D1121" s="146" t="s">
        <v>145</v>
      </c>
      <c r="E1121" s="146" t="s">
        <v>145</v>
      </c>
      <c r="F1121" s="146" t="s">
        <v>145</v>
      </c>
      <c r="G1121" s="139">
        <v>80.58</v>
      </c>
      <c r="H1121" s="139">
        <v>59.53</v>
      </c>
      <c r="I1121" s="146" t="s">
        <v>145</v>
      </c>
      <c r="J1121" s="146" t="s">
        <v>145</v>
      </c>
    </row>
    <row r="1122" spans="1:10" x14ac:dyDescent="0.25">
      <c r="C1122" t="s">
        <v>590</v>
      </c>
      <c r="D1122" s="139">
        <v>2</v>
      </c>
      <c r="E1122" s="139">
        <v>5</v>
      </c>
      <c r="F1122" s="139">
        <v>4</v>
      </c>
      <c r="G1122" s="139">
        <v>7</v>
      </c>
      <c r="H1122" s="139">
        <v>17</v>
      </c>
      <c r="I1122" s="139">
        <v>0</v>
      </c>
      <c r="J1122" s="139">
        <v>5</v>
      </c>
    </row>
    <row r="1123" spans="1:10" ht="22.5" x14ac:dyDescent="0.25">
      <c r="C1123" t="s">
        <v>129</v>
      </c>
      <c r="D1123" s="140" t="s">
        <v>477</v>
      </c>
      <c r="E1123" s="140" t="s">
        <v>478</v>
      </c>
      <c r="F1123" s="140" t="s">
        <v>479</v>
      </c>
      <c r="G1123" s="140" t="s">
        <v>480</v>
      </c>
      <c r="H1123" s="140" t="s">
        <v>481</v>
      </c>
      <c r="I1123" s="140" t="s">
        <v>482</v>
      </c>
      <c r="J1123" s="140" t="s">
        <v>483</v>
      </c>
    </row>
    <row r="1124" spans="1:10" x14ac:dyDescent="0.25">
      <c r="C1124" t="s">
        <v>591</v>
      </c>
      <c r="D1124" s="137">
        <v>71.569999999999993</v>
      </c>
      <c r="E1124" s="137">
        <v>71.569999999999993</v>
      </c>
      <c r="F1124" s="137">
        <v>71.569999999999993</v>
      </c>
      <c r="G1124" s="137">
        <v>71.569999999999993</v>
      </c>
      <c r="H1124" s="137">
        <v>71.569999999999993</v>
      </c>
      <c r="I1124" s="137">
        <v>71.569999999999993</v>
      </c>
      <c r="J1124" s="137">
        <v>71.569999999999993</v>
      </c>
    </row>
    <row r="1125" spans="1:10" x14ac:dyDescent="0.25">
      <c r="C1125" t="s">
        <v>592</v>
      </c>
      <c r="D1125" s="129" t="s">
        <v>145</v>
      </c>
      <c r="E1125" s="129" t="s">
        <v>145</v>
      </c>
      <c r="F1125" s="129" t="s">
        <v>145</v>
      </c>
      <c r="G1125" s="129" t="s">
        <v>145</v>
      </c>
      <c r="H1125" s="129">
        <v>73.33</v>
      </c>
      <c r="I1125" s="129" t="s">
        <v>145</v>
      </c>
      <c r="J1125" s="129" t="s">
        <v>145</v>
      </c>
    </row>
    <row r="1130" spans="1:10" x14ac:dyDescent="0.25">
      <c r="A1130" t="s">
        <v>621</v>
      </c>
    </row>
    <row r="1144" spans="1:9" ht="59.1" customHeight="1" x14ac:dyDescent="0.25">
      <c r="A1144" t="s">
        <v>620</v>
      </c>
      <c r="D1144" s="141" t="s">
        <v>484</v>
      </c>
      <c r="E1144" s="141" t="s">
        <v>485</v>
      </c>
      <c r="F1144" s="141" t="s">
        <v>486</v>
      </c>
      <c r="G1144" s="141" t="s">
        <v>487</v>
      </c>
      <c r="H1144" s="141" t="s">
        <v>488</v>
      </c>
      <c r="I1144" s="141" t="s">
        <v>489</v>
      </c>
    </row>
    <row r="1145" spans="1:9" ht="21.95" customHeight="1" x14ac:dyDescent="0.25">
      <c r="C1145" s="130" t="s">
        <v>131</v>
      </c>
      <c r="D1145" s="131" t="s">
        <v>145</v>
      </c>
      <c r="E1145" s="131" t="s">
        <v>145</v>
      </c>
      <c r="F1145" s="131" t="s">
        <v>145</v>
      </c>
      <c r="G1145" s="131">
        <v>78.900000000000006</v>
      </c>
      <c r="H1145" s="131" t="s">
        <v>145</v>
      </c>
      <c r="I1145" s="131">
        <v>81.63</v>
      </c>
    </row>
    <row r="1146" spans="1:9" ht="21.95" customHeight="1" x14ac:dyDescent="0.25">
      <c r="C1146" s="133" t="s">
        <v>132</v>
      </c>
      <c r="D1146" s="131" t="s">
        <v>145</v>
      </c>
      <c r="E1146" s="131" t="s">
        <v>145</v>
      </c>
      <c r="F1146" s="131" t="s">
        <v>145</v>
      </c>
      <c r="G1146" s="131">
        <v>78.11</v>
      </c>
      <c r="H1146" s="131" t="s">
        <v>145</v>
      </c>
      <c r="I1146" s="131">
        <v>79.12</v>
      </c>
    </row>
    <row r="1147" spans="1:9" ht="21.95" customHeight="1" x14ac:dyDescent="0.25">
      <c r="C1147" s="134" t="s">
        <v>130</v>
      </c>
      <c r="D1147" s="131" t="s">
        <v>145</v>
      </c>
      <c r="E1147" s="131" t="s">
        <v>145</v>
      </c>
      <c r="F1147" s="131" t="s">
        <v>145</v>
      </c>
      <c r="G1147" s="131">
        <v>76.739999999999995</v>
      </c>
      <c r="H1147" s="131" t="s">
        <v>145</v>
      </c>
      <c r="I1147" s="131">
        <v>77.38</v>
      </c>
    </row>
    <row r="1148" spans="1:9" ht="21.95" customHeight="1" x14ac:dyDescent="0.25">
      <c r="C1148" s="135" t="s">
        <v>585</v>
      </c>
      <c r="D1148" s="131" t="s">
        <v>145</v>
      </c>
      <c r="E1148" s="131" t="s">
        <v>145</v>
      </c>
      <c r="F1148" s="131" t="s">
        <v>145</v>
      </c>
      <c r="G1148" s="131">
        <v>79.319999999999993</v>
      </c>
      <c r="H1148" s="131" t="s">
        <v>145</v>
      </c>
      <c r="I1148" s="143">
        <v>85.71</v>
      </c>
    </row>
    <row r="1149" spans="1:9" ht="21.95" customHeight="1" x14ac:dyDescent="0.25">
      <c r="C1149" s="136" t="s">
        <v>586</v>
      </c>
      <c r="D1149" s="132" t="s">
        <v>145</v>
      </c>
      <c r="E1149" s="132" t="s">
        <v>145</v>
      </c>
      <c r="F1149" s="132" t="s">
        <v>145</v>
      </c>
      <c r="G1149" s="132">
        <v>72.55</v>
      </c>
      <c r="H1149" s="132" t="s">
        <v>145</v>
      </c>
      <c r="I1149" s="144">
        <v>88.57</v>
      </c>
    </row>
    <row r="1150" spans="1:9" x14ac:dyDescent="0.25">
      <c r="C1150" t="s">
        <v>587</v>
      </c>
      <c r="D1150" s="145" t="s">
        <v>145</v>
      </c>
      <c r="E1150" s="145" t="s">
        <v>145</v>
      </c>
      <c r="F1150" s="145" t="s">
        <v>145</v>
      </c>
      <c r="G1150" s="137">
        <v>77.08</v>
      </c>
      <c r="H1150" s="145" t="s">
        <v>145</v>
      </c>
      <c r="I1150" s="137">
        <v>82.27</v>
      </c>
    </row>
    <row r="1151" spans="1:9" x14ac:dyDescent="0.25">
      <c r="C1151" t="s">
        <v>588</v>
      </c>
      <c r="D1151" s="138">
        <v>2</v>
      </c>
      <c r="E1151" s="138">
        <v>4</v>
      </c>
      <c r="F1151" s="138">
        <v>5</v>
      </c>
      <c r="G1151" s="138">
        <v>11</v>
      </c>
      <c r="H1151" s="138">
        <v>2</v>
      </c>
      <c r="I1151" s="138">
        <v>7</v>
      </c>
    </row>
    <row r="1152" spans="1:9" x14ac:dyDescent="0.25">
      <c r="C1152" t="s">
        <v>589</v>
      </c>
      <c r="D1152" s="146" t="s">
        <v>145</v>
      </c>
      <c r="E1152" s="146" t="s">
        <v>145</v>
      </c>
      <c r="F1152" s="139">
        <v>64.510000000000005</v>
      </c>
      <c r="G1152" s="139">
        <v>73.099999999999994</v>
      </c>
      <c r="H1152" s="146" t="s">
        <v>145</v>
      </c>
      <c r="I1152" s="139">
        <v>81.3</v>
      </c>
    </row>
    <row r="1153" spans="1:9" x14ac:dyDescent="0.25">
      <c r="C1153" t="s">
        <v>590</v>
      </c>
      <c r="D1153" s="139">
        <v>2</v>
      </c>
      <c r="E1153" s="139">
        <v>4</v>
      </c>
      <c r="F1153" s="139">
        <v>8</v>
      </c>
      <c r="G1153" s="139">
        <v>17</v>
      </c>
      <c r="H1153" s="139">
        <v>1</v>
      </c>
      <c r="I1153" s="139">
        <v>9</v>
      </c>
    </row>
    <row r="1154" spans="1:9" ht="33.75" x14ac:dyDescent="0.25">
      <c r="C1154" t="s">
        <v>129</v>
      </c>
      <c r="D1154" s="140" t="s">
        <v>484</v>
      </c>
      <c r="E1154" s="140" t="s">
        <v>485</v>
      </c>
      <c r="F1154" s="140" t="s">
        <v>486</v>
      </c>
      <c r="G1154" s="140" t="s">
        <v>487</v>
      </c>
      <c r="H1154" s="140" t="s">
        <v>488</v>
      </c>
      <c r="I1154" s="140" t="s">
        <v>489</v>
      </c>
    </row>
    <row r="1155" spans="1:9" x14ac:dyDescent="0.25">
      <c r="C1155" t="s">
        <v>591</v>
      </c>
      <c r="D1155" s="137">
        <v>71.569999999999993</v>
      </c>
      <c r="E1155" s="137">
        <v>71.569999999999993</v>
      </c>
      <c r="F1155" s="137">
        <v>71.569999999999993</v>
      </c>
      <c r="G1155" s="137">
        <v>71.569999999999993</v>
      </c>
      <c r="H1155" s="137">
        <v>71.569999999999993</v>
      </c>
      <c r="I1155" s="137">
        <v>71.569999999999993</v>
      </c>
    </row>
    <row r="1156" spans="1:9" x14ac:dyDescent="0.25">
      <c r="C1156" t="s">
        <v>592</v>
      </c>
      <c r="D1156" s="129" t="s">
        <v>145</v>
      </c>
      <c r="E1156" s="129" t="s">
        <v>145</v>
      </c>
      <c r="F1156" s="129" t="s">
        <v>145</v>
      </c>
      <c r="G1156" s="129">
        <v>70</v>
      </c>
      <c r="H1156" s="129" t="s">
        <v>145</v>
      </c>
      <c r="I1156" s="142">
        <v>100</v>
      </c>
    </row>
    <row r="1161" spans="1:9" x14ac:dyDescent="0.25">
      <c r="A1161" t="s">
        <v>623</v>
      </c>
    </row>
    <row r="1175" spans="1:9" ht="59.1" customHeight="1" x14ac:dyDescent="0.25">
      <c r="A1175" t="s">
        <v>622</v>
      </c>
      <c r="D1175" s="141" t="s">
        <v>490</v>
      </c>
      <c r="E1175" s="141" t="s">
        <v>491</v>
      </c>
      <c r="F1175" s="141" t="s">
        <v>492</v>
      </c>
      <c r="G1175" s="141" t="s">
        <v>493</v>
      </c>
      <c r="H1175" s="141" t="s">
        <v>494</v>
      </c>
      <c r="I1175" s="141" t="s">
        <v>495</v>
      </c>
    </row>
    <row r="1176" spans="1:9" ht="21.95" customHeight="1" x14ac:dyDescent="0.25">
      <c r="C1176" s="130" t="s">
        <v>131</v>
      </c>
      <c r="D1176" s="148">
        <v>56.59</v>
      </c>
      <c r="E1176" s="131">
        <v>69.290000000000006</v>
      </c>
      <c r="F1176" s="151">
        <v>39.29</v>
      </c>
      <c r="G1176" s="131" t="s">
        <v>145</v>
      </c>
      <c r="H1176" s="131">
        <v>81.099999999999994</v>
      </c>
      <c r="I1176" s="131" t="s">
        <v>145</v>
      </c>
    </row>
    <row r="1177" spans="1:9" ht="21.95" customHeight="1" x14ac:dyDescent="0.25">
      <c r="C1177" s="133" t="s">
        <v>132</v>
      </c>
      <c r="D1177" s="131">
        <v>60.95</v>
      </c>
      <c r="E1177" s="131">
        <v>75.38</v>
      </c>
      <c r="F1177" s="151">
        <v>38.46</v>
      </c>
      <c r="G1177" s="131" t="s">
        <v>145</v>
      </c>
      <c r="H1177" s="131">
        <v>79.010000000000005</v>
      </c>
      <c r="I1177" s="131" t="s">
        <v>145</v>
      </c>
    </row>
    <row r="1178" spans="1:9" ht="21.95" customHeight="1" x14ac:dyDescent="0.25">
      <c r="C1178" s="134" t="s">
        <v>130</v>
      </c>
      <c r="D1178" s="131">
        <v>61.54</v>
      </c>
      <c r="E1178" s="131">
        <v>67.510000000000005</v>
      </c>
      <c r="F1178" s="148">
        <v>50</v>
      </c>
      <c r="G1178" s="131" t="s">
        <v>145</v>
      </c>
      <c r="H1178" s="131">
        <v>79.39</v>
      </c>
      <c r="I1178" s="131" t="s">
        <v>145</v>
      </c>
    </row>
    <row r="1179" spans="1:9" ht="21.95" customHeight="1" x14ac:dyDescent="0.25">
      <c r="C1179" s="135" t="s">
        <v>585</v>
      </c>
      <c r="D1179" s="131">
        <v>72.12</v>
      </c>
      <c r="E1179" s="131">
        <v>68.19</v>
      </c>
      <c r="F1179" s="151">
        <v>39.58</v>
      </c>
      <c r="G1179" s="131" t="s">
        <v>145</v>
      </c>
      <c r="H1179" s="143">
        <v>87.41</v>
      </c>
      <c r="I1179" s="131" t="s">
        <v>145</v>
      </c>
    </row>
    <row r="1180" spans="1:9" ht="21.95" customHeight="1" x14ac:dyDescent="0.25">
      <c r="C1180" s="136" t="s">
        <v>586</v>
      </c>
      <c r="D1180" s="132">
        <v>73.08</v>
      </c>
      <c r="E1180" s="132">
        <v>78</v>
      </c>
      <c r="F1180" s="152">
        <v>41.67</v>
      </c>
      <c r="G1180" s="132" t="s">
        <v>145</v>
      </c>
      <c r="H1180" s="132">
        <v>79.22</v>
      </c>
      <c r="I1180" s="132" t="s">
        <v>145</v>
      </c>
    </row>
    <row r="1181" spans="1:9" x14ac:dyDescent="0.25">
      <c r="C1181" t="s">
        <v>587</v>
      </c>
      <c r="D1181" s="137">
        <v>63.53</v>
      </c>
      <c r="E1181" s="137">
        <v>71.819999999999993</v>
      </c>
      <c r="F1181" s="137">
        <v>41.67</v>
      </c>
      <c r="G1181" s="145" t="s">
        <v>145</v>
      </c>
      <c r="H1181" s="137">
        <v>80.78</v>
      </c>
      <c r="I1181" s="145" t="s">
        <v>145</v>
      </c>
    </row>
    <row r="1182" spans="1:9" x14ac:dyDescent="0.25">
      <c r="C1182" t="s">
        <v>588</v>
      </c>
      <c r="D1182" s="138">
        <v>13</v>
      </c>
      <c r="E1182" s="138">
        <v>10</v>
      </c>
      <c r="F1182" s="138">
        <v>6</v>
      </c>
      <c r="G1182" s="138">
        <v>4</v>
      </c>
      <c r="H1182" s="138">
        <v>21</v>
      </c>
      <c r="I1182" s="138">
        <v>3</v>
      </c>
    </row>
    <row r="1183" spans="1:9" x14ac:dyDescent="0.25">
      <c r="C1183" t="s">
        <v>589</v>
      </c>
      <c r="D1183" s="139">
        <v>62.41</v>
      </c>
      <c r="E1183" s="139">
        <v>74.92</v>
      </c>
      <c r="F1183" s="139">
        <v>85.99</v>
      </c>
      <c r="G1183" s="146" t="s">
        <v>145</v>
      </c>
      <c r="H1183" s="139">
        <v>93.6</v>
      </c>
      <c r="I1183" s="146" t="s">
        <v>145</v>
      </c>
    </row>
    <row r="1184" spans="1:9" x14ac:dyDescent="0.25">
      <c r="C1184" t="s">
        <v>590</v>
      </c>
      <c r="D1184" s="139">
        <v>30</v>
      </c>
      <c r="E1184" s="139">
        <v>13</v>
      </c>
      <c r="F1184" s="139">
        <v>8</v>
      </c>
      <c r="G1184" s="139">
        <v>2</v>
      </c>
      <c r="H1184" s="139">
        <v>7</v>
      </c>
      <c r="I1184" s="139">
        <v>2</v>
      </c>
    </row>
    <row r="1185" spans="1:9" x14ac:dyDescent="0.25">
      <c r="C1185" t="s">
        <v>129</v>
      </c>
      <c r="D1185" s="140" t="s">
        <v>490</v>
      </c>
      <c r="E1185" s="140" t="s">
        <v>491</v>
      </c>
      <c r="F1185" s="140" t="s">
        <v>492</v>
      </c>
      <c r="G1185" s="140" t="s">
        <v>493</v>
      </c>
      <c r="H1185" s="140" t="s">
        <v>494</v>
      </c>
      <c r="I1185" s="140" t="s">
        <v>495</v>
      </c>
    </row>
    <row r="1186" spans="1:9" x14ac:dyDescent="0.25">
      <c r="C1186" t="s">
        <v>591</v>
      </c>
      <c r="D1186" s="137">
        <v>71.569999999999993</v>
      </c>
      <c r="E1186" s="137">
        <v>71.569999999999993</v>
      </c>
      <c r="F1186" s="137">
        <v>71.569999999999993</v>
      </c>
      <c r="G1186" s="137">
        <v>71.569999999999993</v>
      </c>
      <c r="H1186" s="137">
        <v>71.569999999999993</v>
      </c>
      <c r="I1186" s="137">
        <v>71.569999999999993</v>
      </c>
    </row>
    <row r="1187" spans="1:9" x14ac:dyDescent="0.25">
      <c r="C1187" t="s">
        <v>592</v>
      </c>
      <c r="D1187" s="147">
        <v>53.85</v>
      </c>
      <c r="E1187" s="129">
        <v>80</v>
      </c>
      <c r="F1187" s="150">
        <v>33.33</v>
      </c>
      <c r="G1187" s="129" t="s">
        <v>145</v>
      </c>
      <c r="H1187" s="129">
        <v>78.95</v>
      </c>
      <c r="I1187" s="129" t="s">
        <v>145</v>
      </c>
    </row>
    <row r="1192" spans="1:9" x14ac:dyDescent="0.25">
      <c r="A1192" t="s">
        <v>625</v>
      </c>
    </row>
    <row r="1206" spans="1:9" ht="59.1" customHeight="1" x14ac:dyDescent="0.25">
      <c r="A1206" t="s">
        <v>624</v>
      </c>
      <c r="D1206" s="141" t="s">
        <v>496</v>
      </c>
      <c r="E1206" s="141" t="s">
        <v>497</v>
      </c>
      <c r="F1206" s="141" t="s">
        <v>498</v>
      </c>
      <c r="G1206" s="141" t="s">
        <v>499</v>
      </c>
      <c r="H1206" s="141" t="s">
        <v>500</v>
      </c>
      <c r="I1206" s="141" t="s">
        <v>501</v>
      </c>
    </row>
    <row r="1207" spans="1:9" ht="21.95" customHeight="1" x14ac:dyDescent="0.25">
      <c r="C1207" s="130" t="s">
        <v>131</v>
      </c>
      <c r="D1207" s="131">
        <v>65.48</v>
      </c>
      <c r="E1207" s="131" t="s">
        <v>145</v>
      </c>
      <c r="F1207" s="131" t="s">
        <v>145</v>
      </c>
      <c r="G1207" s="131" t="s">
        <v>145</v>
      </c>
      <c r="H1207" s="131" t="s">
        <v>145</v>
      </c>
      <c r="I1207" s="131">
        <v>66.900000000000006</v>
      </c>
    </row>
    <row r="1208" spans="1:9" ht="21.95" customHeight="1" x14ac:dyDescent="0.25">
      <c r="C1208" s="133" t="s">
        <v>132</v>
      </c>
      <c r="D1208" s="131">
        <v>74.36</v>
      </c>
      <c r="E1208" s="131" t="s">
        <v>145</v>
      </c>
      <c r="F1208" s="131" t="s">
        <v>145</v>
      </c>
      <c r="G1208" s="131" t="s">
        <v>145</v>
      </c>
      <c r="H1208" s="131" t="s">
        <v>145</v>
      </c>
      <c r="I1208" s="131">
        <v>64.62</v>
      </c>
    </row>
    <row r="1209" spans="1:9" ht="21.95" customHeight="1" x14ac:dyDescent="0.25">
      <c r="C1209" s="134" t="s">
        <v>130</v>
      </c>
      <c r="D1209" s="148">
        <v>58.33</v>
      </c>
      <c r="E1209" s="131" t="s">
        <v>145</v>
      </c>
      <c r="F1209" s="131" t="s">
        <v>145</v>
      </c>
      <c r="G1209" s="131" t="s">
        <v>145</v>
      </c>
      <c r="H1209" s="131" t="s">
        <v>145</v>
      </c>
      <c r="I1209" s="148">
        <v>60.32</v>
      </c>
    </row>
    <row r="1210" spans="1:9" ht="21.95" customHeight="1" x14ac:dyDescent="0.25">
      <c r="C1210" s="135" t="s">
        <v>585</v>
      </c>
      <c r="D1210" s="131">
        <v>64.58</v>
      </c>
      <c r="E1210" s="131" t="s">
        <v>145</v>
      </c>
      <c r="F1210" s="131" t="s">
        <v>145</v>
      </c>
      <c r="G1210" s="131" t="s">
        <v>145</v>
      </c>
      <c r="H1210" s="131" t="s">
        <v>145</v>
      </c>
      <c r="I1210" s="131">
        <v>74.7</v>
      </c>
    </row>
    <row r="1211" spans="1:9" ht="21.95" customHeight="1" x14ac:dyDescent="0.25">
      <c r="C1211" s="136" t="s">
        <v>586</v>
      </c>
      <c r="D1211" s="132">
        <v>68.33</v>
      </c>
      <c r="E1211" s="132" t="s">
        <v>145</v>
      </c>
      <c r="F1211" s="132" t="s">
        <v>145</v>
      </c>
      <c r="G1211" s="132" t="s">
        <v>145</v>
      </c>
      <c r="H1211" s="132" t="s">
        <v>145</v>
      </c>
      <c r="I1211" s="132">
        <v>72</v>
      </c>
    </row>
    <row r="1212" spans="1:9" x14ac:dyDescent="0.25">
      <c r="C1212" t="s">
        <v>587</v>
      </c>
      <c r="D1212" s="137">
        <v>66.38</v>
      </c>
      <c r="E1212" s="145" t="s">
        <v>145</v>
      </c>
      <c r="F1212" s="145" t="s">
        <v>145</v>
      </c>
      <c r="G1212" s="145" t="s">
        <v>145</v>
      </c>
      <c r="H1212" s="145" t="s">
        <v>145</v>
      </c>
      <c r="I1212" s="137">
        <v>66.98</v>
      </c>
    </row>
    <row r="1213" spans="1:9" x14ac:dyDescent="0.25">
      <c r="C1213" t="s">
        <v>588</v>
      </c>
      <c r="D1213" s="138">
        <v>6</v>
      </c>
      <c r="E1213" s="138">
        <v>3</v>
      </c>
      <c r="F1213" s="138">
        <v>1</v>
      </c>
      <c r="G1213" s="138">
        <v>1</v>
      </c>
      <c r="H1213" s="138">
        <v>3</v>
      </c>
      <c r="I1213" s="138">
        <v>15</v>
      </c>
    </row>
    <row r="1214" spans="1:9" x14ac:dyDescent="0.25">
      <c r="C1214" t="s">
        <v>589</v>
      </c>
      <c r="D1214" s="146" t="s">
        <v>145</v>
      </c>
      <c r="E1214" s="146" t="s">
        <v>145</v>
      </c>
      <c r="F1214" s="146" t="s">
        <v>145</v>
      </c>
      <c r="G1214" s="146" t="s">
        <v>145</v>
      </c>
      <c r="H1214" s="146" t="s">
        <v>145</v>
      </c>
      <c r="I1214" s="139">
        <v>59.75</v>
      </c>
    </row>
    <row r="1215" spans="1:9" x14ac:dyDescent="0.25">
      <c r="C1215" t="s">
        <v>590</v>
      </c>
      <c r="D1215" s="139">
        <v>5</v>
      </c>
      <c r="E1215" s="139">
        <v>3</v>
      </c>
      <c r="F1215" s="139">
        <v>1</v>
      </c>
      <c r="G1215" s="139">
        <v>2</v>
      </c>
      <c r="H1215" s="139">
        <v>4</v>
      </c>
      <c r="I1215" s="139">
        <v>19</v>
      </c>
    </row>
    <row r="1216" spans="1:9" ht="22.5" x14ac:dyDescent="0.25">
      <c r="C1216" t="s">
        <v>129</v>
      </c>
      <c r="D1216" s="140" t="s">
        <v>496</v>
      </c>
      <c r="E1216" s="140" t="s">
        <v>497</v>
      </c>
      <c r="F1216" s="140" t="s">
        <v>498</v>
      </c>
      <c r="G1216" s="140" t="s">
        <v>499</v>
      </c>
      <c r="H1216" s="140" t="s">
        <v>500</v>
      </c>
      <c r="I1216" s="140" t="s">
        <v>501</v>
      </c>
    </row>
    <row r="1217" spans="1:9" x14ac:dyDescent="0.25">
      <c r="C1217" t="s">
        <v>591</v>
      </c>
      <c r="D1217" s="137">
        <v>71.569999999999993</v>
      </c>
      <c r="E1217" s="137">
        <v>71.569999999999993</v>
      </c>
      <c r="F1217" s="137">
        <v>71.569999999999993</v>
      </c>
      <c r="G1217" s="137">
        <v>71.569999999999993</v>
      </c>
      <c r="H1217" s="137">
        <v>71.569999999999993</v>
      </c>
      <c r="I1217" s="137">
        <v>71.569999999999993</v>
      </c>
    </row>
    <row r="1218" spans="1:9" x14ac:dyDescent="0.25">
      <c r="C1218" t="s">
        <v>592</v>
      </c>
      <c r="D1218" s="129">
        <v>66.67</v>
      </c>
      <c r="E1218" s="129" t="s">
        <v>145</v>
      </c>
      <c r="F1218" s="129" t="s">
        <v>145</v>
      </c>
      <c r="G1218" s="129" t="s">
        <v>145</v>
      </c>
      <c r="H1218" s="129" t="s">
        <v>145</v>
      </c>
      <c r="I1218" s="129">
        <v>66.67</v>
      </c>
    </row>
    <row r="1223" spans="1:9" x14ac:dyDescent="0.25">
      <c r="A1223" t="s">
        <v>627</v>
      </c>
    </row>
    <row r="1237" spans="1:9" ht="59.1" customHeight="1" x14ac:dyDescent="0.25">
      <c r="A1237" t="s">
        <v>626</v>
      </c>
      <c r="D1237" s="141" t="s">
        <v>502</v>
      </c>
      <c r="E1237" s="141" t="s">
        <v>503</v>
      </c>
      <c r="F1237" s="141" t="s">
        <v>504</v>
      </c>
      <c r="G1237" s="141" t="s">
        <v>505</v>
      </c>
      <c r="H1237" s="141" t="s">
        <v>506</v>
      </c>
      <c r="I1237" s="141" t="s">
        <v>507</v>
      </c>
    </row>
    <row r="1238" spans="1:9" ht="21.95" customHeight="1" x14ac:dyDescent="0.25">
      <c r="C1238" s="130" t="s">
        <v>131</v>
      </c>
      <c r="D1238" s="131">
        <v>66.37</v>
      </c>
      <c r="E1238" s="131" t="s">
        <v>145</v>
      </c>
      <c r="F1238" s="131" t="s">
        <v>145</v>
      </c>
      <c r="G1238" s="131" t="s">
        <v>145</v>
      </c>
      <c r="H1238" s="131">
        <v>66.180000000000007</v>
      </c>
      <c r="I1238" s="131" t="s">
        <v>145</v>
      </c>
    </row>
    <row r="1239" spans="1:9" ht="21.95" customHeight="1" x14ac:dyDescent="0.25">
      <c r="C1239" s="133" t="s">
        <v>132</v>
      </c>
      <c r="D1239" s="131">
        <v>64.48</v>
      </c>
      <c r="E1239" s="131" t="s">
        <v>145</v>
      </c>
      <c r="F1239" s="131" t="s">
        <v>145</v>
      </c>
      <c r="G1239" s="131" t="s">
        <v>145</v>
      </c>
      <c r="H1239" s="131">
        <v>69.239999999999995</v>
      </c>
      <c r="I1239" s="131" t="s">
        <v>145</v>
      </c>
    </row>
    <row r="1240" spans="1:9" ht="21.95" customHeight="1" x14ac:dyDescent="0.25">
      <c r="C1240" s="134" t="s">
        <v>130</v>
      </c>
      <c r="D1240" s="148">
        <v>58.64</v>
      </c>
      <c r="E1240" s="131" t="s">
        <v>145</v>
      </c>
      <c r="F1240" s="131" t="s">
        <v>145</v>
      </c>
      <c r="G1240" s="131" t="s">
        <v>145</v>
      </c>
      <c r="H1240" s="131">
        <v>62</v>
      </c>
      <c r="I1240" s="131" t="s">
        <v>145</v>
      </c>
    </row>
    <row r="1241" spans="1:9" ht="21.95" customHeight="1" x14ac:dyDescent="0.25">
      <c r="C1241" s="135" t="s">
        <v>585</v>
      </c>
      <c r="D1241" s="148">
        <v>59.65</v>
      </c>
      <c r="E1241" s="131" t="s">
        <v>145</v>
      </c>
      <c r="F1241" s="131" t="s">
        <v>145</v>
      </c>
      <c r="G1241" s="131" t="s">
        <v>145</v>
      </c>
      <c r="H1241" s="131">
        <v>62.05</v>
      </c>
      <c r="I1241" s="131" t="s">
        <v>145</v>
      </c>
    </row>
    <row r="1242" spans="1:9" ht="21.95" customHeight="1" x14ac:dyDescent="0.25">
      <c r="C1242" s="136" t="s">
        <v>586</v>
      </c>
      <c r="D1242" s="132">
        <v>66.3</v>
      </c>
      <c r="E1242" s="132" t="s">
        <v>145</v>
      </c>
      <c r="F1242" s="132" t="s">
        <v>145</v>
      </c>
      <c r="G1242" s="132" t="s">
        <v>145</v>
      </c>
      <c r="H1242" s="132">
        <v>75.95</v>
      </c>
      <c r="I1242" s="132" t="s">
        <v>145</v>
      </c>
    </row>
    <row r="1243" spans="1:9" x14ac:dyDescent="0.25">
      <c r="C1243" t="s">
        <v>587</v>
      </c>
      <c r="D1243" s="137">
        <v>63.31</v>
      </c>
      <c r="E1243" s="145" t="s">
        <v>145</v>
      </c>
      <c r="F1243" s="145" t="s">
        <v>145</v>
      </c>
      <c r="G1243" s="145" t="s">
        <v>145</v>
      </c>
      <c r="H1243" s="137">
        <v>66.89</v>
      </c>
      <c r="I1243" s="145" t="s">
        <v>145</v>
      </c>
    </row>
    <row r="1244" spans="1:9" x14ac:dyDescent="0.25">
      <c r="C1244" t="s">
        <v>588</v>
      </c>
      <c r="D1244" s="138">
        <v>24</v>
      </c>
      <c r="E1244" s="138">
        <v>1</v>
      </c>
      <c r="F1244" s="138">
        <v>0</v>
      </c>
      <c r="G1244" s="138">
        <v>0</v>
      </c>
      <c r="H1244" s="138">
        <v>83</v>
      </c>
      <c r="I1244" s="138">
        <v>0</v>
      </c>
    </row>
    <row r="1245" spans="1:9" x14ac:dyDescent="0.25">
      <c r="C1245" t="s">
        <v>589</v>
      </c>
      <c r="D1245" s="139">
        <v>62.03</v>
      </c>
      <c r="E1245" s="146" t="s">
        <v>145</v>
      </c>
      <c r="F1245" s="146" t="s">
        <v>145</v>
      </c>
      <c r="G1245" s="139"/>
      <c r="H1245" s="139"/>
      <c r="I1245" s="139"/>
    </row>
    <row r="1246" spans="1:9" x14ac:dyDescent="0.25">
      <c r="C1246" t="s">
        <v>590</v>
      </c>
      <c r="D1246" s="139">
        <v>19</v>
      </c>
      <c r="E1246" s="139">
        <v>3</v>
      </c>
      <c r="F1246" s="139">
        <v>0</v>
      </c>
      <c r="G1246" s="139"/>
      <c r="H1246" s="139"/>
      <c r="I1246" s="139"/>
    </row>
    <row r="1247" spans="1:9" ht="33.75" x14ac:dyDescent="0.25">
      <c r="C1247" t="s">
        <v>129</v>
      </c>
      <c r="D1247" s="140" t="s">
        <v>502</v>
      </c>
      <c r="E1247" s="140" t="s">
        <v>503</v>
      </c>
      <c r="F1247" s="140" t="s">
        <v>504</v>
      </c>
      <c r="G1247" s="140" t="s">
        <v>505</v>
      </c>
      <c r="H1247" s="140" t="s">
        <v>506</v>
      </c>
      <c r="I1247" s="140" t="s">
        <v>507</v>
      </c>
    </row>
    <row r="1248" spans="1:9" x14ac:dyDescent="0.25">
      <c r="C1248" t="s">
        <v>591</v>
      </c>
      <c r="D1248" s="137">
        <v>71.569999999999993</v>
      </c>
      <c r="E1248" s="137">
        <v>71.569999999999993</v>
      </c>
      <c r="F1248" s="137">
        <v>71.569999999999993</v>
      </c>
      <c r="G1248" s="137">
        <v>71.569999999999993</v>
      </c>
      <c r="H1248" s="137">
        <v>71.569999999999993</v>
      </c>
      <c r="I1248" s="137">
        <v>71.569999999999993</v>
      </c>
    </row>
    <row r="1249" spans="1:9" x14ac:dyDescent="0.25">
      <c r="C1249" t="s">
        <v>592</v>
      </c>
      <c r="D1249" s="129">
        <v>60.87</v>
      </c>
      <c r="E1249" s="129" t="s">
        <v>145</v>
      </c>
      <c r="F1249" s="129" t="s">
        <v>145</v>
      </c>
      <c r="G1249" s="129" t="s">
        <v>145</v>
      </c>
      <c r="H1249" s="147">
        <v>53.01</v>
      </c>
      <c r="I1249" s="129" t="s">
        <v>145</v>
      </c>
    </row>
    <row r="1254" spans="1:9" x14ac:dyDescent="0.25">
      <c r="A1254" t="s">
        <v>535</v>
      </c>
    </row>
    <row r="1314" spans="1:5" x14ac:dyDescent="0.25">
      <c r="A1314" t="s">
        <v>540</v>
      </c>
    </row>
    <row r="1328" spans="1:5" ht="59.1" customHeight="1" x14ac:dyDescent="0.25">
      <c r="A1328" t="s">
        <v>628</v>
      </c>
      <c r="D1328" s="141" t="s">
        <v>508</v>
      </c>
      <c r="E1328" s="141" t="s">
        <v>509</v>
      </c>
    </row>
    <row r="1329" spans="3:5" ht="21.95" customHeight="1" x14ac:dyDescent="0.25">
      <c r="C1329" s="130" t="s">
        <v>131</v>
      </c>
      <c r="D1329" s="131">
        <v>61.96</v>
      </c>
      <c r="E1329" s="131">
        <v>75.040000000000006</v>
      </c>
    </row>
    <row r="1330" spans="3:5" ht="21.95" customHeight="1" x14ac:dyDescent="0.25">
      <c r="C1330" s="133" t="s">
        <v>132</v>
      </c>
      <c r="D1330" s="131">
        <v>67.599999999999994</v>
      </c>
      <c r="E1330" s="131">
        <v>74.84</v>
      </c>
    </row>
    <row r="1331" spans="3:5" ht="21.95" customHeight="1" x14ac:dyDescent="0.25">
      <c r="C1331" s="134" t="s">
        <v>130</v>
      </c>
      <c r="D1331" s="148">
        <v>58.07</v>
      </c>
      <c r="E1331" s="131">
        <v>70.099999999999994</v>
      </c>
    </row>
    <row r="1332" spans="3:5" ht="21.95" customHeight="1" x14ac:dyDescent="0.25">
      <c r="C1332" s="135" t="s">
        <v>585</v>
      </c>
      <c r="D1332" s="148">
        <v>56.05</v>
      </c>
      <c r="E1332" s="131">
        <v>73.63</v>
      </c>
    </row>
    <row r="1333" spans="3:5" ht="21.95" customHeight="1" x14ac:dyDescent="0.25">
      <c r="C1333" s="136" t="s">
        <v>586</v>
      </c>
      <c r="D1333" s="132">
        <v>61.83</v>
      </c>
      <c r="E1333" s="132">
        <v>77.11</v>
      </c>
    </row>
    <row r="1334" spans="3:5" x14ac:dyDescent="0.25">
      <c r="C1334" t="s">
        <v>587</v>
      </c>
      <c r="D1334" s="137">
        <v>61.49</v>
      </c>
      <c r="E1334" s="137">
        <v>74.069999999999993</v>
      </c>
    </row>
    <row r="1335" spans="3:5" x14ac:dyDescent="0.25">
      <c r="C1335" t="s">
        <v>588</v>
      </c>
      <c r="D1335" s="138">
        <v>95</v>
      </c>
      <c r="E1335" s="138">
        <v>385</v>
      </c>
    </row>
    <row r="1336" spans="3:5" x14ac:dyDescent="0.25">
      <c r="C1336" t="s">
        <v>589</v>
      </c>
      <c r="D1336" s="139">
        <v>53.28</v>
      </c>
      <c r="E1336" s="139">
        <v>72.95</v>
      </c>
    </row>
    <row r="1337" spans="3:5" x14ac:dyDescent="0.25">
      <c r="C1337" t="s">
        <v>590</v>
      </c>
      <c r="D1337" s="139">
        <v>121</v>
      </c>
      <c r="E1337" s="139">
        <v>425</v>
      </c>
    </row>
    <row r="1338" spans="3:5" x14ac:dyDescent="0.25">
      <c r="C1338" t="s">
        <v>129</v>
      </c>
      <c r="D1338" s="140" t="s">
        <v>508</v>
      </c>
      <c r="E1338" s="140" t="s">
        <v>509</v>
      </c>
    </row>
    <row r="1339" spans="3:5" x14ac:dyDescent="0.25">
      <c r="C1339" t="s">
        <v>591</v>
      </c>
      <c r="D1339" s="137">
        <v>71.569999999999993</v>
      </c>
      <c r="E1339" s="137">
        <v>71.569999999999993</v>
      </c>
    </row>
    <row r="1340" spans="3:5" x14ac:dyDescent="0.25">
      <c r="C1340" t="s">
        <v>592</v>
      </c>
      <c r="D1340" s="147">
        <v>56.38</v>
      </c>
      <c r="E1340" s="129">
        <v>70.98</v>
      </c>
    </row>
    <row r="1345" spans="1:1" x14ac:dyDescent="0.25">
      <c r="A1345" t="s">
        <v>541</v>
      </c>
    </row>
    <row r="1405" spans="1:1" x14ac:dyDescent="0.25">
      <c r="A1405" t="s">
        <v>546</v>
      </c>
    </row>
    <row r="1419" spans="1:8" ht="59.1" customHeight="1" x14ac:dyDescent="0.25">
      <c r="A1419" t="s">
        <v>629</v>
      </c>
      <c r="D1419" s="141" t="s">
        <v>221</v>
      </c>
      <c r="E1419" s="141" t="s">
        <v>222</v>
      </c>
      <c r="F1419" s="141" t="s">
        <v>223</v>
      </c>
      <c r="G1419" s="141" t="s">
        <v>224</v>
      </c>
      <c r="H1419" s="141" t="s">
        <v>225</v>
      </c>
    </row>
    <row r="1420" spans="1:8" ht="21.95" customHeight="1" x14ac:dyDescent="0.25">
      <c r="C1420" s="130" t="s">
        <v>131</v>
      </c>
      <c r="D1420" s="131">
        <v>72.55</v>
      </c>
      <c r="E1420" s="131">
        <v>66.12</v>
      </c>
      <c r="F1420" s="148">
        <v>60.2</v>
      </c>
      <c r="G1420" s="131">
        <v>80.61</v>
      </c>
      <c r="H1420" s="148">
        <v>49.37</v>
      </c>
    </row>
    <row r="1421" spans="1:8" ht="21.95" customHeight="1" x14ac:dyDescent="0.25">
      <c r="C1421" s="133" t="s">
        <v>132</v>
      </c>
      <c r="D1421" s="131">
        <v>76.319999999999993</v>
      </c>
      <c r="E1421" s="131">
        <v>69.97</v>
      </c>
      <c r="F1421" s="131">
        <v>63.74</v>
      </c>
      <c r="G1421" s="131">
        <v>78.709999999999994</v>
      </c>
      <c r="H1421" s="148">
        <v>53.16</v>
      </c>
    </row>
    <row r="1422" spans="1:8" ht="21.95" customHeight="1" x14ac:dyDescent="0.25">
      <c r="C1422" s="134" t="s">
        <v>130</v>
      </c>
      <c r="D1422" s="131">
        <v>67.31</v>
      </c>
      <c r="E1422" s="131">
        <v>65.39</v>
      </c>
      <c r="F1422" s="131">
        <v>60.71</v>
      </c>
      <c r="G1422" s="131">
        <v>73.14</v>
      </c>
      <c r="H1422" s="148">
        <v>52.04</v>
      </c>
    </row>
    <row r="1423" spans="1:8" ht="21.95" customHeight="1" x14ac:dyDescent="0.25">
      <c r="C1423" s="135" t="s">
        <v>585</v>
      </c>
      <c r="D1423" s="131">
        <v>63.91</v>
      </c>
      <c r="E1423" s="131">
        <v>64.23</v>
      </c>
      <c r="F1423" s="131">
        <v>60.71</v>
      </c>
      <c r="G1423" s="131">
        <v>80.98</v>
      </c>
      <c r="H1423" s="151">
        <v>43.61</v>
      </c>
    </row>
    <row r="1424" spans="1:8" ht="21.95" customHeight="1" x14ac:dyDescent="0.25">
      <c r="C1424" s="136" t="s">
        <v>586</v>
      </c>
      <c r="D1424" s="132">
        <v>76.36</v>
      </c>
      <c r="E1424" s="132">
        <v>66.430000000000007</v>
      </c>
      <c r="F1424" s="149">
        <v>51.43</v>
      </c>
      <c r="G1424" s="132">
        <v>82.06</v>
      </c>
      <c r="H1424" s="149">
        <v>51.11</v>
      </c>
    </row>
    <row r="1425" spans="1:8" x14ac:dyDescent="0.25">
      <c r="C1425" t="s">
        <v>587</v>
      </c>
      <c r="D1425" s="137">
        <v>71.61</v>
      </c>
      <c r="E1425" s="137">
        <v>66.58</v>
      </c>
      <c r="F1425" s="137">
        <v>59.36</v>
      </c>
      <c r="G1425" s="137">
        <v>78.94</v>
      </c>
      <c r="H1425" s="137">
        <v>49.89</v>
      </c>
    </row>
    <row r="1426" spans="1:8" x14ac:dyDescent="0.25">
      <c r="C1426" t="s">
        <v>588</v>
      </c>
      <c r="D1426" s="138">
        <v>108</v>
      </c>
      <c r="E1426" s="138">
        <v>30</v>
      </c>
      <c r="F1426" s="138">
        <v>7</v>
      </c>
      <c r="G1426" s="138">
        <v>235</v>
      </c>
      <c r="H1426" s="138">
        <v>45</v>
      </c>
    </row>
    <row r="1427" spans="1:8" x14ac:dyDescent="0.25">
      <c r="C1427" t="s">
        <v>589</v>
      </c>
      <c r="D1427" s="139">
        <v>65.959999999999994</v>
      </c>
      <c r="E1427" s="139">
        <v>64.59</v>
      </c>
      <c r="F1427" s="139">
        <v>37.590000000000003</v>
      </c>
      <c r="G1427" s="139">
        <v>78.489999999999995</v>
      </c>
      <c r="H1427" s="139">
        <v>41.06</v>
      </c>
    </row>
    <row r="1428" spans="1:8" x14ac:dyDescent="0.25">
      <c r="C1428" t="s">
        <v>590</v>
      </c>
      <c r="D1428" s="139">
        <v>138</v>
      </c>
      <c r="E1428" s="139">
        <v>43</v>
      </c>
      <c r="F1428" s="139">
        <v>10</v>
      </c>
      <c r="G1428" s="139">
        <v>266</v>
      </c>
      <c r="H1428" s="139">
        <v>56</v>
      </c>
    </row>
    <row r="1429" spans="1:8" ht="33.75" x14ac:dyDescent="0.25">
      <c r="C1429" t="s">
        <v>129</v>
      </c>
      <c r="D1429" s="140" t="s">
        <v>221</v>
      </c>
      <c r="E1429" s="140" t="s">
        <v>222</v>
      </c>
      <c r="F1429" s="140" t="s">
        <v>223</v>
      </c>
      <c r="G1429" s="140" t="s">
        <v>224</v>
      </c>
      <c r="H1429" s="140" t="s">
        <v>225</v>
      </c>
    </row>
    <row r="1430" spans="1:8" x14ac:dyDescent="0.25">
      <c r="C1430" t="s">
        <v>591</v>
      </c>
      <c r="D1430" s="137">
        <v>71.569999999999993</v>
      </c>
      <c r="E1430" s="137">
        <v>71.569999999999993</v>
      </c>
      <c r="F1430" s="137">
        <v>71.569999999999993</v>
      </c>
      <c r="G1430" s="137">
        <v>71.569999999999993</v>
      </c>
      <c r="H1430" s="137">
        <v>71.569999999999993</v>
      </c>
    </row>
    <row r="1431" spans="1:8" x14ac:dyDescent="0.25">
      <c r="C1431" t="s">
        <v>592</v>
      </c>
      <c r="D1431" s="129">
        <v>62.96</v>
      </c>
      <c r="E1431" s="129">
        <v>63.33</v>
      </c>
      <c r="F1431" s="150">
        <v>42.86</v>
      </c>
      <c r="G1431" s="129">
        <v>80.77</v>
      </c>
      <c r="H1431" s="150">
        <v>26.67</v>
      </c>
    </row>
    <row r="1436" spans="1:8" x14ac:dyDescent="0.25">
      <c r="A1436" t="s">
        <v>547</v>
      </c>
    </row>
    <row r="1496" spans="1:1" x14ac:dyDescent="0.25">
      <c r="A1496" t="s">
        <v>552</v>
      </c>
    </row>
    <row r="1510" spans="1:5" ht="59.1" customHeight="1" x14ac:dyDescent="0.25">
      <c r="A1510" t="s">
        <v>630</v>
      </c>
      <c r="D1510" s="141" t="s">
        <v>510</v>
      </c>
      <c r="E1510" s="141" t="s">
        <v>511</v>
      </c>
    </row>
    <row r="1511" spans="1:5" ht="21.95" customHeight="1" x14ac:dyDescent="0.25">
      <c r="C1511" s="130" t="s">
        <v>131</v>
      </c>
      <c r="D1511" s="131">
        <v>75.44</v>
      </c>
      <c r="E1511" s="131">
        <v>61.39</v>
      </c>
    </row>
    <row r="1512" spans="1:5" ht="21.95" customHeight="1" x14ac:dyDescent="0.25">
      <c r="C1512" s="133" t="s">
        <v>132</v>
      </c>
      <c r="D1512" s="131">
        <v>76.28</v>
      </c>
      <c r="E1512" s="131">
        <v>64.17</v>
      </c>
    </row>
    <row r="1513" spans="1:5" ht="21.95" customHeight="1" x14ac:dyDescent="0.25">
      <c r="C1513" s="134" t="s">
        <v>130</v>
      </c>
      <c r="D1513" s="131">
        <v>70.72</v>
      </c>
      <c r="E1513" s="148">
        <v>57.31</v>
      </c>
    </row>
    <row r="1514" spans="1:5" ht="21.95" customHeight="1" x14ac:dyDescent="0.25">
      <c r="C1514" s="135" t="s">
        <v>585</v>
      </c>
      <c r="D1514" s="131">
        <v>74.53</v>
      </c>
      <c r="E1514" s="148">
        <v>52.64</v>
      </c>
    </row>
    <row r="1515" spans="1:5" ht="21.95" customHeight="1" x14ac:dyDescent="0.25">
      <c r="C1515" s="136" t="s">
        <v>586</v>
      </c>
      <c r="D1515" s="132">
        <v>77.900000000000006</v>
      </c>
      <c r="E1515" s="132">
        <v>61.21</v>
      </c>
    </row>
    <row r="1516" spans="1:5" x14ac:dyDescent="0.25">
      <c r="C1516" t="s">
        <v>587</v>
      </c>
      <c r="D1516" s="137">
        <v>74.89</v>
      </c>
      <c r="E1516" s="137">
        <v>59.76</v>
      </c>
    </row>
    <row r="1517" spans="1:5" x14ac:dyDescent="0.25">
      <c r="C1517" t="s">
        <v>588</v>
      </c>
      <c r="D1517" s="138">
        <v>362</v>
      </c>
      <c r="E1517" s="138">
        <v>75</v>
      </c>
    </row>
    <row r="1518" spans="1:5" x14ac:dyDescent="0.25">
      <c r="C1518" t="s">
        <v>589</v>
      </c>
      <c r="D1518" s="139"/>
      <c r="E1518" s="139"/>
    </row>
    <row r="1519" spans="1:5" x14ac:dyDescent="0.25">
      <c r="C1519" t="s">
        <v>590</v>
      </c>
      <c r="D1519" s="139"/>
      <c r="E1519" s="139"/>
    </row>
    <row r="1520" spans="1:5" x14ac:dyDescent="0.25">
      <c r="C1520" t="s">
        <v>129</v>
      </c>
      <c r="D1520" s="140" t="s">
        <v>510</v>
      </c>
      <c r="E1520" s="140" t="s">
        <v>511</v>
      </c>
    </row>
    <row r="1521" spans="1:5" x14ac:dyDescent="0.25">
      <c r="C1521" t="s">
        <v>591</v>
      </c>
      <c r="D1521" s="137">
        <v>71.569999999999993</v>
      </c>
      <c r="E1521" s="137">
        <v>71.569999999999993</v>
      </c>
    </row>
    <row r="1522" spans="1:5" x14ac:dyDescent="0.25">
      <c r="C1522" t="s">
        <v>592</v>
      </c>
      <c r="D1522" s="129">
        <v>71.819999999999993</v>
      </c>
      <c r="E1522" s="147">
        <v>51.35</v>
      </c>
    </row>
    <row r="1527" spans="1:5" x14ac:dyDescent="0.25">
      <c r="A1527" t="s">
        <v>553</v>
      </c>
    </row>
    <row r="1587" spans="1:1" x14ac:dyDescent="0.25">
      <c r="A1587" t="s">
        <v>558</v>
      </c>
    </row>
    <row r="1601" spans="1:5" ht="59.1" customHeight="1" x14ac:dyDescent="0.25">
      <c r="A1601" t="s">
        <v>631</v>
      </c>
      <c r="D1601" s="141" t="s">
        <v>510</v>
      </c>
      <c r="E1601" s="141" t="s">
        <v>511</v>
      </c>
    </row>
    <row r="1602" spans="1:5" ht="21.95" customHeight="1" x14ac:dyDescent="0.25">
      <c r="C1602" s="130" t="s">
        <v>131</v>
      </c>
      <c r="D1602" s="131">
        <v>81.99</v>
      </c>
      <c r="E1602" s="148">
        <v>55.3</v>
      </c>
    </row>
    <row r="1603" spans="1:5" ht="21.95" customHeight="1" x14ac:dyDescent="0.25">
      <c r="C1603" s="133" t="s">
        <v>132</v>
      </c>
      <c r="D1603" s="131">
        <v>81.459999999999994</v>
      </c>
      <c r="E1603" s="148">
        <v>60.27</v>
      </c>
    </row>
    <row r="1604" spans="1:5" ht="21.95" customHeight="1" x14ac:dyDescent="0.25">
      <c r="C1604" s="134" t="s">
        <v>130</v>
      </c>
      <c r="D1604" s="131">
        <v>75.13</v>
      </c>
      <c r="E1604" s="148">
        <v>54.75</v>
      </c>
    </row>
    <row r="1605" spans="1:5" ht="21.95" customHeight="1" x14ac:dyDescent="0.25">
      <c r="C1605" s="135" t="s">
        <v>585</v>
      </c>
      <c r="D1605" s="131">
        <v>81.040000000000006</v>
      </c>
      <c r="E1605" s="148">
        <v>49.98</v>
      </c>
    </row>
    <row r="1606" spans="1:5" ht="21.95" customHeight="1" x14ac:dyDescent="0.25">
      <c r="C1606" s="136" t="s">
        <v>586</v>
      </c>
      <c r="D1606" s="132">
        <v>82.46</v>
      </c>
      <c r="E1606" s="132">
        <v>62.06</v>
      </c>
    </row>
    <row r="1607" spans="1:5" x14ac:dyDescent="0.25">
      <c r="C1607" t="s">
        <v>587</v>
      </c>
      <c r="D1607" s="137">
        <v>80.37</v>
      </c>
      <c r="E1607" s="137">
        <v>56.53</v>
      </c>
    </row>
    <row r="1608" spans="1:5" x14ac:dyDescent="0.25">
      <c r="C1608" t="s">
        <v>588</v>
      </c>
      <c r="D1608" s="138">
        <v>284</v>
      </c>
      <c r="E1608" s="138">
        <v>139</v>
      </c>
    </row>
    <row r="1609" spans="1:5" x14ac:dyDescent="0.25">
      <c r="C1609" t="s">
        <v>589</v>
      </c>
      <c r="D1609" s="139"/>
      <c r="E1609" s="139"/>
    </row>
    <row r="1610" spans="1:5" x14ac:dyDescent="0.25">
      <c r="C1610" t="s">
        <v>590</v>
      </c>
      <c r="D1610" s="139"/>
      <c r="E1610" s="139"/>
    </row>
    <row r="1611" spans="1:5" x14ac:dyDescent="0.25">
      <c r="C1611" t="s">
        <v>129</v>
      </c>
      <c r="D1611" s="140" t="s">
        <v>510</v>
      </c>
      <c r="E1611" s="140" t="s">
        <v>511</v>
      </c>
    </row>
    <row r="1612" spans="1:5" x14ac:dyDescent="0.25">
      <c r="C1612" t="s">
        <v>591</v>
      </c>
      <c r="D1612" s="137">
        <v>71.569999999999993</v>
      </c>
      <c r="E1612" s="137">
        <v>71.569999999999993</v>
      </c>
    </row>
    <row r="1613" spans="1:5" x14ac:dyDescent="0.25">
      <c r="C1613" t="s">
        <v>592</v>
      </c>
      <c r="D1613" s="129">
        <v>80.28</v>
      </c>
      <c r="E1613" s="150">
        <v>43.88</v>
      </c>
    </row>
    <row r="1618" spans="1:1" x14ac:dyDescent="0.25">
      <c r="A1618" t="s">
        <v>559</v>
      </c>
    </row>
    <row r="1678" spans="1:1" x14ac:dyDescent="0.25">
      <c r="A1678" t="s">
        <v>564</v>
      </c>
    </row>
    <row r="1692" spans="1:7" ht="59.1" customHeight="1" x14ac:dyDescent="0.25">
      <c r="A1692" t="s">
        <v>632</v>
      </c>
      <c r="D1692" s="141" t="s">
        <v>512</v>
      </c>
      <c r="E1692" s="141" t="s">
        <v>513</v>
      </c>
      <c r="F1692" s="141" t="s">
        <v>514</v>
      </c>
      <c r="G1692" s="141" t="s">
        <v>515</v>
      </c>
    </row>
    <row r="1693" spans="1:7" ht="21.95" customHeight="1" x14ac:dyDescent="0.25">
      <c r="C1693" s="130" t="s">
        <v>131</v>
      </c>
      <c r="D1693" s="143">
        <v>87.43</v>
      </c>
      <c r="E1693" s="131">
        <v>61.7</v>
      </c>
      <c r="F1693" s="131">
        <v>71.650000000000006</v>
      </c>
      <c r="G1693" s="148">
        <v>53.27</v>
      </c>
    </row>
    <row r="1694" spans="1:7" ht="21.95" customHeight="1" x14ac:dyDescent="0.25">
      <c r="C1694" s="133" t="s">
        <v>132</v>
      </c>
      <c r="D1694" s="143">
        <v>85.97</v>
      </c>
      <c r="E1694" s="131">
        <v>61.45</v>
      </c>
      <c r="F1694" s="131">
        <v>73.97</v>
      </c>
      <c r="G1694" s="131">
        <v>61.22</v>
      </c>
    </row>
    <row r="1695" spans="1:7" ht="21.95" customHeight="1" x14ac:dyDescent="0.25">
      <c r="C1695" s="134" t="s">
        <v>130</v>
      </c>
      <c r="D1695" s="131">
        <v>77.86</v>
      </c>
      <c r="E1695" s="148">
        <v>60.44</v>
      </c>
      <c r="F1695" s="131">
        <v>67.44</v>
      </c>
      <c r="G1695" s="148">
        <v>55.63</v>
      </c>
    </row>
    <row r="1696" spans="1:7" ht="21.95" customHeight="1" x14ac:dyDescent="0.25">
      <c r="C1696" s="135" t="s">
        <v>585</v>
      </c>
      <c r="D1696" s="131">
        <v>84.36</v>
      </c>
      <c r="E1696" s="148">
        <v>56.25</v>
      </c>
      <c r="F1696" s="131">
        <v>69.260000000000005</v>
      </c>
      <c r="G1696" s="148">
        <v>60.34</v>
      </c>
    </row>
    <row r="1697" spans="3:7" ht="21.95" customHeight="1" x14ac:dyDescent="0.25">
      <c r="C1697" s="136" t="s">
        <v>586</v>
      </c>
      <c r="D1697" s="132">
        <v>85.38</v>
      </c>
      <c r="E1697" s="132">
        <v>65.78</v>
      </c>
      <c r="F1697" s="132">
        <v>73.510000000000005</v>
      </c>
      <c r="G1697" s="132">
        <v>65.41</v>
      </c>
    </row>
    <row r="1698" spans="3:7" x14ac:dyDescent="0.25">
      <c r="C1698" t="s">
        <v>587</v>
      </c>
      <c r="D1698" s="137">
        <v>84.26</v>
      </c>
      <c r="E1698" s="137">
        <v>61.09</v>
      </c>
      <c r="F1698" s="137">
        <v>71.290000000000006</v>
      </c>
      <c r="G1698" s="137">
        <v>58.57</v>
      </c>
    </row>
    <row r="1699" spans="3:7" x14ac:dyDescent="0.25">
      <c r="C1699" t="s">
        <v>588</v>
      </c>
      <c r="D1699" s="138">
        <v>141</v>
      </c>
      <c r="E1699" s="138">
        <v>91</v>
      </c>
      <c r="F1699" s="138">
        <v>161</v>
      </c>
      <c r="G1699" s="138">
        <v>49</v>
      </c>
    </row>
    <row r="1700" spans="3:7" x14ac:dyDescent="0.25">
      <c r="C1700" t="s">
        <v>589</v>
      </c>
      <c r="D1700" s="139"/>
      <c r="E1700" s="139"/>
      <c r="F1700" s="139"/>
      <c r="G1700" s="139"/>
    </row>
    <row r="1701" spans="3:7" x14ac:dyDescent="0.25">
      <c r="C1701" t="s">
        <v>590</v>
      </c>
      <c r="D1701" s="139"/>
      <c r="E1701" s="139"/>
      <c r="F1701" s="139"/>
      <c r="G1701" s="139"/>
    </row>
    <row r="1702" spans="3:7" ht="45" x14ac:dyDescent="0.25">
      <c r="C1702" t="s">
        <v>129</v>
      </c>
      <c r="D1702" s="140" t="s">
        <v>512</v>
      </c>
      <c r="E1702" s="140" t="s">
        <v>513</v>
      </c>
      <c r="F1702" s="140" t="s">
        <v>514</v>
      </c>
      <c r="G1702" s="140" t="s">
        <v>515</v>
      </c>
    </row>
    <row r="1703" spans="3:7" x14ac:dyDescent="0.25">
      <c r="C1703" t="s">
        <v>591</v>
      </c>
      <c r="D1703" s="137">
        <v>71.569999999999993</v>
      </c>
      <c r="E1703" s="137">
        <v>71.569999999999993</v>
      </c>
      <c r="F1703" s="137">
        <v>71.569999999999993</v>
      </c>
      <c r="G1703" s="137">
        <v>71.569999999999993</v>
      </c>
    </row>
    <row r="1704" spans="3:7" x14ac:dyDescent="0.25">
      <c r="C1704" t="s">
        <v>592</v>
      </c>
      <c r="D1704" s="129">
        <v>82.27</v>
      </c>
      <c r="E1704" s="147">
        <v>47.25</v>
      </c>
      <c r="F1704" s="129">
        <v>71.430000000000007</v>
      </c>
      <c r="G1704" s="147">
        <v>51.02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BA503"/>
  <sheetViews>
    <sheetView showGridLines="0" tabSelected="1" topLeftCell="A55" zoomScale="80" zoomScaleNormal="80" workbookViewId="0">
      <selection activeCell="AP495" sqref="AP495:AV503"/>
    </sheetView>
  </sheetViews>
  <sheetFormatPr baseColWidth="10" defaultRowHeight="15" x14ac:dyDescent="0.25"/>
  <cols>
    <col min="1" max="1" width="20.570312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291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4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28515625" bestFit="1" customWidth="1"/>
  </cols>
  <sheetData>
    <row r="1" spans="1:53" ht="37.5" customHeight="1" x14ac:dyDescent="0.25">
      <c r="A1" t="s">
        <v>117</v>
      </c>
      <c r="BA1" s="53" t="s">
        <v>248</v>
      </c>
    </row>
    <row r="2" spans="1:53" ht="27" customHeight="1" thickBot="1" x14ac:dyDescent="0.3">
      <c r="BA2" s="58" t="s">
        <v>251</v>
      </c>
    </row>
    <row r="3" spans="1:53" ht="27" customHeight="1" thickTop="1" thickBot="1" x14ac:dyDescent="0.3">
      <c r="BA3" s="58" t="s">
        <v>143</v>
      </c>
    </row>
    <row r="4" spans="1:53" ht="27" customHeight="1" thickTop="1" thickBot="1" x14ac:dyDescent="0.3">
      <c r="BA4" s="58" t="s">
        <v>255</v>
      </c>
    </row>
    <row r="5" spans="1:53" ht="27" customHeight="1" thickTop="1" thickBot="1" x14ac:dyDescent="0.3">
      <c r="BA5" s="58" t="s">
        <v>257</v>
      </c>
    </row>
    <row r="6" spans="1:53" ht="27" customHeight="1" thickTop="1" thickBot="1" x14ac:dyDescent="0.3">
      <c r="BA6" s="58" t="s">
        <v>260</v>
      </c>
    </row>
    <row r="7" spans="1:53" ht="27" customHeight="1" thickTop="1" thickBot="1" x14ac:dyDescent="0.3">
      <c r="BA7" s="58" t="s">
        <v>262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61</v>
      </c>
    </row>
    <row r="160" spans="1:1" x14ac:dyDescent="0.25">
      <c r="A160" t="s">
        <v>62</v>
      </c>
    </row>
    <row r="187" spans="1:1" x14ac:dyDescent="0.25">
      <c r="A187" t="s">
        <v>63</v>
      </c>
    </row>
    <row r="213" spans="1:1" x14ac:dyDescent="0.25">
      <c r="A213" t="s">
        <v>64</v>
      </c>
    </row>
    <row r="240" spans="1:1" x14ac:dyDescent="0.25">
      <c r="A240" t="s">
        <v>65</v>
      </c>
    </row>
    <row r="266" spans="1:27" ht="15.75" thickBot="1" x14ac:dyDescent="0.3"/>
    <row r="267" spans="1:27" ht="37.5" customHeight="1" thickBot="1" x14ac:dyDescent="0.3">
      <c r="A267" t="s">
        <v>66</v>
      </c>
      <c r="AA267" s="154" t="s">
        <v>236</v>
      </c>
    </row>
    <row r="268" spans="1:27" ht="27" customHeight="1" x14ac:dyDescent="0.25">
      <c r="AA268" s="211" t="s">
        <v>11</v>
      </c>
    </row>
    <row r="269" spans="1:27" ht="27" customHeight="1" x14ac:dyDescent="0.25">
      <c r="AA269" s="212"/>
    </row>
    <row r="270" spans="1:27" ht="27" customHeight="1" x14ac:dyDescent="0.25">
      <c r="AA270" s="212"/>
    </row>
    <row r="271" spans="1:27" ht="27" customHeight="1" x14ac:dyDescent="0.25">
      <c r="AA271" s="213"/>
    </row>
    <row r="272" spans="1:27" ht="27" customHeight="1" x14ac:dyDescent="0.25">
      <c r="AA272" s="217" t="s">
        <v>12</v>
      </c>
    </row>
    <row r="273" spans="27:27" ht="27" customHeight="1" x14ac:dyDescent="0.25">
      <c r="AA273" s="212"/>
    </row>
    <row r="274" spans="27:27" ht="27" customHeight="1" x14ac:dyDescent="0.25">
      <c r="AA274" s="212"/>
    </row>
    <row r="275" spans="27:27" ht="27" customHeight="1" x14ac:dyDescent="0.25">
      <c r="AA275" s="212"/>
    </row>
    <row r="276" spans="27:27" ht="27" customHeight="1" x14ac:dyDescent="0.25">
      <c r="AA276" s="212"/>
    </row>
    <row r="277" spans="27:27" ht="27" customHeight="1" x14ac:dyDescent="0.25">
      <c r="AA277" s="213"/>
    </row>
    <row r="278" spans="27:27" ht="27" customHeight="1" x14ac:dyDescent="0.25">
      <c r="AA278" s="217" t="s">
        <v>13</v>
      </c>
    </row>
    <row r="279" spans="27:27" ht="27" customHeight="1" x14ac:dyDescent="0.25">
      <c r="AA279" s="212"/>
    </row>
    <row r="280" spans="27:27" ht="27" customHeight="1" x14ac:dyDescent="0.25">
      <c r="AA280" s="212"/>
    </row>
    <row r="281" spans="27:27" ht="27" customHeight="1" thickBot="1" x14ac:dyDescent="0.3">
      <c r="AA281" s="219"/>
    </row>
    <row r="292" spans="1:34" ht="15.75" thickBot="1" x14ac:dyDescent="0.3"/>
    <row r="293" spans="1:34" ht="37.5" customHeight="1" thickBot="1" x14ac:dyDescent="0.3">
      <c r="A293" t="s">
        <v>67</v>
      </c>
      <c r="AA293" s="181" t="s">
        <v>236</v>
      </c>
      <c r="AB293" s="181"/>
      <c r="AC293" s="154" t="s">
        <v>238</v>
      </c>
      <c r="AD293" s="154" t="s">
        <v>239</v>
      </c>
      <c r="AE293" s="154">
        <v>2017</v>
      </c>
      <c r="AF293" s="154">
        <v>2016</v>
      </c>
      <c r="AG293" s="154" t="s">
        <v>237</v>
      </c>
      <c r="AH293" s="154" t="s">
        <v>386</v>
      </c>
    </row>
    <row r="294" spans="1:34" ht="27" customHeight="1" x14ac:dyDescent="0.25">
      <c r="AA294" s="220" t="s">
        <v>14</v>
      </c>
      <c r="AB294" s="223" t="s">
        <v>275</v>
      </c>
      <c r="AC294" s="54">
        <v>15</v>
      </c>
      <c r="AD294" s="55" t="s">
        <v>276</v>
      </c>
      <c r="AE294" s="56">
        <v>69.17</v>
      </c>
      <c r="AF294" s="56">
        <v>69.599999999999994</v>
      </c>
      <c r="AG294" s="56">
        <v>73.25</v>
      </c>
      <c r="AH294" s="56">
        <v>73.319999999999993</v>
      </c>
    </row>
    <row r="295" spans="1:34" ht="27" customHeight="1" x14ac:dyDescent="0.25">
      <c r="AA295" s="221"/>
      <c r="AB295" s="224"/>
      <c r="AC295" s="54">
        <v>16</v>
      </c>
      <c r="AD295" s="55" t="s">
        <v>277</v>
      </c>
      <c r="AE295" s="57">
        <v>86.25</v>
      </c>
      <c r="AF295" s="56">
        <v>82.6</v>
      </c>
      <c r="AG295" s="56">
        <v>82.08</v>
      </c>
      <c r="AH295" s="57">
        <v>90.32</v>
      </c>
    </row>
    <row r="296" spans="1:34" ht="27" customHeight="1" x14ac:dyDescent="0.25">
      <c r="AA296" s="221"/>
      <c r="AB296" s="225" t="s">
        <v>278</v>
      </c>
      <c r="AC296" s="54">
        <v>17</v>
      </c>
      <c r="AD296" s="55" t="s">
        <v>279</v>
      </c>
      <c r="AE296" s="56">
        <v>65.209999999999994</v>
      </c>
      <c r="AF296" s="56">
        <v>62.27</v>
      </c>
      <c r="AG296" s="56">
        <v>70.37</v>
      </c>
      <c r="AH296" s="56">
        <v>67.760000000000005</v>
      </c>
    </row>
    <row r="297" spans="1:34" ht="27" customHeight="1" x14ac:dyDescent="0.25">
      <c r="AA297" s="222"/>
      <c r="AB297" s="224"/>
      <c r="AC297" s="54">
        <v>18</v>
      </c>
      <c r="AD297" s="55" t="s">
        <v>280</v>
      </c>
      <c r="AE297" s="56">
        <v>77.78</v>
      </c>
      <c r="AF297" s="56">
        <v>74.72</v>
      </c>
      <c r="AG297" s="56">
        <v>80.94</v>
      </c>
      <c r="AH297" s="56">
        <v>74.31</v>
      </c>
    </row>
    <row r="298" spans="1:34" ht="27" customHeight="1" x14ac:dyDescent="0.25">
      <c r="AA298" s="226" t="s">
        <v>15</v>
      </c>
      <c r="AB298" s="225" t="s">
        <v>572</v>
      </c>
      <c r="AC298" s="54">
        <v>19</v>
      </c>
      <c r="AD298" s="55" t="s">
        <v>281</v>
      </c>
      <c r="AE298" s="56">
        <v>72.12</v>
      </c>
      <c r="AF298" s="56">
        <v>68.319999999999993</v>
      </c>
      <c r="AG298" s="56">
        <v>76.94</v>
      </c>
      <c r="AH298" s="56">
        <v>73.540000000000006</v>
      </c>
    </row>
    <row r="299" spans="1:34" ht="27" customHeight="1" x14ac:dyDescent="0.25">
      <c r="AA299" s="222"/>
      <c r="AB299" s="224"/>
      <c r="AC299" s="54">
        <v>20</v>
      </c>
      <c r="AD299" s="55" t="s">
        <v>282</v>
      </c>
      <c r="AE299" s="56">
        <v>65.25</v>
      </c>
      <c r="AF299" s="56">
        <v>60.82</v>
      </c>
      <c r="AG299" s="56">
        <v>69.31</v>
      </c>
      <c r="AH299" s="56">
        <v>66.069999999999993</v>
      </c>
    </row>
    <row r="300" spans="1:34" ht="27" customHeight="1" x14ac:dyDescent="0.25">
      <c r="AA300" s="226" t="s">
        <v>16</v>
      </c>
      <c r="AB300" s="225" t="s">
        <v>283</v>
      </c>
      <c r="AC300" s="54">
        <v>21</v>
      </c>
      <c r="AD300" s="55" t="s">
        <v>284</v>
      </c>
      <c r="AE300" s="57">
        <v>96.25</v>
      </c>
      <c r="AF300" s="57">
        <v>95.04</v>
      </c>
      <c r="AG300" s="57">
        <v>89.53</v>
      </c>
      <c r="AH300" s="57">
        <v>96.25</v>
      </c>
    </row>
    <row r="301" spans="1:34" ht="27" customHeight="1" x14ac:dyDescent="0.25">
      <c r="AA301" s="221"/>
      <c r="AB301" s="228"/>
      <c r="AC301" s="54">
        <v>22</v>
      </c>
      <c r="AD301" s="55" t="s">
        <v>285</v>
      </c>
      <c r="AE301" s="56">
        <v>66.599999999999994</v>
      </c>
      <c r="AF301" s="60">
        <v>58.21</v>
      </c>
      <c r="AG301" s="56">
        <v>76.599999999999994</v>
      </c>
      <c r="AH301" s="56">
        <v>66.41</v>
      </c>
    </row>
    <row r="302" spans="1:34" ht="27" customHeight="1" x14ac:dyDescent="0.25">
      <c r="AA302" s="221"/>
      <c r="AB302" s="224"/>
      <c r="AC302" s="54">
        <v>23</v>
      </c>
      <c r="AD302" s="55" t="s">
        <v>286</v>
      </c>
      <c r="AE302" s="57">
        <v>89.26</v>
      </c>
      <c r="AF302" s="57">
        <v>90.24</v>
      </c>
      <c r="AG302" s="56">
        <v>80.63</v>
      </c>
      <c r="AH302" s="57">
        <v>89.46</v>
      </c>
    </row>
    <row r="303" spans="1:34" ht="27" customHeight="1" x14ac:dyDescent="0.25">
      <c r="AA303" s="221"/>
      <c r="AB303" s="225" t="s">
        <v>287</v>
      </c>
      <c r="AC303" s="54">
        <v>24</v>
      </c>
      <c r="AD303" s="55" t="s">
        <v>288</v>
      </c>
      <c r="AE303" s="56">
        <v>83.76</v>
      </c>
      <c r="AF303" s="56">
        <v>83.52</v>
      </c>
      <c r="AG303" s="56">
        <v>84.95</v>
      </c>
      <c r="AH303" s="56">
        <v>84.92</v>
      </c>
    </row>
    <row r="304" spans="1:34" ht="27" customHeight="1" x14ac:dyDescent="0.25">
      <c r="AA304" s="221"/>
      <c r="AB304" s="228"/>
      <c r="AC304" s="54">
        <v>25</v>
      </c>
      <c r="AD304" s="55" t="s">
        <v>289</v>
      </c>
      <c r="AE304" s="60">
        <v>56.36</v>
      </c>
      <c r="AF304" s="60">
        <v>56.82</v>
      </c>
      <c r="AG304" s="56">
        <v>70.97</v>
      </c>
      <c r="AH304" s="56">
        <v>60.94</v>
      </c>
    </row>
    <row r="305" spans="1:34" ht="27" customHeight="1" x14ac:dyDescent="0.25">
      <c r="AA305" s="221"/>
      <c r="AB305" s="228"/>
      <c r="AC305" s="54">
        <v>26</v>
      </c>
      <c r="AD305" s="55" t="s">
        <v>290</v>
      </c>
      <c r="AE305" s="56">
        <v>73.209999999999994</v>
      </c>
      <c r="AF305" s="56">
        <v>68.22</v>
      </c>
      <c r="AG305" s="56">
        <v>78.45</v>
      </c>
      <c r="AH305" s="56">
        <v>71.95</v>
      </c>
    </row>
    <row r="306" spans="1:34" ht="27" customHeight="1" thickBot="1" x14ac:dyDescent="0.3">
      <c r="AA306" s="227"/>
      <c r="AB306" s="229"/>
      <c r="AC306" s="54">
        <v>27</v>
      </c>
      <c r="AD306" s="55" t="s">
        <v>291</v>
      </c>
      <c r="AE306" s="60">
        <v>53.07</v>
      </c>
      <c r="AF306" s="60">
        <v>48.6</v>
      </c>
      <c r="AG306" s="56">
        <v>72.040000000000006</v>
      </c>
      <c r="AH306" s="56">
        <v>74.650000000000006</v>
      </c>
    </row>
    <row r="319" spans="1:34" ht="15.75" thickBot="1" x14ac:dyDescent="0.3"/>
    <row r="320" spans="1:34" ht="37.5" customHeight="1" thickBot="1" x14ac:dyDescent="0.3">
      <c r="A320" t="s">
        <v>70</v>
      </c>
      <c r="AA320" s="181" t="s">
        <v>236</v>
      </c>
      <c r="AB320" s="181"/>
      <c r="AC320" s="154" t="s">
        <v>238</v>
      </c>
      <c r="AD320" s="154" t="s">
        <v>239</v>
      </c>
      <c r="AE320" s="154">
        <v>2017</v>
      </c>
      <c r="AF320" s="154">
        <v>2016</v>
      </c>
      <c r="AG320" s="154" t="s">
        <v>237</v>
      </c>
      <c r="AH320" s="154" t="s">
        <v>386</v>
      </c>
    </row>
    <row r="321" spans="27:34" ht="27" customHeight="1" x14ac:dyDescent="0.25">
      <c r="AA321" s="230" t="s">
        <v>17</v>
      </c>
      <c r="AB321" s="233" t="s">
        <v>293</v>
      </c>
      <c r="AC321" s="54">
        <v>28</v>
      </c>
      <c r="AD321" s="55" t="s">
        <v>294</v>
      </c>
      <c r="AE321" s="61">
        <v>30.96</v>
      </c>
      <c r="AF321" s="61">
        <v>31.49</v>
      </c>
      <c r="AG321" s="60">
        <v>51.79</v>
      </c>
      <c r="AH321" s="56">
        <v>61.71</v>
      </c>
    </row>
    <row r="322" spans="27:34" ht="27" customHeight="1" x14ac:dyDescent="0.25">
      <c r="AA322" s="231"/>
      <c r="AB322" s="234"/>
      <c r="AC322" s="54">
        <v>29</v>
      </c>
      <c r="AD322" s="55" t="s">
        <v>573</v>
      </c>
      <c r="AE322" s="61">
        <v>25.58</v>
      </c>
      <c r="AF322" s="61">
        <v>26.1</v>
      </c>
      <c r="AG322" s="60">
        <v>44.68</v>
      </c>
      <c r="AH322" s="60">
        <v>55.84</v>
      </c>
    </row>
    <row r="323" spans="27:34" ht="27" customHeight="1" x14ac:dyDescent="0.25">
      <c r="AA323" s="231"/>
      <c r="AB323" s="235" t="s">
        <v>295</v>
      </c>
      <c r="AC323" s="54">
        <v>30</v>
      </c>
      <c r="AD323" s="55" t="s">
        <v>296</v>
      </c>
      <c r="AE323" s="60">
        <v>57.41</v>
      </c>
      <c r="AF323" s="60">
        <v>54.95</v>
      </c>
      <c r="AG323" s="56">
        <v>65.959999999999994</v>
      </c>
      <c r="AH323" s="56">
        <v>62.59</v>
      </c>
    </row>
    <row r="324" spans="27:34" ht="27" customHeight="1" x14ac:dyDescent="0.25">
      <c r="AA324" s="232"/>
      <c r="AB324" s="234"/>
      <c r="AC324" s="54">
        <v>31</v>
      </c>
      <c r="AD324" s="55" t="s">
        <v>297</v>
      </c>
      <c r="AE324" s="57">
        <v>86.08</v>
      </c>
      <c r="AF324" s="56">
        <v>79.59</v>
      </c>
      <c r="AG324" s="57">
        <v>90.62</v>
      </c>
      <c r="AH324" s="56">
        <v>83.28</v>
      </c>
    </row>
    <row r="325" spans="27:34" ht="27" customHeight="1" x14ac:dyDescent="0.25">
      <c r="AA325" s="236" t="s">
        <v>18</v>
      </c>
      <c r="AB325" s="237"/>
      <c r="AC325" s="54">
        <v>32</v>
      </c>
      <c r="AD325" s="55" t="s">
        <v>298</v>
      </c>
      <c r="AE325" s="60">
        <v>49.04</v>
      </c>
      <c r="AF325" s="60">
        <v>48.96</v>
      </c>
      <c r="AG325" s="60">
        <v>59.33</v>
      </c>
      <c r="AH325" s="60">
        <v>53.9</v>
      </c>
    </row>
    <row r="326" spans="27:34" ht="27" customHeight="1" x14ac:dyDescent="0.25">
      <c r="AA326" s="236"/>
      <c r="AB326" s="237"/>
      <c r="AC326" s="54">
        <v>33</v>
      </c>
      <c r="AD326" s="55" t="s">
        <v>299</v>
      </c>
      <c r="AE326" s="56">
        <v>61.95</v>
      </c>
      <c r="AF326" s="56">
        <v>63.36</v>
      </c>
      <c r="AG326" s="56">
        <v>64.44</v>
      </c>
      <c r="AH326" s="56">
        <v>63.38</v>
      </c>
    </row>
    <row r="327" spans="27:34" ht="27" customHeight="1" x14ac:dyDescent="0.25">
      <c r="AA327" s="238"/>
      <c r="AB327" s="239"/>
      <c r="AC327" s="54">
        <v>34</v>
      </c>
      <c r="AD327" s="55" t="s">
        <v>300</v>
      </c>
      <c r="AE327" s="60">
        <v>55.56</v>
      </c>
      <c r="AF327" s="60">
        <v>53.31</v>
      </c>
      <c r="AG327" s="56">
        <v>68.69</v>
      </c>
      <c r="AH327" s="60">
        <v>56.45</v>
      </c>
    </row>
    <row r="328" spans="27:34" ht="27" customHeight="1" x14ac:dyDescent="0.25">
      <c r="AA328" s="240" t="s">
        <v>19</v>
      </c>
      <c r="AB328" s="242" t="s">
        <v>301</v>
      </c>
      <c r="AC328" s="54">
        <v>35</v>
      </c>
      <c r="AD328" s="55" t="s">
        <v>302</v>
      </c>
      <c r="AE328" s="56">
        <v>85.47</v>
      </c>
      <c r="AF328" s="57">
        <v>86.17</v>
      </c>
      <c r="AG328" s="57">
        <v>88.19</v>
      </c>
      <c r="AH328" s="57">
        <v>88.38</v>
      </c>
    </row>
    <row r="329" spans="27:34" ht="27" customHeight="1" x14ac:dyDescent="0.25">
      <c r="AA329" s="231"/>
      <c r="AB329" s="243"/>
      <c r="AC329" s="54">
        <v>36</v>
      </c>
      <c r="AD329" s="55" t="s">
        <v>303</v>
      </c>
      <c r="AE329" s="57">
        <v>96.19</v>
      </c>
      <c r="AF329" s="57">
        <v>93.62</v>
      </c>
      <c r="AG329" s="57">
        <v>94.83</v>
      </c>
      <c r="AH329" s="57">
        <v>94.83</v>
      </c>
    </row>
    <row r="330" spans="27:34" ht="27" customHeight="1" x14ac:dyDescent="0.25">
      <c r="AA330" s="231"/>
      <c r="AB330" s="243"/>
      <c r="AC330" s="54">
        <v>37</v>
      </c>
      <c r="AD330" s="55" t="s">
        <v>304</v>
      </c>
      <c r="AE330" s="57">
        <v>95.53</v>
      </c>
      <c r="AF330" s="57">
        <v>93.41</v>
      </c>
      <c r="AG330" s="57">
        <v>93.52</v>
      </c>
      <c r="AH330" s="57">
        <v>93.79</v>
      </c>
    </row>
    <row r="331" spans="27:34" ht="27" customHeight="1" x14ac:dyDescent="0.25">
      <c r="AA331" s="231"/>
      <c r="AB331" s="234"/>
      <c r="AC331" s="54">
        <v>38</v>
      </c>
      <c r="AD331" s="55" t="s">
        <v>305</v>
      </c>
      <c r="AE331" s="57">
        <v>94.08</v>
      </c>
      <c r="AF331" s="57">
        <v>90.26</v>
      </c>
      <c r="AG331" s="57">
        <v>92.24</v>
      </c>
      <c r="AH331" s="57">
        <v>92.49</v>
      </c>
    </row>
    <row r="332" spans="27:34" ht="27" customHeight="1" thickBot="1" x14ac:dyDescent="0.3">
      <c r="AA332" s="241"/>
      <c r="AB332" s="155" t="s">
        <v>306</v>
      </c>
      <c r="AC332" s="54">
        <v>39</v>
      </c>
      <c r="AD332" s="55" t="s">
        <v>331</v>
      </c>
      <c r="AE332" s="56">
        <v>74.73</v>
      </c>
      <c r="AF332" s="56">
        <v>71.62</v>
      </c>
      <c r="AG332" s="56">
        <v>81.91</v>
      </c>
      <c r="AH332" s="56">
        <v>74.92</v>
      </c>
    </row>
    <row r="346" spans="1:34" ht="15.75" thickBot="1" x14ac:dyDescent="0.3"/>
    <row r="347" spans="1:34" ht="37.5" customHeight="1" thickBot="1" x14ac:dyDescent="0.3">
      <c r="A347" t="s">
        <v>68</v>
      </c>
      <c r="AA347" s="181" t="s">
        <v>236</v>
      </c>
      <c r="AB347" s="181"/>
      <c r="AC347" s="154" t="s">
        <v>238</v>
      </c>
      <c r="AD347" s="154" t="s">
        <v>239</v>
      </c>
      <c r="AE347" s="154">
        <v>2017</v>
      </c>
      <c r="AF347" s="154">
        <v>2016</v>
      </c>
      <c r="AG347" s="154" t="s">
        <v>237</v>
      </c>
      <c r="AH347" s="154" t="s">
        <v>386</v>
      </c>
    </row>
    <row r="348" spans="1:34" ht="27" customHeight="1" x14ac:dyDescent="0.25">
      <c r="AA348" s="244" t="s">
        <v>20</v>
      </c>
      <c r="AB348" s="245"/>
      <c r="AC348" s="54">
        <v>40</v>
      </c>
      <c r="AD348" s="55" t="s">
        <v>308</v>
      </c>
      <c r="AE348" s="56">
        <v>73</v>
      </c>
      <c r="AF348" s="56">
        <v>70.790000000000006</v>
      </c>
      <c r="AG348" s="56">
        <v>77.8</v>
      </c>
      <c r="AH348" s="56">
        <v>79.180000000000007</v>
      </c>
    </row>
    <row r="349" spans="1:34" ht="27" customHeight="1" x14ac:dyDescent="0.25">
      <c r="AA349" s="246"/>
      <c r="AB349" s="247"/>
      <c r="AC349" s="54">
        <v>41</v>
      </c>
      <c r="AD349" s="55" t="s">
        <v>309</v>
      </c>
      <c r="AE349" s="56">
        <v>62.76</v>
      </c>
      <c r="AF349" s="56">
        <v>61.51</v>
      </c>
      <c r="AG349" s="56">
        <v>74.849999999999994</v>
      </c>
      <c r="AH349" s="56">
        <v>75.55</v>
      </c>
    </row>
    <row r="350" spans="1:34" ht="27" customHeight="1" x14ac:dyDescent="0.25">
      <c r="AA350" s="248" t="s">
        <v>21</v>
      </c>
      <c r="AB350" s="249"/>
      <c r="AC350" s="54">
        <v>42</v>
      </c>
      <c r="AD350" s="55" t="s">
        <v>310</v>
      </c>
      <c r="AE350" s="56">
        <v>79.37</v>
      </c>
      <c r="AF350" s="56">
        <v>76.47</v>
      </c>
      <c r="AG350" s="57">
        <v>87.31</v>
      </c>
      <c r="AH350" s="56">
        <v>84.17</v>
      </c>
    </row>
    <row r="351" spans="1:34" ht="27" customHeight="1" x14ac:dyDescent="0.25">
      <c r="AA351" s="246"/>
      <c r="AB351" s="247"/>
      <c r="AC351" s="54">
        <v>43</v>
      </c>
      <c r="AD351" s="55" t="s">
        <v>311</v>
      </c>
      <c r="AE351" s="56">
        <v>67.22</v>
      </c>
      <c r="AF351" s="56">
        <v>66.42</v>
      </c>
      <c r="AG351" s="56">
        <v>72.97</v>
      </c>
      <c r="AH351" s="56">
        <v>74.2</v>
      </c>
    </row>
    <row r="352" spans="1:34" ht="27" customHeight="1" x14ac:dyDescent="0.25">
      <c r="AA352" s="248" t="s">
        <v>22</v>
      </c>
      <c r="AB352" s="249"/>
      <c r="AC352" s="54">
        <v>44</v>
      </c>
      <c r="AD352" s="55" t="s">
        <v>312</v>
      </c>
      <c r="AE352" s="56">
        <v>68.86</v>
      </c>
      <c r="AF352" s="56">
        <v>64.790000000000006</v>
      </c>
      <c r="AG352" s="56">
        <v>79.09</v>
      </c>
      <c r="AH352" s="56">
        <v>78.23</v>
      </c>
    </row>
    <row r="353" spans="27:34" ht="27" customHeight="1" x14ac:dyDescent="0.25">
      <c r="AA353" s="250"/>
      <c r="AB353" s="251"/>
      <c r="AC353" s="54">
        <v>45</v>
      </c>
      <c r="AD353" s="55" t="s">
        <v>313</v>
      </c>
      <c r="AE353" s="56">
        <v>80.17</v>
      </c>
      <c r="AF353" s="56">
        <v>76.819999999999993</v>
      </c>
      <c r="AG353" s="57">
        <v>85.6</v>
      </c>
      <c r="AH353" s="57">
        <v>88.42</v>
      </c>
    </row>
    <row r="354" spans="27:34" ht="27" customHeight="1" x14ac:dyDescent="0.25">
      <c r="AA354" s="250"/>
      <c r="AB354" s="251"/>
      <c r="AC354" s="54">
        <v>46</v>
      </c>
      <c r="AD354" s="55" t="s">
        <v>314</v>
      </c>
      <c r="AE354" s="56">
        <v>64.84</v>
      </c>
      <c r="AF354" s="56">
        <v>62.87</v>
      </c>
      <c r="AG354" s="56">
        <v>78.81</v>
      </c>
      <c r="AH354" s="56">
        <v>73.88</v>
      </c>
    </row>
    <row r="355" spans="27:34" ht="27" customHeight="1" thickBot="1" x14ac:dyDescent="0.3">
      <c r="AA355" s="252"/>
      <c r="AB355" s="253"/>
      <c r="AC355" s="54">
        <v>47</v>
      </c>
      <c r="AD355" s="55" t="s">
        <v>315</v>
      </c>
      <c r="AE355" s="56">
        <v>64.959999999999994</v>
      </c>
      <c r="AF355" s="60">
        <v>57.79</v>
      </c>
      <c r="AG355" s="56">
        <v>79.37</v>
      </c>
      <c r="AH355" s="56">
        <v>74.37</v>
      </c>
    </row>
    <row r="372" spans="1:34" ht="15.75" thickBot="1" x14ac:dyDescent="0.3"/>
    <row r="373" spans="1:34" ht="37.5" customHeight="1" thickBot="1" x14ac:dyDescent="0.3">
      <c r="A373" t="s">
        <v>69</v>
      </c>
      <c r="AA373" s="181" t="s">
        <v>236</v>
      </c>
      <c r="AB373" s="181"/>
      <c r="AC373" s="154" t="s">
        <v>238</v>
      </c>
      <c r="AD373" s="154" t="s">
        <v>239</v>
      </c>
      <c r="AE373" s="154">
        <v>2017</v>
      </c>
      <c r="AF373" s="154">
        <v>2016</v>
      </c>
      <c r="AG373" s="154" t="s">
        <v>237</v>
      </c>
      <c r="AH373" s="154" t="s">
        <v>386</v>
      </c>
    </row>
    <row r="374" spans="1:34" ht="27" customHeight="1" x14ac:dyDescent="0.25">
      <c r="AA374" s="254" t="s">
        <v>23</v>
      </c>
      <c r="AB374" s="255"/>
      <c r="AC374" s="54">
        <v>48</v>
      </c>
      <c r="AD374" s="55" t="s">
        <v>317</v>
      </c>
      <c r="AE374" s="56">
        <v>83.79</v>
      </c>
      <c r="AF374" s="56">
        <v>80.19</v>
      </c>
      <c r="AG374" s="57">
        <v>87.45</v>
      </c>
      <c r="AH374" s="56">
        <v>85.11</v>
      </c>
    </row>
    <row r="375" spans="1:34" ht="27" customHeight="1" x14ac:dyDescent="0.25">
      <c r="AA375" s="177"/>
      <c r="AB375" s="178"/>
      <c r="AC375" s="54">
        <v>49</v>
      </c>
      <c r="AD375" s="55" t="s">
        <v>318</v>
      </c>
      <c r="AE375" s="56">
        <v>82.91</v>
      </c>
      <c r="AF375" s="56">
        <v>67.98</v>
      </c>
      <c r="AG375" s="56">
        <v>85.47</v>
      </c>
      <c r="AH375" s="56">
        <v>71.53</v>
      </c>
    </row>
    <row r="376" spans="1:34" ht="27" customHeight="1" x14ac:dyDescent="0.25">
      <c r="AA376" s="256"/>
      <c r="AB376" s="257"/>
      <c r="AC376" s="54">
        <v>50</v>
      </c>
      <c r="AD376" s="55" t="s">
        <v>319</v>
      </c>
      <c r="AE376" s="56">
        <v>67.3</v>
      </c>
      <c r="AF376" s="56">
        <v>65.790000000000006</v>
      </c>
      <c r="AG376" s="56">
        <v>81.22</v>
      </c>
      <c r="AH376" s="56">
        <v>68.31</v>
      </c>
    </row>
    <row r="377" spans="1:34" ht="27" customHeight="1" x14ac:dyDescent="0.25">
      <c r="AA377" s="258" t="s">
        <v>24</v>
      </c>
      <c r="AB377" s="261" t="s">
        <v>320</v>
      </c>
      <c r="AC377" s="54">
        <v>51</v>
      </c>
      <c r="AD377" s="55" t="s">
        <v>321</v>
      </c>
      <c r="AE377" s="56">
        <v>82.71</v>
      </c>
      <c r="AF377" s="56">
        <v>77.84</v>
      </c>
      <c r="AG377" s="57">
        <v>89.51</v>
      </c>
      <c r="AH377" s="56">
        <v>80.28</v>
      </c>
    </row>
    <row r="378" spans="1:34" ht="27" customHeight="1" x14ac:dyDescent="0.25">
      <c r="AA378" s="259"/>
      <c r="AB378" s="262"/>
      <c r="AC378" s="54">
        <v>52</v>
      </c>
      <c r="AD378" s="55" t="s">
        <v>322</v>
      </c>
      <c r="AE378" s="56">
        <v>73.63</v>
      </c>
      <c r="AF378" s="56">
        <v>71.72</v>
      </c>
      <c r="AG378" s="56">
        <v>82.63</v>
      </c>
      <c r="AH378" s="56">
        <v>78.89</v>
      </c>
    </row>
    <row r="379" spans="1:34" ht="27" customHeight="1" x14ac:dyDescent="0.25">
      <c r="AA379" s="259"/>
      <c r="AB379" s="263" t="s">
        <v>323</v>
      </c>
      <c r="AC379" s="54">
        <v>53</v>
      </c>
      <c r="AD379" s="55" t="s">
        <v>324</v>
      </c>
      <c r="AE379" s="56">
        <v>79.540000000000006</v>
      </c>
      <c r="AF379" s="56">
        <v>76.92</v>
      </c>
      <c r="AG379" s="57">
        <v>91.37</v>
      </c>
      <c r="AH379" s="56">
        <v>80.2</v>
      </c>
    </row>
    <row r="380" spans="1:34" ht="27" customHeight="1" x14ac:dyDescent="0.25">
      <c r="AA380" s="260"/>
      <c r="AB380" s="262"/>
      <c r="AC380" s="54">
        <v>54</v>
      </c>
      <c r="AD380" s="55" t="s">
        <v>325</v>
      </c>
      <c r="AE380" s="56">
        <v>71.55</v>
      </c>
      <c r="AF380" s="56">
        <v>65.180000000000007</v>
      </c>
      <c r="AG380" s="56">
        <v>82.91</v>
      </c>
      <c r="AH380" s="56">
        <v>72.17</v>
      </c>
    </row>
    <row r="381" spans="1:34" ht="27" customHeight="1" x14ac:dyDescent="0.25">
      <c r="AA381" s="177" t="s">
        <v>25</v>
      </c>
      <c r="AB381" s="178"/>
      <c r="AC381" s="54">
        <v>55</v>
      </c>
      <c r="AD381" s="55" t="s">
        <v>326</v>
      </c>
      <c r="AE381" s="56">
        <v>63.08</v>
      </c>
      <c r="AF381" s="60">
        <v>57.49</v>
      </c>
      <c r="AG381" s="56">
        <v>77.45</v>
      </c>
      <c r="AH381" s="56">
        <v>67.37</v>
      </c>
    </row>
    <row r="382" spans="1:34" ht="27" customHeight="1" x14ac:dyDescent="0.25">
      <c r="AA382" s="177"/>
      <c r="AB382" s="178"/>
      <c r="AC382" s="54">
        <v>56</v>
      </c>
      <c r="AD382" s="55" t="s">
        <v>327</v>
      </c>
      <c r="AE382" s="56">
        <v>62.58</v>
      </c>
      <c r="AF382" s="60">
        <v>58.54</v>
      </c>
      <c r="AG382" s="56">
        <v>75.42</v>
      </c>
      <c r="AH382" s="56">
        <v>70.14</v>
      </c>
    </row>
    <row r="383" spans="1:34" ht="27" customHeight="1" thickBot="1" x14ac:dyDescent="0.3">
      <c r="AA383" s="179"/>
      <c r="AB383" s="180"/>
      <c r="AC383" s="54">
        <v>57</v>
      </c>
      <c r="AD383" s="55" t="s">
        <v>328</v>
      </c>
      <c r="AE383" s="56">
        <v>73.75</v>
      </c>
      <c r="AF383" s="56">
        <v>71.25</v>
      </c>
      <c r="AG383" s="56">
        <v>81.459999999999994</v>
      </c>
      <c r="AH383" s="56">
        <v>74.08</v>
      </c>
    </row>
    <row r="400" spans="1:28" ht="39" customHeight="1" thickBot="1" x14ac:dyDescent="0.3">
      <c r="A400" t="s">
        <v>92</v>
      </c>
      <c r="R400" s="292" t="s">
        <v>129</v>
      </c>
      <c r="S400" s="292"/>
      <c r="T400" s="293" t="s">
        <v>236</v>
      </c>
      <c r="U400" s="294">
        <v>2017</v>
      </c>
      <c r="V400" s="294">
        <v>2016</v>
      </c>
      <c r="W400" s="294" t="s">
        <v>237</v>
      </c>
      <c r="X400" s="294" t="s">
        <v>386</v>
      </c>
      <c r="Y400" s="294" t="s">
        <v>567</v>
      </c>
      <c r="Z400" s="294" t="s">
        <v>568</v>
      </c>
      <c r="AA400" s="295" t="s">
        <v>569</v>
      </c>
      <c r="AB400" s="290"/>
    </row>
    <row r="401" spans="1:28" ht="24.95" customHeight="1" x14ac:dyDescent="0.25">
      <c r="A401" t="s">
        <v>75</v>
      </c>
      <c r="R401" s="326" t="s">
        <v>33</v>
      </c>
      <c r="S401" s="323">
        <v>72</v>
      </c>
      <c r="T401" s="320" t="s">
        <v>11</v>
      </c>
      <c r="U401" s="296">
        <v>72.86</v>
      </c>
      <c r="V401" s="296">
        <v>69.040000000000006</v>
      </c>
      <c r="W401" s="296">
        <v>77.650000000000006</v>
      </c>
      <c r="X401" s="296">
        <v>74.09</v>
      </c>
      <c r="Y401" s="296">
        <v>3.82</v>
      </c>
      <c r="Z401" s="296">
        <v>-4.79</v>
      </c>
      <c r="AA401" s="297">
        <v>-1.23</v>
      </c>
      <c r="AB401" s="289"/>
    </row>
    <row r="402" spans="1:28" ht="24.95" customHeight="1" x14ac:dyDescent="0.25">
      <c r="R402" s="327"/>
      <c r="S402" s="324"/>
      <c r="T402" s="321" t="s">
        <v>12</v>
      </c>
      <c r="U402" s="298">
        <v>74.16</v>
      </c>
      <c r="V402" s="298">
        <v>70.680000000000007</v>
      </c>
      <c r="W402" s="298">
        <v>79.209999999999994</v>
      </c>
      <c r="X402" s="298">
        <v>76.3</v>
      </c>
      <c r="Y402" s="298">
        <v>3.48</v>
      </c>
      <c r="Z402" s="298">
        <v>-5.05</v>
      </c>
      <c r="AA402" s="299">
        <v>-2.14</v>
      </c>
      <c r="AB402" s="289"/>
    </row>
    <row r="403" spans="1:28" ht="24.95" customHeight="1" thickBot="1" x14ac:dyDescent="0.3">
      <c r="R403" s="328"/>
      <c r="S403" s="325"/>
      <c r="T403" s="322" t="s">
        <v>13</v>
      </c>
      <c r="U403" s="300">
        <v>69.47</v>
      </c>
      <c r="V403" s="300">
        <v>68.489999999999995</v>
      </c>
      <c r="W403" s="300">
        <v>79.099999999999994</v>
      </c>
      <c r="X403" s="300">
        <v>72.11</v>
      </c>
      <c r="Y403" s="300">
        <v>0.98</v>
      </c>
      <c r="Z403" s="300">
        <v>-9.6300000000000008</v>
      </c>
      <c r="AA403" s="301">
        <v>-2.64</v>
      </c>
      <c r="AB403" s="289"/>
    </row>
    <row r="404" spans="1:28" ht="24.95" customHeight="1" x14ac:dyDescent="0.25">
      <c r="R404" s="335" t="s">
        <v>37</v>
      </c>
      <c r="S404" s="332">
        <v>73</v>
      </c>
      <c r="T404" s="329" t="s">
        <v>14</v>
      </c>
      <c r="U404" s="302">
        <v>74.599999999999994</v>
      </c>
      <c r="V404" s="302">
        <v>72.3</v>
      </c>
      <c r="W404" s="302">
        <v>76.66</v>
      </c>
      <c r="X404" s="302">
        <v>76.430000000000007</v>
      </c>
      <c r="Y404" s="302">
        <v>2.2999999999999998</v>
      </c>
      <c r="Z404" s="302">
        <v>-2.06</v>
      </c>
      <c r="AA404" s="303">
        <v>-1.83</v>
      </c>
      <c r="AB404" s="289"/>
    </row>
    <row r="405" spans="1:28" ht="24.95" customHeight="1" x14ac:dyDescent="0.25">
      <c r="R405" s="336"/>
      <c r="S405" s="333"/>
      <c r="T405" s="330" t="s">
        <v>15</v>
      </c>
      <c r="U405" s="304">
        <v>68.69</v>
      </c>
      <c r="V405" s="304">
        <v>64.569999999999993</v>
      </c>
      <c r="W405" s="304">
        <v>73.13</v>
      </c>
      <c r="X405" s="304">
        <v>69.81</v>
      </c>
      <c r="Y405" s="304">
        <v>4.12</v>
      </c>
      <c r="Z405" s="304">
        <v>-4.4400000000000004</v>
      </c>
      <c r="AA405" s="305">
        <v>-1.1200000000000001</v>
      </c>
      <c r="AB405" s="289"/>
    </row>
    <row r="406" spans="1:28" ht="24.95" customHeight="1" thickBot="1" x14ac:dyDescent="0.3">
      <c r="R406" s="337"/>
      <c r="S406" s="334"/>
      <c r="T406" s="331" t="s">
        <v>16</v>
      </c>
      <c r="U406" s="306">
        <v>74.069999999999993</v>
      </c>
      <c r="V406" s="306">
        <v>71.52</v>
      </c>
      <c r="W406" s="306">
        <v>79.02</v>
      </c>
      <c r="X406" s="306">
        <v>77.8</v>
      </c>
      <c r="Y406" s="306">
        <v>2.5499999999999998</v>
      </c>
      <c r="Z406" s="306">
        <v>-4.95</v>
      </c>
      <c r="AA406" s="307">
        <v>-3.73</v>
      </c>
      <c r="AB406" s="289"/>
    </row>
    <row r="407" spans="1:28" ht="24.95" customHeight="1" x14ac:dyDescent="0.25">
      <c r="R407" s="344" t="s">
        <v>41</v>
      </c>
      <c r="S407" s="341">
        <v>68</v>
      </c>
      <c r="T407" s="338" t="s">
        <v>17</v>
      </c>
      <c r="U407" s="296">
        <v>50.01</v>
      </c>
      <c r="V407" s="296">
        <v>48.03</v>
      </c>
      <c r="W407" s="296">
        <v>63.26</v>
      </c>
      <c r="X407" s="296">
        <v>65.86</v>
      </c>
      <c r="Y407" s="296">
        <v>1.98</v>
      </c>
      <c r="Z407" s="296">
        <v>-13.25</v>
      </c>
      <c r="AA407" s="297">
        <v>-15.85</v>
      </c>
      <c r="AB407" s="289"/>
    </row>
    <row r="408" spans="1:28" ht="24.95" customHeight="1" x14ac:dyDescent="0.25">
      <c r="R408" s="345"/>
      <c r="S408" s="342"/>
      <c r="T408" s="339" t="s">
        <v>18</v>
      </c>
      <c r="U408" s="308">
        <v>55.52</v>
      </c>
      <c r="V408" s="308">
        <v>55.21</v>
      </c>
      <c r="W408" s="308">
        <v>64.150000000000006</v>
      </c>
      <c r="X408" s="308">
        <v>57.91</v>
      </c>
      <c r="Y408" s="308">
        <v>0.31</v>
      </c>
      <c r="Z408" s="308">
        <v>-8.6300000000000008</v>
      </c>
      <c r="AA408" s="309">
        <v>-2.39</v>
      </c>
      <c r="AB408" s="289"/>
    </row>
    <row r="409" spans="1:28" ht="24.95" customHeight="1" thickBot="1" x14ac:dyDescent="0.3">
      <c r="R409" s="346"/>
      <c r="S409" s="343"/>
      <c r="T409" s="340" t="s">
        <v>19</v>
      </c>
      <c r="U409" s="310">
        <v>89.2</v>
      </c>
      <c r="V409" s="310">
        <v>87.02</v>
      </c>
      <c r="W409" s="310">
        <v>90.14</v>
      </c>
      <c r="X409" s="310">
        <v>88.89</v>
      </c>
      <c r="Y409" s="310">
        <v>2.1800000000000002</v>
      </c>
      <c r="Z409" s="310">
        <v>-0.94</v>
      </c>
      <c r="AA409" s="311">
        <v>0.31</v>
      </c>
      <c r="AB409" s="289"/>
    </row>
    <row r="410" spans="1:28" ht="24.95" customHeight="1" x14ac:dyDescent="0.25">
      <c r="R410" s="352" t="s">
        <v>45</v>
      </c>
      <c r="S410" s="349">
        <v>70</v>
      </c>
      <c r="T410" s="347" t="s">
        <v>20</v>
      </c>
      <c r="U410" s="302">
        <v>67.88</v>
      </c>
      <c r="V410" s="302">
        <v>66.150000000000006</v>
      </c>
      <c r="W410" s="302">
        <v>76.319999999999993</v>
      </c>
      <c r="X410" s="302">
        <v>77.37</v>
      </c>
      <c r="Y410" s="302">
        <v>1.73</v>
      </c>
      <c r="Z410" s="302">
        <v>-8.44</v>
      </c>
      <c r="AA410" s="303">
        <v>-9.49</v>
      </c>
      <c r="AB410" s="289"/>
    </row>
    <row r="411" spans="1:28" ht="24.95" customHeight="1" x14ac:dyDescent="0.25">
      <c r="R411" s="353"/>
      <c r="S411" s="350"/>
      <c r="T411" s="348" t="s">
        <v>21</v>
      </c>
      <c r="U411" s="312">
        <v>73.3</v>
      </c>
      <c r="V411" s="312">
        <v>71.45</v>
      </c>
      <c r="W411" s="312">
        <v>80.14</v>
      </c>
      <c r="X411" s="312">
        <v>79.19</v>
      </c>
      <c r="Y411" s="312">
        <v>1.85</v>
      </c>
      <c r="Z411" s="312">
        <v>-6.84</v>
      </c>
      <c r="AA411" s="313">
        <v>-5.89</v>
      </c>
      <c r="AB411" s="289"/>
    </row>
    <row r="412" spans="1:28" ht="24.95" customHeight="1" thickBot="1" x14ac:dyDescent="0.3">
      <c r="R412" s="354"/>
      <c r="S412" s="351"/>
      <c r="T412" s="348" t="s">
        <v>22</v>
      </c>
      <c r="U412" s="312">
        <v>69.709999999999994</v>
      </c>
      <c r="V412" s="312">
        <v>65.569999999999993</v>
      </c>
      <c r="W412" s="312">
        <v>80.72</v>
      </c>
      <c r="X412" s="312">
        <v>78.72</v>
      </c>
      <c r="Y412" s="312">
        <v>4.1399999999999997</v>
      </c>
      <c r="Z412" s="312">
        <v>-11.01</v>
      </c>
      <c r="AA412" s="313">
        <v>-9.01</v>
      </c>
      <c r="AB412" s="289"/>
    </row>
    <row r="413" spans="1:28" ht="24.95" customHeight="1" x14ac:dyDescent="0.25">
      <c r="R413" s="361" t="s">
        <v>137</v>
      </c>
      <c r="S413" s="358">
        <v>74</v>
      </c>
      <c r="T413" s="355" t="s">
        <v>23</v>
      </c>
      <c r="U413" s="314">
        <v>78</v>
      </c>
      <c r="V413" s="314">
        <v>71.319999999999993</v>
      </c>
      <c r="W413" s="314">
        <v>84.71</v>
      </c>
      <c r="X413" s="314">
        <v>74.98</v>
      </c>
      <c r="Y413" s="314">
        <v>6.68</v>
      </c>
      <c r="Z413" s="314">
        <v>-6.71</v>
      </c>
      <c r="AA413" s="315">
        <v>3.02</v>
      </c>
      <c r="AB413" s="289"/>
    </row>
    <row r="414" spans="1:28" ht="24.95" customHeight="1" x14ac:dyDescent="0.25">
      <c r="R414" s="362"/>
      <c r="S414" s="359"/>
      <c r="T414" s="356" t="s">
        <v>24</v>
      </c>
      <c r="U414" s="316">
        <v>76.86</v>
      </c>
      <c r="V414" s="316">
        <v>72.92</v>
      </c>
      <c r="W414" s="316">
        <v>86.6</v>
      </c>
      <c r="X414" s="316">
        <v>77.89</v>
      </c>
      <c r="Y414" s="316">
        <v>3.94</v>
      </c>
      <c r="Z414" s="316">
        <v>-9.74</v>
      </c>
      <c r="AA414" s="317">
        <v>-1.03</v>
      </c>
      <c r="AB414" s="289"/>
    </row>
    <row r="415" spans="1:28" ht="24.95" customHeight="1" thickBot="1" x14ac:dyDescent="0.3">
      <c r="R415" s="363"/>
      <c r="S415" s="360"/>
      <c r="T415" s="357" t="s">
        <v>25</v>
      </c>
      <c r="U415" s="318">
        <v>66.47</v>
      </c>
      <c r="V415" s="318">
        <v>62.42</v>
      </c>
      <c r="W415" s="318">
        <v>78.11</v>
      </c>
      <c r="X415" s="318">
        <v>70.53</v>
      </c>
      <c r="Y415" s="318">
        <v>4.05</v>
      </c>
      <c r="Z415" s="318">
        <v>-11.64</v>
      </c>
      <c r="AA415" s="319">
        <v>-4.0599999999999996</v>
      </c>
      <c r="AB415" s="289"/>
    </row>
    <row r="468" spans="1:48" ht="24.75" customHeight="1" x14ac:dyDescent="0.25">
      <c r="A468" t="s">
        <v>71</v>
      </c>
      <c r="AP468" s="172" t="s">
        <v>129</v>
      </c>
      <c r="AQ468" s="172"/>
      <c r="AR468" s="74" t="s">
        <v>236</v>
      </c>
      <c r="AS468" s="74" t="s">
        <v>238</v>
      </c>
      <c r="AT468" s="74" t="s">
        <v>239</v>
      </c>
      <c r="AU468" s="74">
        <v>2017</v>
      </c>
      <c r="AV468" s="74" t="s">
        <v>584</v>
      </c>
    </row>
    <row r="469" spans="1:48" ht="24.75" customHeight="1" x14ac:dyDescent="0.25">
      <c r="AP469" s="173" t="s">
        <v>132</v>
      </c>
      <c r="AQ469" s="173"/>
      <c r="AR469" s="85" t="s">
        <v>283</v>
      </c>
      <c r="AS469" s="86">
        <v>21</v>
      </c>
      <c r="AT469" s="86" t="s">
        <v>284</v>
      </c>
      <c r="AU469" s="87">
        <v>96.25</v>
      </c>
      <c r="AV469" s="87">
        <v>24.68</v>
      </c>
    </row>
    <row r="470" spans="1:48" ht="24.75" customHeight="1" x14ac:dyDescent="0.25">
      <c r="AP470" s="174" t="s">
        <v>130</v>
      </c>
      <c r="AQ470" s="174"/>
      <c r="AR470" s="76" t="s">
        <v>301</v>
      </c>
      <c r="AS470" s="77">
        <v>36</v>
      </c>
      <c r="AT470" s="77" t="s">
        <v>303</v>
      </c>
      <c r="AU470" s="78">
        <v>96.19</v>
      </c>
      <c r="AV470" s="78">
        <v>24.61</v>
      </c>
    </row>
    <row r="471" spans="1:48" ht="24.75" customHeight="1" x14ac:dyDescent="0.25">
      <c r="AP471" s="174" t="s">
        <v>130</v>
      </c>
      <c r="AQ471" s="174"/>
      <c r="AR471" s="76" t="s">
        <v>301</v>
      </c>
      <c r="AS471" s="77">
        <v>37</v>
      </c>
      <c r="AT471" s="77" t="s">
        <v>304</v>
      </c>
      <c r="AU471" s="78">
        <v>95.53</v>
      </c>
      <c r="AV471" s="78">
        <v>23.96</v>
      </c>
    </row>
    <row r="472" spans="1:48" ht="24.75" customHeight="1" x14ac:dyDescent="0.25">
      <c r="AP472" s="175" t="s">
        <v>130</v>
      </c>
      <c r="AQ472" s="175"/>
      <c r="AR472" s="76" t="s">
        <v>301</v>
      </c>
      <c r="AS472" s="77">
        <v>38</v>
      </c>
      <c r="AT472" s="77" t="s">
        <v>305</v>
      </c>
      <c r="AU472" s="78">
        <v>94.08</v>
      </c>
      <c r="AV472" s="78">
        <v>22.51</v>
      </c>
    </row>
    <row r="473" spans="1:48" ht="24.75" customHeight="1" x14ac:dyDescent="0.25">
      <c r="AP473" s="176" t="s">
        <v>132</v>
      </c>
      <c r="AQ473" s="176"/>
      <c r="AR473" s="85" t="s">
        <v>283</v>
      </c>
      <c r="AS473" s="86">
        <v>23</v>
      </c>
      <c r="AT473" s="86" t="s">
        <v>286</v>
      </c>
      <c r="AU473" s="87">
        <v>89.26</v>
      </c>
      <c r="AV473" s="87">
        <v>17.690000000000001</v>
      </c>
    </row>
    <row r="474" spans="1:48" ht="24.75" customHeight="1" x14ac:dyDescent="0.25">
      <c r="AP474" s="173" t="s">
        <v>132</v>
      </c>
      <c r="AQ474" s="173"/>
      <c r="AR474" s="85" t="s">
        <v>275</v>
      </c>
      <c r="AS474" s="86">
        <v>16</v>
      </c>
      <c r="AT474" s="86" t="s">
        <v>277</v>
      </c>
      <c r="AU474" s="87">
        <v>86.25</v>
      </c>
      <c r="AV474" s="87">
        <v>14.68</v>
      </c>
    </row>
    <row r="475" spans="1:48" ht="24.75" customHeight="1" x14ac:dyDescent="0.25">
      <c r="AP475" s="266" t="s">
        <v>130</v>
      </c>
      <c r="AQ475" s="266"/>
      <c r="AR475" s="76" t="s">
        <v>295</v>
      </c>
      <c r="AS475" s="77">
        <v>31</v>
      </c>
      <c r="AT475" s="77" t="s">
        <v>297</v>
      </c>
      <c r="AU475" s="78">
        <v>86.08</v>
      </c>
      <c r="AV475" s="78">
        <v>14.5</v>
      </c>
    </row>
    <row r="476" spans="1:48" ht="24.75" customHeight="1" x14ac:dyDescent="0.25">
      <c r="AP476" s="267" t="s">
        <v>131</v>
      </c>
      <c r="AQ476" s="267"/>
      <c r="AR476" s="82" t="s">
        <v>264</v>
      </c>
      <c r="AS476" s="83">
        <v>9</v>
      </c>
      <c r="AT476" s="83" t="s">
        <v>571</v>
      </c>
      <c r="AU476" s="84">
        <v>85.71</v>
      </c>
      <c r="AV476" s="84">
        <v>14.14</v>
      </c>
    </row>
    <row r="477" spans="1:48" ht="24.75" customHeight="1" x14ac:dyDescent="0.25">
      <c r="AP477" s="268" t="s">
        <v>130</v>
      </c>
      <c r="AQ477" s="268"/>
      <c r="AR477" s="76" t="s">
        <v>301</v>
      </c>
      <c r="AS477" s="77">
        <v>35</v>
      </c>
      <c r="AT477" s="77" t="s">
        <v>302</v>
      </c>
      <c r="AU477" s="78">
        <v>85.47</v>
      </c>
      <c r="AV477" s="78">
        <v>13.9</v>
      </c>
    </row>
    <row r="478" spans="1:48" ht="24.75" customHeight="1" x14ac:dyDescent="0.25">
      <c r="AP478" s="269" t="s">
        <v>330</v>
      </c>
      <c r="AQ478" s="269"/>
      <c r="AR478" s="79" t="s">
        <v>23</v>
      </c>
      <c r="AS478" s="80">
        <v>48</v>
      </c>
      <c r="AT478" s="80" t="s">
        <v>317</v>
      </c>
      <c r="AU478" s="81">
        <v>83.79</v>
      </c>
      <c r="AV478" s="81">
        <v>12.22</v>
      </c>
    </row>
    <row r="495" spans="1:48" ht="24.75" customHeight="1" x14ac:dyDescent="0.25">
      <c r="A495" t="s">
        <v>72</v>
      </c>
      <c r="AP495" s="270" t="s">
        <v>129</v>
      </c>
      <c r="AQ495" s="270"/>
      <c r="AR495" s="74" t="s">
        <v>236</v>
      </c>
      <c r="AS495" s="74" t="s">
        <v>238</v>
      </c>
      <c r="AT495" s="74" t="s">
        <v>239</v>
      </c>
      <c r="AU495" s="74">
        <v>2017</v>
      </c>
      <c r="AV495" s="74" t="s">
        <v>584</v>
      </c>
    </row>
    <row r="496" spans="1:48" ht="24.75" customHeight="1" x14ac:dyDescent="0.25">
      <c r="AP496" s="174" t="s">
        <v>130</v>
      </c>
      <c r="AQ496" s="174"/>
      <c r="AR496" s="76" t="s">
        <v>293</v>
      </c>
      <c r="AS496" s="77">
        <v>29</v>
      </c>
      <c r="AT496" s="77" t="s">
        <v>573</v>
      </c>
      <c r="AU496" s="78">
        <v>25.58</v>
      </c>
      <c r="AV496" s="78">
        <v>-46</v>
      </c>
    </row>
    <row r="497" spans="42:48" ht="24.75" customHeight="1" x14ac:dyDescent="0.25">
      <c r="AP497" s="174" t="s">
        <v>130</v>
      </c>
      <c r="AQ497" s="174"/>
      <c r="AR497" s="76" t="s">
        <v>293</v>
      </c>
      <c r="AS497" s="77">
        <v>28</v>
      </c>
      <c r="AT497" s="77" t="s">
        <v>294</v>
      </c>
      <c r="AU497" s="78">
        <v>30.96</v>
      </c>
      <c r="AV497" s="78">
        <v>-40.61</v>
      </c>
    </row>
    <row r="498" spans="42:48" ht="24.75" customHeight="1" x14ac:dyDescent="0.25">
      <c r="AP498" s="175" t="s">
        <v>130</v>
      </c>
      <c r="AQ498" s="175"/>
      <c r="AR498" s="76" t="s">
        <v>18</v>
      </c>
      <c r="AS498" s="77">
        <v>32</v>
      </c>
      <c r="AT498" s="77" t="s">
        <v>298</v>
      </c>
      <c r="AU498" s="78">
        <v>49.04</v>
      </c>
      <c r="AV498" s="78">
        <v>-22.53</v>
      </c>
    </row>
    <row r="499" spans="42:48" ht="24.75" customHeight="1" x14ac:dyDescent="0.25">
      <c r="AP499" s="173" t="s">
        <v>132</v>
      </c>
      <c r="AQ499" s="173"/>
      <c r="AR499" s="85" t="s">
        <v>287</v>
      </c>
      <c r="AS499" s="86">
        <v>27</v>
      </c>
      <c r="AT499" s="86" t="s">
        <v>291</v>
      </c>
      <c r="AU499" s="87">
        <v>53.07</v>
      </c>
      <c r="AV499" s="87">
        <v>-18.510000000000002</v>
      </c>
    </row>
    <row r="500" spans="42:48" ht="24.75" customHeight="1" x14ac:dyDescent="0.25">
      <c r="AP500" s="175" t="s">
        <v>130</v>
      </c>
      <c r="AQ500" s="175"/>
      <c r="AR500" s="76" t="s">
        <v>18</v>
      </c>
      <c r="AS500" s="77">
        <v>34</v>
      </c>
      <c r="AT500" s="77" t="s">
        <v>300</v>
      </c>
      <c r="AU500" s="78">
        <v>55.56</v>
      </c>
      <c r="AV500" s="78">
        <v>-16.02</v>
      </c>
    </row>
    <row r="501" spans="42:48" ht="24.75" customHeight="1" x14ac:dyDescent="0.25">
      <c r="AP501" s="173" t="s">
        <v>132</v>
      </c>
      <c r="AQ501" s="173"/>
      <c r="AR501" s="85" t="s">
        <v>287</v>
      </c>
      <c r="AS501" s="86">
        <v>25</v>
      </c>
      <c r="AT501" s="86" t="s">
        <v>289</v>
      </c>
      <c r="AU501" s="87">
        <v>56.36</v>
      </c>
      <c r="AV501" s="87">
        <v>-15.22</v>
      </c>
    </row>
    <row r="502" spans="42:48" ht="24.75" customHeight="1" x14ac:dyDescent="0.25">
      <c r="AP502" s="266" t="s">
        <v>130</v>
      </c>
      <c r="AQ502" s="266"/>
      <c r="AR502" s="76" t="s">
        <v>295</v>
      </c>
      <c r="AS502" s="77">
        <v>30</v>
      </c>
      <c r="AT502" s="77" t="s">
        <v>296</v>
      </c>
      <c r="AU502" s="78">
        <v>57.41</v>
      </c>
      <c r="AV502" s="78">
        <v>-14.16</v>
      </c>
    </row>
    <row r="503" spans="42:48" ht="24.75" customHeight="1" x14ac:dyDescent="0.25">
      <c r="AP503" s="267" t="s">
        <v>131</v>
      </c>
      <c r="AQ503" s="267"/>
      <c r="AR503" s="82" t="s">
        <v>268</v>
      </c>
      <c r="AS503" s="83">
        <v>13</v>
      </c>
      <c r="AT503" s="83" t="s">
        <v>271</v>
      </c>
      <c r="AU503" s="84">
        <v>58</v>
      </c>
      <c r="AV503" s="84">
        <v>-13.58</v>
      </c>
    </row>
  </sheetData>
  <mergeCells count="60">
    <mergeCell ref="AP500:AQ500"/>
    <mergeCell ref="AP501:AQ501"/>
    <mergeCell ref="AP502:AQ502"/>
    <mergeCell ref="AP503:AQ503"/>
    <mergeCell ref="AP478:AQ478"/>
    <mergeCell ref="AP495:AQ495"/>
    <mergeCell ref="AP496:AQ496"/>
    <mergeCell ref="AP497:AQ497"/>
    <mergeCell ref="AP498:AQ498"/>
    <mergeCell ref="AP499:AQ499"/>
    <mergeCell ref="AP472:AQ472"/>
    <mergeCell ref="AP473:AQ473"/>
    <mergeCell ref="AP474:AQ474"/>
    <mergeCell ref="AP475:AQ475"/>
    <mergeCell ref="AP476:AQ476"/>
    <mergeCell ref="AP477:AQ477"/>
    <mergeCell ref="S413:S415"/>
    <mergeCell ref="R413:R415"/>
    <mergeCell ref="AP468:AQ468"/>
    <mergeCell ref="AP469:AQ469"/>
    <mergeCell ref="AP470:AQ470"/>
    <mergeCell ref="AP471:AQ471"/>
    <mergeCell ref="S404:S406"/>
    <mergeCell ref="R404:R406"/>
    <mergeCell ref="S407:S409"/>
    <mergeCell ref="R407:R409"/>
    <mergeCell ref="S410:S412"/>
    <mergeCell ref="R410:R412"/>
    <mergeCell ref="AA377:AA380"/>
    <mergeCell ref="AB377:AB378"/>
    <mergeCell ref="AB379:AB380"/>
    <mergeCell ref="AA381:AB383"/>
    <mergeCell ref="R400:S400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21:AA324"/>
    <mergeCell ref="AB321:AB322"/>
    <mergeCell ref="AB323:AB324"/>
    <mergeCell ref="AA325:AB327"/>
    <mergeCell ref="AA328:AA332"/>
    <mergeCell ref="AB328:AB331"/>
    <mergeCell ref="AA298:AA299"/>
    <mergeCell ref="AB298:AB299"/>
    <mergeCell ref="AA300:AA306"/>
    <mergeCell ref="AB300:AB302"/>
    <mergeCell ref="AB303:AB306"/>
    <mergeCell ref="AA320:AB320"/>
    <mergeCell ref="AA268:AA271"/>
    <mergeCell ref="AA272:AA277"/>
    <mergeCell ref="AA278:AA281"/>
    <mergeCell ref="AA293:AB293"/>
    <mergeCell ref="AA294:AA297"/>
    <mergeCell ref="AB294:AB295"/>
    <mergeCell ref="AB296:AB29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37</vt:i4>
      </vt:variant>
    </vt:vector>
  </HeadingPairs>
  <TitlesOfParts>
    <vt:vector size="45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GrafDemo_Bis10_0_datos</vt:lpstr>
      <vt:lpstr>GrafDemo_Bis10_1_datos</vt:lpstr>
      <vt:lpstr>GrafDemo_Bis10_10_datos</vt:lpstr>
      <vt:lpstr>GrafDemo_Bis10_2_datos</vt:lpstr>
      <vt:lpstr>GrafDemo_Bis10_3_datos</vt:lpstr>
      <vt:lpstr>GrafDemo_Bis10_4_datos</vt:lpstr>
      <vt:lpstr>GrafDemo_Bis10_5_datos</vt:lpstr>
      <vt:lpstr>GrafDemo_Bis10_6_datos</vt:lpstr>
      <vt:lpstr>GrafDemo_Bis10_7_datos</vt:lpstr>
      <vt:lpstr>GrafDemo_Bis10_8_datos</vt:lpstr>
      <vt:lpstr>GrafDemo_Bis10_9_datos</vt:lpstr>
      <vt:lpstr>GrafDemo_Bis11_datos</vt:lpstr>
      <vt:lpstr>GrafDemo_Bis12_datos</vt:lpstr>
      <vt:lpstr>GrafDemo_Bis13_datos</vt:lpstr>
      <vt:lpstr>GrafDemo_Bis14_datos</vt:lpstr>
      <vt:lpstr>GrafDemo_Bis15_datos</vt:lpstr>
      <vt:lpstr>GrafDemo_Bis2_datos</vt:lpstr>
      <vt:lpstr>GrafDemo_Bis3_datos</vt:lpstr>
      <vt:lpstr>GrafDemo_Bis4_datos</vt:lpstr>
      <vt:lpstr>GrafDemo_Bis5_datos</vt:lpstr>
      <vt:lpstr>GrafDemo_Bis6_datos</vt:lpstr>
      <vt:lpstr>GrafDemo_Bis7_datos</vt:lpstr>
      <vt:lpstr>GrafDemo_Bis8_0_datos</vt:lpstr>
      <vt:lpstr>GrafDemo_Bis8_1_datos</vt:lpstr>
      <vt:lpstr>GrafDemo_Bis9_0_datos</vt:lpstr>
      <vt:lpstr>GrafDemo_Bis9_1_datos</vt:lpstr>
      <vt:lpstr>GrafDemo_Bis9_2_datos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2017-10-05T03:43:57Z</dcterms:modified>
</cp:coreProperties>
</file>