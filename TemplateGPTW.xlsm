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uEh5Km4s19ESOcdGFMjYbRL3LM2S4kPnG/f2GYKYKEHPl3+8MJpq5mqAXAz5KKfLcZoyoDWa1u8D3WZxkaYfYg==" workbookSaltValue="Ij8xEsDbwJmGa1/zf+kjOg==" workbookSpinCount="100000" lockStructure="1"/>
  <bookViews>
    <workbookView xWindow="0" yWindow="0" windowWidth="19200" windowHeight="1159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324" r:id="rId7"/>
    <sheet name="Gráficos Indicadores" sheetId="2322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Indicadores'!$Z$1:$AI$7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<sst xmlns="http://schemas.openxmlformats.org/spreadsheetml/2006/main" count="1593" uniqueCount="505">
  <si>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</si>
  <si>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</si>
  <si>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</si>
  <si>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</si>
  <si>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</si>
  <si>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</si>
  <si>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</si>
  <si>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</si>
  <si>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</si>
  <si>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</si>
  <si>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</si>
  <si>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</si>
  <si>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</si>
  <si>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</si>
  <si>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</si>
  <si>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</si>
  <si>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</si>
  <si>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</si>
  <si>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</si>
  <si>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</si>
  <si>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</si>
  <si>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</si>
  <si>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</si>
  <si>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</si>
  <si>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</si>
  <si>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</si>
  <si>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</si>
  <si>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</si>
  <si>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</si>
  <si>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</si>
  <si>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</si>
  <si>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</si>
  <si>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</si>
  <si>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</si>
  <si>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</si>
  <si>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</si>
  <si>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</si>
  <si>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</si>
  <si>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</si>
  <si>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</si>
  <si>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</si>
  <si>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</si>
  <si>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</si>
  <si>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</si>
  <si>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</si>
  <si>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</si>
  <si>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</si>
  <si>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</si>
  <si>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</si>
  <si>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</si>
  <si>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</si>
  <si>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</si>
  <si>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</si>
  <si>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</si>
  <si>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</si>
  <si>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</si>
  <si>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</si>
  <si>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</si>
  <si>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</si>
  <si>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</si>
  <si>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</si>
  <si>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</si>
  <si>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</si>
  <si>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</si>
  <si>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</si>
  <si>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</si>
  <si>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</si>
  <si>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</si>
  <si>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</si>
  <si>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</si>
  <si>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</si>
  <si>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</si>
  <si>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</si>
  <si>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</si>
  <si>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</si>
  <si>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</si>
  <si>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</si>
  <si>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</si>
  <si>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</si>
  <si>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</si>
  <si>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</si>
  <si>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</si>
  <si>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</si>
  <si>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</si>
  <si>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</si>
  <si>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</si>
  <si>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</si>
  <si>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</si>
  <si>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</si>
  <si>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</si>
  <si>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</si>
  <si>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</si>
  <si>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</si>
  <si>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</si>
  <si>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</si>
  <si>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</si>
  <si>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</si>
  <si>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</si>
  <si>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</si>
  <si>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</si>
  <si>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</si>
  <si>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</si>
  <si>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</si>
  <si>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</si>
  <si>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</si>
  <si>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</si>
  <si>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</si>
  <si>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</si>
  <si>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</si>
  <si>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</si>
  <si>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</si>
  <si>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H1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</si>
  <si>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</si>
  <si>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</si>
  <si>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</si>
  <si>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</si>
  <si>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</si>
  <si>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</si>
  <si>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</si>
  <si>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</si>
  <si>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</si>
  <si>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</si>
  <si>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</si>
  <si>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</si>
  <si>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</si>
  <si>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</si>
  <si>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</si>
  <si>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</si>
  <si>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</si>
  <si>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</si>
  <si>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</si>
  <si>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</si>
  <si>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</si>
  <si>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</si>
  <si>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</si>
  <si>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AN7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</si>
  <si>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</si>
  <si>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</si>
  <si>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</si>
  <si>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</si>
  <si>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</si>
  <si>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</si>
  <si>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</si>
  <si>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</si>
  <si>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</si>
  <si>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</si>
  <si>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</si>
  <si>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</si>
  <si>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</si>
  <si>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</si>
  <si>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</si>
  <si>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</si>
  <si>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</si>
  <si>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</si>
  <si>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</si>
  <si>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</si>
  <si>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</si>
  <si>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</si>
  <si>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</si>
  <si>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</si>
  <si>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</si>
  <si>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</si>
  <si>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</si>
  <si>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</si>
  <si>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</si>
  <si>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</si>
  <si>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</si>
  <si>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</si>
  <si>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</si>
  <si>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</si>
  <si>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</si>
  <si>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</si>
  <si>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</si>
  <si>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</si>
  <si>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</si>
  <si>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</si>
  <si>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</si>
  <si>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</si>
  <si>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</si>
  <si>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</si>
  <si>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</si>
  <si>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</si>
  <si>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</si>
  <si>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</si>
  <si>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</si>
  <si>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</si>
  <si>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</si>
  <si>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</si>
  <si>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</si>
  <si>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</si>
  <si>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</si>
  <si>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</si>
  <si>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</si>
  <si>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Sentencia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</si>
  <si>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</si>
  <si>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</si>
  <si>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</si>
  <si>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</si>
  <si>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</si>
  <si>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</si>
  <si>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</si>
  <si>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</si>
  <si>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</si>
  <si>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</si>
  <si>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</si>
  <si>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</si>
  <si>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</si>
  <si>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</si>
  <si>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</si>
  <si>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</si>
  <si>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</si>
  <si>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</si>
  <si>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</si>
  <si>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</si>
  <si>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</si>
  <si>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</si>
  <si>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</si>
  <si>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</si>
  <si>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</si>
  <si>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</si>
  <si>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</si>
  <si>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</si>
  <si>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</si>
  <si>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</si>
  <si>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</si>
  <si>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</si>
  <si>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</si>
  <si>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</si>
  <si>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</si>
  <si>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</si>
  <si>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</si>
  <si>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</si>
  <si>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</si>
  <si>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</si>
  <si>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</si>
  <si>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</si>
  <si>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</si>
  <si>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</si>
  <si>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</si>
  <si>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</si>
  <si>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</si>
  <si>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</si>
  <si>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</si>
  <si>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</si>
  <si>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</si>
  <si>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</si>
  <si>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</si>
  <si>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</si>
  <si>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</si>
  <si>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</si>
  <si>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</si>
  <si>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</si>
  <si>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</si>
  <si>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</si>
  <si>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</si>
  <si>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</si>
  <si>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</si>
  <si>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</si>
  <si>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</si>
  <si>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</si>
  <si>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</si>
  <si>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</si>
  <si>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</si>
  <si>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</si>
  <si>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</si>
  <si>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</si>
  <si>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</si>
  <si>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</si>
  <si>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</si>
  <si>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</si>
  <si>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</si>
  <si>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</si>
  <si>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</si>
  <si>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</si>
  <si>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</si>
  <si>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</si>
  <si>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</si>
  <si>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</si>
  <si>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</si>
  <si>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</si>
  <si>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</si>
  <si>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</si>
  <si>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</si>
  <si>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</si>
  <si>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</si>
  <si>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</si>
  <si>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</si>
  <si>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</si>
  <si>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Años - Evolutivos</t>
  </si>
  <si>
    <t>CRED</t>
  </si>
  <si>
    <t>RES</t>
  </si>
  <si>
    <t>IMP</t>
  </si>
  <si>
    <t>ORG</t>
  </si>
  <si>
    <t>CAM</t>
  </si>
  <si>
    <t>PG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</si>
  <si>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</si>
  <si>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</si>
  <si>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</si>
  <si>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</si>
  <si>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</si>
  <si>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</si>
  <si>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</si>
  <si>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</si>
  <si>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</si>
  <si>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</si>
  <si>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</si>
  <si>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</si>
  <si>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</si>
  <si>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</si>
  <si>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</si>
  <si>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</si>
  <si>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</si>
  <si>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</si>
  <si>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</si>
  <si>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</si>
  <si>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</si>
  <si>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</si>
  <si>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</si>
  <si>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</si>
  <si>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</si>
  <si>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</si>
  <si>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</si>
  <si>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</si>
  <si>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</si>
  <si>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</si>
  <si>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</si>
  <si>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</si>
  <si>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</si>
  <si>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</si>
  <si>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</si>
  <si>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</si>
  <si>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</si>
  <si>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</si>
  <si>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</si>
  <si>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</si>
  <si>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</si>
  <si>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</si>
  <si>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</si>
  <si>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</si>
  <si>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</si>
  <si>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</si>
  <si>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</si>
  <si>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</si>
  <si>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</si>
  <si>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</si>
  <si>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</si>
  <si>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</si>
  <si>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</si>
  <si>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</si>
  <si>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</si>
  <si>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</si>
  <si>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</si>
  <si>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</si>
  <si>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</si>
  <si>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</si>
  <si>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</si>
  <si>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</si>
  <si>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</si>
  <si>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</si>
  <si>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</si>
  <si>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</si>
  <si>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</si>
  <si>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</si>
  <si>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</si>
  <si>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</si>
  <si>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</si>
  <si>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</si>
  <si>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</si>
  <si>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</si>
  <si>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</si>
  <si>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</si>
  <si>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</si>
  <si>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</si>
  <si>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</si>
  <si>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</si>
  <si>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</si>
  <si>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</si>
  <si>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</si>
  <si>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</si>
  <si>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</si>
  <si>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</si>
  <si>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</si>
  <si>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</si>
  <si>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</si>
  <si>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</si>
  <si>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</si>
  <si>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</si>
  <si>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</si>
  <si>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</si>
  <si>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</si>
  <si>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</si>
  <si>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</si>
  <si>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</si>
  <si>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</si>
  <si>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</si>
  <si>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</si>
  <si>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</si>
  <si>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</si>
  <si>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</si>
  <si>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</si>
  <si>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</si>
  <si>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</si>
  <si>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</si>
  <si>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</si>
  <si>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</si>
  <si>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</si>
  <si>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</si>
  <si>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</si>
  <si>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</si>
  <si>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</si>
  <si>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</si>
  <si>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</si>
  <si>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</si>
  <si>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</si>
  <si>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</si>
  <si>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</si>
  <si>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</si>
  <si>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</si>
  <si>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</si>
  <si>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</si>
  <si>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</si>
  <si>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</si>
  <si>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</si>
  <si>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</si>
  <si>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</si>
  <si>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</si>
  <si>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</si>
  <si>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</si>
  <si>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</si>
  <si>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</si>
  <si>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</si>
  <si>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</si>
  <si>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</si>
  <si>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</si>
  <si>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</si>
  <si>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</si>
  <si>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</si>
  <si>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</si>
  <si>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</si>
  <si>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</si>
  <si>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</si>
  <si>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</si>
  <si>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</si>
  <si>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</si>
  <si>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</si>
  <si>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</si>
  <si>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</si>
  <si>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</si>
  <si>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</si>
  <si>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</si>
  <si>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BMK Mejores Argentina 2016</t>
  </si>
  <si>
    <t>BMK Personalizado 2016 MARS</t>
  </si>
  <si>
    <t>2016 - 2016</t>
  </si>
  <si>
    <t>2016 - BMK Mejores Argentina 2016</t>
  </si>
  <si>
    <t>2016 - BMK Personalizado 2016 MARS</t>
  </si>
  <si>
    <t>N°</t>
  </si>
  <si>
    <t>Percepción</t>
  </si>
  <si>
    <t>Resultados Confianza - Dimensión CREDIBILIDAD</t>
  </si>
  <si>
    <t>Margen de error (95% Conf)</t>
  </si>
  <si>
    <t>Resultados Confianza - Dimensión RESPETO</t>
  </si>
  <si>
    <t>Resultados Confianza - Dimensión IMPARCIALIDAD</t>
  </si>
  <si>
    <t>Si soy tratado injustamente, creo que tendré la oportunidad de ser escuchado y de recibir un trato justo.</t>
  </si>
  <si>
    <t>Resultados - Dimensión ORGULLO</t>
  </si>
  <si>
    <t>Resultados - Dimensión CAMARADERÍA</t>
  </si>
  <si>
    <t>Adicionales Bco. Galicia</t>
  </si>
  <si>
    <t>AE1</t>
  </si>
  <si>
    <t>N72</t>
  </si>
  <si>
    <t>Q75</t>
  </si>
  <si>
    <t>AC13</t>
  </si>
  <si>
    <t>U13</t>
  </si>
  <si>
    <t>N77</t>
  </si>
  <si>
    <t>Q82</t>
  </si>
  <si>
    <t>V2</t>
  </si>
  <si>
    <t>Z13</t>
  </si>
  <si>
    <t>N78</t>
  </si>
  <si>
    <t>Q78</t>
  </si>
  <si>
    <t>N79</t>
  </si>
  <si>
    <t>Q79</t>
  </si>
  <si>
    <t>N80</t>
  </si>
  <si>
    <t>Q80</t>
  </si>
  <si>
    <t>N81</t>
  </si>
  <si>
    <t>Q81</t>
  </si>
  <si>
    <t>N82</t>
  </si>
  <si>
    <t>J1</t>
  </si>
  <si>
    <t>Q15</t>
  </si>
  <si>
    <t>J16</t>
  </si>
  <si>
    <t>Q29</t>
  </si>
  <si>
    <t>J30</t>
  </si>
  <si>
    <t>Q42</t>
  </si>
  <si>
    <t>J43</t>
  </si>
  <si>
    <t>Q51</t>
  </si>
  <si>
    <t>J52</t>
  </si>
  <si>
    <t>Q62</t>
  </si>
  <si>
    <t>L64</t>
  </si>
  <si>
    <t>O70</t>
  </si>
  <si>
    <t>I86</t>
  </si>
  <si>
    <t>O95</t>
  </si>
  <si>
    <t>I98</t>
  </si>
  <si>
    <t>O107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</si>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</sst>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8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color rgb="FF005172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806200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21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23" borderId="16" xfId="0" applyFont="1" applyFill="1" applyBorder="1" applyAlignment="1">
      <alignment horizontal="right" vertical="center"/>
    </xf>
    <xf numFmtId="0" fontId="14" fillId="23" borderId="12" xfId="0" applyFont="1" applyFill="1" applyBorder="1" applyAlignment="1">
      <alignment horizontal="right" vertical="center"/>
    </xf>
    <xf numFmtId="0" fontId="14" fillId="23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21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23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23" borderId="13" xfId="6" applyNumberFormat="1" applyFont="1" applyFill="1" applyBorder="1" applyAlignment="1">
      <alignment horizontal="center" vertical="center" wrapText="1"/>
    </xf>
    <xf numFmtId="0" fontId="29" fillId="0" borderId="21" xfId="0" applyFont="1" applyBorder="1"/>
    <xf numFmtId="1" fontId="28" fillId="0" borderId="21" xfId="0" applyNumberFormat="1" applyFont="1" applyFill="1" applyBorder="1" applyAlignment="1">
      <alignment horizontal="center" vertical="center" wrapText="1"/>
    </xf>
    <xf numFmtId="1" fontId="28" fillId="0" borderId="22" xfId="0" applyNumberFormat="1" applyFont="1" applyFill="1" applyBorder="1" applyAlignment="1">
      <alignment horizontal="center" vertical="center" wrapText="1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30" fillId="0" borderId="21" xfId="0" applyFont="1" applyBorder="1"/>
    <xf numFmtId="0" fontId="31" fillId="0" borderId="21" xfId="0" applyFont="1" applyBorder="1"/>
    <xf numFmtId="0" fontId="32" fillId="0" borderId="21" xfId="0" applyFont="1" applyBorder="1"/>
    <xf numFmtId="0" fontId="33" fillId="0" borderId="22" xfId="0" applyFont="1" applyBorder="1"/>
    <xf numFmtId="0" fontId="34" fillId="0" borderId="0" xfId="0" applyFont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vertical="center" wrapText="1"/>
    </xf>
    <xf numFmtId="164" fontId="14" fillId="23" borderId="13" xfId="0" applyNumberFormat="1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36" fillId="31" borderId="24" xfId="0" applyFont="1" applyFill="1" applyBorder="1" applyAlignment="1">
      <alignment horizontal="center" vertical="center" wrapText="1"/>
    </xf>
    <xf numFmtId="0" fontId="36" fillId="32" borderId="24" xfId="0" applyFont="1" applyFill="1" applyBorder="1" applyAlignment="1">
      <alignment horizontal="center" vertical="center" wrapText="1"/>
    </xf>
    <xf numFmtId="0" fontId="36" fillId="33" borderId="24" xfId="0" applyFont="1" applyFill="1" applyBorder="1" applyAlignment="1">
      <alignment horizontal="center" vertical="center" wrapText="1"/>
    </xf>
    <xf numFmtId="0" fontId="36" fillId="34" borderId="24" xfId="0" applyFont="1" applyFill="1" applyBorder="1" applyAlignment="1">
      <alignment horizontal="center" vertical="center" wrapText="1"/>
    </xf>
    <xf numFmtId="0" fontId="14" fillId="35" borderId="24" xfId="0" applyFont="1" applyFill="1" applyBorder="1" applyAlignment="1">
      <alignment horizontal="center" vertical="center" wrapText="1"/>
    </xf>
    <xf numFmtId="0" fontId="35" fillId="22" borderId="0" xfId="0" applyFont="1" applyFill="1" applyAlignment="1">
      <alignment horizontal="center" vertical="center" wrapText="1"/>
    </xf>
    <xf numFmtId="0" fontId="41" fillId="13" borderId="29" xfId="0" applyFont="1" applyFill="1" applyBorder="1" applyAlignment="1">
      <alignment horizontal="center" vertical="center"/>
    </xf>
    <xf numFmtId="0" fontId="42" fillId="13" borderId="29" xfId="0" applyFont="1" applyFill="1" applyBorder="1" applyAlignment="1">
      <alignment horizontal="left" vertical="center" wrapText="1"/>
    </xf>
    <xf numFmtId="1" fontId="43" fillId="13" borderId="29" xfId="0" applyNumberFormat="1" applyFont="1" applyFill="1" applyBorder="1" applyAlignment="1">
      <alignment horizontal="center" vertical="center"/>
    </xf>
    <xf numFmtId="1" fontId="43" fillId="20" borderId="29" xfId="0" applyNumberFormat="1" applyFont="1" applyFill="1" applyBorder="1" applyAlignment="1">
      <alignment horizontal="center" vertical="center"/>
    </xf>
    <xf numFmtId="1" fontId="44" fillId="38" borderId="0" xfId="0" applyNumberFormat="1" applyFont="1" applyFill="1" applyAlignment="1">
      <alignment horizontal="center" vertical="center" wrapText="1"/>
    </xf>
    <xf numFmtId="1" fontId="38" fillId="13" borderId="0" xfId="0" applyNumberFormat="1" applyFont="1" applyFill="1" applyAlignment="1">
      <alignment horizontal="center" vertical="center" wrapText="1"/>
    </xf>
    <xf numFmtId="0" fontId="38" fillId="13" borderId="30" xfId="0" applyFont="1" applyFill="1" applyBorder="1" applyAlignment="1">
      <alignment horizontal="left" vertical="center" wrapText="1"/>
    </xf>
    <xf numFmtId="9" fontId="38" fillId="13" borderId="30" xfId="0" applyNumberFormat="1" applyFont="1" applyFill="1" applyBorder="1" applyAlignment="1">
      <alignment horizontal="left" vertical="center" wrapText="1"/>
    </xf>
    <xf numFmtId="10" fontId="38" fillId="13" borderId="30" xfId="0" applyNumberFormat="1" applyFont="1" applyFill="1" applyBorder="1" applyAlignment="1">
      <alignment horizontal="left" vertical="center" wrapText="1"/>
    </xf>
    <xf numFmtId="16" fontId="38" fillId="13" borderId="30" xfId="0" applyNumberFormat="1" applyFont="1" applyFill="1" applyBorder="1" applyAlignment="1">
      <alignment horizontal="left" vertical="center" wrapText="1"/>
    </xf>
    <xf numFmtId="1" fontId="38" fillId="38" borderId="0" xfId="0" applyNumberFormat="1" applyFont="1" applyFill="1" applyAlignment="1">
      <alignment horizontal="center" vertical="center" wrapText="1"/>
    </xf>
    <xf numFmtId="1" fontId="43" fillId="14" borderId="29" xfId="0" applyNumberFormat="1" applyFont="1" applyFill="1" applyBorder="1" applyAlignment="1">
      <alignment horizontal="center" vertical="center"/>
    </xf>
    <xf numFmtId="1" fontId="43" fillId="43" borderId="29" xfId="0" applyNumberFormat="1" applyFont="1" applyFill="1" applyBorder="1" applyAlignment="1">
      <alignment horizontal="center" vertical="center"/>
    </xf>
    <xf numFmtId="0" fontId="48" fillId="17" borderId="24" xfId="0" applyFont="1" applyFill="1" applyBorder="1" applyAlignment="1">
      <alignment horizontal="left" vertical="center" wrapText="1"/>
    </xf>
    <xf numFmtId="1" fontId="49" fillId="17" borderId="24" xfId="0" applyNumberFormat="1" applyFont="1" applyFill="1" applyBorder="1" applyAlignment="1">
      <alignment horizontal="center" vertical="center" wrapText="1"/>
    </xf>
    <xf numFmtId="0" fontId="35" fillId="44" borderId="0" xfId="0" applyFont="1" applyFill="1" applyAlignment="1">
      <alignment horizontal="left" vertical="center" wrapText="1"/>
    </xf>
    <xf numFmtId="1" fontId="35" fillId="44" borderId="0" xfId="0" applyNumberFormat="1" applyFont="1" applyFill="1" applyAlignment="1">
      <alignment horizontal="center" vertical="center" wrapText="1"/>
    </xf>
    <xf numFmtId="1" fontId="36" fillId="36" borderId="24" xfId="0" applyNumberFormat="1" applyFont="1" applyFill="1" applyBorder="1" applyAlignment="1">
      <alignment horizontal="center" vertical="center" wrapText="1"/>
    </xf>
    <xf numFmtId="1" fontId="36" fillId="18" borderId="24" xfId="0" applyNumberFormat="1" applyFont="1" applyFill="1" applyBorder="1" applyAlignment="1">
      <alignment horizontal="center" vertical="center" wrapText="1"/>
    </xf>
    <xf numFmtId="1" fontId="36" fillId="41" borderId="24" xfId="0" applyNumberFormat="1" applyFont="1" applyFill="1" applyBorder="1" applyAlignment="1">
      <alignment horizontal="center" vertical="center" wrapText="1"/>
    </xf>
    <xf numFmtId="1" fontId="36" fillId="42" borderId="24" xfId="0" applyNumberFormat="1" applyFont="1" applyFill="1" applyBorder="1" applyAlignment="1">
      <alignment horizontal="center" vertical="center" wrapText="1"/>
    </xf>
    <xf numFmtId="1" fontId="36" fillId="19" borderId="24" xfId="0" applyNumberFormat="1" applyFont="1" applyFill="1" applyBorder="1" applyAlignment="1">
      <alignment horizontal="center" vertical="center" wrapText="1"/>
    </xf>
    <xf numFmtId="0" fontId="51" fillId="13" borderId="0" xfId="0" applyFont="1" applyFill="1" applyAlignment="1">
      <alignment horizontal="left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46" borderId="48" xfId="0" applyFill="1" applyBorder="1" applyAlignment="1">
      <alignment horizontal="center" vertical="center" wrapText="1"/>
    </xf>
    <xf numFmtId="0" fontId="0" fillId="46" borderId="0" xfId="0" applyFill="1" applyBorder="1" applyAlignment="1">
      <alignment horizontal="center" vertical="center" wrapText="1"/>
    </xf>
    <xf numFmtId="0" fontId="0" fillId="46" borderId="47" xfId="0" applyFill="1" applyBorder="1" applyAlignment="1">
      <alignment horizontal="center" vertical="center" wrapText="1"/>
    </xf>
    <xf numFmtId="0" fontId="0" fillId="46" borderId="50" xfId="0" applyFill="1" applyBorder="1" applyAlignment="1">
      <alignment horizontal="center" vertical="center" wrapText="1"/>
    </xf>
    <xf numFmtId="0" fontId="0" fillId="46" borderId="51" xfId="0" applyFill="1" applyBorder="1" applyAlignment="1">
      <alignment horizontal="center" vertical="center" wrapText="1"/>
    </xf>
    <xf numFmtId="0" fontId="53" fillId="0" borderId="0" xfId="0" applyFont="1" applyBorder="1" applyAlignment="1">
      <alignment vertical="center" wrapText="1"/>
    </xf>
    <xf numFmtId="0" fontId="53" fillId="0" borderId="47" xfId="0" applyFont="1" applyBorder="1" applyAlignment="1">
      <alignment vertical="center" wrapText="1"/>
    </xf>
    <xf numFmtId="0" fontId="53" fillId="0" borderId="49" xfId="0" applyFont="1" applyBorder="1" applyAlignment="1">
      <alignment vertical="center" wrapText="1"/>
    </xf>
    <xf numFmtId="0" fontId="56" fillId="46" borderId="0" xfId="0" applyFont="1" applyFill="1" applyBorder="1" applyAlignment="1">
      <alignment vertical="center" wrapText="1"/>
    </xf>
    <xf numFmtId="0" fontId="56" fillId="46" borderId="47" xfId="0" applyFont="1" applyFill="1" applyBorder="1" applyAlignment="1">
      <alignment vertical="center" wrapText="1"/>
    </xf>
    <xf numFmtId="0" fontId="56" fillId="46" borderId="5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59" fillId="0" borderId="51" xfId="0" applyFont="1" applyBorder="1" applyAlignment="1">
      <alignment vertical="center" wrapText="1"/>
    </xf>
    <xf numFmtId="0" fontId="59" fillId="0" borderId="53" xfId="0" applyFont="1" applyBorder="1" applyAlignment="1">
      <alignment vertical="center" wrapText="1"/>
    </xf>
    <xf numFmtId="0" fontId="62" fillId="46" borderId="0" xfId="0" applyFont="1" applyFill="1" applyBorder="1" applyAlignment="1">
      <alignment vertical="center" wrapText="1"/>
    </xf>
    <xf numFmtId="0" fontId="62" fillId="46" borderId="51" xfId="0" applyFont="1" applyFill="1" applyBorder="1" applyAlignment="1">
      <alignment vertical="center" wrapText="1"/>
    </xf>
    <xf numFmtId="0" fontId="65" fillId="0" borderId="55" xfId="0" applyFont="1" applyBorder="1" applyAlignment="1">
      <alignment vertical="center" wrapText="1"/>
    </xf>
    <xf numFmtId="0" fontId="65" fillId="0" borderId="56" xfId="0" applyFont="1" applyBorder="1" applyAlignment="1">
      <alignment vertical="center" wrapText="1"/>
    </xf>
    <xf numFmtId="0" fontId="65" fillId="0" borderId="54" xfId="0" applyFont="1" applyBorder="1" applyAlignment="1">
      <alignment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5" fillId="30" borderId="0" xfId="0" applyFont="1" applyFill="1" applyAlignment="1">
      <alignment horizontal="center" vertical="center" wrapText="1"/>
    </xf>
    <xf numFmtId="0" fontId="50" fillId="45" borderId="0" xfId="0" applyFont="1" applyFill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52" fillId="13" borderId="0" xfId="0" applyFont="1" applyFill="1" applyAlignment="1">
      <alignment horizontal="left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0" fillId="46" borderId="48" xfId="0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5" borderId="11" xfId="0" applyFont="1" applyFill="1" applyBorder="1" applyAlignment="1">
      <alignment horizontal="right" vertical="center" wrapText="1"/>
    </xf>
    <xf numFmtId="0" fontId="26" fillId="25" borderId="16" xfId="0" applyFont="1" applyFill="1" applyBorder="1" applyAlignment="1">
      <alignment horizontal="right" vertical="center" wrapText="1"/>
    </xf>
    <xf numFmtId="0" fontId="26" fillId="25" borderId="12" xfId="0" applyFont="1" applyFill="1" applyBorder="1" applyAlignment="1">
      <alignment horizontal="right" vertical="center" wrapText="1"/>
    </xf>
    <xf numFmtId="0" fontId="26" fillId="26" borderId="11" xfId="0" applyFont="1" applyFill="1" applyBorder="1" applyAlignment="1">
      <alignment horizontal="right" vertical="center" wrapText="1"/>
    </xf>
    <xf numFmtId="0" fontId="26" fillId="26" borderId="16" xfId="0" applyFont="1" applyFill="1" applyBorder="1" applyAlignment="1">
      <alignment horizontal="right" vertical="center" wrapText="1"/>
    </xf>
    <xf numFmtId="0" fontId="26" fillId="26" borderId="12" xfId="0" applyFont="1" applyFill="1" applyBorder="1" applyAlignment="1">
      <alignment horizontal="right" vertical="center" wrapText="1"/>
    </xf>
    <xf numFmtId="0" fontId="26" fillId="27" borderId="11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right" vertical="center" wrapText="1"/>
    </xf>
    <xf numFmtId="0" fontId="26" fillId="27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4" borderId="11" xfId="0" applyFont="1" applyFill="1" applyBorder="1" applyAlignment="1">
      <alignment horizontal="right" vertical="center" wrapText="1"/>
    </xf>
    <xf numFmtId="0" fontId="26" fillId="24" borderId="16" xfId="0" applyFont="1" applyFill="1" applyBorder="1" applyAlignment="1">
      <alignment horizontal="right" vertical="center" wrapText="1"/>
    </xf>
    <xf numFmtId="0" fontId="26" fillId="24" borderId="12" xfId="0" applyFont="1" applyFill="1" applyBorder="1" applyAlignment="1">
      <alignment horizontal="right" vertical="center" wrapText="1"/>
    </xf>
    <xf numFmtId="1" fontId="38" fillId="13" borderId="37" xfId="0" applyNumberFormat="1" applyFont="1" applyFill="1" applyBorder="1" applyAlignment="1">
      <alignment horizontal="center" vertical="center" wrapText="1"/>
    </xf>
    <xf numFmtId="1" fontId="38" fillId="13" borderId="32" xfId="0" applyNumberFormat="1" applyFont="1" applyFill="1" applyBorder="1" applyAlignment="1">
      <alignment horizontal="center" vertical="center" wrapText="1"/>
    </xf>
    <xf numFmtId="1" fontId="38" fillId="13" borderId="41" xfId="0" applyNumberFormat="1" applyFont="1" applyFill="1" applyBorder="1" applyAlignment="1">
      <alignment horizontal="center" vertical="center" wrapText="1"/>
    </xf>
    <xf numFmtId="0" fontId="39" fillId="19" borderId="38" xfId="0" applyFont="1" applyFill="1" applyBorder="1" applyAlignment="1">
      <alignment horizontal="center" vertical="center" textRotation="90" wrapText="1"/>
    </xf>
    <xf numFmtId="0" fontId="39" fillId="19" borderId="33" xfId="0" applyFont="1" applyFill="1" applyBorder="1" applyAlignment="1">
      <alignment horizontal="center" vertical="center" textRotation="90" wrapText="1"/>
    </xf>
    <xf numFmtId="0" fontId="39" fillId="19" borderId="36" xfId="0" applyFont="1" applyFill="1" applyBorder="1" applyAlignment="1">
      <alignment horizontal="center" vertical="center" textRotation="90" wrapText="1"/>
    </xf>
    <xf numFmtId="1" fontId="38" fillId="13" borderId="27" xfId="0" applyNumberFormat="1" applyFont="1" applyFill="1" applyBorder="1" applyAlignment="1">
      <alignment horizontal="center" vertical="center" wrapText="1"/>
    </xf>
    <xf numFmtId="1" fontId="38" fillId="13" borderId="35" xfId="0" applyNumberFormat="1" applyFont="1" applyFill="1" applyBorder="1" applyAlignment="1">
      <alignment horizontal="center" vertical="center" wrapText="1"/>
    </xf>
    <xf numFmtId="0" fontId="39" fillId="41" borderId="38" xfId="0" applyFont="1" applyFill="1" applyBorder="1" applyAlignment="1">
      <alignment horizontal="center" vertical="center" textRotation="90" wrapText="1"/>
    </xf>
    <xf numFmtId="0" fontId="39" fillId="41" borderId="33" xfId="0" applyFont="1" applyFill="1" applyBorder="1" applyAlignment="1">
      <alignment horizontal="center" vertical="center" textRotation="90" wrapText="1"/>
    </xf>
    <xf numFmtId="0" fontId="39" fillId="41" borderId="42" xfId="0" applyFont="1" applyFill="1" applyBorder="1" applyAlignment="1">
      <alignment horizontal="center" vertical="center" textRotation="90" wrapText="1"/>
    </xf>
    <xf numFmtId="0" fontId="39" fillId="19" borderId="28" xfId="0" applyFont="1" applyFill="1" applyBorder="1" applyAlignment="1">
      <alignment horizontal="center" vertical="center" wrapText="1"/>
    </xf>
    <xf numFmtId="0" fontId="39" fillId="19" borderId="25" xfId="0" applyFont="1" applyFill="1" applyBorder="1" applyAlignment="1">
      <alignment horizontal="center" vertical="center" wrapText="1"/>
    </xf>
    <xf numFmtId="0" fontId="39" fillId="19" borderId="33" xfId="0" applyFont="1" applyFill="1" applyBorder="1" applyAlignment="1">
      <alignment horizontal="center" vertical="center" wrapText="1"/>
    </xf>
    <xf numFmtId="0" fontId="39" fillId="19" borderId="0" xfId="0" applyFont="1" applyFill="1" applyAlignment="1">
      <alignment horizontal="center" vertical="center" wrapText="1"/>
    </xf>
    <xf numFmtId="0" fontId="39" fillId="19" borderId="36" xfId="0" applyFont="1" applyFill="1" applyBorder="1" applyAlignment="1">
      <alignment horizontal="center" vertical="center" wrapText="1"/>
    </xf>
    <xf numFmtId="0" fontId="39" fillId="19" borderId="43" xfId="0" applyFont="1" applyFill="1" applyBorder="1" applyAlignment="1">
      <alignment horizontal="center" vertical="center" wrapText="1"/>
    </xf>
    <xf numFmtId="0" fontId="39" fillId="42" borderId="28" xfId="0" applyFont="1" applyFill="1" applyBorder="1" applyAlignment="1">
      <alignment horizontal="center" vertical="center" wrapText="1"/>
    </xf>
    <xf numFmtId="0" fontId="39" fillId="42" borderId="25" xfId="0" applyFont="1" applyFill="1" applyBorder="1" applyAlignment="1">
      <alignment horizontal="center" vertical="center" wrapText="1"/>
    </xf>
    <xf numFmtId="0" fontId="39" fillId="42" borderId="36" xfId="0" applyFont="1" applyFill="1" applyBorder="1" applyAlignment="1">
      <alignment horizontal="center" vertical="center" wrapText="1"/>
    </xf>
    <xf numFmtId="0" fontId="39" fillId="42" borderId="43" xfId="0" applyFont="1" applyFill="1" applyBorder="1" applyAlignment="1">
      <alignment horizontal="center" vertical="center" wrapText="1"/>
    </xf>
    <xf numFmtId="0" fontId="39" fillId="42" borderId="38" xfId="0" applyFont="1" applyFill="1" applyBorder="1" applyAlignment="1">
      <alignment horizontal="center" vertical="center" wrapText="1"/>
    </xf>
    <xf numFmtId="0" fontId="39" fillId="42" borderId="44" xfId="0" applyFont="1" applyFill="1" applyBorder="1" applyAlignment="1">
      <alignment horizontal="center" vertical="center" wrapText="1"/>
    </xf>
    <xf numFmtId="0" fontId="39" fillId="42" borderId="33" xfId="0" applyFont="1" applyFill="1" applyBorder="1" applyAlignment="1">
      <alignment horizontal="center" vertical="center" wrapText="1"/>
    </xf>
    <xf numFmtId="0" fontId="39" fillId="42" borderId="0" xfId="0" applyFont="1" applyFill="1" applyAlignment="1">
      <alignment horizontal="center" vertical="center" wrapText="1"/>
    </xf>
    <xf numFmtId="0" fontId="39" fillId="42" borderId="42" xfId="0" applyFont="1" applyFill="1" applyBorder="1" applyAlignment="1">
      <alignment horizontal="center" vertical="center" wrapText="1"/>
    </xf>
    <xf numFmtId="0" fontId="39" fillId="42" borderId="39" xfId="0" applyFont="1" applyFill="1" applyBorder="1" applyAlignment="1">
      <alignment horizontal="center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34" xfId="0" applyFont="1" applyBorder="1" applyAlignment="1">
      <alignment horizontal="center" vertical="center" wrapText="1"/>
    </xf>
    <xf numFmtId="0" fontId="39" fillId="19" borderId="42" xfId="0" applyFont="1" applyFill="1" applyBorder="1" applyAlignment="1">
      <alignment horizontal="center" vertical="center" wrapText="1"/>
    </xf>
    <xf numFmtId="0" fontId="39" fillId="19" borderId="39" xfId="0" applyFont="1" applyFill="1" applyBorder="1" applyAlignment="1">
      <alignment horizontal="center" vertical="center" wrapText="1"/>
    </xf>
    <xf numFmtId="0" fontId="39" fillId="18" borderId="28" xfId="0" applyFont="1" applyFill="1" applyBorder="1" applyAlignment="1">
      <alignment horizontal="center" vertical="center" textRotation="90" wrapText="1"/>
    </xf>
    <xf numFmtId="0" fontId="39" fillId="18" borderId="33" xfId="0" applyFont="1" applyFill="1" applyBorder="1" applyAlignment="1">
      <alignment horizontal="center" vertical="center" textRotation="90" wrapText="1"/>
    </xf>
    <xf numFmtId="0" fontId="39" fillId="18" borderId="36" xfId="0" applyFont="1" applyFill="1" applyBorder="1" applyAlignment="1">
      <alignment horizontal="center" vertical="center" textRotation="90" wrapText="1"/>
    </xf>
    <xf numFmtId="0" fontId="45" fillId="0" borderId="25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34" xfId="0" applyFont="1" applyBorder="1" applyAlignment="1">
      <alignment horizontal="center" vertical="center" wrapText="1"/>
    </xf>
    <xf numFmtId="0" fontId="39" fillId="18" borderId="38" xfId="0" applyFont="1" applyFill="1" applyBorder="1" applyAlignment="1">
      <alignment horizontal="center" vertical="center" textRotation="90" wrapText="1"/>
    </xf>
    <xf numFmtId="0" fontId="39" fillId="18" borderId="42" xfId="0" applyFont="1" applyFill="1" applyBorder="1" applyAlignment="1">
      <alignment horizontal="center" vertical="center" textRotation="90" wrapText="1"/>
    </xf>
    <xf numFmtId="0" fontId="45" fillId="0" borderId="0" xfId="0" applyFont="1" applyAlignment="1">
      <alignment horizontal="center" vertical="center" wrapText="1"/>
    </xf>
    <xf numFmtId="0" fontId="45" fillId="0" borderId="39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1" fontId="38" fillId="37" borderId="37" xfId="0" applyNumberFormat="1" applyFont="1" applyFill="1" applyBorder="1" applyAlignment="1">
      <alignment horizontal="center" vertical="center" wrapText="1"/>
    </xf>
    <xf numFmtId="1" fontId="38" fillId="37" borderId="32" xfId="0" applyNumberFormat="1" applyFont="1" applyFill="1" applyBorder="1" applyAlignment="1">
      <alignment horizontal="center" vertical="center" wrapText="1"/>
    </xf>
    <xf numFmtId="1" fontId="38" fillId="37" borderId="35" xfId="0" applyNumberFormat="1" applyFont="1" applyFill="1" applyBorder="1" applyAlignment="1">
      <alignment horizontal="center" vertical="center" wrapText="1"/>
    </xf>
    <xf numFmtId="0" fontId="37" fillId="0" borderId="26" xfId="0" applyFont="1" applyBorder="1" applyAlignment="1">
      <alignment horizontal="center" vertical="center" wrapText="1"/>
    </xf>
    <xf numFmtId="1" fontId="38" fillId="37" borderId="27" xfId="0" applyNumberFormat="1" applyFont="1" applyFill="1" applyBorder="1" applyAlignment="1">
      <alignment horizontal="center" vertical="center" wrapText="1"/>
    </xf>
    <xf numFmtId="0" fontId="35" fillId="39" borderId="25" xfId="0" applyFont="1" applyFill="1" applyBorder="1" applyAlignment="1">
      <alignment horizontal="center" vertical="center" textRotation="90" wrapText="1"/>
    </xf>
    <xf numFmtId="0" fontId="35" fillId="39" borderId="0" xfId="0" applyFont="1" applyFill="1" applyAlignment="1">
      <alignment horizontal="center" vertical="center" textRotation="90" wrapText="1"/>
    </xf>
    <xf numFmtId="0" fontId="35" fillId="39" borderId="39" xfId="0" applyFont="1" applyFill="1" applyBorder="1" applyAlignment="1">
      <alignment horizontal="center" vertical="center" textRotation="90" wrapText="1"/>
    </xf>
    <xf numFmtId="0" fontId="35" fillId="36" borderId="25" xfId="0" applyFont="1" applyFill="1" applyBorder="1" applyAlignment="1">
      <alignment horizontal="center" vertical="center" textRotation="90" wrapText="1"/>
    </xf>
    <xf numFmtId="0" fontId="35" fillId="36" borderId="0" xfId="0" applyFont="1" applyFill="1" applyAlignment="1">
      <alignment horizontal="center" vertical="center" textRotation="90" wrapText="1"/>
    </xf>
    <xf numFmtId="0" fontId="35" fillId="36" borderId="39" xfId="0" applyFont="1" applyFill="1" applyBorder="1" applyAlignment="1">
      <alignment horizontal="center" vertical="center" textRotation="90" wrapText="1"/>
    </xf>
    <xf numFmtId="0" fontId="37" fillId="0" borderId="40" xfId="0" applyFont="1" applyBorder="1" applyAlignment="1">
      <alignment horizontal="center" vertical="center" wrapText="1"/>
    </xf>
    <xf numFmtId="1" fontId="38" fillId="37" borderId="41" xfId="0" applyNumberFormat="1" applyFont="1" applyFill="1" applyBorder="1" applyAlignment="1">
      <alignment horizontal="center" vertical="center" wrapText="1"/>
    </xf>
    <xf numFmtId="0" fontId="35" fillId="40" borderId="25" xfId="0" applyFont="1" applyFill="1" applyBorder="1" applyAlignment="1">
      <alignment horizontal="center" vertical="center" textRotation="90" wrapText="1"/>
    </xf>
    <xf numFmtId="0" fontId="35" fillId="40" borderId="0" xfId="0" applyFont="1" applyFill="1" applyAlignment="1">
      <alignment horizontal="center" vertical="center" textRotation="90" wrapText="1"/>
    </xf>
    <xf numFmtId="0" fontId="35" fillId="40" borderId="39" xfId="0" applyFont="1" applyFill="1" applyBorder="1" applyAlignment="1">
      <alignment horizontal="center" vertical="center" textRotation="90" wrapText="1"/>
    </xf>
    <xf numFmtId="0" fontId="35" fillId="42" borderId="25" xfId="0" applyFont="1" applyFill="1" applyBorder="1" applyAlignment="1">
      <alignment horizontal="center" vertical="center" textRotation="90" wrapText="1"/>
    </xf>
    <xf numFmtId="0" fontId="35" fillId="42" borderId="0" xfId="0" applyFont="1" applyFill="1" applyAlignment="1">
      <alignment horizontal="center" vertical="center" textRotation="90" wrapText="1"/>
    </xf>
    <xf numFmtId="0" fontId="35" fillId="42" borderId="39" xfId="0" applyFont="1" applyFill="1" applyBorder="1" applyAlignment="1">
      <alignment horizontal="center" vertical="center" textRotation="90" wrapText="1"/>
    </xf>
    <xf numFmtId="0" fontId="39" fillId="36" borderId="28" xfId="0" applyFont="1" applyFill="1" applyBorder="1" applyAlignment="1">
      <alignment horizontal="center" vertical="center" textRotation="90" wrapText="1"/>
    </xf>
    <xf numFmtId="0" fontId="39" fillId="36" borderId="33" xfId="0" applyFont="1" applyFill="1" applyBorder="1" applyAlignment="1">
      <alignment horizontal="center" vertical="center" textRotation="90" wrapText="1"/>
    </xf>
    <xf numFmtId="0" fontId="39" fillId="36" borderId="36" xfId="0" applyFont="1" applyFill="1" applyBorder="1" applyAlignment="1">
      <alignment horizontal="center" vertical="center" textRotation="90" wrapText="1"/>
    </xf>
    <xf numFmtId="0" fontId="40" fillId="0" borderId="25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4" xfId="0" applyFont="1" applyBorder="1" applyAlignment="1">
      <alignment horizontal="center" vertical="center" wrapText="1"/>
    </xf>
    <xf numFmtId="0" fontId="39" fillId="36" borderId="38" xfId="0" applyFont="1" applyFill="1" applyBorder="1" applyAlignment="1">
      <alignment horizontal="center" vertical="center" textRotation="90" wrapText="1"/>
    </xf>
    <xf numFmtId="0" fontId="40" fillId="0" borderId="0" xfId="0" applyFont="1" applyAlignment="1">
      <alignment horizontal="center" vertical="center" wrapText="1"/>
    </xf>
    <xf numFmtId="0" fontId="39" fillId="36" borderId="42" xfId="0" applyFont="1" applyFill="1" applyBorder="1" applyAlignment="1">
      <alignment horizontal="center" vertical="center" textRotation="90" wrapText="1"/>
    </xf>
    <xf numFmtId="0" fontId="39" fillId="41" borderId="28" xfId="0" applyFont="1" applyFill="1" applyBorder="1" applyAlignment="1">
      <alignment horizontal="center" vertical="center" textRotation="90" wrapText="1"/>
    </xf>
    <xf numFmtId="0" fontId="39" fillId="41" borderId="36" xfId="0" applyFont="1" applyFill="1" applyBorder="1" applyAlignment="1">
      <alignment horizontal="center" vertical="center" textRotation="90" wrapText="1"/>
    </xf>
    <xf numFmtId="0" fontId="46" fillId="0" borderId="25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6" fillId="0" borderId="34" xfId="0" applyFont="1" applyBorder="1" applyAlignment="1">
      <alignment horizontal="center" vertical="center" wrapText="1"/>
    </xf>
    <xf numFmtId="0" fontId="39" fillId="41" borderId="33" xfId="0" applyFont="1" applyFill="1" applyBorder="1" applyAlignment="1">
      <alignment horizontal="center" vertical="center" wrapText="1"/>
    </xf>
    <xf numFmtId="0" fontId="39" fillId="41" borderId="0" xfId="0" applyFont="1" applyFill="1" applyAlignment="1">
      <alignment horizontal="center" vertical="center" wrapText="1"/>
    </xf>
    <xf numFmtId="0" fontId="39" fillId="41" borderId="36" xfId="0" applyFont="1" applyFill="1" applyBorder="1" applyAlignment="1">
      <alignment horizontal="center" vertical="center" wrapText="1"/>
    </xf>
    <xf numFmtId="0" fontId="39" fillId="41" borderId="43" xfId="0" applyFont="1" applyFill="1" applyBorder="1" applyAlignment="1">
      <alignment horizontal="center" vertical="center" wrapText="1"/>
    </xf>
    <xf numFmtId="0" fontId="46" fillId="0" borderId="44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35" fillId="12" borderId="25" xfId="0" applyFont="1" applyFill="1" applyBorder="1" applyAlignment="1">
      <alignment horizontal="center" vertical="center" textRotation="90" wrapText="1"/>
    </xf>
    <xf numFmtId="0" fontId="35" fillId="12" borderId="0" xfId="0" applyFont="1" applyFill="1" applyAlignment="1">
      <alignment horizontal="center" vertical="center" textRotation="90" wrapText="1"/>
    </xf>
    <xf numFmtId="0" fontId="35" fillId="30" borderId="0" xfId="0" applyFont="1" applyFill="1" applyAlignment="1">
      <alignment horizontal="center" vertical="center" wrapText="1"/>
    </xf>
    <xf numFmtId="0" fontId="35" fillId="30" borderId="31" xfId="0" applyFont="1" applyFill="1" applyBorder="1" applyAlignment="1">
      <alignment horizontal="center" vertical="center" wrapText="1"/>
    </xf>
    <xf numFmtId="0" fontId="48" fillId="17" borderId="45" xfId="0" applyFont="1" applyFill="1" applyBorder="1" applyAlignment="1">
      <alignment horizontal="left" vertical="center" wrapText="1"/>
    </xf>
    <xf numFmtId="0" fontId="48" fillId="17" borderId="46" xfId="0" applyFont="1" applyFill="1" applyBorder="1" applyAlignment="1">
      <alignment horizontal="left" vertical="center" wrapText="1"/>
    </xf>
    <xf numFmtId="0" fontId="50" fillId="45" borderId="0" xfId="0" applyFont="1" applyFill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 applyProtection="1">
      <alignment horizontal="center"/>
      <protection locked="0"/>
    </xf>
    <xf numFmtId="0" fontId="12" fillId="2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8" borderId="5" xfId="0" applyFont="1" applyFill="1" applyBorder="1" applyAlignment="1" applyProtection="1">
      <alignment horizontal="center" vertical="center"/>
      <protection locked="0"/>
    </xf>
    <xf numFmtId="0" fontId="17" fillId="28" borderId="5" xfId="0" applyFont="1" applyFill="1" applyBorder="1" applyAlignment="1">
      <alignment horizontal="center" vertical="center"/>
    </xf>
    <xf numFmtId="0" fontId="66" fillId="0" borderId="55" xfId="0" applyFont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54" xfId="0" applyFont="1" applyBorder="1" applyAlignment="1">
      <alignment horizontal="center" vertical="center" wrapText="1"/>
    </xf>
    <xf numFmtId="0" fontId="67" fillId="0" borderId="55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54" xfId="0" applyFont="1" applyBorder="1" applyAlignment="1">
      <alignment horizontal="left" vertical="center" wrapText="1"/>
    </xf>
    <xf numFmtId="0" fontId="57" fillId="46" borderId="58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6" borderId="58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0" borderId="59" xfId="0" applyFont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63" fillId="46" borderId="60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4" fillId="46" borderId="60" xfId="0" applyFont="1" applyFill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54" xfId="0" applyFont="1" applyBorder="1" applyAlignment="1">
      <alignment horizontal="left" vertical="center" wrapText="1"/>
    </xf>
    <xf numFmtId="0" fontId="0" fillId="46" borderId="48" xfId="0" applyFill="1" applyBorder="1" applyAlignment="1">
      <alignment vertical="center" wrapText="1"/>
    </xf>
    <xf numFmtId="0" fontId="54" fillId="0" borderId="57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9" xfId="0" applyFont="1" applyBorder="1" applyAlignment="1">
      <alignment horizontal="center" vertical="center" wrapText="1"/>
    </xf>
    <xf numFmtId="0" fontId="55" fillId="0" borderId="57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9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808080"/>
      <color rgb="FF262626"/>
      <color rgb="FF868686"/>
      <color rgb="FF595959"/>
      <color rgb="FF2E3232"/>
      <color rgb="FFFF7D7D"/>
      <color rgb="FFFF7C80"/>
      <color rgb="FFFF9999"/>
      <color rgb="FF9064A2"/>
      <color rgb="FF748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18931616"/>
        <c:axId val="1119546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31616"/>
        <c:axId val="1119546352"/>
      </c:lineChart>
      <c:catAx>
        <c:axId val="518931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46352"/>
        <c:crosses val="autoZero"/>
        <c:auto val="1"/>
        <c:lblAlgn val="ctr"/>
        <c:lblOffset val="100"/>
        <c:noMultiLvlLbl val="0"/>
      </c:catAx>
      <c:valAx>
        <c:axId val="1119546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893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18932208"/>
        <c:axId val="1119532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32208"/>
        <c:axId val="1119532368"/>
      </c:lineChart>
      <c:catAx>
        <c:axId val="518932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32368"/>
        <c:crosses val="autoZero"/>
        <c:auto val="1"/>
        <c:lblAlgn val="ctr"/>
        <c:lblOffset val="100"/>
        <c:noMultiLvlLbl val="0"/>
      </c:catAx>
      <c:valAx>
        <c:axId val="111953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893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37728"/>
        <c:axId val="1119553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37728"/>
        <c:axId val="1119553040"/>
      </c:lineChart>
      <c:catAx>
        <c:axId val="1110837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53040"/>
        <c:crosses val="autoZero"/>
        <c:auto val="1"/>
        <c:lblAlgn val="ctr"/>
        <c:lblOffset val="100"/>
        <c:noMultiLvlLbl val="0"/>
      </c:catAx>
      <c:valAx>
        <c:axId val="111955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3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88420304"/>
        <c:axId val="1119563376"/>
      </c:barChart>
      <c:catAx>
        <c:axId val="888420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119563376"/>
        <c:crosses val="autoZero"/>
        <c:auto val="1"/>
        <c:lblAlgn val="ctr"/>
        <c:lblOffset val="100"/>
        <c:noMultiLvlLbl val="0"/>
      </c:catAx>
      <c:valAx>
        <c:axId val="111956337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88842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38320"/>
        <c:axId val="1119549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38320"/>
        <c:axId val="1119549392"/>
      </c:lineChart>
      <c:catAx>
        <c:axId val="1110838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49392"/>
        <c:crosses val="autoZero"/>
        <c:auto val="1"/>
        <c:lblAlgn val="ctr"/>
        <c:lblOffset val="100"/>
        <c:noMultiLvlLbl val="0"/>
      </c:catAx>
      <c:valAx>
        <c:axId val="1119549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3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40688"/>
        <c:axId val="1119564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40688"/>
        <c:axId val="1119564592"/>
      </c:lineChart>
      <c:catAx>
        <c:axId val="111084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64592"/>
        <c:crosses val="autoZero"/>
        <c:auto val="1"/>
        <c:lblAlgn val="ctr"/>
        <c:lblOffset val="100"/>
        <c:noMultiLvlLbl val="0"/>
      </c:catAx>
      <c:valAx>
        <c:axId val="1119564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4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48384"/>
        <c:axId val="1119588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48384"/>
        <c:axId val="1119588912"/>
      </c:lineChart>
      <c:catAx>
        <c:axId val="1110848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88912"/>
        <c:crosses val="autoZero"/>
        <c:auto val="1"/>
        <c:lblAlgn val="ctr"/>
        <c:lblOffset val="100"/>
        <c:noMultiLvlLbl val="0"/>
      </c:catAx>
      <c:valAx>
        <c:axId val="1119588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4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10844240"/>
        <c:axId val="1119582832"/>
      </c:barChart>
      <c:catAx>
        <c:axId val="1110844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119582832"/>
        <c:crosses val="autoZero"/>
        <c:auto val="1"/>
        <c:lblAlgn val="ctr"/>
        <c:lblOffset val="100"/>
        <c:noMultiLvlLbl val="0"/>
      </c:catAx>
      <c:valAx>
        <c:axId val="111958283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1084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41872"/>
        <c:axId val="1119572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41872"/>
        <c:axId val="1119572496"/>
      </c:lineChart>
      <c:catAx>
        <c:axId val="1110841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72496"/>
        <c:crosses val="autoZero"/>
        <c:auto val="1"/>
        <c:lblAlgn val="ctr"/>
        <c:lblOffset val="100"/>
        <c:noMultiLvlLbl val="0"/>
      </c:catAx>
      <c:valAx>
        <c:axId val="1119572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4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10847200"/>
        <c:axId val="1119571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47200"/>
        <c:axId val="1119571888"/>
      </c:lineChart>
      <c:catAx>
        <c:axId val="111084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71888"/>
        <c:crosses val="autoZero"/>
        <c:auto val="1"/>
        <c:lblAlgn val="ctr"/>
        <c:lblOffset val="100"/>
        <c:noMultiLvlLbl val="0"/>
      </c:catAx>
      <c:valAx>
        <c:axId val="1119571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1084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18928656"/>
        <c:axId val="1119577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28656"/>
        <c:axId val="1119577360"/>
      </c:lineChart>
      <c:catAx>
        <c:axId val="51892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577360"/>
        <c:crosses val="autoZero"/>
        <c:auto val="1"/>
        <c:lblAlgn val="ctr"/>
        <c:lblOffset val="100"/>
        <c:noMultiLvlLbl val="0"/>
      </c:catAx>
      <c:valAx>
        <c:axId val="1119577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892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09653600"/>
        <c:axId val="1119633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653600"/>
        <c:axId val="1119633296"/>
      </c:lineChart>
      <c:catAx>
        <c:axId val="1109653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633296"/>
        <c:crosses val="autoZero"/>
        <c:auto val="1"/>
        <c:lblAlgn val="ctr"/>
        <c:lblOffset val="100"/>
        <c:noMultiLvlLbl val="0"/>
      </c:catAx>
      <c:valAx>
        <c:axId val="1119633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0965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09651824"/>
        <c:axId val="1119633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651824"/>
        <c:axId val="1119633904"/>
      </c:lineChart>
      <c:catAx>
        <c:axId val="1109651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633904"/>
        <c:crosses val="autoZero"/>
        <c:auto val="1"/>
        <c:lblAlgn val="ctr"/>
        <c:lblOffset val="100"/>
        <c:noMultiLvlLbl val="0"/>
      </c:catAx>
      <c:valAx>
        <c:axId val="1119633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0965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94</c:v>
              </c:pt>
              <c:pt idx="1">
                <c:v>95</c:v>
              </c:pt>
              <c:pt idx="2">
                <c:v>98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10847792"/>
        <c:axId val="11196253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87</c:v>
              </c:pt>
              <c:pt idx="1">
                <c:v>89</c:v>
              </c:pt>
              <c:pt idx="2">
                <c:v>93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847792"/>
        <c:axId val="1119625392"/>
      </c:lineChart>
      <c:catAx>
        <c:axId val="111084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9625392"/>
        <c:crosses val="autoZero"/>
        <c:auto val="1"/>
        <c:lblAlgn val="ctr"/>
        <c:lblOffset val="100"/>
        <c:noMultiLvlLbl val="0"/>
      </c:catAx>
      <c:valAx>
        <c:axId val="1119625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1084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82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83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84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78616832"/>
        <c:axId val="1110827440"/>
      </c:lineChart>
      <c:catAx>
        <c:axId val="8786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10827440"/>
        <c:crosses val="autoZero"/>
        <c:auto val="1"/>
        <c:lblAlgn val="ctr"/>
        <c:lblOffset val="100"/>
        <c:noMultiLvlLbl val="0"/>
      </c:catAx>
      <c:valAx>
        <c:axId val="11108274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87861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94.88</c:v>
                </c:pt>
                <c:pt idx="1">
                  <c:v>94.96</c:v>
                </c:pt>
                <c:pt idx="2">
                  <c:v>92.86</c:v>
                </c:pt>
                <c:pt idx="3">
                  <c:v>95.95</c:v>
                </c:pt>
                <c:pt idx="4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878618016"/>
        <c:axId val="1110834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Indicadores!$Q$78:$Q$82</c:f>
              <c:numCache>
                <c:formatCode>0</c:formatCode>
                <c:ptCount val="5"/>
                <c:pt idx="0">
                  <c:v>88.43</c:v>
                </c:pt>
                <c:pt idx="1">
                  <c:v>87.95</c:v>
                </c:pt>
                <c:pt idx="2">
                  <c:v>84.65</c:v>
                </c:pt>
                <c:pt idx="3">
                  <c:v>90.98</c:v>
                </c:pt>
                <c:pt idx="4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618016"/>
        <c:axId val="1110834128"/>
      </c:lineChart>
      <c:catAx>
        <c:axId val="87861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0834128"/>
        <c:crosses val="autoZero"/>
        <c:auto val="1"/>
        <c:lblAlgn val="ctr"/>
        <c:lblOffset val="100"/>
        <c:noMultiLvlLbl val="0"/>
      </c:catAx>
      <c:valAx>
        <c:axId val="1110834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7861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86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82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78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83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86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5105888"/>
        <c:axId val="585241472"/>
      </c:lineChart>
      <c:catAx>
        <c:axId val="88510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5241472"/>
        <c:crosses val="autoZero"/>
        <c:auto val="1"/>
        <c:lblAlgn val="ctr"/>
        <c:lblOffset val="100"/>
        <c:noMultiLvlLbl val="0"/>
      </c:catAx>
      <c:valAx>
        <c:axId val="58524147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88510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94.88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885104112"/>
        <c:axId val="5852384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</c:f>
              <c:numCache>
                <c:formatCode>0</c:formatCode>
                <c:ptCount val="1"/>
                <c:pt idx="0">
                  <c:v>88.43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104112"/>
        <c:axId val="585238432"/>
      </c:lineChart>
      <c:catAx>
        <c:axId val="88510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585238432"/>
        <c:crosses val="autoZero"/>
        <c:auto val="1"/>
        <c:lblAlgn val="ctr"/>
        <c:lblOffset val="100"/>
        <c:noMultiLvlLbl val="0"/>
      </c:catAx>
      <c:valAx>
        <c:axId val="585238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510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95.23</c:v>
                </c:pt>
                <c:pt idx="1">
                  <c:v>94.89</c:v>
                </c:pt>
                <c:pt idx="2">
                  <c:v>94.52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21802992"/>
        <c:axId val="584837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87.04</c:v>
                </c:pt>
                <c:pt idx="1">
                  <c:v>89.57</c:v>
                </c:pt>
                <c:pt idx="2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02992"/>
        <c:axId val="584837056"/>
      </c:lineChart>
      <c:catAx>
        <c:axId val="521802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584837056"/>
        <c:crosses val="autoZero"/>
        <c:auto val="1"/>
        <c:lblAlgn val="ctr"/>
        <c:lblOffset val="100"/>
        <c:noMultiLvlLbl val="0"/>
      </c:catAx>
      <c:valAx>
        <c:axId val="584837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2180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94.96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07516928"/>
        <c:axId val="5848419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Indicadores!$Q$79</c:f>
              <c:numCache>
                <c:formatCode>0</c:formatCode>
                <c:ptCount val="1"/>
                <c:pt idx="0">
                  <c:v>87.95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7516928"/>
        <c:axId val="584841920"/>
      </c:lineChart>
      <c:catAx>
        <c:axId val="90751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584841920"/>
        <c:crosses val="autoZero"/>
        <c:auto val="1"/>
        <c:lblAlgn val="ctr"/>
        <c:lblOffset val="100"/>
        <c:noMultiLvlLbl val="0"/>
      </c:catAx>
      <c:valAx>
        <c:axId val="584841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075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94.36</c:v>
                </c:pt>
                <c:pt idx="1">
                  <c:v>92.55</c:v>
                </c:pt>
                <c:pt idx="2">
                  <c:v>95.99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21804176"/>
        <c:axId val="8368469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87</c:v>
                </c:pt>
                <c:pt idx="1">
                  <c:v>86.07</c:v>
                </c:pt>
                <c:pt idx="2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04176"/>
        <c:axId val="836846912"/>
      </c:lineChart>
      <c:catAx>
        <c:axId val="521804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836846912"/>
        <c:crosses val="autoZero"/>
        <c:auto val="1"/>
        <c:lblAlgn val="ctr"/>
        <c:lblOffset val="100"/>
        <c:noMultiLvlLbl val="0"/>
      </c:catAx>
      <c:valAx>
        <c:axId val="836846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2180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92.86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01045056"/>
        <c:axId val="5848413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84.65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045056"/>
        <c:axId val="584841312"/>
      </c:lineChart>
      <c:catAx>
        <c:axId val="901045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84841312"/>
        <c:crosses val="autoZero"/>
        <c:auto val="1"/>
        <c:lblAlgn val="ctr"/>
        <c:lblOffset val="100"/>
        <c:noMultiLvlLbl val="0"/>
      </c:catAx>
      <c:valAx>
        <c:axId val="58484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0104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91.02</c:v>
                </c:pt>
                <c:pt idx="1">
                  <c:v>86.62</c:v>
                </c:pt>
                <c:pt idx="2">
                  <c:v>98.07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07515152"/>
        <c:axId val="8827848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76.400000000000006</c:v>
                </c:pt>
                <c:pt idx="1">
                  <c:v>78.08</c:v>
                </c:pt>
                <c:pt idx="2">
                  <c:v>95.2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7515152"/>
        <c:axId val="882784896"/>
      </c:lineChart>
      <c:catAx>
        <c:axId val="90751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882784896"/>
        <c:crosses val="autoZero"/>
        <c:auto val="1"/>
        <c:lblAlgn val="ctr"/>
        <c:lblOffset val="100"/>
        <c:noMultiLvlLbl val="0"/>
      </c:catAx>
      <c:valAx>
        <c:axId val="882784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0751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95.95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96632640"/>
        <c:axId val="5848364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632640"/>
        <c:axId val="584836448"/>
      </c:lineChart>
      <c:catAx>
        <c:axId val="996632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84836448"/>
        <c:crosses val="autoZero"/>
        <c:auto val="1"/>
        <c:lblAlgn val="ctr"/>
        <c:lblOffset val="100"/>
        <c:noMultiLvlLbl val="0"/>
      </c:catAx>
      <c:valAx>
        <c:axId val="58483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9663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93.98</c:v>
                </c:pt>
                <c:pt idx="1">
                  <c:v>95.51</c:v>
                </c:pt>
                <c:pt idx="2">
                  <c:v>97.16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01047424"/>
        <c:axId val="3637566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86.67</c:v>
                </c:pt>
                <c:pt idx="1">
                  <c:v>92.22</c:v>
                </c:pt>
                <c:pt idx="2">
                  <c:v>92.52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047424"/>
        <c:axId val="363756688"/>
      </c:lineChart>
      <c:catAx>
        <c:axId val="901047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3756688"/>
        <c:crosses val="autoZero"/>
        <c:auto val="1"/>
        <c:lblAlgn val="ctr"/>
        <c:lblOffset val="100"/>
        <c:noMultiLvlLbl val="0"/>
      </c:catAx>
      <c:valAx>
        <c:axId val="363756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0104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01046240"/>
        <c:axId val="8848713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046240"/>
        <c:axId val="884871328"/>
      </c:lineChart>
      <c:catAx>
        <c:axId val="901046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884871328"/>
        <c:crosses val="autoZero"/>
        <c:auto val="1"/>
        <c:lblAlgn val="ctr"/>
        <c:lblOffset val="100"/>
        <c:noMultiLvlLbl val="0"/>
      </c:catAx>
      <c:valAx>
        <c:axId val="884871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010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97.45</c:v>
                </c:pt>
                <c:pt idx="1">
                  <c:v>97.7</c:v>
                </c:pt>
                <c:pt idx="2">
                  <c:v>95.32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96633824"/>
        <c:axId val="585242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93.18</c:v>
                </c:pt>
                <c:pt idx="1">
                  <c:v>93.94</c:v>
                </c:pt>
                <c:pt idx="2">
                  <c:v>90.65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633824"/>
        <c:axId val="585242080"/>
      </c:lineChart>
      <c:catAx>
        <c:axId val="99663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585242080"/>
        <c:crosses val="autoZero"/>
        <c:auto val="1"/>
        <c:lblAlgn val="ctr"/>
        <c:lblOffset val="100"/>
        <c:noMultiLvlLbl val="0"/>
      </c:catAx>
      <c:valAx>
        <c:axId val="585242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9663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901045648"/>
        <c:axId val="798212144"/>
      </c:barChart>
      <c:catAx>
        <c:axId val="901045648"/>
        <c:scaling>
          <c:orientation val="minMax"/>
        </c:scaling>
        <c:delete val="1"/>
        <c:axPos val="l"/>
        <c:majorTickMark val="none"/>
        <c:minorTickMark val="none"/>
        <c:tickLblPos val="nextTo"/>
        <c:crossAx val="798212144"/>
        <c:crosses val="autoZero"/>
        <c:auto val="1"/>
        <c:lblAlgn val="ctr"/>
        <c:lblOffset val="100"/>
        <c:noMultiLvlLbl val="0"/>
      </c:catAx>
      <c:valAx>
        <c:axId val="79821214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90104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20" name="Button 56" hidden="1">
              <a:extLst>
                <a:ext uri="{63B3BB69-23CF-44E3-9099-C40C66FF867C}">
                  <a14:compatExt spid="_x0000_s26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8116550"/>
          <a:ext cx="11169650" cy="4953000"/>
          <a:chOff x="1524000" y="1811655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909250"/>
          <a:ext cx="11169650" cy="4953000"/>
          <a:chOff x="1524000" y="359092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82715100"/>
          <a:ext cx="11169650" cy="4953000"/>
          <a:chOff x="1524000" y="827151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21577100"/>
          <a:ext cx="11169650" cy="4953000"/>
          <a:chOff x="1524000" y="121577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9369800"/>
          <a:ext cx="11169650" cy="4953000"/>
          <a:chOff x="1524000" y="139369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9886650"/>
          <a:ext cx="11169650" cy="4953000"/>
          <a:chOff x="1524000" y="15988665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0.198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0.198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Interior</a:t>
          </a:r>
        </a:p>
      </cdr:txBody>
    </cdr:sp>
  </cdr:relSizeAnchor>
  <cdr:relSizeAnchor xmlns:cdr="http://schemas.openxmlformats.org/drawingml/2006/chartDrawing">
    <cdr:from>
      <cdr:x>0.218</cdr:x>
      <cdr:y>0.8984</cdr:y>
    </cdr:from>
    <cdr:to>
      <cdr:x>0.518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384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0.218</cdr:x>
      <cdr:y>0.94968</cdr:y>
    </cdr:from>
    <cdr:to>
      <cdr:x>0.518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384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0.37575</cdr:x>
      <cdr:y>0.34071</cdr:y>
    </cdr:from>
    <cdr:to>
      <cdr:x>0.54575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386012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12700</xdr:rowOff>
    </xdr:from>
    <xdr:to>
      <xdr:col>7</xdr:col>
      <xdr:colOff>254000</xdr:colOff>
      <xdr:row>52</xdr:row>
      <xdr:rowOff>95250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139700</xdr:rowOff>
    </xdr:from>
    <xdr:to>
      <xdr:col>12</xdr:col>
      <xdr:colOff>165100</xdr:colOff>
      <xdr:row>70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79</xdr:row>
      <xdr:rowOff>76200</xdr:rowOff>
    </xdr:from>
    <xdr:to>
      <xdr:col>7</xdr:col>
      <xdr:colOff>254000</xdr:colOff>
      <xdr:row>105</xdr:row>
      <xdr:rowOff>158750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106</xdr:row>
      <xdr:rowOff>12700</xdr:rowOff>
    </xdr:from>
    <xdr:to>
      <xdr:col>12</xdr:col>
      <xdr:colOff>165100</xdr:colOff>
      <xdr:row>124</xdr:row>
      <xdr:rowOff>25400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139700</xdr:rowOff>
    </xdr:from>
    <xdr:to>
      <xdr:col>10</xdr:col>
      <xdr:colOff>635000</xdr:colOff>
      <xdr:row>152</xdr:row>
      <xdr:rowOff>139700</xdr:rowOff>
    </xdr:to>
    <xdr:grpSp>
      <xdr:nvGrpSpPr>
        <xdr:cNvPr id="8" name="ResultadoDimension1"/>
        <xdr:cNvGrpSpPr/>
      </xdr:nvGrpSpPr>
      <xdr:grpSpPr>
        <a:xfrm>
          <a:off x="2076450" y="25400000"/>
          <a:ext cx="1190307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159</xdr:row>
      <xdr:rowOff>76200</xdr:rowOff>
    </xdr:from>
    <xdr:to>
      <xdr:col>10</xdr:col>
      <xdr:colOff>635000</xdr:colOff>
      <xdr:row>179</xdr:row>
      <xdr:rowOff>76200</xdr:rowOff>
    </xdr:to>
    <xdr:grpSp>
      <xdr:nvGrpSpPr>
        <xdr:cNvPr id="11" name="ResultadoDimension2"/>
        <xdr:cNvGrpSpPr/>
      </xdr:nvGrpSpPr>
      <xdr:grpSpPr>
        <a:xfrm>
          <a:off x="2076450" y="30480000"/>
          <a:ext cx="1190307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186</xdr:row>
      <xdr:rowOff>12700</xdr:rowOff>
    </xdr:from>
    <xdr:to>
      <xdr:col>10</xdr:col>
      <xdr:colOff>635000</xdr:colOff>
      <xdr:row>206</xdr:row>
      <xdr:rowOff>12700</xdr:rowOff>
    </xdr:to>
    <xdr:grpSp>
      <xdr:nvGrpSpPr>
        <xdr:cNvPr id="14" name="ResultadoDimension3"/>
        <xdr:cNvGrpSpPr/>
      </xdr:nvGrpSpPr>
      <xdr:grpSpPr>
        <a:xfrm>
          <a:off x="2076450" y="35560000"/>
          <a:ext cx="1190307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139700</xdr:rowOff>
    </xdr:from>
    <xdr:to>
      <xdr:col>10</xdr:col>
      <xdr:colOff>635000</xdr:colOff>
      <xdr:row>232</xdr:row>
      <xdr:rowOff>139700</xdr:rowOff>
    </xdr:to>
    <xdr:grpSp>
      <xdr:nvGrpSpPr>
        <xdr:cNvPr id="17" name="ResultadoDimension4"/>
        <xdr:cNvGrpSpPr/>
      </xdr:nvGrpSpPr>
      <xdr:grpSpPr>
        <a:xfrm>
          <a:off x="2076450" y="40640000"/>
          <a:ext cx="1190307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239</xdr:row>
      <xdr:rowOff>76200</xdr:rowOff>
    </xdr:from>
    <xdr:to>
      <xdr:col>10</xdr:col>
      <xdr:colOff>635000</xdr:colOff>
      <xdr:row>259</xdr:row>
      <xdr:rowOff>76200</xdr:rowOff>
    </xdr:to>
    <xdr:grpSp>
      <xdr:nvGrpSpPr>
        <xdr:cNvPr id="20" name="ResultadoDimension5"/>
        <xdr:cNvGrpSpPr/>
      </xdr:nvGrpSpPr>
      <xdr:grpSpPr>
        <a:xfrm>
          <a:off x="2076450" y="45720000"/>
          <a:ext cx="1190307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9</xdr:col>
      <xdr:colOff>565150</xdr:colOff>
      <xdr:row>421</xdr:row>
      <xdr:rowOff>63500</xdr:rowOff>
    </xdr:to>
    <xdr:grpSp>
      <xdr:nvGrpSpPr>
        <xdr:cNvPr id="55" name="GraficoSintesis1"/>
        <xdr:cNvGrpSpPr/>
      </xdr:nvGrpSpPr>
      <xdr:grpSpPr>
        <a:xfrm>
          <a:off x="1822450" y="85086825"/>
          <a:ext cx="11582400" cy="5302250"/>
          <a:chOff x="1270000" y="85086825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5086825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5086825"/>
            <a:ext cx="11811000" cy="4254500"/>
            <a:chOff x="1270000" y="85086825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85086825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5115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5966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68172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876681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8519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8515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85356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855597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86004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86207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864106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86855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87058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87261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877060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87909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88112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85569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8760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896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8510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85940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86779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87617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88455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5086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59440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680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876585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8515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934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1" sqref="G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57" t="s">
        <v>6</v>
      </c>
      <c r="G2" s="157"/>
      <c r="H2" s="157"/>
      <c r="J2" s="157" t="s">
        <v>7</v>
      </c>
      <c r="K2" s="157"/>
      <c r="L2" s="157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308</v>
      </c>
      <c r="J4" s="9" t="s">
        <v>161</v>
      </c>
      <c r="K4" s="30" t="s">
        <v>8</v>
      </c>
      <c r="L4" s="30" t="s">
        <v>308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449</v>
      </c>
      <c r="G6" s="31" t="s">
        <v>8</v>
      </c>
      <c r="H6" s="31" t="s">
        <v>112</v>
      </c>
      <c r="J6" s="5" t="s">
        <v>9</v>
      </c>
      <c r="K6" s="31" t="s">
        <v>8</v>
      </c>
      <c r="L6" s="31" t="s">
        <v>112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81" t="s">
        <v>309</v>
      </c>
      <c r="B1" s="181"/>
      <c r="C1" s="35"/>
      <c r="D1" s="167" t="s">
        <v>162</v>
      </c>
      <c r="E1" s="168"/>
      <c r="F1" s="168"/>
      <c r="G1" s="168"/>
      <c r="H1" s="168"/>
      <c r="I1" s="168"/>
      <c r="J1" s="168"/>
      <c r="K1" s="48"/>
      <c r="L1" s="167" t="s">
        <v>27</v>
      </c>
      <c r="M1" s="168"/>
      <c r="N1" s="168"/>
      <c r="O1" s="168"/>
      <c r="P1" s="169"/>
      <c r="Q1" s="48"/>
      <c r="R1" s="167" t="s">
        <v>28</v>
      </c>
      <c r="S1" s="169"/>
      <c r="T1" s="48"/>
      <c r="U1" s="167" t="s">
        <v>130</v>
      </c>
      <c r="V1" s="168"/>
      <c r="W1" s="168"/>
      <c r="X1" s="168"/>
      <c r="Y1" s="169"/>
      <c r="Z1" s="48"/>
      <c r="AA1" s="167" t="s">
        <v>310</v>
      </c>
      <c r="AB1" s="168"/>
      <c r="AC1" s="168"/>
      <c r="AD1" s="168"/>
      <c r="AE1" s="168"/>
      <c r="AF1" s="168"/>
      <c r="AG1" s="168"/>
      <c r="AH1" s="168"/>
      <c r="AI1" s="168"/>
      <c r="AJ1" s="169"/>
      <c r="AK1" s="48"/>
      <c r="AL1" s="167" t="s">
        <v>131</v>
      </c>
      <c r="AM1" s="168"/>
      <c r="AN1" s="168"/>
      <c r="AO1" s="168"/>
      <c r="AP1" s="168"/>
      <c r="AQ1" s="169"/>
      <c r="AR1" s="48"/>
      <c r="AS1" s="167" t="s">
        <v>311</v>
      </c>
      <c r="AT1" s="168"/>
      <c r="AU1" s="168"/>
      <c r="AV1" s="168"/>
      <c r="AW1" s="168"/>
      <c r="AX1" s="168"/>
      <c r="AY1" s="168"/>
      <c r="AZ1" s="168"/>
      <c r="BA1" s="168"/>
      <c r="BB1" s="168"/>
      <c r="BC1" s="168"/>
      <c r="BD1" s="168"/>
      <c r="BE1" s="168"/>
      <c r="BF1" s="169"/>
      <c r="BG1" s="48"/>
      <c r="BH1" s="167" t="s">
        <v>132</v>
      </c>
      <c r="BI1" s="168"/>
      <c r="BJ1" s="168"/>
      <c r="BK1" s="169"/>
      <c r="BL1" s="48"/>
      <c r="BM1" s="167" t="s">
        <v>113</v>
      </c>
      <c r="BN1" s="168"/>
      <c r="BO1" s="168"/>
      <c r="BP1" s="168"/>
      <c r="BQ1" s="169"/>
      <c r="BR1" s="48"/>
      <c r="BS1" s="167" t="s">
        <v>133</v>
      </c>
      <c r="BT1" s="168"/>
      <c r="BU1" s="168"/>
      <c r="BV1" s="169"/>
    </row>
    <row r="2" spans="1:74" ht="273.75" x14ac:dyDescent="0.25">
      <c r="A2" s="179" t="s">
        <v>312</v>
      </c>
      <c r="B2" s="179"/>
      <c r="C2" s="180"/>
      <c r="D2" s="36">
        <v>2016</v>
      </c>
      <c r="E2" s="36">
        <v>2015</v>
      </c>
      <c r="F2" s="36" t="s">
        <v>313</v>
      </c>
      <c r="G2" s="36" t="s">
        <v>314</v>
      </c>
      <c r="H2" s="36" t="s">
        <v>315</v>
      </c>
      <c r="I2" s="36" t="s">
        <v>316</v>
      </c>
      <c r="J2" s="36" t="s">
        <v>317</v>
      </c>
      <c r="K2" s="48"/>
      <c r="L2" s="36" t="s">
        <v>381</v>
      </c>
      <c r="M2" s="36" t="s">
        <v>382</v>
      </c>
      <c r="N2" s="36" t="s">
        <v>383</v>
      </c>
      <c r="O2" s="36" t="s">
        <v>384</v>
      </c>
      <c r="P2" s="36" t="s">
        <v>385</v>
      </c>
      <c r="Q2" s="48"/>
      <c r="R2" s="36" t="s">
        <v>386</v>
      </c>
      <c r="S2" s="36" t="s">
        <v>387</v>
      </c>
      <c r="T2" s="48"/>
      <c r="U2" s="36" t="s">
        <v>388</v>
      </c>
      <c r="V2" s="36" t="s">
        <v>389</v>
      </c>
      <c r="W2" s="36" t="s">
        <v>390</v>
      </c>
      <c r="X2" s="36" t="s">
        <v>391</v>
      </c>
      <c r="Y2" s="36" t="s">
        <v>392</v>
      </c>
      <c r="Z2" s="48"/>
      <c r="AA2" s="49" t="s">
        <v>393</v>
      </c>
      <c r="AB2" s="49" t="s">
        <v>394</v>
      </c>
      <c r="AC2" s="49" t="s">
        <v>395</v>
      </c>
      <c r="AD2" s="49" t="s">
        <v>396</v>
      </c>
      <c r="AE2" s="49" t="s">
        <v>397</v>
      </c>
      <c r="AF2" s="49" t="s">
        <v>398</v>
      </c>
      <c r="AG2" s="49" t="s">
        <v>399</v>
      </c>
      <c r="AH2" s="49" t="s">
        <v>400</v>
      </c>
      <c r="AI2" s="49" t="s">
        <v>401</v>
      </c>
      <c r="AJ2" s="49" t="s">
        <v>402</v>
      </c>
      <c r="AK2" s="48"/>
      <c r="AL2" s="36" t="s">
        <v>403</v>
      </c>
      <c r="AM2" s="36" t="s">
        <v>404</v>
      </c>
      <c r="AN2" s="36" t="s">
        <v>405</v>
      </c>
      <c r="AO2" s="36" t="s">
        <v>406</v>
      </c>
      <c r="AP2" s="36" t="s">
        <v>407</v>
      </c>
      <c r="AQ2" s="36" t="s">
        <v>408</v>
      </c>
      <c r="AR2" s="48"/>
      <c r="AS2" s="36" t="s">
        <v>409</v>
      </c>
      <c r="AT2" s="36" t="s">
        <v>410</v>
      </c>
      <c r="AU2" s="36" t="s">
        <v>411</v>
      </c>
      <c r="AV2" s="36" t="s">
        <v>412</v>
      </c>
      <c r="AW2" s="36" t="s">
        <v>413</v>
      </c>
      <c r="AX2" s="36" t="s">
        <v>414</v>
      </c>
      <c r="AY2" s="36" t="s">
        <v>415</v>
      </c>
      <c r="AZ2" s="36" t="s">
        <v>416</v>
      </c>
      <c r="BA2" s="36" t="s">
        <v>417</v>
      </c>
      <c r="BB2" s="36" t="s">
        <v>418</v>
      </c>
      <c r="BC2" s="36" t="s">
        <v>419</v>
      </c>
      <c r="BD2" s="36" t="s">
        <v>420</v>
      </c>
      <c r="BE2" s="36" t="s">
        <v>421</v>
      </c>
      <c r="BF2" s="36" t="s">
        <v>422</v>
      </c>
      <c r="BG2" s="48"/>
      <c r="BH2" s="36" t="s">
        <v>423</v>
      </c>
      <c r="BI2" s="36" t="s">
        <v>424</v>
      </c>
      <c r="BJ2" s="36" t="s">
        <v>425</v>
      </c>
      <c r="BK2" s="36" t="s">
        <v>426</v>
      </c>
      <c r="BL2" s="48"/>
      <c r="BM2" s="36" t="s">
        <v>427</v>
      </c>
      <c r="BN2" s="36" t="s">
        <v>428</v>
      </c>
      <c r="BO2" s="36" t="s">
        <v>429</v>
      </c>
      <c r="BP2" s="36" t="s">
        <v>430</v>
      </c>
      <c r="BQ2" s="36" t="s">
        <v>431</v>
      </c>
      <c r="BR2" s="48"/>
      <c r="BS2" s="36" t="s">
        <v>432</v>
      </c>
      <c r="BT2" s="36" t="s">
        <v>424</v>
      </c>
      <c r="BU2" s="36" t="s">
        <v>425</v>
      </c>
      <c r="BV2" s="36" t="s">
        <v>426</v>
      </c>
    </row>
    <row r="3" spans="1:74" x14ac:dyDescent="0.25">
      <c r="A3" s="37"/>
      <c r="B3" s="37"/>
      <c r="C3" s="38" t="s">
        <v>163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282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283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164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164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164</v>
      </c>
      <c r="BT5" s="55" t="s">
        <v>164</v>
      </c>
      <c r="BU5" s="55" t="s">
        <v>164</v>
      </c>
      <c r="BV5" s="55" t="s">
        <v>164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82" t="s">
        <v>165</v>
      </c>
      <c r="B7" s="183"/>
      <c r="C7" s="184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166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85" t="s">
        <v>167</v>
      </c>
      <c r="B8" s="186"/>
      <c r="C8" s="187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166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70" t="s">
        <v>168</v>
      </c>
      <c r="B9" s="171"/>
      <c r="C9" s="172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166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73" t="s">
        <v>169</v>
      </c>
      <c r="B10" s="174"/>
      <c r="C10" s="175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166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76" t="s">
        <v>170</v>
      </c>
      <c r="B11" s="177"/>
      <c r="C11" s="178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166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284</v>
      </c>
      <c r="B12" s="41">
        <v>58</v>
      </c>
      <c r="C12" s="42" t="s">
        <v>171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166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61" t="s">
        <v>172</v>
      </c>
      <c r="B13" s="162"/>
      <c r="C13" s="163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166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285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166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166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166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166</v>
      </c>
      <c r="BT14" s="62" t="s">
        <v>166</v>
      </c>
      <c r="BU14" s="62" t="s">
        <v>166</v>
      </c>
      <c r="BV14" s="62" t="s">
        <v>166</v>
      </c>
    </row>
    <row r="16" spans="1:74" x14ac:dyDescent="0.25">
      <c r="A16" s="37"/>
      <c r="B16" s="37"/>
      <c r="C16" s="38" t="s">
        <v>286</v>
      </c>
      <c r="D16" s="39"/>
      <c r="E16" s="39"/>
      <c r="F16" s="39"/>
      <c r="G16" s="39"/>
      <c r="H16" s="39"/>
      <c r="I16" s="39"/>
      <c r="J16" s="39"/>
      <c r="K16" s="48"/>
      <c r="L16" s="164">
        <f>+SUM(L3:P3)</f>
        <v>4698</v>
      </c>
      <c r="M16" s="165"/>
      <c r="N16" s="165"/>
      <c r="O16" s="165"/>
      <c r="P16" s="166"/>
      <c r="Q16" s="48"/>
      <c r="R16" s="164">
        <f>+SUM(R3:S3)</f>
        <v>4667</v>
      </c>
      <c r="S16" s="166"/>
      <c r="T16" s="48"/>
      <c r="U16" s="164">
        <f>+SUM(U3:Y3)</f>
        <v>4690</v>
      </c>
      <c r="V16" s="165"/>
      <c r="W16" s="165"/>
      <c r="X16" s="165"/>
      <c r="Y16" s="166"/>
      <c r="Z16" s="48"/>
      <c r="AA16" s="164">
        <f>+SUM(AA3:AJ3)</f>
        <v>4649</v>
      </c>
      <c r="AB16" s="165"/>
      <c r="AC16" s="165"/>
      <c r="AD16" s="165"/>
      <c r="AE16" s="165"/>
      <c r="AF16" s="165"/>
      <c r="AG16" s="165"/>
      <c r="AH16" s="165"/>
      <c r="AI16" s="165"/>
      <c r="AJ16" s="166"/>
      <c r="AK16" s="48"/>
      <c r="AL16" s="164">
        <f>+SUM(AL3:AQ3)</f>
        <v>4670</v>
      </c>
      <c r="AM16" s="165"/>
      <c r="AN16" s="165"/>
      <c r="AO16" s="165"/>
      <c r="AP16" s="165"/>
      <c r="AQ16" s="166"/>
      <c r="AR16" s="48"/>
      <c r="AS16" s="164">
        <f>+SUM(AS3:BF3)</f>
        <v>4886</v>
      </c>
      <c r="AT16" s="165"/>
      <c r="AU16" s="165"/>
      <c r="AV16" s="165"/>
      <c r="AW16" s="165"/>
      <c r="AX16" s="165"/>
      <c r="AY16" s="165"/>
      <c r="AZ16" s="165"/>
      <c r="BA16" s="165"/>
      <c r="BB16" s="165"/>
      <c r="BC16" s="165"/>
      <c r="BD16" s="165"/>
      <c r="BE16" s="165"/>
      <c r="BF16" s="166"/>
      <c r="BG16" s="48"/>
      <c r="BH16" s="164">
        <f>+SUM(BH3:BK3)</f>
        <v>4149</v>
      </c>
      <c r="BI16" s="165"/>
      <c r="BJ16" s="165"/>
      <c r="BK16" s="166"/>
      <c r="BL16" s="48"/>
      <c r="BM16" s="164">
        <f>+SUM(BM3:BQ3)</f>
        <v>3932</v>
      </c>
      <c r="BN16" s="165"/>
      <c r="BO16" s="165"/>
      <c r="BP16" s="165"/>
      <c r="BQ16" s="166"/>
      <c r="BR16" s="48"/>
      <c r="BS16" s="164">
        <f>+SUM(BS3:BV3)</f>
        <v>1839</v>
      </c>
      <c r="BT16" s="165"/>
      <c r="BU16" s="165"/>
      <c r="BV16" s="166"/>
    </row>
    <row r="17" spans="1:74" x14ac:dyDescent="0.25">
      <c r="A17" s="50"/>
      <c r="B17" s="50"/>
      <c r="C17" s="51" t="s">
        <v>287</v>
      </c>
      <c r="D17" s="86"/>
      <c r="E17" s="86"/>
      <c r="F17" s="86"/>
      <c r="G17" s="86"/>
      <c r="H17" s="86"/>
      <c r="I17" s="86"/>
      <c r="J17" s="86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>+AA3/$L$16*100</f>
        <v>1.5751383567475523</v>
      </c>
      <c r="AB17" s="67">
        <f>+AB3/$L$16*100</f>
        <v>2.9587058322690507</v>
      </c>
      <c r="AC17" s="67">
        <f>+AC3/$L$16*100</f>
        <v>20.838654746700726</v>
      </c>
      <c r="AD17" s="67">
        <f>+AD3/$L$16*100</f>
        <v>16.900808854831844</v>
      </c>
      <c r="AE17" s="67">
        <f>+AE3/$L$16*100</f>
        <v>8.2162622392507441</v>
      </c>
      <c r="AF17" s="67">
        <f>+AF3/$L$16*100</f>
        <v>9.0676883780332069</v>
      </c>
      <c r="AG17" s="67">
        <f>+AG3/$L$16*100</f>
        <v>11.409110259684972</v>
      </c>
      <c r="AH17" s="67">
        <f>+AH3/$L$16*100</f>
        <v>18.667518092805448</v>
      </c>
      <c r="AI17" s="67">
        <f>+AI3/$L$16*100</f>
        <v>8.4291187739463602</v>
      </c>
      <c r="AJ17" s="67">
        <f>+AJ3/$L$16*100</f>
        <v>0.89399744572158357</v>
      </c>
      <c r="AK17" s="48"/>
      <c r="AL17" s="67">
        <f>+AL3/$L$16*100</f>
        <v>9.0464027245636451</v>
      </c>
      <c r="AM17" s="67">
        <f>+AM3/$L$16*100</f>
        <v>23.946360153256705</v>
      </c>
      <c r="AN17" s="67">
        <f>+AN3/$L$16*100</f>
        <v>25.500212856534691</v>
      </c>
      <c r="AO17" s="67">
        <f>+AO3/$L$16*100</f>
        <v>8.7696892294593454</v>
      </c>
      <c r="AP17" s="67">
        <f>+AP3/$L$16*100</f>
        <v>16.836951894423159</v>
      </c>
      <c r="AQ17" s="67">
        <f>+AQ3/$L$16*100</f>
        <v>15.304384844614729</v>
      </c>
      <c r="AR17" s="48"/>
      <c r="AS17" s="67">
        <f>+AS3/$L$16*100</f>
        <v>0.17028522775649213</v>
      </c>
      <c r="AT17" s="67">
        <f>+AT3/$L$16*100</f>
        <v>0.29799914857386123</v>
      </c>
      <c r="AU17" s="67">
        <f>+AU3/$L$16*100</f>
        <v>0.87271179225202211</v>
      </c>
      <c r="AV17" s="67">
        <f>+AV3/$L$16*100</f>
        <v>4.235845040442741</v>
      </c>
      <c r="AW17" s="67">
        <f>+AW3/$L$16*100</f>
        <v>55.598126862494681</v>
      </c>
      <c r="AX17" s="67">
        <f>+AX3/$L$16*100</f>
        <v>2.0221370796083442</v>
      </c>
      <c r="AY17" s="67">
        <f>+AY3/$L$16*100</f>
        <v>0.44699872286079179</v>
      </c>
      <c r="AZ17" s="67">
        <f>+AZ3/$L$16*100</f>
        <v>3.6185610898254574</v>
      </c>
      <c r="BA17" s="67">
        <f>+BA3/$L$16*100</f>
        <v>2.1711366538952745</v>
      </c>
      <c r="BB17" s="67">
        <f>+BB3/$L$16*100</f>
        <v>1.277139208173691</v>
      </c>
      <c r="BC17" s="67">
        <f>+BC3/$L$16*100</f>
        <v>31.460195828011923</v>
      </c>
      <c r="BD17" s="67">
        <f>+BD3/$L$16*100</f>
        <v>1.5538527032779907</v>
      </c>
      <c r="BE17" s="67">
        <f>+BE3/$L$16*100</f>
        <v>6.3856960408684549E-2</v>
      </c>
      <c r="BF17" s="67">
        <f>+BF3/$L$16*100</f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318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0">+AS3/AS4*100</f>
        <v>88.888888888888886</v>
      </c>
      <c r="AT18" s="69">
        <f t="shared" si="0"/>
        <v>63.636363636363633</v>
      </c>
      <c r="AU18" s="69">
        <f t="shared" si="0"/>
        <v>95.348837209302332</v>
      </c>
      <c r="AV18" s="69">
        <f t="shared" si="0"/>
        <v>90.867579908675793</v>
      </c>
      <c r="AW18" s="69">
        <f t="shared" si="0"/>
        <v>93.620071684587813</v>
      </c>
      <c r="AX18" s="69">
        <f t="shared" si="0"/>
        <v>97.9381443298969</v>
      </c>
      <c r="AY18" s="69">
        <f t="shared" si="0"/>
        <v>100</v>
      </c>
      <c r="AZ18" s="69">
        <f t="shared" si="0"/>
        <v>94.97206703910615</v>
      </c>
      <c r="BA18" s="69">
        <f t="shared" si="0"/>
        <v>93.577981651376149</v>
      </c>
      <c r="BB18" s="69">
        <f t="shared" si="0"/>
        <v>96.774193548387103</v>
      </c>
      <c r="BC18" s="69">
        <f t="shared" si="0"/>
        <v>93.131695022054188</v>
      </c>
      <c r="BD18" s="69">
        <f t="shared" si="0"/>
        <v>94.805194805194802</v>
      </c>
      <c r="BE18" s="69">
        <f t="shared" si="0"/>
        <v>75</v>
      </c>
      <c r="BF18" s="69">
        <f t="shared" si="0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319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58">
        <f>+SUM(BM5:BQ5)</f>
        <v>4577</v>
      </c>
      <c r="BN19" s="159"/>
      <c r="BO19" s="159"/>
      <c r="BP19" s="159"/>
      <c r="BQ19" s="160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320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52" zoomScaleNormal="100" workbookViewId="0"/>
  </sheetViews>
  <sheetFormatPr baseColWidth="10" defaultRowHeight="15" x14ac:dyDescent="0.25"/>
  <cols>
    <col min="1" max="1" width="6.5703125" customWidth="1"/>
    <col min="2" max="2" width="28.7109375" bestFit="1" customWidth="1"/>
    <col min="3" max="9" width="8" customWidth="1"/>
    <col min="10" max="10" width="9.28515625" customWidth="1"/>
    <col min="11" max="11" width="25.425781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19" max="20" width="9.140625" customWidth="1"/>
    <col min="21" max="21" width="8" customWidth="1"/>
    <col min="22" max="29" width="11.42578125" customWidth="1"/>
    <col min="30" max="30" width="9.140625" customWidth="1"/>
    <col min="31" max="31" width="27.42578125" bestFit="1" customWidth="1"/>
    <col min="32" max="32" width="7" customWidth="1"/>
    <col min="33" max="33" width="8" customWidth="1"/>
    <col min="34" max="36" width="7" customWidth="1"/>
    <col min="37" max="39" width="7.42578125" customWidth="1"/>
    <col min="40" max="40" width="7" customWidth="1"/>
  </cols>
  <sheetData>
    <row r="1" spans="1:40" ht="162.75" thickBot="1" x14ac:dyDescent="0.3">
      <c r="A1" s="146" t="s">
        <v>192</v>
      </c>
      <c r="B1" s="146" t="s">
        <v>270</v>
      </c>
      <c r="C1" s="146">
        <v>2016</v>
      </c>
      <c r="D1" s="146">
        <v>2016</v>
      </c>
      <c r="E1" s="146" t="s">
        <v>450</v>
      </c>
      <c r="F1" s="146" t="s">
        <v>451</v>
      </c>
      <c r="G1" s="146" t="s">
        <v>452</v>
      </c>
      <c r="H1" s="146" t="s">
        <v>453</v>
      </c>
      <c r="I1" s="146" t="s">
        <v>454</v>
      </c>
      <c r="J1" s="215" t="s">
        <v>270</v>
      </c>
      <c r="K1" s="215"/>
      <c r="L1" s="146" t="s">
        <v>455</v>
      </c>
      <c r="M1" s="146" t="s">
        <v>193</v>
      </c>
      <c r="N1" s="146">
        <v>2016</v>
      </c>
      <c r="O1" s="146">
        <v>2016</v>
      </c>
      <c r="P1" s="146" t="s">
        <v>450</v>
      </c>
      <c r="Q1" s="146" t="s">
        <v>451</v>
      </c>
      <c r="R1" s="40"/>
      <c r="S1" s="40"/>
      <c r="T1" s="40"/>
      <c r="U1" s="149" t="s">
        <v>288</v>
      </c>
      <c r="V1" s="87" t="s">
        <v>289</v>
      </c>
      <c r="W1" s="88" t="s">
        <v>290</v>
      </c>
      <c r="X1" s="89" t="s">
        <v>291</v>
      </c>
      <c r="Y1" s="90" t="s">
        <v>292</v>
      </c>
      <c r="Z1" s="91" t="s">
        <v>293</v>
      </c>
      <c r="AA1" s="92" t="s">
        <v>10</v>
      </c>
      <c r="AB1" s="92" t="s">
        <v>294</v>
      </c>
      <c r="AC1" s="92" t="s">
        <v>456</v>
      </c>
      <c r="AD1" s="40"/>
      <c r="AE1" s="93" t="s">
        <v>295</v>
      </c>
      <c r="AF1" s="93">
        <v>2007</v>
      </c>
      <c r="AG1" s="93">
        <v>2008</v>
      </c>
      <c r="AH1" s="93">
        <v>2009</v>
      </c>
      <c r="AI1" s="93">
        <v>2010</v>
      </c>
      <c r="AJ1" s="93">
        <v>2011</v>
      </c>
      <c r="AK1" s="93">
        <v>2012</v>
      </c>
      <c r="AL1" s="93">
        <v>2013</v>
      </c>
      <c r="AM1" s="93">
        <v>2014</v>
      </c>
      <c r="AN1" s="93">
        <v>2015</v>
      </c>
    </row>
    <row r="2" spans="1:40" ht="17.25" thickBot="1" x14ac:dyDescent="0.3">
      <c r="A2" s="240" t="s">
        <v>457</v>
      </c>
      <c r="B2" s="235" t="s">
        <v>11</v>
      </c>
      <c r="C2" s="236">
        <v>86.53</v>
      </c>
      <c r="D2" s="236">
        <v>95.23</v>
      </c>
      <c r="E2" s="236">
        <v>77.650000000000006</v>
      </c>
      <c r="F2" s="236">
        <v>87.04</v>
      </c>
      <c r="G2" s="194">
        <v>-8.6999999999999993</v>
      </c>
      <c r="H2" s="194">
        <v>8.8800000000000008</v>
      </c>
      <c r="I2" s="194">
        <v>-0.51</v>
      </c>
      <c r="J2" s="251" t="s">
        <v>11</v>
      </c>
      <c r="K2" s="254" t="s">
        <v>194</v>
      </c>
      <c r="L2" s="94">
        <v>1</v>
      </c>
      <c r="M2" s="95" t="s">
        <v>195</v>
      </c>
      <c r="N2" s="96">
        <v>85.48</v>
      </c>
      <c r="O2" s="97">
        <v>94.52</v>
      </c>
      <c r="P2" s="96">
        <v>71.930000000000007</v>
      </c>
      <c r="Q2" s="96">
        <v>83.65</v>
      </c>
      <c r="R2" s="98">
        <v>-9.0399999999999991</v>
      </c>
      <c r="S2" s="40"/>
      <c r="T2" s="40"/>
      <c r="U2" s="99">
        <v>2016</v>
      </c>
      <c r="V2" s="99">
        <v>85.92</v>
      </c>
      <c r="W2" s="99">
        <v>81.55</v>
      </c>
      <c r="X2" s="99">
        <v>77.75</v>
      </c>
      <c r="Y2" s="99">
        <v>83.29</v>
      </c>
      <c r="Z2" s="99">
        <v>86.17</v>
      </c>
      <c r="AA2" s="99">
        <v>81.95</v>
      </c>
      <c r="AB2" s="99">
        <v>82.9</v>
      </c>
      <c r="AC2" s="99">
        <v>84.08</v>
      </c>
      <c r="AD2" s="40"/>
      <c r="AE2" s="100" t="s">
        <v>296</v>
      </c>
      <c r="AF2" s="100">
        <v>376</v>
      </c>
      <c r="AG2" s="100">
        <v>387</v>
      </c>
      <c r="AH2" s="100">
        <v>532</v>
      </c>
      <c r="AI2" s="100">
        <v>581</v>
      </c>
      <c r="AJ2" s="100">
        <v>676</v>
      </c>
      <c r="AK2" s="100">
        <v>704</v>
      </c>
      <c r="AL2" s="100">
        <v>711</v>
      </c>
      <c r="AM2" s="100">
        <v>669</v>
      </c>
      <c r="AN2" s="100">
        <v>664</v>
      </c>
    </row>
    <row r="3" spans="1:40" ht="18" thickTop="1" thickBot="1" x14ac:dyDescent="0.3">
      <c r="A3" s="241"/>
      <c r="B3" s="231"/>
      <c r="C3" s="233"/>
      <c r="D3" s="233"/>
      <c r="E3" s="233"/>
      <c r="F3" s="233"/>
      <c r="G3" s="189"/>
      <c r="H3" s="189"/>
      <c r="I3" s="189"/>
      <c r="J3" s="252"/>
      <c r="K3" s="255"/>
      <c r="L3" s="94">
        <v>2</v>
      </c>
      <c r="M3" s="95" t="s">
        <v>196</v>
      </c>
      <c r="N3" s="96">
        <v>84.05</v>
      </c>
      <c r="O3" s="97">
        <v>94.08</v>
      </c>
      <c r="P3" s="96">
        <v>72.400000000000006</v>
      </c>
      <c r="Q3" s="96">
        <v>83.46</v>
      </c>
      <c r="R3" s="98">
        <v>-10.029999999999999</v>
      </c>
      <c r="S3" s="40"/>
      <c r="T3" s="40"/>
      <c r="U3" s="99">
        <v>2015</v>
      </c>
      <c r="V3" s="99">
        <v>67.150000000000006</v>
      </c>
      <c r="W3" s="99">
        <v>61</v>
      </c>
      <c r="X3" s="99">
        <v>59.08</v>
      </c>
      <c r="Y3" s="99">
        <v>65</v>
      </c>
      <c r="Z3" s="99">
        <v>62.3</v>
      </c>
      <c r="AA3" s="99">
        <v>62.42</v>
      </c>
      <c r="AB3" s="99">
        <v>62.67</v>
      </c>
      <c r="AC3" s="99">
        <v>57</v>
      </c>
      <c r="AD3" s="40"/>
      <c r="AE3" s="100" t="s">
        <v>163</v>
      </c>
      <c r="AF3" s="100">
        <v>336</v>
      </c>
      <c r="AG3" s="100">
        <v>364</v>
      </c>
      <c r="AH3" s="100">
        <v>491</v>
      </c>
      <c r="AI3" s="100">
        <v>448</v>
      </c>
      <c r="AJ3" s="100">
        <v>560</v>
      </c>
      <c r="AK3" s="100">
        <v>594</v>
      </c>
      <c r="AL3" s="100">
        <v>610</v>
      </c>
      <c r="AM3" s="100">
        <v>580</v>
      </c>
      <c r="AN3" s="100">
        <v>600</v>
      </c>
    </row>
    <row r="4" spans="1:40" ht="18" thickTop="1" thickBot="1" x14ac:dyDescent="0.3">
      <c r="A4" s="241"/>
      <c r="B4" s="231"/>
      <c r="C4" s="233"/>
      <c r="D4" s="233"/>
      <c r="E4" s="233"/>
      <c r="F4" s="233"/>
      <c r="G4" s="189"/>
      <c r="H4" s="189"/>
      <c r="I4" s="189"/>
      <c r="J4" s="252"/>
      <c r="K4" s="256" t="s">
        <v>197</v>
      </c>
      <c r="L4" s="94">
        <v>3</v>
      </c>
      <c r="M4" s="95" t="s">
        <v>198</v>
      </c>
      <c r="N4" s="97">
        <v>87.08</v>
      </c>
      <c r="O4" s="97">
        <v>96.28</v>
      </c>
      <c r="P4" s="96">
        <v>81.36</v>
      </c>
      <c r="Q4" s="97">
        <v>89.14</v>
      </c>
      <c r="R4" s="98">
        <v>-9.1999999999999993</v>
      </c>
      <c r="S4" s="40"/>
      <c r="T4" s="40"/>
      <c r="U4" s="99">
        <v>2014</v>
      </c>
      <c r="V4" s="99">
        <v>61.92</v>
      </c>
      <c r="W4" s="99">
        <v>59.62</v>
      </c>
      <c r="X4" s="99">
        <v>58.42</v>
      </c>
      <c r="Y4" s="99">
        <v>64.25</v>
      </c>
      <c r="Z4" s="99">
        <v>63.51</v>
      </c>
      <c r="AA4" s="99">
        <v>60.03</v>
      </c>
      <c r="AB4" s="99">
        <v>61.07</v>
      </c>
      <c r="AC4" s="99">
        <v>51</v>
      </c>
      <c r="AD4" s="40"/>
      <c r="AE4" s="100" t="s">
        <v>297</v>
      </c>
      <c r="AF4" s="101">
        <v>0.9</v>
      </c>
      <c r="AG4" s="102">
        <v>0.94099999999999995</v>
      </c>
      <c r="AH4" s="101">
        <v>0.92</v>
      </c>
      <c r="AI4" s="101">
        <v>0.77</v>
      </c>
      <c r="AJ4" s="101">
        <v>0.83</v>
      </c>
      <c r="AK4" s="101">
        <v>0.84</v>
      </c>
      <c r="AL4" s="101">
        <v>0.86</v>
      </c>
      <c r="AM4" s="101">
        <v>0.87</v>
      </c>
      <c r="AN4" s="101">
        <v>0.9</v>
      </c>
    </row>
    <row r="5" spans="1:40" ht="18" thickTop="1" thickBot="1" x14ac:dyDescent="0.3">
      <c r="A5" s="241"/>
      <c r="B5" s="231"/>
      <c r="C5" s="234"/>
      <c r="D5" s="234"/>
      <c r="E5" s="234"/>
      <c r="F5" s="234"/>
      <c r="G5" s="195"/>
      <c r="H5" s="195"/>
      <c r="I5" s="195"/>
      <c r="J5" s="253"/>
      <c r="K5" s="255"/>
      <c r="L5" s="94">
        <v>4</v>
      </c>
      <c r="M5" s="95" t="s">
        <v>199</v>
      </c>
      <c r="N5" s="97">
        <v>89.51</v>
      </c>
      <c r="O5" s="97">
        <v>96.06</v>
      </c>
      <c r="P5" s="96">
        <v>84.9</v>
      </c>
      <c r="Q5" s="97">
        <v>91.89</v>
      </c>
      <c r="R5" s="98">
        <v>-6.55</v>
      </c>
      <c r="S5" s="40"/>
      <c r="T5" s="40"/>
      <c r="U5" s="99">
        <v>2013</v>
      </c>
      <c r="V5" s="99">
        <v>66</v>
      </c>
      <c r="W5" s="99">
        <v>62</v>
      </c>
      <c r="X5" s="99">
        <v>63</v>
      </c>
      <c r="Y5" s="99">
        <v>66</v>
      </c>
      <c r="Z5" s="99">
        <v>65</v>
      </c>
      <c r="AA5" s="99">
        <v>63.84</v>
      </c>
      <c r="AB5" s="99">
        <v>64</v>
      </c>
      <c r="AC5" s="99">
        <v>57</v>
      </c>
      <c r="AD5" s="40"/>
      <c r="AE5" s="100" t="s">
        <v>458</v>
      </c>
      <c r="AF5" s="102">
        <v>1.6400000000000001E-2</v>
      </c>
      <c r="AG5" s="102">
        <v>1.2500000000000001E-2</v>
      </c>
      <c r="AH5" s="102">
        <v>1.23E-2</v>
      </c>
      <c r="AI5" s="102">
        <v>2.2200000000000001E-2</v>
      </c>
      <c r="AJ5" s="102">
        <v>1.72E-2</v>
      </c>
      <c r="AK5" s="102">
        <v>1.5900000000000001E-2</v>
      </c>
      <c r="AL5" s="102">
        <v>1.4999999999999999E-2</v>
      </c>
      <c r="AM5" s="102">
        <v>1.4800000000000001E-2</v>
      </c>
      <c r="AN5" s="102">
        <v>1.24E-2</v>
      </c>
    </row>
    <row r="6" spans="1:40" ht="18" thickTop="1" thickBot="1" x14ac:dyDescent="0.3">
      <c r="A6" s="241"/>
      <c r="B6" s="231" t="s">
        <v>12</v>
      </c>
      <c r="C6" s="232">
        <v>85.75</v>
      </c>
      <c r="D6" s="232">
        <v>94.89</v>
      </c>
      <c r="E6" s="232">
        <v>79.209999999999994</v>
      </c>
      <c r="F6" s="232">
        <v>89.57</v>
      </c>
      <c r="G6" s="188">
        <v>-9.14</v>
      </c>
      <c r="H6" s="188">
        <v>6.54</v>
      </c>
      <c r="I6" s="188">
        <v>-3.82</v>
      </c>
      <c r="J6" s="257" t="s">
        <v>12</v>
      </c>
      <c r="K6" s="256" t="s">
        <v>200</v>
      </c>
      <c r="L6" s="94">
        <v>5</v>
      </c>
      <c r="M6" s="95" t="s">
        <v>201</v>
      </c>
      <c r="N6" s="97">
        <v>89.01</v>
      </c>
      <c r="O6" s="97">
        <v>96.06</v>
      </c>
      <c r="P6" s="96">
        <v>82.09</v>
      </c>
      <c r="Q6" s="97">
        <v>92.38</v>
      </c>
      <c r="R6" s="98">
        <v>-7.05</v>
      </c>
      <c r="S6" s="40"/>
      <c r="T6" s="40"/>
      <c r="U6" s="99">
        <v>2012</v>
      </c>
      <c r="V6" s="99">
        <v>69</v>
      </c>
      <c r="W6" s="99">
        <v>67</v>
      </c>
      <c r="X6" s="99">
        <v>66</v>
      </c>
      <c r="Y6" s="99">
        <v>68</v>
      </c>
      <c r="Z6" s="99">
        <v>68</v>
      </c>
      <c r="AA6" s="99">
        <v>67.08</v>
      </c>
      <c r="AB6" s="99">
        <v>67</v>
      </c>
      <c r="AC6" s="99">
        <v>62</v>
      </c>
      <c r="AD6" s="40"/>
      <c r="AE6" s="100" t="s">
        <v>298</v>
      </c>
      <c r="AF6" s="103">
        <v>42915</v>
      </c>
      <c r="AG6" s="103">
        <v>42915</v>
      </c>
      <c r="AH6" s="103">
        <v>42918</v>
      </c>
      <c r="AI6" s="103">
        <v>42920</v>
      </c>
      <c r="AJ6" s="103">
        <v>42926</v>
      </c>
      <c r="AK6" s="103">
        <v>42951</v>
      </c>
      <c r="AL6" s="103">
        <v>42951</v>
      </c>
      <c r="AM6" s="103">
        <v>42967</v>
      </c>
      <c r="AN6" s="103">
        <v>42906</v>
      </c>
    </row>
    <row r="7" spans="1:40" ht="18" thickTop="1" thickBot="1" x14ac:dyDescent="0.3">
      <c r="A7" s="241"/>
      <c r="B7" s="231"/>
      <c r="C7" s="233"/>
      <c r="D7" s="233"/>
      <c r="E7" s="233"/>
      <c r="F7" s="233"/>
      <c r="G7" s="189"/>
      <c r="H7" s="189"/>
      <c r="I7" s="189"/>
      <c r="J7" s="252"/>
      <c r="K7" s="258"/>
      <c r="L7" s="94">
        <v>6</v>
      </c>
      <c r="M7" s="95" t="s">
        <v>202</v>
      </c>
      <c r="N7" s="96">
        <v>84.34</v>
      </c>
      <c r="O7" s="97">
        <v>94.53</v>
      </c>
      <c r="P7" s="96">
        <v>78.010000000000005</v>
      </c>
      <c r="Q7" s="97">
        <v>90.85</v>
      </c>
      <c r="R7" s="98">
        <v>-10.19</v>
      </c>
      <c r="S7" s="40"/>
      <c r="T7" s="40"/>
      <c r="U7" s="99">
        <v>2011</v>
      </c>
      <c r="V7" s="99">
        <v>62</v>
      </c>
      <c r="W7" s="99">
        <v>61</v>
      </c>
      <c r="X7" s="99">
        <v>60</v>
      </c>
      <c r="Y7" s="99">
        <v>62</v>
      </c>
      <c r="Z7" s="99">
        <v>66</v>
      </c>
      <c r="AA7" s="99">
        <v>61.18</v>
      </c>
      <c r="AB7" s="99">
        <v>62</v>
      </c>
      <c r="AC7" s="99">
        <v>51</v>
      </c>
      <c r="AD7" s="40"/>
      <c r="AE7" s="100" t="s">
        <v>299</v>
      </c>
      <c r="AF7" s="100" t="s">
        <v>300</v>
      </c>
      <c r="AG7" s="100" t="s">
        <v>300</v>
      </c>
      <c r="AH7" s="100" t="s">
        <v>300</v>
      </c>
      <c r="AI7" s="100" t="s">
        <v>300</v>
      </c>
      <c r="AJ7" s="100" t="s">
        <v>300</v>
      </c>
      <c r="AK7" s="100" t="s">
        <v>300</v>
      </c>
      <c r="AL7" s="100" t="s">
        <v>300</v>
      </c>
      <c r="AM7" s="100" t="s">
        <v>300</v>
      </c>
      <c r="AN7" s="100" t="s">
        <v>300</v>
      </c>
    </row>
    <row r="8" spans="1:40" ht="17.25" thickTop="1" x14ac:dyDescent="0.25">
      <c r="A8" s="241"/>
      <c r="B8" s="231"/>
      <c r="C8" s="233"/>
      <c r="D8" s="233"/>
      <c r="E8" s="233"/>
      <c r="F8" s="233"/>
      <c r="G8" s="189"/>
      <c r="H8" s="189"/>
      <c r="I8" s="189"/>
      <c r="J8" s="252"/>
      <c r="K8" s="255"/>
      <c r="L8" s="94">
        <v>7</v>
      </c>
      <c r="M8" s="95" t="s">
        <v>203</v>
      </c>
      <c r="N8" s="96">
        <v>76.25</v>
      </c>
      <c r="O8" s="97">
        <v>90.57</v>
      </c>
      <c r="P8" s="96">
        <v>68.849999999999994</v>
      </c>
      <c r="Q8" s="96">
        <v>81.239999999999995</v>
      </c>
      <c r="R8" s="98">
        <v>-14.32</v>
      </c>
      <c r="S8" s="40"/>
      <c r="T8" s="40"/>
      <c r="U8" s="99">
        <v>2010</v>
      </c>
      <c r="V8" s="99">
        <v>65</v>
      </c>
      <c r="W8" s="99">
        <v>63</v>
      </c>
      <c r="X8" s="99">
        <v>61</v>
      </c>
      <c r="Y8" s="99">
        <v>61</v>
      </c>
      <c r="Z8" s="99">
        <v>63</v>
      </c>
      <c r="AA8" s="99">
        <v>63.36</v>
      </c>
      <c r="AB8" s="99">
        <v>63</v>
      </c>
      <c r="AC8" s="99">
        <v>55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</row>
    <row r="9" spans="1:40" ht="30" x14ac:dyDescent="0.25">
      <c r="A9" s="241"/>
      <c r="B9" s="231"/>
      <c r="C9" s="233"/>
      <c r="D9" s="233"/>
      <c r="E9" s="233"/>
      <c r="F9" s="233"/>
      <c r="G9" s="189"/>
      <c r="H9" s="189"/>
      <c r="I9" s="189"/>
      <c r="J9" s="252"/>
      <c r="K9" s="256" t="s">
        <v>204</v>
      </c>
      <c r="L9" s="94">
        <v>8</v>
      </c>
      <c r="M9" s="95" t="s">
        <v>205</v>
      </c>
      <c r="N9" s="97">
        <v>87.18</v>
      </c>
      <c r="O9" s="97">
        <v>95.4</v>
      </c>
      <c r="P9" s="96">
        <v>82.88</v>
      </c>
      <c r="Q9" s="97">
        <v>90.08</v>
      </c>
      <c r="R9" s="98">
        <v>-8.2200000000000006</v>
      </c>
      <c r="S9" s="40"/>
      <c r="T9" s="40"/>
      <c r="U9" s="99">
        <v>2009</v>
      </c>
      <c r="V9" s="99">
        <v>66</v>
      </c>
      <c r="W9" s="99">
        <v>64</v>
      </c>
      <c r="X9" s="99">
        <v>61</v>
      </c>
      <c r="Y9" s="99">
        <v>58</v>
      </c>
      <c r="Z9" s="99">
        <v>62</v>
      </c>
      <c r="AA9" s="99">
        <v>63.62</v>
      </c>
      <c r="AB9" s="99">
        <v>62</v>
      </c>
      <c r="AC9" s="99">
        <v>52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</row>
    <row r="10" spans="1:40" ht="16.5" x14ac:dyDescent="0.25">
      <c r="A10" s="241"/>
      <c r="B10" s="231"/>
      <c r="C10" s="233"/>
      <c r="D10" s="233"/>
      <c r="E10" s="233"/>
      <c r="F10" s="233"/>
      <c r="G10" s="189"/>
      <c r="H10" s="189"/>
      <c r="I10" s="189"/>
      <c r="J10" s="252"/>
      <c r="K10" s="255"/>
      <c r="L10" s="94">
        <v>9</v>
      </c>
      <c r="M10" s="95" t="s">
        <v>206</v>
      </c>
      <c r="N10" s="97">
        <v>89.17</v>
      </c>
      <c r="O10" s="97">
        <v>97.37</v>
      </c>
      <c r="P10" s="97">
        <v>86.01</v>
      </c>
      <c r="Q10" s="97">
        <v>95.21</v>
      </c>
      <c r="R10" s="98">
        <v>-8.1999999999999993</v>
      </c>
      <c r="S10" s="40"/>
      <c r="T10" s="40"/>
      <c r="U10" s="99">
        <v>2008</v>
      </c>
      <c r="V10" s="99">
        <v>66</v>
      </c>
      <c r="W10" s="99">
        <v>64</v>
      </c>
      <c r="X10" s="99">
        <v>61</v>
      </c>
      <c r="Y10" s="99">
        <v>59</v>
      </c>
      <c r="Z10" s="99">
        <v>62</v>
      </c>
      <c r="AA10" s="99">
        <v>64</v>
      </c>
      <c r="AB10" s="99">
        <v>62</v>
      </c>
      <c r="AC10" s="99">
        <v>48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</row>
    <row r="11" spans="1:40" ht="16.5" x14ac:dyDescent="0.25">
      <c r="A11" s="241"/>
      <c r="B11" s="231"/>
      <c r="C11" s="234"/>
      <c r="D11" s="234"/>
      <c r="E11" s="234"/>
      <c r="F11" s="234"/>
      <c r="G11" s="195"/>
      <c r="H11" s="195"/>
      <c r="I11" s="195"/>
      <c r="J11" s="253"/>
      <c r="K11" s="147" t="s">
        <v>207</v>
      </c>
      <c r="L11" s="94">
        <v>10</v>
      </c>
      <c r="M11" s="95" t="s">
        <v>208</v>
      </c>
      <c r="N11" s="97">
        <v>88.56</v>
      </c>
      <c r="O11" s="97">
        <v>95.38</v>
      </c>
      <c r="P11" s="96">
        <v>77.41</v>
      </c>
      <c r="Q11" s="97">
        <v>87.68</v>
      </c>
      <c r="R11" s="98">
        <v>-6.82</v>
      </c>
      <c r="S11" s="40"/>
      <c r="T11" s="40"/>
      <c r="U11" s="99">
        <v>2007</v>
      </c>
      <c r="V11" s="99">
        <v>66.72</v>
      </c>
      <c r="W11" s="99">
        <v>66.94</v>
      </c>
      <c r="X11" s="99">
        <v>63.77</v>
      </c>
      <c r="Y11" s="99">
        <v>61.24</v>
      </c>
      <c r="Z11" s="99">
        <v>65.47</v>
      </c>
      <c r="AA11" s="99">
        <v>66</v>
      </c>
      <c r="AB11" s="99">
        <v>65</v>
      </c>
      <c r="AC11" s="99">
        <v>57.02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</row>
    <row r="12" spans="1:40" ht="16.5" x14ac:dyDescent="0.25">
      <c r="A12" s="241"/>
      <c r="B12" s="231" t="s">
        <v>13</v>
      </c>
      <c r="C12" s="232">
        <v>85.61</v>
      </c>
      <c r="D12" s="232">
        <v>94.52</v>
      </c>
      <c r="E12" s="232">
        <v>79.099999999999994</v>
      </c>
      <c r="F12" s="232">
        <v>88.12</v>
      </c>
      <c r="G12" s="188">
        <v>-8.91</v>
      </c>
      <c r="H12" s="188">
        <v>6.51</v>
      </c>
      <c r="I12" s="188">
        <v>-2.5099999999999998</v>
      </c>
      <c r="J12" s="257" t="s">
        <v>13</v>
      </c>
      <c r="K12" s="256" t="s">
        <v>209</v>
      </c>
      <c r="L12" s="94">
        <v>11</v>
      </c>
      <c r="M12" s="95" t="s">
        <v>210</v>
      </c>
      <c r="N12" s="96">
        <v>82.4</v>
      </c>
      <c r="O12" s="97">
        <v>92.11</v>
      </c>
      <c r="P12" s="96">
        <v>74.319999999999993</v>
      </c>
      <c r="Q12" s="97">
        <v>87.25</v>
      </c>
      <c r="R12" s="98">
        <v>-9.7100000000000009</v>
      </c>
      <c r="S12" s="40"/>
      <c r="T12" s="40"/>
      <c r="U12" s="99">
        <v>2006</v>
      </c>
      <c r="V12" s="99">
        <v>74.33</v>
      </c>
      <c r="W12" s="99">
        <v>73.819999999999993</v>
      </c>
      <c r="X12" s="99">
        <v>69.739999999999995</v>
      </c>
      <c r="Y12" s="99">
        <v>71.430000000000007</v>
      </c>
      <c r="Z12" s="99">
        <v>73.430000000000007</v>
      </c>
      <c r="AA12" s="99">
        <v>73</v>
      </c>
      <c r="AB12" s="99">
        <v>73</v>
      </c>
      <c r="AC12" s="99">
        <v>70.81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</row>
    <row r="13" spans="1:40" ht="16.5" x14ac:dyDescent="0.25">
      <c r="A13" s="241"/>
      <c r="B13" s="231"/>
      <c r="C13" s="233"/>
      <c r="D13" s="233"/>
      <c r="E13" s="233"/>
      <c r="F13" s="233"/>
      <c r="G13" s="189"/>
      <c r="H13" s="189"/>
      <c r="I13" s="189"/>
      <c r="J13" s="252"/>
      <c r="K13" s="258"/>
      <c r="L13" s="94">
        <v>12</v>
      </c>
      <c r="M13" s="95" t="s">
        <v>211</v>
      </c>
      <c r="N13" s="96">
        <v>82.42</v>
      </c>
      <c r="O13" s="97">
        <v>91.67</v>
      </c>
      <c r="P13" s="96">
        <v>74.2</v>
      </c>
      <c r="Q13" s="96">
        <v>85.16</v>
      </c>
      <c r="R13" s="98">
        <v>-9.25</v>
      </c>
      <c r="S13" s="40"/>
      <c r="T13" s="40"/>
      <c r="U13" s="99">
        <v>2005</v>
      </c>
      <c r="V13" s="99">
        <v>70</v>
      </c>
      <c r="W13" s="99">
        <v>71</v>
      </c>
      <c r="X13" s="99">
        <v>66</v>
      </c>
      <c r="Y13" s="99">
        <v>67</v>
      </c>
      <c r="Z13" s="99">
        <v>69</v>
      </c>
      <c r="AA13" s="99">
        <v>69</v>
      </c>
      <c r="AB13" s="99">
        <v>69</v>
      </c>
      <c r="AC13" s="99">
        <v>66.099999999999994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</row>
    <row r="14" spans="1:40" ht="16.5" x14ac:dyDescent="0.25">
      <c r="A14" s="241"/>
      <c r="B14" s="231"/>
      <c r="C14" s="233"/>
      <c r="D14" s="233"/>
      <c r="E14" s="233"/>
      <c r="F14" s="233"/>
      <c r="G14" s="189"/>
      <c r="H14" s="189"/>
      <c r="I14" s="189"/>
      <c r="J14" s="252"/>
      <c r="K14" s="255"/>
      <c r="L14" s="94">
        <v>13</v>
      </c>
      <c r="M14" s="95" t="s">
        <v>212</v>
      </c>
      <c r="N14" s="96">
        <v>85.31</v>
      </c>
      <c r="O14" s="97">
        <v>97.37</v>
      </c>
      <c r="P14" s="96">
        <v>81.02</v>
      </c>
      <c r="Q14" s="96">
        <v>85.17</v>
      </c>
      <c r="R14" s="98">
        <v>-12.06</v>
      </c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</row>
    <row r="15" spans="1:40" ht="17.25" thickBot="1" x14ac:dyDescent="0.3">
      <c r="A15" s="242"/>
      <c r="B15" s="243"/>
      <c r="C15" s="244"/>
      <c r="D15" s="244"/>
      <c r="E15" s="244"/>
      <c r="F15" s="244"/>
      <c r="G15" s="190"/>
      <c r="H15" s="190"/>
      <c r="I15" s="190"/>
      <c r="J15" s="259"/>
      <c r="K15" s="147" t="s">
        <v>213</v>
      </c>
      <c r="L15" s="94">
        <v>14</v>
      </c>
      <c r="M15" s="95" t="s">
        <v>214</v>
      </c>
      <c r="N15" s="97">
        <v>92.33</v>
      </c>
      <c r="O15" s="97">
        <v>96.93</v>
      </c>
      <c r="P15" s="97">
        <v>86.87</v>
      </c>
      <c r="Q15" s="97">
        <v>94.91</v>
      </c>
      <c r="R15" s="104">
        <v>-4.5999999999999996</v>
      </c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</row>
    <row r="16" spans="1:40" ht="162.75" thickBot="1" x14ac:dyDescent="0.3">
      <c r="A16" s="146" t="s">
        <v>192</v>
      </c>
      <c r="B16" s="146" t="s">
        <v>270</v>
      </c>
      <c r="C16" s="146">
        <v>2016</v>
      </c>
      <c r="D16" s="146">
        <v>2016</v>
      </c>
      <c r="E16" s="146" t="s">
        <v>450</v>
      </c>
      <c r="F16" s="146" t="s">
        <v>451</v>
      </c>
      <c r="G16" s="146" t="s">
        <v>452</v>
      </c>
      <c r="H16" s="146" t="s">
        <v>453</v>
      </c>
      <c r="I16" s="146" t="s">
        <v>454</v>
      </c>
      <c r="J16" s="215" t="s">
        <v>270</v>
      </c>
      <c r="K16" s="215"/>
      <c r="L16" s="146" t="s">
        <v>455</v>
      </c>
      <c r="M16" s="146" t="s">
        <v>193</v>
      </c>
      <c r="N16" s="146">
        <v>2016</v>
      </c>
      <c r="O16" s="146">
        <v>2016</v>
      </c>
      <c r="P16" s="146" t="s">
        <v>450</v>
      </c>
      <c r="Q16" s="146" t="s">
        <v>451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 ht="16.5" x14ac:dyDescent="0.25">
      <c r="A17" s="237" t="s">
        <v>459</v>
      </c>
      <c r="B17" s="235" t="s">
        <v>14</v>
      </c>
      <c r="C17" s="236">
        <v>82.03</v>
      </c>
      <c r="D17" s="236">
        <v>94.36</v>
      </c>
      <c r="E17" s="236">
        <v>76.66</v>
      </c>
      <c r="F17" s="236">
        <v>87</v>
      </c>
      <c r="G17" s="194">
        <v>-12.33</v>
      </c>
      <c r="H17" s="194">
        <v>5.37</v>
      </c>
      <c r="I17" s="194">
        <v>-4.97</v>
      </c>
      <c r="J17" s="221" t="s">
        <v>14</v>
      </c>
      <c r="K17" s="224" t="s">
        <v>215</v>
      </c>
      <c r="L17" s="94">
        <v>15</v>
      </c>
      <c r="M17" s="95" t="s">
        <v>216</v>
      </c>
      <c r="N17" s="96">
        <v>79.709999999999994</v>
      </c>
      <c r="O17" s="97">
        <v>94.29</v>
      </c>
      <c r="P17" s="96">
        <v>73.25</v>
      </c>
      <c r="Q17" s="97">
        <v>87.27</v>
      </c>
      <c r="R17" s="98">
        <v>-14.58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</row>
    <row r="18" spans="1:40" ht="16.5" x14ac:dyDescent="0.25">
      <c r="A18" s="238"/>
      <c r="B18" s="231"/>
      <c r="C18" s="233"/>
      <c r="D18" s="233"/>
      <c r="E18" s="233"/>
      <c r="F18" s="233"/>
      <c r="G18" s="189"/>
      <c r="H18" s="189"/>
      <c r="I18" s="189"/>
      <c r="J18" s="222"/>
      <c r="K18" s="225"/>
      <c r="L18" s="94">
        <v>16</v>
      </c>
      <c r="M18" s="95" t="s">
        <v>217</v>
      </c>
      <c r="N18" s="96">
        <v>83.11</v>
      </c>
      <c r="O18" s="97">
        <v>98.25</v>
      </c>
      <c r="P18" s="96">
        <v>82.08</v>
      </c>
      <c r="Q18" s="97">
        <v>88.76</v>
      </c>
      <c r="R18" s="98">
        <v>-15.14</v>
      </c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</row>
    <row r="19" spans="1:40" ht="16.5" x14ac:dyDescent="0.25">
      <c r="A19" s="238"/>
      <c r="B19" s="231"/>
      <c r="C19" s="233"/>
      <c r="D19" s="233"/>
      <c r="E19" s="233"/>
      <c r="F19" s="233"/>
      <c r="G19" s="189"/>
      <c r="H19" s="189"/>
      <c r="I19" s="189"/>
      <c r="J19" s="222"/>
      <c r="K19" s="226" t="s">
        <v>218</v>
      </c>
      <c r="L19" s="94">
        <v>17</v>
      </c>
      <c r="M19" s="95" t="s">
        <v>219</v>
      </c>
      <c r="N19" s="96">
        <v>79.77</v>
      </c>
      <c r="O19" s="97">
        <v>90.81</v>
      </c>
      <c r="P19" s="96">
        <v>70.37</v>
      </c>
      <c r="Q19" s="96">
        <v>83.54</v>
      </c>
      <c r="R19" s="98">
        <v>-11.04</v>
      </c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</row>
    <row r="20" spans="1:40" ht="16.5" x14ac:dyDescent="0.25">
      <c r="A20" s="238"/>
      <c r="B20" s="231"/>
      <c r="C20" s="234"/>
      <c r="D20" s="234"/>
      <c r="E20" s="234"/>
      <c r="F20" s="234"/>
      <c r="G20" s="195"/>
      <c r="H20" s="195"/>
      <c r="I20" s="195"/>
      <c r="J20" s="223"/>
      <c r="K20" s="225"/>
      <c r="L20" s="94">
        <v>18</v>
      </c>
      <c r="M20" s="95" t="s">
        <v>220</v>
      </c>
      <c r="N20" s="97">
        <v>85.53</v>
      </c>
      <c r="O20" s="97">
        <v>94.09</v>
      </c>
      <c r="P20" s="96">
        <v>80.94</v>
      </c>
      <c r="Q20" s="97">
        <v>88.42</v>
      </c>
      <c r="R20" s="98">
        <v>-8.56</v>
      </c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</row>
    <row r="21" spans="1:40" ht="16.5" x14ac:dyDescent="0.25">
      <c r="A21" s="238"/>
      <c r="B21" s="231" t="s">
        <v>15</v>
      </c>
      <c r="C21" s="232">
        <v>81.34</v>
      </c>
      <c r="D21" s="232">
        <v>92.55</v>
      </c>
      <c r="E21" s="232">
        <v>73.13</v>
      </c>
      <c r="F21" s="232">
        <v>86.07</v>
      </c>
      <c r="G21" s="188">
        <v>-11.21</v>
      </c>
      <c r="H21" s="188">
        <v>8.2100000000000009</v>
      </c>
      <c r="I21" s="188">
        <v>-4.7300000000000004</v>
      </c>
      <c r="J21" s="227" t="s">
        <v>15</v>
      </c>
      <c r="K21" s="226" t="s">
        <v>221</v>
      </c>
      <c r="L21" s="94">
        <v>19</v>
      </c>
      <c r="M21" s="95" t="s">
        <v>222</v>
      </c>
      <c r="N21" s="96">
        <v>83.52</v>
      </c>
      <c r="O21" s="97">
        <v>93.22</v>
      </c>
      <c r="P21" s="96">
        <v>76.94</v>
      </c>
      <c r="Q21" s="97">
        <v>88.49</v>
      </c>
      <c r="R21" s="98">
        <v>-9.6999999999999993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</row>
    <row r="22" spans="1:40" ht="30" x14ac:dyDescent="0.25">
      <c r="A22" s="238"/>
      <c r="B22" s="231"/>
      <c r="C22" s="234"/>
      <c r="D22" s="234"/>
      <c r="E22" s="234"/>
      <c r="F22" s="234"/>
      <c r="G22" s="195"/>
      <c r="H22" s="195"/>
      <c r="I22" s="195"/>
      <c r="J22" s="223"/>
      <c r="K22" s="225"/>
      <c r="L22" s="94">
        <v>20</v>
      </c>
      <c r="M22" s="95" t="s">
        <v>223</v>
      </c>
      <c r="N22" s="96">
        <v>79.17</v>
      </c>
      <c r="O22" s="97">
        <v>91.89</v>
      </c>
      <c r="P22" s="96">
        <v>69.31</v>
      </c>
      <c r="Q22" s="96">
        <v>83.64</v>
      </c>
      <c r="R22" s="98">
        <v>-12.72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</row>
    <row r="23" spans="1:40" ht="16.5" x14ac:dyDescent="0.25">
      <c r="A23" s="238"/>
      <c r="B23" s="231" t="s">
        <v>16</v>
      </c>
      <c r="C23" s="232">
        <v>81.349999999999994</v>
      </c>
      <c r="D23" s="232">
        <v>95.99</v>
      </c>
      <c r="E23" s="232">
        <v>79.02</v>
      </c>
      <c r="F23" s="232">
        <v>89.03</v>
      </c>
      <c r="G23" s="188">
        <v>-14.64</v>
      </c>
      <c r="H23" s="188">
        <v>2.33</v>
      </c>
      <c r="I23" s="188">
        <v>-7.68</v>
      </c>
      <c r="J23" s="227" t="s">
        <v>16</v>
      </c>
      <c r="K23" s="226" t="s">
        <v>224</v>
      </c>
      <c r="L23" s="94">
        <v>21</v>
      </c>
      <c r="M23" s="95" t="s">
        <v>225</v>
      </c>
      <c r="N23" s="97">
        <v>91.17</v>
      </c>
      <c r="O23" s="97">
        <v>98.02</v>
      </c>
      <c r="P23" s="97">
        <v>89.53</v>
      </c>
      <c r="Q23" s="97">
        <v>95.8</v>
      </c>
      <c r="R23" s="98">
        <v>-6.85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</row>
    <row r="24" spans="1:40" ht="16.5" x14ac:dyDescent="0.25">
      <c r="A24" s="238"/>
      <c r="B24" s="231"/>
      <c r="C24" s="233"/>
      <c r="D24" s="233"/>
      <c r="E24" s="233"/>
      <c r="F24" s="233"/>
      <c r="G24" s="189"/>
      <c r="H24" s="189"/>
      <c r="I24" s="189"/>
      <c r="J24" s="222"/>
      <c r="K24" s="229"/>
      <c r="L24" s="94">
        <v>22</v>
      </c>
      <c r="M24" s="95" t="s">
        <v>226</v>
      </c>
      <c r="N24" s="96">
        <v>69.52</v>
      </c>
      <c r="O24" s="97">
        <v>94.3</v>
      </c>
      <c r="P24" s="96">
        <v>76.599999999999994</v>
      </c>
      <c r="Q24" s="97">
        <v>87.39</v>
      </c>
      <c r="R24" s="98">
        <v>-24.78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</row>
    <row r="25" spans="1:40" ht="16.5" x14ac:dyDescent="0.25">
      <c r="A25" s="238"/>
      <c r="B25" s="231"/>
      <c r="C25" s="233"/>
      <c r="D25" s="233"/>
      <c r="E25" s="233"/>
      <c r="F25" s="233"/>
      <c r="G25" s="189"/>
      <c r="H25" s="189"/>
      <c r="I25" s="189"/>
      <c r="J25" s="222"/>
      <c r="K25" s="225"/>
      <c r="L25" s="94">
        <v>23</v>
      </c>
      <c r="M25" s="95" t="s">
        <v>227</v>
      </c>
      <c r="N25" s="96">
        <v>80.98</v>
      </c>
      <c r="O25" s="97">
        <v>96.06</v>
      </c>
      <c r="P25" s="96">
        <v>80.63</v>
      </c>
      <c r="Q25" s="97">
        <v>92.73</v>
      </c>
      <c r="R25" s="98">
        <v>-15.08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</row>
    <row r="26" spans="1:40" ht="16.5" x14ac:dyDescent="0.25">
      <c r="A26" s="238"/>
      <c r="B26" s="231"/>
      <c r="C26" s="233"/>
      <c r="D26" s="233"/>
      <c r="E26" s="233"/>
      <c r="F26" s="233"/>
      <c r="G26" s="189"/>
      <c r="H26" s="189"/>
      <c r="I26" s="189"/>
      <c r="J26" s="222"/>
      <c r="K26" s="226" t="s">
        <v>228</v>
      </c>
      <c r="L26" s="94">
        <v>24</v>
      </c>
      <c r="M26" s="95" t="s">
        <v>229</v>
      </c>
      <c r="N26" s="96">
        <v>84.76</v>
      </c>
      <c r="O26" s="97">
        <v>94.53</v>
      </c>
      <c r="P26" s="96">
        <v>84.95</v>
      </c>
      <c r="Q26" s="97">
        <v>89.49</v>
      </c>
      <c r="R26" s="98">
        <v>-9.77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</row>
    <row r="27" spans="1:40" ht="16.5" x14ac:dyDescent="0.25">
      <c r="A27" s="238"/>
      <c r="B27" s="231"/>
      <c r="C27" s="233"/>
      <c r="D27" s="233"/>
      <c r="E27" s="233"/>
      <c r="F27" s="233"/>
      <c r="G27" s="189"/>
      <c r="H27" s="189"/>
      <c r="I27" s="189"/>
      <c r="J27" s="222"/>
      <c r="K27" s="229"/>
      <c r="L27" s="94">
        <v>25</v>
      </c>
      <c r="M27" s="95" t="s">
        <v>230</v>
      </c>
      <c r="N27" s="96">
        <v>75.88</v>
      </c>
      <c r="O27" s="97">
        <v>95.62</v>
      </c>
      <c r="P27" s="96">
        <v>70.97</v>
      </c>
      <c r="Q27" s="96">
        <v>79.06</v>
      </c>
      <c r="R27" s="98">
        <v>-19.739999999999998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</row>
    <row r="28" spans="1:40" ht="16.5" x14ac:dyDescent="0.25">
      <c r="A28" s="238"/>
      <c r="B28" s="231"/>
      <c r="C28" s="233"/>
      <c r="D28" s="233"/>
      <c r="E28" s="233"/>
      <c r="F28" s="233"/>
      <c r="G28" s="189"/>
      <c r="H28" s="189"/>
      <c r="I28" s="189"/>
      <c r="J28" s="222"/>
      <c r="K28" s="229"/>
      <c r="L28" s="94">
        <v>26</v>
      </c>
      <c r="M28" s="95" t="s">
        <v>231</v>
      </c>
      <c r="N28" s="96">
        <v>85.43</v>
      </c>
      <c r="O28" s="97">
        <v>94.97</v>
      </c>
      <c r="P28" s="96">
        <v>78.45</v>
      </c>
      <c r="Q28" s="97">
        <v>88.16</v>
      </c>
      <c r="R28" s="98">
        <v>-9.5399999999999991</v>
      </c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0" ht="17.25" thickBot="1" x14ac:dyDescent="0.3">
      <c r="A29" s="239"/>
      <c r="B29" s="243"/>
      <c r="C29" s="244"/>
      <c r="D29" s="244"/>
      <c r="E29" s="244"/>
      <c r="F29" s="244"/>
      <c r="G29" s="190"/>
      <c r="H29" s="190"/>
      <c r="I29" s="190"/>
      <c r="J29" s="228"/>
      <c r="K29" s="230"/>
      <c r="L29" s="94">
        <v>27</v>
      </c>
      <c r="M29" s="95" t="s">
        <v>232</v>
      </c>
      <c r="N29" s="96">
        <v>81.680000000000007</v>
      </c>
      <c r="O29" s="97">
        <v>98.46</v>
      </c>
      <c r="P29" s="96">
        <v>72.040000000000006</v>
      </c>
      <c r="Q29" s="97">
        <v>90.55</v>
      </c>
      <c r="R29" s="98">
        <v>-16.78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0" ht="162.75" thickBot="1" x14ac:dyDescent="0.3">
      <c r="A30" s="146" t="s">
        <v>192</v>
      </c>
      <c r="B30" s="146" t="s">
        <v>270</v>
      </c>
      <c r="C30" s="146">
        <v>2016</v>
      </c>
      <c r="D30" s="146">
        <v>2016</v>
      </c>
      <c r="E30" s="146" t="s">
        <v>450</v>
      </c>
      <c r="F30" s="146" t="s">
        <v>451</v>
      </c>
      <c r="G30" s="146" t="s">
        <v>452</v>
      </c>
      <c r="H30" s="146" t="s">
        <v>453</v>
      </c>
      <c r="I30" s="146" t="s">
        <v>454</v>
      </c>
      <c r="J30" s="215" t="s">
        <v>270</v>
      </c>
      <c r="K30" s="215"/>
      <c r="L30" s="146" t="s">
        <v>455</v>
      </c>
      <c r="M30" s="146" t="s">
        <v>193</v>
      </c>
      <c r="N30" s="146">
        <v>2016</v>
      </c>
      <c r="O30" s="146">
        <v>2016</v>
      </c>
      <c r="P30" s="146" t="s">
        <v>450</v>
      </c>
      <c r="Q30" s="146" t="s">
        <v>451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 ht="16.5" x14ac:dyDescent="0.25">
      <c r="A31" s="245" t="s">
        <v>460</v>
      </c>
      <c r="B31" s="235" t="s">
        <v>17</v>
      </c>
      <c r="C31" s="236">
        <v>68.510000000000005</v>
      </c>
      <c r="D31" s="236">
        <v>91.02</v>
      </c>
      <c r="E31" s="236">
        <v>63.26</v>
      </c>
      <c r="F31" s="236">
        <v>76.400000000000006</v>
      </c>
      <c r="G31" s="194">
        <v>-22.51</v>
      </c>
      <c r="H31" s="194">
        <v>5.25</v>
      </c>
      <c r="I31" s="194">
        <v>-7.89</v>
      </c>
      <c r="J31" s="260" t="s">
        <v>17</v>
      </c>
      <c r="K31" s="262" t="s">
        <v>233</v>
      </c>
      <c r="L31" s="94">
        <v>28</v>
      </c>
      <c r="M31" s="95" t="s">
        <v>234</v>
      </c>
      <c r="N31" s="96">
        <v>63.94</v>
      </c>
      <c r="O31" s="97">
        <v>87.97</v>
      </c>
      <c r="P31" s="105">
        <v>51.79</v>
      </c>
      <c r="Q31" s="96">
        <v>68.03</v>
      </c>
      <c r="R31" s="98">
        <v>-24.03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2" spans="1:40" ht="16.5" x14ac:dyDescent="0.25">
      <c r="A32" s="246"/>
      <c r="B32" s="231"/>
      <c r="C32" s="233"/>
      <c r="D32" s="233"/>
      <c r="E32" s="233"/>
      <c r="F32" s="233"/>
      <c r="G32" s="189"/>
      <c r="H32" s="189"/>
      <c r="I32" s="189"/>
      <c r="J32" s="197"/>
      <c r="K32" s="263"/>
      <c r="L32" s="94">
        <v>29</v>
      </c>
      <c r="M32" s="95" t="s">
        <v>235</v>
      </c>
      <c r="N32" s="105">
        <v>45.85</v>
      </c>
      <c r="O32" s="96">
        <v>83.55</v>
      </c>
      <c r="P32" s="105">
        <v>44.68</v>
      </c>
      <c r="Q32" s="105">
        <v>58.33</v>
      </c>
      <c r="R32" s="98">
        <v>-37.700000000000003</v>
      </c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</row>
    <row r="33" spans="1:40" ht="16.5" x14ac:dyDescent="0.25">
      <c r="A33" s="246"/>
      <c r="B33" s="231"/>
      <c r="C33" s="233"/>
      <c r="D33" s="233"/>
      <c r="E33" s="233"/>
      <c r="F33" s="233"/>
      <c r="G33" s="189"/>
      <c r="H33" s="189"/>
      <c r="I33" s="189"/>
      <c r="J33" s="197"/>
      <c r="K33" s="264" t="s">
        <v>236</v>
      </c>
      <c r="L33" s="94">
        <v>30</v>
      </c>
      <c r="M33" s="95" t="s">
        <v>237</v>
      </c>
      <c r="N33" s="96">
        <v>72.17</v>
      </c>
      <c r="O33" s="97">
        <v>93.65</v>
      </c>
      <c r="P33" s="96">
        <v>65.959999999999994</v>
      </c>
      <c r="Q33" s="96">
        <v>83.3</v>
      </c>
      <c r="R33" s="98">
        <v>-21.48</v>
      </c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</row>
    <row r="34" spans="1:40" ht="16.5" x14ac:dyDescent="0.25">
      <c r="A34" s="246"/>
      <c r="B34" s="231"/>
      <c r="C34" s="234"/>
      <c r="D34" s="234"/>
      <c r="E34" s="234"/>
      <c r="F34" s="234"/>
      <c r="G34" s="195"/>
      <c r="H34" s="195"/>
      <c r="I34" s="195"/>
      <c r="J34" s="261"/>
      <c r="K34" s="263"/>
      <c r="L34" s="94">
        <v>31</v>
      </c>
      <c r="M34" s="95" t="s">
        <v>238</v>
      </c>
      <c r="N34" s="97">
        <v>92.08</v>
      </c>
      <c r="O34" s="97">
        <v>98.9</v>
      </c>
      <c r="P34" s="97">
        <v>90.62</v>
      </c>
      <c r="Q34" s="97">
        <v>95.96</v>
      </c>
      <c r="R34" s="98">
        <v>-6.82</v>
      </c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</row>
    <row r="35" spans="1:40" ht="16.5" x14ac:dyDescent="0.25">
      <c r="A35" s="246"/>
      <c r="B35" s="231" t="s">
        <v>18</v>
      </c>
      <c r="C35" s="232">
        <v>67.98</v>
      </c>
      <c r="D35" s="232">
        <v>86.62</v>
      </c>
      <c r="E35" s="232">
        <v>64.150000000000006</v>
      </c>
      <c r="F35" s="232">
        <v>78.08</v>
      </c>
      <c r="G35" s="188">
        <v>-18.64</v>
      </c>
      <c r="H35" s="188">
        <v>3.83</v>
      </c>
      <c r="I35" s="188">
        <v>-10.1</v>
      </c>
      <c r="J35" s="265" t="s">
        <v>18</v>
      </c>
      <c r="K35" s="266"/>
      <c r="L35" s="94">
        <v>32</v>
      </c>
      <c r="M35" s="95" t="s">
        <v>239</v>
      </c>
      <c r="N35" s="105">
        <v>58.81</v>
      </c>
      <c r="O35" s="96">
        <v>83.99</v>
      </c>
      <c r="P35" s="105">
        <v>59.33</v>
      </c>
      <c r="Q35" s="96">
        <v>74.95</v>
      </c>
      <c r="R35" s="98">
        <v>-25.18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</row>
    <row r="36" spans="1:40" ht="16.5" x14ac:dyDescent="0.25">
      <c r="A36" s="246"/>
      <c r="B36" s="231"/>
      <c r="C36" s="233"/>
      <c r="D36" s="233"/>
      <c r="E36" s="233"/>
      <c r="F36" s="233"/>
      <c r="G36" s="189"/>
      <c r="H36" s="189"/>
      <c r="I36" s="189"/>
      <c r="J36" s="265"/>
      <c r="K36" s="266"/>
      <c r="L36" s="94">
        <v>33</v>
      </c>
      <c r="M36" s="95" t="s">
        <v>240</v>
      </c>
      <c r="N36" s="96">
        <v>73.19</v>
      </c>
      <c r="O36" s="97">
        <v>85.93</v>
      </c>
      <c r="P36" s="96">
        <v>64.44</v>
      </c>
      <c r="Q36" s="96">
        <v>75.44</v>
      </c>
      <c r="R36" s="98">
        <v>-12.74</v>
      </c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</row>
    <row r="37" spans="1:40" ht="16.5" x14ac:dyDescent="0.25">
      <c r="A37" s="246"/>
      <c r="B37" s="231"/>
      <c r="C37" s="234"/>
      <c r="D37" s="234"/>
      <c r="E37" s="234"/>
      <c r="F37" s="234"/>
      <c r="G37" s="195"/>
      <c r="H37" s="195"/>
      <c r="I37" s="195"/>
      <c r="J37" s="267"/>
      <c r="K37" s="268"/>
      <c r="L37" s="94">
        <v>34</v>
      </c>
      <c r="M37" s="95" t="s">
        <v>241</v>
      </c>
      <c r="N37" s="96">
        <v>71.930000000000007</v>
      </c>
      <c r="O37" s="97">
        <v>89.93</v>
      </c>
      <c r="P37" s="96">
        <v>68.69</v>
      </c>
      <c r="Q37" s="96">
        <v>83.84</v>
      </c>
      <c r="R37" s="98">
        <v>-18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</row>
    <row r="38" spans="1:40" ht="16.5" x14ac:dyDescent="0.25">
      <c r="A38" s="246"/>
      <c r="B38" s="231" t="s">
        <v>19</v>
      </c>
      <c r="C38" s="232">
        <v>91.08</v>
      </c>
      <c r="D38" s="232">
        <v>98.07</v>
      </c>
      <c r="E38" s="232">
        <v>90.14</v>
      </c>
      <c r="F38" s="232">
        <v>95.2</v>
      </c>
      <c r="G38" s="188">
        <v>-6.99</v>
      </c>
      <c r="H38" s="188">
        <v>0.94</v>
      </c>
      <c r="I38" s="188">
        <v>-4.12</v>
      </c>
      <c r="J38" s="196" t="s">
        <v>19</v>
      </c>
      <c r="K38" s="269" t="s">
        <v>242</v>
      </c>
      <c r="L38" s="94">
        <v>35</v>
      </c>
      <c r="M38" s="95" t="s">
        <v>243</v>
      </c>
      <c r="N38" s="96">
        <v>85.43</v>
      </c>
      <c r="O38" s="97">
        <v>97.58</v>
      </c>
      <c r="P38" s="97">
        <v>88.19</v>
      </c>
      <c r="Q38" s="97">
        <v>94.22</v>
      </c>
      <c r="R38" s="98">
        <v>-12.15</v>
      </c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0" ht="16.5" x14ac:dyDescent="0.25">
      <c r="A39" s="246"/>
      <c r="B39" s="231"/>
      <c r="C39" s="233"/>
      <c r="D39" s="233"/>
      <c r="E39" s="233"/>
      <c r="F39" s="233"/>
      <c r="G39" s="189"/>
      <c r="H39" s="189"/>
      <c r="I39" s="189"/>
      <c r="J39" s="197"/>
      <c r="K39" s="270"/>
      <c r="L39" s="94">
        <v>36</v>
      </c>
      <c r="M39" s="95" t="s">
        <v>244</v>
      </c>
      <c r="N39" s="97">
        <v>96.52</v>
      </c>
      <c r="O39" s="97">
        <v>99.12</v>
      </c>
      <c r="P39" s="97">
        <v>94.83</v>
      </c>
      <c r="Q39" s="97">
        <v>96.73</v>
      </c>
      <c r="R39" s="104">
        <v>-2.6</v>
      </c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</row>
    <row r="40" spans="1:40" ht="16.5" x14ac:dyDescent="0.25">
      <c r="A40" s="246"/>
      <c r="B40" s="231"/>
      <c r="C40" s="233"/>
      <c r="D40" s="233"/>
      <c r="E40" s="233"/>
      <c r="F40" s="233"/>
      <c r="G40" s="189"/>
      <c r="H40" s="189"/>
      <c r="I40" s="189"/>
      <c r="J40" s="197"/>
      <c r="K40" s="270"/>
      <c r="L40" s="94">
        <v>37</v>
      </c>
      <c r="M40" s="95" t="s">
        <v>245</v>
      </c>
      <c r="N40" s="97">
        <v>94.97</v>
      </c>
      <c r="O40" s="97">
        <v>98.68</v>
      </c>
      <c r="P40" s="97">
        <v>93.52</v>
      </c>
      <c r="Q40" s="97">
        <v>97.62</v>
      </c>
      <c r="R40" s="104">
        <v>-3.71</v>
      </c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0" ht="16.5" x14ac:dyDescent="0.25">
      <c r="A41" s="246"/>
      <c r="B41" s="231"/>
      <c r="C41" s="233"/>
      <c r="D41" s="233"/>
      <c r="E41" s="233"/>
      <c r="F41" s="233"/>
      <c r="G41" s="189"/>
      <c r="H41" s="189"/>
      <c r="I41" s="189"/>
      <c r="J41" s="197"/>
      <c r="K41" s="263"/>
      <c r="L41" s="94">
        <v>38</v>
      </c>
      <c r="M41" s="95" t="s">
        <v>246</v>
      </c>
      <c r="N41" s="97">
        <v>93.83</v>
      </c>
      <c r="O41" s="97">
        <v>99.12</v>
      </c>
      <c r="P41" s="97">
        <v>92.24</v>
      </c>
      <c r="Q41" s="97">
        <v>96.57</v>
      </c>
      <c r="R41" s="98">
        <v>-5.29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</row>
    <row r="42" spans="1:40" ht="30.75" thickBot="1" x14ac:dyDescent="0.3">
      <c r="A42" s="247"/>
      <c r="B42" s="243"/>
      <c r="C42" s="244"/>
      <c r="D42" s="244"/>
      <c r="E42" s="244"/>
      <c r="F42" s="244"/>
      <c r="G42" s="190"/>
      <c r="H42" s="190"/>
      <c r="I42" s="190"/>
      <c r="J42" s="198"/>
      <c r="K42" s="148" t="s">
        <v>247</v>
      </c>
      <c r="L42" s="94">
        <v>39</v>
      </c>
      <c r="M42" s="95" t="s">
        <v>461</v>
      </c>
      <c r="N42" s="96">
        <v>84.65</v>
      </c>
      <c r="O42" s="97">
        <v>95.83</v>
      </c>
      <c r="P42" s="96">
        <v>81.91</v>
      </c>
      <c r="Q42" s="97">
        <v>90.85</v>
      </c>
      <c r="R42" s="98">
        <v>-11.18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</row>
    <row r="43" spans="1:40" ht="162.75" thickBot="1" x14ac:dyDescent="0.3">
      <c r="A43" s="146" t="s">
        <v>192</v>
      </c>
      <c r="B43" s="146" t="s">
        <v>270</v>
      </c>
      <c r="C43" s="146">
        <v>2016</v>
      </c>
      <c r="D43" s="146">
        <v>2016</v>
      </c>
      <c r="E43" s="146" t="s">
        <v>450</v>
      </c>
      <c r="F43" s="146" t="s">
        <v>451</v>
      </c>
      <c r="G43" s="146" t="s">
        <v>452</v>
      </c>
      <c r="H43" s="146" t="s">
        <v>453</v>
      </c>
      <c r="I43" s="146" t="s">
        <v>454</v>
      </c>
      <c r="J43" s="215" t="s">
        <v>270</v>
      </c>
      <c r="K43" s="215"/>
      <c r="L43" s="146" t="s">
        <v>455</v>
      </c>
      <c r="M43" s="146" t="s">
        <v>193</v>
      </c>
      <c r="N43" s="146">
        <v>2016</v>
      </c>
      <c r="O43" s="146">
        <v>2016</v>
      </c>
      <c r="P43" s="146" t="s">
        <v>450</v>
      </c>
      <c r="Q43" s="146" t="s">
        <v>451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 ht="16.5" x14ac:dyDescent="0.25">
      <c r="A44" s="248" t="s">
        <v>462</v>
      </c>
      <c r="B44" s="235" t="s">
        <v>20</v>
      </c>
      <c r="C44" s="236">
        <v>80.63</v>
      </c>
      <c r="D44" s="236">
        <v>93.98</v>
      </c>
      <c r="E44" s="236">
        <v>76.319999999999993</v>
      </c>
      <c r="F44" s="236">
        <v>86.67</v>
      </c>
      <c r="G44" s="194">
        <v>-13.35</v>
      </c>
      <c r="H44" s="194">
        <v>4.3099999999999996</v>
      </c>
      <c r="I44" s="194">
        <v>-6.04</v>
      </c>
      <c r="J44" s="205" t="s">
        <v>20</v>
      </c>
      <c r="K44" s="206"/>
      <c r="L44" s="94">
        <v>40</v>
      </c>
      <c r="M44" s="95" t="s">
        <v>248</v>
      </c>
      <c r="N44" s="96">
        <v>83.95</v>
      </c>
      <c r="O44" s="97">
        <v>92.34</v>
      </c>
      <c r="P44" s="96">
        <v>77.8</v>
      </c>
      <c r="Q44" s="97">
        <v>87.06</v>
      </c>
      <c r="R44" s="98">
        <v>-8.39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</row>
    <row r="45" spans="1:40" ht="16.5" x14ac:dyDescent="0.25">
      <c r="A45" s="249"/>
      <c r="B45" s="231"/>
      <c r="C45" s="234"/>
      <c r="D45" s="234"/>
      <c r="E45" s="234"/>
      <c r="F45" s="234"/>
      <c r="G45" s="195"/>
      <c r="H45" s="195"/>
      <c r="I45" s="195"/>
      <c r="J45" s="207"/>
      <c r="K45" s="208"/>
      <c r="L45" s="94">
        <v>41</v>
      </c>
      <c r="M45" s="95" t="s">
        <v>249</v>
      </c>
      <c r="N45" s="96">
        <v>77.3</v>
      </c>
      <c r="O45" s="97">
        <v>95.62</v>
      </c>
      <c r="P45" s="96">
        <v>74.849999999999994</v>
      </c>
      <c r="Q45" s="97">
        <v>86.28</v>
      </c>
      <c r="R45" s="98">
        <v>-18.32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</row>
    <row r="46" spans="1:40" ht="16.5" x14ac:dyDescent="0.25">
      <c r="A46" s="249"/>
      <c r="B46" s="231" t="s">
        <v>21</v>
      </c>
      <c r="C46" s="232">
        <v>83.99</v>
      </c>
      <c r="D46" s="232">
        <v>95.51</v>
      </c>
      <c r="E46" s="232">
        <v>80.14</v>
      </c>
      <c r="F46" s="232">
        <v>92.22</v>
      </c>
      <c r="G46" s="188">
        <v>-11.52</v>
      </c>
      <c r="H46" s="188">
        <v>3.85</v>
      </c>
      <c r="I46" s="188">
        <v>-8.23</v>
      </c>
      <c r="J46" s="209" t="s">
        <v>21</v>
      </c>
      <c r="K46" s="210"/>
      <c r="L46" s="94">
        <v>42</v>
      </c>
      <c r="M46" s="95" t="s">
        <v>250</v>
      </c>
      <c r="N46" s="97">
        <v>90.85</v>
      </c>
      <c r="O46" s="97">
        <v>97.37</v>
      </c>
      <c r="P46" s="97">
        <v>87.31</v>
      </c>
      <c r="Q46" s="97">
        <v>93.24</v>
      </c>
      <c r="R46" s="98">
        <v>-6.52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</row>
    <row r="47" spans="1:40" ht="16.5" x14ac:dyDescent="0.25">
      <c r="A47" s="249"/>
      <c r="B47" s="231"/>
      <c r="C47" s="234"/>
      <c r="D47" s="234"/>
      <c r="E47" s="234"/>
      <c r="F47" s="234"/>
      <c r="G47" s="195"/>
      <c r="H47" s="195"/>
      <c r="I47" s="195"/>
      <c r="J47" s="207"/>
      <c r="K47" s="208"/>
      <c r="L47" s="94">
        <v>43</v>
      </c>
      <c r="M47" s="95" t="s">
        <v>251</v>
      </c>
      <c r="N47" s="96">
        <v>77.12</v>
      </c>
      <c r="O47" s="97">
        <v>93.64</v>
      </c>
      <c r="P47" s="96">
        <v>72.97</v>
      </c>
      <c r="Q47" s="97">
        <v>91.19</v>
      </c>
      <c r="R47" s="98">
        <v>-16.52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</row>
    <row r="48" spans="1:40" ht="16.5" x14ac:dyDescent="0.25">
      <c r="A48" s="249"/>
      <c r="B48" s="231" t="s">
        <v>22</v>
      </c>
      <c r="C48" s="232">
        <v>84.29</v>
      </c>
      <c r="D48" s="232">
        <v>97.16</v>
      </c>
      <c r="E48" s="232">
        <v>80.72</v>
      </c>
      <c r="F48" s="232">
        <v>92.52</v>
      </c>
      <c r="G48" s="188">
        <v>-12.87</v>
      </c>
      <c r="H48" s="188">
        <v>3.57</v>
      </c>
      <c r="I48" s="188">
        <v>-8.23</v>
      </c>
      <c r="J48" s="209" t="s">
        <v>22</v>
      </c>
      <c r="K48" s="210"/>
      <c r="L48" s="94">
        <v>44</v>
      </c>
      <c r="M48" s="95" t="s">
        <v>252</v>
      </c>
      <c r="N48" s="97">
        <v>86.83</v>
      </c>
      <c r="O48" s="97">
        <v>97.81</v>
      </c>
      <c r="P48" s="96">
        <v>79.09</v>
      </c>
      <c r="Q48" s="97">
        <v>88.52</v>
      </c>
      <c r="R48" s="98">
        <v>-10.98</v>
      </c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</row>
    <row r="49" spans="1:40" ht="16.5" x14ac:dyDescent="0.25">
      <c r="A49" s="249"/>
      <c r="B49" s="231"/>
      <c r="C49" s="233"/>
      <c r="D49" s="233"/>
      <c r="E49" s="233"/>
      <c r="F49" s="233"/>
      <c r="G49" s="189"/>
      <c r="H49" s="189"/>
      <c r="I49" s="189"/>
      <c r="J49" s="211"/>
      <c r="K49" s="212"/>
      <c r="L49" s="94">
        <v>45</v>
      </c>
      <c r="M49" s="95" t="s">
        <v>253</v>
      </c>
      <c r="N49" s="97">
        <v>89.37</v>
      </c>
      <c r="O49" s="97">
        <v>98.47</v>
      </c>
      <c r="P49" s="97">
        <v>85.6</v>
      </c>
      <c r="Q49" s="97">
        <v>94.71</v>
      </c>
      <c r="R49" s="98">
        <v>-9.1</v>
      </c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</row>
    <row r="50" spans="1:40" ht="16.5" x14ac:dyDescent="0.25">
      <c r="A50" s="249"/>
      <c r="B50" s="231"/>
      <c r="C50" s="233"/>
      <c r="D50" s="233"/>
      <c r="E50" s="233"/>
      <c r="F50" s="233"/>
      <c r="G50" s="189"/>
      <c r="H50" s="189"/>
      <c r="I50" s="189"/>
      <c r="J50" s="211"/>
      <c r="K50" s="212"/>
      <c r="L50" s="94">
        <v>46</v>
      </c>
      <c r="M50" s="95" t="s">
        <v>254</v>
      </c>
      <c r="N50" s="96">
        <v>79.180000000000007</v>
      </c>
      <c r="O50" s="97">
        <v>96.49</v>
      </c>
      <c r="P50" s="96">
        <v>78.81</v>
      </c>
      <c r="Q50" s="97">
        <v>93.71</v>
      </c>
      <c r="R50" s="98">
        <v>-17.309999999999999</v>
      </c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</row>
    <row r="51" spans="1:40" ht="17.25" thickBot="1" x14ac:dyDescent="0.3">
      <c r="A51" s="250"/>
      <c r="B51" s="243"/>
      <c r="C51" s="244"/>
      <c r="D51" s="244"/>
      <c r="E51" s="244"/>
      <c r="F51" s="244"/>
      <c r="G51" s="190"/>
      <c r="H51" s="190"/>
      <c r="I51" s="190"/>
      <c r="J51" s="213"/>
      <c r="K51" s="214"/>
      <c r="L51" s="94">
        <v>47</v>
      </c>
      <c r="M51" s="95" t="s">
        <v>255</v>
      </c>
      <c r="N51" s="96">
        <v>81.77</v>
      </c>
      <c r="O51" s="97">
        <v>95.84</v>
      </c>
      <c r="P51" s="96">
        <v>79.37</v>
      </c>
      <c r="Q51" s="97">
        <v>93.16</v>
      </c>
      <c r="R51" s="98">
        <v>-14.07</v>
      </c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</row>
    <row r="52" spans="1:40" ht="162.75" thickBot="1" x14ac:dyDescent="0.3">
      <c r="A52" s="146" t="s">
        <v>192</v>
      </c>
      <c r="B52" s="146" t="s">
        <v>270</v>
      </c>
      <c r="C52" s="146">
        <v>2016</v>
      </c>
      <c r="D52" s="146">
        <v>2016</v>
      </c>
      <c r="E52" s="146" t="s">
        <v>450</v>
      </c>
      <c r="F52" s="146" t="s">
        <v>451</v>
      </c>
      <c r="G52" s="146" t="s">
        <v>452</v>
      </c>
      <c r="H52" s="146" t="s">
        <v>453</v>
      </c>
      <c r="I52" s="146" t="s">
        <v>454</v>
      </c>
      <c r="J52" s="215" t="s">
        <v>270</v>
      </c>
      <c r="K52" s="215"/>
      <c r="L52" s="146" t="s">
        <v>455</v>
      </c>
      <c r="M52" s="146" t="s">
        <v>193</v>
      </c>
      <c r="N52" s="146">
        <v>2016</v>
      </c>
      <c r="O52" s="146">
        <v>2016</v>
      </c>
      <c r="P52" s="146" t="s">
        <v>450</v>
      </c>
      <c r="Q52" s="146" t="s">
        <v>451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 ht="16.5" x14ac:dyDescent="0.25">
      <c r="A53" s="237" t="s">
        <v>463</v>
      </c>
      <c r="B53" s="235" t="s">
        <v>23</v>
      </c>
      <c r="C53" s="236">
        <v>87.27</v>
      </c>
      <c r="D53" s="236">
        <v>97.45</v>
      </c>
      <c r="E53" s="236">
        <v>84.71</v>
      </c>
      <c r="F53" s="236">
        <v>93.18</v>
      </c>
      <c r="G53" s="194">
        <v>-10.18</v>
      </c>
      <c r="H53" s="194">
        <v>2.56</v>
      </c>
      <c r="I53" s="194">
        <v>-5.91</v>
      </c>
      <c r="J53" s="199" t="s">
        <v>23</v>
      </c>
      <c r="K53" s="200"/>
      <c r="L53" s="94">
        <v>48</v>
      </c>
      <c r="M53" s="95" t="s">
        <v>256</v>
      </c>
      <c r="N53" s="97">
        <v>89.81</v>
      </c>
      <c r="O53" s="97">
        <v>97.37</v>
      </c>
      <c r="P53" s="97">
        <v>87.45</v>
      </c>
      <c r="Q53" s="97">
        <v>92.94</v>
      </c>
      <c r="R53" s="98">
        <v>-7.56</v>
      </c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</row>
    <row r="54" spans="1:40" ht="16.5" x14ac:dyDescent="0.25">
      <c r="A54" s="238"/>
      <c r="B54" s="231"/>
      <c r="C54" s="233"/>
      <c r="D54" s="233"/>
      <c r="E54" s="233"/>
      <c r="F54" s="233"/>
      <c r="G54" s="189"/>
      <c r="H54" s="189"/>
      <c r="I54" s="189"/>
      <c r="J54" s="201"/>
      <c r="K54" s="202"/>
      <c r="L54" s="94">
        <v>49</v>
      </c>
      <c r="M54" s="95" t="s">
        <v>257</v>
      </c>
      <c r="N54" s="97">
        <v>88.17</v>
      </c>
      <c r="O54" s="97">
        <v>98.46</v>
      </c>
      <c r="P54" s="96">
        <v>85.47</v>
      </c>
      <c r="Q54" s="97">
        <v>94.42</v>
      </c>
      <c r="R54" s="98">
        <v>-10.29</v>
      </c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</row>
    <row r="55" spans="1:40" ht="16.5" x14ac:dyDescent="0.25">
      <c r="A55" s="238"/>
      <c r="B55" s="231"/>
      <c r="C55" s="234"/>
      <c r="D55" s="234"/>
      <c r="E55" s="234"/>
      <c r="F55" s="234"/>
      <c r="G55" s="195"/>
      <c r="H55" s="195"/>
      <c r="I55" s="195"/>
      <c r="J55" s="203"/>
      <c r="K55" s="204"/>
      <c r="L55" s="94">
        <v>50</v>
      </c>
      <c r="M55" s="95" t="s">
        <v>258</v>
      </c>
      <c r="N55" s="96">
        <v>83.84</v>
      </c>
      <c r="O55" s="97">
        <v>96.49</v>
      </c>
      <c r="P55" s="96">
        <v>81.22</v>
      </c>
      <c r="Q55" s="97">
        <v>92.18</v>
      </c>
      <c r="R55" s="98">
        <v>-12.65</v>
      </c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</row>
    <row r="56" spans="1:40" ht="16.5" x14ac:dyDescent="0.25">
      <c r="A56" s="238"/>
      <c r="B56" s="231" t="s">
        <v>24</v>
      </c>
      <c r="C56" s="232">
        <v>88.28</v>
      </c>
      <c r="D56" s="232">
        <v>97.7</v>
      </c>
      <c r="E56" s="232">
        <v>86.6</v>
      </c>
      <c r="F56" s="232">
        <v>93.94</v>
      </c>
      <c r="G56" s="188">
        <v>-9.42</v>
      </c>
      <c r="H56" s="188">
        <v>1.68</v>
      </c>
      <c r="I56" s="188">
        <v>-5.66</v>
      </c>
      <c r="J56" s="191" t="s">
        <v>24</v>
      </c>
      <c r="K56" s="216" t="s">
        <v>259</v>
      </c>
      <c r="L56" s="94">
        <v>51</v>
      </c>
      <c r="M56" s="95" t="s">
        <v>260</v>
      </c>
      <c r="N56" s="97">
        <v>90.49</v>
      </c>
      <c r="O56" s="97">
        <v>99.34</v>
      </c>
      <c r="P56" s="97">
        <v>89.51</v>
      </c>
      <c r="Q56" s="97">
        <v>95.4</v>
      </c>
      <c r="R56" s="98">
        <v>-8.85</v>
      </c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</row>
    <row r="57" spans="1:40" ht="16.5" x14ac:dyDescent="0.25">
      <c r="A57" s="238"/>
      <c r="B57" s="231"/>
      <c r="C57" s="233"/>
      <c r="D57" s="233"/>
      <c r="E57" s="233"/>
      <c r="F57" s="233"/>
      <c r="G57" s="189"/>
      <c r="H57" s="189"/>
      <c r="I57" s="189"/>
      <c r="J57" s="192"/>
      <c r="K57" s="217"/>
      <c r="L57" s="94">
        <v>52</v>
      </c>
      <c r="M57" s="95" t="s">
        <v>261</v>
      </c>
      <c r="N57" s="96">
        <v>84.02</v>
      </c>
      <c r="O57" s="97">
        <v>97.37</v>
      </c>
      <c r="P57" s="96">
        <v>82.63</v>
      </c>
      <c r="Q57" s="97">
        <v>93.56</v>
      </c>
      <c r="R57" s="98">
        <v>-13.35</v>
      </c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</row>
    <row r="58" spans="1:40" ht="16.5" x14ac:dyDescent="0.25">
      <c r="A58" s="238"/>
      <c r="B58" s="231"/>
      <c r="C58" s="233"/>
      <c r="D58" s="233"/>
      <c r="E58" s="233"/>
      <c r="F58" s="233"/>
      <c r="G58" s="189"/>
      <c r="H58" s="189"/>
      <c r="I58" s="189"/>
      <c r="J58" s="192"/>
      <c r="K58" s="218" t="s">
        <v>262</v>
      </c>
      <c r="L58" s="94">
        <v>53</v>
      </c>
      <c r="M58" s="95" t="s">
        <v>263</v>
      </c>
      <c r="N58" s="97">
        <v>93.54</v>
      </c>
      <c r="O58" s="97">
        <v>98.03</v>
      </c>
      <c r="P58" s="97">
        <v>91.37</v>
      </c>
      <c r="Q58" s="97">
        <v>96.02</v>
      </c>
      <c r="R58" s="104">
        <v>-4.49</v>
      </c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</row>
    <row r="59" spans="1:40" ht="30" x14ac:dyDescent="0.25">
      <c r="A59" s="238"/>
      <c r="B59" s="231"/>
      <c r="C59" s="234"/>
      <c r="D59" s="234"/>
      <c r="E59" s="234"/>
      <c r="F59" s="234"/>
      <c r="G59" s="195"/>
      <c r="H59" s="195"/>
      <c r="I59" s="195"/>
      <c r="J59" s="193"/>
      <c r="K59" s="217"/>
      <c r="L59" s="94">
        <v>54</v>
      </c>
      <c r="M59" s="95" t="s">
        <v>264</v>
      </c>
      <c r="N59" s="96">
        <v>85.06</v>
      </c>
      <c r="O59" s="97">
        <v>96.04</v>
      </c>
      <c r="P59" s="96">
        <v>82.91</v>
      </c>
      <c r="Q59" s="97">
        <v>90.76</v>
      </c>
      <c r="R59" s="98">
        <v>-10.98</v>
      </c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</row>
    <row r="60" spans="1:40" ht="16.5" x14ac:dyDescent="0.25">
      <c r="A60" s="238"/>
      <c r="B60" s="231" t="s">
        <v>25</v>
      </c>
      <c r="C60" s="232">
        <v>82.3</v>
      </c>
      <c r="D60" s="232">
        <v>95.32</v>
      </c>
      <c r="E60" s="232">
        <v>78.11</v>
      </c>
      <c r="F60" s="232">
        <v>90.65</v>
      </c>
      <c r="G60" s="188">
        <v>-13.02</v>
      </c>
      <c r="H60" s="188">
        <v>4.1900000000000004</v>
      </c>
      <c r="I60" s="188">
        <v>-8.35</v>
      </c>
      <c r="J60" s="201" t="s">
        <v>25</v>
      </c>
      <c r="K60" s="202"/>
      <c r="L60" s="94">
        <v>55</v>
      </c>
      <c r="M60" s="95" t="s">
        <v>265</v>
      </c>
      <c r="N60" s="96">
        <v>81.8</v>
      </c>
      <c r="O60" s="97">
        <v>96.94</v>
      </c>
      <c r="P60" s="96">
        <v>77.45</v>
      </c>
      <c r="Q60" s="97">
        <v>90.16</v>
      </c>
      <c r="R60" s="98">
        <v>-15.14</v>
      </c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</row>
    <row r="61" spans="1:40" ht="16.5" x14ac:dyDescent="0.25">
      <c r="A61" s="238"/>
      <c r="B61" s="231"/>
      <c r="C61" s="233"/>
      <c r="D61" s="233"/>
      <c r="E61" s="233"/>
      <c r="F61" s="233"/>
      <c r="G61" s="189"/>
      <c r="H61" s="189"/>
      <c r="I61" s="189"/>
      <c r="J61" s="201"/>
      <c r="K61" s="202"/>
      <c r="L61" s="94">
        <v>56</v>
      </c>
      <c r="M61" s="95" t="s">
        <v>266</v>
      </c>
      <c r="N61" s="96">
        <v>81.81</v>
      </c>
      <c r="O61" s="97">
        <v>95.83</v>
      </c>
      <c r="P61" s="96">
        <v>75.42</v>
      </c>
      <c r="Q61" s="97">
        <v>90.17</v>
      </c>
      <c r="R61" s="98">
        <v>-14.02</v>
      </c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</row>
    <row r="62" spans="1:40" ht="17.25" thickBot="1" x14ac:dyDescent="0.3">
      <c r="A62" s="239"/>
      <c r="B62" s="243"/>
      <c r="C62" s="244"/>
      <c r="D62" s="244"/>
      <c r="E62" s="244"/>
      <c r="F62" s="244"/>
      <c r="G62" s="190"/>
      <c r="H62" s="190"/>
      <c r="I62" s="190"/>
      <c r="J62" s="219"/>
      <c r="K62" s="220"/>
      <c r="L62" s="94">
        <v>57</v>
      </c>
      <c r="M62" s="95" t="s">
        <v>267</v>
      </c>
      <c r="N62" s="96">
        <v>83.31</v>
      </c>
      <c r="O62" s="97">
        <v>93.2</v>
      </c>
      <c r="P62" s="96">
        <v>81.459999999999994</v>
      </c>
      <c r="Q62" s="97">
        <v>91.62</v>
      </c>
      <c r="R62" s="98">
        <v>-9.89</v>
      </c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</row>
    <row r="63" spans="1:40" ht="162.75" thickBot="1" x14ac:dyDescent="0.3">
      <c r="A63" s="146" t="s">
        <v>192</v>
      </c>
      <c r="B63" s="146" t="s">
        <v>270</v>
      </c>
      <c r="C63" s="146">
        <v>2016</v>
      </c>
      <c r="D63" s="146">
        <v>2016</v>
      </c>
      <c r="E63" s="146" t="s">
        <v>450</v>
      </c>
      <c r="F63" s="146" t="s">
        <v>451</v>
      </c>
      <c r="G63" s="146" t="s">
        <v>452</v>
      </c>
      <c r="H63" s="146" t="s">
        <v>453</v>
      </c>
      <c r="I63" s="146" t="s">
        <v>454</v>
      </c>
      <c r="J63" s="215" t="s">
        <v>270</v>
      </c>
      <c r="K63" s="215"/>
      <c r="L63" s="146" t="s">
        <v>455</v>
      </c>
      <c r="M63" s="146" t="s">
        <v>193</v>
      </c>
      <c r="N63" s="146">
        <v>2016</v>
      </c>
      <c r="O63" s="146">
        <v>2016</v>
      </c>
      <c r="P63" s="146" t="s">
        <v>450</v>
      </c>
      <c r="Q63" s="146" t="s">
        <v>451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 ht="16.5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271" t="s">
        <v>464</v>
      </c>
      <c r="L64" s="94">
        <v>59</v>
      </c>
      <c r="M64" s="95" t="s">
        <v>301</v>
      </c>
      <c r="N64" s="96">
        <v>85.1</v>
      </c>
      <c r="O64" s="96"/>
      <c r="P64" s="106">
        <v>0</v>
      </c>
      <c r="Q64" s="106">
        <v>0</v>
      </c>
      <c r="R64" s="104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</row>
    <row r="65" spans="1:40" ht="30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272"/>
      <c r="L65" s="94">
        <v>60</v>
      </c>
      <c r="M65" s="95" t="s">
        <v>302</v>
      </c>
      <c r="N65" s="96">
        <v>85.09</v>
      </c>
      <c r="O65" s="96"/>
      <c r="P65" s="106">
        <v>0</v>
      </c>
      <c r="Q65" s="106">
        <v>0</v>
      </c>
      <c r="R65" s="104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</row>
    <row r="66" spans="1:40" ht="16.5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272"/>
      <c r="L66" s="94">
        <v>61</v>
      </c>
      <c r="M66" s="95" t="s">
        <v>303</v>
      </c>
      <c r="N66" s="105">
        <v>54.8</v>
      </c>
      <c r="O66" s="96"/>
      <c r="P66" s="106">
        <v>0</v>
      </c>
      <c r="Q66" s="106">
        <v>0</v>
      </c>
      <c r="R66" s="104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</row>
    <row r="67" spans="1:40" ht="30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272"/>
      <c r="L67" s="94">
        <v>62</v>
      </c>
      <c r="M67" s="95" t="s">
        <v>304</v>
      </c>
      <c r="N67" s="97">
        <v>92.57</v>
      </c>
      <c r="O67" s="96"/>
      <c r="P67" s="106">
        <v>0</v>
      </c>
      <c r="Q67" s="106">
        <v>0</v>
      </c>
      <c r="R67" s="104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</row>
    <row r="68" spans="1:40" ht="16.5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272"/>
      <c r="L68" s="94">
        <v>63</v>
      </c>
      <c r="M68" s="95" t="s">
        <v>305</v>
      </c>
      <c r="N68" s="97">
        <v>93.13</v>
      </c>
      <c r="O68" s="96"/>
      <c r="P68" s="106">
        <v>0</v>
      </c>
      <c r="Q68" s="106">
        <v>0</v>
      </c>
      <c r="R68" s="104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</row>
    <row r="69" spans="1:40" ht="30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272"/>
      <c r="L69" s="94">
        <v>64</v>
      </c>
      <c r="M69" s="95" t="s">
        <v>306</v>
      </c>
      <c r="N69" s="96">
        <v>85.46</v>
      </c>
      <c r="O69" s="96"/>
      <c r="P69" s="96"/>
      <c r="Q69" s="96"/>
      <c r="R69" s="104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</row>
    <row r="70" spans="1:40" ht="16.5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272"/>
      <c r="L70" s="94">
        <v>65</v>
      </c>
      <c r="M70" s="95" t="s">
        <v>307</v>
      </c>
      <c r="N70" s="96">
        <v>80.86</v>
      </c>
      <c r="O70" s="96"/>
      <c r="P70" s="96"/>
      <c r="Q70" s="96"/>
      <c r="R70" s="104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</row>
    <row r="71" spans="1:40" ht="15.75" thickBot="1" x14ac:dyDescent="0.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</row>
    <row r="72" spans="1:40" ht="126.75" thickBot="1" x14ac:dyDescent="0.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273" t="s">
        <v>268</v>
      </c>
      <c r="L72" s="146" t="s">
        <v>455</v>
      </c>
      <c r="M72" s="146" t="s">
        <v>193</v>
      </c>
      <c r="N72" s="146">
        <v>2016</v>
      </c>
      <c r="O72" s="146">
        <v>2016</v>
      </c>
      <c r="P72" s="146" t="s">
        <v>450</v>
      </c>
      <c r="Q72" s="146" t="s">
        <v>451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</row>
    <row r="73" spans="1:40" ht="16.5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273"/>
      <c r="L73" s="94">
        <v>58</v>
      </c>
      <c r="M73" s="95" t="s">
        <v>171</v>
      </c>
      <c r="N73" s="96">
        <v>84.08</v>
      </c>
      <c r="O73" s="97">
        <v>98.47</v>
      </c>
      <c r="P73" s="96">
        <v>81.900000000000006</v>
      </c>
      <c r="Q73" s="97">
        <v>93.15</v>
      </c>
      <c r="R73" s="104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</row>
    <row r="74" spans="1:40" ht="16.5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273"/>
      <c r="L74" s="107"/>
      <c r="M74" s="107" t="s">
        <v>172</v>
      </c>
      <c r="N74" s="108">
        <v>82.91</v>
      </c>
      <c r="O74" s="108">
        <v>95.04</v>
      </c>
      <c r="P74" s="108">
        <v>78.569999999999993</v>
      </c>
      <c r="Q74" s="108">
        <v>88.71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</row>
    <row r="75" spans="1:40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273"/>
      <c r="L75" s="109"/>
      <c r="M75" s="109" t="s">
        <v>269</v>
      </c>
      <c r="N75" s="110">
        <v>81.97</v>
      </c>
      <c r="O75" s="110">
        <v>94.28</v>
      </c>
      <c r="P75" s="110">
        <v>77.040000000000006</v>
      </c>
      <c r="Q75" s="110">
        <v>87.11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</row>
    <row r="76" spans="1:40" ht="15.75" thickBot="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</row>
    <row r="77" spans="1:40" ht="126.75" thickBot="1" x14ac:dyDescent="0.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146">
        <v>2016</v>
      </c>
      <c r="O77" s="146">
        <v>2016</v>
      </c>
      <c r="P77" s="146" t="s">
        <v>450</v>
      </c>
      <c r="Q77" s="146" t="s">
        <v>451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</row>
    <row r="78" spans="1:40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274" t="s">
        <v>26</v>
      </c>
      <c r="L78" s="275" t="s">
        <v>165</v>
      </c>
      <c r="M78" s="276"/>
      <c r="N78" s="111">
        <v>85.93</v>
      </c>
      <c r="O78" s="111">
        <v>94.88</v>
      </c>
      <c r="P78" s="111">
        <v>78.73</v>
      </c>
      <c r="Q78" s="111">
        <v>88.43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</row>
    <row r="79" spans="1:40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274"/>
      <c r="L79" s="275" t="s">
        <v>167</v>
      </c>
      <c r="M79" s="276"/>
      <c r="N79" s="112">
        <v>81.56</v>
      </c>
      <c r="O79" s="112">
        <v>94.96</v>
      </c>
      <c r="P79" s="112">
        <v>77.39</v>
      </c>
      <c r="Q79" s="112">
        <v>87.95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</row>
    <row r="80" spans="1:40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274"/>
      <c r="L80" s="275" t="s">
        <v>168</v>
      </c>
      <c r="M80" s="276"/>
      <c r="N80" s="113">
        <v>77.78</v>
      </c>
      <c r="O80" s="113">
        <v>92.86</v>
      </c>
      <c r="P80" s="113">
        <v>74.680000000000007</v>
      </c>
      <c r="Q80" s="113">
        <v>84.65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</row>
    <row r="81" spans="1:40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274"/>
      <c r="L81" s="275" t="s">
        <v>169</v>
      </c>
      <c r="M81" s="276"/>
      <c r="N81" s="114">
        <v>83.3</v>
      </c>
      <c r="O81" s="114">
        <v>95.95</v>
      </c>
      <c r="P81" s="114">
        <v>79.47</v>
      </c>
      <c r="Q81" s="114">
        <v>90.98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</row>
    <row r="82" spans="1:40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274"/>
      <c r="L82" s="275" t="s">
        <v>170</v>
      </c>
      <c r="M82" s="276"/>
      <c r="N82" s="115">
        <v>86.19</v>
      </c>
      <c r="O82" s="115">
        <v>96.91</v>
      </c>
      <c r="P82" s="115">
        <v>83.49</v>
      </c>
      <c r="Q82" s="115">
        <v>92.72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</row>
    <row r="83" spans="1:40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</row>
    <row r="84" spans="1:40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</row>
    <row r="85" spans="1:40" ht="25.5" x14ac:dyDescent="0.25">
      <c r="A85" s="40"/>
      <c r="B85" s="40"/>
      <c r="C85" s="40"/>
      <c r="D85" s="40"/>
      <c r="E85" s="40"/>
      <c r="F85" s="40"/>
      <c r="G85" s="40"/>
      <c r="H85" s="40"/>
      <c r="I85" s="277" t="s">
        <v>147</v>
      </c>
      <c r="J85" s="277"/>
      <c r="K85" s="150" t="s">
        <v>270</v>
      </c>
      <c r="L85" s="150" t="s">
        <v>455</v>
      </c>
      <c r="M85" s="150" t="s">
        <v>193</v>
      </c>
      <c r="N85" s="150">
        <v>2016</v>
      </c>
      <c r="O85" s="150" t="s">
        <v>271</v>
      </c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</row>
    <row r="86" spans="1:40" x14ac:dyDescent="0.25">
      <c r="A86" s="40"/>
      <c r="B86" s="40"/>
      <c r="C86" s="40"/>
      <c r="D86" s="40"/>
      <c r="E86" s="40"/>
      <c r="F86" s="40"/>
      <c r="G86" s="40"/>
      <c r="H86" s="116">
        <v>1</v>
      </c>
      <c r="I86" s="278" t="s">
        <v>148</v>
      </c>
      <c r="J86" s="278"/>
      <c r="K86" s="151" t="s">
        <v>242</v>
      </c>
      <c r="L86" s="116">
        <v>36</v>
      </c>
      <c r="M86" s="116" t="s">
        <v>244</v>
      </c>
      <c r="N86" s="117">
        <v>96.52</v>
      </c>
      <c r="O86" s="117">
        <v>13.61</v>
      </c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</row>
    <row r="87" spans="1:40" x14ac:dyDescent="0.25">
      <c r="A87" s="40"/>
      <c r="B87" s="40"/>
      <c r="C87" s="40"/>
      <c r="D87" s="40"/>
      <c r="E87" s="40"/>
      <c r="F87" s="40"/>
      <c r="G87" s="40"/>
      <c r="H87" s="116">
        <v>2</v>
      </c>
      <c r="I87" s="278" t="s">
        <v>148</v>
      </c>
      <c r="J87" s="278"/>
      <c r="K87" s="151" t="s">
        <v>242</v>
      </c>
      <c r="L87" s="116">
        <v>37</v>
      </c>
      <c r="M87" s="116" t="s">
        <v>245</v>
      </c>
      <c r="N87" s="117">
        <v>94.97</v>
      </c>
      <c r="O87" s="117">
        <v>12.06</v>
      </c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</row>
    <row r="88" spans="1:40" x14ac:dyDescent="0.25">
      <c r="A88" s="40"/>
      <c r="B88" s="40"/>
      <c r="C88" s="40"/>
      <c r="D88" s="40"/>
      <c r="E88" s="40"/>
      <c r="F88" s="40"/>
      <c r="G88" s="40"/>
      <c r="H88" s="116">
        <v>3</v>
      </c>
      <c r="I88" s="278" t="s">
        <v>148</v>
      </c>
      <c r="J88" s="278"/>
      <c r="K88" s="151" t="s">
        <v>242</v>
      </c>
      <c r="L88" s="116">
        <v>38</v>
      </c>
      <c r="M88" s="116" t="s">
        <v>246</v>
      </c>
      <c r="N88" s="117">
        <v>93.83</v>
      </c>
      <c r="O88" s="117">
        <v>10.92</v>
      </c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</row>
    <row r="89" spans="1:40" x14ac:dyDescent="0.25">
      <c r="A89" s="40"/>
      <c r="B89" s="40"/>
      <c r="C89" s="40"/>
      <c r="D89" s="40"/>
      <c r="E89" s="40"/>
      <c r="F89" s="40"/>
      <c r="G89" s="40"/>
      <c r="H89" s="116">
        <v>4</v>
      </c>
      <c r="I89" s="278" t="s">
        <v>160</v>
      </c>
      <c r="J89" s="278"/>
      <c r="K89" s="151" t="s">
        <v>262</v>
      </c>
      <c r="L89" s="116">
        <v>53</v>
      </c>
      <c r="M89" s="116" t="s">
        <v>263</v>
      </c>
      <c r="N89" s="117">
        <v>93.54</v>
      </c>
      <c r="O89" s="117">
        <v>10.63</v>
      </c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</row>
    <row r="90" spans="1:40" x14ac:dyDescent="0.25">
      <c r="A90" s="40"/>
      <c r="B90" s="40"/>
      <c r="C90" s="40"/>
      <c r="D90" s="40"/>
      <c r="E90" s="40"/>
      <c r="F90" s="40"/>
      <c r="G90" s="40"/>
      <c r="H90" s="116">
        <v>5</v>
      </c>
      <c r="I90" s="278" t="s">
        <v>149</v>
      </c>
      <c r="J90" s="278"/>
      <c r="K90" s="151" t="s">
        <v>213</v>
      </c>
      <c r="L90" s="116">
        <v>14</v>
      </c>
      <c r="M90" s="116" t="s">
        <v>214</v>
      </c>
      <c r="N90" s="117">
        <v>92.33</v>
      </c>
      <c r="O90" s="117">
        <v>9.42</v>
      </c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</row>
    <row r="91" spans="1:40" x14ac:dyDescent="0.25">
      <c r="A91" s="40"/>
      <c r="B91" s="40"/>
      <c r="C91" s="40"/>
      <c r="D91" s="40"/>
      <c r="E91" s="40"/>
      <c r="F91" s="40"/>
      <c r="G91" s="40"/>
      <c r="H91" s="116">
        <v>6</v>
      </c>
      <c r="I91" s="278" t="s">
        <v>148</v>
      </c>
      <c r="J91" s="278"/>
      <c r="K91" s="151" t="s">
        <v>236</v>
      </c>
      <c r="L91" s="116">
        <v>31</v>
      </c>
      <c r="M91" s="116" t="s">
        <v>238</v>
      </c>
      <c r="N91" s="117">
        <v>92.08</v>
      </c>
      <c r="O91" s="117">
        <v>9.17</v>
      </c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</row>
    <row r="92" spans="1:40" x14ac:dyDescent="0.25">
      <c r="A92" s="40"/>
      <c r="B92" s="40"/>
      <c r="C92" s="40"/>
      <c r="D92" s="40"/>
      <c r="E92" s="40"/>
      <c r="F92" s="40"/>
      <c r="G92" s="40"/>
      <c r="H92" s="116">
        <v>7</v>
      </c>
      <c r="I92" s="278" t="s">
        <v>150</v>
      </c>
      <c r="J92" s="278"/>
      <c r="K92" s="151" t="s">
        <v>224</v>
      </c>
      <c r="L92" s="116">
        <v>21</v>
      </c>
      <c r="M92" s="116" t="s">
        <v>225</v>
      </c>
      <c r="N92" s="117">
        <v>91.17</v>
      </c>
      <c r="O92" s="117">
        <v>8.26</v>
      </c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</row>
    <row r="93" spans="1:40" x14ac:dyDescent="0.25">
      <c r="A93" s="40"/>
      <c r="B93" s="40"/>
      <c r="C93" s="40"/>
      <c r="D93" s="40"/>
      <c r="E93" s="40"/>
      <c r="F93" s="40"/>
      <c r="G93" s="40"/>
      <c r="H93" s="116">
        <v>8</v>
      </c>
      <c r="I93" s="278" t="s">
        <v>159</v>
      </c>
      <c r="J93" s="278"/>
      <c r="K93" s="151" t="s">
        <v>21</v>
      </c>
      <c r="L93" s="116">
        <v>42</v>
      </c>
      <c r="M93" s="116" t="s">
        <v>250</v>
      </c>
      <c r="N93" s="117">
        <v>90.85</v>
      </c>
      <c r="O93" s="117">
        <v>7.94</v>
      </c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</row>
    <row r="94" spans="1:40" x14ac:dyDescent="0.25">
      <c r="A94" s="40"/>
      <c r="B94" s="40"/>
      <c r="C94" s="40"/>
      <c r="D94" s="40"/>
      <c r="E94" s="40"/>
      <c r="F94" s="40"/>
      <c r="G94" s="40"/>
      <c r="H94" s="116">
        <v>9</v>
      </c>
      <c r="I94" s="278" t="s">
        <v>160</v>
      </c>
      <c r="J94" s="278"/>
      <c r="K94" s="151" t="s">
        <v>259</v>
      </c>
      <c r="L94" s="116">
        <v>51</v>
      </c>
      <c r="M94" s="116" t="s">
        <v>260</v>
      </c>
      <c r="N94" s="117">
        <v>90.49</v>
      </c>
      <c r="O94" s="117">
        <v>7.57</v>
      </c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</row>
    <row r="95" spans="1:40" x14ac:dyDescent="0.25">
      <c r="A95" s="40"/>
      <c r="B95" s="40"/>
      <c r="C95" s="40"/>
      <c r="D95" s="40"/>
      <c r="E95" s="40"/>
      <c r="F95" s="40"/>
      <c r="G95" s="40"/>
      <c r="H95" s="116">
        <v>10</v>
      </c>
      <c r="I95" s="278" t="s">
        <v>160</v>
      </c>
      <c r="J95" s="278"/>
      <c r="K95" s="151" t="s">
        <v>23</v>
      </c>
      <c r="L95" s="116">
        <v>48</v>
      </c>
      <c r="M95" s="116" t="s">
        <v>256</v>
      </c>
      <c r="N95" s="117">
        <v>89.81</v>
      </c>
      <c r="O95" s="117">
        <v>6.9</v>
      </c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</row>
    <row r="96" spans="1:40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</row>
    <row r="97" spans="1:40" ht="25.5" x14ac:dyDescent="0.25">
      <c r="A97" s="40"/>
      <c r="B97" s="40"/>
      <c r="C97" s="40"/>
      <c r="D97" s="40"/>
      <c r="E97" s="40"/>
      <c r="F97" s="40"/>
      <c r="G97" s="40"/>
      <c r="H97" s="40"/>
      <c r="I97" s="277" t="s">
        <v>147</v>
      </c>
      <c r="J97" s="277"/>
      <c r="K97" s="150" t="s">
        <v>270</v>
      </c>
      <c r="L97" s="150" t="s">
        <v>455</v>
      </c>
      <c r="M97" s="150" t="s">
        <v>193</v>
      </c>
      <c r="N97" s="150">
        <v>2016</v>
      </c>
      <c r="O97" s="150" t="s">
        <v>271</v>
      </c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</row>
    <row r="98" spans="1:40" x14ac:dyDescent="0.25">
      <c r="A98" s="40"/>
      <c r="B98" s="40"/>
      <c r="C98" s="40"/>
      <c r="D98" s="40"/>
      <c r="E98" s="40"/>
      <c r="F98" s="40"/>
      <c r="G98" s="40"/>
      <c r="H98" s="116">
        <v>1</v>
      </c>
      <c r="I98" s="278" t="s">
        <v>148</v>
      </c>
      <c r="J98" s="278"/>
      <c r="K98" s="151" t="s">
        <v>233</v>
      </c>
      <c r="L98" s="116">
        <v>29</v>
      </c>
      <c r="M98" s="116" t="s">
        <v>235</v>
      </c>
      <c r="N98" s="117">
        <v>45.85</v>
      </c>
      <c r="O98" s="117">
        <v>-37.06</v>
      </c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</row>
    <row r="99" spans="1:40" x14ac:dyDescent="0.25">
      <c r="A99" s="40"/>
      <c r="B99" s="40"/>
      <c r="C99" s="40"/>
      <c r="D99" s="40"/>
      <c r="E99" s="40"/>
      <c r="F99" s="40"/>
      <c r="G99" s="40"/>
      <c r="H99" s="116">
        <v>2</v>
      </c>
      <c r="I99" s="278" t="s">
        <v>148</v>
      </c>
      <c r="J99" s="278"/>
      <c r="K99" s="151" t="s">
        <v>18</v>
      </c>
      <c r="L99" s="116">
        <v>32</v>
      </c>
      <c r="M99" s="116" t="s">
        <v>239</v>
      </c>
      <c r="N99" s="117">
        <v>58.81</v>
      </c>
      <c r="O99" s="117">
        <v>-24.11</v>
      </c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</row>
    <row r="100" spans="1:40" x14ac:dyDescent="0.25">
      <c r="A100" s="40"/>
      <c r="B100" s="40"/>
      <c r="C100" s="40"/>
      <c r="D100" s="40"/>
      <c r="E100" s="40"/>
      <c r="F100" s="40"/>
      <c r="G100" s="40"/>
      <c r="H100" s="116">
        <v>3</v>
      </c>
      <c r="I100" s="278" t="s">
        <v>148</v>
      </c>
      <c r="J100" s="278"/>
      <c r="K100" s="151" t="s">
        <v>233</v>
      </c>
      <c r="L100" s="116">
        <v>28</v>
      </c>
      <c r="M100" s="116" t="s">
        <v>234</v>
      </c>
      <c r="N100" s="117">
        <v>63.94</v>
      </c>
      <c r="O100" s="117">
        <v>-18.97</v>
      </c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</row>
    <row r="101" spans="1:40" x14ac:dyDescent="0.25">
      <c r="A101" s="40"/>
      <c r="B101" s="40"/>
      <c r="C101" s="40"/>
      <c r="D101" s="40"/>
      <c r="E101" s="40"/>
      <c r="F101" s="40"/>
      <c r="G101" s="40"/>
      <c r="H101" s="116">
        <v>4</v>
      </c>
      <c r="I101" s="278" t="s">
        <v>150</v>
      </c>
      <c r="J101" s="278"/>
      <c r="K101" s="151" t="s">
        <v>224</v>
      </c>
      <c r="L101" s="116">
        <v>22</v>
      </c>
      <c r="M101" s="116" t="s">
        <v>226</v>
      </c>
      <c r="N101" s="117">
        <v>69.52</v>
      </c>
      <c r="O101" s="117">
        <v>-13.39</v>
      </c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</row>
    <row r="102" spans="1:40" x14ac:dyDescent="0.25">
      <c r="A102" s="40"/>
      <c r="B102" s="40"/>
      <c r="C102" s="40"/>
      <c r="D102" s="40"/>
      <c r="E102" s="40"/>
      <c r="F102" s="40"/>
      <c r="G102" s="40"/>
      <c r="H102" s="116">
        <v>5</v>
      </c>
      <c r="I102" s="278" t="s">
        <v>148</v>
      </c>
      <c r="J102" s="278"/>
      <c r="K102" s="151" t="s">
        <v>18</v>
      </c>
      <c r="L102" s="116">
        <v>34</v>
      </c>
      <c r="M102" s="116" t="s">
        <v>241</v>
      </c>
      <c r="N102" s="117">
        <v>71.930000000000007</v>
      </c>
      <c r="O102" s="117">
        <v>-10.99</v>
      </c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</row>
    <row r="103" spans="1:40" x14ac:dyDescent="0.25">
      <c r="A103" s="40"/>
      <c r="B103" s="40"/>
      <c r="C103" s="40"/>
      <c r="D103" s="40"/>
      <c r="E103" s="40"/>
      <c r="F103" s="40"/>
      <c r="G103" s="40"/>
      <c r="H103" s="116">
        <v>6</v>
      </c>
      <c r="I103" s="278" t="s">
        <v>148</v>
      </c>
      <c r="J103" s="278"/>
      <c r="K103" s="151" t="s">
        <v>236</v>
      </c>
      <c r="L103" s="116">
        <v>30</v>
      </c>
      <c r="M103" s="116" t="s">
        <v>237</v>
      </c>
      <c r="N103" s="117">
        <v>72.17</v>
      </c>
      <c r="O103" s="117">
        <v>-10.74</v>
      </c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</row>
    <row r="104" spans="1:40" x14ac:dyDescent="0.25">
      <c r="A104" s="40"/>
      <c r="B104" s="40"/>
      <c r="C104" s="40"/>
      <c r="D104" s="40"/>
      <c r="E104" s="40"/>
      <c r="F104" s="40"/>
      <c r="G104" s="40"/>
      <c r="H104" s="116">
        <v>7</v>
      </c>
      <c r="I104" s="278" t="s">
        <v>148</v>
      </c>
      <c r="J104" s="278"/>
      <c r="K104" s="151" t="s">
        <v>18</v>
      </c>
      <c r="L104" s="116">
        <v>33</v>
      </c>
      <c r="M104" s="116" t="s">
        <v>240</v>
      </c>
      <c r="N104" s="117">
        <v>73.19</v>
      </c>
      <c r="O104" s="117">
        <v>-9.7200000000000006</v>
      </c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</row>
    <row r="105" spans="1:40" x14ac:dyDescent="0.25">
      <c r="A105" s="40"/>
      <c r="B105" s="40"/>
      <c r="C105" s="40"/>
      <c r="D105" s="40"/>
      <c r="E105" s="40"/>
      <c r="F105" s="40"/>
      <c r="G105" s="40"/>
      <c r="H105" s="116">
        <v>8</v>
      </c>
      <c r="I105" s="278" t="s">
        <v>150</v>
      </c>
      <c r="J105" s="278"/>
      <c r="K105" s="151" t="s">
        <v>228</v>
      </c>
      <c r="L105" s="116">
        <v>25</v>
      </c>
      <c r="M105" s="116" t="s">
        <v>230</v>
      </c>
      <c r="N105" s="117">
        <v>75.88</v>
      </c>
      <c r="O105" s="117">
        <v>-7.03</v>
      </c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</row>
    <row r="106" spans="1:40" x14ac:dyDescent="0.25">
      <c r="A106" s="40"/>
      <c r="B106" s="40"/>
      <c r="C106" s="40"/>
      <c r="D106" s="40"/>
      <c r="E106" s="40"/>
      <c r="F106" s="40"/>
      <c r="G106" s="40"/>
      <c r="H106" s="116">
        <v>9</v>
      </c>
      <c r="I106" s="278" t="s">
        <v>149</v>
      </c>
      <c r="J106" s="278"/>
      <c r="K106" s="151" t="s">
        <v>200</v>
      </c>
      <c r="L106" s="116">
        <v>7</v>
      </c>
      <c r="M106" s="116" t="s">
        <v>203</v>
      </c>
      <c r="N106" s="117">
        <v>76.25</v>
      </c>
      <c r="O106" s="117">
        <v>-6.66</v>
      </c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</row>
    <row r="107" spans="1:40" x14ac:dyDescent="0.25">
      <c r="A107" s="40"/>
      <c r="B107" s="40"/>
      <c r="C107" s="40"/>
      <c r="D107" s="40"/>
      <c r="E107" s="40"/>
      <c r="F107" s="40"/>
      <c r="G107" s="40"/>
      <c r="H107" s="116">
        <v>10</v>
      </c>
      <c r="I107" s="278" t="s">
        <v>159</v>
      </c>
      <c r="J107" s="278"/>
      <c r="K107" s="151" t="s">
        <v>21</v>
      </c>
      <c r="L107" s="116">
        <v>43</v>
      </c>
      <c r="M107" s="116" t="s">
        <v>251</v>
      </c>
      <c r="N107" s="117">
        <v>77.12</v>
      </c>
      <c r="O107" s="117">
        <v>-5.79</v>
      </c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</row>
  </sheetData>
  <mergeCells count="191">
    <mergeCell ref="I104:J104"/>
    <mergeCell ref="I105:J105"/>
    <mergeCell ref="I106:J106"/>
    <mergeCell ref="I107:J107"/>
    <mergeCell ref="I94:J94"/>
    <mergeCell ref="I95:J95"/>
    <mergeCell ref="I97:J97"/>
    <mergeCell ref="I98:J98"/>
    <mergeCell ref="I99:J99"/>
    <mergeCell ref="I100:J100"/>
    <mergeCell ref="I101:J101"/>
    <mergeCell ref="I102:J102"/>
    <mergeCell ref="I103:J103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J63:K63"/>
    <mergeCell ref="K64:K70"/>
    <mergeCell ref="K72:K75"/>
    <mergeCell ref="K78:K82"/>
    <mergeCell ref="L78:M78"/>
    <mergeCell ref="L79:M79"/>
    <mergeCell ref="L80:M80"/>
    <mergeCell ref="L81:M81"/>
    <mergeCell ref="L82:M82"/>
    <mergeCell ref="J30:K30"/>
    <mergeCell ref="J31:J34"/>
    <mergeCell ref="K31:K32"/>
    <mergeCell ref="K33:K34"/>
    <mergeCell ref="I35:I37"/>
    <mergeCell ref="J35:K37"/>
    <mergeCell ref="I31:I34"/>
    <mergeCell ref="K38:K41"/>
    <mergeCell ref="J43:K43"/>
    <mergeCell ref="J1:K1"/>
    <mergeCell ref="J2:J5"/>
    <mergeCell ref="K2:K3"/>
    <mergeCell ref="K4:K5"/>
    <mergeCell ref="J6:J11"/>
    <mergeCell ref="K6:K8"/>
    <mergeCell ref="K9:K10"/>
    <mergeCell ref="J12:J15"/>
    <mergeCell ref="K12:K14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H35:H37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I6:I11"/>
    <mergeCell ref="I12:I15"/>
    <mergeCell ref="I17:I20"/>
    <mergeCell ref="J16:K16"/>
    <mergeCell ref="J17:J20"/>
    <mergeCell ref="K17:K18"/>
    <mergeCell ref="K19:K20"/>
    <mergeCell ref="J21:J22"/>
    <mergeCell ref="I23:I29"/>
    <mergeCell ref="K21:K22"/>
    <mergeCell ref="J23:J29"/>
    <mergeCell ref="K23:K25"/>
    <mergeCell ref="K26:K29"/>
    <mergeCell ref="G60:G62"/>
    <mergeCell ref="J56:J59"/>
    <mergeCell ref="H44:H45"/>
    <mergeCell ref="H46:H47"/>
    <mergeCell ref="H48:H51"/>
    <mergeCell ref="H53:H55"/>
    <mergeCell ref="J38:J42"/>
    <mergeCell ref="I53:I55"/>
    <mergeCell ref="J53:K55"/>
    <mergeCell ref="H60:H62"/>
    <mergeCell ref="H56:H59"/>
    <mergeCell ref="I44:I45"/>
    <mergeCell ref="J44:K45"/>
    <mergeCell ref="I46:I47"/>
    <mergeCell ref="J46:K47"/>
    <mergeCell ref="I48:I51"/>
    <mergeCell ref="J48:K51"/>
    <mergeCell ref="J52:K52"/>
    <mergeCell ref="K56:K57"/>
    <mergeCell ref="K58:K59"/>
    <mergeCell ref="I60:I62"/>
    <mergeCell ref="J60:K6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topLeftCell="D22" workbookViewId="0">
      <selection activeCell="J27" sqref="J27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279" t="s">
        <v>173</v>
      </c>
      <c r="C2" s="279"/>
      <c r="D2" s="279"/>
      <c r="E2" s="279"/>
      <c r="F2" s="279"/>
      <c r="G2" s="279"/>
      <c r="H2" s="279"/>
      <c r="I2" s="279"/>
      <c r="J2" s="279"/>
    </row>
    <row r="3" spans="2:10" ht="20.100000000000001" customHeight="1" x14ac:dyDescent="0.25">
      <c r="B3" s="28" t="s">
        <v>29</v>
      </c>
      <c r="C3" s="28" t="s">
        <v>174</v>
      </c>
      <c r="D3" s="28" t="s">
        <v>175</v>
      </c>
      <c r="E3" s="28" t="s">
        <v>176</v>
      </c>
      <c r="F3" s="28" t="s">
        <v>177</v>
      </c>
      <c r="G3" s="28" t="s">
        <v>178</v>
      </c>
      <c r="H3" s="28" t="s">
        <v>179</v>
      </c>
      <c r="I3" s="28" t="s">
        <v>180</v>
      </c>
      <c r="J3" s="28" t="s">
        <v>181</v>
      </c>
    </row>
    <row r="4" spans="2:10" x14ac:dyDescent="0.25">
      <c r="B4" s="27" t="s">
        <v>182</v>
      </c>
      <c r="C4" s="27" t="s">
        <v>162</v>
      </c>
      <c r="D4" s="27" t="s">
        <v>161</v>
      </c>
      <c r="E4" s="27" t="s">
        <v>183</v>
      </c>
      <c r="F4" s="27" t="s">
        <v>321</v>
      </c>
      <c r="G4" s="27" t="s">
        <v>184</v>
      </c>
      <c r="H4" s="27" t="s">
        <v>322</v>
      </c>
      <c r="I4" s="27">
        <v>1</v>
      </c>
      <c r="J4" s="29"/>
    </row>
    <row r="5" spans="2:10" x14ac:dyDescent="0.25">
      <c r="B5" s="27" t="s">
        <v>185</v>
      </c>
      <c r="C5" s="27" t="s">
        <v>162</v>
      </c>
      <c r="D5" s="27" t="s">
        <v>161</v>
      </c>
      <c r="E5" s="27" t="s">
        <v>183</v>
      </c>
      <c r="F5" s="27" t="s">
        <v>321</v>
      </c>
      <c r="G5" s="27"/>
      <c r="H5" s="27"/>
      <c r="I5" s="27">
        <v>1</v>
      </c>
      <c r="J5" s="29"/>
    </row>
    <row r="6" spans="2:10" x14ac:dyDescent="0.25">
      <c r="B6" s="27" t="s">
        <v>114</v>
      </c>
      <c r="C6" s="27" t="s">
        <v>27</v>
      </c>
      <c r="D6" s="27" t="s">
        <v>161</v>
      </c>
      <c r="E6" s="27" t="s">
        <v>272</v>
      </c>
      <c r="F6" s="27" t="s">
        <v>323</v>
      </c>
      <c r="G6" s="27" t="s">
        <v>273</v>
      </c>
      <c r="H6" s="27" t="s">
        <v>324</v>
      </c>
      <c r="I6" s="27">
        <v>1</v>
      </c>
      <c r="J6" s="29"/>
    </row>
    <row r="7" spans="2:10" x14ac:dyDescent="0.25">
      <c r="B7" s="27" t="s">
        <v>115</v>
      </c>
      <c r="C7" s="27" t="s">
        <v>27</v>
      </c>
      <c r="D7" s="27" t="s">
        <v>161</v>
      </c>
      <c r="E7" s="27" t="s">
        <v>272</v>
      </c>
      <c r="F7" s="27" t="s">
        <v>323</v>
      </c>
      <c r="G7" s="27"/>
      <c r="H7" s="27"/>
      <c r="I7" s="27">
        <v>1</v>
      </c>
      <c r="J7" s="29"/>
    </row>
    <row r="8" spans="2:10" x14ac:dyDescent="0.25">
      <c r="B8" s="27" t="s">
        <v>116</v>
      </c>
      <c r="C8" s="27" t="s">
        <v>28</v>
      </c>
      <c r="D8" s="27" t="s">
        <v>161</v>
      </c>
      <c r="E8" s="27" t="s">
        <v>274</v>
      </c>
      <c r="F8" s="27" t="s">
        <v>325</v>
      </c>
      <c r="G8" s="27" t="s">
        <v>275</v>
      </c>
      <c r="H8" s="27" t="s">
        <v>326</v>
      </c>
      <c r="I8" s="27">
        <v>1</v>
      </c>
      <c r="J8" s="29"/>
    </row>
    <row r="9" spans="2:10" x14ac:dyDescent="0.25">
      <c r="B9" s="27" t="s">
        <v>117</v>
      </c>
      <c r="C9" s="27" t="s">
        <v>28</v>
      </c>
      <c r="D9" s="27" t="s">
        <v>161</v>
      </c>
      <c r="E9" s="27" t="s">
        <v>274</v>
      </c>
      <c r="F9" s="27" t="s">
        <v>325</v>
      </c>
      <c r="G9" s="27"/>
      <c r="H9" s="27"/>
      <c r="I9" s="27">
        <v>1</v>
      </c>
      <c r="J9" s="29"/>
    </row>
    <row r="10" spans="2:10" x14ac:dyDescent="0.25">
      <c r="B10" s="27" t="s">
        <v>118</v>
      </c>
      <c r="C10" s="27" t="s">
        <v>130</v>
      </c>
      <c r="D10" s="27" t="s">
        <v>161</v>
      </c>
      <c r="E10" s="27" t="s">
        <v>276</v>
      </c>
      <c r="F10" s="27" t="s">
        <v>327</v>
      </c>
      <c r="G10" s="27" t="s">
        <v>277</v>
      </c>
      <c r="H10" s="27" t="s">
        <v>328</v>
      </c>
      <c r="I10" s="27">
        <v>1</v>
      </c>
      <c r="J10" s="29"/>
    </row>
    <row r="11" spans="2:10" x14ac:dyDescent="0.25">
      <c r="B11" s="27" t="s">
        <v>119</v>
      </c>
      <c r="C11" s="27" t="s">
        <v>130</v>
      </c>
      <c r="D11" s="27" t="s">
        <v>161</v>
      </c>
      <c r="E11" s="27" t="s">
        <v>276</v>
      </c>
      <c r="F11" s="27" t="s">
        <v>327</v>
      </c>
      <c r="G11" s="27"/>
      <c r="H11" s="27"/>
      <c r="I11" s="27">
        <v>1</v>
      </c>
      <c r="J11" s="29"/>
    </row>
    <row r="12" spans="2:10" x14ac:dyDescent="0.25">
      <c r="B12" s="27" t="s">
        <v>120</v>
      </c>
      <c r="C12" s="27" t="s">
        <v>310</v>
      </c>
      <c r="D12" s="27" t="s">
        <v>161</v>
      </c>
      <c r="E12" s="27" t="s">
        <v>329</v>
      </c>
      <c r="F12" s="27" t="s">
        <v>330</v>
      </c>
      <c r="G12" s="27" t="s">
        <v>331</v>
      </c>
      <c r="H12" s="27" t="s">
        <v>332</v>
      </c>
      <c r="I12" s="27">
        <v>2</v>
      </c>
      <c r="J12" s="29"/>
    </row>
    <row r="13" spans="2:10" x14ac:dyDescent="0.25">
      <c r="B13" s="27" t="s">
        <v>186</v>
      </c>
      <c r="C13" s="27" t="s">
        <v>310</v>
      </c>
      <c r="D13" s="27" t="s">
        <v>161</v>
      </c>
      <c r="E13" s="27" t="s">
        <v>329</v>
      </c>
      <c r="F13" s="27" t="s">
        <v>330</v>
      </c>
      <c r="G13" s="27"/>
      <c r="H13" s="27"/>
      <c r="I13" s="27">
        <v>1</v>
      </c>
      <c r="J13" s="29"/>
    </row>
    <row r="14" spans="2:10" x14ac:dyDescent="0.25">
      <c r="B14" s="27" t="s">
        <v>121</v>
      </c>
      <c r="C14" s="27" t="s">
        <v>131</v>
      </c>
      <c r="D14" s="27" t="s">
        <v>161</v>
      </c>
      <c r="E14" s="27" t="s">
        <v>333</v>
      </c>
      <c r="F14" s="27" t="s">
        <v>334</v>
      </c>
      <c r="G14" s="27" t="s">
        <v>335</v>
      </c>
      <c r="H14" s="27" t="s">
        <v>336</v>
      </c>
      <c r="I14" s="27">
        <v>1</v>
      </c>
      <c r="J14" s="29"/>
    </row>
    <row r="15" spans="2:10" x14ac:dyDescent="0.25">
      <c r="B15" s="27" t="s">
        <v>122</v>
      </c>
      <c r="C15" s="27" t="s">
        <v>131</v>
      </c>
      <c r="D15" s="27" t="s">
        <v>161</v>
      </c>
      <c r="E15" s="27" t="s">
        <v>333</v>
      </c>
      <c r="F15" s="27" t="s">
        <v>334</v>
      </c>
      <c r="G15" s="27"/>
      <c r="H15" s="27"/>
      <c r="I15" s="27">
        <v>1</v>
      </c>
      <c r="J15" s="29"/>
    </row>
    <row r="16" spans="2:10" x14ac:dyDescent="0.25">
      <c r="B16" s="27" t="s">
        <v>123</v>
      </c>
      <c r="C16" s="27" t="s">
        <v>311</v>
      </c>
      <c r="D16" s="27" t="s">
        <v>161</v>
      </c>
      <c r="E16" s="27" t="s">
        <v>187</v>
      </c>
      <c r="F16" s="27" t="s">
        <v>278</v>
      </c>
      <c r="G16" s="27" t="s">
        <v>188</v>
      </c>
      <c r="H16" s="27" t="s">
        <v>279</v>
      </c>
      <c r="I16" s="27">
        <v>3</v>
      </c>
      <c r="J16" s="29"/>
    </row>
    <row r="17" spans="2:10" x14ac:dyDescent="0.25">
      <c r="B17" s="27" t="s">
        <v>189</v>
      </c>
      <c r="C17" s="27" t="s">
        <v>311</v>
      </c>
      <c r="D17" s="27" t="s">
        <v>161</v>
      </c>
      <c r="E17" s="27" t="s">
        <v>187</v>
      </c>
      <c r="F17" s="27" t="s">
        <v>278</v>
      </c>
      <c r="G17" s="27"/>
      <c r="H17" s="27"/>
      <c r="I17" s="27">
        <v>1</v>
      </c>
      <c r="J17" s="29"/>
    </row>
    <row r="18" spans="2:10" x14ac:dyDescent="0.25">
      <c r="B18" s="27" t="s">
        <v>124</v>
      </c>
      <c r="C18" s="27" t="s">
        <v>132</v>
      </c>
      <c r="D18" s="27" t="s">
        <v>161</v>
      </c>
      <c r="E18" s="27" t="s">
        <v>337</v>
      </c>
      <c r="F18" s="27" t="s">
        <v>190</v>
      </c>
      <c r="G18" s="27" t="s">
        <v>338</v>
      </c>
      <c r="H18" s="27" t="s">
        <v>191</v>
      </c>
      <c r="I18" s="27">
        <v>1</v>
      </c>
      <c r="J18" s="29"/>
    </row>
    <row r="19" spans="2:10" x14ac:dyDescent="0.25">
      <c r="B19" s="27" t="s">
        <v>125</v>
      </c>
      <c r="C19" s="27" t="s">
        <v>132</v>
      </c>
      <c r="D19" s="27" t="s">
        <v>161</v>
      </c>
      <c r="E19" s="27" t="s">
        <v>337</v>
      </c>
      <c r="F19" s="27" t="s">
        <v>190</v>
      </c>
      <c r="G19" s="27"/>
      <c r="H19" s="27"/>
      <c r="I19" s="27">
        <v>1</v>
      </c>
      <c r="J19" s="29"/>
    </row>
    <row r="20" spans="2:10" x14ac:dyDescent="0.25">
      <c r="B20" s="27" t="s">
        <v>126</v>
      </c>
      <c r="C20" s="27" t="s">
        <v>113</v>
      </c>
      <c r="D20" s="27" t="s">
        <v>161</v>
      </c>
      <c r="E20" s="27" t="s">
        <v>280</v>
      </c>
      <c r="F20" s="27" t="s">
        <v>339</v>
      </c>
      <c r="G20" s="27" t="s">
        <v>281</v>
      </c>
      <c r="H20" s="27" t="s">
        <v>340</v>
      </c>
      <c r="I20" s="27">
        <v>4</v>
      </c>
      <c r="J20" s="29"/>
    </row>
    <row r="21" spans="2:10" x14ac:dyDescent="0.25">
      <c r="B21" s="27" t="s">
        <v>127</v>
      </c>
      <c r="C21" s="27" t="s">
        <v>113</v>
      </c>
      <c r="D21" s="27" t="s">
        <v>161</v>
      </c>
      <c r="E21" s="27" t="s">
        <v>280</v>
      </c>
      <c r="F21" s="27" t="s">
        <v>339</v>
      </c>
      <c r="G21" s="27"/>
      <c r="H21" s="27"/>
      <c r="I21" s="27">
        <v>1</v>
      </c>
      <c r="J21" s="29"/>
    </row>
    <row r="22" spans="2:10" x14ac:dyDescent="0.25">
      <c r="B22" s="27" t="s">
        <v>128</v>
      </c>
      <c r="C22" s="27" t="s">
        <v>133</v>
      </c>
      <c r="D22" s="27" t="s">
        <v>161</v>
      </c>
      <c r="E22" s="27" t="s">
        <v>341</v>
      </c>
      <c r="F22" s="27" t="s">
        <v>342</v>
      </c>
      <c r="G22" s="27" t="s">
        <v>343</v>
      </c>
      <c r="H22" s="27" t="s">
        <v>344</v>
      </c>
      <c r="I22" s="27">
        <v>1</v>
      </c>
      <c r="J22" s="29"/>
    </row>
    <row r="23" spans="2:10" x14ac:dyDescent="0.25">
      <c r="B23" s="27" t="s">
        <v>129</v>
      </c>
      <c r="C23" s="27" t="s">
        <v>133</v>
      </c>
      <c r="D23" s="27" t="s">
        <v>161</v>
      </c>
      <c r="E23" s="27" t="s">
        <v>341</v>
      </c>
      <c r="F23" s="27" t="s">
        <v>342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D71" workbookViewId="0">
      <selection activeCell="H82" sqref="H82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108</v>
      </c>
      <c r="C3" s="32">
        <v>2</v>
      </c>
    </row>
    <row r="4" spans="2:8" x14ac:dyDescent="0.25">
      <c r="C4" s="12"/>
    </row>
    <row r="5" spans="2:8" x14ac:dyDescent="0.25">
      <c r="B5" s="16" t="s">
        <v>29</v>
      </c>
      <c r="C5" s="282" t="s">
        <v>151</v>
      </c>
      <c r="D5" s="290"/>
      <c r="E5" s="25" t="s">
        <v>31</v>
      </c>
      <c r="F5" s="25" t="s">
        <v>32</v>
      </c>
      <c r="G5" s="25" t="s">
        <v>157</v>
      </c>
      <c r="H5" s="25" t="s">
        <v>158</v>
      </c>
    </row>
    <row r="6" spans="2:8" x14ac:dyDescent="0.25">
      <c r="B6" s="17" t="s">
        <v>134</v>
      </c>
      <c r="C6" s="22" t="s">
        <v>151</v>
      </c>
      <c r="D6" s="18"/>
      <c r="E6" s="33" t="s">
        <v>465</v>
      </c>
      <c r="F6" s="33" t="s">
        <v>135</v>
      </c>
      <c r="G6" s="33"/>
      <c r="H6" s="33"/>
    </row>
    <row r="7" spans="2:8" ht="15" customHeight="1" x14ac:dyDescent="0.25">
      <c r="B7" s="16" t="s">
        <v>29</v>
      </c>
      <c r="C7" s="280" t="s">
        <v>70</v>
      </c>
      <c r="D7" s="287"/>
      <c r="E7" s="20" t="s">
        <v>31</v>
      </c>
      <c r="F7" s="20" t="s">
        <v>32</v>
      </c>
      <c r="G7" s="20" t="s">
        <v>157</v>
      </c>
      <c r="H7" s="20" t="s">
        <v>158</v>
      </c>
    </row>
    <row r="8" spans="2:8" ht="30" x14ac:dyDescent="0.25">
      <c r="B8" s="17" t="s">
        <v>74</v>
      </c>
      <c r="C8" s="14" t="s">
        <v>71</v>
      </c>
      <c r="D8" s="18"/>
      <c r="E8" s="33" t="s">
        <v>466</v>
      </c>
      <c r="F8" s="33" t="s">
        <v>467</v>
      </c>
      <c r="G8" s="33"/>
      <c r="H8" s="33"/>
    </row>
    <row r="9" spans="2:8" ht="30" x14ac:dyDescent="0.25">
      <c r="B9" s="17" t="s">
        <v>88</v>
      </c>
      <c r="C9" s="14" t="s">
        <v>153</v>
      </c>
      <c r="D9" s="18"/>
      <c r="E9" s="33" t="s">
        <v>329</v>
      </c>
      <c r="F9" s="33" t="s">
        <v>468</v>
      </c>
      <c r="G9" s="33" t="s">
        <v>276</v>
      </c>
      <c r="H9" s="33" t="s">
        <v>469</v>
      </c>
    </row>
    <row r="10" spans="2:8" ht="30.75" customHeight="1" x14ac:dyDescent="0.25">
      <c r="B10" s="17" t="s">
        <v>75</v>
      </c>
      <c r="C10" s="14" t="s">
        <v>26</v>
      </c>
      <c r="D10" s="18"/>
      <c r="E10" s="33" t="s">
        <v>470</v>
      </c>
      <c r="F10" s="33" t="s">
        <v>471</v>
      </c>
      <c r="G10" s="33"/>
      <c r="H10" s="33"/>
    </row>
    <row r="11" spans="2:8" ht="45" x14ac:dyDescent="0.25">
      <c r="B11" s="17" t="s">
        <v>89</v>
      </c>
      <c r="C11" s="14" t="s">
        <v>154</v>
      </c>
      <c r="D11" s="18"/>
      <c r="E11" s="33" t="s">
        <v>472</v>
      </c>
      <c r="F11" s="33" t="s">
        <v>473</v>
      </c>
      <c r="G11" s="33" t="s">
        <v>276</v>
      </c>
      <c r="H11" s="33" t="s">
        <v>469</v>
      </c>
    </row>
    <row r="12" spans="2:8" x14ac:dyDescent="0.25">
      <c r="B12" s="24" t="s">
        <v>29</v>
      </c>
      <c r="C12" s="280" t="s">
        <v>26</v>
      </c>
      <c r="D12" s="287"/>
      <c r="E12" s="20" t="s">
        <v>31</v>
      </c>
      <c r="F12" s="20" t="s">
        <v>32</v>
      </c>
      <c r="G12" s="20" t="s">
        <v>157</v>
      </c>
      <c r="H12" s="20" t="s">
        <v>158</v>
      </c>
    </row>
    <row r="13" spans="2:8" x14ac:dyDescent="0.25">
      <c r="B13" s="291" t="s">
        <v>76</v>
      </c>
      <c r="C13" s="14" t="s">
        <v>147</v>
      </c>
      <c r="D13" s="10" t="s">
        <v>149</v>
      </c>
      <c r="E13" s="34" t="s">
        <v>474</v>
      </c>
      <c r="F13" s="34" t="s">
        <v>475</v>
      </c>
      <c r="G13" s="33"/>
      <c r="H13" s="33"/>
    </row>
    <row r="14" spans="2:8" x14ac:dyDescent="0.25">
      <c r="B14" s="288"/>
      <c r="C14" s="284" t="s">
        <v>33</v>
      </c>
      <c r="D14" s="10" t="s">
        <v>11</v>
      </c>
      <c r="E14" s="34" t="s">
        <v>34</v>
      </c>
      <c r="F14" s="34" t="s">
        <v>35</v>
      </c>
      <c r="G14" s="33"/>
      <c r="H14" s="33"/>
    </row>
    <row r="15" spans="2:8" x14ac:dyDescent="0.25">
      <c r="B15" s="288"/>
      <c r="C15" s="284"/>
      <c r="D15" s="10" t="s">
        <v>12</v>
      </c>
      <c r="E15" s="34" t="s">
        <v>36</v>
      </c>
      <c r="F15" s="34" t="s">
        <v>37</v>
      </c>
      <c r="G15" s="33"/>
      <c r="H15" s="33"/>
    </row>
    <row r="16" spans="2:8" x14ac:dyDescent="0.25">
      <c r="B16" s="289"/>
      <c r="C16" s="284"/>
      <c r="D16" s="10" t="s">
        <v>13</v>
      </c>
      <c r="E16" s="34" t="s">
        <v>38</v>
      </c>
      <c r="F16" s="34" t="s">
        <v>39</v>
      </c>
      <c r="G16" s="33"/>
      <c r="H16" s="33"/>
    </row>
    <row r="17" spans="2:8" x14ac:dyDescent="0.25">
      <c r="B17" s="291" t="s">
        <v>77</v>
      </c>
      <c r="C17" s="14" t="s">
        <v>147</v>
      </c>
      <c r="D17" s="10" t="s">
        <v>150</v>
      </c>
      <c r="E17" s="34" t="s">
        <v>476</v>
      </c>
      <c r="F17" s="34" t="s">
        <v>477</v>
      </c>
      <c r="G17" s="33"/>
      <c r="H17" s="33"/>
    </row>
    <row r="18" spans="2:8" x14ac:dyDescent="0.25">
      <c r="B18" s="288"/>
      <c r="C18" s="285" t="s">
        <v>40</v>
      </c>
      <c r="D18" s="10" t="s">
        <v>14</v>
      </c>
      <c r="E18" s="34" t="s">
        <v>41</v>
      </c>
      <c r="F18" s="34" t="s">
        <v>42</v>
      </c>
      <c r="G18" s="33"/>
      <c r="H18" s="33"/>
    </row>
    <row r="19" spans="2:8" x14ac:dyDescent="0.25">
      <c r="B19" s="288"/>
      <c r="C19" s="286"/>
      <c r="D19" s="18" t="s">
        <v>15</v>
      </c>
      <c r="E19" s="33" t="s">
        <v>43</v>
      </c>
      <c r="F19" s="33" t="s">
        <v>44</v>
      </c>
      <c r="G19" s="33"/>
      <c r="H19" s="33"/>
    </row>
    <row r="20" spans="2:8" x14ac:dyDescent="0.25">
      <c r="B20" s="289"/>
      <c r="C20" s="286"/>
      <c r="D20" s="10" t="s">
        <v>16</v>
      </c>
      <c r="E20" s="34" t="s">
        <v>45</v>
      </c>
      <c r="F20" s="34" t="s">
        <v>46</v>
      </c>
      <c r="G20" s="33"/>
      <c r="H20" s="33"/>
    </row>
    <row r="21" spans="2:8" x14ac:dyDescent="0.25">
      <c r="B21" s="291" t="s">
        <v>78</v>
      </c>
      <c r="C21" s="23" t="s">
        <v>147</v>
      </c>
      <c r="D21" s="10" t="s">
        <v>148</v>
      </c>
      <c r="E21" s="34" t="s">
        <v>478</v>
      </c>
      <c r="F21" s="34" t="s">
        <v>479</v>
      </c>
      <c r="G21" s="33"/>
      <c r="H21" s="33"/>
    </row>
    <row r="22" spans="2:8" x14ac:dyDescent="0.25">
      <c r="B22" s="288"/>
      <c r="C22" s="285" t="s">
        <v>47</v>
      </c>
      <c r="D22" s="10" t="s">
        <v>17</v>
      </c>
      <c r="E22" s="34" t="s">
        <v>48</v>
      </c>
      <c r="F22" s="34" t="s">
        <v>49</v>
      </c>
      <c r="G22" s="33"/>
      <c r="H22" s="33"/>
    </row>
    <row r="23" spans="2:8" x14ac:dyDescent="0.25">
      <c r="B23" s="288"/>
      <c r="C23" s="286"/>
      <c r="D23" s="18" t="s">
        <v>18</v>
      </c>
      <c r="E23" s="33" t="s">
        <v>50</v>
      </c>
      <c r="F23" s="33" t="s">
        <v>51</v>
      </c>
      <c r="G23" s="33"/>
      <c r="H23" s="33"/>
    </row>
    <row r="24" spans="2:8" x14ac:dyDescent="0.25">
      <c r="B24" s="289"/>
      <c r="C24" s="286"/>
      <c r="D24" s="10" t="s">
        <v>19</v>
      </c>
      <c r="E24" s="34" t="s">
        <v>52</v>
      </c>
      <c r="F24" s="34" t="s">
        <v>53</v>
      </c>
      <c r="G24" s="33"/>
      <c r="H24" s="33"/>
    </row>
    <row r="25" spans="2:8" ht="15" customHeight="1" x14ac:dyDescent="0.25">
      <c r="B25" s="291" t="s">
        <v>79</v>
      </c>
      <c r="C25" s="23" t="s">
        <v>147</v>
      </c>
      <c r="D25" s="10" t="s">
        <v>159</v>
      </c>
      <c r="E25" s="34" t="s">
        <v>480</v>
      </c>
      <c r="F25" s="34" t="s">
        <v>481</v>
      </c>
      <c r="G25" s="33"/>
      <c r="H25" s="33"/>
    </row>
    <row r="26" spans="2:8" x14ac:dyDescent="0.25">
      <c r="B26" s="288"/>
      <c r="C26" s="284" t="s">
        <v>54</v>
      </c>
      <c r="D26" s="18" t="s">
        <v>20</v>
      </c>
      <c r="E26" s="33" t="s">
        <v>55</v>
      </c>
      <c r="F26" s="33" t="s">
        <v>56</v>
      </c>
      <c r="G26" s="33"/>
      <c r="H26" s="33"/>
    </row>
    <row r="27" spans="2:8" x14ac:dyDescent="0.25">
      <c r="B27" s="288"/>
      <c r="C27" s="284"/>
      <c r="D27" s="18" t="s">
        <v>21</v>
      </c>
      <c r="E27" s="33" t="s">
        <v>57</v>
      </c>
      <c r="F27" s="33" t="s">
        <v>58</v>
      </c>
      <c r="G27" s="33"/>
      <c r="H27" s="33"/>
    </row>
    <row r="28" spans="2:8" x14ac:dyDescent="0.25">
      <c r="B28" s="289"/>
      <c r="C28" s="284"/>
      <c r="D28" s="18" t="s">
        <v>22</v>
      </c>
      <c r="E28" s="33" t="s">
        <v>59</v>
      </c>
      <c r="F28" s="33" t="s">
        <v>60</v>
      </c>
      <c r="G28" s="33"/>
      <c r="H28" s="33"/>
    </row>
    <row r="29" spans="2:8" x14ac:dyDescent="0.25">
      <c r="B29" s="291" t="s">
        <v>80</v>
      </c>
      <c r="C29" s="23" t="s">
        <v>147</v>
      </c>
      <c r="D29" s="10" t="s">
        <v>160</v>
      </c>
      <c r="E29" s="34" t="s">
        <v>482</v>
      </c>
      <c r="F29" s="34" t="s">
        <v>471</v>
      </c>
      <c r="G29" s="33"/>
      <c r="H29" s="33"/>
    </row>
    <row r="30" spans="2:8" x14ac:dyDescent="0.25">
      <c r="B30" s="288"/>
      <c r="C30" s="284" t="s">
        <v>155</v>
      </c>
      <c r="D30" s="18" t="s">
        <v>23</v>
      </c>
      <c r="E30" s="33" t="s">
        <v>61</v>
      </c>
      <c r="F30" s="33" t="s">
        <v>62</v>
      </c>
      <c r="G30" s="33"/>
      <c r="H30" s="33"/>
    </row>
    <row r="31" spans="2:8" x14ac:dyDescent="0.25">
      <c r="B31" s="288"/>
      <c r="C31" s="284"/>
      <c r="D31" s="10" t="s">
        <v>24</v>
      </c>
      <c r="E31" s="34" t="s">
        <v>63</v>
      </c>
      <c r="F31" s="34" t="s">
        <v>64</v>
      </c>
      <c r="G31" s="33"/>
      <c r="H31" s="33"/>
    </row>
    <row r="32" spans="2:8" x14ac:dyDescent="0.25">
      <c r="B32" s="289"/>
      <c r="C32" s="284"/>
      <c r="D32" s="18" t="s">
        <v>25</v>
      </c>
      <c r="E32" s="33" t="s">
        <v>65</v>
      </c>
      <c r="F32" s="33" t="s">
        <v>66</v>
      </c>
      <c r="G32" s="33"/>
      <c r="H32" s="33"/>
    </row>
    <row r="33" spans="2:8" x14ac:dyDescent="0.25">
      <c r="B33" s="24" t="s">
        <v>29</v>
      </c>
      <c r="C33" s="280" t="s">
        <v>72</v>
      </c>
      <c r="D33" s="287"/>
      <c r="E33" s="20" t="s">
        <v>31</v>
      </c>
      <c r="F33" s="20" t="s">
        <v>32</v>
      </c>
      <c r="G33" s="20" t="s">
        <v>157</v>
      </c>
      <c r="H33" s="20" t="s">
        <v>158</v>
      </c>
    </row>
    <row r="34" spans="2:8" x14ac:dyDescent="0.25">
      <c r="B34" s="17" t="s">
        <v>81</v>
      </c>
      <c r="C34" s="14" t="s">
        <v>33</v>
      </c>
      <c r="D34" s="18" t="s">
        <v>73</v>
      </c>
      <c r="E34" s="33" t="s">
        <v>483</v>
      </c>
      <c r="F34" s="33" t="s">
        <v>484</v>
      </c>
      <c r="G34" s="33"/>
      <c r="H34" s="33"/>
    </row>
    <row r="35" spans="2:8" x14ac:dyDescent="0.25">
      <c r="B35" s="17" t="s">
        <v>82</v>
      </c>
      <c r="C35" s="14" t="s">
        <v>40</v>
      </c>
      <c r="D35" s="18" t="s">
        <v>73</v>
      </c>
      <c r="E35" s="33" t="s">
        <v>485</v>
      </c>
      <c r="F35" s="33" t="s">
        <v>486</v>
      </c>
      <c r="G35" s="33"/>
      <c r="H35" s="33"/>
    </row>
    <row r="36" spans="2:8" x14ac:dyDescent="0.25">
      <c r="B36" s="17" t="s">
        <v>85</v>
      </c>
      <c r="C36" s="14" t="s">
        <v>47</v>
      </c>
      <c r="D36" s="18" t="s">
        <v>73</v>
      </c>
      <c r="E36" s="33" t="s">
        <v>487</v>
      </c>
      <c r="F36" s="33" t="s">
        <v>488</v>
      </c>
      <c r="G36" s="33"/>
      <c r="H36" s="33"/>
    </row>
    <row r="37" spans="2:8" x14ac:dyDescent="0.25">
      <c r="B37" s="17" t="s">
        <v>83</v>
      </c>
      <c r="C37" s="14" t="s">
        <v>54</v>
      </c>
      <c r="D37" s="18" t="s">
        <v>73</v>
      </c>
      <c r="E37" s="33" t="s">
        <v>489</v>
      </c>
      <c r="F37" s="33" t="s">
        <v>490</v>
      </c>
      <c r="G37" s="33"/>
      <c r="H37" s="33"/>
    </row>
    <row r="38" spans="2:8" x14ac:dyDescent="0.25">
      <c r="B38" s="17" t="s">
        <v>84</v>
      </c>
      <c r="C38" s="14" t="s">
        <v>155</v>
      </c>
      <c r="D38" s="18" t="s">
        <v>73</v>
      </c>
      <c r="E38" s="33" t="s">
        <v>491</v>
      </c>
      <c r="F38" s="33" t="s">
        <v>492</v>
      </c>
      <c r="G38" s="33"/>
      <c r="H38" s="33"/>
    </row>
    <row r="39" spans="2:8" x14ac:dyDescent="0.25">
      <c r="B39" s="24" t="s">
        <v>29</v>
      </c>
      <c r="C39" s="280" t="s">
        <v>152</v>
      </c>
      <c r="D39" s="287"/>
      <c r="E39" s="20" t="s">
        <v>31</v>
      </c>
      <c r="F39" s="20" t="s">
        <v>32</v>
      </c>
      <c r="G39" s="20" t="s">
        <v>157</v>
      </c>
      <c r="H39" s="20" t="s">
        <v>158</v>
      </c>
    </row>
    <row r="40" spans="2:8" x14ac:dyDescent="0.25">
      <c r="B40" s="291" t="s">
        <v>107</v>
      </c>
      <c r="C40" s="285" t="s">
        <v>152</v>
      </c>
      <c r="D40" s="10" t="s">
        <v>11</v>
      </c>
      <c r="E40" s="34" t="s">
        <v>92</v>
      </c>
      <c r="F40" s="33"/>
      <c r="G40" s="34" t="s">
        <v>34</v>
      </c>
      <c r="H40" s="33"/>
    </row>
    <row r="41" spans="2:8" x14ac:dyDescent="0.25">
      <c r="B41" s="288"/>
      <c r="C41" s="288"/>
      <c r="D41" s="10" t="s">
        <v>12</v>
      </c>
      <c r="E41" s="34" t="s">
        <v>93</v>
      </c>
      <c r="F41" s="33"/>
      <c r="G41" s="34" t="s">
        <v>36</v>
      </c>
      <c r="H41" s="33"/>
    </row>
    <row r="42" spans="2:8" x14ac:dyDescent="0.25">
      <c r="B42" s="288"/>
      <c r="C42" s="288"/>
      <c r="D42" s="10" t="s">
        <v>13</v>
      </c>
      <c r="E42" s="34" t="s">
        <v>94</v>
      </c>
      <c r="F42" s="33"/>
      <c r="G42" s="34" t="s">
        <v>38</v>
      </c>
      <c r="H42" s="33"/>
    </row>
    <row r="43" spans="2:8" x14ac:dyDescent="0.25">
      <c r="B43" s="288"/>
      <c r="C43" s="288"/>
      <c r="D43" s="10" t="s">
        <v>14</v>
      </c>
      <c r="E43" s="34" t="s">
        <v>95</v>
      </c>
      <c r="F43" s="33"/>
      <c r="G43" s="34" t="s">
        <v>41</v>
      </c>
      <c r="H43" s="33"/>
    </row>
    <row r="44" spans="2:8" x14ac:dyDescent="0.25">
      <c r="B44" s="288"/>
      <c r="C44" s="288"/>
      <c r="D44" s="18" t="s">
        <v>15</v>
      </c>
      <c r="E44" s="33" t="s">
        <v>96</v>
      </c>
      <c r="F44" s="33"/>
      <c r="G44" s="33" t="s">
        <v>43</v>
      </c>
      <c r="H44" s="33"/>
    </row>
    <row r="45" spans="2:8" x14ac:dyDescent="0.25">
      <c r="B45" s="288"/>
      <c r="C45" s="288"/>
      <c r="D45" s="10" t="s">
        <v>16</v>
      </c>
      <c r="E45" s="34" t="s">
        <v>97</v>
      </c>
      <c r="F45" s="33"/>
      <c r="G45" s="34" t="s">
        <v>45</v>
      </c>
      <c r="H45" s="33"/>
    </row>
    <row r="46" spans="2:8" x14ac:dyDescent="0.25">
      <c r="B46" s="288"/>
      <c r="C46" s="288"/>
      <c r="D46" s="10" t="s">
        <v>17</v>
      </c>
      <c r="E46" s="34" t="s">
        <v>98</v>
      </c>
      <c r="F46" s="33"/>
      <c r="G46" s="34" t="s">
        <v>48</v>
      </c>
      <c r="H46" s="33"/>
    </row>
    <row r="47" spans="2:8" x14ac:dyDescent="0.25">
      <c r="B47" s="288"/>
      <c r="C47" s="288"/>
      <c r="D47" s="18" t="s">
        <v>18</v>
      </c>
      <c r="E47" s="33" t="s">
        <v>99</v>
      </c>
      <c r="F47" s="33"/>
      <c r="G47" s="33" t="s">
        <v>50</v>
      </c>
      <c r="H47" s="33"/>
    </row>
    <row r="48" spans="2:8" x14ac:dyDescent="0.25">
      <c r="B48" s="288"/>
      <c r="C48" s="288"/>
      <c r="D48" s="10" t="s">
        <v>19</v>
      </c>
      <c r="E48" s="34" t="s">
        <v>100</v>
      </c>
      <c r="F48" s="33"/>
      <c r="G48" s="34" t="s">
        <v>52</v>
      </c>
      <c r="H48" s="33"/>
    </row>
    <row r="49" spans="2:8" x14ac:dyDescent="0.25">
      <c r="B49" s="288"/>
      <c r="C49" s="288"/>
      <c r="D49" s="18" t="s">
        <v>20</v>
      </c>
      <c r="E49" s="33" t="s">
        <v>101</v>
      </c>
      <c r="F49" s="33"/>
      <c r="G49" s="33" t="s">
        <v>55</v>
      </c>
      <c r="H49" s="33"/>
    </row>
    <row r="50" spans="2:8" x14ac:dyDescent="0.25">
      <c r="B50" s="288"/>
      <c r="C50" s="288"/>
      <c r="D50" s="18" t="s">
        <v>21</v>
      </c>
      <c r="E50" s="33" t="s">
        <v>102</v>
      </c>
      <c r="F50" s="33"/>
      <c r="G50" s="33" t="s">
        <v>57</v>
      </c>
      <c r="H50" s="33"/>
    </row>
    <row r="51" spans="2:8" x14ac:dyDescent="0.25">
      <c r="B51" s="288"/>
      <c r="C51" s="288"/>
      <c r="D51" s="18" t="s">
        <v>22</v>
      </c>
      <c r="E51" s="33" t="s">
        <v>103</v>
      </c>
      <c r="F51" s="33"/>
      <c r="G51" s="33" t="s">
        <v>59</v>
      </c>
      <c r="H51" s="33"/>
    </row>
    <row r="52" spans="2:8" x14ac:dyDescent="0.25">
      <c r="B52" s="288"/>
      <c r="C52" s="288"/>
      <c r="D52" s="18" t="s">
        <v>23</v>
      </c>
      <c r="E52" s="33" t="s">
        <v>104</v>
      </c>
      <c r="F52" s="33"/>
      <c r="G52" s="33" t="s">
        <v>61</v>
      </c>
      <c r="H52" s="33"/>
    </row>
    <row r="53" spans="2:8" x14ac:dyDescent="0.25">
      <c r="B53" s="288"/>
      <c r="C53" s="288"/>
      <c r="D53" s="10" t="s">
        <v>24</v>
      </c>
      <c r="E53" s="34" t="s">
        <v>105</v>
      </c>
      <c r="F53" s="33"/>
      <c r="G53" s="34" t="s">
        <v>63</v>
      </c>
      <c r="H53" s="33"/>
    </row>
    <row r="54" spans="2:8" x14ac:dyDescent="0.25">
      <c r="B54" s="289"/>
      <c r="C54" s="289"/>
      <c r="D54" s="18" t="s">
        <v>25</v>
      </c>
      <c r="E54" s="33" t="s">
        <v>106</v>
      </c>
      <c r="F54" s="33"/>
      <c r="G54" s="33" t="s">
        <v>65</v>
      </c>
      <c r="H54" s="33"/>
    </row>
    <row r="55" spans="2:8" x14ac:dyDescent="0.25">
      <c r="B55" s="291" t="s">
        <v>90</v>
      </c>
      <c r="C55" s="285" t="s">
        <v>152</v>
      </c>
      <c r="D55" s="10" t="s">
        <v>109</v>
      </c>
      <c r="E55" s="34" t="s">
        <v>110</v>
      </c>
      <c r="F55" s="34" t="s">
        <v>111</v>
      </c>
      <c r="G55" s="33"/>
      <c r="H55" s="33"/>
    </row>
    <row r="56" spans="2:8" ht="15" customHeight="1" x14ac:dyDescent="0.25">
      <c r="B56" s="288"/>
      <c r="C56" s="288"/>
      <c r="D56" s="10" t="s">
        <v>11</v>
      </c>
      <c r="E56" s="34" t="s">
        <v>34</v>
      </c>
      <c r="F56" s="34" t="s">
        <v>35</v>
      </c>
      <c r="G56" s="33"/>
      <c r="H56" s="33"/>
    </row>
    <row r="57" spans="2:8" x14ac:dyDescent="0.25">
      <c r="B57" s="288"/>
      <c r="C57" s="288"/>
      <c r="D57" s="10" t="s">
        <v>12</v>
      </c>
      <c r="E57" s="34" t="s">
        <v>36</v>
      </c>
      <c r="F57" s="34" t="s">
        <v>37</v>
      </c>
      <c r="G57" s="33"/>
      <c r="H57" s="33"/>
    </row>
    <row r="58" spans="2:8" x14ac:dyDescent="0.25">
      <c r="B58" s="288"/>
      <c r="C58" s="288"/>
      <c r="D58" s="10" t="s">
        <v>13</v>
      </c>
      <c r="E58" s="34" t="s">
        <v>38</v>
      </c>
      <c r="F58" s="34" t="s">
        <v>39</v>
      </c>
      <c r="G58" s="33"/>
      <c r="H58" s="33"/>
    </row>
    <row r="59" spans="2:8" x14ac:dyDescent="0.25">
      <c r="B59" s="288"/>
      <c r="C59" s="288"/>
      <c r="D59" s="10" t="s">
        <v>14</v>
      </c>
      <c r="E59" s="34" t="s">
        <v>41</v>
      </c>
      <c r="F59" s="34" t="s">
        <v>42</v>
      </c>
      <c r="G59" s="33"/>
      <c r="H59" s="33"/>
    </row>
    <row r="60" spans="2:8" x14ac:dyDescent="0.25">
      <c r="B60" s="288"/>
      <c r="C60" s="288"/>
      <c r="D60" s="18" t="s">
        <v>15</v>
      </c>
      <c r="E60" s="33" t="s">
        <v>43</v>
      </c>
      <c r="F60" s="33" t="s">
        <v>44</v>
      </c>
      <c r="G60" s="33"/>
      <c r="H60" s="33"/>
    </row>
    <row r="61" spans="2:8" x14ac:dyDescent="0.25">
      <c r="B61" s="288"/>
      <c r="C61" s="288"/>
      <c r="D61" s="10" t="s">
        <v>16</v>
      </c>
      <c r="E61" s="34" t="s">
        <v>45</v>
      </c>
      <c r="F61" s="34" t="s">
        <v>46</v>
      </c>
      <c r="G61" s="33"/>
      <c r="H61" s="33"/>
    </row>
    <row r="62" spans="2:8" x14ac:dyDescent="0.25">
      <c r="B62" s="288"/>
      <c r="C62" s="288"/>
      <c r="D62" s="10" t="s">
        <v>17</v>
      </c>
      <c r="E62" s="34" t="s">
        <v>48</v>
      </c>
      <c r="F62" s="34" t="s">
        <v>49</v>
      </c>
      <c r="G62" s="33"/>
      <c r="H62" s="33"/>
    </row>
    <row r="63" spans="2:8" x14ac:dyDescent="0.25">
      <c r="B63" s="288"/>
      <c r="C63" s="288"/>
      <c r="D63" s="18" t="s">
        <v>18</v>
      </c>
      <c r="E63" s="33" t="s">
        <v>50</v>
      </c>
      <c r="F63" s="33" t="s">
        <v>51</v>
      </c>
      <c r="G63" s="33"/>
      <c r="H63" s="33"/>
    </row>
    <row r="64" spans="2:8" x14ac:dyDescent="0.25">
      <c r="B64" s="288"/>
      <c r="C64" s="288"/>
      <c r="D64" s="10" t="s">
        <v>19</v>
      </c>
      <c r="E64" s="34" t="s">
        <v>52</v>
      </c>
      <c r="F64" s="34" t="s">
        <v>53</v>
      </c>
      <c r="G64" s="33"/>
      <c r="H64" s="33"/>
    </row>
    <row r="65" spans="2:8" x14ac:dyDescent="0.25">
      <c r="B65" s="288"/>
      <c r="C65" s="288"/>
      <c r="D65" s="18" t="s">
        <v>20</v>
      </c>
      <c r="E65" s="33" t="s">
        <v>55</v>
      </c>
      <c r="F65" s="33" t="s">
        <v>56</v>
      </c>
      <c r="G65" s="33"/>
      <c r="H65" s="33"/>
    </row>
    <row r="66" spans="2:8" ht="15" customHeight="1" x14ac:dyDescent="0.25">
      <c r="B66" s="288"/>
      <c r="C66" s="288"/>
      <c r="D66" s="18" t="s">
        <v>21</v>
      </c>
      <c r="E66" s="33" t="s">
        <v>57</v>
      </c>
      <c r="F66" s="33" t="s">
        <v>58</v>
      </c>
      <c r="G66" s="33"/>
      <c r="H66" s="33"/>
    </row>
    <row r="67" spans="2:8" x14ac:dyDescent="0.25">
      <c r="B67" s="288"/>
      <c r="C67" s="288"/>
      <c r="D67" s="18" t="s">
        <v>22</v>
      </c>
      <c r="E67" s="33" t="s">
        <v>59</v>
      </c>
      <c r="F67" s="33" t="s">
        <v>60</v>
      </c>
      <c r="G67" s="33"/>
      <c r="H67" s="33"/>
    </row>
    <row r="68" spans="2:8" x14ac:dyDescent="0.25">
      <c r="B68" s="288"/>
      <c r="C68" s="288"/>
      <c r="D68" s="18" t="s">
        <v>23</v>
      </c>
      <c r="E68" s="33" t="s">
        <v>61</v>
      </c>
      <c r="F68" s="33" t="s">
        <v>62</v>
      </c>
      <c r="G68" s="33"/>
      <c r="H68" s="33"/>
    </row>
    <row r="69" spans="2:8" x14ac:dyDescent="0.25">
      <c r="B69" s="288"/>
      <c r="C69" s="288"/>
      <c r="D69" s="10" t="s">
        <v>24</v>
      </c>
      <c r="E69" s="34" t="s">
        <v>63</v>
      </c>
      <c r="F69" s="34" t="s">
        <v>64</v>
      </c>
      <c r="G69" s="33"/>
      <c r="H69" s="33"/>
    </row>
    <row r="70" spans="2:8" x14ac:dyDescent="0.25">
      <c r="B70" s="289"/>
      <c r="C70" s="289"/>
      <c r="D70" s="18" t="s">
        <v>25</v>
      </c>
      <c r="E70" s="33" t="s">
        <v>65</v>
      </c>
      <c r="F70" s="33" t="s">
        <v>66</v>
      </c>
      <c r="G70" s="33"/>
      <c r="H70" s="33"/>
    </row>
    <row r="71" spans="2:8" ht="15" customHeight="1" x14ac:dyDescent="0.25">
      <c r="B71" s="24" t="s">
        <v>29</v>
      </c>
      <c r="C71" s="280" t="s">
        <v>67</v>
      </c>
      <c r="D71" s="281"/>
      <c r="E71" s="20" t="s">
        <v>31</v>
      </c>
      <c r="F71" s="20" t="s">
        <v>32</v>
      </c>
      <c r="G71" s="20" t="s">
        <v>157</v>
      </c>
      <c r="H71" s="20" t="s">
        <v>158</v>
      </c>
    </row>
    <row r="72" spans="2:8" x14ac:dyDescent="0.25">
      <c r="B72" s="17" t="s">
        <v>91</v>
      </c>
      <c r="C72" s="21" t="s">
        <v>156</v>
      </c>
      <c r="D72" s="18" t="s">
        <v>73</v>
      </c>
      <c r="E72" s="33" t="s">
        <v>493</v>
      </c>
      <c r="F72" s="33" t="s">
        <v>494</v>
      </c>
      <c r="G72" s="33"/>
      <c r="H72" s="33"/>
    </row>
    <row r="73" spans="2:8" ht="15" customHeight="1" x14ac:dyDescent="0.25">
      <c r="B73" s="16" t="s">
        <v>29</v>
      </c>
      <c r="C73" s="282" t="s">
        <v>10</v>
      </c>
      <c r="D73" s="283"/>
      <c r="E73" s="20" t="s">
        <v>31</v>
      </c>
      <c r="F73" s="20" t="s">
        <v>32</v>
      </c>
      <c r="G73" s="20" t="s">
        <v>157</v>
      </c>
      <c r="H73" s="20" t="s">
        <v>158</v>
      </c>
    </row>
    <row r="74" spans="2:8" x14ac:dyDescent="0.25">
      <c r="B74" s="17" t="s">
        <v>86</v>
      </c>
      <c r="C74" s="21" t="s">
        <v>68</v>
      </c>
      <c r="D74" s="18" t="s">
        <v>73</v>
      </c>
      <c r="E74" s="33" t="s">
        <v>495</v>
      </c>
      <c r="F74" s="33" t="s">
        <v>496</v>
      </c>
      <c r="G74" s="33"/>
      <c r="H74" s="33"/>
    </row>
    <row r="75" spans="2:8" ht="30" x14ac:dyDescent="0.25">
      <c r="B75" s="17" t="s">
        <v>87</v>
      </c>
      <c r="C75" s="21" t="s">
        <v>69</v>
      </c>
      <c r="D75" s="18" t="s">
        <v>73</v>
      </c>
      <c r="E75" s="33" t="s">
        <v>497</v>
      </c>
      <c r="F75" s="33" t="s">
        <v>498</v>
      </c>
      <c r="G75" s="33"/>
      <c r="H75" s="33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94" workbookViewId="0">
      <selection activeCell="B29" sqref="B29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292" t="s">
        <v>345</v>
      </c>
      <c r="C2" s="293"/>
      <c r="D2" s="293"/>
      <c r="E2" s="294"/>
      <c r="F2" s="294"/>
    </row>
    <row r="3" spans="2:10" ht="20.100000000000001" customHeight="1" x14ac:dyDescent="0.25">
      <c r="B3" s="65" t="s">
        <v>364</v>
      </c>
      <c r="C3" s="65" t="s">
        <v>352</v>
      </c>
      <c r="D3" s="65" t="s">
        <v>346</v>
      </c>
      <c r="E3" s="65" t="s">
        <v>347</v>
      </c>
      <c r="F3" s="65" t="s">
        <v>348</v>
      </c>
    </row>
    <row r="4" spans="2:10" x14ac:dyDescent="0.25">
      <c r="B4" s="44">
        <v>1</v>
      </c>
      <c r="C4" s="44" t="s">
        <v>353</v>
      </c>
      <c r="D4" s="44" t="s">
        <v>363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349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357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365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353</v>
      </c>
      <c r="D8" s="64" t="s">
        <v>350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354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353</v>
      </c>
      <c r="D10" s="64" t="s">
        <v>351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358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359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370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353</v>
      </c>
      <c r="D14" s="64" t="s">
        <v>269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355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353</v>
      </c>
      <c r="D16" s="64" t="s">
        <v>360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361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353</v>
      </c>
      <c r="D18" s="64" t="s">
        <v>362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353</v>
      </c>
      <c r="D19" s="64" t="s">
        <v>356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295" t="s">
        <v>371</v>
      </c>
      <c r="C27" s="296"/>
      <c r="D27" s="296"/>
      <c r="E27" s="296"/>
      <c r="F27" s="296"/>
      <c r="G27" s="296"/>
      <c r="H27" s="296"/>
      <c r="I27" s="296"/>
      <c r="J27" s="296"/>
    </row>
    <row r="28" spans="2:10" ht="18.75" x14ac:dyDescent="0.25">
      <c r="B28" s="66" t="s">
        <v>372</v>
      </c>
      <c r="C28" s="66" t="s">
        <v>373</v>
      </c>
      <c r="D28" s="66" t="s">
        <v>374</v>
      </c>
      <c r="E28" s="66" t="s">
        <v>375</v>
      </c>
      <c r="F28" s="66" t="s">
        <v>376</v>
      </c>
      <c r="G28" s="66" t="s">
        <v>377</v>
      </c>
      <c r="H28" s="66" t="s">
        <v>378</v>
      </c>
      <c r="I28" s="66" t="s">
        <v>379</v>
      </c>
      <c r="J28" s="66" t="s">
        <v>380</v>
      </c>
    </row>
    <row r="29" spans="2:10" x14ac:dyDescent="0.25">
      <c r="B29" s="44">
        <v>1</v>
      </c>
      <c r="C29" s="44">
        <v>1</v>
      </c>
      <c r="D29" s="44"/>
      <c r="E29" s="44" t="s">
        <v>353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353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353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353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353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353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353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353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353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353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353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353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353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353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353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353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353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151</v>
      </c>
      <c r="E46" s="44" t="s">
        <v>1</v>
      </c>
      <c r="F46" s="44" t="s">
        <v>134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114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116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130</v>
      </c>
      <c r="E49" s="44" t="s">
        <v>0</v>
      </c>
      <c r="F49" s="44" t="s">
        <v>118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310</v>
      </c>
      <c r="E50" s="44" t="s">
        <v>0</v>
      </c>
      <c r="F50" s="44" t="s">
        <v>120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131</v>
      </c>
      <c r="E51" s="44" t="s">
        <v>0</v>
      </c>
      <c r="F51" s="44" t="s">
        <v>121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311</v>
      </c>
      <c r="E52" s="44" t="s">
        <v>0</v>
      </c>
      <c r="F52" s="44" t="s">
        <v>123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132</v>
      </c>
      <c r="E53" s="44" t="s">
        <v>0</v>
      </c>
      <c r="F53" s="44" t="s">
        <v>124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113</v>
      </c>
      <c r="E54" s="44" t="s">
        <v>0</v>
      </c>
      <c r="F54" s="44" t="s">
        <v>126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133</v>
      </c>
      <c r="E55" s="44" t="s">
        <v>0</v>
      </c>
      <c r="F55" s="44" t="s">
        <v>128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353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74</v>
      </c>
      <c r="G57" s="44">
        <v>95</v>
      </c>
      <c r="H57" s="44">
        <v>114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88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75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89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353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353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353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76</v>
      </c>
      <c r="G64" s="44">
        <v>210</v>
      </c>
      <c r="H64" s="44">
        <v>75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81</v>
      </c>
      <c r="G65" s="44"/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77</v>
      </c>
      <c r="G66" s="44">
        <v>210</v>
      </c>
      <c r="H66" s="44">
        <v>75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82</v>
      </c>
      <c r="G67" s="44"/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78</v>
      </c>
      <c r="G68" s="44">
        <v>210</v>
      </c>
      <c r="H68" s="44">
        <v>75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85</v>
      </c>
      <c r="G69" s="44"/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79</v>
      </c>
      <c r="G70" s="44">
        <v>210</v>
      </c>
      <c r="H70" s="44">
        <v>75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83</v>
      </c>
      <c r="G71" s="44"/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80</v>
      </c>
      <c r="G72" s="44">
        <v>210</v>
      </c>
      <c r="H72" s="44">
        <v>75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84</v>
      </c>
      <c r="G73" s="44"/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107</v>
      </c>
      <c r="G74" s="44">
        <v>95</v>
      </c>
      <c r="H74" s="44"/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90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353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86</v>
      </c>
      <c r="G77" s="44">
        <v>168</v>
      </c>
      <c r="H77" s="44">
        <v>25</v>
      </c>
      <c r="I77" s="44">
        <v>310</v>
      </c>
      <c r="J77" s="44">
        <v>770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87</v>
      </c>
      <c r="G78" s="44">
        <v>168</v>
      </c>
      <c r="H78" s="44">
        <v>25</v>
      </c>
      <c r="I78" s="44">
        <v>310</v>
      </c>
      <c r="J78" s="44">
        <v>770</v>
      </c>
    </row>
    <row r="79" spans="2:10" x14ac:dyDescent="0.25">
      <c r="B79" s="44">
        <v>51</v>
      </c>
      <c r="C79" s="44">
        <v>43</v>
      </c>
      <c r="D79" s="44"/>
      <c r="E79" s="44" t="s">
        <v>353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440</v>
      </c>
      <c r="E80" s="44" t="s">
        <v>0</v>
      </c>
      <c r="F80" s="44" t="s">
        <v>115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440</v>
      </c>
      <c r="E81" s="44" t="s">
        <v>0</v>
      </c>
      <c r="F81" s="44" t="s">
        <v>138</v>
      </c>
      <c r="G81" s="44">
        <v>360</v>
      </c>
      <c r="H81" s="44">
        <v>33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441</v>
      </c>
      <c r="E82" s="44" t="s">
        <v>0</v>
      </c>
      <c r="F82" s="44" t="s">
        <v>117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441</v>
      </c>
      <c r="E83" s="44" t="s">
        <v>0</v>
      </c>
      <c r="F83" s="44" t="s">
        <v>137</v>
      </c>
      <c r="G83" s="44">
        <v>360</v>
      </c>
      <c r="H83" s="44">
        <v>33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442</v>
      </c>
      <c r="E84" s="44" t="s">
        <v>0</v>
      </c>
      <c r="F84" s="44" t="s">
        <v>119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442</v>
      </c>
      <c r="E85" s="44" t="s">
        <v>0</v>
      </c>
      <c r="F85" s="44" t="s">
        <v>136</v>
      </c>
      <c r="G85" s="44">
        <v>360</v>
      </c>
      <c r="H85" s="44">
        <v>33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443</v>
      </c>
      <c r="E86" s="44" t="s">
        <v>0</v>
      </c>
      <c r="F86" s="44" t="s">
        <v>143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443</v>
      </c>
      <c r="E87" s="44" t="s">
        <v>0</v>
      </c>
      <c r="F87" s="44" t="s">
        <v>366</v>
      </c>
      <c r="G87" s="44">
        <v>360</v>
      </c>
      <c r="H87" s="44">
        <v>33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443</v>
      </c>
      <c r="E88" s="44" t="s">
        <v>0</v>
      </c>
      <c r="F88" s="44" t="s">
        <v>144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443</v>
      </c>
      <c r="E89" s="44" t="s">
        <v>0</v>
      </c>
      <c r="F89" s="44" t="s">
        <v>367</v>
      </c>
      <c r="G89" s="44">
        <v>360</v>
      </c>
      <c r="H89" s="44">
        <v>33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444</v>
      </c>
      <c r="E90" s="44" t="s">
        <v>0</v>
      </c>
      <c r="F90" s="44" t="s">
        <v>122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444</v>
      </c>
      <c r="E91" s="44" t="s">
        <v>0</v>
      </c>
      <c r="F91" s="44" t="s">
        <v>139</v>
      </c>
      <c r="G91" s="44">
        <v>360</v>
      </c>
      <c r="H91" s="44">
        <v>33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445</v>
      </c>
      <c r="E92" s="44" t="s">
        <v>0</v>
      </c>
      <c r="F92" s="44" t="s">
        <v>145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445</v>
      </c>
      <c r="E93" s="44" t="s">
        <v>0</v>
      </c>
      <c r="F93" s="44" t="s">
        <v>368</v>
      </c>
      <c r="G93" s="44">
        <v>360</v>
      </c>
      <c r="H93" s="44">
        <v>33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445</v>
      </c>
      <c r="E94" s="44" t="s">
        <v>0</v>
      </c>
      <c r="F94" s="44" t="s">
        <v>146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445</v>
      </c>
      <c r="E95" s="44" t="s">
        <v>0</v>
      </c>
      <c r="F95" s="44" t="s">
        <v>369</v>
      </c>
      <c r="G95" s="44">
        <v>360</v>
      </c>
      <c r="H95" s="44">
        <v>33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446</v>
      </c>
      <c r="E96" s="44" t="s">
        <v>0</v>
      </c>
      <c r="F96" s="44" t="s">
        <v>125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446</v>
      </c>
      <c r="E97" s="44" t="s">
        <v>0</v>
      </c>
      <c r="F97" s="44" t="s">
        <v>140</v>
      </c>
      <c r="G97" s="44">
        <v>360</v>
      </c>
      <c r="H97" s="44">
        <v>33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447</v>
      </c>
      <c r="E98" s="44" t="s">
        <v>0</v>
      </c>
      <c r="F98" s="44" t="s">
        <v>127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447</v>
      </c>
      <c r="E99" s="44" t="s">
        <v>0</v>
      </c>
      <c r="F99" s="44" t="s">
        <v>141</v>
      </c>
      <c r="G99" s="44">
        <v>360</v>
      </c>
      <c r="H99" s="44">
        <v>33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448</v>
      </c>
      <c r="E100" s="44" t="s">
        <v>0</v>
      </c>
      <c r="F100" s="44" t="s">
        <v>129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448</v>
      </c>
      <c r="E101" s="44" t="s">
        <v>0</v>
      </c>
      <c r="F101" s="44" t="s">
        <v>142</v>
      </c>
      <c r="G101" s="44">
        <v>360</v>
      </c>
      <c r="H101" s="44">
        <v>33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353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353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353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353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353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353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353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353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353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353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353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0" r:id="rId5" name="Button 5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J817"/>
  <sheetViews>
    <sheetView topLeftCell="A644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114</v>
      </c>
    </row>
    <row r="61" spans="1:1" x14ac:dyDescent="0.25">
      <c r="A61" t="s">
        <v>115</v>
      </c>
    </row>
    <row r="75" spans="1:8" ht="54" x14ac:dyDescent="0.25">
      <c r="A75" t="s">
        <v>138</v>
      </c>
      <c r="D75" s="84" t="s">
        <v>381</v>
      </c>
      <c r="E75" s="84" t="s">
        <v>382</v>
      </c>
      <c r="F75" s="84" t="s">
        <v>383</v>
      </c>
      <c r="G75" s="84" t="s">
        <v>384</v>
      </c>
      <c r="H75" s="84" t="s">
        <v>385</v>
      </c>
    </row>
    <row r="76" spans="1:8" ht="18" x14ac:dyDescent="0.25">
      <c r="C76" s="70" t="s">
        <v>149</v>
      </c>
      <c r="D76" s="71">
        <v>90.45</v>
      </c>
      <c r="E76" s="71">
        <v>86.08</v>
      </c>
      <c r="F76" s="71">
        <v>84.35</v>
      </c>
      <c r="G76" s="71">
        <v>87.74</v>
      </c>
      <c r="H76" s="71">
        <v>90.43</v>
      </c>
    </row>
    <row r="77" spans="1:8" ht="18" x14ac:dyDescent="0.25">
      <c r="C77" s="80" t="s">
        <v>150</v>
      </c>
      <c r="D77" s="71">
        <v>84.9</v>
      </c>
      <c r="E77" s="71">
        <v>80.59</v>
      </c>
      <c r="F77" s="71">
        <v>81</v>
      </c>
      <c r="G77" s="71">
        <v>84.36</v>
      </c>
      <c r="H77" s="71">
        <v>87.34</v>
      </c>
    </row>
    <row r="78" spans="1:8" ht="18" x14ac:dyDescent="0.25">
      <c r="C78" s="81" t="s">
        <v>148</v>
      </c>
      <c r="D78" s="71">
        <v>85.2</v>
      </c>
      <c r="E78" s="71">
        <v>77.400000000000006</v>
      </c>
      <c r="F78" s="71">
        <v>75.959999999999994</v>
      </c>
      <c r="G78" s="71">
        <v>79.81</v>
      </c>
      <c r="H78" s="71">
        <v>83.12</v>
      </c>
    </row>
    <row r="79" spans="1:8" ht="18" x14ac:dyDescent="0.25">
      <c r="C79" s="82" t="s">
        <v>159</v>
      </c>
      <c r="D79" s="71">
        <v>83.54</v>
      </c>
      <c r="E79" s="71">
        <v>81.03</v>
      </c>
      <c r="F79" s="71">
        <v>83.26</v>
      </c>
      <c r="G79" s="71">
        <v>88.56</v>
      </c>
      <c r="H79" s="71">
        <v>91.07</v>
      </c>
    </row>
    <row r="80" spans="1:8" ht="18" x14ac:dyDescent="0.25">
      <c r="C80" s="83" t="s">
        <v>433</v>
      </c>
      <c r="D80" s="72">
        <v>90.58</v>
      </c>
      <c r="E80" s="72">
        <v>85.89</v>
      </c>
      <c r="F80" s="72">
        <v>85.08</v>
      </c>
      <c r="G80" s="72">
        <v>88.42</v>
      </c>
      <c r="H80" s="72">
        <v>90.24</v>
      </c>
    </row>
    <row r="81" spans="1:8" x14ac:dyDescent="0.25">
      <c r="C81" t="s">
        <v>434</v>
      </c>
      <c r="D81" s="73">
        <v>87.13</v>
      </c>
      <c r="E81" s="73">
        <v>82.26</v>
      </c>
      <c r="F81" s="73">
        <v>81.83</v>
      </c>
      <c r="G81" s="73">
        <v>85.57</v>
      </c>
      <c r="H81" s="73">
        <v>88.33</v>
      </c>
    </row>
    <row r="82" spans="1:8" x14ac:dyDescent="0.25">
      <c r="C82" t="s">
        <v>435</v>
      </c>
      <c r="D82" s="74">
        <v>292</v>
      </c>
      <c r="E82" s="74">
        <v>1996</v>
      </c>
      <c r="F82" s="74">
        <v>1426</v>
      </c>
      <c r="G82" s="74">
        <v>736</v>
      </c>
      <c r="H82" s="74">
        <v>248</v>
      </c>
    </row>
    <row r="83" spans="1:8" x14ac:dyDescent="0.25">
      <c r="C83" t="s">
        <v>436</v>
      </c>
      <c r="D83" s="75">
        <v>82.41</v>
      </c>
      <c r="E83" s="75">
        <v>77.44</v>
      </c>
      <c r="F83" s="75">
        <v>78.069999999999993</v>
      </c>
      <c r="G83" s="75">
        <v>82.57</v>
      </c>
      <c r="H83" s="75">
        <v>86.36</v>
      </c>
    </row>
    <row r="84" spans="1:8" x14ac:dyDescent="0.25">
      <c r="C84" t="s">
        <v>437</v>
      </c>
      <c r="D84" s="76">
        <v>249</v>
      </c>
      <c r="E84" s="76">
        <v>1965</v>
      </c>
      <c r="F84" s="76">
        <v>1426</v>
      </c>
      <c r="G84" s="76">
        <v>733</v>
      </c>
      <c r="H84" s="76">
        <v>256</v>
      </c>
    </row>
    <row r="85" spans="1:8" ht="22.5" x14ac:dyDescent="0.25">
      <c r="C85" t="s">
        <v>147</v>
      </c>
      <c r="D85" s="77" t="s">
        <v>381</v>
      </c>
      <c r="E85" s="77" t="s">
        <v>382</v>
      </c>
      <c r="F85" s="77" t="s">
        <v>383</v>
      </c>
      <c r="G85" s="77" t="s">
        <v>384</v>
      </c>
      <c r="H85" s="77" t="s">
        <v>385</v>
      </c>
    </row>
    <row r="86" spans="1:8" x14ac:dyDescent="0.25">
      <c r="C86" t="s">
        <v>438</v>
      </c>
      <c r="D86" s="73">
        <v>82.91</v>
      </c>
      <c r="E86" s="73">
        <v>82.91</v>
      </c>
      <c r="F86" s="73">
        <v>82.91</v>
      </c>
      <c r="G86" s="73">
        <v>82.91</v>
      </c>
      <c r="H86" s="73">
        <v>82.91</v>
      </c>
    </row>
    <row r="87" spans="1:8" x14ac:dyDescent="0.25">
      <c r="C87" t="s">
        <v>439</v>
      </c>
      <c r="D87" s="78">
        <v>87.33</v>
      </c>
      <c r="E87" s="78">
        <v>82.4</v>
      </c>
      <c r="F87" s="78">
        <v>83.7</v>
      </c>
      <c r="G87" s="78">
        <v>87.89</v>
      </c>
      <c r="H87" s="78">
        <v>93.55</v>
      </c>
    </row>
    <row r="92" spans="1:8" x14ac:dyDescent="0.25">
      <c r="A92" t="s">
        <v>116</v>
      </c>
    </row>
    <row r="152" spans="1:1" x14ac:dyDescent="0.25">
      <c r="A152" t="s">
        <v>117</v>
      </c>
    </row>
    <row r="166" spans="1:5" ht="36" x14ac:dyDescent="0.25">
      <c r="A166" t="s">
        <v>137</v>
      </c>
      <c r="D166" s="84" t="s">
        <v>386</v>
      </c>
      <c r="E166" s="84" t="s">
        <v>387</v>
      </c>
    </row>
    <row r="167" spans="1:5" ht="18" x14ac:dyDescent="0.25">
      <c r="C167" s="70" t="s">
        <v>149</v>
      </c>
      <c r="D167" s="71">
        <v>86.53</v>
      </c>
      <c r="E167" s="71">
        <v>86.24</v>
      </c>
    </row>
    <row r="168" spans="1:5" ht="18" x14ac:dyDescent="0.25">
      <c r="C168" s="80" t="s">
        <v>150</v>
      </c>
      <c r="D168" s="71">
        <v>82.52</v>
      </c>
      <c r="E168" s="71">
        <v>81.34</v>
      </c>
    </row>
    <row r="169" spans="1:5" ht="18" x14ac:dyDescent="0.25">
      <c r="C169" s="81" t="s">
        <v>148</v>
      </c>
      <c r="D169" s="71">
        <v>78.27</v>
      </c>
      <c r="E169" s="71">
        <v>78.02</v>
      </c>
    </row>
    <row r="170" spans="1:5" ht="18" x14ac:dyDescent="0.25">
      <c r="C170" s="82" t="s">
        <v>159</v>
      </c>
      <c r="D170" s="71">
        <v>83.68</v>
      </c>
      <c r="E170" s="71">
        <v>83.52</v>
      </c>
    </row>
    <row r="171" spans="1:5" ht="18" x14ac:dyDescent="0.25">
      <c r="C171" s="83" t="s">
        <v>433</v>
      </c>
      <c r="D171" s="72">
        <v>86.39</v>
      </c>
      <c r="E171" s="72">
        <v>86.83</v>
      </c>
    </row>
    <row r="172" spans="1:5" x14ac:dyDescent="0.25">
      <c r="C172" t="s">
        <v>434</v>
      </c>
      <c r="D172" s="73">
        <v>83.48</v>
      </c>
      <c r="E172" s="73">
        <v>83.12</v>
      </c>
    </row>
    <row r="173" spans="1:5" x14ac:dyDescent="0.25">
      <c r="C173" t="s">
        <v>435</v>
      </c>
      <c r="D173" s="74">
        <v>2476</v>
      </c>
      <c r="E173" s="74">
        <v>2191</v>
      </c>
    </row>
    <row r="174" spans="1:5" x14ac:dyDescent="0.25">
      <c r="C174" t="s">
        <v>436</v>
      </c>
      <c r="D174" s="75">
        <v>79.62</v>
      </c>
      <c r="E174" s="75">
        <v>78.790000000000006</v>
      </c>
    </row>
    <row r="175" spans="1:5" x14ac:dyDescent="0.25">
      <c r="C175" t="s">
        <v>437</v>
      </c>
      <c r="D175" s="76">
        <v>2382</v>
      </c>
      <c r="E175" s="76">
        <v>2218</v>
      </c>
    </row>
    <row r="176" spans="1:5" x14ac:dyDescent="0.25">
      <c r="C176" t="s">
        <v>147</v>
      </c>
      <c r="D176" s="77" t="s">
        <v>386</v>
      </c>
      <c r="E176" s="77" t="s">
        <v>387</v>
      </c>
    </row>
    <row r="177" spans="1:5" x14ac:dyDescent="0.25">
      <c r="C177" t="s">
        <v>438</v>
      </c>
      <c r="D177" s="73">
        <v>82.91</v>
      </c>
      <c r="E177" s="73">
        <v>82.91</v>
      </c>
    </row>
    <row r="178" spans="1:5" x14ac:dyDescent="0.25">
      <c r="C178" t="s">
        <v>439</v>
      </c>
      <c r="D178" s="78">
        <v>85.32</v>
      </c>
      <c r="E178" s="78">
        <v>83.78</v>
      </c>
    </row>
    <row r="183" spans="1:5" x14ac:dyDescent="0.25">
      <c r="A183" t="s">
        <v>118</v>
      </c>
    </row>
    <row r="243" spans="1:1" x14ac:dyDescent="0.25">
      <c r="A243" t="s">
        <v>119</v>
      </c>
    </row>
    <row r="257" spans="1:8" ht="144" x14ac:dyDescent="0.25">
      <c r="A257" t="s">
        <v>136</v>
      </c>
      <c r="D257" s="84" t="s">
        <v>388</v>
      </c>
      <c r="E257" s="84" t="s">
        <v>389</v>
      </c>
      <c r="F257" s="84" t="s">
        <v>390</v>
      </c>
      <c r="G257" s="84" t="s">
        <v>391</v>
      </c>
      <c r="H257" s="84" t="s">
        <v>392</v>
      </c>
    </row>
    <row r="258" spans="1:8" ht="18" x14ac:dyDescent="0.25">
      <c r="C258" s="70" t="s">
        <v>149</v>
      </c>
      <c r="D258" s="71">
        <v>76.19</v>
      </c>
      <c r="E258" s="71">
        <v>87.14</v>
      </c>
      <c r="F258" s="71">
        <v>86.86</v>
      </c>
      <c r="G258" s="71">
        <v>85.18</v>
      </c>
      <c r="H258" s="71">
        <v>87.05</v>
      </c>
    </row>
    <row r="259" spans="1:8" ht="18" x14ac:dyDescent="0.25">
      <c r="C259" s="80" t="s">
        <v>150</v>
      </c>
      <c r="D259" s="71">
        <v>78.209999999999994</v>
      </c>
      <c r="E259" s="71">
        <v>80.63</v>
      </c>
      <c r="F259" s="71">
        <v>81.92</v>
      </c>
      <c r="G259" s="71">
        <v>81.260000000000005</v>
      </c>
      <c r="H259" s="71">
        <v>85.26</v>
      </c>
    </row>
    <row r="260" spans="1:8" ht="18" x14ac:dyDescent="0.25">
      <c r="C260" s="81" t="s">
        <v>148</v>
      </c>
      <c r="D260" s="71">
        <v>80.489999999999995</v>
      </c>
      <c r="E260" s="71">
        <v>78.47</v>
      </c>
      <c r="F260" s="71">
        <v>78.739999999999995</v>
      </c>
      <c r="G260" s="71">
        <v>76.790000000000006</v>
      </c>
      <c r="H260" s="71">
        <v>79.03</v>
      </c>
    </row>
    <row r="261" spans="1:8" ht="18" x14ac:dyDescent="0.25">
      <c r="C261" s="82" t="s">
        <v>159</v>
      </c>
      <c r="D261" s="71">
        <v>84.38</v>
      </c>
      <c r="E261" s="71">
        <v>84.66</v>
      </c>
      <c r="F261" s="71">
        <v>83.78</v>
      </c>
      <c r="G261" s="71">
        <v>82.02</v>
      </c>
      <c r="H261" s="71">
        <v>86.82</v>
      </c>
    </row>
    <row r="262" spans="1:8" ht="18" x14ac:dyDescent="0.25">
      <c r="C262" s="83" t="s">
        <v>433</v>
      </c>
      <c r="D262" s="72">
        <v>78.33</v>
      </c>
      <c r="E262" s="72">
        <v>85.6</v>
      </c>
      <c r="F262" s="72">
        <v>86.75</v>
      </c>
      <c r="G262" s="72">
        <v>85.69</v>
      </c>
      <c r="H262" s="72">
        <v>89.35</v>
      </c>
    </row>
    <row r="263" spans="1:8" x14ac:dyDescent="0.25">
      <c r="C263" t="s">
        <v>434</v>
      </c>
      <c r="D263" s="73">
        <v>79.010000000000005</v>
      </c>
      <c r="E263" s="73">
        <v>83.26</v>
      </c>
      <c r="F263" s="73">
        <v>83.59</v>
      </c>
      <c r="G263" s="73">
        <v>82.17</v>
      </c>
      <c r="H263" s="73">
        <v>85.4</v>
      </c>
    </row>
    <row r="264" spans="1:8" x14ac:dyDescent="0.25">
      <c r="C264" t="s">
        <v>435</v>
      </c>
      <c r="D264" s="74">
        <v>12</v>
      </c>
      <c r="E264" s="74">
        <v>360</v>
      </c>
      <c r="F264" s="74">
        <v>2276</v>
      </c>
      <c r="G264" s="74">
        <v>1542</v>
      </c>
      <c r="H264" s="74">
        <v>500</v>
      </c>
    </row>
    <row r="265" spans="1:8" x14ac:dyDescent="0.25">
      <c r="C265" t="s">
        <v>436</v>
      </c>
      <c r="D265" s="75">
        <v>68.069999999999993</v>
      </c>
      <c r="E265" s="75">
        <v>79.69</v>
      </c>
      <c r="F265" s="75">
        <v>79.13</v>
      </c>
      <c r="G265" s="75">
        <v>78.17</v>
      </c>
      <c r="H265" s="75">
        <v>82.9</v>
      </c>
    </row>
    <row r="266" spans="1:8" x14ac:dyDescent="0.25">
      <c r="C266" t="s">
        <v>437</v>
      </c>
      <c r="D266" s="76">
        <v>14</v>
      </c>
      <c r="E266" s="76">
        <v>413</v>
      </c>
      <c r="F266" s="76">
        <v>2318</v>
      </c>
      <c r="G266" s="76">
        <v>1467</v>
      </c>
      <c r="H266" s="76">
        <v>425</v>
      </c>
    </row>
    <row r="267" spans="1:8" ht="45" x14ac:dyDescent="0.25">
      <c r="C267" t="s">
        <v>147</v>
      </c>
      <c r="D267" s="77" t="s">
        <v>388</v>
      </c>
      <c r="E267" s="77" t="s">
        <v>389</v>
      </c>
      <c r="F267" s="77" t="s">
        <v>390</v>
      </c>
      <c r="G267" s="77" t="s">
        <v>391</v>
      </c>
      <c r="H267" s="77" t="s">
        <v>392</v>
      </c>
    </row>
    <row r="268" spans="1:8" x14ac:dyDescent="0.25">
      <c r="C268" t="s">
        <v>438</v>
      </c>
      <c r="D268" s="73">
        <v>82.91</v>
      </c>
      <c r="E268" s="73">
        <v>82.91</v>
      </c>
      <c r="F268" s="73">
        <v>82.91</v>
      </c>
      <c r="G268" s="73">
        <v>82.91</v>
      </c>
      <c r="H268" s="73">
        <v>82.91</v>
      </c>
    </row>
    <row r="269" spans="1:8" x14ac:dyDescent="0.25">
      <c r="C269" t="s">
        <v>439</v>
      </c>
      <c r="D269" s="78">
        <v>75</v>
      </c>
      <c r="E269" s="78">
        <v>86.11</v>
      </c>
      <c r="F269" s="78">
        <v>84.66</v>
      </c>
      <c r="G269" s="78">
        <v>82.38</v>
      </c>
      <c r="H269" s="78">
        <v>89.58</v>
      </c>
    </row>
    <row r="274" spans="1:1" x14ac:dyDescent="0.25">
      <c r="A274" t="s">
        <v>120</v>
      </c>
    </row>
    <row r="304" spans="1:1" x14ac:dyDescent="0.25">
      <c r="A304" t="s">
        <v>143</v>
      </c>
    </row>
    <row r="318" spans="1:8" ht="324" x14ac:dyDescent="0.25">
      <c r="A318" t="s">
        <v>366</v>
      </c>
      <c r="D318" s="85" t="s">
        <v>393</v>
      </c>
      <c r="E318" s="85" t="s">
        <v>394</v>
      </c>
      <c r="F318" s="85" t="s">
        <v>395</v>
      </c>
      <c r="G318" s="85" t="s">
        <v>396</v>
      </c>
      <c r="H318" s="85" t="s">
        <v>397</v>
      </c>
    </row>
    <row r="319" spans="1:8" ht="18" x14ac:dyDescent="0.25">
      <c r="C319" s="70" t="s">
        <v>149</v>
      </c>
      <c r="D319" s="71">
        <v>93.53</v>
      </c>
      <c r="E319" s="71">
        <v>91.83</v>
      </c>
      <c r="F319" s="71">
        <v>88.97</v>
      </c>
      <c r="G319" s="71">
        <v>83.86</v>
      </c>
      <c r="H319" s="71">
        <v>84.1</v>
      </c>
    </row>
    <row r="320" spans="1:8" ht="18" x14ac:dyDescent="0.25">
      <c r="C320" s="80" t="s">
        <v>150</v>
      </c>
      <c r="D320" s="71">
        <v>93.66</v>
      </c>
      <c r="E320" s="71">
        <v>89.43</v>
      </c>
      <c r="F320" s="71">
        <v>85.92</v>
      </c>
      <c r="G320" s="71">
        <v>81.99</v>
      </c>
      <c r="H320" s="71">
        <v>79.41</v>
      </c>
    </row>
    <row r="321" spans="1:8" ht="18" x14ac:dyDescent="0.25">
      <c r="C321" s="81" t="s">
        <v>148</v>
      </c>
      <c r="D321" s="71">
        <v>87.16</v>
      </c>
      <c r="E321" s="71">
        <v>83.33</v>
      </c>
      <c r="F321" s="71">
        <v>81.790000000000006</v>
      </c>
      <c r="G321" s="71">
        <v>75.37</v>
      </c>
      <c r="H321" s="71">
        <v>74.319999999999993</v>
      </c>
    </row>
    <row r="322" spans="1:8" ht="18" x14ac:dyDescent="0.25">
      <c r="C322" s="82" t="s">
        <v>159</v>
      </c>
      <c r="D322" s="71">
        <v>94.93</v>
      </c>
      <c r="E322" s="71">
        <v>92.27</v>
      </c>
      <c r="F322" s="71">
        <v>89.09</v>
      </c>
      <c r="G322" s="71">
        <v>82.97</v>
      </c>
      <c r="H322" s="71">
        <v>81.58</v>
      </c>
    </row>
    <row r="323" spans="1:8" ht="18" x14ac:dyDescent="0.25">
      <c r="C323" s="83" t="s">
        <v>433</v>
      </c>
      <c r="D323" s="72">
        <v>94.86</v>
      </c>
      <c r="E323" s="72">
        <v>92.88</v>
      </c>
      <c r="F323" s="72">
        <v>90.23</v>
      </c>
      <c r="G323" s="72">
        <v>86.42</v>
      </c>
      <c r="H323" s="72">
        <v>83.34</v>
      </c>
    </row>
    <row r="324" spans="1:8" x14ac:dyDescent="0.25">
      <c r="C324" t="s">
        <v>434</v>
      </c>
      <c r="D324" s="73">
        <v>92.75</v>
      </c>
      <c r="E324" s="73">
        <v>89.82</v>
      </c>
      <c r="F324" s="73">
        <v>87.04</v>
      </c>
      <c r="G324" s="73">
        <v>82.03</v>
      </c>
      <c r="H324" s="73">
        <v>80.510000000000005</v>
      </c>
    </row>
    <row r="325" spans="1:8" x14ac:dyDescent="0.25">
      <c r="C325" t="s">
        <v>435</v>
      </c>
      <c r="D325" s="74">
        <v>74</v>
      </c>
      <c r="E325" s="74">
        <v>139</v>
      </c>
      <c r="F325" s="74">
        <v>979</v>
      </c>
      <c r="G325" s="74">
        <v>794</v>
      </c>
      <c r="H325" s="74">
        <v>386</v>
      </c>
    </row>
    <row r="326" spans="1:8" x14ac:dyDescent="0.25">
      <c r="C326" t="s">
        <v>436</v>
      </c>
      <c r="D326" s="75">
        <v>91.91</v>
      </c>
      <c r="E326" s="75">
        <v>88.05</v>
      </c>
      <c r="F326" s="75">
        <v>86.33</v>
      </c>
      <c r="G326" s="75">
        <v>77.510000000000005</v>
      </c>
      <c r="H326" s="75">
        <v>73.2</v>
      </c>
    </row>
    <row r="327" spans="1:8" x14ac:dyDescent="0.25">
      <c r="C327" t="s">
        <v>437</v>
      </c>
      <c r="D327" s="76">
        <v>65</v>
      </c>
      <c r="E327" s="76">
        <v>121</v>
      </c>
      <c r="F327" s="76">
        <v>895</v>
      </c>
      <c r="G327" s="76">
        <v>768</v>
      </c>
      <c r="H327" s="76">
        <v>265</v>
      </c>
    </row>
    <row r="328" spans="1:8" ht="112.5" x14ac:dyDescent="0.25">
      <c r="C328" t="s">
        <v>147</v>
      </c>
      <c r="D328" s="79" t="s">
        <v>393</v>
      </c>
      <c r="E328" s="79" t="s">
        <v>394</v>
      </c>
      <c r="F328" s="79" t="s">
        <v>395</v>
      </c>
      <c r="G328" s="79" t="s">
        <v>396</v>
      </c>
      <c r="H328" s="79" t="s">
        <v>397</v>
      </c>
    </row>
    <row r="329" spans="1:8" x14ac:dyDescent="0.25">
      <c r="C329" t="s">
        <v>438</v>
      </c>
      <c r="D329" s="73">
        <v>82.91</v>
      </c>
      <c r="E329" s="73">
        <v>82.91</v>
      </c>
      <c r="F329" s="73">
        <v>82.91</v>
      </c>
      <c r="G329" s="73">
        <v>82.91</v>
      </c>
      <c r="H329" s="73">
        <v>82.91</v>
      </c>
    </row>
    <row r="330" spans="1:8" x14ac:dyDescent="0.25">
      <c r="C330" t="s">
        <v>439</v>
      </c>
      <c r="D330" s="78">
        <v>98.65</v>
      </c>
      <c r="E330" s="78">
        <v>94.24</v>
      </c>
      <c r="F330" s="78">
        <v>89.27</v>
      </c>
      <c r="G330" s="78">
        <v>85.34</v>
      </c>
      <c r="H330" s="78">
        <v>81.61</v>
      </c>
    </row>
    <row r="335" spans="1:8" x14ac:dyDescent="0.25">
      <c r="A335" t="s">
        <v>144</v>
      </c>
    </row>
    <row r="349" spans="1:8" ht="270" x14ac:dyDescent="0.25">
      <c r="A349" t="s">
        <v>367</v>
      </c>
      <c r="D349" s="85" t="s">
        <v>398</v>
      </c>
      <c r="E349" s="85" t="s">
        <v>399</v>
      </c>
      <c r="F349" s="85" t="s">
        <v>400</v>
      </c>
      <c r="G349" s="85" t="s">
        <v>401</v>
      </c>
      <c r="H349" s="85" t="s">
        <v>402</v>
      </c>
    </row>
    <row r="350" spans="1:8" ht="18" x14ac:dyDescent="0.25">
      <c r="C350" s="70" t="s">
        <v>149</v>
      </c>
      <c r="D350" s="71">
        <v>78.73</v>
      </c>
      <c r="E350" s="71">
        <v>86.35</v>
      </c>
      <c r="F350" s="71">
        <v>87.52</v>
      </c>
      <c r="G350" s="71">
        <v>90.4</v>
      </c>
      <c r="H350" s="71">
        <v>79.88</v>
      </c>
    </row>
    <row r="351" spans="1:8" ht="18" x14ac:dyDescent="0.25">
      <c r="C351" s="80" t="s">
        <v>150</v>
      </c>
      <c r="D351" s="71">
        <v>74.709999999999994</v>
      </c>
      <c r="E351" s="71">
        <v>79.209999999999994</v>
      </c>
      <c r="F351" s="71">
        <v>81.94</v>
      </c>
      <c r="G351" s="71">
        <v>82.09</v>
      </c>
      <c r="H351" s="71">
        <v>80.540000000000006</v>
      </c>
    </row>
    <row r="352" spans="1:8" ht="18" x14ac:dyDescent="0.25">
      <c r="C352" s="81" t="s">
        <v>148</v>
      </c>
      <c r="D352" s="71">
        <v>69.97</v>
      </c>
      <c r="E352" s="71">
        <v>77.64</v>
      </c>
      <c r="F352" s="71">
        <v>79.180000000000007</v>
      </c>
      <c r="G352" s="71">
        <v>83.27</v>
      </c>
      <c r="H352" s="71">
        <v>72.260000000000005</v>
      </c>
    </row>
    <row r="353" spans="1:8" ht="18" x14ac:dyDescent="0.25">
      <c r="C353" s="82" t="s">
        <v>159</v>
      </c>
      <c r="D353" s="71">
        <v>76.73</v>
      </c>
      <c r="E353" s="71">
        <v>80.61</v>
      </c>
      <c r="F353" s="71">
        <v>83.49</v>
      </c>
      <c r="G353" s="71">
        <v>80.66</v>
      </c>
      <c r="H353" s="71">
        <v>76.23</v>
      </c>
    </row>
    <row r="354" spans="1:8" ht="18" x14ac:dyDescent="0.25">
      <c r="C354" s="83" t="s">
        <v>433</v>
      </c>
      <c r="D354" s="72">
        <v>79.400000000000006</v>
      </c>
      <c r="E354" s="72">
        <v>84.13</v>
      </c>
      <c r="F354" s="72">
        <v>86.8</v>
      </c>
      <c r="G354" s="72">
        <v>89.26</v>
      </c>
      <c r="H354" s="72">
        <v>80.28</v>
      </c>
    </row>
    <row r="355" spans="1:8" x14ac:dyDescent="0.25">
      <c r="C355" t="s">
        <v>434</v>
      </c>
      <c r="D355" s="73">
        <v>75.88</v>
      </c>
      <c r="E355" s="73">
        <v>81.69</v>
      </c>
      <c r="F355" s="73">
        <v>83.78</v>
      </c>
      <c r="G355" s="73">
        <v>85.39</v>
      </c>
      <c r="H355" s="73">
        <v>77.95</v>
      </c>
    </row>
    <row r="356" spans="1:8" x14ac:dyDescent="0.25">
      <c r="C356" t="s">
        <v>435</v>
      </c>
      <c r="D356" s="74">
        <v>426</v>
      </c>
      <c r="E356" s="74">
        <v>536</v>
      </c>
      <c r="F356" s="74">
        <v>877</v>
      </c>
      <c r="G356" s="74">
        <v>396</v>
      </c>
      <c r="H356" s="74">
        <v>42</v>
      </c>
    </row>
    <row r="357" spans="1:8" x14ac:dyDescent="0.25">
      <c r="C357" t="s">
        <v>436</v>
      </c>
      <c r="D357" s="75">
        <v>71.02</v>
      </c>
      <c r="E357" s="75">
        <v>74.760000000000005</v>
      </c>
      <c r="F357" s="75">
        <v>80.2</v>
      </c>
      <c r="G357" s="75">
        <v>80.39</v>
      </c>
      <c r="H357" s="75" t="s">
        <v>166</v>
      </c>
    </row>
    <row r="358" spans="1:8" x14ac:dyDescent="0.25">
      <c r="C358" t="s">
        <v>437</v>
      </c>
      <c r="D358" s="76">
        <v>519</v>
      </c>
      <c r="E358" s="76">
        <v>572</v>
      </c>
      <c r="F358" s="76">
        <v>937</v>
      </c>
      <c r="G358" s="76">
        <v>444</v>
      </c>
      <c r="H358" s="76" t="s">
        <v>164</v>
      </c>
    </row>
    <row r="359" spans="1:8" ht="90" x14ac:dyDescent="0.25">
      <c r="C359" t="s">
        <v>147</v>
      </c>
      <c r="D359" s="79" t="s">
        <v>398</v>
      </c>
      <c r="E359" s="79" t="s">
        <v>399</v>
      </c>
      <c r="F359" s="79" t="s">
        <v>400</v>
      </c>
      <c r="G359" s="79" t="s">
        <v>401</v>
      </c>
      <c r="H359" s="79" t="s">
        <v>402</v>
      </c>
    </row>
    <row r="360" spans="1:8" x14ac:dyDescent="0.25">
      <c r="C360" t="s">
        <v>438</v>
      </c>
      <c r="D360" s="73">
        <v>82.91</v>
      </c>
      <c r="E360" s="73">
        <v>82.91</v>
      </c>
      <c r="F360" s="73">
        <v>82.91</v>
      </c>
      <c r="G360" s="73">
        <v>82.91</v>
      </c>
      <c r="H360" s="73">
        <v>82.91</v>
      </c>
    </row>
    <row r="361" spans="1:8" x14ac:dyDescent="0.25">
      <c r="C361" t="s">
        <v>439</v>
      </c>
      <c r="D361" s="78">
        <v>80</v>
      </c>
      <c r="E361" s="78">
        <v>81.459999999999994</v>
      </c>
      <c r="F361" s="78">
        <v>82.78</v>
      </c>
      <c r="G361" s="78">
        <v>82.83</v>
      </c>
      <c r="H361" s="78">
        <v>76.19</v>
      </c>
    </row>
    <row r="366" spans="1:8" x14ac:dyDescent="0.25">
      <c r="A366" t="s">
        <v>121</v>
      </c>
    </row>
    <row r="426" spans="1:1" x14ac:dyDescent="0.25">
      <c r="A426" t="s">
        <v>122</v>
      </c>
    </row>
    <row r="440" spans="1:9" ht="54" x14ac:dyDescent="0.25">
      <c r="A440" t="s">
        <v>139</v>
      </c>
      <c r="D440" s="84" t="s">
        <v>403</v>
      </c>
      <c r="E440" s="84" t="s">
        <v>404</v>
      </c>
      <c r="F440" s="84" t="s">
        <v>405</v>
      </c>
      <c r="G440" s="84" t="s">
        <v>406</v>
      </c>
      <c r="H440" s="84" t="s">
        <v>407</v>
      </c>
      <c r="I440" s="84" t="s">
        <v>408</v>
      </c>
    </row>
    <row r="441" spans="1:9" ht="18" x14ac:dyDescent="0.25">
      <c r="C441" s="70" t="s">
        <v>149</v>
      </c>
      <c r="D441" s="71">
        <v>91.75</v>
      </c>
      <c r="E441" s="71">
        <v>87.14</v>
      </c>
      <c r="F441" s="71">
        <v>84.41</v>
      </c>
      <c r="G441" s="71">
        <v>79.94</v>
      </c>
      <c r="H441" s="71">
        <v>87.42</v>
      </c>
      <c r="I441" s="71">
        <v>88.24</v>
      </c>
    </row>
    <row r="442" spans="1:9" ht="18" x14ac:dyDescent="0.25">
      <c r="C442" s="80" t="s">
        <v>150</v>
      </c>
      <c r="D442" s="71">
        <v>87.01</v>
      </c>
      <c r="E442" s="71">
        <v>82.15</v>
      </c>
      <c r="F442" s="71">
        <v>78.97</v>
      </c>
      <c r="G442" s="71">
        <v>76.930000000000007</v>
      </c>
      <c r="H442" s="71">
        <v>83.93</v>
      </c>
      <c r="I442" s="71">
        <v>84.79</v>
      </c>
    </row>
    <row r="443" spans="1:9" ht="18" x14ac:dyDescent="0.25">
      <c r="C443" s="81" t="s">
        <v>148</v>
      </c>
      <c r="D443" s="71">
        <v>87.17</v>
      </c>
      <c r="E443" s="71">
        <v>79.760000000000005</v>
      </c>
      <c r="F443" s="71">
        <v>74.66</v>
      </c>
      <c r="G443" s="71">
        <v>72.42</v>
      </c>
      <c r="H443" s="71">
        <v>77.63</v>
      </c>
      <c r="I443" s="71">
        <v>80.38</v>
      </c>
    </row>
    <row r="444" spans="1:9" ht="18" x14ac:dyDescent="0.25">
      <c r="C444" s="82" t="s">
        <v>159</v>
      </c>
      <c r="D444" s="71">
        <v>86.67</v>
      </c>
      <c r="E444" s="71">
        <v>82.73</v>
      </c>
      <c r="F444" s="71">
        <v>79.88</v>
      </c>
      <c r="G444" s="71">
        <v>80.069999999999993</v>
      </c>
      <c r="H444" s="71">
        <v>86.61</v>
      </c>
      <c r="I444" s="71">
        <v>88.62</v>
      </c>
    </row>
    <row r="445" spans="1:9" ht="18" x14ac:dyDescent="0.25">
      <c r="C445" s="83" t="s">
        <v>433</v>
      </c>
      <c r="D445" s="72">
        <v>91.77</v>
      </c>
      <c r="E445" s="72">
        <v>87.67</v>
      </c>
      <c r="F445" s="72">
        <v>83.75</v>
      </c>
      <c r="G445" s="72">
        <v>81.36</v>
      </c>
      <c r="H445" s="72">
        <v>88.32</v>
      </c>
      <c r="I445" s="72">
        <v>88.26</v>
      </c>
    </row>
    <row r="446" spans="1:9" x14ac:dyDescent="0.25">
      <c r="C446" t="s">
        <v>434</v>
      </c>
      <c r="D446" s="73">
        <v>89.02</v>
      </c>
      <c r="E446" s="73">
        <v>83.93</v>
      </c>
      <c r="F446" s="73">
        <v>80.37</v>
      </c>
      <c r="G446" s="73">
        <v>77.959999999999994</v>
      </c>
      <c r="H446" s="73">
        <v>84.65</v>
      </c>
      <c r="I446" s="73">
        <v>85.91</v>
      </c>
    </row>
    <row r="447" spans="1:9" x14ac:dyDescent="0.25">
      <c r="C447" t="s">
        <v>435</v>
      </c>
      <c r="D447" s="74">
        <v>425</v>
      </c>
      <c r="E447" s="74">
        <v>1125</v>
      </c>
      <c r="F447" s="74">
        <v>1198</v>
      </c>
      <c r="G447" s="74">
        <v>412</v>
      </c>
      <c r="H447" s="74">
        <v>791</v>
      </c>
      <c r="I447" s="74">
        <v>719</v>
      </c>
    </row>
    <row r="448" spans="1:9" x14ac:dyDescent="0.25">
      <c r="C448" t="s">
        <v>436</v>
      </c>
      <c r="D448" s="75">
        <v>83.99</v>
      </c>
      <c r="E448" s="75">
        <v>78.19</v>
      </c>
      <c r="F448" s="75">
        <v>76.42</v>
      </c>
      <c r="G448" s="75">
        <v>76.36</v>
      </c>
      <c r="H448" s="75">
        <v>80.75</v>
      </c>
      <c r="I448" s="75">
        <v>84.02</v>
      </c>
    </row>
    <row r="449" spans="1:9" x14ac:dyDescent="0.25">
      <c r="C449" t="s">
        <v>437</v>
      </c>
      <c r="D449" s="76">
        <v>305</v>
      </c>
      <c r="E449" s="76">
        <v>1135</v>
      </c>
      <c r="F449" s="76">
        <v>1202</v>
      </c>
      <c r="G449" s="76">
        <v>481</v>
      </c>
      <c r="H449" s="76">
        <v>715</v>
      </c>
      <c r="I449" s="76">
        <v>773</v>
      </c>
    </row>
    <row r="450" spans="1:9" ht="22.5" x14ac:dyDescent="0.25">
      <c r="C450" t="s">
        <v>147</v>
      </c>
      <c r="D450" s="77" t="s">
        <v>403</v>
      </c>
      <c r="E450" s="77" t="s">
        <v>404</v>
      </c>
      <c r="F450" s="77" t="s">
        <v>405</v>
      </c>
      <c r="G450" s="77" t="s">
        <v>406</v>
      </c>
      <c r="H450" s="77" t="s">
        <v>407</v>
      </c>
      <c r="I450" s="77" t="s">
        <v>408</v>
      </c>
    </row>
    <row r="451" spans="1:9" x14ac:dyDescent="0.25">
      <c r="C451" t="s">
        <v>438</v>
      </c>
      <c r="D451" s="73">
        <v>82.91</v>
      </c>
      <c r="E451" s="73">
        <v>82.91</v>
      </c>
      <c r="F451" s="73">
        <v>82.91</v>
      </c>
      <c r="G451" s="73">
        <v>82.91</v>
      </c>
      <c r="H451" s="73">
        <v>82.91</v>
      </c>
      <c r="I451" s="73">
        <v>82.91</v>
      </c>
    </row>
    <row r="452" spans="1:9" x14ac:dyDescent="0.25">
      <c r="C452" t="s">
        <v>439</v>
      </c>
      <c r="D452" s="78">
        <v>90.59</v>
      </c>
      <c r="E452" s="78">
        <v>84.53</v>
      </c>
      <c r="F452" s="78">
        <v>80.75</v>
      </c>
      <c r="G452" s="78">
        <v>79.08</v>
      </c>
      <c r="H452" s="78">
        <v>86.71</v>
      </c>
      <c r="I452" s="78">
        <v>89.28</v>
      </c>
    </row>
    <row r="457" spans="1:9" x14ac:dyDescent="0.25">
      <c r="A457" t="s">
        <v>123</v>
      </c>
    </row>
    <row r="487" spans="1:1" x14ac:dyDescent="0.25">
      <c r="A487" t="s">
        <v>145</v>
      </c>
    </row>
    <row r="501" spans="1:10" ht="108" x14ac:dyDescent="0.25">
      <c r="A501" t="s">
        <v>368</v>
      </c>
      <c r="D501" s="84" t="s">
        <v>409</v>
      </c>
      <c r="E501" s="84" t="s">
        <v>410</v>
      </c>
      <c r="F501" s="84" t="s">
        <v>411</v>
      </c>
      <c r="G501" s="84" t="s">
        <v>412</v>
      </c>
      <c r="H501" s="84" t="s">
        <v>413</v>
      </c>
      <c r="I501" s="84" t="s">
        <v>414</v>
      </c>
      <c r="J501" s="84" t="s">
        <v>415</v>
      </c>
    </row>
    <row r="502" spans="1:10" ht="18" x14ac:dyDescent="0.25">
      <c r="C502" s="70" t="s">
        <v>149</v>
      </c>
      <c r="D502" s="71">
        <v>70.28</v>
      </c>
      <c r="E502" s="71">
        <v>93.52</v>
      </c>
      <c r="F502" s="71">
        <v>81.7</v>
      </c>
      <c r="G502" s="71">
        <v>85.8</v>
      </c>
      <c r="H502" s="71">
        <v>86.78</v>
      </c>
      <c r="I502" s="71">
        <v>83.81</v>
      </c>
      <c r="J502" s="71">
        <v>96.24</v>
      </c>
    </row>
    <row r="503" spans="1:10" ht="18" x14ac:dyDescent="0.25">
      <c r="C503" s="80" t="s">
        <v>150</v>
      </c>
      <c r="D503" s="71">
        <v>62.23</v>
      </c>
      <c r="E503" s="71">
        <v>94.29</v>
      </c>
      <c r="F503" s="71">
        <v>80.44</v>
      </c>
      <c r="G503" s="71">
        <v>83.68</v>
      </c>
      <c r="H503" s="71">
        <v>81.459999999999994</v>
      </c>
      <c r="I503" s="71">
        <v>84.28</v>
      </c>
      <c r="J503" s="71">
        <v>91.48</v>
      </c>
    </row>
    <row r="504" spans="1:10" ht="18" x14ac:dyDescent="0.25">
      <c r="C504" s="81" t="s">
        <v>148</v>
      </c>
      <c r="D504" s="71">
        <v>67.959999999999994</v>
      </c>
      <c r="E504" s="71">
        <v>91.07</v>
      </c>
      <c r="F504" s="71">
        <v>74.040000000000006</v>
      </c>
      <c r="G504" s="71">
        <v>74.45</v>
      </c>
      <c r="H504" s="71">
        <v>78.72</v>
      </c>
      <c r="I504" s="71">
        <v>76.58</v>
      </c>
      <c r="J504" s="71">
        <v>81.349999999999994</v>
      </c>
    </row>
    <row r="505" spans="1:10" ht="18" x14ac:dyDescent="0.25">
      <c r="C505" s="82" t="s">
        <v>159</v>
      </c>
      <c r="D505" s="71">
        <v>72.989999999999995</v>
      </c>
      <c r="E505" s="71">
        <v>99.04</v>
      </c>
      <c r="F505" s="71">
        <v>80</v>
      </c>
      <c r="G505" s="71">
        <v>84.75</v>
      </c>
      <c r="H505" s="71">
        <v>83.95</v>
      </c>
      <c r="I505" s="71">
        <v>89.61</v>
      </c>
      <c r="J505" s="71">
        <v>93.45</v>
      </c>
    </row>
    <row r="506" spans="1:10" ht="18" x14ac:dyDescent="0.25">
      <c r="C506" s="83" t="s">
        <v>433</v>
      </c>
      <c r="D506" s="72">
        <v>60.71</v>
      </c>
      <c r="E506" s="72">
        <v>98.57</v>
      </c>
      <c r="F506" s="72">
        <v>79.77</v>
      </c>
      <c r="G506" s="72">
        <v>87.66</v>
      </c>
      <c r="H506" s="72">
        <v>86.3</v>
      </c>
      <c r="I506" s="72">
        <v>90.11</v>
      </c>
      <c r="J506" s="72">
        <v>93.76</v>
      </c>
    </row>
    <row r="507" spans="1:10" x14ac:dyDescent="0.25">
      <c r="C507" t="s">
        <v>434</v>
      </c>
      <c r="D507" s="73">
        <v>66.8</v>
      </c>
      <c r="E507" s="73">
        <v>94.93</v>
      </c>
      <c r="F507" s="73">
        <v>79.16</v>
      </c>
      <c r="G507" s="73">
        <v>83.16</v>
      </c>
      <c r="H507" s="73">
        <v>83.39</v>
      </c>
      <c r="I507" s="73">
        <v>84.44</v>
      </c>
      <c r="J507" s="73">
        <v>91.35</v>
      </c>
    </row>
    <row r="508" spans="1:10" x14ac:dyDescent="0.25">
      <c r="C508" t="s">
        <v>435</v>
      </c>
      <c r="D508" s="74">
        <v>8</v>
      </c>
      <c r="E508" s="74">
        <v>14</v>
      </c>
      <c r="F508" s="74">
        <v>41</v>
      </c>
      <c r="G508" s="74">
        <v>199</v>
      </c>
      <c r="H508" s="74">
        <v>2612</v>
      </c>
      <c r="I508" s="74">
        <v>95</v>
      </c>
      <c r="J508" s="74">
        <v>21</v>
      </c>
    </row>
    <row r="509" spans="1:10" x14ac:dyDescent="0.25">
      <c r="C509" t="s">
        <v>436</v>
      </c>
      <c r="D509" s="75">
        <v>71.709999999999994</v>
      </c>
      <c r="E509" s="75">
        <v>94.66</v>
      </c>
      <c r="F509" s="75">
        <v>78.58</v>
      </c>
      <c r="G509" s="75">
        <v>74.38</v>
      </c>
      <c r="H509" s="75">
        <v>80.41</v>
      </c>
      <c r="I509" s="75">
        <v>84.16</v>
      </c>
      <c r="J509" s="75" t="s">
        <v>166</v>
      </c>
    </row>
    <row r="510" spans="1:10" x14ac:dyDescent="0.25">
      <c r="C510" t="s">
        <v>437</v>
      </c>
      <c r="D510" s="76">
        <v>22</v>
      </c>
      <c r="E510" s="76">
        <v>10</v>
      </c>
      <c r="F510" s="76">
        <v>47</v>
      </c>
      <c r="G510" s="76">
        <v>187</v>
      </c>
      <c r="H510" s="76">
        <v>2535</v>
      </c>
      <c r="I510" s="76">
        <v>89</v>
      </c>
      <c r="J510" s="76" t="s">
        <v>164</v>
      </c>
    </row>
    <row r="511" spans="1:10" ht="33.75" x14ac:dyDescent="0.25">
      <c r="C511" t="s">
        <v>147</v>
      </c>
      <c r="D511" s="77" t="s">
        <v>409</v>
      </c>
      <c r="E511" s="77" t="s">
        <v>410</v>
      </c>
      <c r="F511" s="77" t="s">
        <v>411</v>
      </c>
      <c r="G511" s="77" t="s">
        <v>412</v>
      </c>
      <c r="H511" s="77" t="s">
        <v>413</v>
      </c>
      <c r="I511" s="77" t="s">
        <v>414</v>
      </c>
      <c r="J511" s="77" t="s">
        <v>415</v>
      </c>
    </row>
    <row r="512" spans="1:10" x14ac:dyDescent="0.25">
      <c r="C512" t="s">
        <v>438</v>
      </c>
      <c r="D512" s="73">
        <v>82.91</v>
      </c>
      <c r="E512" s="73">
        <v>82.91</v>
      </c>
      <c r="F512" s="73">
        <v>82.91</v>
      </c>
      <c r="G512" s="73">
        <v>82.91</v>
      </c>
      <c r="H512" s="73">
        <v>82.91</v>
      </c>
      <c r="I512" s="73">
        <v>82.91</v>
      </c>
      <c r="J512" s="73">
        <v>82.91</v>
      </c>
    </row>
    <row r="513" spans="1:10" x14ac:dyDescent="0.25">
      <c r="C513" t="s">
        <v>439</v>
      </c>
      <c r="D513" s="78">
        <v>75</v>
      </c>
      <c r="E513" s="78">
        <v>100</v>
      </c>
      <c r="F513" s="78">
        <v>75.61</v>
      </c>
      <c r="G513" s="78">
        <v>86.36</v>
      </c>
      <c r="H513" s="78">
        <v>83.41</v>
      </c>
      <c r="I513" s="78">
        <v>91.58</v>
      </c>
      <c r="J513" s="78">
        <v>100</v>
      </c>
    </row>
    <row r="518" spans="1:10" x14ac:dyDescent="0.25">
      <c r="A518" t="s">
        <v>146</v>
      </c>
    </row>
    <row r="532" spans="1:10" ht="108" x14ac:dyDescent="0.25">
      <c r="A532" t="s">
        <v>369</v>
      </c>
      <c r="D532" s="84" t="s">
        <v>416</v>
      </c>
      <c r="E532" s="84" t="s">
        <v>417</v>
      </c>
      <c r="F532" s="84" t="s">
        <v>418</v>
      </c>
      <c r="G532" s="84" t="s">
        <v>419</v>
      </c>
      <c r="H532" s="84" t="s">
        <v>420</v>
      </c>
      <c r="I532" s="84" t="s">
        <v>421</v>
      </c>
      <c r="J532" s="84" t="s">
        <v>422</v>
      </c>
    </row>
    <row r="533" spans="1:10" ht="18" x14ac:dyDescent="0.25">
      <c r="C533" s="70" t="s">
        <v>149</v>
      </c>
      <c r="D533" s="71">
        <v>90.49</v>
      </c>
      <c r="E533" s="71">
        <v>78.42</v>
      </c>
      <c r="F533" s="71">
        <v>89.17</v>
      </c>
      <c r="G533" s="71">
        <v>84.63</v>
      </c>
      <c r="H533" s="71">
        <v>81.78</v>
      </c>
      <c r="I533" s="71" t="s">
        <v>166</v>
      </c>
      <c r="J533" s="71">
        <v>97.14</v>
      </c>
    </row>
    <row r="534" spans="1:10" ht="18" x14ac:dyDescent="0.25">
      <c r="C534" s="80" t="s">
        <v>150</v>
      </c>
      <c r="D534" s="71">
        <v>90.16</v>
      </c>
      <c r="E534" s="71">
        <v>79.81</v>
      </c>
      <c r="F534" s="71">
        <v>87.3</v>
      </c>
      <c r="G534" s="71">
        <v>79.87</v>
      </c>
      <c r="H534" s="71">
        <v>83.85</v>
      </c>
      <c r="I534" s="71" t="s">
        <v>166</v>
      </c>
      <c r="J534" s="71">
        <v>95.38</v>
      </c>
    </row>
    <row r="535" spans="1:10" ht="18" x14ac:dyDescent="0.25">
      <c r="C535" s="81" t="s">
        <v>148</v>
      </c>
      <c r="D535" s="71">
        <v>80.63</v>
      </c>
      <c r="E535" s="71">
        <v>70.56</v>
      </c>
      <c r="F535" s="71">
        <v>81.760000000000005</v>
      </c>
      <c r="G535" s="71">
        <v>76.849999999999994</v>
      </c>
      <c r="H535" s="71">
        <v>73.540000000000006</v>
      </c>
      <c r="I535" s="71" t="s">
        <v>166</v>
      </c>
      <c r="J535" s="71">
        <v>85</v>
      </c>
    </row>
    <row r="536" spans="1:10" ht="18" x14ac:dyDescent="0.25">
      <c r="C536" s="82" t="s">
        <v>159</v>
      </c>
      <c r="D536" s="71">
        <v>88.73</v>
      </c>
      <c r="E536" s="71">
        <v>76.319999999999993</v>
      </c>
      <c r="F536" s="71">
        <v>90.11</v>
      </c>
      <c r="G536" s="71">
        <v>80.97</v>
      </c>
      <c r="H536" s="71">
        <v>81.84</v>
      </c>
      <c r="I536" s="71" t="s">
        <v>166</v>
      </c>
      <c r="J536" s="71">
        <v>96.25</v>
      </c>
    </row>
    <row r="537" spans="1:10" ht="18" x14ac:dyDescent="0.25">
      <c r="C537" s="83" t="s">
        <v>433</v>
      </c>
      <c r="D537" s="72">
        <v>92.57</v>
      </c>
      <c r="E537" s="72">
        <v>79.37</v>
      </c>
      <c r="F537" s="72">
        <v>91.39</v>
      </c>
      <c r="G537" s="72">
        <v>85.14</v>
      </c>
      <c r="H537" s="72">
        <v>86.85</v>
      </c>
      <c r="I537" s="72" t="s">
        <v>166</v>
      </c>
      <c r="J537" s="72">
        <v>91</v>
      </c>
    </row>
    <row r="538" spans="1:10" x14ac:dyDescent="0.25">
      <c r="C538" t="s">
        <v>434</v>
      </c>
      <c r="D538" s="73">
        <v>88.51</v>
      </c>
      <c r="E538" s="73">
        <v>77.03</v>
      </c>
      <c r="F538" s="73">
        <v>87.77</v>
      </c>
      <c r="G538" s="73">
        <v>81.510000000000005</v>
      </c>
      <c r="H538" s="73">
        <v>81.52</v>
      </c>
      <c r="I538" s="73" t="s">
        <v>166</v>
      </c>
      <c r="J538" s="73">
        <v>93.1</v>
      </c>
    </row>
    <row r="539" spans="1:10" x14ac:dyDescent="0.25">
      <c r="C539" t="s">
        <v>435</v>
      </c>
      <c r="D539" s="74">
        <v>170</v>
      </c>
      <c r="E539" s="74">
        <v>102</v>
      </c>
      <c r="F539" s="74">
        <v>60</v>
      </c>
      <c r="G539" s="74">
        <v>1478</v>
      </c>
      <c r="H539" s="74">
        <v>73</v>
      </c>
      <c r="I539" s="74">
        <v>3</v>
      </c>
      <c r="J539" s="74">
        <v>10</v>
      </c>
    </row>
    <row r="540" spans="1:10" x14ac:dyDescent="0.25">
      <c r="C540" t="s">
        <v>436</v>
      </c>
      <c r="D540" s="75">
        <v>87.49</v>
      </c>
      <c r="E540" s="75">
        <v>80.099999999999994</v>
      </c>
      <c r="F540" s="75">
        <v>77.22</v>
      </c>
      <c r="G540" s="75">
        <v>75.45</v>
      </c>
      <c r="H540" s="75">
        <v>82.2</v>
      </c>
      <c r="I540" s="75" t="s">
        <v>166</v>
      </c>
      <c r="J540" s="75">
        <v>91.82</v>
      </c>
    </row>
    <row r="541" spans="1:10" x14ac:dyDescent="0.25">
      <c r="C541" t="s">
        <v>437</v>
      </c>
      <c r="D541" s="76">
        <v>159</v>
      </c>
      <c r="E541" s="76">
        <v>99</v>
      </c>
      <c r="F541" s="76">
        <v>55</v>
      </c>
      <c r="G541" s="76">
        <v>1432</v>
      </c>
      <c r="H541" s="76">
        <v>77</v>
      </c>
      <c r="I541" s="76">
        <v>5</v>
      </c>
      <c r="J541" s="76">
        <v>11</v>
      </c>
    </row>
    <row r="542" spans="1:10" ht="33.75" x14ac:dyDescent="0.25">
      <c r="C542" t="s">
        <v>147</v>
      </c>
      <c r="D542" s="77" t="s">
        <v>416</v>
      </c>
      <c r="E542" s="77" t="s">
        <v>417</v>
      </c>
      <c r="F542" s="77" t="s">
        <v>418</v>
      </c>
      <c r="G542" s="77" t="s">
        <v>419</v>
      </c>
      <c r="H542" s="77" t="s">
        <v>420</v>
      </c>
      <c r="I542" s="77" t="s">
        <v>421</v>
      </c>
      <c r="J542" s="77" t="s">
        <v>422</v>
      </c>
    </row>
    <row r="543" spans="1:10" x14ac:dyDescent="0.25">
      <c r="C543" t="s">
        <v>438</v>
      </c>
      <c r="D543" s="73">
        <v>82.91</v>
      </c>
      <c r="E543" s="73">
        <v>82.91</v>
      </c>
      <c r="F543" s="73">
        <v>82.91</v>
      </c>
      <c r="G543" s="73">
        <v>82.91</v>
      </c>
      <c r="H543" s="73">
        <v>82.91</v>
      </c>
      <c r="I543" s="73">
        <v>82.91</v>
      </c>
      <c r="J543" s="73">
        <v>82.91</v>
      </c>
    </row>
    <row r="544" spans="1:10" x14ac:dyDescent="0.25">
      <c r="C544" t="s">
        <v>439</v>
      </c>
      <c r="D544" s="78">
        <v>91.12</v>
      </c>
      <c r="E544" s="78">
        <v>81.37</v>
      </c>
      <c r="F544" s="78">
        <v>91.53</v>
      </c>
      <c r="G544" s="78">
        <v>83.23</v>
      </c>
      <c r="H544" s="78">
        <v>87.67</v>
      </c>
      <c r="I544" s="78" t="s">
        <v>166</v>
      </c>
      <c r="J544" s="78">
        <v>100</v>
      </c>
    </row>
    <row r="549" spans="1:1" x14ac:dyDescent="0.25">
      <c r="A549" t="s">
        <v>124</v>
      </c>
    </row>
    <row r="609" spans="1:7" x14ac:dyDescent="0.25">
      <c r="A609" t="s">
        <v>125</v>
      </c>
    </row>
    <row r="623" spans="1:7" ht="36" x14ac:dyDescent="0.25">
      <c r="A623" t="s">
        <v>140</v>
      </c>
      <c r="D623" s="84" t="s">
        <v>423</v>
      </c>
      <c r="E623" s="84" t="s">
        <v>424</v>
      </c>
      <c r="F623" s="84" t="s">
        <v>425</v>
      </c>
      <c r="G623" s="84" t="s">
        <v>426</v>
      </c>
    </row>
    <row r="624" spans="1:7" ht="18" x14ac:dyDescent="0.25">
      <c r="C624" s="70" t="s">
        <v>149</v>
      </c>
      <c r="D624" s="71">
        <v>92.06</v>
      </c>
      <c r="E624" s="71">
        <v>82.99</v>
      </c>
      <c r="F624" s="71">
        <v>73.010000000000005</v>
      </c>
      <c r="G624" s="71">
        <v>58.22</v>
      </c>
    </row>
    <row r="625" spans="1:7" ht="18" x14ac:dyDescent="0.25">
      <c r="C625" s="80" t="s">
        <v>150</v>
      </c>
      <c r="D625" s="71">
        <v>87.65</v>
      </c>
      <c r="E625" s="71">
        <v>78.34</v>
      </c>
      <c r="F625" s="71">
        <v>69.09</v>
      </c>
      <c r="G625" s="71">
        <v>54.71</v>
      </c>
    </row>
    <row r="626" spans="1:7" ht="18" x14ac:dyDescent="0.25">
      <c r="C626" s="81" t="s">
        <v>148</v>
      </c>
      <c r="D626" s="71">
        <v>83.2</v>
      </c>
      <c r="E626" s="71">
        <v>74.31</v>
      </c>
      <c r="F626" s="71">
        <v>66.7</v>
      </c>
      <c r="G626" s="71">
        <v>56.94</v>
      </c>
    </row>
    <row r="627" spans="1:7" ht="18" x14ac:dyDescent="0.25">
      <c r="C627" s="82" t="s">
        <v>159</v>
      </c>
      <c r="D627" s="71">
        <v>87.6</v>
      </c>
      <c r="E627" s="71">
        <v>81.8</v>
      </c>
      <c r="F627" s="71">
        <v>71.7</v>
      </c>
      <c r="G627" s="71">
        <v>66.19</v>
      </c>
    </row>
    <row r="628" spans="1:7" ht="18" x14ac:dyDescent="0.25">
      <c r="C628" s="83" t="s">
        <v>433</v>
      </c>
      <c r="D628" s="72">
        <v>90.98</v>
      </c>
      <c r="E628" s="72">
        <v>84.03</v>
      </c>
      <c r="F628" s="72">
        <v>75.88</v>
      </c>
      <c r="G628" s="72">
        <v>65.92</v>
      </c>
    </row>
    <row r="629" spans="1:7" x14ac:dyDescent="0.25">
      <c r="C629" t="s">
        <v>434</v>
      </c>
      <c r="D629" s="73">
        <v>88.39</v>
      </c>
      <c r="E629" s="73">
        <v>80.150000000000006</v>
      </c>
      <c r="F629" s="73">
        <v>71.099999999999994</v>
      </c>
      <c r="G629" s="73">
        <v>59.77</v>
      </c>
    </row>
    <row r="630" spans="1:7" x14ac:dyDescent="0.25">
      <c r="C630" t="s">
        <v>435</v>
      </c>
      <c r="D630" s="74">
        <v>2444</v>
      </c>
      <c r="E630" s="74">
        <v>1088</v>
      </c>
      <c r="F630" s="74">
        <v>501</v>
      </c>
      <c r="G630" s="74">
        <v>116</v>
      </c>
    </row>
    <row r="631" spans="1:7" x14ac:dyDescent="0.25">
      <c r="C631" t="s">
        <v>436</v>
      </c>
      <c r="D631" s="75">
        <v>84.86</v>
      </c>
      <c r="E631" s="75">
        <v>74.510000000000005</v>
      </c>
      <c r="F631" s="75">
        <v>66.599999999999994</v>
      </c>
      <c r="G631" s="75">
        <v>55.18</v>
      </c>
    </row>
    <row r="632" spans="1:7" x14ac:dyDescent="0.25">
      <c r="C632" t="s">
        <v>437</v>
      </c>
      <c r="D632" s="76">
        <v>2773</v>
      </c>
      <c r="E632" s="76">
        <v>1087</v>
      </c>
      <c r="F632" s="76">
        <v>595</v>
      </c>
      <c r="G632" s="76">
        <v>110</v>
      </c>
    </row>
    <row r="633" spans="1:7" x14ac:dyDescent="0.25">
      <c r="C633" t="s">
        <v>147</v>
      </c>
      <c r="D633" s="77" t="s">
        <v>423</v>
      </c>
      <c r="E633" s="77" t="s">
        <v>424</v>
      </c>
      <c r="F633" s="77" t="s">
        <v>425</v>
      </c>
      <c r="G633" s="77" t="s">
        <v>426</v>
      </c>
    </row>
    <row r="634" spans="1:7" x14ac:dyDescent="0.25">
      <c r="C634" t="s">
        <v>438</v>
      </c>
      <c r="D634" s="73">
        <v>82.91</v>
      </c>
      <c r="E634" s="73">
        <v>82.91</v>
      </c>
      <c r="F634" s="73">
        <v>82.91</v>
      </c>
      <c r="G634" s="73">
        <v>82.91</v>
      </c>
    </row>
    <row r="635" spans="1:7" x14ac:dyDescent="0.25">
      <c r="C635" t="s">
        <v>439</v>
      </c>
      <c r="D635" s="78">
        <v>89.51</v>
      </c>
      <c r="E635" s="78">
        <v>82.26</v>
      </c>
      <c r="F635" s="78">
        <v>70.599999999999994</v>
      </c>
      <c r="G635" s="78">
        <v>68.099999999999994</v>
      </c>
    </row>
    <row r="640" spans="1:7" x14ac:dyDescent="0.25">
      <c r="A640" t="s">
        <v>126</v>
      </c>
    </row>
    <row r="700" spans="1:1" x14ac:dyDescent="0.25">
      <c r="A700" t="s">
        <v>127</v>
      </c>
    </row>
    <row r="714" spans="1:8" ht="198" x14ac:dyDescent="0.25">
      <c r="A714" t="s">
        <v>141</v>
      </c>
      <c r="D714" s="84" t="s">
        <v>427</v>
      </c>
      <c r="E714" s="84" t="s">
        <v>428</v>
      </c>
      <c r="F714" s="84" t="s">
        <v>429</v>
      </c>
      <c r="G714" s="84" t="s">
        <v>430</v>
      </c>
      <c r="H714" s="84" t="s">
        <v>431</v>
      </c>
    </row>
    <row r="715" spans="1:8" ht="18" x14ac:dyDescent="0.25">
      <c r="C715" s="70" t="s">
        <v>149</v>
      </c>
      <c r="D715" s="71">
        <v>88.46</v>
      </c>
      <c r="E715" s="71">
        <v>81.81</v>
      </c>
      <c r="F715" s="71">
        <v>69.47</v>
      </c>
      <c r="G715" s="71">
        <v>90.75</v>
      </c>
      <c r="H715" s="71">
        <v>71.900000000000006</v>
      </c>
    </row>
    <row r="716" spans="1:8" ht="18" x14ac:dyDescent="0.25">
      <c r="C716" s="80" t="s">
        <v>150</v>
      </c>
      <c r="D716" s="71">
        <v>84.45</v>
      </c>
      <c r="E716" s="71">
        <v>75.67</v>
      </c>
      <c r="F716" s="71">
        <v>62.34</v>
      </c>
      <c r="G716" s="71">
        <v>87.24</v>
      </c>
      <c r="H716" s="71">
        <v>66.099999999999994</v>
      </c>
    </row>
    <row r="717" spans="1:8" ht="18" x14ac:dyDescent="0.25">
      <c r="C717" s="81" t="s">
        <v>148</v>
      </c>
      <c r="D717" s="71">
        <v>79.25</v>
      </c>
      <c r="E717" s="71">
        <v>73.47</v>
      </c>
      <c r="F717" s="71">
        <v>59.43</v>
      </c>
      <c r="G717" s="71">
        <v>82.97</v>
      </c>
      <c r="H717" s="71">
        <v>62.41</v>
      </c>
    </row>
    <row r="718" spans="1:8" ht="18" x14ac:dyDescent="0.25">
      <c r="C718" s="82" t="s">
        <v>159</v>
      </c>
      <c r="D718" s="71">
        <v>84.85</v>
      </c>
      <c r="E718" s="71">
        <v>75.930000000000007</v>
      </c>
      <c r="F718" s="71">
        <v>67.13</v>
      </c>
      <c r="G718" s="71">
        <v>89.76</v>
      </c>
      <c r="H718" s="71">
        <v>66.989999999999995</v>
      </c>
    </row>
    <row r="719" spans="1:8" ht="18" x14ac:dyDescent="0.25">
      <c r="C719" s="83" t="s">
        <v>433</v>
      </c>
      <c r="D719" s="72">
        <v>88.44</v>
      </c>
      <c r="E719" s="72">
        <v>81.05</v>
      </c>
      <c r="F719" s="72">
        <v>68.94</v>
      </c>
      <c r="G719" s="72">
        <v>91.63</v>
      </c>
      <c r="H719" s="72">
        <v>70.739999999999995</v>
      </c>
    </row>
    <row r="720" spans="1:8" x14ac:dyDescent="0.25">
      <c r="C720" t="s">
        <v>434</v>
      </c>
      <c r="D720" s="73">
        <v>85.13</v>
      </c>
      <c r="E720" s="73">
        <v>77.69</v>
      </c>
      <c r="F720" s="73">
        <v>65.31</v>
      </c>
      <c r="G720" s="73">
        <v>88.38</v>
      </c>
      <c r="H720" s="73">
        <v>67.58</v>
      </c>
    </row>
    <row r="721" spans="1:8" x14ac:dyDescent="0.25">
      <c r="C721" t="s">
        <v>435</v>
      </c>
      <c r="D721" s="74">
        <v>680</v>
      </c>
      <c r="E721" s="74">
        <v>940</v>
      </c>
      <c r="F721" s="74">
        <v>101</v>
      </c>
      <c r="G721" s="74">
        <v>1993</v>
      </c>
      <c r="H721" s="74">
        <v>218</v>
      </c>
    </row>
    <row r="722" spans="1:8" x14ac:dyDescent="0.25">
      <c r="C722" t="s">
        <v>436</v>
      </c>
      <c r="D722" s="75">
        <v>80.739999999999995</v>
      </c>
      <c r="E722" s="75">
        <v>74.11</v>
      </c>
      <c r="F722" s="75">
        <v>60.51</v>
      </c>
      <c r="G722" s="75">
        <v>85.59</v>
      </c>
      <c r="H722" s="75">
        <v>59.82</v>
      </c>
    </row>
    <row r="723" spans="1:8" x14ac:dyDescent="0.25">
      <c r="C723" t="s">
        <v>437</v>
      </c>
      <c r="D723" s="76">
        <v>764</v>
      </c>
      <c r="E723" s="76">
        <v>1235</v>
      </c>
      <c r="F723" s="76">
        <v>132</v>
      </c>
      <c r="G723" s="76">
        <v>2149</v>
      </c>
      <c r="H723" s="76">
        <v>297</v>
      </c>
    </row>
    <row r="724" spans="1:8" ht="67.5" x14ac:dyDescent="0.25">
      <c r="C724" t="s">
        <v>147</v>
      </c>
      <c r="D724" s="77" t="s">
        <v>427</v>
      </c>
      <c r="E724" s="77" t="s">
        <v>428</v>
      </c>
      <c r="F724" s="77" t="s">
        <v>429</v>
      </c>
      <c r="G724" s="77" t="s">
        <v>430</v>
      </c>
      <c r="H724" s="77" t="s">
        <v>431</v>
      </c>
    </row>
    <row r="725" spans="1:8" x14ac:dyDescent="0.25">
      <c r="C725" t="s">
        <v>438</v>
      </c>
      <c r="D725" s="73">
        <v>82.91</v>
      </c>
      <c r="E725" s="73">
        <v>82.91</v>
      </c>
      <c r="F725" s="73">
        <v>82.91</v>
      </c>
      <c r="G725" s="73">
        <v>82.91</v>
      </c>
      <c r="H725" s="73">
        <v>82.91</v>
      </c>
    </row>
    <row r="726" spans="1:8" x14ac:dyDescent="0.25">
      <c r="C726" t="s">
        <v>439</v>
      </c>
      <c r="D726" s="78">
        <v>87.3</v>
      </c>
      <c r="E726" s="78">
        <v>77.290000000000006</v>
      </c>
      <c r="F726" s="78">
        <v>65.349999999999994</v>
      </c>
      <c r="G726" s="78">
        <v>91.62</v>
      </c>
      <c r="H726" s="78">
        <v>61.47</v>
      </c>
    </row>
    <row r="731" spans="1:8" x14ac:dyDescent="0.25">
      <c r="A731" t="s">
        <v>128</v>
      </c>
    </row>
    <row r="791" spans="1:1" x14ac:dyDescent="0.25">
      <c r="A791" t="s">
        <v>129</v>
      </c>
    </row>
    <row r="805" spans="1:7" ht="36" x14ac:dyDescent="0.25">
      <c r="A805" t="s">
        <v>142</v>
      </c>
      <c r="D805" s="84" t="s">
        <v>432</v>
      </c>
      <c r="E805" s="84" t="s">
        <v>424</v>
      </c>
      <c r="F805" s="84" t="s">
        <v>425</v>
      </c>
      <c r="G805" s="84" t="s">
        <v>426</v>
      </c>
    </row>
    <row r="806" spans="1:7" ht="18" x14ac:dyDescent="0.25">
      <c r="C806" s="70" t="s">
        <v>149</v>
      </c>
      <c r="D806" s="71">
        <v>93.66</v>
      </c>
      <c r="E806" s="71">
        <v>88.03</v>
      </c>
      <c r="F806" s="71">
        <v>82.62</v>
      </c>
      <c r="G806" s="71">
        <v>65.010000000000005</v>
      </c>
    </row>
    <row r="807" spans="1:7" ht="18" x14ac:dyDescent="0.25">
      <c r="C807" s="80" t="s">
        <v>150</v>
      </c>
      <c r="D807" s="71">
        <v>89.83</v>
      </c>
      <c r="E807" s="71">
        <v>83.54</v>
      </c>
      <c r="F807" s="71">
        <v>77.73</v>
      </c>
      <c r="G807" s="71">
        <v>61.02</v>
      </c>
    </row>
    <row r="808" spans="1:7" ht="18" x14ac:dyDescent="0.25">
      <c r="C808" s="81" t="s">
        <v>148</v>
      </c>
      <c r="D808" s="71">
        <v>85.29</v>
      </c>
      <c r="E808" s="71">
        <v>79.36</v>
      </c>
      <c r="F808" s="71">
        <v>73.209999999999994</v>
      </c>
      <c r="G808" s="71">
        <v>61.49</v>
      </c>
    </row>
    <row r="809" spans="1:7" ht="18" x14ac:dyDescent="0.25">
      <c r="C809" s="82" t="s">
        <v>159</v>
      </c>
      <c r="D809" s="71">
        <v>89.45</v>
      </c>
      <c r="E809" s="71">
        <v>84.49</v>
      </c>
      <c r="F809" s="71">
        <v>80.319999999999993</v>
      </c>
      <c r="G809" s="71">
        <v>67.36</v>
      </c>
    </row>
    <row r="810" spans="1:7" ht="18" x14ac:dyDescent="0.25">
      <c r="C810" s="83" t="s">
        <v>433</v>
      </c>
      <c r="D810" s="72">
        <v>93.27</v>
      </c>
      <c r="E810" s="72">
        <v>88.22</v>
      </c>
      <c r="F810" s="72">
        <v>84</v>
      </c>
      <c r="G810" s="72">
        <v>70.72</v>
      </c>
    </row>
    <row r="811" spans="1:7" x14ac:dyDescent="0.25">
      <c r="C811" t="s">
        <v>434</v>
      </c>
      <c r="D811" s="73">
        <v>90.42</v>
      </c>
      <c r="E811" s="73">
        <v>84.77</v>
      </c>
      <c r="F811" s="73">
        <v>79.48</v>
      </c>
      <c r="G811" s="73">
        <v>64.67</v>
      </c>
    </row>
    <row r="812" spans="1:7" x14ac:dyDescent="0.25">
      <c r="C812" t="s">
        <v>435</v>
      </c>
      <c r="D812" s="74">
        <v>789</v>
      </c>
      <c r="E812" s="74">
        <v>283</v>
      </c>
      <c r="F812" s="74">
        <v>450</v>
      </c>
      <c r="G812" s="74">
        <v>317</v>
      </c>
    </row>
    <row r="813" spans="1:7" x14ac:dyDescent="0.25">
      <c r="C813" t="s">
        <v>436</v>
      </c>
      <c r="D813" s="75" t="s">
        <v>166</v>
      </c>
      <c r="E813" s="75" t="s">
        <v>166</v>
      </c>
      <c r="F813" s="75" t="s">
        <v>166</v>
      </c>
      <c r="G813" s="75" t="s">
        <v>166</v>
      </c>
    </row>
    <row r="814" spans="1:7" x14ac:dyDescent="0.25">
      <c r="C814" t="s">
        <v>437</v>
      </c>
      <c r="D814" s="76" t="s">
        <v>164</v>
      </c>
      <c r="E814" s="76" t="s">
        <v>164</v>
      </c>
      <c r="F814" s="76" t="s">
        <v>164</v>
      </c>
      <c r="G814" s="76" t="s">
        <v>164</v>
      </c>
    </row>
    <row r="815" spans="1:7" x14ac:dyDescent="0.25">
      <c r="C815" t="s">
        <v>147</v>
      </c>
      <c r="D815" s="77" t="s">
        <v>432</v>
      </c>
      <c r="E815" s="77" t="s">
        <v>424</v>
      </c>
      <c r="F815" s="77" t="s">
        <v>425</v>
      </c>
      <c r="G815" s="77" t="s">
        <v>426</v>
      </c>
    </row>
    <row r="816" spans="1:7" x14ac:dyDescent="0.25">
      <c r="C816" t="s">
        <v>438</v>
      </c>
      <c r="D816" s="73">
        <v>82.91</v>
      </c>
      <c r="E816" s="73">
        <v>82.91</v>
      </c>
      <c r="F816" s="73">
        <v>82.91</v>
      </c>
      <c r="G816" s="73">
        <v>82.91</v>
      </c>
    </row>
    <row r="817" spans="3:7" x14ac:dyDescent="0.25">
      <c r="C817" t="s">
        <v>439</v>
      </c>
      <c r="D817" s="78">
        <v>93.54</v>
      </c>
      <c r="E817" s="78">
        <v>87.99</v>
      </c>
      <c r="F817" s="78">
        <v>81.739999999999995</v>
      </c>
      <c r="G817" s="78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I504"/>
  <sheetViews>
    <sheetView workbookViewId="0">
      <selection activeCell="C495" sqref="C495:I504"/>
    </sheetView>
  </sheetViews>
  <sheetFormatPr baseColWidth="10" defaultRowHeight="15" x14ac:dyDescent="0.25"/>
  <cols>
    <col min="1" max="1" width="19.7109375" bestFit="1" customWidth="1"/>
    <col min="3" max="3" width="8" customWidth="1"/>
    <col min="4" max="4" width="9.28515625" customWidth="1"/>
    <col min="5" max="5" width="25.42578125" customWidth="1"/>
    <col min="6" max="6" width="3.85546875" customWidth="1"/>
    <col min="7" max="7" width="97.7109375" customWidth="1"/>
    <col min="8" max="11" width="8.5703125" customWidth="1"/>
    <col min="13" max="13" width="25.7109375" customWidth="1"/>
    <col min="15" max="15" width="26.85546875" style="12" customWidth="1"/>
    <col min="16" max="21" width="10.140625" style="118" customWidth="1"/>
    <col min="26" max="26" width="27.42578125" bestFit="1" customWidth="1"/>
    <col min="27" max="27" width="7" customWidth="1"/>
    <col min="28" max="28" width="8" customWidth="1"/>
    <col min="29" max="31" width="7" customWidth="1"/>
    <col min="32" max="34" width="7.42578125" customWidth="1"/>
    <col min="35" max="35" width="7" customWidth="1"/>
  </cols>
  <sheetData>
    <row r="1" spans="1:35" x14ac:dyDescent="0.25">
      <c r="A1" t="s">
        <v>134</v>
      </c>
      <c r="Z1" s="93" t="s">
        <v>295</v>
      </c>
      <c r="AA1" s="93">
        <v>2007</v>
      </c>
      <c r="AB1" s="93">
        <v>2008</v>
      </c>
      <c r="AC1" s="93">
        <v>2009</v>
      </c>
      <c r="AD1" s="93">
        <v>2010</v>
      </c>
      <c r="AE1" s="93">
        <v>2011</v>
      </c>
      <c r="AF1" s="93">
        <v>2012</v>
      </c>
      <c r="AG1" s="93">
        <v>2013</v>
      </c>
      <c r="AH1" s="93">
        <v>2014</v>
      </c>
      <c r="AI1" s="93">
        <v>2015</v>
      </c>
    </row>
    <row r="2" spans="1:35" ht="15.75" thickBot="1" x14ac:dyDescent="0.3">
      <c r="Z2" s="100" t="s">
        <v>296</v>
      </c>
      <c r="AA2" s="100">
        <v>376</v>
      </c>
      <c r="AB2" s="100">
        <v>387</v>
      </c>
      <c r="AC2" s="100">
        <v>532</v>
      </c>
      <c r="AD2" s="100">
        <v>581</v>
      </c>
      <c r="AE2" s="100">
        <v>676</v>
      </c>
      <c r="AF2" s="100">
        <v>704</v>
      </c>
      <c r="AG2" s="100">
        <v>711</v>
      </c>
      <c r="AH2" s="100">
        <v>669</v>
      </c>
      <c r="AI2" s="100">
        <v>664</v>
      </c>
    </row>
    <row r="3" spans="1:35" ht="16.5" thickTop="1" thickBot="1" x14ac:dyDescent="0.3">
      <c r="Z3" s="100" t="s">
        <v>163</v>
      </c>
      <c r="AA3" s="100">
        <v>336</v>
      </c>
      <c r="AB3" s="100">
        <v>364</v>
      </c>
      <c r="AC3" s="100">
        <v>491</v>
      </c>
      <c r="AD3" s="100">
        <v>448</v>
      </c>
      <c r="AE3" s="100">
        <v>560</v>
      </c>
      <c r="AF3" s="100">
        <v>594</v>
      </c>
      <c r="AG3" s="100">
        <v>610</v>
      </c>
      <c r="AH3" s="100">
        <v>580</v>
      </c>
      <c r="AI3" s="100">
        <v>600</v>
      </c>
    </row>
    <row r="4" spans="1:35" ht="16.5" thickTop="1" thickBot="1" x14ac:dyDescent="0.3">
      <c r="Z4" s="100" t="s">
        <v>297</v>
      </c>
      <c r="AA4" s="101">
        <v>0.9</v>
      </c>
      <c r="AB4" s="102">
        <v>0.94099999999999995</v>
      </c>
      <c r="AC4" s="101">
        <v>0.92</v>
      </c>
      <c r="AD4" s="101">
        <v>0.77</v>
      </c>
      <c r="AE4" s="101">
        <v>0.83</v>
      </c>
      <c r="AF4" s="101">
        <v>0.84</v>
      </c>
      <c r="AG4" s="101">
        <v>0.86</v>
      </c>
      <c r="AH4" s="101">
        <v>0.87</v>
      </c>
      <c r="AI4" s="101">
        <v>0.9</v>
      </c>
    </row>
    <row r="5" spans="1:35" ht="16.5" thickTop="1" thickBot="1" x14ac:dyDescent="0.3">
      <c r="Z5" s="100" t="s">
        <v>458</v>
      </c>
      <c r="AA5" s="102">
        <v>1.6400000000000001E-2</v>
      </c>
      <c r="AB5" s="102">
        <v>1.2500000000000001E-2</v>
      </c>
      <c r="AC5" s="102">
        <v>1.23E-2</v>
      </c>
      <c r="AD5" s="102">
        <v>2.2200000000000001E-2</v>
      </c>
      <c r="AE5" s="102">
        <v>1.72E-2</v>
      </c>
      <c r="AF5" s="102">
        <v>1.5900000000000001E-2</v>
      </c>
      <c r="AG5" s="102">
        <v>1.4999999999999999E-2</v>
      </c>
      <c r="AH5" s="102">
        <v>1.4800000000000001E-2</v>
      </c>
      <c r="AI5" s="102">
        <v>1.24E-2</v>
      </c>
    </row>
    <row r="6" spans="1:35" ht="16.5" thickTop="1" thickBot="1" x14ac:dyDescent="0.3">
      <c r="Z6" s="100" t="s">
        <v>298</v>
      </c>
      <c r="AA6" s="103">
        <v>42915</v>
      </c>
      <c r="AB6" s="103">
        <v>42915</v>
      </c>
      <c r="AC6" s="103">
        <v>42918</v>
      </c>
      <c r="AD6" s="103">
        <v>42920</v>
      </c>
      <c r="AE6" s="103">
        <v>42926</v>
      </c>
      <c r="AF6" s="103">
        <v>42951</v>
      </c>
      <c r="AG6" s="103">
        <v>42951</v>
      </c>
      <c r="AH6" s="103">
        <v>42967</v>
      </c>
      <c r="AI6" s="103">
        <v>42906</v>
      </c>
    </row>
    <row r="7" spans="1:35" ht="16.5" thickTop="1" thickBot="1" x14ac:dyDescent="0.3">
      <c r="Z7" s="100" t="s">
        <v>299</v>
      </c>
      <c r="AA7" s="100" t="s">
        <v>300</v>
      </c>
      <c r="AB7" s="100" t="s">
        <v>300</v>
      </c>
      <c r="AC7" s="100" t="s">
        <v>300</v>
      </c>
      <c r="AD7" s="100" t="s">
        <v>300</v>
      </c>
      <c r="AE7" s="100" t="s">
        <v>300</v>
      </c>
      <c r="AF7" s="100" t="s">
        <v>300</v>
      </c>
      <c r="AG7" s="100" t="s">
        <v>300</v>
      </c>
      <c r="AH7" s="100" t="s">
        <v>300</v>
      </c>
      <c r="AI7" s="100" t="s">
        <v>300</v>
      </c>
    </row>
    <row r="8" spans="1:35" ht="15.75" thickTop="1" x14ac:dyDescent="0.25"/>
    <row r="27" spans="1:1" x14ac:dyDescent="0.25">
      <c r="A27" t="s">
        <v>74</v>
      </c>
    </row>
    <row r="53" spans="1:1" x14ac:dyDescent="0.25">
      <c r="A53" t="s">
        <v>88</v>
      </c>
    </row>
    <row r="80" spans="1:1" x14ac:dyDescent="0.25">
      <c r="A80" t="s">
        <v>75</v>
      </c>
    </row>
    <row r="107" spans="1:1" x14ac:dyDescent="0.25">
      <c r="A107" t="s">
        <v>89</v>
      </c>
    </row>
    <row r="133" spans="1:1" x14ac:dyDescent="0.25">
      <c r="A133" t="s">
        <v>499</v>
      </c>
    </row>
    <row r="160" spans="1:1" x14ac:dyDescent="0.25">
      <c r="A160" t="s">
        <v>500</v>
      </c>
    </row>
    <row r="187" spans="1:1" x14ac:dyDescent="0.25">
      <c r="A187" t="s">
        <v>501</v>
      </c>
    </row>
    <row r="213" spans="1:1" x14ac:dyDescent="0.25">
      <c r="A213" t="s">
        <v>502</v>
      </c>
    </row>
    <row r="240" spans="1:1" x14ac:dyDescent="0.25">
      <c r="A240" t="s">
        <v>503</v>
      </c>
    </row>
    <row r="266" spans="1:11" ht="15.75" thickBot="1" x14ac:dyDescent="0.3"/>
    <row r="267" spans="1:11" ht="126.75" thickBot="1" x14ac:dyDescent="0.3">
      <c r="A267" t="s">
        <v>81</v>
      </c>
      <c r="D267" s="215" t="s">
        <v>270</v>
      </c>
      <c r="E267" s="215"/>
      <c r="F267" s="153" t="s">
        <v>455</v>
      </c>
      <c r="G267" s="153" t="s">
        <v>193</v>
      </c>
      <c r="H267" s="153">
        <v>2016</v>
      </c>
      <c r="I267" s="153">
        <v>2016</v>
      </c>
      <c r="J267" s="153" t="s">
        <v>450</v>
      </c>
      <c r="K267" s="153" t="s">
        <v>451</v>
      </c>
    </row>
    <row r="268" spans="1:11" ht="16.5" x14ac:dyDescent="0.25">
      <c r="D268" s="251" t="s">
        <v>11</v>
      </c>
      <c r="E268" s="254" t="s">
        <v>194</v>
      </c>
      <c r="F268" s="94">
        <v>1</v>
      </c>
      <c r="G268" s="95" t="s">
        <v>195</v>
      </c>
      <c r="H268" s="96">
        <v>85.48</v>
      </c>
      <c r="I268" s="97">
        <v>94.52</v>
      </c>
      <c r="J268" s="96">
        <v>71.930000000000007</v>
      </c>
      <c r="K268" s="96">
        <v>83.65</v>
      </c>
    </row>
    <row r="269" spans="1:11" ht="16.5" x14ac:dyDescent="0.25">
      <c r="D269" s="252"/>
      <c r="E269" s="255"/>
      <c r="F269" s="94">
        <v>2</v>
      </c>
      <c r="G269" s="95" t="s">
        <v>196</v>
      </c>
      <c r="H269" s="96">
        <v>84.05</v>
      </c>
      <c r="I269" s="97">
        <v>94.08</v>
      </c>
      <c r="J269" s="96">
        <v>72.400000000000006</v>
      </c>
      <c r="K269" s="96">
        <v>83.46</v>
      </c>
    </row>
    <row r="270" spans="1:11" ht="16.5" x14ac:dyDescent="0.25">
      <c r="D270" s="252"/>
      <c r="E270" s="256" t="s">
        <v>197</v>
      </c>
      <c r="F270" s="94">
        <v>3</v>
      </c>
      <c r="G270" s="95" t="s">
        <v>198</v>
      </c>
      <c r="H270" s="97">
        <v>87.08</v>
      </c>
      <c r="I270" s="97">
        <v>96.28</v>
      </c>
      <c r="J270" s="96">
        <v>81.36</v>
      </c>
      <c r="K270" s="97">
        <v>89.14</v>
      </c>
    </row>
    <row r="271" spans="1:11" ht="16.5" x14ac:dyDescent="0.25">
      <c r="D271" s="253"/>
      <c r="E271" s="255"/>
      <c r="F271" s="94">
        <v>4</v>
      </c>
      <c r="G271" s="95" t="s">
        <v>199</v>
      </c>
      <c r="H271" s="97">
        <v>89.51</v>
      </c>
      <c r="I271" s="97">
        <v>96.06</v>
      </c>
      <c r="J271" s="96">
        <v>84.9</v>
      </c>
      <c r="K271" s="97">
        <v>91.89</v>
      </c>
    </row>
    <row r="272" spans="1:11" ht="16.5" x14ac:dyDescent="0.25">
      <c r="D272" s="257" t="s">
        <v>12</v>
      </c>
      <c r="E272" s="256" t="s">
        <v>200</v>
      </c>
      <c r="F272" s="94">
        <v>5</v>
      </c>
      <c r="G272" s="95" t="s">
        <v>201</v>
      </c>
      <c r="H272" s="97">
        <v>89.01</v>
      </c>
      <c r="I272" s="97">
        <v>96.06</v>
      </c>
      <c r="J272" s="96">
        <v>82.09</v>
      </c>
      <c r="K272" s="97">
        <v>92.38</v>
      </c>
    </row>
    <row r="273" spans="4:11" ht="16.5" x14ac:dyDescent="0.25">
      <c r="D273" s="252"/>
      <c r="E273" s="258"/>
      <c r="F273" s="94">
        <v>6</v>
      </c>
      <c r="G273" s="95" t="s">
        <v>202</v>
      </c>
      <c r="H273" s="96">
        <v>84.34</v>
      </c>
      <c r="I273" s="97">
        <v>94.53</v>
      </c>
      <c r="J273" s="96">
        <v>78.010000000000005</v>
      </c>
      <c r="K273" s="97">
        <v>90.85</v>
      </c>
    </row>
    <row r="274" spans="4:11" ht="16.5" x14ac:dyDescent="0.25">
      <c r="D274" s="252"/>
      <c r="E274" s="255"/>
      <c r="F274" s="94">
        <v>7</v>
      </c>
      <c r="G274" s="95" t="s">
        <v>203</v>
      </c>
      <c r="H274" s="96">
        <v>76.25</v>
      </c>
      <c r="I274" s="97">
        <v>90.57</v>
      </c>
      <c r="J274" s="96">
        <v>68.849999999999994</v>
      </c>
      <c r="K274" s="96">
        <v>81.239999999999995</v>
      </c>
    </row>
    <row r="275" spans="4:11" ht="30" x14ac:dyDescent="0.25">
      <c r="D275" s="252"/>
      <c r="E275" s="256" t="s">
        <v>204</v>
      </c>
      <c r="F275" s="94">
        <v>8</v>
      </c>
      <c r="G275" s="95" t="s">
        <v>205</v>
      </c>
      <c r="H275" s="97">
        <v>87.18</v>
      </c>
      <c r="I275" s="97">
        <v>95.4</v>
      </c>
      <c r="J275" s="96">
        <v>82.88</v>
      </c>
      <c r="K275" s="97">
        <v>90.08</v>
      </c>
    </row>
    <row r="276" spans="4:11" ht="16.5" x14ac:dyDescent="0.25">
      <c r="D276" s="252"/>
      <c r="E276" s="255"/>
      <c r="F276" s="94">
        <v>9</v>
      </c>
      <c r="G276" s="95" t="s">
        <v>206</v>
      </c>
      <c r="H276" s="97">
        <v>89.17</v>
      </c>
      <c r="I276" s="97">
        <v>97.37</v>
      </c>
      <c r="J276" s="97">
        <v>86.01</v>
      </c>
      <c r="K276" s="97">
        <v>95.21</v>
      </c>
    </row>
    <row r="277" spans="4:11" ht="16.5" x14ac:dyDescent="0.25">
      <c r="D277" s="253"/>
      <c r="E277" s="155" t="s">
        <v>207</v>
      </c>
      <c r="F277" s="94">
        <v>10</v>
      </c>
      <c r="G277" s="95" t="s">
        <v>208</v>
      </c>
      <c r="H277" s="97">
        <v>88.56</v>
      </c>
      <c r="I277" s="97">
        <v>95.38</v>
      </c>
      <c r="J277" s="96">
        <v>77.41</v>
      </c>
      <c r="K277" s="97">
        <v>87.68</v>
      </c>
    </row>
    <row r="278" spans="4:11" ht="16.5" x14ac:dyDescent="0.25">
      <c r="D278" s="257" t="s">
        <v>13</v>
      </c>
      <c r="E278" s="256" t="s">
        <v>209</v>
      </c>
      <c r="F278" s="94">
        <v>11</v>
      </c>
      <c r="G278" s="95" t="s">
        <v>210</v>
      </c>
      <c r="H278" s="96">
        <v>82.4</v>
      </c>
      <c r="I278" s="97">
        <v>92.11</v>
      </c>
      <c r="J278" s="96">
        <v>74.319999999999993</v>
      </c>
      <c r="K278" s="97">
        <v>87.25</v>
      </c>
    </row>
    <row r="279" spans="4:11" ht="16.5" x14ac:dyDescent="0.25">
      <c r="D279" s="252"/>
      <c r="E279" s="258"/>
      <c r="F279" s="94">
        <v>12</v>
      </c>
      <c r="G279" s="95" t="s">
        <v>211</v>
      </c>
      <c r="H279" s="96">
        <v>82.42</v>
      </c>
      <c r="I279" s="97">
        <v>91.67</v>
      </c>
      <c r="J279" s="96">
        <v>74.2</v>
      </c>
      <c r="K279" s="96">
        <v>85.16</v>
      </c>
    </row>
    <row r="280" spans="4:11" ht="16.5" x14ac:dyDescent="0.25">
      <c r="D280" s="252"/>
      <c r="E280" s="255"/>
      <c r="F280" s="94">
        <v>13</v>
      </c>
      <c r="G280" s="95" t="s">
        <v>212</v>
      </c>
      <c r="H280" s="96">
        <v>85.31</v>
      </c>
      <c r="I280" s="97">
        <v>97.37</v>
      </c>
      <c r="J280" s="96">
        <v>81.02</v>
      </c>
      <c r="K280" s="96">
        <v>85.17</v>
      </c>
    </row>
    <row r="281" spans="4:11" ht="17.25" thickBot="1" x14ac:dyDescent="0.3">
      <c r="D281" s="259"/>
      <c r="E281" s="155" t="s">
        <v>213</v>
      </c>
      <c r="F281" s="94">
        <v>14</v>
      </c>
      <c r="G281" s="95" t="s">
        <v>214</v>
      </c>
      <c r="H281" s="97">
        <v>92.33</v>
      </c>
      <c r="I281" s="97">
        <v>96.93</v>
      </c>
      <c r="J281" s="97">
        <v>86.87</v>
      </c>
      <c r="K281" s="97">
        <v>94.91</v>
      </c>
    </row>
    <row r="292" spans="1:11" ht="15.75" thickBot="1" x14ac:dyDescent="0.3"/>
    <row r="293" spans="1:11" ht="126.75" thickBot="1" x14ac:dyDescent="0.3">
      <c r="A293" t="s">
        <v>82</v>
      </c>
      <c r="D293" s="215" t="s">
        <v>270</v>
      </c>
      <c r="E293" s="215"/>
      <c r="F293" s="153" t="s">
        <v>455</v>
      </c>
      <c r="G293" s="153" t="s">
        <v>193</v>
      </c>
      <c r="H293" s="153">
        <v>2016</v>
      </c>
      <c r="I293" s="153">
        <v>2016</v>
      </c>
      <c r="J293" s="153" t="s">
        <v>450</v>
      </c>
      <c r="K293" s="153" t="s">
        <v>451</v>
      </c>
    </row>
    <row r="294" spans="1:11" ht="16.5" x14ac:dyDescent="0.25">
      <c r="D294" s="221" t="s">
        <v>14</v>
      </c>
      <c r="E294" s="224" t="s">
        <v>215</v>
      </c>
      <c r="F294" s="94">
        <v>15</v>
      </c>
      <c r="G294" s="95" t="s">
        <v>216</v>
      </c>
      <c r="H294" s="96">
        <v>79.709999999999994</v>
      </c>
      <c r="I294" s="97">
        <v>94.29</v>
      </c>
      <c r="J294" s="96">
        <v>73.25</v>
      </c>
      <c r="K294" s="97">
        <v>87.27</v>
      </c>
    </row>
    <row r="295" spans="1:11" ht="16.5" x14ac:dyDescent="0.25">
      <c r="D295" s="222"/>
      <c r="E295" s="225"/>
      <c r="F295" s="94">
        <v>16</v>
      </c>
      <c r="G295" s="95" t="s">
        <v>217</v>
      </c>
      <c r="H295" s="96">
        <v>83.11</v>
      </c>
      <c r="I295" s="97">
        <v>98.25</v>
      </c>
      <c r="J295" s="96">
        <v>82.08</v>
      </c>
      <c r="K295" s="97">
        <v>88.76</v>
      </c>
    </row>
    <row r="296" spans="1:11" ht="16.5" x14ac:dyDescent="0.25">
      <c r="D296" s="222"/>
      <c r="E296" s="226" t="s">
        <v>218</v>
      </c>
      <c r="F296" s="94">
        <v>17</v>
      </c>
      <c r="G296" s="95" t="s">
        <v>219</v>
      </c>
      <c r="H296" s="96">
        <v>79.77</v>
      </c>
      <c r="I296" s="97">
        <v>90.81</v>
      </c>
      <c r="J296" s="96">
        <v>70.37</v>
      </c>
      <c r="K296" s="96">
        <v>83.54</v>
      </c>
    </row>
    <row r="297" spans="1:11" ht="16.5" x14ac:dyDescent="0.25">
      <c r="D297" s="223"/>
      <c r="E297" s="225"/>
      <c r="F297" s="94">
        <v>18</v>
      </c>
      <c r="G297" s="95" t="s">
        <v>220</v>
      </c>
      <c r="H297" s="97">
        <v>85.53</v>
      </c>
      <c r="I297" s="97">
        <v>94.09</v>
      </c>
      <c r="J297" s="96">
        <v>80.94</v>
      </c>
      <c r="K297" s="97">
        <v>88.42</v>
      </c>
    </row>
    <row r="298" spans="1:11" ht="16.5" x14ac:dyDescent="0.25">
      <c r="D298" s="227" t="s">
        <v>15</v>
      </c>
      <c r="E298" s="226" t="s">
        <v>221</v>
      </c>
      <c r="F298" s="94">
        <v>19</v>
      </c>
      <c r="G298" s="95" t="s">
        <v>222</v>
      </c>
      <c r="H298" s="96">
        <v>83.52</v>
      </c>
      <c r="I298" s="97">
        <v>93.22</v>
      </c>
      <c r="J298" s="96">
        <v>76.94</v>
      </c>
      <c r="K298" s="97">
        <v>88.49</v>
      </c>
    </row>
    <row r="299" spans="1:11" ht="30" x14ac:dyDescent="0.25">
      <c r="D299" s="223"/>
      <c r="E299" s="225"/>
      <c r="F299" s="94">
        <v>20</v>
      </c>
      <c r="G299" s="95" t="s">
        <v>223</v>
      </c>
      <c r="H299" s="96">
        <v>79.17</v>
      </c>
      <c r="I299" s="97">
        <v>91.89</v>
      </c>
      <c r="J299" s="96">
        <v>69.31</v>
      </c>
      <c r="K299" s="96">
        <v>83.64</v>
      </c>
    </row>
    <row r="300" spans="1:11" ht="16.5" x14ac:dyDescent="0.25">
      <c r="D300" s="227" t="s">
        <v>16</v>
      </c>
      <c r="E300" s="226" t="s">
        <v>224</v>
      </c>
      <c r="F300" s="94">
        <v>21</v>
      </c>
      <c r="G300" s="95" t="s">
        <v>225</v>
      </c>
      <c r="H300" s="97">
        <v>91.17</v>
      </c>
      <c r="I300" s="97">
        <v>98.02</v>
      </c>
      <c r="J300" s="97">
        <v>89.53</v>
      </c>
      <c r="K300" s="97">
        <v>95.8</v>
      </c>
    </row>
    <row r="301" spans="1:11" ht="16.5" x14ac:dyDescent="0.25">
      <c r="D301" s="222"/>
      <c r="E301" s="229"/>
      <c r="F301" s="94">
        <v>22</v>
      </c>
      <c r="G301" s="95" t="s">
        <v>226</v>
      </c>
      <c r="H301" s="96">
        <v>69.52</v>
      </c>
      <c r="I301" s="97">
        <v>94.3</v>
      </c>
      <c r="J301" s="96">
        <v>76.599999999999994</v>
      </c>
      <c r="K301" s="97">
        <v>87.39</v>
      </c>
    </row>
    <row r="302" spans="1:11" ht="16.5" x14ac:dyDescent="0.25">
      <c r="D302" s="222"/>
      <c r="E302" s="225"/>
      <c r="F302" s="94">
        <v>23</v>
      </c>
      <c r="G302" s="95" t="s">
        <v>227</v>
      </c>
      <c r="H302" s="96">
        <v>80.98</v>
      </c>
      <c r="I302" s="97">
        <v>96.06</v>
      </c>
      <c r="J302" s="96">
        <v>80.63</v>
      </c>
      <c r="K302" s="97">
        <v>92.73</v>
      </c>
    </row>
    <row r="303" spans="1:11" ht="16.5" x14ac:dyDescent="0.25">
      <c r="D303" s="222"/>
      <c r="E303" s="226" t="s">
        <v>228</v>
      </c>
      <c r="F303" s="94">
        <v>24</v>
      </c>
      <c r="G303" s="95" t="s">
        <v>229</v>
      </c>
      <c r="H303" s="96">
        <v>84.76</v>
      </c>
      <c r="I303" s="97">
        <v>94.53</v>
      </c>
      <c r="J303" s="96">
        <v>84.95</v>
      </c>
      <c r="K303" s="97">
        <v>89.49</v>
      </c>
    </row>
    <row r="304" spans="1:11" ht="16.5" x14ac:dyDescent="0.25">
      <c r="D304" s="222"/>
      <c r="E304" s="229"/>
      <c r="F304" s="94">
        <v>25</v>
      </c>
      <c r="G304" s="95" t="s">
        <v>230</v>
      </c>
      <c r="H304" s="96">
        <v>75.88</v>
      </c>
      <c r="I304" s="97">
        <v>95.62</v>
      </c>
      <c r="J304" s="96">
        <v>70.97</v>
      </c>
      <c r="K304" s="96">
        <v>79.06</v>
      </c>
    </row>
    <row r="305" spans="1:11" ht="16.5" x14ac:dyDescent="0.25">
      <c r="D305" s="222"/>
      <c r="E305" s="229"/>
      <c r="F305" s="94">
        <v>26</v>
      </c>
      <c r="G305" s="95" t="s">
        <v>231</v>
      </c>
      <c r="H305" s="96">
        <v>85.43</v>
      </c>
      <c r="I305" s="97">
        <v>94.97</v>
      </c>
      <c r="J305" s="96">
        <v>78.45</v>
      </c>
      <c r="K305" s="97">
        <v>88.16</v>
      </c>
    </row>
    <row r="306" spans="1:11" ht="17.25" thickBot="1" x14ac:dyDescent="0.3">
      <c r="D306" s="228"/>
      <c r="E306" s="230"/>
      <c r="F306" s="94">
        <v>27</v>
      </c>
      <c r="G306" s="95" t="s">
        <v>232</v>
      </c>
      <c r="H306" s="96">
        <v>81.680000000000007</v>
      </c>
      <c r="I306" s="97">
        <v>98.46</v>
      </c>
      <c r="J306" s="96">
        <v>72.040000000000006</v>
      </c>
      <c r="K306" s="97">
        <v>90.55</v>
      </c>
    </row>
    <row r="319" spans="1:11" ht="15.75" thickBot="1" x14ac:dyDescent="0.3"/>
    <row r="320" spans="1:11" ht="126.75" thickBot="1" x14ac:dyDescent="0.3">
      <c r="A320" t="s">
        <v>85</v>
      </c>
      <c r="D320" s="215" t="s">
        <v>270</v>
      </c>
      <c r="E320" s="215"/>
      <c r="F320" s="153" t="s">
        <v>455</v>
      </c>
      <c r="G320" s="153" t="s">
        <v>193</v>
      </c>
      <c r="H320" s="153">
        <v>2016</v>
      </c>
      <c r="I320" s="153">
        <v>2016</v>
      </c>
      <c r="J320" s="153" t="s">
        <v>450</v>
      </c>
      <c r="K320" s="153" t="s">
        <v>451</v>
      </c>
    </row>
    <row r="321" spans="4:11" ht="16.5" x14ac:dyDescent="0.25">
      <c r="D321" s="260" t="s">
        <v>17</v>
      </c>
      <c r="E321" s="262" t="s">
        <v>233</v>
      </c>
      <c r="F321" s="94">
        <v>28</v>
      </c>
      <c r="G321" s="95" t="s">
        <v>234</v>
      </c>
      <c r="H321" s="96">
        <v>63.94</v>
      </c>
      <c r="I321" s="97">
        <v>87.97</v>
      </c>
      <c r="J321" s="105">
        <v>51.79</v>
      </c>
      <c r="K321" s="96">
        <v>68.03</v>
      </c>
    </row>
    <row r="322" spans="4:11" ht="16.5" x14ac:dyDescent="0.25">
      <c r="D322" s="197"/>
      <c r="E322" s="263"/>
      <c r="F322" s="94">
        <v>29</v>
      </c>
      <c r="G322" s="95" t="s">
        <v>235</v>
      </c>
      <c r="H322" s="105">
        <v>45.85</v>
      </c>
      <c r="I322" s="96">
        <v>83.55</v>
      </c>
      <c r="J322" s="105">
        <v>44.68</v>
      </c>
      <c r="K322" s="105">
        <v>58.33</v>
      </c>
    </row>
    <row r="323" spans="4:11" ht="16.5" x14ac:dyDescent="0.25">
      <c r="D323" s="197"/>
      <c r="E323" s="264" t="s">
        <v>236</v>
      </c>
      <c r="F323" s="94">
        <v>30</v>
      </c>
      <c r="G323" s="95" t="s">
        <v>237</v>
      </c>
      <c r="H323" s="96">
        <v>72.17</v>
      </c>
      <c r="I323" s="97">
        <v>93.65</v>
      </c>
      <c r="J323" s="96">
        <v>65.959999999999994</v>
      </c>
      <c r="K323" s="96">
        <v>83.3</v>
      </c>
    </row>
    <row r="324" spans="4:11" ht="16.5" x14ac:dyDescent="0.25">
      <c r="D324" s="261"/>
      <c r="E324" s="263"/>
      <c r="F324" s="94">
        <v>31</v>
      </c>
      <c r="G324" s="95" t="s">
        <v>238</v>
      </c>
      <c r="H324" s="97">
        <v>92.08</v>
      </c>
      <c r="I324" s="97">
        <v>98.9</v>
      </c>
      <c r="J324" s="97">
        <v>90.62</v>
      </c>
      <c r="K324" s="97">
        <v>95.96</v>
      </c>
    </row>
    <row r="325" spans="4:11" ht="16.5" x14ac:dyDescent="0.25">
      <c r="D325" s="265" t="s">
        <v>18</v>
      </c>
      <c r="E325" s="266"/>
      <c r="F325" s="94">
        <v>32</v>
      </c>
      <c r="G325" s="95" t="s">
        <v>239</v>
      </c>
      <c r="H325" s="105">
        <v>58.81</v>
      </c>
      <c r="I325" s="96">
        <v>83.99</v>
      </c>
      <c r="J325" s="105">
        <v>59.33</v>
      </c>
      <c r="K325" s="96">
        <v>74.95</v>
      </c>
    </row>
    <row r="326" spans="4:11" ht="16.5" x14ac:dyDescent="0.25">
      <c r="D326" s="265"/>
      <c r="E326" s="266"/>
      <c r="F326" s="94">
        <v>33</v>
      </c>
      <c r="G326" s="95" t="s">
        <v>240</v>
      </c>
      <c r="H326" s="96">
        <v>73.19</v>
      </c>
      <c r="I326" s="97">
        <v>85.93</v>
      </c>
      <c r="J326" s="96">
        <v>64.44</v>
      </c>
      <c r="K326" s="96">
        <v>75.44</v>
      </c>
    </row>
    <row r="327" spans="4:11" ht="16.5" x14ac:dyDescent="0.25">
      <c r="D327" s="267"/>
      <c r="E327" s="268"/>
      <c r="F327" s="94">
        <v>34</v>
      </c>
      <c r="G327" s="95" t="s">
        <v>241</v>
      </c>
      <c r="H327" s="96">
        <v>71.930000000000007</v>
      </c>
      <c r="I327" s="97">
        <v>89.93</v>
      </c>
      <c r="J327" s="96">
        <v>68.69</v>
      </c>
      <c r="K327" s="96">
        <v>83.84</v>
      </c>
    </row>
    <row r="328" spans="4:11" ht="16.5" x14ac:dyDescent="0.25">
      <c r="D328" s="196" t="s">
        <v>19</v>
      </c>
      <c r="E328" s="269" t="s">
        <v>242</v>
      </c>
      <c r="F328" s="94">
        <v>35</v>
      </c>
      <c r="G328" s="95" t="s">
        <v>243</v>
      </c>
      <c r="H328" s="96">
        <v>85.43</v>
      </c>
      <c r="I328" s="97">
        <v>97.58</v>
      </c>
      <c r="J328" s="97">
        <v>88.19</v>
      </c>
      <c r="K328" s="97">
        <v>94.22</v>
      </c>
    </row>
    <row r="329" spans="4:11" ht="16.5" x14ac:dyDescent="0.25">
      <c r="D329" s="197"/>
      <c r="E329" s="270"/>
      <c r="F329" s="94">
        <v>36</v>
      </c>
      <c r="G329" s="95" t="s">
        <v>244</v>
      </c>
      <c r="H329" s="97">
        <v>96.52</v>
      </c>
      <c r="I329" s="97">
        <v>99.12</v>
      </c>
      <c r="J329" s="97">
        <v>94.83</v>
      </c>
      <c r="K329" s="97">
        <v>96.73</v>
      </c>
    </row>
    <row r="330" spans="4:11" ht="16.5" x14ac:dyDescent="0.25">
      <c r="D330" s="197"/>
      <c r="E330" s="270"/>
      <c r="F330" s="94">
        <v>37</v>
      </c>
      <c r="G330" s="95" t="s">
        <v>245</v>
      </c>
      <c r="H330" s="97">
        <v>94.97</v>
      </c>
      <c r="I330" s="97">
        <v>98.68</v>
      </c>
      <c r="J330" s="97">
        <v>93.52</v>
      </c>
      <c r="K330" s="97">
        <v>97.62</v>
      </c>
    </row>
    <row r="331" spans="4:11" ht="16.5" x14ac:dyDescent="0.25">
      <c r="D331" s="197"/>
      <c r="E331" s="263"/>
      <c r="F331" s="94">
        <v>38</v>
      </c>
      <c r="G331" s="95" t="s">
        <v>246</v>
      </c>
      <c r="H331" s="97">
        <v>93.83</v>
      </c>
      <c r="I331" s="97">
        <v>99.12</v>
      </c>
      <c r="J331" s="97">
        <v>92.24</v>
      </c>
      <c r="K331" s="97">
        <v>96.57</v>
      </c>
    </row>
    <row r="332" spans="4:11" ht="30.75" thickBot="1" x14ac:dyDescent="0.3">
      <c r="D332" s="198"/>
      <c r="E332" s="154" t="s">
        <v>247</v>
      </c>
      <c r="F332" s="94">
        <v>39</v>
      </c>
      <c r="G332" s="95" t="s">
        <v>461</v>
      </c>
      <c r="H332" s="96">
        <v>84.65</v>
      </c>
      <c r="I332" s="97">
        <v>95.83</v>
      </c>
      <c r="J332" s="96">
        <v>81.91</v>
      </c>
      <c r="K332" s="97">
        <v>90.85</v>
      </c>
    </row>
    <row r="346" spans="1:11" ht="15.75" thickBot="1" x14ac:dyDescent="0.3"/>
    <row r="347" spans="1:11" ht="126.75" thickBot="1" x14ac:dyDescent="0.3">
      <c r="A347" t="s">
        <v>83</v>
      </c>
      <c r="D347" s="215" t="s">
        <v>270</v>
      </c>
      <c r="E347" s="215"/>
      <c r="F347" s="153" t="s">
        <v>455</v>
      </c>
      <c r="G347" s="153" t="s">
        <v>193</v>
      </c>
      <c r="H347" s="153">
        <v>2016</v>
      </c>
      <c r="I347" s="153">
        <v>2016</v>
      </c>
      <c r="J347" s="153" t="s">
        <v>450</v>
      </c>
      <c r="K347" s="153" t="s">
        <v>451</v>
      </c>
    </row>
    <row r="348" spans="1:11" ht="16.5" x14ac:dyDescent="0.25">
      <c r="D348" s="205" t="s">
        <v>20</v>
      </c>
      <c r="E348" s="206"/>
      <c r="F348" s="94">
        <v>40</v>
      </c>
      <c r="G348" s="95" t="s">
        <v>248</v>
      </c>
      <c r="H348" s="96">
        <v>83.95</v>
      </c>
      <c r="I348" s="97">
        <v>92.34</v>
      </c>
      <c r="J348" s="96">
        <v>77.8</v>
      </c>
      <c r="K348" s="97">
        <v>87.06</v>
      </c>
    </row>
    <row r="349" spans="1:11" ht="16.5" x14ac:dyDescent="0.25">
      <c r="D349" s="207"/>
      <c r="E349" s="208"/>
      <c r="F349" s="94">
        <v>41</v>
      </c>
      <c r="G349" s="95" t="s">
        <v>249</v>
      </c>
      <c r="H349" s="96">
        <v>77.3</v>
      </c>
      <c r="I349" s="97">
        <v>95.62</v>
      </c>
      <c r="J349" s="96">
        <v>74.849999999999994</v>
      </c>
      <c r="K349" s="97">
        <v>86.28</v>
      </c>
    </row>
    <row r="350" spans="1:11" ht="16.5" x14ac:dyDescent="0.25">
      <c r="D350" s="209" t="s">
        <v>21</v>
      </c>
      <c r="E350" s="210"/>
      <c r="F350" s="94">
        <v>42</v>
      </c>
      <c r="G350" s="95" t="s">
        <v>250</v>
      </c>
      <c r="H350" s="97">
        <v>90.85</v>
      </c>
      <c r="I350" s="97">
        <v>97.37</v>
      </c>
      <c r="J350" s="97">
        <v>87.31</v>
      </c>
      <c r="K350" s="97">
        <v>93.24</v>
      </c>
    </row>
    <row r="351" spans="1:11" ht="16.5" x14ac:dyDescent="0.25">
      <c r="D351" s="207"/>
      <c r="E351" s="208"/>
      <c r="F351" s="94">
        <v>43</v>
      </c>
      <c r="G351" s="95" t="s">
        <v>251</v>
      </c>
      <c r="H351" s="96">
        <v>77.12</v>
      </c>
      <c r="I351" s="97">
        <v>93.64</v>
      </c>
      <c r="J351" s="96">
        <v>72.97</v>
      </c>
      <c r="K351" s="97">
        <v>91.19</v>
      </c>
    </row>
    <row r="352" spans="1:11" ht="16.5" x14ac:dyDescent="0.25">
      <c r="D352" s="209" t="s">
        <v>22</v>
      </c>
      <c r="E352" s="210"/>
      <c r="F352" s="94">
        <v>44</v>
      </c>
      <c r="G352" s="95" t="s">
        <v>252</v>
      </c>
      <c r="H352" s="97">
        <v>86.83</v>
      </c>
      <c r="I352" s="97">
        <v>97.81</v>
      </c>
      <c r="J352" s="96">
        <v>79.09</v>
      </c>
      <c r="K352" s="97">
        <v>88.52</v>
      </c>
    </row>
    <row r="353" spans="4:11" ht="16.5" x14ac:dyDescent="0.25">
      <c r="D353" s="211"/>
      <c r="E353" s="212"/>
      <c r="F353" s="94">
        <v>45</v>
      </c>
      <c r="G353" s="95" t="s">
        <v>253</v>
      </c>
      <c r="H353" s="97">
        <v>89.37</v>
      </c>
      <c r="I353" s="97">
        <v>98.47</v>
      </c>
      <c r="J353" s="97">
        <v>85.6</v>
      </c>
      <c r="K353" s="97">
        <v>94.71</v>
      </c>
    </row>
    <row r="354" spans="4:11" ht="16.5" x14ac:dyDescent="0.25">
      <c r="D354" s="211"/>
      <c r="E354" s="212"/>
      <c r="F354" s="94">
        <v>46</v>
      </c>
      <c r="G354" s="95" t="s">
        <v>254</v>
      </c>
      <c r="H354" s="96">
        <v>79.180000000000007</v>
      </c>
      <c r="I354" s="97">
        <v>96.49</v>
      </c>
      <c r="J354" s="96">
        <v>78.81</v>
      </c>
      <c r="K354" s="97">
        <v>93.71</v>
      </c>
    </row>
    <row r="355" spans="4:11" ht="17.25" thickBot="1" x14ac:dyDescent="0.3">
      <c r="D355" s="213"/>
      <c r="E355" s="214"/>
      <c r="F355" s="94">
        <v>47</v>
      </c>
      <c r="G355" s="95" t="s">
        <v>255</v>
      </c>
      <c r="H355" s="96">
        <v>81.77</v>
      </c>
      <c r="I355" s="97">
        <v>95.84</v>
      </c>
      <c r="J355" s="96">
        <v>79.37</v>
      </c>
      <c r="K355" s="97">
        <v>93.16</v>
      </c>
    </row>
    <row r="372" spans="1:11" ht="15.75" thickBot="1" x14ac:dyDescent="0.3"/>
    <row r="373" spans="1:11" ht="126.75" thickBot="1" x14ac:dyDescent="0.3">
      <c r="A373" t="s">
        <v>84</v>
      </c>
      <c r="D373" s="215" t="s">
        <v>270</v>
      </c>
      <c r="E373" s="215"/>
      <c r="F373" s="153" t="s">
        <v>455</v>
      </c>
      <c r="G373" s="153" t="s">
        <v>193</v>
      </c>
      <c r="H373" s="153">
        <v>2016</v>
      </c>
      <c r="I373" s="153">
        <v>2016</v>
      </c>
      <c r="J373" s="153" t="s">
        <v>450</v>
      </c>
      <c r="K373" s="153" t="s">
        <v>451</v>
      </c>
    </row>
    <row r="374" spans="1:11" ht="16.5" x14ac:dyDescent="0.25">
      <c r="D374" s="199" t="s">
        <v>23</v>
      </c>
      <c r="E374" s="200"/>
      <c r="F374" s="94">
        <v>48</v>
      </c>
      <c r="G374" s="95" t="s">
        <v>256</v>
      </c>
      <c r="H374" s="97">
        <v>89.81</v>
      </c>
      <c r="I374" s="97">
        <v>97.37</v>
      </c>
      <c r="J374" s="97">
        <v>87.45</v>
      </c>
      <c r="K374" s="97">
        <v>92.94</v>
      </c>
    </row>
    <row r="375" spans="1:11" ht="16.5" x14ac:dyDescent="0.25">
      <c r="D375" s="201"/>
      <c r="E375" s="202"/>
      <c r="F375" s="94">
        <v>49</v>
      </c>
      <c r="G375" s="95" t="s">
        <v>257</v>
      </c>
      <c r="H375" s="97">
        <v>88.17</v>
      </c>
      <c r="I375" s="97">
        <v>98.46</v>
      </c>
      <c r="J375" s="96">
        <v>85.47</v>
      </c>
      <c r="K375" s="97">
        <v>94.42</v>
      </c>
    </row>
    <row r="376" spans="1:11" ht="16.5" x14ac:dyDescent="0.25">
      <c r="D376" s="203"/>
      <c r="E376" s="204"/>
      <c r="F376" s="94">
        <v>50</v>
      </c>
      <c r="G376" s="95" t="s">
        <v>258</v>
      </c>
      <c r="H376" s="96">
        <v>83.84</v>
      </c>
      <c r="I376" s="97">
        <v>96.49</v>
      </c>
      <c r="J376" s="96">
        <v>81.22</v>
      </c>
      <c r="K376" s="97">
        <v>92.18</v>
      </c>
    </row>
    <row r="377" spans="1:11" ht="16.5" x14ac:dyDescent="0.25">
      <c r="D377" s="191" t="s">
        <v>24</v>
      </c>
      <c r="E377" s="216" t="s">
        <v>259</v>
      </c>
      <c r="F377" s="94">
        <v>51</v>
      </c>
      <c r="G377" s="95" t="s">
        <v>260</v>
      </c>
      <c r="H377" s="97">
        <v>90.49</v>
      </c>
      <c r="I377" s="97">
        <v>99.34</v>
      </c>
      <c r="J377" s="97">
        <v>89.51</v>
      </c>
      <c r="K377" s="97">
        <v>95.4</v>
      </c>
    </row>
    <row r="378" spans="1:11" ht="16.5" x14ac:dyDescent="0.25">
      <c r="D378" s="192"/>
      <c r="E378" s="217"/>
      <c r="F378" s="94">
        <v>52</v>
      </c>
      <c r="G378" s="95" t="s">
        <v>261</v>
      </c>
      <c r="H378" s="96">
        <v>84.02</v>
      </c>
      <c r="I378" s="97">
        <v>97.37</v>
      </c>
      <c r="J378" s="96">
        <v>82.63</v>
      </c>
      <c r="K378" s="97">
        <v>93.56</v>
      </c>
    </row>
    <row r="379" spans="1:11" ht="16.5" x14ac:dyDescent="0.25">
      <c r="D379" s="192"/>
      <c r="E379" s="218" t="s">
        <v>262</v>
      </c>
      <c r="F379" s="94">
        <v>53</v>
      </c>
      <c r="G379" s="95" t="s">
        <v>263</v>
      </c>
      <c r="H379" s="97">
        <v>93.54</v>
      </c>
      <c r="I379" s="97">
        <v>98.03</v>
      </c>
      <c r="J379" s="97">
        <v>91.37</v>
      </c>
      <c r="K379" s="97">
        <v>96.02</v>
      </c>
    </row>
    <row r="380" spans="1:11" ht="30" x14ac:dyDescent="0.25">
      <c r="D380" s="193"/>
      <c r="E380" s="217"/>
      <c r="F380" s="94">
        <v>54</v>
      </c>
      <c r="G380" s="95" t="s">
        <v>264</v>
      </c>
      <c r="H380" s="96">
        <v>85.06</v>
      </c>
      <c r="I380" s="97">
        <v>96.04</v>
      </c>
      <c r="J380" s="96">
        <v>82.91</v>
      </c>
      <c r="K380" s="97">
        <v>90.76</v>
      </c>
    </row>
    <row r="381" spans="1:11" ht="16.5" x14ac:dyDescent="0.25">
      <c r="D381" s="201" t="s">
        <v>25</v>
      </c>
      <c r="E381" s="202"/>
      <c r="F381" s="94">
        <v>55</v>
      </c>
      <c r="G381" s="95" t="s">
        <v>265</v>
      </c>
      <c r="H381" s="96">
        <v>81.8</v>
      </c>
      <c r="I381" s="97">
        <v>96.94</v>
      </c>
      <c r="J381" s="96">
        <v>77.45</v>
      </c>
      <c r="K381" s="97">
        <v>90.16</v>
      </c>
    </row>
    <row r="382" spans="1:11" ht="16.5" x14ac:dyDescent="0.25">
      <c r="D382" s="201"/>
      <c r="E382" s="202"/>
      <c r="F382" s="94">
        <v>56</v>
      </c>
      <c r="G382" s="95" t="s">
        <v>266</v>
      </c>
      <c r="H382" s="96">
        <v>81.81</v>
      </c>
      <c r="I382" s="97">
        <v>95.83</v>
      </c>
      <c r="J382" s="96">
        <v>75.42</v>
      </c>
      <c r="K382" s="97">
        <v>90.17</v>
      </c>
    </row>
    <row r="383" spans="1:11" ht="17.25" thickBot="1" x14ac:dyDescent="0.3">
      <c r="D383" s="219"/>
      <c r="E383" s="220"/>
      <c r="F383" s="94">
        <v>57</v>
      </c>
      <c r="G383" s="95" t="s">
        <v>267</v>
      </c>
      <c r="H383" s="96">
        <v>83.31</v>
      </c>
      <c r="I383" s="97">
        <v>93.2</v>
      </c>
      <c r="J383" s="96">
        <v>81.459999999999994</v>
      </c>
      <c r="K383" s="97">
        <v>91.62</v>
      </c>
    </row>
    <row r="400" spans="1:21" ht="30" customHeight="1" thickBot="1" x14ac:dyDescent="0.3">
      <c r="A400" t="s">
        <v>107</v>
      </c>
      <c r="M400" s="321" t="s">
        <v>147</v>
      </c>
      <c r="N400" s="321"/>
      <c r="O400" s="156" t="s">
        <v>270</v>
      </c>
      <c r="P400" s="127">
        <v>2016</v>
      </c>
      <c r="Q400" s="127">
        <v>2016</v>
      </c>
      <c r="R400" s="127" t="s">
        <v>450</v>
      </c>
      <c r="S400" s="127" t="s">
        <v>451</v>
      </c>
      <c r="T400" s="127" t="s">
        <v>452</v>
      </c>
      <c r="U400" s="127" t="s">
        <v>453</v>
      </c>
    </row>
    <row r="401" spans="1:21" ht="20.100000000000001" customHeight="1" x14ac:dyDescent="0.25">
      <c r="A401" t="s">
        <v>90</v>
      </c>
      <c r="M401" s="325" t="s">
        <v>33</v>
      </c>
      <c r="N401" s="322">
        <v>86</v>
      </c>
      <c r="O401" s="132" t="s">
        <v>11</v>
      </c>
      <c r="P401" s="119">
        <v>86.53</v>
      </c>
      <c r="Q401" s="119">
        <v>95.23</v>
      </c>
      <c r="R401" s="119">
        <v>77.650000000000006</v>
      </c>
      <c r="S401" s="119">
        <v>87.04</v>
      </c>
      <c r="T401" s="119">
        <v>-8.6999999999999993</v>
      </c>
      <c r="U401" s="119">
        <v>8.8800000000000008</v>
      </c>
    </row>
    <row r="402" spans="1:21" ht="20.100000000000001" customHeight="1" x14ac:dyDescent="0.25">
      <c r="M402" s="326"/>
      <c r="N402" s="323"/>
      <c r="O402" s="133" t="s">
        <v>12</v>
      </c>
      <c r="P402" s="120">
        <v>85.75</v>
      </c>
      <c r="Q402" s="120">
        <v>94.89</v>
      </c>
      <c r="R402" s="120">
        <v>79.209999999999994</v>
      </c>
      <c r="S402" s="120">
        <v>89.57</v>
      </c>
      <c r="T402" s="120">
        <v>-9.14</v>
      </c>
      <c r="U402" s="120">
        <v>6.54</v>
      </c>
    </row>
    <row r="403" spans="1:21" ht="20.100000000000001" customHeight="1" thickBot="1" x14ac:dyDescent="0.3">
      <c r="M403" s="327"/>
      <c r="N403" s="324"/>
      <c r="O403" s="134" t="s">
        <v>13</v>
      </c>
      <c r="P403" s="121">
        <v>85.61</v>
      </c>
      <c r="Q403" s="121">
        <v>94.52</v>
      </c>
      <c r="R403" s="121">
        <v>79.099999999999994</v>
      </c>
      <c r="S403" s="121">
        <v>88.12</v>
      </c>
      <c r="T403" s="121">
        <v>-8.91</v>
      </c>
      <c r="U403" s="121">
        <v>6.51</v>
      </c>
    </row>
    <row r="404" spans="1:21" ht="20.100000000000001" customHeight="1" x14ac:dyDescent="0.25">
      <c r="M404" s="306" t="s">
        <v>40</v>
      </c>
      <c r="N404" s="303">
        <v>82</v>
      </c>
      <c r="O404" s="135" t="s">
        <v>14</v>
      </c>
      <c r="P404" s="128">
        <v>82.03</v>
      </c>
      <c r="Q404" s="128">
        <v>94.36</v>
      </c>
      <c r="R404" s="128">
        <v>76.66</v>
      </c>
      <c r="S404" s="128">
        <v>87</v>
      </c>
      <c r="T404" s="128">
        <v>-12.33</v>
      </c>
      <c r="U404" s="128">
        <v>5.37</v>
      </c>
    </row>
    <row r="405" spans="1:21" ht="20.100000000000001" customHeight="1" x14ac:dyDescent="0.25">
      <c r="M405" s="307"/>
      <c r="N405" s="304"/>
      <c r="O405" s="136" t="s">
        <v>15</v>
      </c>
      <c r="P405" s="129">
        <v>81.34</v>
      </c>
      <c r="Q405" s="129">
        <v>92.55</v>
      </c>
      <c r="R405" s="129">
        <v>73.13</v>
      </c>
      <c r="S405" s="129">
        <v>86.07</v>
      </c>
      <c r="T405" s="129">
        <v>-11.21</v>
      </c>
      <c r="U405" s="129">
        <v>8.2100000000000009</v>
      </c>
    </row>
    <row r="406" spans="1:21" ht="20.100000000000001" customHeight="1" thickBot="1" x14ac:dyDescent="0.3">
      <c r="M406" s="308"/>
      <c r="N406" s="305"/>
      <c r="O406" s="137" t="s">
        <v>16</v>
      </c>
      <c r="P406" s="130">
        <v>81.349999999999994</v>
      </c>
      <c r="Q406" s="130">
        <v>95.99</v>
      </c>
      <c r="R406" s="130">
        <v>79.02</v>
      </c>
      <c r="S406" s="130">
        <v>89.03</v>
      </c>
      <c r="T406" s="130">
        <v>-14.64</v>
      </c>
      <c r="U406" s="130">
        <v>2.33</v>
      </c>
    </row>
    <row r="407" spans="1:21" ht="20.100000000000001" customHeight="1" x14ac:dyDescent="0.25">
      <c r="M407" s="312" t="s">
        <v>47</v>
      </c>
      <c r="N407" s="309">
        <v>78</v>
      </c>
      <c r="O407" s="138" t="s">
        <v>17</v>
      </c>
      <c r="P407" s="119">
        <v>68.510000000000005</v>
      </c>
      <c r="Q407" s="119">
        <v>91.02</v>
      </c>
      <c r="R407" s="119">
        <v>63.26</v>
      </c>
      <c r="S407" s="119">
        <v>76.400000000000006</v>
      </c>
      <c r="T407" s="119">
        <v>-22.51</v>
      </c>
      <c r="U407" s="119">
        <v>5.25</v>
      </c>
    </row>
    <row r="408" spans="1:21" ht="20.100000000000001" customHeight="1" x14ac:dyDescent="0.25">
      <c r="M408" s="313"/>
      <c r="N408" s="310"/>
      <c r="O408" s="139" t="s">
        <v>18</v>
      </c>
      <c r="P408" s="122">
        <v>67.98</v>
      </c>
      <c r="Q408" s="122">
        <v>86.62</v>
      </c>
      <c r="R408" s="122">
        <v>64.150000000000006</v>
      </c>
      <c r="S408" s="122">
        <v>78.08</v>
      </c>
      <c r="T408" s="122">
        <v>-18.64</v>
      </c>
      <c r="U408" s="122">
        <v>3.83</v>
      </c>
    </row>
    <row r="409" spans="1:21" ht="20.100000000000001" customHeight="1" thickBot="1" x14ac:dyDescent="0.3">
      <c r="M409" s="314"/>
      <c r="N409" s="311"/>
      <c r="O409" s="140" t="s">
        <v>19</v>
      </c>
      <c r="P409" s="123">
        <v>91.08</v>
      </c>
      <c r="Q409" s="123">
        <v>98.07</v>
      </c>
      <c r="R409" s="123">
        <v>90.14</v>
      </c>
      <c r="S409" s="123">
        <v>95.2</v>
      </c>
      <c r="T409" s="123">
        <v>-6.99</v>
      </c>
      <c r="U409" s="123">
        <v>0.94</v>
      </c>
    </row>
    <row r="410" spans="1:21" ht="20.100000000000001" customHeight="1" x14ac:dyDescent="0.25">
      <c r="M410" s="318" t="s">
        <v>54</v>
      </c>
      <c r="N410" s="315">
        <v>83</v>
      </c>
      <c r="O410" s="141" t="s">
        <v>20</v>
      </c>
      <c r="P410" s="128">
        <v>80.63</v>
      </c>
      <c r="Q410" s="128">
        <v>93.98</v>
      </c>
      <c r="R410" s="128">
        <v>76.319999999999993</v>
      </c>
      <c r="S410" s="128">
        <v>86.67</v>
      </c>
      <c r="T410" s="128">
        <v>-13.35</v>
      </c>
      <c r="U410" s="128">
        <v>4.3099999999999996</v>
      </c>
    </row>
    <row r="411" spans="1:21" ht="20.100000000000001" customHeight="1" x14ac:dyDescent="0.25">
      <c r="M411" s="319"/>
      <c r="N411" s="316"/>
      <c r="O411" s="142" t="s">
        <v>21</v>
      </c>
      <c r="P411" s="131">
        <v>83.99</v>
      </c>
      <c r="Q411" s="131">
        <v>95.51</v>
      </c>
      <c r="R411" s="131">
        <v>80.14</v>
      </c>
      <c r="S411" s="131">
        <v>92.22</v>
      </c>
      <c r="T411" s="131">
        <v>-11.52</v>
      </c>
      <c r="U411" s="131">
        <v>3.85</v>
      </c>
    </row>
    <row r="412" spans="1:21" ht="20.100000000000001" customHeight="1" thickBot="1" x14ac:dyDescent="0.3">
      <c r="M412" s="320"/>
      <c r="N412" s="317"/>
      <c r="O412" s="142" t="s">
        <v>22</v>
      </c>
      <c r="P412" s="131">
        <v>84.29</v>
      </c>
      <c r="Q412" s="131">
        <v>97.16</v>
      </c>
      <c r="R412" s="131">
        <v>80.72</v>
      </c>
      <c r="S412" s="131">
        <v>92.52</v>
      </c>
      <c r="T412" s="131">
        <v>-12.87</v>
      </c>
      <c r="U412" s="131">
        <v>3.57</v>
      </c>
    </row>
    <row r="413" spans="1:21" ht="20.100000000000001" customHeight="1" x14ac:dyDescent="0.25">
      <c r="M413" s="300" t="s">
        <v>155</v>
      </c>
      <c r="N413" s="297">
        <v>86</v>
      </c>
      <c r="O413" s="143" t="s">
        <v>23</v>
      </c>
      <c r="P413" s="124">
        <v>87.27</v>
      </c>
      <c r="Q413" s="124">
        <v>97.45</v>
      </c>
      <c r="R413" s="124">
        <v>84.71</v>
      </c>
      <c r="S413" s="124">
        <v>93.18</v>
      </c>
      <c r="T413" s="124">
        <v>-10.18</v>
      </c>
      <c r="U413" s="124">
        <v>2.56</v>
      </c>
    </row>
    <row r="414" spans="1:21" ht="20.100000000000001" customHeight="1" x14ac:dyDescent="0.25">
      <c r="M414" s="301"/>
      <c r="N414" s="298"/>
      <c r="O414" s="144" t="s">
        <v>24</v>
      </c>
      <c r="P414" s="125">
        <v>88.28</v>
      </c>
      <c r="Q414" s="125">
        <v>97.7</v>
      </c>
      <c r="R414" s="125">
        <v>86.6</v>
      </c>
      <c r="S414" s="125">
        <v>93.94</v>
      </c>
      <c r="T414" s="125">
        <v>-9.42</v>
      </c>
      <c r="U414" s="125">
        <v>1.68</v>
      </c>
    </row>
    <row r="415" spans="1:21" ht="20.100000000000001" customHeight="1" thickBot="1" x14ac:dyDescent="0.3">
      <c r="M415" s="302"/>
      <c r="N415" s="299"/>
      <c r="O415" s="145" t="s">
        <v>25</v>
      </c>
      <c r="P415" s="126">
        <v>82.3</v>
      </c>
      <c r="Q415" s="126">
        <v>95.32</v>
      </c>
      <c r="R415" s="126">
        <v>78.11</v>
      </c>
      <c r="S415" s="126">
        <v>90.65</v>
      </c>
      <c r="T415" s="126">
        <v>-13.02</v>
      </c>
      <c r="U415" s="126">
        <v>4.1900000000000004</v>
      </c>
    </row>
    <row r="442" spans="1:9" ht="16.5" x14ac:dyDescent="0.25">
      <c r="A442" t="s">
        <v>504</v>
      </c>
      <c r="F442" s="94">
        <v>59</v>
      </c>
      <c r="G442" s="95" t="s">
        <v>301</v>
      </c>
      <c r="H442" s="96">
        <v>85.1</v>
      </c>
      <c r="I442" s="96"/>
    </row>
    <row r="443" spans="1:9" ht="30" x14ac:dyDescent="0.25">
      <c r="F443" s="94">
        <v>60</v>
      </c>
      <c r="G443" s="95" t="s">
        <v>302</v>
      </c>
      <c r="H443" s="96">
        <v>85.09</v>
      </c>
      <c r="I443" s="96"/>
    </row>
    <row r="444" spans="1:9" ht="16.5" x14ac:dyDescent="0.25">
      <c r="F444" s="94">
        <v>61</v>
      </c>
      <c r="G444" s="95" t="s">
        <v>303</v>
      </c>
      <c r="H444" s="105">
        <v>54.8</v>
      </c>
      <c r="I444" s="96"/>
    </row>
    <row r="445" spans="1:9" ht="30" x14ac:dyDescent="0.25">
      <c r="F445" s="94">
        <v>62</v>
      </c>
      <c r="G445" s="95" t="s">
        <v>304</v>
      </c>
      <c r="H445" s="97">
        <v>92.57</v>
      </c>
      <c r="I445" s="96"/>
    </row>
    <row r="446" spans="1:9" ht="16.5" x14ac:dyDescent="0.25">
      <c r="F446" s="94">
        <v>63</v>
      </c>
      <c r="G446" s="95" t="s">
        <v>305</v>
      </c>
      <c r="H446" s="97">
        <v>93.13</v>
      </c>
      <c r="I446" s="96"/>
    </row>
    <row r="447" spans="1:9" ht="30" x14ac:dyDescent="0.25">
      <c r="F447" s="94">
        <v>64</v>
      </c>
      <c r="G447" s="95" t="s">
        <v>306</v>
      </c>
      <c r="H447" s="96">
        <v>85.46</v>
      </c>
      <c r="I447" s="96"/>
    </row>
    <row r="448" spans="1:9" ht="16.5" x14ac:dyDescent="0.25">
      <c r="F448" s="94">
        <v>65</v>
      </c>
      <c r="G448" s="95" t="s">
        <v>307</v>
      </c>
      <c r="H448" s="96">
        <v>80.86</v>
      </c>
      <c r="I448" s="96"/>
    </row>
    <row r="468" spans="1:9" x14ac:dyDescent="0.25">
      <c r="A468" t="s">
        <v>86</v>
      </c>
      <c r="C468" s="278" t="s">
        <v>148</v>
      </c>
      <c r="D468" s="278"/>
      <c r="E468" s="152" t="s">
        <v>242</v>
      </c>
      <c r="F468" s="116">
        <v>36</v>
      </c>
      <c r="G468" s="116" t="s">
        <v>244</v>
      </c>
      <c r="H468" s="117">
        <v>96.52</v>
      </c>
      <c r="I468" s="117">
        <v>13.61</v>
      </c>
    </row>
    <row r="469" spans="1:9" x14ac:dyDescent="0.25">
      <c r="C469" s="278" t="s">
        <v>148</v>
      </c>
      <c r="D469" s="278"/>
      <c r="E469" s="152" t="s">
        <v>242</v>
      </c>
      <c r="F469" s="116">
        <v>37</v>
      </c>
      <c r="G469" s="116" t="s">
        <v>245</v>
      </c>
      <c r="H469" s="117">
        <v>94.97</v>
      </c>
      <c r="I469" s="117">
        <v>12.06</v>
      </c>
    </row>
    <row r="470" spans="1:9" x14ac:dyDescent="0.25">
      <c r="C470" s="278" t="s">
        <v>148</v>
      </c>
      <c r="D470" s="278"/>
      <c r="E470" s="152" t="s">
        <v>242</v>
      </c>
      <c r="F470" s="116">
        <v>38</v>
      </c>
      <c r="G470" s="116" t="s">
        <v>246</v>
      </c>
      <c r="H470" s="117">
        <v>93.83</v>
      </c>
      <c r="I470" s="117">
        <v>10.92</v>
      </c>
    </row>
    <row r="471" spans="1:9" x14ac:dyDescent="0.25">
      <c r="C471" s="278" t="s">
        <v>160</v>
      </c>
      <c r="D471" s="278"/>
      <c r="E471" s="152" t="s">
        <v>262</v>
      </c>
      <c r="F471" s="116">
        <v>53</v>
      </c>
      <c r="G471" s="116" t="s">
        <v>263</v>
      </c>
      <c r="H471" s="117">
        <v>93.54</v>
      </c>
      <c r="I471" s="117">
        <v>10.63</v>
      </c>
    </row>
    <row r="472" spans="1:9" x14ac:dyDescent="0.25">
      <c r="C472" s="278" t="s">
        <v>149</v>
      </c>
      <c r="D472" s="278"/>
      <c r="E472" s="152" t="s">
        <v>213</v>
      </c>
      <c r="F472" s="116">
        <v>14</v>
      </c>
      <c r="G472" s="116" t="s">
        <v>214</v>
      </c>
      <c r="H472" s="117">
        <v>92.33</v>
      </c>
      <c r="I472" s="117">
        <v>9.42</v>
      </c>
    </row>
    <row r="473" spans="1:9" x14ac:dyDescent="0.25">
      <c r="C473" s="278" t="s">
        <v>148</v>
      </c>
      <c r="D473" s="278"/>
      <c r="E473" s="152" t="s">
        <v>236</v>
      </c>
      <c r="F473" s="116">
        <v>31</v>
      </c>
      <c r="G473" s="116" t="s">
        <v>238</v>
      </c>
      <c r="H473" s="117">
        <v>92.08</v>
      </c>
      <c r="I473" s="117">
        <v>9.17</v>
      </c>
    </row>
    <row r="474" spans="1:9" x14ac:dyDescent="0.25">
      <c r="C474" s="278" t="s">
        <v>150</v>
      </c>
      <c r="D474" s="278"/>
      <c r="E474" s="152" t="s">
        <v>224</v>
      </c>
      <c r="F474" s="116">
        <v>21</v>
      </c>
      <c r="G474" s="116" t="s">
        <v>225</v>
      </c>
      <c r="H474" s="117">
        <v>91.17</v>
      </c>
      <c r="I474" s="117">
        <v>8.26</v>
      </c>
    </row>
    <row r="475" spans="1:9" x14ac:dyDescent="0.25">
      <c r="C475" s="278" t="s">
        <v>159</v>
      </c>
      <c r="D475" s="278"/>
      <c r="E475" s="152" t="s">
        <v>21</v>
      </c>
      <c r="F475" s="116">
        <v>42</v>
      </c>
      <c r="G475" s="116" t="s">
        <v>250</v>
      </c>
      <c r="H475" s="117">
        <v>90.85</v>
      </c>
      <c r="I475" s="117">
        <v>7.94</v>
      </c>
    </row>
    <row r="476" spans="1:9" x14ac:dyDescent="0.25">
      <c r="C476" s="278" t="s">
        <v>160</v>
      </c>
      <c r="D476" s="278"/>
      <c r="E476" s="152" t="s">
        <v>259</v>
      </c>
      <c r="F476" s="116">
        <v>51</v>
      </c>
      <c r="G476" s="116" t="s">
        <v>260</v>
      </c>
      <c r="H476" s="117">
        <v>90.49</v>
      </c>
      <c r="I476" s="117">
        <v>7.57</v>
      </c>
    </row>
    <row r="477" spans="1:9" x14ac:dyDescent="0.25">
      <c r="C477" s="278" t="s">
        <v>160</v>
      </c>
      <c r="D477" s="278"/>
      <c r="E477" s="152" t="s">
        <v>23</v>
      </c>
      <c r="F477" s="116">
        <v>48</v>
      </c>
      <c r="G477" s="116" t="s">
        <v>256</v>
      </c>
      <c r="H477" s="117">
        <v>89.81</v>
      </c>
      <c r="I477" s="117">
        <v>6.9</v>
      </c>
    </row>
    <row r="495" spans="1:9" x14ac:dyDescent="0.25">
      <c r="A495" t="s">
        <v>87</v>
      </c>
      <c r="C495" s="278" t="s">
        <v>148</v>
      </c>
      <c r="D495" s="278"/>
      <c r="E495" s="152" t="s">
        <v>233</v>
      </c>
      <c r="F495" s="116">
        <v>29</v>
      </c>
      <c r="G495" s="116" t="s">
        <v>235</v>
      </c>
      <c r="H495" s="117">
        <v>45.85</v>
      </c>
      <c r="I495" s="117">
        <v>-37.06</v>
      </c>
    </row>
    <row r="496" spans="1:9" x14ac:dyDescent="0.25">
      <c r="C496" s="278" t="s">
        <v>148</v>
      </c>
      <c r="D496" s="278"/>
      <c r="E496" s="152" t="s">
        <v>18</v>
      </c>
      <c r="F496" s="116">
        <v>32</v>
      </c>
      <c r="G496" s="116" t="s">
        <v>239</v>
      </c>
      <c r="H496" s="117">
        <v>58.81</v>
      </c>
      <c r="I496" s="117">
        <v>-24.11</v>
      </c>
    </row>
    <row r="497" spans="3:9" x14ac:dyDescent="0.25">
      <c r="C497" s="278" t="s">
        <v>148</v>
      </c>
      <c r="D497" s="278"/>
      <c r="E497" s="152" t="s">
        <v>233</v>
      </c>
      <c r="F497" s="116">
        <v>28</v>
      </c>
      <c r="G497" s="116" t="s">
        <v>234</v>
      </c>
      <c r="H497" s="117">
        <v>63.94</v>
      </c>
      <c r="I497" s="117">
        <v>-18.97</v>
      </c>
    </row>
    <row r="498" spans="3:9" x14ac:dyDescent="0.25">
      <c r="C498" s="278" t="s">
        <v>150</v>
      </c>
      <c r="D498" s="278"/>
      <c r="E498" s="152" t="s">
        <v>224</v>
      </c>
      <c r="F498" s="116">
        <v>22</v>
      </c>
      <c r="G498" s="116" t="s">
        <v>226</v>
      </c>
      <c r="H498" s="117">
        <v>69.52</v>
      </c>
      <c r="I498" s="117">
        <v>-13.39</v>
      </c>
    </row>
    <row r="499" spans="3:9" x14ac:dyDescent="0.25">
      <c r="C499" s="278" t="s">
        <v>148</v>
      </c>
      <c r="D499" s="278"/>
      <c r="E499" s="152" t="s">
        <v>18</v>
      </c>
      <c r="F499" s="116">
        <v>34</v>
      </c>
      <c r="G499" s="116" t="s">
        <v>241</v>
      </c>
      <c r="H499" s="117">
        <v>71.930000000000007</v>
      </c>
      <c r="I499" s="117">
        <v>-10.99</v>
      </c>
    </row>
    <row r="500" spans="3:9" x14ac:dyDescent="0.25">
      <c r="C500" s="278" t="s">
        <v>148</v>
      </c>
      <c r="D500" s="278"/>
      <c r="E500" s="152" t="s">
        <v>236</v>
      </c>
      <c r="F500" s="116">
        <v>30</v>
      </c>
      <c r="G500" s="116" t="s">
        <v>237</v>
      </c>
      <c r="H500" s="117">
        <v>72.17</v>
      </c>
      <c r="I500" s="117">
        <v>-10.74</v>
      </c>
    </row>
    <row r="501" spans="3:9" x14ac:dyDescent="0.25">
      <c r="C501" s="278" t="s">
        <v>148</v>
      </c>
      <c r="D501" s="278"/>
      <c r="E501" s="152" t="s">
        <v>18</v>
      </c>
      <c r="F501" s="116">
        <v>33</v>
      </c>
      <c r="G501" s="116" t="s">
        <v>240</v>
      </c>
      <c r="H501" s="117">
        <v>73.19</v>
      </c>
      <c r="I501" s="117">
        <v>-9.7200000000000006</v>
      </c>
    </row>
    <row r="502" spans="3:9" x14ac:dyDescent="0.25">
      <c r="C502" s="278" t="s">
        <v>150</v>
      </c>
      <c r="D502" s="278"/>
      <c r="E502" s="152" t="s">
        <v>228</v>
      </c>
      <c r="F502" s="116">
        <v>25</v>
      </c>
      <c r="G502" s="116" t="s">
        <v>230</v>
      </c>
      <c r="H502" s="117">
        <v>75.88</v>
      </c>
      <c r="I502" s="117">
        <v>-7.03</v>
      </c>
    </row>
    <row r="503" spans="3:9" x14ac:dyDescent="0.25">
      <c r="C503" s="278" t="s">
        <v>149</v>
      </c>
      <c r="D503" s="278"/>
      <c r="E503" s="152" t="s">
        <v>200</v>
      </c>
      <c r="F503" s="116">
        <v>7</v>
      </c>
      <c r="G503" s="116" t="s">
        <v>203</v>
      </c>
      <c r="H503" s="117">
        <v>76.25</v>
      </c>
      <c r="I503" s="117">
        <v>-6.66</v>
      </c>
    </row>
    <row r="504" spans="3:9" x14ac:dyDescent="0.25">
      <c r="C504" s="278" t="s">
        <v>159</v>
      </c>
      <c r="D504" s="278"/>
      <c r="E504" s="152" t="s">
        <v>21</v>
      </c>
      <c r="F504" s="116">
        <v>43</v>
      </c>
      <c r="G504" s="116" t="s">
        <v>251</v>
      </c>
      <c r="H504" s="117">
        <v>77.12</v>
      </c>
      <c r="I504" s="117">
        <v>-5.79</v>
      </c>
    </row>
  </sheetData>
  <mergeCells count="66">
    <mergeCell ref="C501:D501"/>
    <mergeCell ref="C502:D502"/>
    <mergeCell ref="C503:D503"/>
    <mergeCell ref="C504:D504"/>
    <mergeCell ref="C495:D495"/>
    <mergeCell ref="C496:D496"/>
    <mergeCell ref="C497:D497"/>
    <mergeCell ref="C498:D498"/>
    <mergeCell ref="C499:D499"/>
    <mergeCell ref="C500:D500"/>
    <mergeCell ref="C472:D472"/>
    <mergeCell ref="C473:D473"/>
    <mergeCell ref="C474:D474"/>
    <mergeCell ref="C475:D475"/>
    <mergeCell ref="C476:D476"/>
    <mergeCell ref="C477:D477"/>
    <mergeCell ref="N413:N415"/>
    <mergeCell ref="M413:M415"/>
    <mergeCell ref="C468:D468"/>
    <mergeCell ref="C469:D469"/>
    <mergeCell ref="C470:D470"/>
    <mergeCell ref="C471:D471"/>
    <mergeCell ref="N404:N406"/>
    <mergeCell ref="M404:M406"/>
    <mergeCell ref="N407:N409"/>
    <mergeCell ref="M407:M409"/>
    <mergeCell ref="N410:N412"/>
    <mergeCell ref="M410:M412"/>
    <mergeCell ref="D377:D380"/>
    <mergeCell ref="E377:E378"/>
    <mergeCell ref="E379:E380"/>
    <mergeCell ref="D381:E383"/>
    <mergeCell ref="M400:N400"/>
    <mergeCell ref="N401:N403"/>
    <mergeCell ref="M401:M403"/>
    <mergeCell ref="D347:E347"/>
    <mergeCell ref="D348:E349"/>
    <mergeCell ref="D350:E351"/>
    <mergeCell ref="D352:E355"/>
    <mergeCell ref="D373:E373"/>
    <mergeCell ref="D374:E376"/>
    <mergeCell ref="D321:D324"/>
    <mergeCell ref="E321:E322"/>
    <mergeCell ref="E323:E324"/>
    <mergeCell ref="D325:E327"/>
    <mergeCell ref="D328:D332"/>
    <mergeCell ref="E328:E331"/>
    <mergeCell ref="D298:D299"/>
    <mergeCell ref="E298:E299"/>
    <mergeCell ref="D300:D306"/>
    <mergeCell ref="E300:E302"/>
    <mergeCell ref="E303:E306"/>
    <mergeCell ref="D320:E320"/>
    <mergeCell ref="D278:D281"/>
    <mergeCell ref="E278:E280"/>
    <mergeCell ref="D293:E293"/>
    <mergeCell ref="D294:D297"/>
    <mergeCell ref="E294:E295"/>
    <mergeCell ref="E296:E297"/>
    <mergeCell ref="D267:E267"/>
    <mergeCell ref="D268:D271"/>
    <mergeCell ref="E268:E269"/>
    <mergeCell ref="E270:E271"/>
    <mergeCell ref="D272:D277"/>
    <mergeCell ref="E272:E274"/>
    <mergeCell ref="E275:E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2017-08-05T04:03:22Z</dcterms:modified>
</cp:coreProperties>
</file>